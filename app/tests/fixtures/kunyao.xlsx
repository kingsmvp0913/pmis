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Z:\共用文件\Documents(公用文件)\115年工程案\115-03-台西國中教學大樓西側廁所整修工程\"/>
    </mc:Choice>
  </mc:AlternateContent>
  <xr:revisionPtr revIDLastSave="0" documentId="13_ncr:1_{9164510B-4768-477E-86DD-55E5B5368313}" xr6:coauthVersionLast="36" xr6:coauthVersionMax="47" xr10:uidLastSave="{00000000-0000-0000-0000-000000000000}"/>
  <bookViews>
    <workbookView xWindow="-108" yWindow="-108" windowWidth="23256" windowHeight="12576" activeTab="1" xr2:uid="{00000000-000D-0000-FFFF-FFFF00000000}"/>
  </bookViews>
  <sheets>
    <sheet name="進度表" sheetId="3" r:id="rId1"/>
    <sheet name="日報表(7)" sheetId="14" r:id="rId2"/>
    <sheet name="日報表(8)" sheetId="15" r:id="rId3"/>
    <sheet name="日報表(9)" sheetId="16" r:id="rId4"/>
    <sheet name="日報表(10)" sheetId="17" r:id="rId5"/>
  </sheets>
  <externalReferences>
    <externalReference r:id="rId6"/>
  </externalReferences>
  <definedNames>
    <definedName name="_xlnm.Print_Area" localSheetId="4">'日報表(10)'!$A$1:$G$1953</definedName>
    <definedName name="_xlnm.Print_Area" localSheetId="1">'日報表(7)'!$A$1:$G$1953</definedName>
    <definedName name="_xlnm.Print_Area" localSheetId="2">'日報表(8)'!$A$1:$G$1953</definedName>
    <definedName name="_xlnm.Print_Area" localSheetId="3">'日報表(9)'!$A$1:$G$1953</definedName>
    <definedName name="_xlnm.Print_Area" localSheetId="0">進度表!$A$1:$P$19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896" i="14" l="1"/>
  <c r="E1833" i="14"/>
  <c r="E1770" i="14"/>
  <c r="E1707" i="14"/>
  <c r="E1644" i="14"/>
  <c r="E1581" i="14"/>
  <c r="E1518" i="14"/>
  <c r="E1455" i="14"/>
  <c r="E1392" i="14"/>
  <c r="E1329" i="14"/>
  <c r="E1266" i="14"/>
  <c r="E1203" i="14"/>
  <c r="E1140" i="14"/>
  <c r="E1077" i="14"/>
  <c r="E1014" i="14"/>
  <c r="C56" i="14" l="1"/>
  <c r="C55"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12" i="14"/>
  <c r="B8" i="14"/>
  <c r="I1935" i="17" l="1"/>
  <c r="E1935" i="17"/>
  <c r="I1934" i="17"/>
  <c r="E1934" i="17"/>
  <c r="I1933" i="17"/>
  <c r="E1933" i="17"/>
  <c r="I1932" i="17"/>
  <c r="E1932" i="17"/>
  <c r="I1931" i="17"/>
  <c r="E1931" i="17"/>
  <c r="I1930" i="17"/>
  <c r="I1929" i="17"/>
  <c r="I1928" i="17"/>
  <c r="I1927" i="17"/>
  <c r="I1926" i="17"/>
  <c r="I1925" i="17"/>
  <c r="I1924" i="17"/>
  <c r="I1923" i="17"/>
  <c r="I1922" i="17"/>
  <c r="I1921" i="17"/>
  <c r="I1920" i="17"/>
  <c r="I1919" i="17"/>
  <c r="I1918" i="17"/>
  <c r="I1917" i="17"/>
  <c r="I1916" i="17"/>
  <c r="I1915" i="17"/>
  <c r="I1914" i="17"/>
  <c r="I1913" i="17"/>
  <c r="I1912" i="17"/>
  <c r="I1911" i="17"/>
  <c r="I1910" i="17"/>
  <c r="I1909" i="17"/>
  <c r="I1908" i="17"/>
  <c r="I1907" i="17"/>
  <c r="I1906" i="17"/>
  <c r="I1905" i="17"/>
  <c r="I1904" i="17"/>
  <c r="I1903" i="17"/>
  <c r="I1902" i="17"/>
  <c r="E1897" i="17"/>
  <c r="E1872" i="17"/>
  <c r="E1871" i="17"/>
  <c r="E1870" i="17"/>
  <c r="E1869" i="17"/>
  <c r="E1868" i="17"/>
  <c r="I1867" i="17"/>
  <c r="I1866" i="17"/>
  <c r="I1865" i="17"/>
  <c r="I1864" i="17"/>
  <c r="I1863" i="17"/>
  <c r="I1862" i="17"/>
  <c r="I1861" i="17"/>
  <c r="I1860" i="17"/>
  <c r="I1859" i="17"/>
  <c r="I1858" i="17"/>
  <c r="I1857" i="17"/>
  <c r="I1856" i="17"/>
  <c r="I1855" i="17"/>
  <c r="I1854" i="17"/>
  <c r="I1853" i="17"/>
  <c r="I1852" i="17"/>
  <c r="I1851" i="17"/>
  <c r="I1850" i="17"/>
  <c r="I1849" i="17"/>
  <c r="I1848" i="17"/>
  <c r="I1847" i="17"/>
  <c r="I1846" i="17"/>
  <c r="I1845" i="17"/>
  <c r="I1844" i="17"/>
  <c r="I1843" i="17"/>
  <c r="I1842" i="17"/>
  <c r="I1841" i="17"/>
  <c r="I1840" i="17"/>
  <c r="I1839" i="17"/>
  <c r="E1834" i="17"/>
  <c r="I1809" i="17"/>
  <c r="E1809" i="17"/>
  <c r="I1808" i="17"/>
  <c r="E1808" i="17"/>
  <c r="I1807" i="17"/>
  <c r="E1807" i="17"/>
  <c r="I1806" i="17"/>
  <c r="E1806" i="17"/>
  <c r="I1805" i="17"/>
  <c r="E1805" i="17"/>
  <c r="I1804" i="17"/>
  <c r="I1803" i="17"/>
  <c r="I1802" i="17"/>
  <c r="I1801" i="17"/>
  <c r="I1800" i="17"/>
  <c r="I1799" i="17"/>
  <c r="I1798" i="17"/>
  <c r="I1797" i="17"/>
  <c r="I1796" i="17"/>
  <c r="I1795" i="17"/>
  <c r="I1794" i="17"/>
  <c r="I1793" i="17"/>
  <c r="I1792" i="17"/>
  <c r="I1791" i="17"/>
  <c r="I1790" i="17"/>
  <c r="I1789" i="17"/>
  <c r="I1788" i="17"/>
  <c r="I1787" i="17"/>
  <c r="I1786" i="17"/>
  <c r="I1785" i="17"/>
  <c r="I1784" i="17"/>
  <c r="I1783" i="17"/>
  <c r="I1782" i="17"/>
  <c r="I1781" i="17"/>
  <c r="I1780" i="17"/>
  <c r="I1779" i="17"/>
  <c r="I1778" i="17"/>
  <c r="I1777" i="17"/>
  <c r="I1776" i="17"/>
  <c r="E1771" i="17"/>
  <c r="E1746" i="17"/>
  <c r="E1745" i="17"/>
  <c r="I1745" i="17" s="1"/>
  <c r="I1744" i="17"/>
  <c r="E1744" i="17"/>
  <c r="I1743" i="17"/>
  <c r="E1743" i="17"/>
  <c r="I1742" i="17"/>
  <c r="E1742" i="17"/>
  <c r="I1741" i="17"/>
  <c r="I1740" i="17"/>
  <c r="I1739" i="17"/>
  <c r="I1738" i="17"/>
  <c r="I1737" i="17"/>
  <c r="I1736" i="17"/>
  <c r="I1735" i="17"/>
  <c r="I1734" i="17"/>
  <c r="I1733" i="17"/>
  <c r="I1732" i="17"/>
  <c r="I1731" i="17"/>
  <c r="I1730" i="17"/>
  <c r="I1729" i="17"/>
  <c r="I1728" i="17"/>
  <c r="I1727" i="17"/>
  <c r="I1726" i="17"/>
  <c r="I1725" i="17"/>
  <c r="I1724" i="17"/>
  <c r="I1723" i="17"/>
  <c r="I1722" i="17"/>
  <c r="I1721" i="17"/>
  <c r="I1720" i="17"/>
  <c r="I1719" i="17"/>
  <c r="I1718" i="17"/>
  <c r="I1717" i="17"/>
  <c r="I1716" i="17"/>
  <c r="I1715" i="17"/>
  <c r="I1714" i="17"/>
  <c r="I1713" i="17"/>
  <c r="E1708" i="17"/>
  <c r="E1683" i="17"/>
  <c r="I1683" i="17" s="1"/>
  <c r="E1682" i="17"/>
  <c r="I1682" i="17" s="1"/>
  <c r="E1681" i="17"/>
  <c r="I1681" i="17" s="1"/>
  <c r="E1680" i="17"/>
  <c r="I1680" i="17" s="1"/>
  <c r="E1679" i="17"/>
  <c r="I1679" i="17" s="1"/>
  <c r="I1678" i="17"/>
  <c r="I1677" i="17"/>
  <c r="I1676" i="17"/>
  <c r="I1675" i="17"/>
  <c r="I1674" i="17"/>
  <c r="I1673" i="17"/>
  <c r="I1672" i="17"/>
  <c r="I1671" i="17"/>
  <c r="I1670" i="17"/>
  <c r="I1669" i="17"/>
  <c r="I1668" i="17"/>
  <c r="I1667" i="17"/>
  <c r="I1666" i="17"/>
  <c r="I1665" i="17"/>
  <c r="I1664" i="17"/>
  <c r="I1663" i="17"/>
  <c r="I1662" i="17"/>
  <c r="I1661" i="17"/>
  <c r="I1660" i="17"/>
  <c r="I1659" i="17"/>
  <c r="I1658" i="17"/>
  <c r="I1657" i="17"/>
  <c r="I1656" i="17"/>
  <c r="I1655" i="17"/>
  <c r="I1654" i="17"/>
  <c r="I1653" i="17"/>
  <c r="I1652" i="17"/>
  <c r="I1651" i="17"/>
  <c r="I1650" i="17"/>
  <c r="E1645" i="17"/>
  <c r="E1620" i="17"/>
  <c r="E1619" i="17"/>
  <c r="E1618" i="17"/>
  <c r="E1617" i="17"/>
  <c r="E1616" i="17"/>
  <c r="I1615" i="17"/>
  <c r="I1614" i="17"/>
  <c r="I1613" i="17"/>
  <c r="I1612" i="17"/>
  <c r="I1611" i="17"/>
  <c r="I1610" i="17"/>
  <c r="I1609" i="17"/>
  <c r="I1608" i="17"/>
  <c r="I1607" i="17"/>
  <c r="I1606" i="17"/>
  <c r="I1605" i="17"/>
  <c r="I1604" i="17"/>
  <c r="I1603" i="17"/>
  <c r="I1602" i="17"/>
  <c r="I1601" i="17"/>
  <c r="I1600" i="17"/>
  <c r="I1599" i="17"/>
  <c r="I1598" i="17"/>
  <c r="I1597" i="17"/>
  <c r="I1596" i="17"/>
  <c r="I1595" i="17"/>
  <c r="I1594" i="17"/>
  <c r="I1593" i="17"/>
  <c r="I1592" i="17"/>
  <c r="I1591" i="17"/>
  <c r="I1590" i="17"/>
  <c r="I1589" i="17"/>
  <c r="I1588" i="17"/>
  <c r="I1587" i="17"/>
  <c r="E1582" i="17"/>
  <c r="I1557" i="17"/>
  <c r="E1557" i="17"/>
  <c r="I1556" i="17"/>
  <c r="E1556" i="17"/>
  <c r="I1555" i="17"/>
  <c r="E1555" i="17"/>
  <c r="I1554" i="17"/>
  <c r="E1554" i="17"/>
  <c r="I1553" i="17"/>
  <c r="E1553" i="17"/>
  <c r="I1552" i="17"/>
  <c r="I1551" i="17"/>
  <c r="I1550" i="17"/>
  <c r="I1549" i="17"/>
  <c r="I1548" i="17"/>
  <c r="I1547" i="17"/>
  <c r="I1546" i="17"/>
  <c r="I1545" i="17"/>
  <c r="I1544" i="17"/>
  <c r="I1543" i="17"/>
  <c r="I1542" i="17"/>
  <c r="I1541" i="17"/>
  <c r="I1540" i="17"/>
  <c r="I1539" i="17"/>
  <c r="I1538" i="17"/>
  <c r="I1537" i="17"/>
  <c r="I1536" i="17"/>
  <c r="I1535" i="17"/>
  <c r="I1534" i="17"/>
  <c r="I1533" i="17"/>
  <c r="I1532" i="17"/>
  <c r="I1531" i="17"/>
  <c r="I1530" i="17"/>
  <c r="I1529" i="17"/>
  <c r="I1528" i="17"/>
  <c r="I1527" i="17"/>
  <c r="I1526" i="17"/>
  <c r="I1525" i="17"/>
  <c r="I1524" i="17"/>
  <c r="E1519" i="17"/>
  <c r="E1494" i="17"/>
  <c r="I1494" i="17" s="1"/>
  <c r="E1493" i="17"/>
  <c r="I1493" i="17" s="1"/>
  <c r="E1492" i="17"/>
  <c r="I1492" i="17" s="1"/>
  <c r="E1491" i="17"/>
  <c r="I1491" i="17" s="1"/>
  <c r="E1490" i="17"/>
  <c r="I1490" i="17" s="1"/>
  <c r="I1489" i="17"/>
  <c r="I1488" i="17"/>
  <c r="I1487" i="17"/>
  <c r="I1486" i="17"/>
  <c r="I1485" i="17"/>
  <c r="I1484" i="17"/>
  <c r="I1483" i="17"/>
  <c r="I1482" i="17"/>
  <c r="I1481" i="17"/>
  <c r="I1480" i="17"/>
  <c r="I1479" i="17"/>
  <c r="I1478" i="17"/>
  <c r="I1477" i="17"/>
  <c r="I1476" i="17"/>
  <c r="I1475" i="17"/>
  <c r="I1474" i="17"/>
  <c r="I1473" i="17"/>
  <c r="I1472" i="17"/>
  <c r="I1471" i="17"/>
  <c r="I1470" i="17"/>
  <c r="I1469" i="17"/>
  <c r="I1468" i="17"/>
  <c r="I1467" i="17"/>
  <c r="I1466" i="17"/>
  <c r="I1465" i="17"/>
  <c r="I1464" i="17"/>
  <c r="I1463" i="17"/>
  <c r="I1462" i="17"/>
  <c r="I1461" i="17"/>
  <c r="E1456" i="17"/>
  <c r="I1431" i="17"/>
  <c r="E1431" i="17"/>
  <c r="I1430" i="17"/>
  <c r="E1430" i="17"/>
  <c r="I1429" i="17"/>
  <c r="E1429" i="17"/>
  <c r="I1428" i="17"/>
  <c r="E1428" i="17"/>
  <c r="I1427" i="17"/>
  <c r="E1427" i="17"/>
  <c r="I1426" i="17"/>
  <c r="I1425" i="17"/>
  <c r="I1424" i="17"/>
  <c r="I1423" i="17"/>
  <c r="I1422" i="17"/>
  <c r="I1421" i="17"/>
  <c r="I1420" i="17"/>
  <c r="I1419" i="17"/>
  <c r="I1418" i="17"/>
  <c r="I1417" i="17"/>
  <c r="I1416" i="17"/>
  <c r="I1415" i="17"/>
  <c r="I1414" i="17"/>
  <c r="I1413" i="17"/>
  <c r="I1412" i="17"/>
  <c r="I1411" i="17"/>
  <c r="I1410" i="17"/>
  <c r="I1409" i="17"/>
  <c r="I1408" i="17"/>
  <c r="I1407" i="17"/>
  <c r="I1406" i="17"/>
  <c r="I1405" i="17"/>
  <c r="I1404" i="17"/>
  <c r="I1403" i="17"/>
  <c r="I1402" i="17"/>
  <c r="I1401" i="17"/>
  <c r="I1400" i="17"/>
  <c r="I1399" i="17"/>
  <c r="I1398" i="17"/>
  <c r="I1432" i="17" s="1"/>
  <c r="E1393" i="17"/>
  <c r="E1368" i="17"/>
  <c r="E1367" i="17"/>
  <c r="E1366" i="17"/>
  <c r="E1365" i="17"/>
  <c r="E1364" i="17"/>
  <c r="I1363" i="17"/>
  <c r="I1362" i="17"/>
  <c r="I1361" i="17"/>
  <c r="I1360" i="17"/>
  <c r="I1359" i="17"/>
  <c r="I1358" i="17"/>
  <c r="I1357" i="17"/>
  <c r="I1356" i="17"/>
  <c r="I1355" i="17"/>
  <c r="I1354" i="17"/>
  <c r="I1353" i="17"/>
  <c r="I1352" i="17"/>
  <c r="I1351" i="17"/>
  <c r="I1350" i="17"/>
  <c r="I1349" i="17"/>
  <c r="I1348" i="17"/>
  <c r="I1347" i="17"/>
  <c r="I1346" i="17"/>
  <c r="I1345" i="17"/>
  <c r="I1344" i="17"/>
  <c r="I1343" i="17"/>
  <c r="I1342" i="17"/>
  <c r="I1341" i="17"/>
  <c r="I1340" i="17"/>
  <c r="I1339" i="17"/>
  <c r="I1338" i="17"/>
  <c r="I1337" i="17"/>
  <c r="I1336" i="17"/>
  <c r="I1335" i="17"/>
  <c r="E1330" i="17"/>
  <c r="I1305" i="17"/>
  <c r="E1305" i="17"/>
  <c r="I1304" i="17"/>
  <c r="E1304" i="17"/>
  <c r="I1303" i="17"/>
  <c r="E1303" i="17"/>
  <c r="I1302" i="17"/>
  <c r="E1302" i="17"/>
  <c r="I1301" i="17"/>
  <c r="E1301" i="17"/>
  <c r="I1300" i="17"/>
  <c r="I1299" i="17"/>
  <c r="I1298" i="17"/>
  <c r="I1297" i="17"/>
  <c r="I1296" i="17"/>
  <c r="I1295" i="17"/>
  <c r="I1294" i="17"/>
  <c r="I1293" i="17"/>
  <c r="I1292" i="17"/>
  <c r="I1291" i="17"/>
  <c r="I1290" i="17"/>
  <c r="I1289" i="17"/>
  <c r="I1288" i="17"/>
  <c r="I1287" i="17"/>
  <c r="I1286" i="17"/>
  <c r="I1285" i="17"/>
  <c r="I1284" i="17"/>
  <c r="I1283" i="17"/>
  <c r="I1282" i="17"/>
  <c r="I1281" i="17"/>
  <c r="I1280" i="17"/>
  <c r="I1279" i="17"/>
  <c r="I1278" i="17"/>
  <c r="I1277" i="17"/>
  <c r="I1276" i="17"/>
  <c r="I1275" i="17"/>
  <c r="I1274" i="17"/>
  <c r="I1273" i="17"/>
  <c r="I1272" i="17"/>
  <c r="E1267" i="17"/>
  <c r="E1242" i="17"/>
  <c r="I1242" i="17" s="1"/>
  <c r="E1241" i="17"/>
  <c r="E1240" i="17"/>
  <c r="I1240" i="17" s="1"/>
  <c r="E1239" i="17"/>
  <c r="E1238" i="17"/>
  <c r="I1238" i="17" s="1"/>
  <c r="I1237" i="17"/>
  <c r="I1236" i="17"/>
  <c r="I1235" i="17"/>
  <c r="I1234" i="17"/>
  <c r="I1233" i="17"/>
  <c r="I1232" i="17"/>
  <c r="I1231" i="17"/>
  <c r="I1230" i="17"/>
  <c r="I1229" i="17"/>
  <c r="I1228" i="17"/>
  <c r="I1227" i="17"/>
  <c r="I1226" i="17"/>
  <c r="I1225" i="17"/>
  <c r="I1224" i="17"/>
  <c r="I1223" i="17"/>
  <c r="I1222" i="17"/>
  <c r="I1221" i="17"/>
  <c r="I1220" i="17"/>
  <c r="I1219" i="17"/>
  <c r="I1218" i="17"/>
  <c r="I1217" i="17"/>
  <c r="I1216" i="17"/>
  <c r="I1215" i="17"/>
  <c r="I1214" i="17"/>
  <c r="I1213" i="17"/>
  <c r="I1212" i="17"/>
  <c r="I1211" i="17"/>
  <c r="I1210" i="17"/>
  <c r="I1209" i="17"/>
  <c r="E1204" i="17"/>
  <c r="E1179" i="17"/>
  <c r="E1178" i="17"/>
  <c r="E1177" i="17"/>
  <c r="E1176" i="17"/>
  <c r="E1175" i="17"/>
  <c r="I1174" i="17"/>
  <c r="I1173" i="17"/>
  <c r="I1172" i="17"/>
  <c r="I1171" i="17"/>
  <c r="I1170" i="17"/>
  <c r="I1169" i="17"/>
  <c r="I1168" i="17"/>
  <c r="I1167" i="17"/>
  <c r="I1166" i="17"/>
  <c r="I1165" i="17"/>
  <c r="I1164" i="17"/>
  <c r="I1163" i="17"/>
  <c r="I1162" i="17"/>
  <c r="I1161" i="17"/>
  <c r="I1160" i="17"/>
  <c r="I1159" i="17"/>
  <c r="I1158" i="17"/>
  <c r="I1157" i="17"/>
  <c r="I1156" i="17"/>
  <c r="I1155" i="17"/>
  <c r="I1154" i="17"/>
  <c r="I1153" i="17"/>
  <c r="I1152" i="17"/>
  <c r="I1151" i="17"/>
  <c r="I1150" i="17"/>
  <c r="I1149" i="17"/>
  <c r="I1148" i="17"/>
  <c r="I1147" i="17"/>
  <c r="I1146" i="17"/>
  <c r="E1141" i="17"/>
  <c r="I1116" i="17"/>
  <c r="E1116" i="17"/>
  <c r="I1115" i="17"/>
  <c r="E1115" i="17"/>
  <c r="I1114" i="17"/>
  <c r="E1114" i="17"/>
  <c r="I1113" i="17"/>
  <c r="E1113" i="17"/>
  <c r="I1112" i="17"/>
  <c r="E1112" i="17"/>
  <c r="I1111" i="17"/>
  <c r="I1110" i="17"/>
  <c r="I1109" i="17"/>
  <c r="I1108" i="17"/>
  <c r="I1107" i="17"/>
  <c r="I1106" i="17"/>
  <c r="I1105" i="17"/>
  <c r="I1104" i="17"/>
  <c r="I1103" i="17"/>
  <c r="I1102" i="17"/>
  <c r="I1101" i="17"/>
  <c r="I1100" i="17"/>
  <c r="I1099" i="17"/>
  <c r="I1098" i="17"/>
  <c r="I1097" i="17"/>
  <c r="I1096" i="17"/>
  <c r="I1095" i="17"/>
  <c r="I1094" i="17"/>
  <c r="I1093" i="17"/>
  <c r="I1092" i="17"/>
  <c r="I1091" i="17"/>
  <c r="I1090" i="17"/>
  <c r="I1089" i="17"/>
  <c r="I1088" i="17"/>
  <c r="I1087" i="17"/>
  <c r="I1086" i="17"/>
  <c r="I1085" i="17"/>
  <c r="I1084" i="17"/>
  <c r="I1083" i="17"/>
  <c r="E1078" i="17"/>
  <c r="I1053" i="17"/>
  <c r="E1053" i="17"/>
  <c r="I1052" i="17"/>
  <c r="E1052" i="17"/>
  <c r="I1051" i="17"/>
  <c r="E1051" i="17"/>
  <c r="I1050" i="17"/>
  <c r="E1050" i="17"/>
  <c r="I1049" i="17"/>
  <c r="E1049" i="17"/>
  <c r="I1048" i="17"/>
  <c r="I1047" i="17"/>
  <c r="I1046" i="17"/>
  <c r="I1045" i="17"/>
  <c r="I1044" i="17"/>
  <c r="I1043" i="17"/>
  <c r="I1042" i="17"/>
  <c r="I1041" i="17"/>
  <c r="I1040" i="17"/>
  <c r="I1039" i="17"/>
  <c r="I1038" i="17"/>
  <c r="I1037" i="17"/>
  <c r="I1036" i="17"/>
  <c r="I1035" i="17"/>
  <c r="I1034" i="17"/>
  <c r="I1033" i="17"/>
  <c r="I1032" i="17"/>
  <c r="I1031" i="17"/>
  <c r="I1030" i="17"/>
  <c r="I1029" i="17"/>
  <c r="I1028" i="17"/>
  <c r="I1027" i="17"/>
  <c r="I1026" i="17"/>
  <c r="I1025" i="17"/>
  <c r="I1024" i="17"/>
  <c r="I1023" i="17"/>
  <c r="I1022" i="17"/>
  <c r="I1021" i="17"/>
  <c r="I1020" i="17"/>
  <c r="E1015" i="17"/>
  <c r="I990" i="17"/>
  <c r="E990" i="17"/>
  <c r="I989" i="17"/>
  <c r="E989" i="17"/>
  <c r="I988" i="17"/>
  <c r="E988" i="17"/>
  <c r="I987" i="17"/>
  <c r="E987" i="17"/>
  <c r="I986" i="17"/>
  <c r="E986" i="17"/>
  <c r="I985" i="17"/>
  <c r="I984" i="17"/>
  <c r="I983" i="17"/>
  <c r="I982" i="17"/>
  <c r="I981" i="17"/>
  <c r="I980" i="17"/>
  <c r="I979" i="17"/>
  <c r="I978" i="17"/>
  <c r="I977" i="17"/>
  <c r="I976" i="17"/>
  <c r="I975" i="17"/>
  <c r="I974" i="17"/>
  <c r="I973" i="17"/>
  <c r="I972" i="17"/>
  <c r="I971" i="17"/>
  <c r="I970" i="17"/>
  <c r="I969" i="17"/>
  <c r="I968" i="17"/>
  <c r="I967" i="17"/>
  <c r="I966" i="17"/>
  <c r="I965" i="17"/>
  <c r="I964" i="17"/>
  <c r="I963" i="17"/>
  <c r="I962" i="17"/>
  <c r="I961" i="17"/>
  <c r="I960" i="17"/>
  <c r="I959" i="17"/>
  <c r="I958" i="17"/>
  <c r="I957" i="17"/>
  <c r="E952" i="17"/>
  <c r="E927" i="17"/>
  <c r="I927" i="17" s="1"/>
  <c r="E926" i="17"/>
  <c r="I926" i="17" s="1"/>
  <c r="E925" i="17"/>
  <c r="I925" i="17" s="1"/>
  <c r="E924" i="17"/>
  <c r="I924" i="17" s="1"/>
  <c r="E923" i="17"/>
  <c r="I923" i="17" s="1"/>
  <c r="I922" i="17"/>
  <c r="I921" i="17"/>
  <c r="I920" i="17"/>
  <c r="I919" i="17"/>
  <c r="I918" i="17"/>
  <c r="I917" i="17"/>
  <c r="I916" i="17"/>
  <c r="I915" i="17"/>
  <c r="I914" i="17"/>
  <c r="I913" i="17"/>
  <c r="I912" i="17"/>
  <c r="I911" i="17"/>
  <c r="I910" i="17"/>
  <c r="I909" i="17"/>
  <c r="I908" i="17"/>
  <c r="I907" i="17"/>
  <c r="I906" i="17"/>
  <c r="I905" i="17"/>
  <c r="I904" i="17"/>
  <c r="I903" i="17"/>
  <c r="I902" i="17"/>
  <c r="I901" i="17"/>
  <c r="I900" i="17"/>
  <c r="I899" i="17"/>
  <c r="I898" i="17"/>
  <c r="I897" i="17"/>
  <c r="I896" i="17"/>
  <c r="I895" i="17"/>
  <c r="I894" i="17"/>
  <c r="E889" i="17"/>
  <c r="E864" i="17"/>
  <c r="I864" i="17" s="1"/>
  <c r="E863" i="17"/>
  <c r="I863" i="17" s="1"/>
  <c r="E862" i="17"/>
  <c r="I862" i="17" s="1"/>
  <c r="E861" i="17"/>
  <c r="I861" i="17" s="1"/>
  <c r="E860" i="17"/>
  <c r="I860" i="17" s="1"/>
  <c r="I859" i="17"/>
  <c r="I858" i="17"/>
  <c r="I857" i="17"/>
  <c r="I856" i="17"/>
  <c r="I855" i="17"/>
  <c r="I854" i="17"/>
  <c r="I853" i="17"/>
  <c r="I852" i="17"/>
  <c r="I851" i="17"/>
  <c r="I850" i="17"/>
  <c r="I849" i="17"/>
  <c r="I848" i="17"/>
  <c r="I847" i="17"/>
  <c r="I846" i="17"/>
  <c r="I845" i="17"/>
  <c r="I844" i="17"/>
  <c r="I843" i="17"/>
  <c r="I842" i="17"/>
  <c r="I841" i="17"/>
  <c r="I840" i="17"/>
  <c r="I839" i="17"/>
  <c r="I838" i="17"/>
  <c r="I837" i="17"/>
  <c r="I836" i="17"/>
  <c r="I835" i="17"/>
  <c r="I834" i="17"/>
  <c r="I833" i="17"/>
  <c r="I832" i="17"/>
  <c r="I831" i="17"/>
  <c r="E826" i="17"/>
  <c r="E801" i="17"/>
  <c r="I801" i="17" s="1"/>
  <c r="E800" i="17"/>
  <c r="I800" i="17" s="1"/>
  <c r="E799" i="17"/>
  <c r="I799" i="17" s="1"/>
  <c r="E798" i="17"/>
  <c r="I798" i="17" s="1"/>
  <c r="E797" i="17"/>
  <c r="I797" i="17" s="1"/>
  <c r="I796" i="17"/>
  <c r="I795" i="17"/>
  <c r="I794" i="17"/>
  <c r="I793" i="17"/>
  <c r="I792" i="17"/>
  <c r="I791" i="17"/>
  <c r="I790" i="17"/>
  <c r="I789" i="17"/>
  <c r="I788" i="17"/>
  <c r="I787" i="17"/>
  <c r="I786" i="17"/>
  <c r="I785" i="17"/>
  <c r="I784" i="17"/>
  <c r="I783" i="17"/>
  <c r="I782" i="17"/>
  <c r="I781" i="17"/>
  <c r="I780" i="17"/>
  <c r="I779" i="17"/>
  <c r="I778" i="17"/>
  <c r="I777" i="17"/>
  <c r="I776" i="17"/>
  <c r="I775" i="17"/>
  <c r="I774" i="17"/>
  <c r="I773" i="17"/>
  <c r="I772" i="17"/>
  <c r="I771" i="17"/>
  <c r="I770" i="17"/>
  <c r="I769" i="17"/>
  <c r="I768" i="17"/>
  <c r="E763" i="17"/>
  <c r="E738" i="17"/>
  <c r="I738" i="17" s="1"/>
  <c r="E737" i="17"/>
  <c r="I737" i="17" s="1"/>
  <c r="E736" i="17"/>
  <c r="I736" i="17" s="1"/>
  <c r="E735" i="17"/>
  <c r="I735" i="17" s="1"/>
  <c r="I734" i="17"/>
  <c r="E734" i="17"/>
  <c r="I733" i="17"/>
  <c r="I732" i="17"/>
  <c r="I731" i="17"/>
  <c r="I730" i="17"/>
  <c r="I729" i="17"/>
  <c r="I728" i="17"/>
  <c r="I727" i="17"/>
  <c r="I726" i="17"/>
  <c r="I725" i="17"/>
  <c r="I724" i="17"/>
  <c r="I723" i="17"/>
  <c r="I722" i="17"/>
  <c r="I721" i="17"/>
  <c r="I720" i="17"/>
  <c r="I719" i="17"/>
  <c r="I718" i="17"/>
  <c r="I717" i="17"/>
  <c r="I716" i="17"/>
  <c r="I715" i="17"/>
  <c r="I714" i="17"/>
  <c r="I713" i="17"/>
  <c r="I712" i="17"/>
  <c r="I711" i="17"/>
  <c r="I710" i="17"/>
  <c r="I709" i="17"/>
  <c r="I708" i="17"/>
  <c r="I707" i="17"/>
  <c r="I706" i="17"/>
  <c r="I705" i="17"/>
  <c r="I739" i="17" s="1"/>
  <c r="E700" i="17"/>
  <c r="E675" i="17"/>
  <c r="E674" i="17"/>
  <c r="E673" i="17"/>
  <c r="E672" i="17"/>
  <c r="E671" i="17"/>
  <c r="I670" i="17"/>
  <c r="I669" i="17"/>
  <c r="I668" i="17"/>
  <c r="I667" i="17"/>
  <c r="I666" i="17"/>
  <c r="I665" i="17"/>
  <c r="I664" i="17"/>
  <c r="I663" i="17"/>
  <c r="I662" i="17"/>
  <c r="I661" i="17"/>
  <c r="I660" i="17"/>
  <c r="I659" i="17"/>
  <c r="I658" i="17"/>
  <c r="I657" i="17"/>
  <c r="I656" i="17"/>
  <c r="I655" i="17"/>
  <c r="I654" i="17"/>
  <c r="I653" i="17"/>
  <c r="I652" i="17"/>
  <c r="I651" i="17"/>
  <c r="I650" i="17"/>
  <c r="I649" i="17"/>
  <c r="I648" i="17"/>
  <c r="I647" i="17"/>
  <c r="I646" i="17"/>
  <c r="I645" i="17"/>
  <c r="I644" i="17"/>
  <c r="I643" i="17"/>
  <c r="I642" i="17"/>
  <c r="E637" i="17"/>
  <c r="I612" i="17"/>
  <c r="E612" i="17"/>
  <c r="I611" i="17"/>
  <c r="E611" i="17"/>
  <c r="I610" i="17"/>
  <c r="E610" i="17"/>
  <c r="I609" i="17"/>
  <c r="E609" i="17"/>
  <c r="I608" i="17"/>
  <c r="E608" i="17"/>
  <c r="I607" i="17"/>
  <c r="I606" i="17"/>
  <c r="I605" i="17"/>
  <c r="I604" i="17"/>
  <c r="I603" i="17"/>
  <c r="I602" i="17"/>
  <c r="I601" i="17"/>
  <c r="I600" i="17"/>
  <c r="I599" i="17"/>
  <c r="I598" i="17"/>
  <c r="I597" i="17"/>
  <c r="I596" i="17"/>
  <c r="I595" i="17"/>
  <c r="I594" i="17"/>
  <c r="I593" i="17"/>
  <c r="I592" i="17"/>
  <c r="I591" i="17"/>
  <c r="I590" i="17"/>
  <c r="I589" i="17"/>
  <c r="I588" i="17"/>
  <c r="I587" i="17"/>
  <c r="I586" i="17"/>
  <c r="I585" i="17"/>
  <c r="I584" i="17"/>
  <c r="I583" i="17"/>
  <c r="I582" i="17"/>
  <c r="I581" i="17"/>
  <c r="I580" i="17"/>
  <c r="I579" i="17"/>
  <c r="I613" i="17" s="1"/>
  <c r="E574" i="17"/>
  <c r="E549" i="17"/>
  <c r="E548" i="17"/>
  <c r="E547" i="17"/>
  <c r="E546" i="17"/>
  <c r="E545" i="17"/>
  <c r="I544" i="17"/>
  <c r="I543" i="17"/>
  <c r="I542" i="17"/>
  <c r="I541" i="17"/>
  <c r="I540" i="17"/>
  <c r="I539" i="17"/>
  <c r="I538" i="17"/>
  <c r="I537" i="17"/>
  <c r="I536" i="17"/>
  <c r="I535" i="17"/>
  <c r="I534" i="17"/>
  <c r="I533" i="17"/>
  <c r="I532" i="17"/>
  <c r="I531" i="17"/>
  <c r="I530" i="17"/>
  <c r="I529" i="17"/>
  <c r="I528" i="17"/>
  <c r="I527" i="17"/>
  <c r="I526" i="17"/>
  <c r="I525" i="17"/>
  <c r="I524" i="17"/>
  <c r="I523" i="17"/>
  <c r="I522" i="17"/>
  <c r="I521" i="17"/>
  <c r="I520" i="17"/>
  <c r="I519" i="17"/>
  <c r="I518" i="17"/>
  <c r="I517" i="17"/>
  <c r="I516" i="17"/>
  <c r="E511" i="17"/>
  <c r="I486" i="17"/>
  <c r="E486" i="17"/>
  <c r="I485" i="17"/>
  <c r="E485" i="17"/>
  <c r="I484" i="17"/>
  <c r="E484" i="17"/>
  <c r="I483" i="17"/>
  <c r="E483" i="17"/>
  <c r="I482" i="17"/>
  <c r="E482" i="17"/>
  <c r="I481" i="17"/>
  <c r="I480" i="17"/>
  <c r="I479" i="17"/>
  <c r="I478" i="17"/>
  <c r="I477" i="17"/>
  <c r="I476" i="17"/>
  <c r="I475" i="17"/>
  <c r="I474" i="17"/>
  <c r="I473" i="17"/>
  <c r="I472" i="17"/>
  <c r="I471" i="17"/>
  <c r="I470" i="17"/>
  <c r="I469" i="17"/>
  <c r="I468" i="17"/>
  <c r="I467" i="17"/>
  <c r="I466" i="17"/>
  <c r="I465" i="17"/>
  <c r="I464" i="17"/>
  <c r="I463" i="17"/>
  <c r="I462" i="17"/>
  <c r="I461" i="17"/>
  <c r="I460" i="17"/>
  <c r="I459" i="17"/>
  <c r="I458" i="17"/>
  <c r="I457" i="17"/>
  <c r="I456" i="17"/>
  <c r="I455" i="17"/>
  <c r="I454" i="17"/>
  <c r="I453" i="17"/>
  <c r="I487" i="17" s="1"/>
  <c r="E448" i="17"/>
  <c r="E423" i="17"/>
  <c r="E422" i="17"/>
  <c r="E421" i="17"/>
  <c r="E420" i="17"/>
  <c r="E419" i="17"/>
  <c r="I418" i="17"/>
  <c r="I417" i="17"/>
  <c r="I416" i="17"/>
  <c r="I415" i="17"/>
  <c r="I414" i="17"/>
  <c r="I413" i="17"/>
  <c r="I412" i="17"/>
  <c r="I411" i="17"/>
  <c r="I410" i="17"/>
  <c r="I409" i="17"/>
  <c r="I408" i="17"/>
  <c r="I407" i="17"/>
  <c r="I406" i="17"/>
  <c r="I405" i="17"/>
  <c r="I404" i="17"/>
  <c r="I403" i="17"/>
  <c r="I402" i="17"/>
  <c r="I401" i="17"/>
  <c r="I400" i="17"/>
  <c r="I399" i="17"/>
  <c r="I398" i="17"/>
  <c r="I397" i="17"/>
  <c r="I396" i="17"/>
  <c r="I395" i="17"/>
  <c r="I394" i="17"/>
  <c r="I393" i="17"/>
  <c r="I392" i="17"/>
  <c r="I391" i="17"/>
  <c r="I390" i="17"/>
  <c r="E385" i="17"/>
  <c r="I360" i="17"/>
  <c r="E360" i="17"/>
  <c r="I359" i="17"/>
  <c r="E359" i="17"/>
  <c r="I358" i="17"/>
  <c r="E358" i="17"/>
  <c r="I357" i="17"/>
  <c r="E357" i="17"/>
  <c r="I356" i="17"/>
  <c r="E356" i="17"/>
  <c r="I355" i="17"/>
  <c r="I354" i="17"/>
  <c r="I353" i="17"/>
  <c r="I352" i="17"/>
  <c r="I351" i="17"/>
  <c r="I350" i="17"/>
  <c r="I349" i="17"/>
  <c r="I348" i="17"/>
  <c r="I347" i="17"/>
  <c r="I346" i="17"/>
  <c r="I345" i="17"/>
  <c r="I344" i="17"/>
  <c r="I343" i="17"/>
  <c r="I342" i="17"/>
  <c r="I341" i="17"/>
  <c r="I340" i="17"/>
  <c r="I339" i="17"/>
  <c r="I338" i="17"/>
  <c r="I337" i="17"/>
  <c r="I336" i="17"/>
  <c r="I335" i="17"/>
  <c r="I334" i="17"/>
  <c r="I333" i="17"/>
  <c r="I332" i="17"/>
  <c r="I331" i="17"/>
  <c r="I330" i="17"/>
  <c r="I329" i="17"/>
  <c r="I328" i="17"/>
  <c r="I327" i="17"/>
  <c r="J322" i="17"/>
  <c r="J385" i="17" s="1"/>
  <c r="J448" i="17" s="1"/>
  <c r="J511" i="17" s="1"/>
  <c r="J574" i="17" s="1"/>
  <c r="J637" i="17" s="1"/>
  <c r="J700" i="17" s="1"/>
  <c r="J763" i="17" s="1"/>
  <c r="J826" i="17" s="1"/>
  <c r="J889" i="17" s="1"/>
  <c r="J952" i="17" s="1"/>
  <c r="J1015" i="17" s="1"/>
  <c r="J1078" i="17" s="1"/>
  <c r="J1141" i="17" s="1"/>
  <c r="J1204" i="17" s="1"/>
  <c r="J1267" i="17" s="1"/>
  <c r="J1330" i="17" s="1"/>
  <c r="J1393" i="17" s="1"/>
  <c r="J1456" i="17" s="1"/>
  <c r="J1519" i="17" s="1"/>
  <c r="J1582" i="17" s="1"/>
  <c r="J1645" i="17" s="1"/>
  <c r="J1708" i="17" s="1"/>
  <c r="J1771" i="17" s="1"/>
  <c r="J1834" i="17" s="1"/>
  <c r="J1897" i="17" s="1"/>
  <c r="E322" i="17"/>
  <c r="J315" i="17"/>
  <c r="J378" i="17" s="1"/>
  <c r="J441" i="17" s="1"/>
  <c r="J504" i="17" s="1"/>
  <c r="J567" i="17" s="1"/>
  <c r="J630" i="17" s="1"/>
  <c r="J693" i="17" s="1"/>
  <c r="J756" i="17" s="1"/>
  <c r="J819" i="17" s="1"/>
  <c r="J882" i="17" s="1"/>
  <c r="J945" i="17" s="1"/>
  <c r="J1008" i="17" s="1"/>
  <c r="J1071" i="17" s="1"/>
  <c r="J1134" i="17" s="1"/>
  <c r="J1197" i="17" s="1"/>
  <c r="J1260" i="17" s="1"/>
  <c r="J1323" i="17" s="1"/>
  <c r="J1386" i="17" s="1"/>
  <c r="J1449" i="17" s="1"/>
  <c r="J1512" i="17" s="1"/>
  <c r="J1575" i="17" s="1"/>
  <c r="J1638" i="17" s="1"/>
  <c r="J1701" i="17" s="1"/>
  <c r="J1764" i="17" s="1"/>
  <c r="J1827" i="17" s="1"/>
  <c r="J1890" i="17" s="1"/>
  <c r="J1953" i="17" s="1"/>
  <c r="J305" i="17"/>
  <c r="J368" i="17" s="1"/>
  <c r="J431" i="17" s="1"/>
  <c r="J494" i="17" s="1"/>
  <c r="J557" i="17" s="1"/>
  <c r="J620" i="17" s="1"/>
  <c r="J683" i="17" s="1"/>
  <c r="J746" i="17" s="1"/>
  <c r="J809" i="17" s="1"/>
  <c r="J872" i="17" s="1"/>
  <c r="J935" i="17" s="1"/>
  <c r="J998" i="17" s="1"/>
  <c r="J1061" i="17" s="1"/>
  <c r="J1124" i="17" s="1"/>
  <c r="J1187" i="17" s="1"/>
  <c r="J1250" i="17" s="1"/>
  <c r="J1313" i="17" s="1"/>
  <c r="J1376" i="17" s="1"/>
  <c r="J1439" i="17" s="1"/>
  <c r="J1502" i="17" s="1"/>
  <c r="J1565" i="17" s="1"/>
  <c r="J1628" i="17" s="1"/>
  <c r="J1691" i="17" s="1"/>
  <c r="J1754" i="17" s="1"/>
  <c r="J1817" i="17" s="1"/>
  <c r="J1880" i="17" s="1"/>
  <c r="J1943" i="17" s="1"/>
  <c r="J301" i="17"/>
  <c r="J364" i="17" s="1"/>
  <c r="J427" i="17" s="1"/>
  <c r="J490" i="17" s="1"/>
  <c r="J553" i="17" s="1"/>
  <c r="J616" i="17" s="1"/>
  <c r="J679" i="17" s="1"/>
  <c r="J742" i="17" s="1"/>
  <c r="J805" i="17" s="1"/>
  <c r="J868" i="17" s="1"/>
  <c r="J931" i="17" s="1"/>
  <c r="J994" i="17" s="1"/>
  <c r="J1057" i="17" s="1"/>
  <c r="J1120" i="17" s="1"/>
  <c r="J1183" i="17" s="1"/>
  <c r="J1246" i="17" s="1"/>
  <c r="J1309" i="17" s="1"/>
  <c r="J1372" i="17" s="1"/>
  <c r="J1435" i="17" s="1"/>
  <c r="J1498" i="17" s="1"/>
  <c r="J1561" i="17" s="1"/>
  <c r="J1624" i="17" s="1"/>
  <c r="J1687" i="17" s="1"/>
  <c r="J1750" i="17" s="1"/>
  <c r="J1813" i="17" s="1"/>
  <c r="J1876" i="17" s="1"/>
  <c r="J1939" i="17" s="1"/>
  <c r="E297" i="17"/>
  <c r="E296" i="17"/>
  <c r="E295" i="17"/>
  <c r="E294" i="17"/>
  <c r="E293" i="17"/>
  <c r="I292" i="17"/>
  <c r="J291" i="17"/>
  <c r="J354" i="17" s="1"/>
  <c r="J417" i="17" s="1"/>
  <c r="J480" i="17" s="1"/>
  <c r="J543" i="17" s="1"/>
  <c r="J606" i="17" s="1"/>
  <c r="J669" i="17" s="1"/>
  <c r="J732" i="17" s="1"/>
  <c r="J795" i="17" s="1"/>
  <c r="J858" i="17" s="1"/>
  <c r="J921" i="17" s="1"/>
  <c r="J984" i="17" s="1"/>
  <c r="J1047" i="17" s="1"/>
  <c r="J1110" i="17" s="1"/>
  <c r="J1173" i="17" s="1"/>
  <c r="J1236" i="17" s="1"/>
  <c r="J1299" i="17" s="1"/>
  <c r="J1362" i="17" s="1"/>
  <c r="J1425" i="17" s="1"/>
  <c r="J1488" i="17" s="1"/>
  <c r="J1551" i="17" s="1"/>
  <c r="J1614" i="17" s="1"/>
  <c r="J1677" i="17" s="1"/>
  <c r="J1740" i="17" s="1"/>
  <c r="J1803" i="17" s="1"/>
  <c r="J1866" i="17" s="1"/>
  <c r="J1929" i="17" s="1"/>
  <c r="I291" i="17"/>
  <c r="I290" i="17"/>
  <c r="I289" i="17"/>
  <c r="I288" i="17"/>
  <c r="I287" i="17"/>
  <c r="I286" i="17"/>
  <c r="I285" i="17"/>
  <c r="I284" i="17"/>
  <c r="J283" i="17"/>
  <c r="J346" i="17" s="1"/>
  <c r="J409" i="17" s="1"/>
  <c r="J472" i="17" s="1"/>
  <c r="J535" i="17" s="1"/>
  <c r="J598" i="17" s="1"/>
  <c r="J661" i="17" s="1"/>
  <c r="J724" i="17" s="1"/>
  <c r="J787" i="17" s="1"/>
  <c r="J850" i="17" s="1"/>
  <c r="J913" i="17" s="1"/>
  <c r="J976" i="17" s="1"/>
  <c r="J1039" i="17" s="1"/>
  <c r="J1102" i="17" s="1"/>
  <c r="J1165" i="17" s="1"/>
  <c r="J1228" i="17" s="1"/>
  <c r="J1291" i="17" s="1"/>
  <c r="J1354" i="17" s="1"/>
  <c r="J1417" i="17" s="1"/>
  <c r="J1480" i="17" s="1"/>
  <c r="J1543" i="17" s="1"/>
  <c r="J1606" i="17" s="1"/>
  <c r="J1669" i="17" s="1"/>
  <c r="J1732" i="17" s="1"/>
  <c r="J1795" i="17" s="1"/>
  <c r="J1858" i="17" s="1"/>
  <c r="J1921" i="17" s="1"/>
  <c r="I283" i="17"/>
  <c r="I282" i="17"/>
  <c r="I281" i="17"/>
  <c r="I280" i="17"/>
  <c r="I279" i="17"/>
  <c r="I278" i="17"/>
  <c r="I277" i="17"/>
  <c r="I276" i="17"/>
  <c r="J275" i="17"/>
  <c r="J338" i="17" s="1"/>
  <c r="J401" i="17" s="1"/>
  <c r="J464" i="17" s="1"/>
  <c r="J527" i="17" s="1"/>
  <c r="J590" i="17" s="1"/>
  <c r="J653" i="17" s="1"/>
  <c r="J716" i="17" s="1"/>
  <c r="J779" i="17" s="1"/>
  <c r="J842" i="17" s="1"/>
  <c r="J905" i="17" s="1"/>
  <c r="J968" i="17" s="1"/>
  <c r="J1031" i="17" s="1"/>
  <c r="J1094" i="17" s="1"/>
  <c r="J1157" i="17" s="1"/>
  <c r="J1220" i="17" s="1"/>
  <c r="J1283" i="17" s="1"/>
  <c r="J1346" i="17" s="1"/>
  <c r="J1409" i="17" s="1"/>
  <c r="J1472" i="17" s="1"/>
  <c r="J1535" i="17" s="1"/>
  <c r="J1598" i="17" s="1"/>
  <c r="J1661" i="17" s="1"/>
  <c r="J1724" i="17" s="1"/>
  <c r="J1787" i="17" s="1"/>
  <c r="J1850" i="17" s="1"/>
  <c r="J1913" i="17" s="1"/>
  <c r="I275" i="17"/>
  <c r="I274" i="17"/>
  <c r="I273" i="17"/>
  <c r="I272" i="17"/>
  <c r="I271" i="17"/>
  <c r="I270" i="17"/>
  <c r="I269" i="17"/>
  <c r="I268" i="17"/>
  <c r="J267" i="17"/>
  <c r="J330" i="17" s="1"/>
  <c r="J393" i="17" s="1"/>
  <c r="J456" i="17" s="1"/>
  <c r="J519" i="17" s="1"/>
  <c r="J582" i="17" s="1"/>
  <c r="J645" i="17" s="1"/>
  <c r="J708" i="17" s="1"/>
  <c r="J771" i="17" s="1"/>
  <c r="J834" i="17" s="1"/>
  <c r="J897" i="17" s="1"/>
  <c r="J960" i="17" s="1"/>
  <c r="J1023" i="17" s="1"/>
  <c r="J1086" i="17" s="1"/>
  <c r="J1149" i="17" s="1"/>
  <c r="J1212" i="17" s="1"/>
  <c r="J1275" i="17" s="1"/>
  <c r="J1338" i="17" s="1"/>
  <c r="J1401" i="17" s="1"/>
  <c r="J1464" i="17" s="1"/>
  <c r="J1527" i="17" s="1"/>
  <c r="J1590" i="17" s="1"/>
  <c r="J1653" i="17" s="1"/>
  <c r="J1716" i="17" s="1"/>
  <c r="J1779" i="17" s="1"/>
  <c r="J1842" i="17" s="1"/>
  <c r="J1905" i="17" s="1"/>
  <c r="I267" i="17"/>
  <c r="I266" i="17"/>
  <c r="I265" i="17"/>
  <c r="I264" i="17"/>
  <c r="E259" i="17"/>
  <c r="J250" i="17"/>
  <c r="J313" i="17" s="1"/>
  <c r="J376" i="17" s="1"/>
  <c r="J439" i="17" s="1"/>
  <c r="J502" i="17" s="1"/>
  <c r="J565" i="17" s="1"/>
  <c r="J628" i="17" s="1"/>
  <c r="J691" i="17" s="1"/>
  <c r="J754" i="17" s="1"/>
  <c r="J817" i="17" s="1"/>
  <c r="J880" i="17" s="1"/>
  <c r="J943" i="17" s="1"/>
  <c r="J1006" i="17" s="1"/>
  <c r="J1069" i="17" s="1"/>
  <c r="J1132" i="17" s="1"/>
  <c r="J1195" i="17" s="1"/>
  <c r="J1258" i="17" s="1"/>
  <c r="J1321" i="17" s="1"/>
  <c r="J1384" i="17" s="1"/>
  <c r="J1447" i="17" s="1"/>
  <c r="J1510" i="17" s="1"/>
  <c r="J1573" i="17" s="1"/>
  <c r="J1636" i="17" s="1"/>
  <c r="J1699" i="17" s="1"/>
  <c r="J1762" i="17" s="1"/>
  <c r="J1825" i="17" s="1"/>
  <c r="J1888" i="17" s="1"/>
  <c r="J1951" i="17" s="1"/>
  <c r="I234" i="17"/>
  <c r="E234" i="17"/>
  <c r="I233" i="17"/>
  <c r="E233" i="17"/>
  <c r="I232" i="17"/>
  <c r="E232" i="17"/>
  <c r="I231" i="17"/>
  <c r="E231" i="17"/>
  <c r="I230" i="17"/>
  <c r="E230" i="17"/>
  <c r="I229" i="17"/>
  <c r="I228" i="17"/>
  <c r="I227" i="17"/>
  <c r="I226" i="17"/>
  <c r="I225" i="17"/>
  <c r="I224" i="17"/>
  <c r="I223" i="17"/>
  <c r="I222" i="17"/>
  <c r="I221" i="17"/>
  <c r="I220" i="17"/>
  <c r="I219" i="17"/>
  <c r="I218" i="17"/>
  <c r="I217" i="17"/>
  <c r="I216" i="17"/>
  <c r="I215" i="17"/>
  <c r="I214" i="17"/>
  <c r="I213" i="17"/>
  <c r="I212" i="17"/>
  <c r="I211" i="17"/>
  <c r="I210" i="17"/>
  <c r="I209" i="17"/>
  <c r="I208" i="17"/>
  <c r="I207" i="17"/>
  <c r="I206" i="17"/>
  <c r="I205" i="17"/>
  <c r="I204" i="17"/>
  <c r="I203" i="17"/>
  <c r="I202" i="17"/>
  <c r="I201" i="17"/>
  <c r="J196" i="17"/>
  <c r="J259" i="17" s="1"/>
  <c r="E196" i="17"/>
  <c r="J189" i="17"/>
  <c r="J252" i="17" s="1"/>
  <c r="J185" i="17"/>
  <c r="J248" i="17" s="1"/>
  <c r="J311" i="17" s="1"/>
  <c r="J374" i="17" s="1"/>
  <c r="J437" i="17" s="1"/>
  <c r="J500" i="17" s="1"/>
  <c r="J563" i="17" s="1"/>
  <c r="J626" i="17" s="1"/>
  <c r="J689" i="17" s="1"/>
  <c r="J752" i="17" s="1"/>
  <c r="J815" i="17" s="1"/>
  <c r="J878" i="17" s="1"/>
  <c r="J941" i="17" s="1"/>
  <c r="J1004" i="17" s="1"/>
  <c r="J1067" i="17" s="1"/>
  <c r="J1130" i="17" s="1"/>
  <c r="J1193" i="17" s="1"/>
  <c r="J1256" i="17" s="1"/>
  <c r="J1319" i="17" s="1"/>
  <c r="J1382" i="17" s="1"/>
  <c r="J1445" i="17" s="1"/>
  <c r="J1508" i="17" s="1"/>
  <c r="J1571" i="17" s="1"/>
  <c r="J1634" i="17" s="1"/>
  <c r="J1697" i="17" s="1"/>
  <c r="J1760" i="17" s="1"/>
  <c r="J1823" i="17" s="1"/>
  <c r="J1886" i="17" s="1"/>
  <c r="J1949" i="17" s="1"/>
  <c r="J179" i="17"/>
  <c r="J242" i="17" s="1"/>
  <c r="J175" i="17"/>
  <c r="J238" i="17" s="1"/>
  <c r="E171" i="17"/>
  <c r="E170" i="17"/>
  <c r="E169" i="17"/>
  <c r="E168" i="17"/>
  <c r="E167" i="17"/>
  <c r="I166" i="17"/>
  <c r="J165" i="17"/>
  <c r="J228" i="17" s="1"/>
  <c r="I165" i="17"/>
  <c r="I164" i="17"/>
  <c r="I163" i="17"/>
  <c r="I162" i="17"/>
  <c r="J161" i="17"/>
  <c r="J224" i="17" s="1"/>
  <c r="J287" i="17" s="1"/>
  <c r="J350" i="17" s="1"/>
  <c r="J413" i="17" s="1"/>
  <c r="J476" i="17" s="1"/>
  <c r="J539" i="17" s="1"/>
  <c r="J602" i="17" s="1"/>
  <c r="J665" i="17" s="1"/>
  <c r="J728" i="17" s="1"/>
  <c r="J791" i="17" s="1"/>
  <c r="J854" i="17" s="1"/>
  <c r="J917" i="17" s="1"/>
  <c r="J980" i="17" s="1"/>
  <c r="J1043" i="17" s="1"/>
  <c r="J1106" i="17" s="1"/>
  <c r="J1169" i="17" s="1"/>
  <c r="J1232" i="17" s="1"/>
  <c r="J1295" i="17" s="1"/>
  <c r="J1358" i="17" s="1"/>
  <c r="J1421" i="17" s="1"/>
  <c r="J1484" i="17" s="1"/>
  <c r="J1547" i="17" s="1"/>
  <c r="J1610" i="17" s="1"/>
  <c r="J1673" i="17" s="1"/>
  <c r="J1736" i="17" s="1"/>
  <c r="J1799" i="17" s="1"/>
  <c r="J1862" i="17" s="1"/>
  <c r="J1925" i="17" s="1"/>
  <c r="I161" i="17"/>
  <c r="I160" i="17"/>
  <c r="I159" i="17"/>
  <c r="I158" i="17"/>
  <c r="J157" i="17"/>
  <c r="J220" i="17" s="1"/>
  <c r="I157" i="17"/>
  <c r="I156" i="17"/>
  <c r="I155" i="17"/>
  <c r="I154" i="17"/>
  <c r="J153" i="17"/>
  <c r="J216" i="17" s="1"/>
  <c r="J279" i="17" s="1"/>
  <c r="J342" i="17" s="1"/>
  <c r="J405" i="17" s="1"/>
  <c r="J468" i="17" s="1"/>
  <c r="J531" i="17" s="1"/>
  <c r="J594" i="17" s="1"/>
  <c r="J657" i="17" s="1"/>
  <c r="J720" i="17" s="1"/>
  <c r="J783" i="17" s="1"/>
  <c r="J846" i="17" s="1"/>
  <c r="J909" i="17" s="1"/>
  <c r="J972" i="17" s="1"/>
  <c r="J1035" i="17" s="1"/>
  <c r="J1098" i="17" s="1"/>
  <c r="J1161" i="17" s="1"/>
  <c r="J1224" i="17" s="1"/>
  <c r="J1287" i="17" s="1"/>
  <c r="J1350" i="17" s="1"/>
  <c r="J1413" i="17" s="1"/>
  <c r="J1476" i="17" s="1"/>
  <c r="J1539" i="17" s="1"/>
  <c r="J1602" i="17" s="1"/>
  <c r="J1665" i="17" s="1"/>
  <c r="J1728" i="17" s="1"/>
  <c r="J1791" i="17" s="1"/>
  <c r="J1854" i="17" s="1"/>
  <c r="J1917" i="17" s="1"/>
  <c r="I153" i="17"/>
  <c r="I152" i="17"/>
  <c r="I151" i="17"/>
  <c r="I150" i="17"/>
  <c r="J149" i="17"/>
  <c r="J212" i="17" s="1"/>
  <c r="I149" i="17"/>
  <c r="I148" i="17"/>
  <c r="I147" i="17"/>
  <c r="I146" i="17"/>
  <c r="J145" i="17"/>
  <c r="J208" i="17" s="1"/>
  <c r="J271" i="17" s="1"/>
  <c r="J334" i="17" s="1"/>
  <c r="J397" i="17" s="1"/>
  <c r="J460" i="17" s="1"/>
  <c r="J523" i="17" s="1"/>
  <c r="J586" i="17" s="1"/>
  <c r="J649" i="17" s="1"/>
  <c r="J712" i="17" s="1"/>
  <c r="J775" i="17" s="1"/>
  <c r="J838" i="17" s="1"/>
  <c r="J901" i="17" s="1"/>
  <c r="J964" i="17" s="1"/>
  <c r="J1027" i="17" s="1"/>
  <c r="J1090" i="17" s="1"/>
  <c r="J1153" i="17" s="1"/>
  <c r="J1216" i="17" s="1"/>
  <c r="J1279" i="17" s="1"/>
  <c r="J1342" i="17" s="1"/>
  <c r="J1405" i="17" s="1"/>
  <c r="J1468" i="17" s="1"/>
  <c r="J1531" i="17" s="1"/>
  <c r="J1594" i="17" s="1"/>
  <c r="J1657" i="17" s="1"/>
  <c r="J1720" i="17" s="1"/>
  <c r="J1783" i="17" s="1"/>
  <c r="J1846" i="17" s="1"/>
  <c r="J1909" i="17" s="1"/>
  <c r="I145" i="17"/>
  <c r="I144" i="17"/>
  <c r="I143" i="17"/>
  <c r="I142" i="17"/>
  <c r="J141" i="17"/>
  <c r="J204" i="17" s="1"/>
  <c r="I141" i="17"/>
  <c r="I140" i="17"/>
  <c r="I139" i="17"/>
  <c r="I138" i="17"/>
  <c r="J137" i="17"/>
  <c r="J200" i="17" s="1"/>
  <c r="J263" i="17" s="1"/>
  <c r="J326" i="17" s="1"/>
  <c r="J389" i="17" s="1"/>
  <c r="J452" i="17" s="1"/>
  <c r="J515" i="17" s="1"/>
  <c r="J578" i="17" s="1"/>
  <c r="J641" i="17" s="1"/>
  <c r="J704" i="17" s="1"/>
  <c r="J767" i="17" s="1"/>
  <c r="J830" i="17" s="1"/>
  <c r="J893" i="17" s="1"/>
  <c r="J956" i="17" s="1"/>
  <c r="J1019" i="17" s="1"/>
  <c r="J1082" i="17" s="1"/>
  <c r="J1145" i="17" s="1"/>
  <c r="J1208" i="17" s="1"/>
  <c r="J1271" i="17" s="1"/>
  <c r="J1334" i="17" s="1"/>
  <c r="J1397" i="17" s="1"/>
  <c r="J1460" i="17" s="1"/>
  <c r="J1523" i="17" s="1"/>
  <c r="J1586" i="17" s="1"/>
  <c r="J1649" i="17" s="1"/>
  <c r="J1712" i="17" s="1"/>
  <c r="J1775" i="17" s="1"/>
  <c r="J1838" i="17" s="1"/>
  <c r="J1901" i="17" s="1"/>
  <c r="E133" i="17"/>
  <c r="J132" i="17"/>
  <c r="J195" i="17" s="1"/>
  <c r="J258" i="17" s="1"/>
  <c r="J321" i="17" s="1"/>
  <c r="J384" i="17" s="1"/>
  <c r="J447" i="17" s="1"/>
  <c r="J510" i="17" s="1"/>
  <c r="J573" i="17" s="1"/>
  <c r="J636" i="17" s="1"/>
  <c r="J699" i="17" s="1"/>
  <c r="J762" i="17" s="1"/>
  <c r="J825" i="17" s="1"/>
  <c r="J888" i="17" s="1"/>
  <c r="J951" i="17" s="1"/>
  <c r="J1014" i="17" s="1"/>
  <c r="J1077" i="17" s="1"/>
  <c r="J1140" i="17" s="1"/>
  <c r="J1203" i="17" s="1"/>
  <c r="J1266" i="17" s="1"/>
  <c r="J1329" i="17" s="1"/>
  <c r="J1392" i="17" s="1"/>
  <c r="J1455" i="17" s="1"/>
  <c r="J1518" i="17" s="1"/>
  <c r="J1581" i="17" s="1"/>
  <c r="J1644" i="17" s="1"/>
  <c r="J1707" i="17" s="1"/>
  <c r="J1770" i="17" s="1"/>
  <c r="J1833" i="17" s="1"/>
  <c r="J1896" i="17" s="1"/>
  <c r="J130" i="17"/>
  <c r="J193" i="17" s="1"/>
  <c r="J256" i="17" s="1"/>
  <c r="J319" i="17" s="1"/>
  <c r="J382" i="17" s="1"/>
  <c r="J445" i="17" s="1"/>
  <c r="J508" i="17" s="1"/>
  <c r="J571" i="17" s="1"/>
  <c r="J634" i="17" s="1"/>
  <c r="J697" i="17" s="1"/>
  <c r="J760" i="17" s="1"/>
  <c r="J823" i="17" s="1"/>
  <c r="J886" i="17" s="1"/>
  <c r="J949" i="17" s="1"/>
  <c r="J1012" i="17" s="1"/>
  <c r="J1075" i="17" s="1"/>
  <c r="J1138" i="17" s="1"/>
  <c r="J1201" i="17" s="1"/>
  <c r="J1264" i="17" s="1"/>
  <c r="J1327" i="17" s="1"/>
  <c r="J1390" i="17" s="1"/>
  <c r="J1453" i="17" s="1"/>
  <c r="J1516" i="17" s="1"/>
  <c r="J1579" i="17" s="1"/>
  <c r="J1642" i="17" s="1"/>
  <c r="J1705" i="17" s="1"/>
  <c r="J1768" i="17" s="1"/>
  <c r="J1831" i="17" s="1"/>
  <c r="J1894" i="17" s="1"/>
  <c r="B128" i="17"/>
  <c r="J126" i="17"/>
  <c r="J125" i="17"/>
  <c r="J188" i="17" s="1"/>
  <c r="J251" i="17" s="1"/>
  <c r="J314" i="17" s="1"/>
  <c r="J377" i="17" s="1"/>
  <c r="J440" i="17" s="1"/>
  <c r="J503" i="17" s="1"/>
  <c r="J566" i="17" s="1"/>
  <c r="J629" i="17" s="1"/>
  <c r="J692" i="17" s="1"/>
  <c r="J755" i="17" s="1"/>
  <c r="J818" i="17" s="1"/>
  <c r="J881" i="17" s="1"/>
  <c r="J944" i="17" s="1"/>
  <c r="J1007" i="17" s="1"/>
  <c r="J1070" i="17" s="1"/>
  <c r="J1133" i="17" s="1"/>
  <c r="J1196" i="17" s="1"/>
  <c r="J1259" i="17" s="1"/>
  <c r="J1322" i="17" s="1"/>
  <c r="J1385" i="17" s="1"/>
  <c r="J1448" i="17" s="1"/>
  <c r="J1511" i="17" s="1"/>
  <c r="J1574" i="17" s="1"/>
  <c r="J1637" i="17" s="1"/>
  <c r="J1700" i="17" s="1"/>
  <c r="J1763" i="17" s="1"/>
  <c r="J1826" i="17" s="1"/>
  <c r="J1889" i="17" s="1"/>
  <c r="J1952" i="17" s="1"/>
  <c r="J124" i="17"/>
  <c r="J187" i="17" s="1"/>
  <c r="J123" i="17"/>
  <c r="J186" i="17" s="1"/>
  <c r="J249" i="17" s="1"/>
  <c r="J312" i="17" s="1"/>
  <c r="J375" i="17" s="1"/>
  <c r="J438" i="17" s="1"/>
  <c r="J501" i="17" s="1"/>
  <c r="J564" i="17" s="1"/>
  <c r="J627" i="17" s="1"/>
  <c r="J690" i="17" s="1"/>
  <c r="J753" i="17" s="1"/>
  <c r="J816" i="17" s="1"/>
  <c r="J879" i="17" s="1"/>
  <c r="J942" i="17" s="1"/>
  <c r="J1005" i="17" s="1"/>
  <c r="J1068" i="17" s="1"/>
  <c r="J1131" i="17" s="1"/>
  <c r="J1194" i="17" s="1"/>
  <c r="J1257" i="17" s="1"/>
  <c r="J1320" i="17" s="1"/>
  <c r="J1383" i="17" s="1"/>
  <c r="J1446" i="17" s="1"/>
  <c r="J1509" i="17" s="1"/>
  <c r="J1572" i="17" s="1"/>
  <c r="J1635" i="17" s="1"/>
  <c r="J1698" i="17" s="1"/>
  <c r="J1761" i="17" s="1"/>
  <c r="J1824" i="17" s="1"/>
  <c r="J1887" i="17" s="1"/>
  <c r="J1950" i="17" s="1"/>
  <c r="J122" i="17"/>
  <c r="J121" i="17"/>
  <c r="J184" i="17" s="1"/>
  <c r="J247" i="17" s="1"/>
  <c r="J310" i="17" s="1"/>
  <c r="J373" i="17" s="1"/>
  <c r="J436" i="17" s="1"/>
  <c r="J499" i="17" s="1"/>
  <c r="J562" i="17" s="1"/>
  <c r="J625" i="17" s="1"/>
  <c r="J688" i="17" s="1"/>
  <c r="J751" i="17" s="1"/>
  <c r="J814" i="17" s="1"/>
  <c r="J877" i="17" s="1"/>
  <c r="J940" i="17" s="1"/>
  <c r="J1003" i="17" s="1"/>
  <c r="J1066" i="17" s="1"/>
  <c r="J1129" i="17" s="1"/>
  <c r="J1192" i="17" s="1"/>
  <c r="J1255" i="17" s="1"/>
  <c r="J1318" i="17" s="1"/>
  <c r="J1381" i="17" s="1"/>
  <c r="J1444" i="17" s="1"/>
  <c r="J1507" i="17" s="1"/>
  <c r="J1570" i="17" s="1"/>
  <c r="J1633" i="17" s="1"/>
  <c r="J1696" i="17" s="1"/>
  <c r="J1759" i="17" s="1"/>
  <c r="J1822" i="17" s="1"/>
  <c r="J1885" i="17" s="1"/>
  <c r="J1948" i="17" s="1"/>
  <c r="J120" i="17"/>
  <c r="J183" i="17" s="1"/>
  <c r="J246" i="17" s="1"/>
  <c r="J309" i="17" s="1"/>
  <c r="J372" i="17" s="1"/>
  <c r="J435" i="17" s="1"/>
  <c r="J498" i="17" s="1"/>
  <c r="J561" i="17" s="1"/>
  <c r="J624" i="17" s="1"/>
  <c r="J687" i="17" s="1"/>
  <c r="J750" i="17" s="1"/>
  <c r="J813" i="17" s="1"/>
  <c r="J876" i="17" s="1"/>
  <c r="J939" i="17" s="1"/>
  <c r="J1002" i="17" s="1"/>
  <c r="J1065" i="17" s="1"/>
  <c r="J1128" i="17" s="1"/>
  <c r="J1191" i="17" s="1"/>
  <c r="J1254" i="17" s="1"/>
  <c r="J1317" i="17" s="1"/>
  <c r="J1380" i="17" s="1"/>
  <c r="J1443" i="17" s="1"/>
  <c r="J1506" i="17" s="1"/>
  <c r="J1569" i="17" s="1"/>
  <c r="J1632" i="17" s="1"/>
  <c r="J1695" i="17" s="1"/>
  <c r="J1758" i="17" s="1"/>
  <c r="J1821" i="17" s="1"/>
  <c r="J1884" i="17" s="1"/>
  <c r="J1947" i="17" s="1"/>
  <c r="J119" i="17"/>
  <c r="J182" i="17" s="1"/>
  <c r="J245" i="17" s="1"/>
  <c r="J308" i="17" s="1"/>
  <c r="J371" i="17" s="1"/>
  <c r="J434" i="17" s="1"/>
  <c r="J497" i="17" s="1"/>
  <c r="J560" i="17" s="1"/>
  <c r="J623" i="17" s="1"/>
  <c r="J686" i="17" s="1"/>
  <c r="J749" i="17" s="1"/>
  <c r="J812" i="17" s="1"/>
  <c r="J875" i="17" s="1"/>
  <c r="J938" i="17" s="1"/>
  <c r="J1001" i="17" s="1"/>
  <c r="J1064" i="17" s="1"/>
  <c r="J1127" i="17" s="1"/>
  <c r="J1190" i="17" s="1"/>
  <c r="J1253" i="17" s="1"/>
  <c r="J1316" i="17" s="1"/>
  <c r="J1379" i="17" s="1"/>
  <c r="J1442" i="17" s="1"/>
  <c r="J1505" i="17" s="1"/>
  <c r="J1568" i="17" s="1"/>
  <c r="J1631" i="17" s="1"/>
  <c r="J1694" i="17" s="1"/>
  <c r="J1757" i="17" s="1"/>
  <c r="J1820" i="17" s="1"/>
  <c r="J1883" i="17" s="1"/>
  <c r="J1946" i="17" s="1"/>
  <c r="J118" i="17"/>
  <c r="J181" i="17" s="1"/>
  <c r="J244" i="17" s="1"/>
  <c r="J307" i="17" s="1"/>
  <c r="J370" i="17" s="1"/>
  <c r="J433" i="17" s="1"/>
  <c r="J496" i="17" s="1"/>
  <c r="J559" i="17" s="1"/>
  <c r="J622" i="17" s="1"/>
  <c r="J685" i="17" s="1"/>
  <c r="J748" i="17" s="1"/>
  <c r="J811" i="17" s="1"/>
  <c r="J874" i="17" s="1"/>
  <c r="J937" i="17" s="1"/>
  <c r="J1000" i="17" s="1"/>
  <c r="J1063" i="17" s="1"/>
  <c r="J1126" i="17" s="1"/>
  <c r="J1189" i="17" s="1"/>
  <c r="J1252" i="17" s="1"/>
  <c r="J1315" i="17" s="1"/>
  <c r="J1378" i="17" s="1"/>
  <c r="J1441" i="17" s="1"/>
  <c r="J1504" i="17" s="1"/>
  <c r="J1567" i="17" s="1"/>
  <c r="J1630" i="17" s="1"/>
  <c r="J1693" i="17" s="1"/>
  <c r="J1756" i="17" s="1"/>
  <c r="J1819" i="17" s="1"/>
  <c r="J1882" i="17" s="1"/>
  <c r="J1945" i="17" s="1"/>
  <c r="J117" i="17"/>
  <c r="J180" i="17" s="1"/>
  <c r="J243" i="17" s="1"/>
  <c r="J306" i="17" s="1"/>
  <c r="J369" i="17" s="1"/>
  <c r="J432" i="17" s="1"/>
  <c r="J495" i="17" s="1"/>
  <c r="J558" i="17" s="1"/>
  <c r="J621" i="17" s="1"/>
  <c r="J684" i="17" s="1"/>
  <c r="J747" i="17" s="1"/>
  <c r="J810" i="17" s="1"/>
  <c r="J873" i="17" s="1"/>
  <c r="J936" i="17" s="1"/>
  <c r="J999" i="17" s="1"/>
  <c r="J1062" i="17" s="1"/>
  <c r="J1125" i="17" s="1"/>
  <c r="J1188" i="17" s="1"/>
  <c r="J1251" i="17" s="1"/>
  <c r="J1314" i="17" s="1"/>
  <c r="J1377" i="17" s="1"/>
  <c r="J1440" i="17" s="1"/>
  <c r="J1503" i="17" s="1"/>
  <c r="J1566" i="17" s="1"/>
  <c r="J1629" i="17" s="1"/>
  <c r="J1692" i="17" s="1"/>
  <c r="J1755" i="17" s="1"/>
  <c r="J1818" i="17" s="1"/>
  <c r="J1881" i="17" s="1"/>
  <c r="J1944" i="17" s="1"/>
  <c r="J116" i="17"/>
  <c r="J115" i="17"/>
  <c r="J178" i="17" s="1"/>
  <c r="J241" i="17" s="1"/>
  <c r="J304" i="17" s="1"/>
  <c r="J367" i="17" s="1"/>
  <c r="J430" i="17" s="1"/>
  <c r="J493" i="17" s="1"/>
  <c r="J556" i="17" s="1"/>
  <c r="J619" i="17" s="1"/>
  <c r="J682" i="17" s="1"/>
  <c r="J745" i="17" s="1"/>
  <c r="J808" i="17" s="1"/>
  <c r="J871" i="17" s="1"/>
  <c r="J934" i="17" s="1"/>
  <c r="J997" i="17" s="1"/>
  <c r="J1060" i="17" s="1"/>
  <c r="J1123" i="17" s="1"/>
  <c r="J1186" i="17" s="1"/>
  <c r="J1249" i="17" s="1"/>
  <c r="J1312" i="17" s="1"/>
  <c r="J1375" i="17" s="1"/>
  <c r="J1438" i="17" s="1"/>
  <c r="J1501" i="17" s="1"/>
  <c r="J1564" i="17" s="1"/>
  <c r="J1627" i="17" s="1"/>
  <c r="J1690" i="17" s="1"/>
  <c r="J1753" i="17" s="1"/>
  <c r="J1816" i="17" s="1"/>
  <c r="J1879" i="17" s="1"/>
  <c r="J1942" i="17" s="1"/>
  <c r="J114" i="17"/>
  <c r="J177" i="17" s="1"/>
  <c r="J240" i="17" s="1"/>
  <c r="J303" i="17" s="1"/>
  <c r="J366" i="17" s="1"/>
  <c r="J429" i="17" s="1"/>
  <c r="J492" i="17" s="1"/>
  <c r="J555" i="17" s="1"/>
  <c r="J618" i="17" s="1"/>
  <c r="J681" i="17" s="1"/>
  <c r="J744" i="17" s="1"/>
  <c r="J807" i="17" s="1"/>
  <c r="J870" i="17" s="1"/>
  <c r="J933" i="17" s="1"/>
  <c r="J996" i="17" s="1"/>
  <c r="J1059" i="17" s="1"/>
  <c r="J1122" i="17" s="1"/>
  <c r="J1185" i="17" s="1"/>
  <c r="J1248" i="17" s="1"/>
  <c r="J1311" i="17" s="1"/>
  <c r="J1374" i="17" s="1"/>
  <c r="J1437" i="17" s="1"/>
  <c r="J1500" i="17" s="1"/>
  <c r="J1563" i="17" s="1"/>
  <c r="J1626" i="17" s="1"/>
  <c r="J1689" i="17" s="1"/>
  <c r="J1752" i="17" s="1"/>
  <c r="J1815" i="17" s="1"/>
  <c r="J1878" i="17" s="1"/>
  <c r="J1941" i="17" s="1"/>
  <c r="J113" i="17"/>
  <c r="J176" i="17" s="1"/>
  <c r="J239" i="17" s="1"/>
  <c r="J302" i="17" s="1"/>
  <c r="J365" i="17" s="1"/>
  <c r="J428" i="17" s="1"/>
  <c r="J491" i="17" s="1"/>
  <c r="J554" i="17" s="1"/>
  <c r="J617" i="17" s="1"/>
  <c r="J680" i="17" s="1"/>
  <c r="J743" i="17" s="1"/>
  <c r="J806" i="17" s="1"/>
  <c r="J869" i="17" s="1"/>
  <c r="J932" i="17" s="1"/>
  <c r="J995" i="17" s="1"/>
  <c r="J1058" i="17" s="1"/>
  <c r="J1121" i="17" s="1"/>
  <c r="J1184" i="17" s="1"/>
  <c r="J1247" i="17" s="1"/>
  <c r="J1310" i="17" s="1"/>
  <c r="J1373" i="17" s="1"/>
  <c r="J1436" i="17" s="1"/>
  <c r="J1499" i="17" s="1"/>
  <c r="J1562" i="17" s="1"/>
  <c r="J1625" i="17" s="1"/>
  <c r="J1688" i="17" s="1"/>
  <c r="J1751" i="17" s="1"/>
  <c r="J1814" i="17" s="1"/>
  <c r="J1877" i="17" s="1"/>
  <c r="J1940" i="17" s="1"/>
  <c r="J112" i="17"/>
  <c r="J111" i="17"/>
  <c r="J174" i="17" s="1"/>
  <c r="J237" i="17" s="1"/>
  <c r="J300" i="17" s="1"/>
  <c r="J363" i="17" s="1"/>
  <c r="J426" i="17" s="1"/>
  <c r="J489" i="17" s="1"/>
  <c r="J552" i="17" s="1"/>
  <c r="J615" i="17" s="1"/>
  <c r="J678" i="17" s="1"/>
  <c r="J741" i="17" s="1"/>
  <c r="J804" i="17" s="1"/>
  <c r="J867" i="17" s="1"/>
  <c r="J930" i="17" s="1"/>
  <c r="J993" i="17" s="1"/>
  <c r="J1056" i="17" s="1"/>
  <c r="J1119" i="17" s="1"/>
  <c r="J1182" i="17" s="1"/>
  <c r="J1245" i="17" s="1"/>
  <c r="J1308" i="17" s="1"/>
  <c r="J1371" i="17" s="1"/>
  <c r="J1434" i="17" s="1"/>
  <c r="J1497" i="17" s="1"/>
  <c r="J1560" i="17" s="1"/>
  <c r="J1623" i="17" s="1"/>
  <c r="J1686" i="17" s="1"/>
  <c r="J1749" i="17" s="1"/>
  <c r="J1812" i="17" s="1"/>
  <c r="J1875" i="17" s="1"/>
  <c r="J1938" i="17" s="1"/>
  <c r="J110" i="17"/>
  <c r="J173" i="17" s="1"/>
  <c r="J236" i="17" s="1"/>
  <c r="J299" i="17" s="1"/>
  <c r="J362" i="17" s="1"/>
  <c r="J425" i="17" s="1"/>
  <c r="J488" i="17" s="1"/>
  <c r="J551" i="17" s="1"/>
  <c r="J614" i="17" s="1"/>
  <c r="J677" i="17" s="1"/>
  <c r="J740" i="17" s="1"/>
  <c r="J803" i="17" s="1"/>
  <c r="J866" i="17" s="1"/>
  <c r="J929" i="17" s="1"/>
  <c r="J992" i="17" s="1"/>
  <c r="J1055" i="17" s="1"/>
  <c r="J1118" i="17" s="1"/>
  <c r="J1181" i="17" s="1"/>
  <c r="J1244" i="17" s="1"/>
  <c r="J1307" i="17" s="1"/>
  <c r="J1370" i="17" s="1"/>
  <c r="J1433" i="17" s="1"/>
  <c r="J1496" i="17" s="1"/>
  <c r="J1559" i="17" s="1"/>
  <c r="J1622" i="17" s="1"/>
  <c r="J1685" i="17" s="1"/>
  <c r="J1748" i="17" s="1"/>
  <c r="J1811" i="17" s="1"/>
  <c r="J1874" i="17" s="1"/>
  <c r="J1937" i="17" s="1"/>
  <c r="J109" i="17"/>
  <c r="J172" i="17" s="1"/>
  <c r="J235" i="17" s="1"/>
  <c r="J298" i="17" s="1"/>
  <c r="J361" i="17" s="1"/>
  <c r="J424" i="17" s="1"/>
  <c r="J487" i="17" s="1"/>
  <c r="J550" i="17" s="1"/>
  <c r="J613" i="17" s="1"/>
  <c r="J676" i="17" s="1"/>
  <c r="J739" i="17" s="1"/>
  <c r="J802" i="17" s="1"/>
  <c r="J865" i="17" s="1"/>
  <c r="J928" i="17" s="1"/>
  <c r="J991" i="17" s="1"/>
  <c r="J1054" i="17" s="1"/>
  <c r="J1117" i="17" s="1"/>
  <c r="J1180" i="17" s="1"/>
  <c r="J1243" i="17" s="1"/>
  <c r="J1306" i="17" s="1"/>
  <c r="J1369" i="17" s="1"/>
  <c r="J1432" i="17" s="1"/>
  <c r="J1495" i="17" s="1"/>
  <c r="J1558" i="17" s="1"/>
  <c r="J1621" i="17" s="1"/>
  <c r="J1684" i="17" s="1"/>
  <c r="J1747" i="17" s="1"/>
  <c r="J1810" i="17" s="1"/>
  <c r="J1873" i="17" s="1"/>
  <c r="J1936" i="17" s="1"/>
  <c r="J108" i="17"/>
  <c r="J171" i="17" s="1"/>
  <c r="J234" i="17" s="1"/>
  <c r="J297" i="17" s="1"/>
  <c r="J360" i="17" s="1"/>
  <c r="J423" i="17" s="1"/>
  <c r="J486" i="17" s="1"/>
  <c r="J549" i="17" s="1"/>
  <c r="J612" i="17" s="1"/>
  <c r="J675" i="17" s="1"/>
  <c r="J738" i="17" s="1"/>
  <c r="J801" i="17" s="1"/>
  <c r="J864" i="17" s="1"/>
  <c r="J927" i="17" s="1"/>
  <c r="J990" i="17" s="1"/>
  <c r="J1053" i="17" s="1"/>
  <c r="J1116" i="17" s="1"/>
  <c r="J1179" i="17" s="1"/>
  <c r="J1242" i="17" s="1"/>
  <c r="J1305" i="17" s="1"/>
  <c r="J1368" i="17" s="1"/>
  <c r="J1431" i="17" s="1"/>
  <c r="J1494" i="17" s="1"/>
  <c r="J1557" i="17" s="1"/>
  <c r="J1620" i="17" s="1"/>
  <c r="J1683" i="17" s="1"/>
  <c r="J1746" i="17" s="1"/>
  <c r="J1809" i="17" s="1"/>
  <c r="J1872" i="17" s="1"/>
  <c r="J1935" i="17" s="1"/>
  <c r="I108" i="17"/>
  <c r="E108" i="17"/>
  <c r="J107" i="17"/>
  <c r="J170" i="17" s="1"/>
  <c r="J233" i="17" s="1"/>
  <c r="J296" i="17" s="1"/>
  <c r="J359" i="17" s="1"/>
  <c r="J422" i="17" s="1"/>
  <c r="J485" i="17" s="1"/>
  <c r="J548" i="17" s="1"/>
  <c r="J611" i="17" s="1"/>
  <c r="J674" i="17" s="1"/>
  <c r="J737" i="17" s="1"/>
  <c r="J800" i="17" s="1"/>
  <c r="J863" i="17" s="1"/>
  <c r="J926" i="17" s="1"/>
  <c r="J989" i="17" s="1"/>
  <c r="J1052" i="17" s="1"/>
  <c r="J1115" i="17" s="1"/>
  <c r="J1178" i="17" s="1"/>
  <c r="J1241" i="17" s="1"/>
  <c r="J1304" i="17" s="1"/>
  <c r="J1367" i="17" s="1"/>
  <c r="J1430" i="17" s="1"/>
  <c r="J1493" i="17" s="1"/>
  <c r="J1556" i="17" s="1"/>
  <c r="J1619" i="17" s="1"/>
  <c r="J1682" i="17" s="1"/>
  <c r="J1745" i="17" s="1"/>
  <c r="J1808" i="17" s="1"/>
  <c r="J1871" i="17" s="1"/>
  <c r="J1934" i="17" s="1"/>
  <c r="I107" i="17"/>
  <c r="E107" i="17"/>
  <c r="J106" i="17"/>
  <c r="J169" i="17" s="1"/>
  <c r="J232" i="17" s="1"/>
  <c r="J295" i="17" s="1"/>
  <c r="J358" i="17" s="1"/>
  <c r="J421" i="17" s="1"/>
  <c r="J484" i="17" s="1"/>
  <c r="J547" i="17" s="1"/>
  <c r="J610" i="17" s="1"/>
  <c r="J673" i="17" s="1"/>
  <c r="J736" i="17" s="1"/>
  <c r="J799" i="17" s="1"/>
  <c r="J862" i="17" s="1"/>
  <c r="J925" i="17" s="1"/>
  <c r="J988" i="17" s="1"/>
  <c r="J1051" i="17" s="1"/>
  <c r="J1114" i="17" s="1"/>
  <c r="J1177" i="17" s="1"/>
  <c r="J1240" i="17" s="1"/>
  <c r="J1303" i="17" s="1"/>
  <c r="J1366" i="17" s="1"/>
  <c r="J1429" i="17" s="1"/>
  <c r="J1492" i="17" s="1"/>
  <c r="J1555" i="17" s="1"/>
  <c r="J1618" i="17" s="1"/>
  <c r="J1681" i="17" s="1"/>
  <c r="J1744" i="17" s="1"/>
  <c r="J1807" i="17" s="1"/>
  <c r="J1870" i="17" s="1"/>
  <c r="J1933" i="17" s="1"/>
  <c r="I106" i="17"/>
  <c r="E106" i="17"/>
  <c r="J105" i="17"/>
  <c r="J168" i="17" s="1"/>
  <c r="J231" i="17" s="1"/>
  <c r="J294" i="17" s="1"/>
  <c r="J357" i="17" s="1"/>
  <c r="J420" i="17" s="1"/>
  <c r="J483" i="17" s="1"/>
  <c r="J546" i="17" s="1"/>
  <c r="J609" i="17" s="1"/>
  <c r="J672" i="17" s="1"/>
  <c r="J735" i="17" s="1"/>
  <c r="J798" i="17" s="1"/>
  <c r="J861" i="17" s="1"/>
  <c r="J924" i="17" s="1"/>
  <c r="J987" i="17" s="1"/>
  <c r="J1050" i="17" s="1"/>
  <c r="J1113" i="17" s="1"/>
  <c r="J1176" i="17" s="1"/>
  <c r="J1239" i="17" s="1"/>
  <c r="J1302" i="17" s="1"/>
  <c r="J1365" i="17" s="1"/>
  <c r="J1428" i="17" s="1"/>
  <c r="J1491" i="17" s="1"/>
  <c r="J1554" i="17" s="1"/>
  <c r="J1617" i="17" s="1"/>
  <c r="J1680" i="17" s="1"/>
  <c r="J1743" i="17" s="1"/>
  <c r="J1806" i="17" s="1"/>
  <c r="J1869" i="17" s="1"/>
  <c r="J1932" i="17" s="1"/>
  <c r="I105" i="17"/>
  <c r="E105" i="17"/>
  <c r="J104" i="17"/>
  <c r="J167" i="17" s="1"/>
  <c r="J230" i="17" s="1"/>
  <c r="J293" i="17" s="1"/>
  <c r="J356" i="17" s="1"/>
  <c r="J419" i="17" s="1"/>
  <c r="J482" i="17" s="1"/>
  <c r="J545" i="17" s="1"/>
  <c r="J608" i="17" s="1"/>
  <c r="J671" i="17" s="1"/>
  <c r="J734" i="17" s="1"/>
  <c r="J797" i="17" s="1"/>
  <c r="J860" i="17" s="1"/>
  <c r="J923" i="17" s="1"/>
  <c r="J986" i="17" s="1"/>
  <c r="J1049" i="17" s="1"/>
  <c r="J1112" i="17" s="1"/>
  <c r="J1175" i="17" s="1"/>
  <c r="J1238" i="17" s="1"/>
  <c r="J1301" i="17" s="1"/>
  <c r="J1364" i="17" s="1"/>
  <c r="J1427" i="17" s="1"/>
  <c r="J1490" i="17" s="1"/>
  <c r="J1553" i="17" s="1"/>
  <c r="J1616" i="17" s="1"/>
  <c r="J1679" i="17" s="1"/>
  <c r="J1742" i="17" s="1"/>
  <c r="J1805" i="17" s="1"/>
  <c r="J1868" i="17" s="1"/>
  <c r="J1931" i="17" s="1"/>
  <c r="I104" i="17"/>
  <c r="E104" i="17"/>
  <c r="J103" i="17"/>
  <c r="J166" i="17" s="1"/>
  <c r="J229" i="17" s="1"/>
  <c r="J292" i="17" s="1"/>
  <c r="J355" i="17" s="1"/>
  <c r="J418" i="17" s="1"/>
  <c r="J481" i="17" s="1"/>
  <c r="J544" i="17" s="1"/>
  <c r="J607" i="17" s="1"/>
  <c r="J670" i="17" s="1"/>
  <c r="J733" i="17" s="1"/>
  <c r="J796" i="17" s="1"/>
  <c r="J859" i="17" s="1"/>
  <c r="J922" i="17" s="1"/>
  <c r="J985" i="17" s="1"/>
  <c r="J1048" i="17" s="1"/>
  <c r="J1111" i="17" s="1"/>
  <c r="J1174" i="17" s="1"/>
  <c r="J1237" i="17" s="1"/>
  <c r="J1300" i="17" s="1"/>
  <c r="J1363" i="17" s="1"/>
  <c r="J1426" i="17" s="1"/>
  <c r="J1489" i="17" s="1"/>
  <c r="J1552" i="17" s="1"/>
  <c r="J1615" i="17" s="1"/>
  <c r="J1678" i="17" s="1"/>
  <c r="J1741" i="17" s="1"/>
  <c r="J1804" i="17" s="1"/>
  <c r="J1867" i="17" s="1"/>
  <c r="J1930" i="17" s="1"/>
  <c r="I103" i="17"/>
  <c r="J102" i="17"/>
  <c r="I102" i="17"/>
  <c r="J101" i="17"/>
  <c r="J164" i="17" s="1"/>
  <c r="J227" i="17" s="1"/>
  <c r="J290" i="17" s="1"/>
  <c r="J353" i="17" s="1"/>
  <c r="J416" i="17" s="1"/>
  <c r="J479" i="17" s="1"/>
  <c r="J542" i="17" s="1"/>
  <c r="J605" i="17" s="1"/>
  <c r="J668" i="17" s="1"/>
  <c r="J731" i="17" s="1"/>
  <c r="J794" i="17" s="1"/>
  <c r="J857" i="17" s="1"/>
  <c r="J920" i="17" s="1"/>
  <c r="J983" i="17" s="1"/>
  <c r="J1046" i="17" s="1"/>
  <c r="J1109" i="17" s="1"/>
  <c r="J1172" i="17" s="1"/>
  <c r="J1235" i="17" s="1"/>
  <c r="J1298" i="17" s="1"/>
  <c r="J1361" i="17" s="1"/>
  <c r="J1424" i="17" s="1"/>
  <c r="J1487" i="17" s="1"/>
  <c r="J1550" i="17" s="1"/>
  <c r="J1613" i="17" s="1"/>
  <c r="J1676" i="17" s="1"/>
  <c r="J1739" i="17" s="1"/>
  <c r="J1802" i="17" s="1"/>
  <c r="J1865" i="17" s="1"/>
  <c r="J1928" i="17" s="1"/>
  <c r="I101" i="17"/>
  <c r="J100" i="17"/>
  <c r="J163" i="17" s="1"/>
  <c r="J226" i="17" s="1"/>
  <c r="J289" i="17" s="1"/>
  <c r="J352" i="17" s="1"/>
  <c r="J415" i="17" s="1"/>
  <c r="J478" i="17" s="1"/>
  <c r="J541" i="17" s="1"/>
  <c r="J604" i="17" s="1"/>
  <c r="J667" i="17" s="1"/>
  <c r="J730" i="17" s="1"/>
  <c r="J793" i="17" s="1"/>
  <c r="J856" i="17" s="1"/>
  <c r="J919" i="17" s="1"/>
  <c r="J982" i="17" s="1"/>
  <c r="J1045" i="17" s="1"/>
  <c r="J1108" i="17" s="1"/>
  <c r="J1171" i="17" s="1"/>
  <c r="J1234" i="17" s="1"/>
  <c r="J1297" i="17" s="1"/>
  <c r="J1360" i="17" s="1"/>
  <c r="J1423" i="17" s="1"/>
  <c r="J1486" i="17" s="1"/>
  <c r="J1549" i="17" s="1"/>
  <c r="J1612" i="17" s="1"/>
  <c r="J1675" i="17" s="1"/>
  <c r="J1738" i="17" s="1"/>
  <c r="J1801" i="17" s="1"/>
  <c r="J1864" i="17" s="1"/>
  <c r="J1927" i="17" s="1"/>
  <c r="I100" i="17"/>
  <c r="J99" i="17"/>
  <c r="J162" i="17" s="1"/>
  <c r="J225" i="17" s="1"/>
  <c r="J288" i="17" s="1"/>
  <c r="J351" i="17" s="1"/>
  <c r="J414" i="17" s="1"/>
  <c r="J477" i="17" s="1"/>
  <c r="J540" i="17" s="1"/>
  <c r="J603" i="17" s="1"/>
  <c r="J666" i="17" s="1"/>
  <c r="J729" i="17" s="1"/>
  <c r="J792" i="17" s="1"/>
  <c r="J855" i="17" s="1"/>
  <c r="J918" i="17" s="1"/>
  <c r="J981" i="17" s="1"/>
  <c r="J1044" i="17" s="1"/>
  <c r="J1107" i="17" s="1"/>
  <c r="J1170" i="17" s="1"/>
  <c r="J1233" i="17" s="1"/>
  <c r="J1296" i="17" s="1"/>
  <c r="J1359" i="17" s="1"/>
  <c r="J1422" i="17" s="1"/>
  <c r="J1485" i="17" s="1"/>
  <c r="J1548" i="17" s="1"/>
  <c r="J1611" i="17" s="1"/>
  <c r="J1674" i="17" s="1"/>
  <c r="J1737" i="17" s="1"/>
  <c r="J1800" i="17" s="1"/>
  <c r="J1863" i="17" s="1"/>
  <c r="J1926" i="17" s="1"/>
  <c r="I99" i="17"/>
  <c r="J98" i="17"/>
  <c r="I98" i="17"/>
  <c r="J97" i="17"/>
  <c r="J160" i="17" s="1"/>
  <c r="J223" i="17" s="1"/>
  <c r="J286" i="17" s="1"/>
  <c r="J349" i="17" s="1"/>
  <c r="J412" i="17" s="1"/>
  <c r="J475" i="17" s="1"/>
  <c r="J538" i="17" s="1"/>
  <c r="J601" i="17" s="1"/>
  <c r="J664" i="17" s="1"/>
  <c r="J727" i="17" s="1"/>
  <c r="J790" i="17" s="1"/>
  <c r="J853" i="17" s="1"/>
  <c r="J916" i="17" s="1"/>
  <c r="J979" i="17" s="1"/>
  <c r="J1042" i="17" s="1"/>
  <c r="J1105" i="17" s="1"/>
  <c r="J1168" i="17" s="1"/>
  <c r="J1231" i="17" s="1"/>
  <c r="J1294" i="17" s="1"/>
  <c r="J1357" i="17" s="1"/>
  <c r="J1420" i="17" s="1"/>
  <c r="J1483" i="17" s="1"/>
  <c r="J1546" i="17" s="1"/>
  <c r="J1609" i="17" s="1"/>
  <c r="J1672" i="17" s="1"/>
  <c r="J1735" i="17" s="1"/>
  <c r="J1798" i="17" s="1"/>
  <c r="J1861" i="17" s="1"/>
  <c r="J1924" i="17" s="1"/>
  <c r="I97" i="17"/>
  <c r="J96" i="17"/>
  <c r="J159" i="17" s="1"/>
  <c r="J222" i="17" s="1"/>
  <c r="J285" i="17" s="1"/>
  <c r="J348" i="17" s="1"/>
  <c r="J411" i="17" s="1"/>
  <c r="J474" i="17" s="1"/>
  <c r="J537" i="17" s="1"/>
  <c r="J600" i="17" s="1"/>
  <c r="J663" i="17" s="1"/>
  <c r="J726" i="17" s="1"/>
  <c r="J789" i="17" s="1"/>
  <c r="J852" i="17" s="1"/>
  <c r="J915" i="17" s="1"/>
  <c r="J978" i="17" s="1"/>
  <c r="J1041" i="17" s="1"/>
  <c r="J1104" i="17" s="1"/>
  <c r="J1167" i="17" s="1"/>
  <c r="J1230" i="17" s="1"/>
  <c r="J1293" i="17" s="1"/>
  <c r="J1356" i="17" s="1"/>
  <c r="J1419" i="17" s="1"/>
  <c r="J1482" i="17" s="1"/>
  <c r="J1545" i="17" s="1"/>
  <c r="J1608" i="17" s="1"/>
  <c r="J1671" i="17" s="1"/>
  <c r="J1734" i="17" s="1"/>
  <c r="J1797" i="17" s="1"/>
  <c r="J1860" i="17" s="1"/>
  <c r="J1923" i="17" s="1"/>
  <c r="I96" i="17"/>
  <c r="J95" i="17"/>
  <c r="J158" i="17" s="1"/>
  <c r="J221" i="17" s="1"/>
  <c r="J284" i="17" s="1"/>
  <c r="J347" i="17" s="1"/>
  <c r="J410" i="17" s="1"/>
  <c r="J473" i="17" s="1"/>
  <c r="J536" i="17" s="1"/>
  <c r="J599" i="17" s="1"/>
  <c r="J662" i="17" s="1"/>
  <c r="J725" i="17" s="1"/>
  <c r="J788" i="17" s="1"/>
  <c r="J851" i="17" s="1"/>
  <c r="J914" i="17" s="1"/>
  <c r="J977" i="17" s="1"/>
  <c r="J1040" i="17" s="1"/>
  <c r="J1103" i="17" s="1"/>
  <c r="J1166" i="17" s="1"/>
  <c r="J1229" i="17" s="1"/>
  <c r="J1292" i="17" s="1"/>
  <c r="J1355" i="17" s="1"/>
  <c r="J1418" i="17" s="1"/>
  <c r="J1481" i="17" s="1"/>
  <c r="J1544" i="17" s="1"/>
  <c r="J1607" i="17" s="1"/>
  <c r="J1670" i="17" s="1"/>
  <c r="J1733" i="17" s="1"/>
  <c r="J1796" i="17" s="1"/>
  <c r="J1859" i="17" s="1"/>
  <c r="J1922" i="17" s="1"/>
  <c r="I95" i="17"/>
  <c r="J94" i="17"/>
  <c r="I94" i="17"/>
  <c r="J93" i="17"/>
  <c r="J156" i="17" s="1"/>
  <c r="J219" i="17" s="1"/>
  <c r="J282" i="17" s="1"/>
  <c r="J345" i="17" s="1"/>
  <c r="J408" i="17" s="1"/>
  <c r="J471" i="17" s="1"/>
  <c r="J534" i="17" s="1"/>
  <c r="J597" i="17" s="1"/>
  <c r="J660" i="17" s="1"/>
  <c r="J723" i="17" s="1"/>
  <c r="J786" i="17" s="1"/>
  <c r="J849" i="17" s="1"/>
  <c r="J912" i="17" s="1"/>
  <c r="J975" i="17" s="1"/>
  <c r="J1038" i="17" s="1"/>
  <c r="J1101" i="17" s="1"/>
  <c r="J1164" i="17" s="1"/>
  <c r="J1227" i="17" s="1"/>
  <c r="J1290" i="17" s="1"/>
  <c r="J1353" i="17" s="1"/>
  <c r="J1416" i="17" s="1"/>
  <c r="J1479" i="17" s="1"/>
  <c r="J1542" i="17" s="1"/>
  <c r="J1605" i="17" s="1"/>
  <c r="J1668" i="17" s="1"/>
  <c r="J1731" i="17" s="1"/>
  <c r="J1794" i="17" s="1"/>
  <c r="J1857" i="17" s="1"/>
  <c r="J1920" i="17" s="1"/>
  <c r="I93" i="17"/>
  <c r="J92" i="17"/>
  <c r="J155" i="17" s="1"/>
  <c r="J218" i="17" s="1"/>
  <c r="J281" i="17" s="1"/>
  <c r="J344" i="17" s="1"/>
  <c r="J407" i="17" s="1"/>
  <c r="J470" i="17" s="1"/>
  <c r="J533" i="17" s="1"/>
  <c r="J596" i="17" s="1"/>
  <c r="J659" i="17" s="1"/>
  <c r="J722" i="17" s="1"/>
  <c r="J785" i="17" s="1"/>
  <c r="J848" i="17" s="1"/>
  <c r="J911" i="17" s="1"/>
  <c r="J974" i="17" s="1"/>
  <c r="J1037" i="17" s="1"/>
  <c r="J1100" i="17" s="1"/>
  <c r="J1163" i="17" s="1"/>
  <c r="J1226" i="17" s="1"/>
  <c r="J1289" i="17" s="1"/>
  <c r="J1352" i="17" s="1"/>
  <c r="J1415" i="17" s="1"/>
  <c r="J1478" i="17" s="1"/>
  <c r="J1541" i="17" s="1"/>
  <c r="J1604" i="17" s="1"/>
  <c r="J1667" i="17" s="1"/>
  <c r="J1730" i="17" s="1"/>
  <c r="J1793" i="17" s="1"/>
  <c r="J1856" i="17" s="1"/>
  <c r="J1919" i="17" s="1"/>
  <c r="I92" i="17"/>
  <c r="J91" i="17"/>
  <c r="J154" i="17" s="1"/>
  <c r="J217" i="17" s="1"/>
  <c r="J280" i="17" s="1"/>
  <c r="J343" i="17" s="1"/>
  <c r="J406" i="17" s="1"/>
  <c r="J469" i="17" s="1"/>
  <c r="J532" i="17" s="1"/>
  <c r="J595" i="17" s="1"/>
  <c r="J658" i="17" s="1"/>
  <c r="J721" i="17" s="1"/>
  <c r="J784" i="17" s="1"/>
  <c r="J847" i="17" s="1"/>
  <c r="J910" i="17" s="1"/>
  <c r="J973" i="17" s="1"/>
  <c r="J1036" i="17" s="1"/>
  <c r="J1099" i="17" s="1"/>
  <c r="J1162" i="17" s="1"/>
  <c r="J1225" i="17" s="1"/>
  <c r="J1288" i="17" s="1"/>
  <c r="J1351" i="17" s="1"/>
  <c r="J1414" i="17" s="1"/>
  <c r="J1477" i="17" s="1"/>
  <c r="J1540" i="17" s="1"/>
  <c r="J1603" i="17" s="1"/>
  <c r="J1666" i="17" s="1"/>
  <c r="J1729" i="17" s="1"/>
  <c r="J1792" i="17" s="1"/>
  <c r="J1855" i="17" s="1"/>
  <c r="J1918" i="17" s="1"/>
  <c r="I91" i="17"/>
  <c r="J90" i="17"/>
  <c r="I90" i="17"/>
  <c r="J89" i="17"/>
  <c r="J152" i="17" s="1"/>
  <c r="J215" i="17" s="1"/>
  <c r="J278" i="17" s="1"/>
  <c r="J341" i="17" s="1"/>
  <c r="J404" i="17" s="1"/>
  <c r="J467" i="17" s="1"/>
  <c r="J530" i="17" s="1"/>
  <c r="J593" i="17" s="1"/>
  <c r="J656" i="17" s="1"/>
  <c r="J719" i="17" s="1"/>
  <c r="J782" i="17" s="1"/>
  <c r="J845" i="17" s="1"/>
  <c r="J908" i="17" s="1"/>
  <c r="J971" i="17" s="1"/>
  <c r="J1034" i="17" s="1"/>
  <c r="J1097" i="17" s="1"/>
  <c r="J1160" i="17" s="1"/>
  <c r="J1223" i="17" s="1"/>
  <c r="J1286" i="17" s="1"/>
  <c r="J1349" i="17" s="1"/>
  <c r="J1412" i="17" s="1"/>
  <c r="J1475" i="17" s="1"/>
  <c r="J1538" i="17" s="1"/>
  <c r="J1601" i="17" s="1"/>
  <c r="J1664" i="17" s="1"/>
  <c r="J1727" i="17" s="1"/>
  <c r="J1790" i="17" s="1"/>
  <c r="J1853" i="17" s="1"/>
  <c r="J1916" i="17" s="1"/>
  <c r="I89" i="17"/>
  <c r="J88" i="17"/>
  <c r="J151" i="17" s="1"/>
  <c r="J214" i="17" s="1"/>
  <c r="J277" i="17" s="1"/>
  <c r="J340" i="17" s="1"/>
  <c r="J403" i="17" s="1"/>
  <c r="J466" i="17" s="1"/>
  <c r="J529" i="17" s="1"/>
  <c r="J592" i="17" s="1"/>
  <c r="J655" i="17" s="1"/>
  <c r="J718" i="17" s="1"/>
  <c r="J781" i="17" s="1"/>
  <c r="J844" i="17" s="1"/>
  <c r="J907" i="17" s="1"/>
  <c r="J970" i="17" s="1"/>
  <c r="J1033" i="17" s="1"/>
  <c r="J1096" i="17" s="1"/>
  <c r="J1159" i="17" s="1"/>
  <c r="J1222" i="17" s="1"/>
  <c r="J1285" i="17" s="1"/>
  <c r="J1348" i="17" s="1"/>
  <c r="J1411" i="17" s="1"/>
  <c r="J1474" i="17" s="1"/>
  <c r="J1537" i="17" s="1"/>
  <c r="J1600" i="17" s="1"/>
  <c r="J1663" i="17" s="1"/>
  <c r="J1726" i="17" s="1"/>
  <c r="J1789" i="17" s="1"/>
  <c r="J1852" i="17" s="1"/>
  <c r="J1915" i="17" s="1"/>
  <c r="I88" i="17"/>
  <c r="J87" i="17"/>
  <c r="J150" i="17" s="1"/>
  <c r="J213" i="17" s="1"/>
  <c r="J276" i="17" s="1"/>
  <c r="J339" i="17" s="1"/>
  <c r="J402" i="17" s="1"/>
  <c r="J465" i="17" s="1"/>
  <c r="J528" i="17" s="1"/>
  <c r="J591" i="17" s="1"/>
  <c r="J654" i="17" s="1"/>
  <c r="J717" i="17" s="1"/>
  <c r="J780" i="17" s="1"/>
  <c r="J843" i="17" s="1"/>
  <c r="J906" i="17" s="1"/>
  <c r="J969" i="17" s="1"/>
  <c r="J1032" i="17" s="1"/>
  <c r="J1095" i="17" s="1"/>
  <c r="J1158" i="17" s="1"/>
  <c r="J1221" i="17" s="1"/>
  <c r="J1284" i="17" s="1"/>
  <c r="J1347" i="17" s="1"/>
  <c r="J1410" i="17" s="1"/>
  <c r="J1473" i="17" s="1"/>
  <c r="J1536" i="17" s="1"/>
  <c r="J1599" i="17" s="1"/>
  <c r="J1662" i="17" s="1"/>
  <c r="J1725" i="17" s="1"/>
  <c r="J1788" i="17" s="1"/>
  <c r="J1851" i="17" s="1"/>
  <c r="J1914" i="17" s="1"/>
  <c r="I87" i="17"/>
  <c r="J86" i="17"/>
  <c r="I86" i="17"/>
  <c r="J85" i="17"/>
  <c r="J148" i="17" s="1"/>
  <c r="J211" i="17" s="1"/>
  <c r="J274" i="17" s="1"/>
  <c r="J337" i="17" s="1"/>
  <c r="J400" i="17" s="1"/>
  <c r="J463" i="17" s="1"/>
  <c r="J526" i="17" s="1"/>
  <c r="J589" i="17" s="1"/>
  <c r="J652" i="17" s="1"/>
  <c r="J715" i="17" s="1"/>
  <c r="J778" i="17" s="1"/>
  <c r="J841" i="17" s="1"/>
  <c r="J904" i="17" s="1"/>
  <c r="J967" i="17" s="1"/>
  <c r="J1030" i="17" s="1"/>
  <c r="J1093" i="17" s="1"/>
  <c r="J1156" i="17" s="1"/>
  <c r="J1219" i="17" s="1"/>
  <c r="J1282" i="17" s="1"/>
  <c r="J1345" i="17" s="1"/>
  <c r="J1408" i="17" s="1"/>
  <c r="J1471" i="17" s="1"/>
  <c r="J1534" i="17" s="1"/>
  <c r="J1597" i="17" s="1"/>
  <c r="J1660" i="17" s="1"/>
  <c r="J1723" i="17" s="1"/>
  <c r="J1786" i="17" s="1"/>
  <c r="J1849" i="17" s="1"/>
  <c r="J1912" i="17" s="1"/>
  <c r="I85" i="17"/>
  <c r="J84" i="17"/>
  <c r="J147" i="17" s="1"/>
  <c r="J210" i="17" s="1"/>
  <c r="J273" i="17" s="1"/>
  <c r="J336" i="17" s="1"/>
  <c r="J399" i="17" s="1"/>
  <c r="J462" i="17" s="1"/>
  <c r="J525" i="17" s="1"/>
  <c r="J588" i="17" s="1"/>
  <c r="J651" i="17" s="1"/>
  <c r="J714" i="17" s="1"/>
  <c r="J777" i="17" s="1"/>
  <c r="J840" i="17" s="1"/>
  <c r="J903" i="17" s="1"/>
  <c r="J966" i="17" s="1"/>
  <c r="J1029" i="17" s="1"/>
  <c r="J1092" i="17" s="1"/>
  <c r="J1155" i="17" s="1"/>
  <c r="J1218" i="17" s="1"/>
  <c r="J1281" i="17" s="1"/>
  <c r="J1344" i="17" s="1"/>
  <c r="J1407" i="17" s="1"/>
  <c r="J1470" i="17" s="1"/>
  <c r="J1533" i="17" s="1"/>
  <c r="J1596" i="17" s="1"/>
  <c r="J1659" i="17" s="1"/>
  <c r="J1722" i="17" s="1"/>
  <c r="J1785" i="17" s="1"/>
  <c r="J1848" i="17" s="1"/>
  <c r="J1911" i="17" s="1"/>
  <c r="I84" i="17"/>
  <c r="J83" i="17"/>
  <c r="J146" i="17" s="1"/>
  <c r="J209" i="17" s="1"/>
  <c r="J272" i="17" s="1"/>
  <c r="J335" i="17" s="1"/>
  <c r="J398" i="17" s="1"/>
  <c r="J461" i="17" s="1"/>
  <c r="J524" i="17" s="1"/>
  <c r="J587" i="17" s="1"/>
  <c r="J650" i="17" s="1"/>
  <c r="J713" i="17" s="1"/>
  <c r="J776" i="17" s="1"/>
  <c r="J839" i="17" s="1"/>
  <c r="J902" i="17" s="1"/>
  <c r="J965" i="17" s="1"/>
  <c r="J1028" i="17" s="1"/>
  <c r="J1091" i="17" s="1"/>
  <c r="J1154" i="17" s="1"/>
  <c r="J1217" i="17" s="1"/>
  <c r="J1280" i="17" s="1"/>
  <c r="J1343" i="17" s="1"/>
  <c r="J1406" i="17" s="1"/>
  <c r="J1469" i="17" s="1"/>
  <c r="J1532" i="17" s="1"/>
  <c r="J1595" i="17" s="1"/>
  <c r="J1658" i="17" s="1"/>
  <c r="J1721" i="17" s="1"/>
  <c r="J1784" i="17" s="1"/>
  <c r="J1847" i="17" s="1"/>
  <c r="J1910" i="17" s="1"/>
  <c r="I83" i="17"/>
  <c r="J82" i="17"/>
  <c r="I82" i="17"/>
  <c r="J81" i="17"/>
  <c r="J144" i="17" s="1"/>
  <c r="J207" i="17" s="1"/>
  <c r="J270" i="17" s="1"/>
  <c r="J333" i="17" s="1"/>
  <c r="J396" i="17" s="1"/>
  <c r="J459" i="17" s="1"/>
  <c r="J522" i="17" s="1"/>
  <c r="J585" i="17" s="1"/>
  <c r="J648" i="17" s="1"/>
  <c r="J711" i="17" s="1"/>
  <c r="J774" i="17" s="1"/>
  <c r="J837" i="17" s="1"/>
  <c r="J900" i="17" s="1"/>
  <c r="J963" i="17" s="1"/>
  <c r="J1026" i="17" s="1"/>
  <c r="J1089" i="17" s="1"/>
  <c r="J1152" i="17" s="1"/>
  <c r="J1215" i="17" s="1"/>
  <c r="J1278" i="17" s="1"/>
  <c r="J1341" i="17" s="1"/>
  <c r="J1404" i="17" s="1"/>
  <c r="J1467" i="17" s="1"/>
  <c r="J1530" i="17" s="1"/>
  <c r="J1593" i="17" s="1"/>
  <c r="J1656" i="17" s="1"/>
  <c r="J1719" i="17" s="1"/>
  <c r="J1782" i="17" s="1"/>
  <c r="J1845" i="17" s="1"/>
  <c r="J1908" i="17" s="1"/>
  <c r="I81" i="17"/>
  <c r="J80" i="17"/>
  <c r="J143" i="17" s="1"/>
  <c r="J206" i="17" s="1"/>
  <c r="J269" i="17" s="1"/>
  <c r="J332" i="17" s="1"/>
  <c r="J395" i="17" s="1"/>
  <c r="J458" i="17" s="1"/>
  <c r="J521" i="17" s="1"/>
  <c r="J584" i="17" s="1"/>
  <c r="J647" i="17" s="1"/>
  <c r="J710" i="17" s="1"/>
  <c r="J773" i="17" s="1"/>
  <c r="J836" i="17" s="1"/>
  <c r="J899" i="17" s="1"/>
  <c r="J962" i="17" s="1"/>
  <c r="J1025" i="17" s="1"/>
  <c r="J1088" i="17" s="1"/>
  <c r="J1151" i="17" s="1"/>
  <c r="J1214" i="17" s="1"/>
  <c r="J1277" i="17" s="1"/>
  <c r="J1340" i="17" s="1"/>
  <c r="J1403" i="17" s="1"/>
  <c r="J1466" i="17" s="1"/>
  <c r="J1529" i="17" s="1"/>
  <c r="J1592" i="17" s="1"/>
  <c r="J1655" i="17" s="1"/>
  <c r="J1718" i="17" s="1"/>
  <c r="J1781" i="17" s="1"/>
  <c r="J1844" i="17" s="1"/>
  <c r="J1907" i="17" s="1"/>
  <c r="I80" i="17"/>
  <c r="J79" i="17"/>
  <c r="J142" i="17" s="1"/>
  <c r="J205" i="17" s="1"/>
  <c r="J268" i="17" s="1"/>
  <c r="J331" i="17" s="1"/>
  <c r="J394" i="17" s="1"/>
  <c r="J457" i="17" s="1"/>
  <c r="J520" i="17" s="1"/>
  <c r="J583" i="17" s="1"/>
  <c r="J646" i="17" s="1"/>
  <c r="J709" i="17" s="1"/>
  <c r="J772" i="17" s="1"/>
  <c r="J835" i="17" s="1"/>
  <c r="J898" i="17" s="1"/>
  <c r="J961" i="17" s="1"/>
  <c r="J1024" i="17" s="1"/>
  <c r="J1087" i="17" s="1"/>
  <c r="J1150" i="17" s="1"/>
  <c r="J1213" i="17" s="1"/>
  <c r="J1276" i="17" s="1"/>
  <c r="J1339" i="17" s="1"/>
  <c r="J1402" i="17" s="1"/>
  <c r="J1465" i="17" s="1"/>
  <c r="J1528" i="17" s="1"/>
  <c r="J1591" i="17" s="1"/>
  <c r="J1654" i="17" s="1"/>
  <c r="J1717" i="17" s="1"/>
  <c r="J1780" i="17" s="1"/>
  <c r="J1843" i="17" s="1"/>
  <c r="J1906" i="17" s="1"/>
  <c r="I79" i="17"/>
  <c r="J78" i="17"/>
  <c r="I78" i="17"/>
  <c r="J77" i="17"/>
  <c r="J140" i="17" s="1"/>
  <c r="J203" i="17" s="1"/>
  <c r="J266" i="17" s="1"/>
  <c r="J329" i="17" s="1"/>
  <c r="J392" i="17" s="1"/>
  <c r="J455" i="17" s="1"/>
  <c r="J518" i="17" s="1"/>
  <c r="J581" i="17" s="1"/>
  <c r="J644" i="17" s="1"/>
  <c r="J707" i="17" s="1"/>
  <c r="J770" i="17" s="1"/>
  <c r="J833" i="17" s="1"/>
  <c r="J896" i="17" s="1"/>
  <c r="J959" i="17" s="1"/>
  <c r="J1022" i="17" s="1"/>
  <c r="J1085" i="17" s="1"/>
  <c r="J1148" i="17" s="1"/>
  <c r="J1211" i="17" s="1"/>
  <c r="J1274" i="17" s="1"/>
  <c r="J1337" i="17" s="1"/>
  <c r="J1400" i="17" s="1"/>
  <c r="J1463" i="17" s="1"/>
  <c r="J1526" i="17" s="1"/>
  <c r="J1589" i="17" s="1"/>
  <c r="J1652" i="17" s="1"/>
  <c r="J1715" i="17" s="1"/>
  <c r="J1778" i="17" s="1"/>
  <c r="J1841" i="17" s="1"/>
  <c r="J1904" i="17" s="1"/>
  <c r="I77" i="17"/>
  <c r="J76" i="17"/>
  <c r="J139" i="17" s="1"/>
  <c r="J202" i="17" s="1"/>
  <c r="J265" i="17" s="1"/>
  <c r="J328" i="17" s="1"/>
  <c r="J391" i="17" s="1"/>
  <c r="J454" i="17" s="1"/>
  <c r="J517" i="17" s="1"/>
  <c r="J580" i="17" s="1"/>
  <c r="J643" i="17" s="1"/>
  <c r="J706" i="17" s="1"/>
  <c r="J769" i="17" s="1"/>
  <c r="J832" i="17" s="1"/>
  <c r="J895" i="17" s="1"/>
  <c r="J958" i="17" s="1"/>
  <c r="J1021" i="17" s="1"/>
  <c r="J1084" i="17" s="1"/>
  <c r="J1147" i="17" s="1"/>
  <c r="J1210" i="17" s="1"/>
  <c r="J1273" i="17" s="1"/>
  <c r="J1336" i="17" s="1"/>
  <c r="J1399" i="17" s="1"/>
  <c r="J1462" i="17" s="1"/>
  <c r="J1525" i="17" s="1"/>
  <c r="J1588" i="17" s="1"/>
  <c r="J1651" i="17" s="1"/>
  <c r="J1714" i="17" s="1"/>
  <c r="J1777" i="17" s="1"/>
  <c r="J1840" i="17" s="1"/>
  <c r="J1903" i="17" s="1"/>
  <c r="I76" i="17"/>
  <c r="J75" i="17"/>
  <c r="J138" i="17" s="1"/>
  <c r="J201" i="17" s="1"/>
  <c r="J264" i="17" s="1"/>
  <c r="J327" i="17" s="1"/>
  <c r="J390" i="17" s="1"/>
  <c r="J453" i="17" s="1"/>
  <c r="J516" i="17" s="1"/>
  <c r="J579" i="17" s="1"/>
  <c r="J642" i="17" s="1"/>
  <c r="J705" i="17" s="1"/>
  <c r="J768" i="17" s="1"/>
  <c r="J831" i="17" s="1"/>
  <c r="J894" i="17" s="1"/>
  <c r="J957" i="17" s="1"/>
  <c r="J1020" i="17" s="1"/>
  <c r="J1083" i="17" s="1"/>
  <c r="J1146" i="17" s="1"/>
  <c r="J1209" i="17" s="1"/>
  <c r="J1272" i="17" s="1"/>
  <c r="J1335" i="17" s="1"/>
  <c r="J1398" i="17" s="1"/>
  <c r="J1461" i="17" s="1"/>
  <c r="J1524" i="17" s="1"/>
  <c r="J1587" i="17" s="1"/>
  <c r="J1650" i="17" s="1"/>
  <c r="J1713" i="17" s="1"/>
  <c r="J1776" i="17" s="1"/>
  <c r="J1839" i="17" s="1"/>
  <c r="J1902" i="17" s="1"/>
  <c r="I75" i="17"/>
  <c r="I109" i="17" s="1"/>
  <c r="J74" i="17"/>
  <c r="J73" i="17"/>
  <c r="J136" i="17" s="1"/>
  <c r="J199" i="17" s="1"/>
  <c r="J262" i="17" s="1"/>
  <c r="J325" i="17" s="1"/>
  <c r="J388" i="17" s="1"/>
  <c r="J451" i="17" s="1"/>
  <c r="J514" i="17" s="1"/>
  <c r="J577" i="17" s="1"/>
  <c r="J640" i="17" s="1"/>
  <c r="J703" i="17" s="1"/>
  <c r="J766" i="17" s="1"/>
  <c r="J829" i="17" s="1"/>
  <c r="J892" i="17" s="1"/>
  <c r="J955" i="17" s="1"/>
  <c r="J1018" i="17" s="1"/>
  <c r="J1081" i="17" s="1"/>
  <c r="J1144" i="17" s="1"/>
  <c r="J1207" i="17" s="1"/>
  <c r="J1270" i="17" s="1"/>
  <c r="J1333" i="17" s="1"/>
  <c r="J1396" i="17" s="1"/>
  <c r="J1459" i="17" s="1"/>
  <c r="J1522" i="17" s="1"/>
  <c r="J1585" i="17" s="1"/>
  <c r="J1648" i="17" s="1"/>
  <c r="J1711" i="17" s="1"/>
  <c r="J1774" i="17" s="1"/>
  <c r="J1837" i="17" s="1"/>
  <c r="J1900" i="17" s="1"/>
  <c r="J72" i="17"/>
  <c r="J135" i="17" s="1"/>
  <c r="J198" i="17" s="1"/>
  <c r="J261" i="17" s="1"/>
  <c r="J324" i="17" s="1"/>
  <c r="J387" i="17" s="1"/>
  <c r="J450" i="17" s="1"/>
  <c r="J513" i="17" s="1"/>
  <c r="J576" i="17" s="1"/>
  <c r="J639" i="17" s="1"/>
  <c r="J702" i="17" s="1"/>
  <c r="J765" i="17" s="1"/>
  <c r="J828" i="17" s="1"/>
  <c r="J891" i="17" s="1"/>
  <c r="J954" i="17" s="1"/>
  <c r="J1017" i="17" s="1"/>
  <c r="J1080" i="17" s="1"/>
  <c r="J1143" i="17" s="1"/>
  <c r="J1206" i="17" s="1"/>
  <c r="J1269" i="17" s="1"/>
  <c r="J1332" i="17" s="1"/>
  <c r="J1395" i="17" s="1"/>
  <c r="J1458" i="17" s="1"/>
  <c r="J1521" i="17" s="1"/>
  <c r="J1584" i="17" s="1"/>
  <c r="J1647" i="17" s="1"/>
  <c r="J1710" i="17" s="1"/>
  <c r="J1773" i="17" s="1"/>
  <c r="J1836" i="17" s="1"/>
  <c r="J1899" i="17" s="1"/>
  <c r="J71" i="17"/>
  <c r="J134" i="17" s="1"/>
  <c r="J197" i="17" s="1"/>
  <c r="J260" i="17" s="1"/>
  <c r="J323" i="17" s="1"/>
  <c r="J386" i="17" s="1"/>
  <c r="J449" i="17" s="1"/>
  <c r="J512" i="17" s="1"/>
  <c r="J575" i="17" s="1"/>
  <c r="J638" i="17" s="1"/>
  <c r="J701" i="17" s="1"/>
  <c r="J764" i="17" s="1"/>
  <c r="J827" i="17" s="1"/>
  <c r="J890" i="17" s="1"/>
  <c r="J953" i="17" s="1"/>
  <c r="J1016" i="17" s="1"/>
  <c r="J1079" i="17" s="1"/>
  <c r="J1142" i="17" s="1"/>
  <c r="J1205" i="17" s="1"/>
  <c r="J1268" i="17" s="1"/>
  <c r="J1331" i="17" s="1"/>
  <c r="J1394" i="17" s="1"/>
  <c r="J1457" i="17" s="1"/>
  <c r="J1520" i="17" s="1"/>
  <c r="J1583" i="17" s="1"/>
  <c r="J1646" i="17" s="1"/>
  <c r="J1709" i="17" s="1"/>
  <c r="J1772" i="17" s="1"/>
  <c r="J1835" i="17" s="1"/>
  <c r="J1898" i="17" s="1"/>
  <c r="J70" i="17"/>
  <c r="J133" i="17" s="1"/>
  <c r="E70" i="17"/>
  <c r="J69" i="17"/>
  <c r="B69" i="17"/>
  <c r="E69" i="17" s="1"/>
  <c r="J68" i="17"/>
  <c r="J131" i="17" s="1"/>
  <c r="J194" i="17" s="1"/>
  <c r="J257" i="17" s="1"/>
  <c r="J320" i="17" s="1"/>
  <c r="J383" i="17" s="1"/>
  <c r="J446" i="17" s="1"/>
  <c r="J509" i="17" s="1"/>
  <c r="J572" i="17" s="1"/>
  <c r="J635" i="17" s="1"/>
  <c r="J698" i="17" s="1"/>
  <c r="J761" i="17" s="1"/>
  <c r="J824" i="17" s="1"/>
  <c r="J887" i="17" s="1"/>
  <c r="J950" i="17" s="1"/>
  <c r="J1013" i="17" s="1"/>
  <c r="J1076" i="17" s="1"/>
  <c r="J1139" i="17" s="1"/>
  <c r="J1202" i="17" s="1"/>
  <c r="J1265" i="17" s="1"/>
  <c r="J1328" i="17" s="1"/>
  <c r="J1391" i="17" s="1"/>
  <c r="J1454" i="17" s="1"/>
  <c r="J1517" i="17" s="1"/>
  <c r="J1580" i="17" s="1"/>
  <c r="J1643" i="17" s="1"/>
  <c r="J1706" i="17" s="1"/>
  <c r="J1769" i="17" s="1"/>
  <c r="J1832" i="17" s="1"/>
  <c r="J1895" i="17" s="1"/>
  <c r="J67" i="17"/>
  <c r="J66" i="17"/>
  <c r="J129" i="17" s="1"/>
  <c r="J192" i="17" s="1"/>
  <c r="J255" i="17" s="1"/>
  <c r="J318" i="17" s="1"/>
  <c r="J381" i="17" s="1"/>
  <c r="J444" i="17" s="1"/>
  <c r="J507" i="17" s="1"/>
  <c r="J570" i="17" s="1"/>
  <c r="J633" i="17" s="1"/>
  <c r="J696" i="17" s="1"/>
  <c r="J759" i="17" s="1"/>
  <c r="J822" i="17" s="1"/>
  <c r="J885" i="17" s="1"/>
  <c r="J948" i="17" s="1"/>
  <c r="J1011" i="17" s="1"/>
  <c r="J1074" i="17" s="1"/>
  <c r="J1137" i="17" s="1"/>
  <c r="J1200" i="17" s="1"/>
  <c r="J1263" i="17" s="1"/>
  <c r="J1326" i="17" s="1"/>
  <c r="J1389" i="17" s="1"/>
  <c r="J1452" i="17" s="1"/>
  <c r="J1515" i="17" s="1"/>
  <c r="J1578" i="17" s="1"/>
  <c r="J1641" i="17" s="1"/>
  <c r="J1704" i="17" s="1"/>
  <c r="J1767" i="17" s="1"/>
  <c r="J1830" i="17" s="1"/>
  <c r="J1893" i="17" s="1"/>
  <c r="E66" i="17"/>
  <c r="E129" i="17" s="1"/>
  <c r="E192" i="17" s="1"/>
  <c r="E255" i="17" s="1"/>
  <c r="E318" i="17" s="1"/>
  <c r="E381" i="17" s="1"/>
  <c r="E444" i="17" s="1"/>
  <c r="E507" i="17" s="1"/>
  <c r="E570" i="17" s="1"/>
  <c r="E633" i="17" s="1"/>
  <c r="E696" i="17" s="1"/>
  <c r="E759" i="17" s="1"/>
  <c r="E822" i="17" s="1"/>
  <c r="E885" i="17" s="1"/>
  <c r="E948" i="17" s="1"/>
  <c r="E1011" i="17" s="1"/>
  <c r="E1074" i="17" s="1"/>
  <c r="E1137" i="17" s="1"/>
  <c r="E1200" i="17" s="1"/>
  <c r="E1263" i="17" s="1"/>
  <c r="E1326" i="17" s="1"/>
  <c r="E1389" i="17" s="1"/>
  <c r="E1452" i="17" s="1"/>
  <c r="E1515" i="17" s="1"/>
  <c r="E1578" i="17" s="1"/>
  <c r="E1641" i="17" s="1"/>
  <c r="E1704" i="17" s="1"/>
  <c r="E1767" i="17" s="1"/>
  <c r="E1830" i="17" s="1"/>
  <c r="E1893" i="17" s="1"/>
  <c r="J65" i="17"/>
  <c r="J128" i="17" s="1"/>
  <c r="J191" i="17" s="1"/>
  <c r="J254" i="17" s="1"/>
  <c r="J317" i="17" s="1"/>
  <c r="J380" i="17" s="1"/>
  <c r="J443" i="17" s="1"/>
  <c r="J506" i="17" s="1"/>
  <c r="J569" i="17" s="1"/>
  <c r="J632" i="17" s="1"/>
  <c r="J695" i="17" s="1"/>
  <c r="J758" i="17" s="1"/>
  <c r="J821" i="17" s="1"/>
  <c r="J884" i="17" s="1"/>
  <c r="J947" i="17" s="1"/>
  <c r="J1010" i="17" s="1"/>
  <c r="J1073" i="17" s="1"/>
  <c r="J1136" i="17" s="1"/>
  <c r="J1199" i="17" s="1"/>
  <c r="J1262" i="17" s="1"/>
  <c r="J1325" i="17" s="1"/>
  <c r="J1388" i="17" s="1"/>
  <c r="J1451" i="17" s="1"/>
  <c r="J1514" i="17" s="1"/>
  <c r="J1577" i="17" s="1"/>
  <c r="J1640" i="17" s="1"/>
  <c r="J1703" i="17" s="1"/>
  <c r="J1766" i="17" s="1"/>
  <c r="J1829" i="17" s="1"/>
  <c r="J1892" i="17" s="1"/>
  <c r="B65" i="17"/>
  <c r="J64" i="17"/>
  <c r="J127" i="17" s="1"/>
  <c r="J190" i="17" s="1"/>
  <c r="J253" i="17" s="1"/>
  <c r="J316" i="17" s="1"/>
  <c r="J379" i="17" s="1"/>
  <c r="J442" i="17" s="1"/>
  <c r="J505" i="17" s="1"/>
  <c r="J568" i="17" s="1"/>
  <c r="J631" i="17" s="1"/>
  <c r="J694" i="17" s="1"/>
  <c r="J757" i="17" s="1"/>
  <c r="J820" i="17" s="1"/>
  <c r="J883" i="17" s="1"/>
  <c r="J946" i="17" s="1"/>
  <c r="J1009" i="17" s="1"/>
  <c r="J1072" i="17" s="1"/>
  <c r="J1135" i="17" s="1"/>
  <c r="J1198" i="17" s="1"/>
  <c r="J1261" i="17" s="1"/>
  <c r="J1324" i="17" s="1"/>
  <c r="J1387" i="17" s="1"/>
  <c r="J1450" i="17" s="1"/>
  <c r="J1513" i="17" s="1"/>
  <c r="J1576" i="17" s="1"/>
  <c r="J1639" i="17" s="1"/>
  <c r="J1702" i="17" s="1"/>
  <c r="J1765" i="17" s="1"/>
  <c r="J1828" i="17" s="1"/>
  <c r="J1891" i="17" s="1"/>
  <c r="C56" i="17"/>
  <c r="C119" i="17" s="1"/>
  <c r="C182" i="17" s="1"/>
  <c r="C245" i="17" s="1"/>
  <c r="C308" i="17" s="1"/>
  <c r="C371" i="17" s="1"/>
  <c r="C434" i="17" s="1"/>
  <c r="C497" i="17" s="1"/>
  <c r="C560" i="17" s="1"/>
  <c r="C623" i="17" s="1"/>
  <c r="C686" i="17" s="1"/>
  <c r="C749" i="17" s="1"/>
  <c r="C812" i="17" s="1"/>
  <c r="C875" i="17" s="1"/>
  <c r="C938" i="17" s="1"/>
  <c r="C1001" i="17" s="1"/>
  <c r="C1064" i="17" s="1"/>
  <c r="C1127" i="17" s="1"/>
  <c r="C1190" i="17" s="1"/>
  <c r="C1253" i="17" s="1"/>
  <c r="C1316" i="17" s="1"/>
  <c r="C1379" i="17" s="1"/>
  <c r="C1442" i="17" s="1"/>
  <c r="C1505" i="17" s="1"/>
  <c r="C1568" i="17" s="1"/>
  <c r="C1631" i="17" s="1"/>
  <c r="C1694" i="17" s="1"/>
  <c r="C1757" i="17" s="1"/>
  <c r="C1820" i="17" s="1"/>
  <c r="C1883" i="17" s="1"/>
  <c r="C1946" i="17" s="1"/>
  <c r="C55" i="17"/>
  <c r="C118" i="17" s="1"/>
  <c r="C181" i="17" s="1"/>
  <c r="C244" i="17" s="1"/>
  <c r="C307" i="17" s="1"/>
  <c r="C370" i="17" s="1"/>
  <c r="C433" i="17" s="1"/>
  <c r="C496" i="17" s="1"/>
  <c r="C559" i="17" s="1"/>
  <c r="C622" i="17" s="1"/>
  <c r="C685" i="17" s="1"/>
  <c r="C748" i="17" s="1"/>
  <c r="C811" i="17" s="1"/>
  <c r="C874" i="17" s="1"/>
  <c r="C937" i="17" s="1"/>
  <c r="C1000" i="17" s="1"/>
  <c r="C1063" i="17" s="1"/>
  <c r="C1126" i="17" s="1"/>
  <c r="C1189" i="17" s="1"/>
  <c r="C1252" i="17" s="1"/>
  <c r="C1315" i="17" s="1"/>
  <c r="C1378" i="17" s="1"/>
  <c r="C1441" i="17" s="1"/>
  <c r="C1504" i="17" s="1"/>
  <c r="C1567" i="17" s="1"/>
  <c r="C1630" i="17" s="1"/>
  <c r="C1693" i="17" s="1"/>
  <c r="C1756" i="17" s="1"/>
  <c r="C1819" i="17" s="1"/>
  <c r="C1882" i="17" s="1"/>
  <c r="C1945" i="17" s="1"/>
  <c r="F45" i="17"/>
  <c r="E45" i="17"/>
  <c r="I45" i="17" s="1"/>
  <c r="E44" i="17"/>
  <c r="I43" i="17"/>
  <c r="F43" i="17"/>
  <c r="E43" i="17"/>
  <c r="I42" i="17"/>
  <c r="E42" i="17"/>
  <c r="F42" i="17" s="1"/>
  <c r="F41" i="17"/>
  <c r="E41" i="17"/>
  <c r="I41" i="17" s="1"/>
  <c r="I40" i="17"/>
  <c r="F40" i="17"/>
  <c r="F103" i="17" s="1"/>
  <c r="F166" i="17" s="1"/>
  <c r="F229" i="17" s="1"/>
  <c r="F292" i="17" s="1"/>
  <c r="F355" i="17" s="1"/>
  <c r="F418" i="17" s="1"/>
  <c r="F481" i="17" s="1"/>
  <c r="F544" i="17" s="1"/>
  <c r="F607" i="17" s="1"/>
  <c r="F670" i="17" s="1"/>
  <c r="F733" i="17" s="1"/>
  <c r="F796" i="17" s="1"/>
  <c r="F859" i="17" s="1"/>
  <c r="F922" i="17" s="1"/>
  <c r="F985" i="17" s="1"/>
  <c r="F1048" i="17" s="1"/>
  <c r="F1111" i="17" s="1"/>
  <c r="F1174" i="17" s="1"/>
  <c r="F1237" i="17" s="1"/>
  <c r="F1300" i="17" s="1"/>
  <c r="F1363" i="17" s="1"/>
  <c r="F1426" i="17" s="1"/>
  <c r="F1489" i="17" s="1"/>
  <c r="F1552" i="17" s="1"/>
  <c r="F1615" i="17" s="1"/>
  <c r="F1678" i="17" s="1"/>
  <c r="F1741" i="17" s="1"/>
  <c r="F1804" i="17" s="1"/>
  <c r="F1867" i="17" s="1"/>
  <c r="F1930" i="17" s="1"/>
  <c r="I39" i="17"/>
  <c r="F39" i="17"/>
  <c r="F102" i="17" s="1"/>
  <c r="F165" i="17" s="1"/>
  <c r="F228" i="17" s="1"/>
  <c r="F291" i="17" s="1"/>
  <c r="F354" i="17" s="1"/>
  <c r="F417" i="17" s="1"/>
  <c r="F480" i="17" s="1"/>
  <c r="F543" i="17" s="1"/>
  <c r="F606" i="17" s="1"/>
  <c r="F669" i="17" s="1"/>
  <c r="F732" i="17" s="1"/>
  <c r="F795" i="17" s="1"/>
  <c r="F858" i="17" s="1"/>
  <c r="F921" i="17" s="1"/>
  <c r="F984" i="17" s="1"/>
  <c r="F1047" i="17" s="1"/>
  <c r="F1110" i="17" s="1"/>
  <c r="F1173" i="17" s="1"/>
  <c r="F1236" i="17" s="1"/>
  <c r="F1299" i="17" s="1"/>
  <c r="F1362" i="17" s="1"/>
  <c r="F1425" i="17" s="1"/>
  <c r="F1488" i="17" s="1"/>
  <c r="F1551" i="17" s="1"/>
  <c r="F1614" i="17" s="1"/>
  <c r="F1677" i="17" s="1"/>
  <c r="F1740" i="17" s="1"/>
  <c r="F1803" i="17" s="1"/>
  <c r="F1866" i="17" s="1"/>
  <c r="F1929" i="17" s="1"/>
  <c r="I38" i="17"/>
  <c r="F38" i="17"/>
  <c r="F101" i="17" s="1"/>
  <c r="F164" i="17" s="1"/>
  <c r="F227" i="17" s="1"/>
  <c r="F290" i="17" s="1"/>
  <c r="F353" i="17" s="1"/>
  <c r="F416" i="17" s="1"/>
  <c r="F479" i="17" s="1"/>
  <c r="F542" i="17" s="1"/>
  <c r="F605" i="17" s="1"/>
  <c r="F668" i="17" s="1"/>
  <c r="F731" i="17" s="1"/>
  <c r="F794" i="17" s="1"/>
  <c r="F857" i="17" s="1"/>
  <c r="F920" i="17" s="1"/>
  <c r="F983" i="17" s="1"/>
  <c r="F1046" i="17" s="1"/>
  <c r="F1109" i="17" s="1"/>
  <c r="F1172" i="17" s="1"/>
  <c r="F1235" i="17" s="1"/>
  <c r="F1298" i="17" s="1"/>
  <c r="F1361" i="17" s="1"/>
  <c r="F1424" i="17" s="1"/>
  <c r="F1487" i="17" s="1"/>
  <c r="F1550" i="17" s="1"/>
  <c r="F1613" i="17" s="1"/>
  <c r="F1676" i="17" s="1"/>
  <c r="F1739" i="17" s="1"/>
  <c r="F1802" i="17" s="1"/>
  <c r="F1865" i="17" s="1"/>
  <c r="F1928" i="17" s="1"/>
  <c r="I37" i="17"/>
  <c r="F37" i="17"/>
  <c r="F100" i="17" s="1"/>
  <c r="F163" i="17" s="1"/>
  <c r="F226" i="17" s="1"/>
  <c r="F289" i="17" s="1"/>
  <c r="F352" i="17" s="1"/>
  <c r="F415" i="17" s="1"/>
  <c r="F478" i="17" s="1"/>
  <c r="F541" i="17" s="1"/>
  <c r="F604" i="17" s="1"/>
  <c r="F667" i="17" s="1"/>
  <c r="F730" i="17" s="1"/>
  <c r="F793" i="17" s="1"/>
  <c r="F856" i="17" s="1"/>
  <c r="F919" i="17" s="1"/>
  <c r="F982" i="17" s="1"/>
  <c r="F1045" i="17" s="1"/>
  <c r="F1108" i="17" s="1"/>
  <c r="F1171" i="17" s="1"/>
  <c r="F1234" i="17" s="1"/>
  <c r="F1297" i="17" s="1"/>
  <c r="F1360" i="17" s="1"/>
  <c r="F1423" i="17" s="1"/>
  <c r="F1486" i="17" s="1"/>
  <c r="F1549" i="17" s="1"/>
  <c r="F1612" i="17" s="1"/>
  <c r="F1675" i="17" s="1"/>
  <c r="F1738" i="17" s="1"/>
  <c r="F1801" i="17" s="1"/>
  <c r="F1864" i="17" s="1"/>
  <c r="F1927" i="17" s="1"/>
  <c r="I36" i="17"/>
  <c r="F36" i="17"/>
  <c r="F99" i="17" s="1"/>
  <c r="F162" i="17" s="1"/>
  <c r="F225" i="17" s="1"/>
  <c r="F288" i="17" s="1"/>
  <c r="F351" i="17" s="1"/>
  <c r="F414" i="17" s="1"/>
  <c r="F477" i="17" s="1"/>
  <c r="F540" i="17" s="1"/>
  <c r="F603" i="17" s="1"/>
  <c r="F666" i="17" s="1"/>
  <c r="F729" i="17" s="1"/>
  <c r="F792" i="17" s="1"/>
  <c r="F855" i="17" s="1"/>
  <c r="F918" i="17" s="1"/>
  <c r="F981" i="17" s="1"/>
  <c r="F1044" i="17" s="1"/>
  <c r="F1107" i="17" s="1"/>
  <c r="F1170" i="17" s="1"/>
  <c r="F1233" i="17" s="1"/>
  <c r="F1296" i="17" s="1"/>
  <c r="F1359" i="17" s="1"/>
  <c r="F1422" i="17" s="1"/>
  <c r="F1485" i="17" s="1"/>
  <c r="F1548" i="17" s="1"/>
  <c r="F1611" i="17" s="1"/>
  <c r="F1674" i="17" s="1"/>
  <c r="F1737" i="17" s="1"/>
  <c r="F1800" i="17" s="1"/>
  <c r="F1863" i="17" s="1"/>
  <c r="F1926" i="17" s="1"/>
  <c r="I35" i="17"/>
  <c r="F35" i="17"/>
  <c r="F98" i="17" s="1"/>
  <c r="F161" i="17" s="1"/>
  <c r="F224" i="17" s="1"/>
  <c r="F287" i="17" s="1"/>
  <c r="F350" i="17" s="1"/>
  <c r="F413" i="17" s="1"/>
  <c r="F476" i="17" s="1"/>
  <c r="F539" i="17" s="1"/>
  <c r="F602" i="17" s="1"/>
  <c r="F665" i="17" s="1"/>
  <c r="F728" i="17" s="1"/>
  <c r="F791" i="17" s="1"/>
  <c r="F854" i="17" s="1"/>
  <c r="F917" i="17" s="1"/>
  <c r="F980" i="17" s="1"/>
  <c r="F1043" i="17" s="1"/>
  <c r="F1106" i="17" s="1"/>
  <c r="F1169" i="17" s="1"/>
  <c r="F1232" i="17" s="1"/>
  <c r="F1295" i="17" s="1"/>
  <c r="F1358" i="17" s="1"/>
  <c r="F1421" i="17" s="1"/>
  <c r="F1484" i="17" s="1"/>
  <c r="F1547" i="17" s="1"/>
  <c r="F1610" i="17" s="1"/>
  <c r="F1673" i="17" s="1"/>
  <c r="F1736" i="17" s="1"/>
  <c r="F1799" i="17" s="1"/>
  <c r="F1862" i="17" s="1"/>
  <c r="F1925" i="17" s="1"/>
  <c r="I34" i="17"/>
  <c r="F34" i="17"/>
  <c r="F97" i="17" s="1"/>
  <c r="F160" i="17" s="1"/>
  <c r="F223" i="17" s="1"/>
  <c r="F286" i="17" s="1"/>
  <c r="F349" i="17" s="1"/>
  <c r="F412" i="17" s="1"/>
  <c r="F475" i="17" s="1"/>
  <c r="F538" i="17" s="1"/>
  <c r="F601" i="17" s="1"/>
  <c r="F664" i="17" s="1"/>
  <c r="F727" i="17" s="1"/>
  <c r="F790" i="17" s="1"/>
  <c r="F853" i="17" s="1"/>
  <c r="F916" i="17" s="1"/>
  <c r="F979" i="17" s="1"/>
  <c r="F1042" i="17" s="1"/>
  <c r="F1105" i="17" s="1"/>
  <c r="F1168" i="17" s="1"/>
  <c r="F1231" i="17" s="1"/>
  <c r="F1294" i="17" s="1"/>
  <c r="F1357" i="17" s="1"/>
  <c r="F1420" i="17" s="1"/>
  <c r="F1483" i="17" s="1"/>
  <c r="F1546" i="17" s="1"/>
  <c r="F1609" i="17" s="1"/>
  <c r="F1672" i="17" s="1"/>
  <c r="F1735" i="17" s="1"/>
  <c r="F1798" i="17" s="1"/>
  <c r="F1861" i="17" s="1"/>
  <c r="F1924" i="17" s="1"/>
  <c r="I33" i="17"/>
  <c r="F33" i="17"/>
  <c r="F96" i="17" s="1"/>
  <c r="F159" i="17" s="1"/>
  <c r="F222" i="17" s="1"/>
  <c r="F285" i="17" s="1"/>
  <c r="F348" i="17" s="1"/>
  <c r="F411" i="17" s="1"/>
  <c r="F474" i="17" s="1"/>
  <c r="F537" i="17" s="1"/>
  <c r="F600" i="17" s="1"/>
  <c r="F663" i="17" s="1"/>
  <c r="F726" i="17" s="1"/>
  <c r="F789" i="17" s="1"/>
  <c r="F852" i="17" s="1"/>
  <c r="F915" i="17" s="1"/>
  <c r="F978" i="17" s="1"/>
  <c r="F1041" i="17" s="1"/>
  <c r="F1104" i="17" s="1"/>
  <c r="F1167" i="17" s="1"/>
  <c r="F1230" i="17" s="1"/>
  <c r="F1293" i="17" s="1"/>
  <c r="F1356" i="17" s="1"/>
  <c r="F1419" i="17" s="1"/>
  <c r="F1482" i="17" s="1"/>
  <c r="F1545" i="17" s="1"/>
  <c r="F1608" i="17" s="1"/>
  <c r="F1671" i="17" s="1"/>
  <c r="F1734" i="17" s="1"/>
  <c r="F1797" i="17" s="1"/>
  <c r="F1860" i="17" s="1"/>
  <c r="F1923" i="17" s="1"/>
  <c r="I32" i="17"/>
  <c r="F32" i="17"/>
  <c r="F95" i="17" s="1"/>
  <c r="F158" i="17" s="1"/>
  <c r="F221" i="17" s="1"/>
  <c r="F284" i="17" s="1"/>
  <c r="F347" i="17" s="1"/>
  <c r="F410" i="17" s="1"/>
  <c r="F473" i="17" s="1"/>
  <c r="F536" i="17" s="1"/>
  <c r="F599" i="17" s="1"/>
  <c r="F662" i="17" s="1"/>
  <c r="F725" i="17" s="1"/>
  <c r="F788" i="17" s="1"/>
  <c r="F851" i="17" s="1"/>
  <c r="F914" i="17" s="1"/>
  <c r="F977" i="17" s="1"/>
  <c r="F1040" i="17" s="1"/>
  <c r="F1103" i="17" s="1"/>
  <c r="F1166" i="17" s="1"/>
  <c r="F1229" i="17" s="1"/>
  <c r="F1292" i="17" s="1"/>
  <c r="F1355" i="17" s="1"/>
  <c r="F1418" i="17" s="1"/>
  <c r="F1481" i="17" s="1"/>
  <c r="F1544" i="17" s="1"/>
  <c r="F1607" i="17" s="1"/>
  <c r="F1670" i="17" s="1"/>
  <c r="F1733" i="17" s="1"/>
  <c r="F1796" i="17" s="1"/>
  <c r="F1859" i="17" s="1"/>
  <c r="F1922" i="17" s="1"/>
  <c r="I31" i="17"/>
  <c r="F31" i="17"/>
  <c r="F94" i="17" s="1"/>
  <c r="F157" i="17" s="1"/>
  <c r="F220" i="17" s="1"/>
  <c r="F283" i="17" s="1"/>
  <c r="F346" i="17" s="1"/>
  <c r="F409" i="17" s="1"/>
  <c r="F472" i="17" s="1"/>
  <c r="F535" i="17" s="1"/>
  <c r="F598" i="17" s="1"/>
  <c r="F661" i="17" s="1"/>
  <c r="F724" i="17" s="1"/>
  <c r="F787" i="17" s="1"/>
  <c r="F850" i="17" s="1"/>
  <c r="F913" i="17" s="1"/>
  <c r="F976" i="17" s="1"/>
  <c r="F1039" i="17" s="1"/>
  <c r="F1102" i="17" s="1"/>
  <c r="F1165" i="17" s="1"/>
  <c r="F1228" i="17" s="1"/>
  <c r="F1291" i="17" s="1"/>
  <c r="F1354" i="17" s="1"/>
  <c r="F1417" i="17" s="1"/>
  <c r="F1480" i="17" s="1"/>
  <c r="F1543" i="17" s="1"/>
  <c r="F1606" i="17" s="1"/>
  <c r="F1669" i="17" s="1"/>
  <c r="F1732" i="17" s="1"/>
  <c r="F1795" i="17" s="1"/>
  <c r="F1858" i="17" s="1"/>
  <c r="F1921" i="17" s="1"/>
  <c r="I30" i="17"/>
  <c r="F30" i="17"/>
  <c r="F93" i="17" s="1"/>
  <c r="F156" i="17" s="1"/>
  <c r="F219" i="17" s="1"/>
  <c r="F282" i="17" s="1"/>
  <c r="F345" i="17" s="1"/>
  <c r="F408" i="17" s="1"/>
  <c r="F471" i="17" s="1"/>
  <c r="F534" i="17" s="1"/>
  <c r="F597" i="17" s="1"/>
  <c r="F660" i="17" s="1"/>
  <c r="F723" i="17" s="1"/>
  <c r="F786" i="17" s="1"/>
  <c r="F849" i="17" s="1"/>
  <c r="F912" i="17" s="1"/>
  <c r="F975" i="17" s="1"/>
  <c r="F1038" i="17" s="1"/>
  <c r="F1101" i="17" s="1"/>
  <c r="F1164" i="17" s="1"/>
  <c r="F1227" i="17" s="1"/>
  <c r="F1290" i="17" s="1"/>
  <c r="F1353" i="17" s="1"/>
  <c r="F1416" i="17" s="1"/>
  <c r="F1479" i="17" s="1"/>
  <c r="F1542" i="17" s="1"/>
  <c r="F1605" i="17" s="1"/>
  <c r="F1668" i="17" s="1"/>
  <c r="F1731" i="17" s="1"/>
  <c r="F1794" i="17" s="1"/>
  <c r="F1857" i="17" s="1"/>
  <c r="F1920" i="17" s="1"/>
  <c r="I29" i="17"/>
  <c r="F29" i="17"/>
  <c r="F92" i="17" s="1"/>
  <c r="F155" i="17" s="1"/>
  <c r="F218" i="17" s="1"/>
  <c r="F281" i="17" s="1"/>
  <c r="F344" i="17" s="1"/>
  <c r="F407" i="17" s="1"/>
  <c r="F470" i="17" s="1"/>
  <c r="F533" i="17" s="1"/>
  <c r="F596" i="17" s="1"/>
  <c r="F659" i="17" s="1"/>
  <c r="F722" i="17" s="1"/>
  <c r="F785" i="17" s="1"/>
  <c r="F848" i="17" s="1"/>
  <c r="F911" i="17" s="1"/>
  <c r="F974" i="17" s="1"/>
  <c r="F1037" i="17" s="1"/>
  <c r="F1100" i="17" s="1"/>
  <c r="F1163" i="17" s="1"/>
  <c r="F1226" i="17" s="1"/>
  <c r="F1289" i="17" s="1"/>
  <c r="F1352" i="17" s="1"/>
  <c r="F1415" i="17" s="1"/>
  <c r="F1478" i="17" s="1"/>
  <c r="F1541" i="17" s="1"/>
  <c r="F1604" i="17" s="1"/>
  <c r="F1667" i="17" s="1"/>
  <c r="F1730" i="17" s="1"/>
  <c r="F1793" i="17" s="1"/>
  <c r="F1856" i="17" s="1"/>
  <c r="F1919" i="17" s="1"/>
  <c r="I28" i="17"/>
  <c r="F28" i="17"/>
  <c r="F91" i="17" s="1"/>
  <c r="F154" i="17" s="1"/>
  <c r="F217" i="17" s="1"/>
  <c r="F280" i="17" s="1"/>
  <c r="F343" i="17" s="1"/>
  <c r="F406" i="17" s="1"/>
  <c r="F469" i="17" s="1"/>
  <c r="F532" i="17" s="1"/>
  <c r="F595" i="17" s="1"/>
  <c r="F658" i="17" s="1"/>
  <c r="F721" i="17" s="1"/>
  <c r="F784" i="17" s="1"/>
  <c r="F847" i="17" s="1"/>
  <c r="F910" i="17" s="1"/>
  <c r="F973" i="17" s="1"/>
  <c r="F1036" i="17" s="1"/>
  <c r="F1099" i="17" s="1"/>
  <c r="F1162" i="17" s="1"/>
  <c r="F1225" i="17" s="1"/>
  <c r="F1288" i="17" s="1"/>
  <c r="F1351" i="17" s="1"/>
  <c r="F1414" i="17" s="1"/>
  <c r="F1477" i="17" s="1"/>
  <c r="F1540" i="17" s="1"/>
  <c r="F1603" i="17" s="1"/>
  <c r="F1666" i="17" s="1"/>
  <c r="F1729" i="17" s="1"/>
  <c r="F1792" i="17" s="1"/>
  <c r="F1855" i="17" s="1"/>
  <c r="F1918" i="17" s="1"/>
  <c r="I27" i="17"/>
  <c r="F27" i="17"/>
  <c r="F90" i="17" s="1"/>
  <c r="F153" i="17" s="1"/>
  <c r="F216" i="17" s="1"/>
  <c r="F279" i="17" s="1"/>
  <c r="F342" i="17" s="1"/>
  <c r="F405" i="17" s="1"/>
  <c r="F468" i="17" s="1"/>
  <c r="F531" i="17" s="1"/>
  <c r="F594" i="17" s="1"/>
  <c r="F657" i="17" s="1"/>
  <c r="F720" i="17" s="1"/>
  <c r="F783" i="17" s="1"/>
  <c r="F846" i="17" s="1"/>
  <c r="F909" i="17" s="1"/>
  <c r="F972" i="17" s="1"/>
  <c r="F1035" i="17" s="1"/>
  <c r="F1098" i="17" s="1"/>
  <c r="F1161" i="17" s="1"/>
  <c r="F1224" i="17" s="1"/>
  <c r="F1287" i="17" s="1"/>
  <c r="F1350" i="17" s="1"/>
  <c r="F1413" i="17" s="1"/>
  <c r="F1476" i="17" s="1"/>
  <c r="F1539" i="17" s="1"/>
  <c r="F1602" i="17" s="1"/>
  <c r="F1665" i="17" s="1"/>
  <c r="F1728" i="17" s="1"/>
  <c r="F1791" i="17" s="1"/>
  <c r="F1854" i="17" s="1"/>
  <c r="F1917" i="17" s="1"/>
  <c r="I26" i="17"/>
  <c r="F26" i="17"/>
  <c r="F89" i="17" s="1"/>
  <c r="F152" i="17" s="1"/>
  <c r="F215" i="17" s="1"/>
  <c r="F278" i="17" s="1"/>
  <c r="F341" i="17" s="1"/>
  <c r="F404" i="17" s="1"/>
  <c r="F467" i="17" s="1"/>
  <c r="F530" i="17" s="1"/>
  <c r="F593" i="17" s="1"/>
  <c r="F656" i="17" s="1"/>
  <c r="F719" i="17" s="1"/>
  <c r="F782" i="17" s="1"/>
  <c r="F845" i="17" s="1"/>
  <c r="F908" i="17" s="1"/>
  <c r="F971" i="17" s="1"/>
  <c r="F1034" i="17" s="1"/>
  <c r="F1097" i="17" s="1"/>
  <c r="F1160" i="17" s="1"/>
  <c r="F1223" i="17" s="1"/>
  <c r="F1286" i="17" s="1"/>
  <c r="F1349" i="17" s="1"/>
  <c r="F1412" i="17" s="1"/>
  <c r="F1475" i="17" s="1"/>
  <c r="F1538" i="17" s="1"/>
  <c r="F1601" i="17" s="1"/>
  <c r="F1664" i="17" s="1"/>
  <c r="F1727" i="17" s="1"/>
  <c r="F1790" i="17" s="1"/>
  <c r="F1853" i="17" s="1"/>
  <c r="F1916" i="17" s="1"/>
  <c r="I25" i="17"/>
  <c r="F25" i="17"/>
  <c r="F88" i="17" s="1"/>
  <c r="F151" i="17" s="1"/>
  <c r="F214" i="17" s="1"/>
  <c r="F277" i="17" s="1"/>
  <c r="F340" i="17" s="1"/>
  <c r="F403" i="17" s="1"/>
  <c r="F466" i="17" s="1"/>
  <c r="F529" i="17" s="1"/>
  <c r="F592" i="17" s="1"/>
  <c r="F655" i="17" s="1"/>
  <c r="F718" i="17" s="1"/>
  <c r="F781" i="17" s="1"/>
  <c r="F844" i="17" s="1"/>
  <c r="F907" i="17" s="1"/>
  <c r="F970" i="17" s="1"/>
  <c r="F1033" i="17" s="1"/>
  <c r="F1096" i="17" s="1"/>
  <c r="F1159" i="17" s="1"/>
  <c r="F1222" i="17" s="1"/>
  <c r="F1285" i="17" s="1"/>
  <c r="F1348" i="17" s="1"/>
  <c r="F1411" i="17" s="1"/>
  <c r="F1474" i="17" s="1"/>
  <c r="F1537" i="17" s="1"/>
  <c r="F1600" i="17" s="1"/>
  <c r="F1663" i="17" s="1"/>
  <c r="F1726" i="17" s="1"/>
  <c r="F1789" i="17" s="1"/>
  <c r="F1852" i="17" s="1"/>
  <c r="F1915" i="17" s="1"/>
  <c r="I24" i="17"/>
  <c r="F24" i="17"/>
  <c r="F87" i="17" s="1"/>
  <c r="F150" i="17" s="1"/>
  <c r="F213" i="17" s="1"/>
  <c r="F276" i="17" s="1"/>
  <c r="F339" i="17" s="1"/>
  <c r="F402" i="17" s="1"/>
  <c r="F465" i="17" s="1"/>
  <c r="F528" i="17" s="1"/>
  <c r="F591" i="17" s="1"/>
  <c r="F654" i="17" s="1"/>
  <c r="F717" i="17" s="1"/>
  <c r="F780" i="17" s="1"/>
  <c r="F843" i="17" s="1"/>
  <c r="F906" i="17" s="1"/>
  <c r="F969" i="17" s="1"/>
  <c r="F1032" i="17" s="1"/>
  <c r="F1095" i="17" s="1"/>
  <c r="F1158" i="17" s="1"/>
  <c r="F1221" i="17" s="1"/>
  <c r="F1284" i="17" s="1"/>
  <c r="F1347" i="17" s="1"/>
  <c r="F1410" i="17" s="1"/>
  <c r="F1473" i="17" s="1"/>
  <c r="F1536" i="17" s="1"/>
  <c r="F1599" i="17" s="1"/>
  <c r="F1662" i="17" s="1"/>
  <c r="F1725" i="17" s="1"/>
  <c r="F1788" i="17" s="1"/>
  <c r="F1851" i="17" s="1"/>
  <c r="F1914" i="17" s="1"/>
  <c r="I23" i="17"/>
  <c r="F23" i="17"/>
  <c r="F86" i="17" s="1"/>
  <c r="F149" i="17" s="1"/>
  <c r="F212" i="17" s="1"/>
  <c r="F275" i="17" s="1"/>
  <c r="F338" i="17" s="1"/>
  <c r="F401" i="17" s="1"/>
  <c r="F464" i="17" s="1"/>
  <c r="F527" i="17" s="1"/>
  <c r="F590" i="17" s="1"/>
  <c r="F653" i="17" s="1"/>
  <c r="F716" i="17" s="1"/>
  <c r="F779" i="17" s="1"/>
  <c r="F842" i="17" s="1"/>
  <c r="F905" i="17" s="1"/>
  <c r="F968" i="17" s="1"/>
  <c r="F1031" i="17" s="1"/>
  <c r="F1094" i="17" s="1"/>
  <c r="F1157" i="17" s="1"/>
  <c r="F1220" i="17" s="1"/>
  <c r="F1283" i="17" s="1"/>
  <c r="F1346" i="17" s="1"/>
  <c r="F1409" i="17" s="1"/>
  <c r="F1472" i="17" s="1"/>
  <c r="F1535" i="17" s="1"/>
  <c r="F1598" i="17" s="1"/>
  <c r="F1661" i="17" s="1"/>
  <c r="F1724" i="17" s="1"/>
  <c r="F1787" i="17" s="1"/>
  <c r="F1850" i="17" s="1"/>
  <c r="F1913" i="17" s="1"/>
  <c r="I22" i="17"/>
  <c r="F22" i="17"/>
  <c r="F85" i="17" s="1"/>
  <c r="F148" i="17" s="1"/>
  <c r="F211" i="17" s="1"/>
  <c r="F274" i="17" s="1"/>
  <c r="F337" i="17" s="1"/>
  <c r="F400" i="17" s="1"/>
  <c r="F463" i="17" s="1"/>
  <c r="F526" i="17" s="1"/>
  <c r="F589" i="17" s="1"/>
  <c r="F652" i="17" s="1"/>
  <c r="F715" i="17" s="1"/>
  <c r="F778" i="17" s="1"/>
  <c r="F841" i="17" s="1"/>
  <c r="F904" i="17" s="1"/>
  <c r="F967" i="17" s="1"/>
  <c r="F1030" i="17" s="1"/>
  <c r="F1093" i="17" s="1"/>
  <c r="F1156" i="17" s="1"/>
  <c r="F1219" i="17" s="1"/>
  <c r="F1282" i="17" s="1"/>
  <c r="F1345" i="17" s="1"/>
  <c r="F1408" i="17" s="1"/>
  <c r="F1471" i="17" s="1"/>
  <c r="F1534" i="17" s="1"/>
  <c r="F1597" i="17" s="1"/>
  <c r="F1660" i="17" s="1"/>
  <c r="F1723" i="17" s="1"/>
  <c r="F1786" i="17" s="1"/>
  <c r="F1849" i="17" s="1"/>
  <c r="F1912" i="17" s="1"/>
  <c r="I21" i="17"/>
  <c r="F21" i="17"/>
  <c r="F84" i="17" s="1"/>
  <c r="F147" i="17" s="1"/>
  <c r="F210" i="17" s="1"/>
  <c r="F273" i="17" s="1"/>
  <c r="F336" i="17" s="1"/>
  <c r="F399" i="17" s="1"/>
  <c r="F462" i="17" s="1"/>
  <c r="F525" i="17" s="1"/>
  <c r="F588" i="17" s="1"/>
  <c r="F651" i="17" s="1"/>
  <c r="F714" i="17" s="1"/>
  <c r="F777" i="17" s="1"/>
  <c r="F840" i="17" s="1"/>
  <c r="F903" i="17" s="1"/>
  <c r="F966" i="17" s="1"/>
  <c r="F1029" i="17" s="1"/>
  <c r="F1092" i="17" s="1"/>
  <c r="F1155" i="17" s="1"/>
  <c r="F1218" i="17" s="1"/>
  <c r="F1281" i="17" s="1"/>
  <c r="F1344" i="17" s="1"/>
  <c r="F1407" i="17" s="1"/>
  <c r="F1470" i="17" s="1"/>
  <c r="F1533" i="17" s="1"/>
  <c r="F1596" i="17" s="1"/>
  <c r="F1659" i="17" s="1"/>
  <c r="F1722" i="17" s="1"/>
  <c r="F1785" i="17" s="1"/>
  <c r="F1848" i="17" s="1"/>
  <c r="F1911" i="17" s="1"/>
  <c r="I20" i="17"/>
  <c r="F20" i="17"/>
  <c r="F83" i="17" s="1"/>
  <c r="F146" i="17" s="1"/>
  <c r="F209" i="17" s="1"/>
  <c r="F272" i="17" s="1"/>
  <c r="F335" i="17" s="1"/>
  <c r="F398" i="17" s="1"/>
  <c r="F461" i="17" s="1"/>
  <c r="F524" i="17" s="1"/>
  <c r="F587" i="17" s="1"/>
  <c r="F650" i="17" s="1"/>
  <c r="F713" i="17" s="1"/>
  <c r="F776" i="17" s="1"/>
  <c r="F839" i="17" s="1"/>
  <c r="F902" i="17" s="1"/>
  <c r="F965" i="17" s="1"/>
  <c r="F1028" i="17" s="1"/>
  <c r="F1091" i="17" s="1"/>
  <c r="F1154" i="17" s="1"/>
  <c r="F1217" i="17" s="1"/>
  <c r="F1280" i="17" s="1"/>
  <c r="F1343" i="17" s="1"/>
  <c r="F1406" i="17" s="1"/>
  <c r="F1469" i="17" s="1"/>
  <c r="F1532" i="17" s="1"/>
  <c r="F1595" i="17" s="1"/>
  <c r="F1658" i="17" s="1"/>
  <c r="F1721" i="17" s="1"/>
  <c r="F1784" i="17" s="1"/>
  <c r="F1847" i="17" s="1"/>
  <c r="F1910" i="17" s="1"/>
  <c r="I19" i="17"/>
  <c r="F19" i="17"/>
  <c r="F82" i="17" s="1"/>
  <c r="F145" i="17" s="1"/>
  <c r="F208" i="17" s="1"/>
  <c r="F271" i="17" s="1"/>
  <c r="F334" i="17" s="1"/>
  <c r="F397" i="17" s="1"/>
  <c r="F460" i="17" s="1"/>
  <c r="F523" i="17" s="1"/>
  <c r="F586" i="17" s="1"/>
  <c r="F649" i="17" s="1"/>
  <c r="F712" i="17" s="1"/>
  <c r="F775" i="17" s="1"/>
  <c r="F838" i="17" s="1"/>
  <c r="F901" i="17" s="1"/>
  <c r="F964" i="17" s="1"/>
  <c r="F1027" i="17" s="1"/>
  <c r="F1090" i="17" s="1"/>
  <c r="F1153" i="17" s="1"/>
  <c r="F1216" i="17" s="1"/>
  <c r="F1279" i="17" s="1"/>
  <c r="F1342" i="17" s="1"/>
  <c r="F1405" i="17" s="1"/>
  <c r="F1468" i="17" s="1"/>
  <c r="F1531" i="17" s="1"/>
  <c r="F1594" i="17" s="1"/>
  <c r="F1657" i="17" s="1"/>
  <c r="F1720" i="17" s="1"/>
  <c r="F1783" i="17" s="1"/>
  <c r="F1846" i="17" s="1"/>
  <c r="F1909" i="17" s="1"/>
  <c r="I18" i="17"/>
  <c r="F18" i="17"/>
  <c r="F81" i="17" s="1"/>
  <c r="F144" i="17" s="1"/>
  <c r="F207" i="17" s="1"/>
  <c r="F270" i="17" s="1"/>
  <c r="F333" i="17" s="1"/>
  <c r="F396" i="17" s="1"/>
  <c r="F459" i="17" s="1"/>
  <c r="F522" i="17" s="1"/>
  <c r="F585" i="17" s="1"/>
  <c r="F648" i="17" s="1"/>
  <c r="F711" i="17" s="1"/>
  <c r="F774" i="17" s="1"/>
  <c r="F837" i="17" s="1"/>
  <c r="F900" i="17" s="1"/>
  <c r="F963" i="17" s="1"/>
  <c r="F1026" i="17" s="1"/>
  <c r="F1089" i="17" s="1"/>
  <c r="F1152" i="17" s="1"/>
  <c r="F1215" i="17" s="1"/>
  <c r="F1278" i="17" s="1"/>
  <c r="F1341" i="17" s="1"/>
  <c r="F1404" i="17" s="1"/>
  <c r="F1467" i="17" s="1"/>
  <c r="F1530" i="17" s="1"/>
  <c r="F1593" i="17" s="1"/>
  <c r="F1656" i="17" s="1"/>
  <c r="F1719" i="17" s="1"/>
  <c r="F1782" i="17" s="1"/>
  <c r="F1845" i="17" s="1"/>
  <c r="F1908" i="17" s="1"/>
  <c r="I17" i="17"/>
  <c r="F17" i="17"/>
  <c r="F80" i="17" s="1"/>
  <c r="F143" i="17" s="1"/>
  <c r="F206" i="17" s="1"/>
  <c r="F269" i="17" s="1"/>
  <c r="F332" i="17" s="1"/>
  <c r="F395" i="17" s="1"/>
  <c r="F458" i="17" s="1"/>
  <c r="F521" i="17" s="1"/>
  <c r="F584" i="17" s="1"/>
  <c r="F647" i="17" s="1"/>
  <c r="F710" i="17" s="1"/>
  <c r="F773" i="17" s="1"/>
  <c r="F836" i="17" s="1"/>
  <c r="F899" i="17" s="1"/>
  <c r="F962" i="17" s="1"/>
  <c r="F1025" i="17" s="1"/>
  <c r="F1088" i="17" s="1"/>
  <c r="F1151" i="17" s="1"/>
  <c r="F1214" i="17" s="1"/>
  <c r="F1277" i="17" s="1"/>
  <c r="F1340" i="17" s="1"/>
  <c r="F1403" i="17" s="1"/>
  <c r="F1466" i="17" s="1"/>
  <c r="F1529" i="17" s="1"/>
  <c r="F1592" i="17" s="1"/>
  <c r="F1655" i="17" s="1"/>
  <c r="F1718" i="17" s="1"/>
  <c r="F1781" i="17" s="1"/>
  <c r="F1844" i="17" s="1"/>
  <c r="F1907" i="17" s="1"/>
  <c r="I16" i="17"/>
  <c r="F16" i="17"/>
  <c r="F79" i="17" s="1"/>
  <c r="F142" i="17" s="1"/>
  <c r="F205" i="17" s="1"/>
  <c r="F268" i="17" s="1"/>
  <c r="F331" i="17" s="1"/>
  <c r="F394" i="17" s="1"/>
  <c r="F457" i="17" s="1"/>
  <c r="F520" i="17" s="1"/>
  <c r="F583" i="17" s="1"/>
  <c r="F646" i="17" s="1"/>
  <c r="F709" i="17" s="1"/>
  <c r="F772" i="17" s="1"/>
  <c r="F835" i="17" s="1"/>
  <c r="F898" i="17" s="1"/>
  <c r="F961" i="17" s="1"/>
  <c r="F1024" i="17" s="1"/>
  <c r="F1087" i="17" s="1"/>
  <c r="F1150" i="17" s="1"/>
  <c r="F1213" i="17" s="1"/>
  <c r="F1276" i="17" s="1"/>
  <c r="F1339" i="17" s="1"/>
  <c r="F1402" i="17" s="1"/>
  <c r="F1465" i="17" s="1"/>
  <c r="F1528" i="17" s="1"/>
  <c r="F1591" i="17" s="1"/>
  <c r="F1654" i="17" s="1"/>
  <c r="F1717" i="17" s="1"/>
  <c r="F1780" i="17" s="1"/>
  <c r="F1843" i="17" s="1"/>
  <c r="F1906" i="17" s="1"/>
  <c r="I15" i="17"/>
  <c r="F15" i="17"/>
  <c r="F78" i="17" s="1"/>
  <c r="F141" i="17" s="1"/>
  <c r="F204" i="17" s="1"/>
  <c r="F267" i="17" s="1"/>
  <c r="F330" i="17" s="1"/>
  <c r="F393" i="17" s="1"/>
  <c r="F456" i="17" s="1"/>
  <c r="F519" i="17" s="1"/>
  <c r="F582" i="17" s="1"/>
  <c r="F645" i="17" s="1"/>
  <c r="F708" i="17" s="1"/>
  <c r="F771" i="17" s="1"/>
  <c r="F834" i="17" s="1"/>
  <c r="F897" i="17" s="1"/>
  <c r="F960" i="17" s="1"/>
  <c r="F1023" i="17" s="1"/>
  <c r="F1086" i="17" s="1"/>
  <c r="F1149" i="17" s="1"/>
  <c r="F1212" i="17" s="1"/>
  <c r="F1275" i="17" s="1"/>
  <c r="F1338" i="17" s="1"/>
  <c r="F1401" i="17" s="1"/>
  <c r="F1464" i="17" s="1"/>
  <c r="F1527" i="17" s="1"/>
  <c r="F1590" i="17" s="1"/>
  <c r="F1653" i="17" s="1"/>
  <c r="F1716" i="17" s="1"/>
  <c r="F1779" i="17" s="1"/>
  <c r="F1842" i="17" s="1"/>
  <c r="F1905" i="17" s="1"/>
  <c r="I14" i="17"/>
  <c r="F14" i="17"/>
  <c r="F77" i="17" s="1"/>
  <c r="F140" i="17" s="1"/>
  <c r="F203" i="17" s="1"/>
  <c r="F266" i="17" s="1"/>
  <c r="F329" i="17" s="1"/>
  <c r="F392" i="17" s="1"/>
  <c r="F455" i="17" s="1"/>
  <c r="F518" i="17" s="1"/>
  <c r="F581" i="17" s="1"/>
  <c r="F644" i="17" s="1"/>
  <c r="F707" i="17" s="1"/>
  <c r="F770" i="17" s="1"/>
  <c r="F833" i="17" s="1"/>
  <c r="F896" i="17" s="1"/>
  <c r="F959" i="17" s="1"/>
  <c r="F1022" i="17" s="1"/>
  <c r="F1085" i="17" s="1"/>
  <c r="F1148" i="17" s="1"/>
  <c r="F1211" i="17" s="1"/>
  <c r="F1274" i="17" s="1"/>
  <c r="F1337" i="17" s="1"/>
  <c r="F1400" i="17" s="1"/>
  <c r="F1463" i="17" s="1"/>
  <c r="F1526" i="17" s="1"/>
  <c r="F1589" i="17" s="1"/>
  <c r="F1652" i="17" s="1"/>
  <c r="F1715" i="17" s="1"/>
  <c r="F1778" i="17" s="1"/>
  <c r="F1841" i="17" s="1"/>
  <c r="F1904" i="17" s="1"/>
  <c r="I13" i="17"/>
  <c r="F13" i="17"/>
  <c r="F76" i="17" s="1"/>
  <c r="F139" i="17" s="1"/>
  <c r="F202" i="17" s="1"/>
  <c r="F265" i="17" s="1"/>
  <c r="F328" i="17" s="1"/>
  <c r="F391" i="17" s="1"/>
  <c r="F454" i="17" s="1"/>
  <c r="F517" i="17" s="1"/>
  <c r="F580" i="17" s="1"/>
  <c r="F643" i="17" s="1"/>
  <c r="F706" i="17" s="1"/>
  <c r="F769" i="17" s="1"/>
  <c r="F832" i="17" s="1"/>
  <c r="F895" i="17" s="1"/>
  <c r="F958" i="17" s="1"/>
  <c r="F1021" i="17" s="1"/>
  <c r="F1084" i="17" s="1"/>
  <c r="F1147" i="17" s="1"/>
  <c r="F1210" i="17" s="1"/>
  <c r="F1273" i="17" s="1"/>
  <c r="F1336" i="17" s="1"/>
  <c r="F1399" i="17" s="1"/>
  <c r="F1462" i="17" s="1"/>
  <c r="F1525" i="17" s="1"/>
  <c r="F1588" i="17" s="1"/>
  <c r="F1651" i="17" s="1"/>
  <c r="F1714" i="17" s="1"/>
  <c r="F1777" i="17" s="1"/>
  <c r="F1840" i="17" s="1"/>
  <c r="F1903" i="17" s="1"/>
  <c r="I12" i="17"/>
  <c r="F12" i="17"/>
  <c r="F75" i="17" s="1"/>
  <c r="F138" i="17" s="1"/>
  <c r="F201" i="17" s="1"/>
  <c r="F264" i="17" s="1"/>
  <c r="F327" i="17" s="1"/>
  <c r="F390" i="17" s="1"/>
  <c r="F453" i="17" s="1"/>
  <c r="F516" i="17" s="1"/>
  <c r="F579" i="17" s="1"/>
  <c r="F642" i="17" s="1"/>
  <c r="F705" i="17" s="1"/>
  <c r="F768" i="17" s="1"/>
  <c r="F831" i="17" s="1"/>
  <c r="F894" i="17" s="1"/>
  <c r="F957" i="17" s="1"/>
  <c r="F1020" i="17" s="1"/>
  <c r="F1083" i="17" s="1"/>
  <c r="F1146" i="17" s="1"/>
  <c r="F1209" i="17" s="1"/>
  <c r="F1272" i="17" s="1"/>
  <c r="F1335" i="17" s="1"/>
  <c r="F1398" i="17" s="1"/>
  <c r="F1461" i="17" s="1"/>
  <c r="F1524" i="17" s="1"/>
  <c r="F1587" i="17" s="1"/>
  <c r="F1650" i="17" s="1"/>
  <c r="F1713" i="17" s="1"/>
  <c r="F1776" i="17" s="1"/>
  <c r="F1839" i="17" s="1"/>
  <c r="F1902" i="17" s="1"/>
  <c r="B8" i="17"/>
  <c r="E7" i="17"/>
  <c r="B6" i="17"/>
  <c r="E6" i="17" s="1"/>
  <c r="E1935" i="16"/>
  <c r="I1935" i="16" s="1"/>
  <c r="E1934" i="16"/>
  <c r="I1934" i="16" s="1"/>
  <c r="E1933" i="16"/>
  <c r="I1933" i="16" s="1"/>
  <c r="E1932" i="16"/>
  <c r="I1932" i="16" s="1"/>
  <c r="E1931" i="16"/>
  <c r="I1931" i="16" s="1"/>
  <c r="I1930" i="16"/>
  <c r="I1929" i="16"/>
  <c r="I1928" i="16"/>
  <c r="I1927" i="16"/>
  <c r="I1926" i="16"/>
  <c r="I1925" i="16"/>
  <c r="I1924" i="16"/>
  <c r="I1923" i="16"/>
  <c r="I1922" i="16"/>
  <c r="I1921" i="16"/>
  <c r="I1920" i="16"/>
  <c r="I1919" i="16"/>
  <c r="I1918" i="16"/>
  <c r="I1917" i="16"/>
  <c r="I1916" i="16"/>
  <c r="I1915" i="16"/>
  <c r="I1914" i="16"/>
  <c r="I1913" i="16"/>
  <c r="I1912" i="16"/>
  <c r="I1911" i="16"/>
  <c r="I1910" i="16"/>
  <c r="I1909" i="16"/>
  <c r="I1908" i="16"/>
  <c r="I1907" i="16"/>
  <c r="I1906" i="16"/>
  <c r="I1905" i="16"/>
  <c r="I1904" i="16"/>
  <c r="I1903" i="16"/>
  <c r="I1902" i="16"/>
  <c r="E1897" i="16"/>
  <c r="E1872" i="16"/>
  <c r="I1872" i="16" s="1"/>
  <c r="E1871" i="16"/>
  <c r="I1871" i="16" s="1"/>
  <c r="E1870" i="16"/>
  <c r="I1870" i="16" s="1"/>
  <c r="E1869" i="16"/>
  <c r="I1869" i="16" s="1"/>
  <c r="E1868" i="16"/>
  <c r="I1868" i="16" s="1"/>
  <c r="I1867" i="16"/>
  <c r="I1866" i="16"/>
  <c r="I1865" i="16"/>
  <c r="I1864" i="16"/>
  <c r="I1863" i="16"/>
  <c r="I1862" i="16"/>
  <c r="I1861" i="16"/>
  <c r="I1860" i="16"/>
  <c r="I1859" i="16"/>
  <c r="I1858" i="16"/>
  <c r="I1857" i="16"/>
  <c r="I1856" i="16"/>
  <c r="I1855" i="16"/>
  <c r="I1854" i="16"/>
  <c r="I1853" i="16"/>
  <c r="I1852" i="16"/>
  <c r="I1851" i="16"/>
  <c r="I1850" i="16"/>
  <c r="I1849" i="16"/>
  <c r="I1848" i="16"/>
  <c r="I1847" i="16"/>
  <c r="I1846" i="16"/>
  <c r="I1845" i="16"/>
  <c r="I1844" i="16"/>
  <c r="I1843" i="16"/>
  <c r="I1842" i="16"/>
  <c r="I1841" i="16"/>
  <c r="I1840" i="16"/>
  <c r="I1839" i="16"/>
  <c r="E1834" i="16"/>
  <c r="E1809" i="16"/>
  <c r="I1809" i="16" s="1"/>
  <c r="E1808" i="16"/>
  <c r="I1808" i="16" s="1"/>
  <c r="E1807" i="16"/>
  <c r="I1807" i="16" s="1"/>
  <c r="E1806" i="16"/>
  <c r="I1806" i="16" s="1"/>
  <c r="E1805" i="16"/>
  <c r="I1805" i="16" s="1"/>
  <c r="I1804" i="16"/>
  <c r="I1803" i="16"/>
  <c r="I1802" i="16"/>
  <c r="I1801" i="16"/>
  <c r="I1800" i="16"/>
  <c r="I1799" i="16"/>
  <c r="I1798" i="16"/>
  <c r="I1797" i="16"/>
  <c r="I1796" i="16"/>
  <c r="I1795" i="16"/>
  <c r="I1794" i="16"/>
  <c r="I1793" i="16"/>
  <c r="I1792" i="16"/>
  <c r="I1791" i="16"/>
  <c r="I1790" i="16"/>
  <c r="I1789" i="16"/>
  <c r="I1788" i="16"/>
  <c r="I1787" i="16"/>
  <c r="I1786" i="16"/>
  <c r="I1785" i="16"/>
  <c r="I1784" i="16"/>
  <c r="I1783" i="16"/>
  <c r="I1782" i="16"/>
  <c r="I1781" i="16"/>
  <c r="I1780" i="16"/>
  <c r="I1779" i="16"/>
  <c r="I1778" i="16"/>
  <c r="I1777" i="16"/>
  <c r="I1776" i="16"/>
  <c r="E1771" i="16"/>
  <c r="E1746" i="16"/>
  <c r="E1745" i="16"/>
  <c r="E1744" i="16"/>
  <c r="E1743" i="16"/>
  <c r="E1742" i="16"/>
  <c r="I1741" i="16"/>
  <c r="I1740" i="16"/>
  <c r="I1739" i="16"/>
  <c r="I1738" i="16"/>
  <c r="I1737" i="16"/>
  <c r="I1736" i="16"/>
  <c r="I1735" i="16"/>
  <c r="I1734" i="16"/>
  <c r="I1733" i="16"/>
  <c r="I1732" i="16"/>
  <c r="I1731" i="16"/>
  <c r="I1730" i="16"/>
  <c r="I1729" i="16"/>
  <c r="I1728" i="16"/>
  <c r="I1727" i="16"/>
  <c r="I1726" i="16"/>
  <c r="I1725" i="16"/>
  <c r="I1724" i="16"/>
  <c r="I1723" i="16"/>
  <c r="I1722" i="16"/>
  <c r="I1721" i="16"/>
  <c r="I1720" i="16"/>
  <c r="I1719" i="16"/>
  <c r="I1718" i="16"/>
  <c r="I1717" i="16"/>
  <c r="I1716" i="16"/>
  <c r="I1715" i="16"/>
  <c r="I1714" i="16"/>
  <c r="I1713" i="16"/>
  <c r="E1708" i="16"/>
  <c r="I1683" i="16"/>
  <c r="E1683" i="16"/>
  <c r="I1682" i="16"/>
  <c r="E1682" i="16"/>
  <c r="I1681" i="16"/>
  <c r="E1681" i="16"/>
  <c r="I1680" i="16"/>
  <c r="E1680" i="16"/>
  <c r="I1679" i="16"/>
  <c r="E1679" i="16"/>
  <c r="I1678" i="16"/>
  <c r="I1677" i="16"/>
  <c r="I1676" i="16"/>
  <c r="I1675" i="16"/>
  <c r="I1674" i="16"/>
  <c r="I1673" i="16"/>
  <c r="I1672" i="16"/>
  <c r="I1671" i="16"/>
  <c r="I1670" i="16"/>
  <c r="I1669" i="16"/>
  <c r="I1668" i="16"/>
  <c r="I1667" i="16"/>
  <c r="I1666" i="16"/>
  <c r="I1665" i="16"/>
  <c r="I1664" i="16"/>
  <c r="I1663" i="16"/>
  <c r="I1662" i="16"/>
  <c r="I1661" i="16"/>
  <c r="I1660" i="16"/>
  <c r="I1659" i="16"/>
  <c r="I1658" i="16"/>
  <c r="I1657" i="16"/>
  <c r="I1656" i="16"/>
  <c r="I1655" i="16"/>
  <c r="I1654" i="16"/>
  <c r="I1653" i="16"/>
  <c r="I1652" i="16"/>
  <c r="I1651" i="16"/>
  <c r="I1650" i="16"/>
  <c r="E1645" i="16"/>
  <c r="I1620" i="16"/>
  <c r="E1620" i="16"/>
  <c r="I1619" i="16"/>
  <c r="E1619" i="16"/>
  <c r="I1618" i="16"/>
  <c r="E1618" i="16"/>
  <c r="I1617" i="16"/>
  <c r="E1617" i="16"/>
  <c r="I1616" i="16"/>
  <c r="E1616" i="16"/>
  <c r="I1615" i="16"/>
  <c r="I1614" i="16"/>
  <c r="I1613" i="16"/>
  <c r="I1612" i="16"/>
  <c r="I1611" i="16"/>
  <c r="I1610" i="16"/>
  <c r="I1609" i="16"/>
  <c r="I1608" i="16"/>
  <c r="I1607" i="16"/>
  <c r="I1606" i="16"/>
  <c r="I1605" i="16"/>
  <c r="I1604" i="16"/>
  <c r="I1603" i="16"/>
  <c r="I1602" i="16"/>
  <c r="I1601" i="16"/>
  <c r="I1600" i="16"/>
  <c r="I1599" i="16"/>
  <c r="I1598" i="16"/>
  <c r="I1597" i="16"/>
  <c r="I1596" i="16"/>
  <c r="I1595" i="16"/>
  <c r="I1594" i="16"/>
  <c r="I1593" i="16"/>
  <c r="I1592" i="16"/>
  <c r="I1591" i="16"/>
  <c r="I1590" i="16"/>
  <c r="I1589" i="16"/>
  <c r="I1588" i="16"/>
  <c r="I1587" i="16"/>
  <c r="I1621" i="16" s="1"/>
  <c r="E1582" i="16"/>
  <c r="E1557" i="16"/>
  <c r="E1556" i="16"/>
  <c r="E1555" i="16"/>
  <c r="E1554" i="16"/>
  <c r="E1553" i="16"/>
  <c r="I1552" i="16"/>
  <c r="I1551" i="16"/>
  <c r="I1550" i="16"/>
  <c r="I1549" i="16"/>
  <c r="I1548" i="16"/>
  <c r="I1547" i="16"/>
  <c r="I1546" i="16"/>
  <c r="I1545" i="16"/>
  <c r="I1544" i="16"/>
  <c r="I1543" i="16"/>
  <c r="I1542" i="16"/>
  <c r="I1541" i="16"/>
  <c r="I1540" i="16"/>
  <c r="I1539" i="16"/>
  <c r="I1538" i="16"/>
  <c r="I1537" i="16"/>
  <c r="I1536" i="16"/>
  <c r="I1535" i="16"/>
  <c r="I1534" i="16"/>
  <c r="I1533" i="16"/>
  <c r="I1532" i="16"/>
  <c r="I1531" i="16"/>
  <c r="I1530" i="16"/>
  <c r="I1529" i="16"/>
  <c r="I1528" i="16"/>
  <c r="I1527" i="16"/>
  <c r="I1526" i="16"/>
  <c r="I1525" i="16"/>
  <c r="I1524" i="16"/>
  <c r="E1519" i="16"/>
  <c r="I1494" i="16"/>
  <c r="E1494" i="16"/>
  <c r="I1493" i="16"/>
  <c r="E1493" i="16"/>
  <c r="I1492" i="16"/>
  <c r="E1492" i="16"/>
  <c r="I1491" i="16"/>
  <c r="E1491" i="16"/>
  <c r="I1490" i="16"/>
  <c r="E1490" i="16"/>
  <c r="I1489" i="16"/>
  <c r="I1488" i="16"/>
  <c r="I1487" i="16"/>
  <c r="I1486" i="16"/>
  <c r="I1485" i="16"/>
  <c r="I1484" i="16"/>
  <c r="I1483" i="16"/>
  <c r="I1482" i="16"/>
  <c r="I1481" i="16"/>
  <c r="I1480" i="16"/>
  <c r="I1479" i="16"/>
  <c r="I1478" i="16"/>
  <c r="I1477" i="16"/>
  <c r="I1476" i="16"/>
  <c r="I1475" i="16"/>
  <c r="I1474" i="16"/>
  <c r="I1473" i="16"/>
  <c r="I1472" i="16"/>
  <c r="I1471" i="16"/>
  <c r="I1470" i="16"/>
  <c r="I1469" i="16"/>
  <c r="I1468" i="16"/>
  <c r="I1467" i="16"/>
  <c r="I1466" i="16"/>
  <c r="I1465" i="16"/>
  <c r="I1464" i="16"/>
  <c r="I1463" i="16"/>
  <c r="I1462" i="16"/>
  <c r="I1461" i="16"/>
  <c r="E1456" i="16"/>
  <c r="E1431" i="16"/>
  <c r="E1430" i="16"/>
  <c r="E1429" i="16"/>
  <c r="E1428" i="16"/>
  <c r="E1427" i="16"/>
  <c r="I1426" i="16"/>
  <c r="I1425" i="16"/>
  <c r="I1424" i="16"/>
  <c r="I1423" i="16"/>
  <c r="I1422" i="16"/>
  <c r="I1421" i="16"/>
  <c r="I1420" i="16"/>
  <c r="I1419" i="16"/>
  <c r="I1418" i="16"/>
  <c r="I1417" i="16"/>
  <c r="I1416" i="16"/>
  <c r="I1415" i="16"/>
  <c r="I1414" i="16"/>
  <c r="I1413" i="16"/>
  <c r="I1412" i="16"/>
  <c r="I1411" i="16"/>
  <c r="I1410" i="16"/>
  <c r="I1409" i="16"/>
  <c r="I1408" i="16"/>
  <c r="I1407" i="16"/>
  <c r="I1406" i="16"/>
  <c r="I1405" i="16"/>
  <c r="I1404" i="16"/>
  <c r="I1403" i="16"/>
  <c r="I1402" i="16"/>
  <c r="I1401" i="16"/>
  <c r="I1400" i="16"/>
  <c r="I1399" i="16"/>
  <c r="I1398" i="16"/>
  <c r="E1393" i="16"/>
  <c r="E1368" i="16"/>
  <c r="I1368" i="16" s="1"/>
  <c r="E1367" i="16"/>
  <c r="I1366" i="16"/>
  <c r="E1366" i="16"/>
  <c r="I1365" i="16"/>
  <c r="E1365" i="16"/>
  <c r="E1364" i="16"/>
  <c r="I1364" i="16" s="1"/>
  <c r="I1363" i="16"/>
  <c r="I1362" i="16"/>
  <c r="I1361" i="16"/>
  <c r="I1360" i="16"/>
  <c r="I1359" i="16"/>
  <c r="I1358" i="16"/>
  <c r="I1357" i="16"/>
  <c r="I1356" i="16"/>
  <c r="I1355" i="16"/>
  <c r="I1354" i="16"/>
  <c r="I1353" i="16"/>
  <c r="I1352" i="16"/>
  <c r="I1351" i="16"/>
  <c r="I1350" i="16"/>
  <c r="I1349" i="16"/>
  <c r="I1348" i="16"/>
  <c r="I1347" i="16"/>
  <c r="I1346" i="16"/>
  <c r="I1345" i="16"/>
  <c r="I1344" i="16"/>
  <c r="I1343" i="16"/>
  <c r="I1342" i="16"/>
  <c r="I1341" i="16"/>
  <c r="I1340" i="16"/>
  <c r="I1339" i="16"/>
  <c r="I1338" i="16"/>
  <c r="I1337" i="16"/>
  <c r="I1336" i="16"/>
  <c r="I1335" i="16"/>
  <c r="E1330" i="16"/>
  <c r="I1305" i="16"/>
  <c r="E1305" i="16"/>
  <c r="E1304" i="16"/>
  <c r="I1303" i="16"/>
  <c r="E1303" i="16"/>
  <c r="I1302" i="16"/>
  <c r="E1302" i="16"/>
  <c r="I1301" i="16"/>
  <c r="E1301" i="16"/>
  <c r="I1300" i="16"/>
  <c r="I1299" i="16"/>
  <c r="I1298" i="16"/>
  <c r="I1297" i="16"/>
  <c r="I1296" i="16"/>
  <c r="I1295" i="16"/>
  <c r="I1294" i="16"/>
  <c r="I1293" i="16"/>
  <c r="I1292" i="16"/>
  <c r="I1291" i="16"/>
  <c r="I1290" i="16"/>
  <c r="I1289" i="16"/>
  <c r="I1288" i="16"/>
  <c r="I1287" i="16"/>
  <c r="I1286" i="16"/>
  <c r="I1285" i="16"/>
  <c r="I1284" i="16"/>
  <c r="I1283" i="16"/>
  <c r="I1282" i="16"/>
  <c r="I1281" i="16"/>
  <c r="I1280" i="16"/>
  <c r="I1279" i="16"/>
  <c r="I1278" i="16"/>
  <c r="I1277" i="16"/>
  <c r="I1276" i="16"/>
  <c r="I1275" i="16"/>
  <c r="I1274" i="16"/>
  <c r="I1273" i="16"/>
  <c r="I1272" i="16"/>
  <c r="E1267" i="16"/>
  <c r="I1242" i="16"/>
  <c r="E1242" i="16"/>
  <c r="I1241" i="16"/>
  <c r="E1241" i="16"/>
  <c r="I1240" i="16"/>
  <c r="E1240" i="16"/>
  <c r="I1239" i="16"/>
  <c r="E1239" i="16"/>
  <c r="I1238" i="16"/>
  <c r="E1238" i="16"/>
  <c r="I1237" i="16"/>
  <c r="I1236" i="16"/>
  <c r="I1235" i="16"/>
  <c r="I1234" i="16"/>
  <c r="I1233" i="16"/>
  <c r="I1232" i="16"/>
  <c r="I1231" i="16"/>
  <c r="I1230" i="16"/>
  <c r="I1229" i="16"/>
  <c r="I1228" i="16"/>
  <c r="I1227" i="16"/>
  <c r="I1226" i="16"/>
  <c r="I1225" i="16"/>
  <c r="I1224" i="16"/>
  <c r="I1223" i="16"/>
  <c r="I1222" i="16"/>
  <c r="I1221" i="16"/>
  <c r="I1220" i="16"/>
  <c r="I1219" i="16"/>
  <c r="I1218" i="16"/>
  <c r="I1217" i="16"/>
  <c r="I1216" i="16"/>
  <c r="I1215" i="16"/>
  <c r="I1214" i="16"/>
  <c r="I1213" i="16"/>
  <c r="I1212" i="16"/>
  <c r="I1211" i="16"/>
  <c r="I1210" i="16"/>
  <c r="I1209" i="16"/>
  <c r="E1204" i="16"/>
  <c r="E1179" i="16"/>
  <c r="E1178" i="16"/>
  <c r="E1177" i="16"/>
  <c r="E1176" i="16"/>
  <c r="E1175" i="16"/>
  <c r="I1174" i="16"/>
  <c r="I1173" i="16"/>
  <c r="I1172" i="16"/>
  <c r="I1171" i="16"/>
  <c r="I1170" i="16"/>
  <c r="I1169" i="16"/>
  <c r="I1168" i="16"/>
  <c r="I1167" i="16"/>
  <c r="I1166" i="16"/>
  <c r="I1165" i="16"/>
  <c r="I1164" i="16"/>
  <c r="I1163" i="16"/>
  <c r="I1162" i="16"/>
  <c r="I1161" i="16"/>
  <c r="I1160" i="16"/>
  <c r="I1159" i="16"/>
  <c r="I1158" i="16"/>
  <c r="I1157" i="16"/>
  <c r="I1156" i="16"/>
  <c r="I1155" i="16"/>
  <c r="I1154" i="16"/>
  <c r="I1153" i="16"/>
  <c r="I1152" i="16"/>
  <c r="I1151" i="16"/>
  <c r="I1150" i="16"/>
  <c r="I1149" i="16"/>
  <c r="I1148" i="16"/>
  <c r="I1147" i="16"/>
  <c r="I1146" i="16"/>
  <c r="E1141" i="16"/>
  <c r="I1116" i="16"/>
  <c r="E1116" i="16"/>
  <c r="I1115" i="16"/>
  <c r="E1115" i="16"/>
  <c r="I1114" i="16"/>
  <c r="E1114" i="16"/>
  <c r="I1113" i="16"/>
  <c r="E1113" i="16"/>
  <c r="I1112" i="16"/>
  <c r="E1112" i="16"/>
  <c r="I1111" i="16"/>
  <c r="I1110" i="16"/>
  <c r="I1109" i="16"/>
  <c r="I1108" i="16"/>
  <c r="I1107" i="16"/>
  <c r="I1106" i="16"/>
  <c r="I1105" i="16"/>
  <c r="I1104" i="16"/>
  <c r="I1103" i="16"/>
  <c r="I1102" i="16"/>
  <c r="I1101" i="16"/>
  <c r="I1100" i="16"/>
  <c r="I1099" i="16"/>
  <c r="I1098" i="16"/>
  <c r="I1097" i="16"/>
  <c r="I1096" i="16"/>
  <c r="I1095" i="16"/>
  <c r="I1094" i="16"/>
  <c r="I1093" i="16"/>
  <c r="I1092" i="16"/>
  <c r="I1091" i="16"/>
  <c r="I1090" i="16"/>
  <c r="I1089" i="16"/>
  <c r="I1088" i="16"/>
  <c r="I1087" i="16"/>
  <c r="I1086" i="16"/>
  <c r="I1085" i="16"/>
  <c r="I1084" i="16"/>
  <c r="I1083" i="16"/>
  <c r="E1078" i="16"/>
  <c r="E1053" i="16"/>
  <c r="E1052" i="16"/>
  <c r="E1051" i="16"/>
  <c r="E1050" i="16"/>
  <c r="E1049" i="16"/>
  <c r="I1048" i="16"/>
  <c r="I1047" i="16"/>
  <c r="I1046" i="16"/>
  <c r="I1045" i="16"/>
  <c r="I1044" i="16"/>
  <c r="I1043" i="16"/>
  <c r="I1042" i="16"/>
  <c r="I1041" i="16"/>
  <c r="I1040" i="16"/>
  <c r="I1039" i="16"/>
  <c r="I1038" i="16"/>
  <c r="I1037" i="16"/>
  <c r="I1036" i="16"/>
  <c r="I1035" i="16"/>
  <c r="I1034" i="16"/>
  <c r="I1033" i="16"/>
  <c r="I1032" i="16"/>
  <c r="I1031" i="16"/>
  <c r="I1030" i="16"/>
  <c r="I1029" i="16"/>
  <c r="I1028" i="16"/>
  <c r="I1027" i="16"/>
  <c r="I1026" i="16"/>
  <c r="I1025" i="16"/>
  <c r="I1024" i="16"/>
  <c r="I1023" i="16"/>
  <c r="I1022" i="16"/>
  <c r="I1021" i="16"/>
  <c r="I1020" i="16"/>
  <c r="E1015" i="16"/>
  <c r="I990" i="16"/>
  <c r="E990" i="16"/>
  <c r="I989" i="16"/>
  <c r="E989" i="16"/>
  <c r="I988" i="16"/>
  <c r="E988" i="16"/>
  <c r="I987" i="16"/>
  <c r="E987" i="16"/>
  <c r="I986" i="16"/>
  <c r="E986" i="16"/>
  <c r="I985" i="16"/>
  <c r="I984" i="16"/>
  <c r="I983" i="16"/>
  <c r="I982" i="16"/>
  <c r="I981" i="16"/>
  <c r="I980" i="16"/>
  <c r="I979" i="16"/>
  <c r="I978" i="16"/>
  <c r="I977" i="16"/>
  <c r="I976" i="16"/>
  <c r="I975" i="16"/>
  <c r="I974" i="16"/>
  <c r="I973" i="16"/>
  <c r="I972" i="16"/>
  <c r="I971" i="16"/>
  <c r="I970" i="16"/>
  <c r="I969" i="16"/>
  <c r="I968" i="16"/>
  <c r="I967" i="16"/>
  <c r="I966" i="16"/>
  <c r="I965" i="16"/>
  <c r="I964" i="16"/>
  <c r="I963" i="16"/>
  <c r="I962" i="16"/>
  <c r="I961" i="16"/>
  <c r="I960" i="16"/>
  <c r="I959" i="16"/>
  <c r="I958" i="16"/>
  <c r="I957" i="16"/>
  <c r="E952" i="16"/>
  <c r="E927" i="16"/>
  <c r="I926" i="16"/>
  <c r="E926" i="16"/>
  <c r="I925" i="16"/>
  <c r="E925" i="16"/>
  <c r="E924" i="16"/>
  <c r="E923" i="16"/>
  <c r="I922" i="16"/>
  <c r="I921" i="16"/>
  <c r="I920" i="16"/>
  <c r="I919" i="16"/>
  <c r="I918" i="16"/>
  <c r="I917" i="16"/>
  <c r="I916" i="16"/>
  <c r="I915" i="16"/>
  <c r="I914" i="16"/>
  <c r="I913" i="16"/>
  <c r="I912" i="16"/>
  <c r="I911" i="16"/>
  <c r="I910" i="16"/>
  <c r="I909" i="16"/>
  <c r="I908" i="16"/>
  <c r="I907" i="16"/>
  <c r="I906" i="16"/>
  <c r="I905" i="16"/>
  <c r="I904" i="16"/>
  <c r="I903" i="16"/>
  <c r="I902" i="16"/>
  <c r="I901" i="16"/>
  <c r="I900" i="16"/>
  <c r="I899" i="16"/>
  <c r="I898" i="16"/>
  <c r="I897" i="16"/>
  <c r="I896" i="16"/>
  <c r="I895" i="16"/>
  <c r="I894" i="16"/>
  <c r="E889" i="16"/>
  <c r="E864" i="16"/>
  <c r="I864" i="16" s="1"/>
  <c r="E863" i="16"/>
  <c r="I862" i="16"/>
  <c r="E862" i="16"/>
  <c r="I861" i="16"/>
  <c r="E861" i="16"/>
  <c r="E860" i="16"/>
  <c r="I860" i="16" s="1"/>
  <c r="I859" i="16"/>
  <c r="I858" i="16"/>
  <c r="I857" i="16"/>
  <c r="I856" i="16"/>
  <c r="I855" i="16"/>
  <c r="I854" i="16"/>
  <c r="I853" i="16"/>
  <c r="I852" i="16"/>
  <c r="I851" i="16"/>
  <c r="I850" i="16"/>
  <c r="I849" i="16"/>
  <c r="I848" i="16"/>
  <c r="I847" i="16"/>
  <c r="I846" i="16"/>
  <c r="I845" i="16"/>
  <c r="I844" i="16"/>
  <c r="I843" i="16"/>
  <c r="I842" i="16"/>
  <c r="I841" i="16"/>
  <c r="I840" i="16"/>
  <c r="I839" i="16"/>
  <c r="I838" i="16"/>
  <c r="I837" i="16"/>
  <c r="I836" i="16"/>
  <c r="I835" i="16"/>
  <c r="I834" i="16"/>
  <c r="I833" i="16"/>
  <c r="I832" i="16"/>
  <c r="I831" i="16"/>
  <c r="E826" i="16"/>
  <c r="I801" i="16"/>
  <c r="E801" i="16"/>
  <c r="I800" i="16"/>
  <c r="E800" i="16"/>
  <c r="I799" i="16"/>
  <c r="E799" i="16"/>
  <c r="I798" i="16"/>
  <c r="E798" i="16"/>
  <c r="I797" i="16"/>
  <c r="E797" i="16"/>
  <c r="I796" i="16"/>
  <c r="I795" i="16"/>
  <c r="I794" i="16"/>
  <c r="I793" i="16"/>
  <c r="I792" i="16"/>
  <c r="I791" i="16"/>
  <c r="I790" i="16"/>
  <c r="I789" i="16"/>
  <c r="I788" i="16"/>
  <c r="I787" i="16"/>
  <c r="I786" i="16"/>
  <c r="I785" i="16"/>
  <c r="I784" i="16"/>
  <c r="I783" i="16"/>
  <c r="I782" i="16"/>
  <c r="I781" i="16"/>
  <c r="I780" i="16"/>
  <c r="I779" i="16"/>
  <c r="I778" i="16"/>
  <c r="I777" i="16"/>
  <c r="I776" i="16"/>
  <c r="I775" i="16"/>
  <c r="I774" i="16"/>
  <c r="I773" i="16"/>
  <c r="I772" i="16"/>
  <c r="I771" i="16"/>
  <c r="I770" i="16"/>
  <c r="I769" i="16"/>
  <c r="I768" i="16"/>
  <c r="E763" i="16"/>
  <c r="E738" i="16"/>
  <c r="E737" i="16"/>
  <c r="E736" i="16"/>
  <c r="E735" i="16"/>
  <c r="E734" i="16"/>
  <c r="I733" i="16"/>
  <c r="I732" i="16"/>
  <c r="I731" i="16"/>
  <c r="I730" i="16"/>
  <c r="I729" i="16"/>
  <c r="I728" i="16"/>
  <c r="I727" i="16"/>
  <c r="I726" i="16"/>
  <c r="I725" i="16"/>
  <c r="I724" i="16"/>
  <c r="I723" i="16"/>
  <c r="I722" i="16"/>
  <c r="I721" i="16"/>
  <c r="I720" i="16"/>
  <c r="I719" i="16"/>
  <c r="I718" i="16"/>
  <c r="I717" i="16"/>
  <c r="I716" i="16"/>
  <c r="I715" i="16"/>
  <c r="I714" i="16"/>
  <c r="I713" i="16"/>
  <c r="I712" i="16"/>
  <c r="I711" i="16"/>
  <c r="I710" i="16"/>
  <c r="I709" i="16"/>
  <c r="I708" i="16"/>
  <c r="I707" i="16"/>
  <c r="I706" i="16"/>
  <c r="I705" i="16"/>
  <c r="E700" i="16"/>
  <c r="I675" i="16"/>
  <c r="E675" i="16"/>
  <c r="I674" i="16"/>
  <c r="E674" i="16"/>
  <c r="I673" i="16"/>
  <c r="E673" i="16"/>
  <c r="I672" i="16"/>
  <c r="E672" i="16"/>
  <c r="I671" i="16"/>
  <c r="E671" i="16"/>
  <c r="I670" i="16"/>
  <c r="I669" i="16"/>
  <c r="I668" i="16"/>
  <c r="I667" i="16"/>
  <c r="I666" i="16"/>
  <c r="I665" i="16"/>
  <c r="I664" i="16"/>
  <c r="I663" i="16"/>
  <c r="I662" i="16"/>
  <c r="I661" i="16"/>
  <c r="I660" i="16"/>
  <c r="I659" i="16"/>
  <c r="I658" i="16"/>
  <c r="I657" i="16"/>
  <c r="I656" i="16"/>
  <c r="I655" i="16"/>
  <c r="I654" i="16"/>
  <c r="I653" i="16"/>
  <c r="I652" i="16"/>
  <c r="I651" i="16"/>
  <c r="I650" i="16"/>
  <c r="I649" i="16"/>
  <c r="I648" i="16"/>
  <c r="I647" i="16"/>
  <c r="I646" i="16"/>
  <c r="I645" i="16"/>
  <c r="I644" i="16"/>
  <c r="I643" i="16"/>
  <c r="I642" i="16"/>
  <c r="E637" i="16"/>
  <c r="E612" i="16"/>
  <c r="E611" i="16"/>
  <c r="E610" i="16"/>
  <c r="E609" i="16"/>
  <c r="E608" i="16"/>
  <c r="I607" i="16"/>
  <c r="I606" i="16"/>
  <c r="I605" i="16"/>
  <c r="I604" i="16"/>
  <c r="I603" i="16"/>
  <c r="I602" i="16"/>
  <c r="I601" i="16"/>
  <c r="I600" i="16"/>
  <c r="I599" i="16"/>
  <c r="I598" i="16"/>
  <c r="I597" i="16"/>
  <c r="I596" i="16"/>
  <c r="I595" i="16"/>
  <c r="I594" i="16"/>
  <c r="I593" i="16"/>
  <c r="I592" i="16"/>
  <c r="I591" i="16"/>
  <c r="I590" i="16"/>
  <c r="I589" i="16"/>
  <c r="I588" i="16"/>
  <c r="I587" i="16"/>
  <c r="I586" i="16"/>
  <c r="I585" i="16"/>
  <c r="I584" i="16"/>
  <c r="I583" i="16"/>
  <c r="I582" i="16"/>
  <c r="I581" i="16"/>
  <c r="I580" i="16"/>
  <c r="I579" i="16"/>
  <c r="E574" i="16"/>
  <c r="I549" i="16"/>
  <c r="E549" i="16"/>
  <c r="I548" i="16"/>
  <c r="E548" i="16"/>
  <c r="I547" i="16"/>
  <c r="E547" i="16"/>
  <c r="I546" i="16"/>
  <c r="E546" i="16"/>
  <c r="I545" i="16"/>
  <c r="E545" i="16"/>
  <c r="I544" i="16"/>
  <c r="I543" i="16"/>
  <c r="I542" i="16"/>
  <c r="I541" i="16"/>
  <c r="I540" i="16"/>
  <c r="I539" i="16"/>
  <c r="I538" i="16"/>
  <c r="I537" i="16"/>
  <c r="I536" i="16"/>
  <c r="I535" i="16"/>
  <c r="I534" i="16"/>
  <c r="I533" i="16"/>
  <c r="I532" i="16"/>
  <c r="I531" i="16"/>
  <c r="I530" i="16"/>
  <c r="I529" i="16"/>
  <c r="I528" i="16"/>
  <c r="I527" i="16"/>
  <c r="I526" i="16"/>
  <c r="I525" i="16"/>
  <c r="I524" i="16"/>
  <c r="I523" i="16"/>
  <c r="I522" i="16"/>
  <c r="I521" i="16"/>
  <c r="I520" i="16"/>
  <c r="I519" i="16"/>
  <c r="I518" i="16"/>
  <c r="I517" i="16"/>
  <c r="I516" i="16"/>
  <c r="E511" i="16"/>
  <c r="E486" i="16"/>
  <c r="I486" i="16" s="1"/>
  <c r="E485" i="16"/>
  <c r="I485" i="16" s="1"/>
  <c r="E484" i="16"/>
  <c r="I484" i="16" s="1"/>
  <c r="E483" i="16"/>
  <c r="I483" i="16" s="1"/>
  <c r="E482" i="16"/>
  <c r="I482" i="16" s="1"/>
  <c r="I481" i="16"/>
  <c r="I480" i="16"/>
  <c r="I479" i="16"/>
  <c r="I478" i="16"/>
  <c r="I477" i="16"/>
  <c r="I476" i="16"/>
  <c r="I475" i="16"/>
  <c r="I474" i="16"/>
  <c r="I473" i="16"/>
  <c r="I472" i="16"/>
  <c r="I471" i="16"/>
  <c r="I470" i="16"/>
  <c r="I469" i="16"/>
  <c r="I468" i="16"/>
  <c r="I467" i="16"/>
  <c r="I466" i="16"/>
  <c r="I465" i="16"/>
  <c r="I464" i="16"/>
  <c r="I463" i="16"/>
  <c r="I462" i="16"/>
  <c r="I461" i="16"/>
  <c r="I460" i="16"/>
  <c r="I459" i="16"/>
  <c r="I458" i="16"/>
  <c r="I457" i="16"/>
  <c r="I456" i="16"/>
  <c r="I455" i="16"/>
  <c r="I454" i="16"/>
  <c r="I487" i="16" s="1"/>
  <c r="I453" i="16"/>
  <c r="E448" i="16"/>
  <c r="I423" i="16"/>
  <c r="E423" i="16"/>
  <c r="I422" i="16"/>
  <c r="E422" i="16"/>
  <c r="I421" i="16"/>
  <c r="E421" i="16"/>
  <c r="I420" i="16"/>
  <c r="E420" i="16"/>
  <c r="I419" i="16"/>
  <c r="E419" i="16"/>
  <c r="I418" i="16"/>
  <c r="I417" i="16"/>
  <c r="I416" i="16"/>
  <c r="I415" i="16"/>
  <c r="I414" i="16"/>
  <c r="I413" i="16"/>
  <c r="I412" i="16"/>
  <c r="I411" i="16"/>
  <c r="I410" i="16"/>
  <c r="I409" i="16"/>
  <c r="I408" i="16"/>
  <c r="I407" i="16"/>
  <c r="I406" i="16"/>
  <c r="I405" i="16"/>
  <c r="I404" i="16"/>
  <c r="I403" i="16"/>
  <c r="I402" i="16"/>
  <c r="I401" i="16"/>
  <c r="I400" i="16"/>
  <c r="I399" i="16"/>
  <c r="I398" i="16"/>
  <c r="I397" i="16"/>
  <c r="I396" i="16"/>
  <c r="I395" i="16"/>
  <c r="I394" i="16"/>
  <c r="I393" i="16"/>
  <c r="I392" i="16"/>
  <c r="I391" i="16"/>
  <c r="I390" i="16"/>
  <c r="I424" i="16" s="1"/>
  <c r="E385" i="16"/>
  <c r="E360" i="16"/>
  <c r="I360" i="16" s="1"/>
  <c r="E359" i="16"/>
  <c r="I359" i="16" s="1"/>
  <c r="E358" i="16"/>
  <c r="I358" i="16" s="1"/>
  <c r="E357" i="16"/>
  <c r="I357" i="16" s="1"/>
  <c r="E356" i="16"/>
  <c r="I356" i="16" s="1"/>
  <c r="I355" i="16"/>
  <c r="I354" i="16"/>
  <c r="I353" i="16"/>
  <c r="I352" i="16"/>
  <c r="I351" i="16"/>
  <c r="I350" i="16"/>
  <c r="I349" i="16"/>
  <c r="I348" i="16"/>
  <c r="I347" i="16"/>
  <c r="I346" i="16"/>
  <c r="I345" i="16"/>
  <c r="I344" i="16"/>
  <c r="I343" i="16"/>
  <c r="I342" i="16"/>
  <c r="I341" i="16"/>
  <c r="I340" i="16"/>
  <c r="I339" i="16"/>
  <c r="I338" i="16"/>
  <c r="I337" i="16"/>
  <c r="I336" i="16"/>
  <c r="I335" i="16"/>
  <c r="I334" i="16"/>
  <c r="I333" i="16"/>
  <c r="I332" i="16"/>
  <c r="I331" i="16"/>
  <c r="I330" i="16"/>
  <c r="I329" i="16"/>
  <c r="I328" i="16"/>
  <c r="I361" i="16" s="1"/>
  <c r="I327" i="16"/>
  <c r="E322" i="16"/>
  <c r="I297" i="16"/>
  <c r="E297" i="16"/>
  <c r="I296" i="16"/>
  <c r="E296" i="16"/>
  <c r="I295" i="16"/>
  <c r="E295" i="16"/>
  <c r="I294" i="16"/>
  <c r="E294" i="16"/>
  <c r="I293" i="16"/>
  <c r="E293" i="16"/>
  <c r="I292" i="16"/>
  <c r="I291" i="16"/>
  <c r="I290" i="16"/>
  <c r="I289" i="16"/>
  <c r="I288" i="16"/>
  <c r="I287" i="16"/>
  <c r="I286" i="16"/>
  <c r="I285" i="16"/>
  <c r="I284" i="16"/>
  <c r="I283" i="16"/>
  <c r="I282" i="16"/>
  <c r="I281" i="16"/>
  <c r="I280" i="16"/>
  <c r="I279" i="16"/>
  <c r="I278" i="16"/>
  <c r="I277" i="16"/>
  <c r="I276" i="16"/>
  <c r="I275" i="16"/>
  <c r="I274" i="16"/>
  <c r="I273" i="16"/>
  <c r="I272" i="16"/>
  <c r="I271" i="16"/>
  <c r="I270" i="16"/>
  <c r="I269" i="16"/>
  <c r="I268" i="16"/>
  <c r="I267" i="16"/>
  <c r="I266" i="16"/>
  <c r="I265" i="16"/>
  <c r="I264" i="16"/>
  <c r="E259" i="16"/>
  <c r="E234" i="16"/>
  <c r="I234" i="16" s="1"/>
  <c r="E233" i="16"/>
  <c r="I233" i="16" s="1"/>
  <c r="E232" i="16"/>
  <c r="I232" i="16" s="1"/>
  <c r="E231" i="16"/>
  <c r="I231" i="16" s="1"/>
  <c r="E230" i="16"/>
  <c r="I230" i="16" s="1"/>
  <c r="I229" i="16"/>
  <c r="I228" i="16"/>
  <c r="I227" i="16"/>
  <c r="I226" i="16"/>
  <c r="I225" i="16"/>
  <c r="I224" i="16"/>
  <c r="I223" i="16"/>
  <c r="I222" i="16"/>
  <c r="I221" i="16"/>
  <c r="I220" i="16"/>
  <c r="I219" i="16"/>
  <c r="I218" i="16"/>
  <c r="I217" i="16"/>
  <c r="I216" i="16"/>
  <c r="I215" i="16"/>
  <c r="I214" i="16"/>
  <c r="I213" i="16"/>
  <c r="I212" i="16"/>
  <c r="I211" i="16"/>
  <c r="I210" i="16"/>
  <c r="I209" i="16"/>
  <c r="I208" i="16"/>
  <c r="I207" i="16"/>
  <c r="I206" i="16"/>
  <c r="I205" i="16"/>
  <c r="I204" i="16"/>
  <c r="I203" i="16"/>
  <c r="I202" i="16"/>
  <c r="I235" i="16" s="1"/>
  <c r="I201" i="16"/>
  <c r="E196" i="16"/>
  <c r="J188" i="16"/>
  <c r="J251" i="16" s="1"/>
  <c r="J314" i="16" s="1"/>
  <c r="J377" i="16" s="1"/>
  <c r="J440" i="16" s="1"/>
  <c r="J503" i="16" s="1"/>
  <c r="J566" i="16" s="1"/>
  <c r="J629" i="16" s="1"/>
  <c r="J692" i="16" s="1"/>
  <c r="J755" i="16" s="1"/>
  <c r="J818" i="16" s="1"/>
  <c r="J881" i="16" s="1"/>
  <c r="J944" i="16" s="1"/>
  <c r="J1007" i="16" s="1"/>
  <c r="J1070" i="16" s="1"/>
  <c r="J1133" i="16" s="1"/>
  <c r="J1196" i="16" s="1"/>
  <c r="J1259" i="16" s="1"/>
  <c r="J1322" i="16" s="1"/>
  <c r="J1385" i="16" s="1"/>
  <c r="J1448" i="16" s="1"/>
  <c r="J1511" i="16" s="1"/>
  <c r="J1574" i="16" s="1"/>
  <c r="J1637" i="16" s="1"/>
  <c r="J1700" i="16" s="1"/>
  <c r="J1763" i="16" s="1"/>
  <c r="J1826" i="16" s="1"/>
  <c r="J1889" i="16" s="1"/>
  <c r="J1952" i="16" s="1"/>
  <c r="J187" i="16"/>
  <c r="J250" i="16" s="1"/>
  <c r="J313" i="16" s="1"/>
  <c r="J376" i="16" s="1"/>
  <c r="J439" i="16" s="1"/>
  <c r="J502" i="16" s="1"/>
  <c r="J565" i="16" s="1"/>
  <c r="J628" i="16" s="1"/>
  <c r="J691" i="16" s="1"/>
  <c r="J754" i="16" s="1"/>
  <c r="J817" i="16" s="1"/>
  <c r="J880" i="16" s="1"/>
  <c r="J943" i="16" s="1"/>
  <c r="J1006" i="16" s="1"/>
  <c r="J1069" i="16" s="1"/>
  <c r="J1132" i="16" s="1"/>
  <c r="J1195" i="16" s="1"/>
  <c r="J1258" i="16" s="1"/>
  <c r="J1321" i="16" s="1"/>
  <c r="J1384" i="16" s="1"/>
  <c r="J1447" i="16" s="1"/>
  <c r="J1510" i="16" s="1"/>
  <c r="J1573" i="16" s="1"/>
  <c r="J1636" i="16" s="1"/>
  <c r="J1699" i="16" s="1"/>
  <c r="J1762" i="16" s="1"/>
  <c r="J1825" i="16" s="1"/>
  <c r="J1888" i="16" s="1"/>
  <c r="J1951" i="16" s="1"/>
  <c r="J184" i="16"/>
  <c r="J247" i="16" s="1"/>
  <c r="J310" i="16" s="1"/>
  <c r="J373" i="16" s="1"/>
  <c r="J436" i="16" s="1"/>
  <c r="J499" i="16" s="1"/>
  <c r="J562" i="16" s="1"/>
  <c r="J625" i="16" s="1"/>
  <c r="J688" i="16" s="1"/>
  <c r="J751" i="16" s="1"/>
  <c r="J814" i="16" s="1"/>
  <c r="J877" i="16" s="1"/>
  <c r="J940" i="16" s="1"/>
  <c r="J1003" i="16" s="1"/>
  <c r="J1066" i="16" s="1"/>
  <c r="J1129" i="16" s="1"/>
  <c r="J1192" i="16" s="1"/>
  <c r="J1255" i="16" s="1"/>
  <c r="J1318" i="16" s="1"/>
  <c r="J1381" i="16" s="1"/>
  <c r="J1444" i="16" s="1"/>
  <c r="J1507" i="16" s="1"/>
  <c r="J1570" i="16" s="1"/>
  <c r="J1633" i="16" s="1"/>
  <c r="J1696" i="16" s="1"/>
  <c r="J1759" i="16" s="1"/>
  <c r="J1822" i="16" s="1"/>
  <c r="J1885" i="16" s="1"/>
  <c r="J1948" i="16" s="1"/>
  <c r="J183" i="16"/>
  <c r="J246" i="16" s="1"/>
  <c r="J309" i="16" s="1"/>
  <c r="J372" i="16" s="1"/>
  <c r="J435" i="16" s="1"/>
  <c r="J498" i="16" s="1"/>
  <c r="J561" i="16" s="1"/>
  <c r="J624" i="16" s="1"/>
  <c r="J687" i="16" s="1"/>
  <c r="J750" i="16" s="1"/>
  <c r="J813" i="16" s="1"/>
  <c r="J876" i="16" s="1"/>
  <c r="J939" i="16" s="1"/>
  <c r="J1002" i="16" s="1"/>
  <c r="J1065" i="16" s="1"/>
  <c r="J1128" i="16" s="1"/>
  <c r="J1191" i="16" s="1"/>
  <c r="J1254" i="16" s="1"/>
  <c r="J1317" i="16" s="1"/>
  <c r="J1380" i="16" s="1"/>
  <c r="J1443" i="16" s="1"/>
  <c r="J1506" i="16" s="1"/>
  <c r="J1569" i="16" s="1"/>
  <c r="J1632" i="16" s="1"/>
  <c r="J1695" i="16" s="1"/>
  <c r="J1758" i="16" s="1"/>
  <c r="J1821" i="16" s="1"/>
  <c r="J1884" i="16" s="1"/>
  <c r="J1947" i="16" s="1"/>
  <c r="J181" i="16"/>
  <c r="J244" i="16" s="1"/>
  <c r="J307" i="16" s="1"/>
  <c r="J370" i="16" s="1"/>
  <c r="J433" i="16" s="1"/>
  <c r="J496" i="16" s="1"/>
  <c r="J559" i="16" s="1"/>
  <c r="J622" i="16" s="1"/>
  <c r="J685" i="16" s="1"/>
  <c r="J748" i="16" s="1"/>
  <c r="J811" i="16" s="1"/>
  <c r="J874" i="16" s="1"/>
  <c r="J937" i="16" s="1"/>
  <c r="J1000" i="16" s="1"/>
  <c r="J1063" i="16" s="1"/>
  <c r="J1126" i="16" s="1"/>
  <c r="J1189" i="16" s="1"/>
  <c r="J1252" i="16" s="1"/>
  <c r="J1315" i="16" s="1"/>
  <c r="J1378" i="16" s="1"/>
  <c r="J1441" i="16" s="1"/>
  <c r="J1504" i="16" s="1"/>
  <c r="J1567" i="16" s="1"/>
  <c r="J1630" i="16" s="1"/>
  <c r="J1693" i="16" s="1"/>
  <c r="J1756" i="16" s="1"/>
  <c r="J1819" i="16" s="1"/>
  <c r="J1882" i="16" s="1"/>
  <c r="J1945" i="16" s="1"/>
  <c r="J178" i="16"/>
  <c r="J241" i="16" s="1"/>
  <c r="J304" i="16" s="1"/>
  <c r="J367" i="16" s="1"/>
  <c r="J430" i="16" s="1"/>
  <c r="J493" i="16" s="1"/>
  <c r="J556" i="16" s="1"/>
  <c r="J619" i="16" s="1"/>
  <c r="J682" i="16" s="1"/>
  <c r="J745" i="16" s="1"/>
  <c r="J808" i="16" s="1"/>
  <c r="J871" i="16" s="1"/>
  <c r="J934" i="16" s="1"/>
  <c r="J997" i="16" s="1"/>
  <c r="J1060" i="16" s="1"/>
  <c r="J1123" i="16" s="1"/>
  <c r="J1186" i="16" s="1"/>
  <c r="J1249" i="16" s="1"/>
  <c r="J1312" i="16" s="1"/>
  <c r="J1375" i="16" s="1"/>
  <c r="J1438" i="16" s="1"/>
  <c r="J1501" i="16" s="1"/>
  <c r="J1564" i="16" s="1"/>
  <c r="J1627" i="16" s="1"/>
  <c r="J1690" i="16" s="1"/>
  <c r="J1753" i="16" s="1"/>
  <c r="J1816" i="16" s="1"/>
  <c r="J1879" i="16" s="1"/>
  <c r="J1942" i="16" s="1"/>
  <c r="J177" i="16"/>
  <c r="J240" i="16" s="1"/>
  <c r="J303" i="16" s="1"/>
  <c r="J366" i="16" s="1"/>
  <c r="J429" i="16" s="1"/>
  <c r="J492" i="16" s="1"/>
  <c r="J555" i="16" s="1"/>
  <c r="J618" i="16" s="1"/>
  <c r="J681" i="16" s="1"/>
  <c r="J744" i="16" s="1"/>
  <c r="J807" i="16" s="1"/>
  <c r="J870" i="16" s="1"/>
  <c r="J933" i="16" s="1"/>
  <c r="J996" i="16" s="1"/>
  <c r="J1059" i="16" s="1"/>
  <c r="J1122" i="16" s="1"/>
  <c r="J1185" i="16" s="1"/>
  <c r="J1248" i="16" s="1"/>
  <c r="J1311" i="16" s="1"/>
  <c r="J1374" i="16" s="1"/>
  <c r="J1437" i="16" s="1"/>
  <c r="J1500" i="16" s="1"/>
  <c r="J1563" i="16" s="1"/>
  <c r="J1626" i="16" s="1"/>
  <c r="J1689" i="16" s="1"/>
  <c r="J1752" i="16" s="1"/>
  <c r="J1815" i="16" s="1"/>
  <c r="J1878" i="16" s="1"/>
  <c r="J1941" i="16" s="1"/>
  <c r="J174" i="16"/>
  <c r="J237" i="16" s="1"/>
  <c r="J300" i="16" s="1"/>
  <c r="J363" i="16" s="1"/>
  <c r="J426" i="16" s="1"/>
  <c r="J489" i="16" s="1"/>
  <c r="J552" i="16" s="1"/>
  <c r="J615" i="16" s="1"/>
  <c r="J678" i="16" s="1"/>
  <c r="J741" i="16" s="1"/>
  <c r="J804" i="16" s="1"/>
  <c r="J867" i="16" s="1"/>
  <c r="J930" i="16" s="1"/>
  <c r="J993" i="16" s="1"/>
  <c r="J1056" i="16" s="1"/>
  <c r="J1119" i="16" s="1"/>
  <c r="J1182" i="16" s="1"/>
  <c r="J1245" i="16" s="1"/>
  <c r="J1308" i="16" s="1"/>
  <c r="J1371" i="16" s="1"/>
  <c r="J1434" i="16" s="1"/>
  <c r="J1497" i="16" s="1"/>
  <c r="J1560" i="16" s="1"/>
  <c r="J1623" i="16" s="1"/>
  <c r="J1686" i="16" s="1"/>
  <c r="J1749" i="16" s="1"/>
  <c r="J1812" i="16" s="1"/>
  <c r="J1875" i="16" s="1"/>
  <c r="J1938" i="16" s="1"/>
  <c r="J173" i="16"/>
  <c r="J236" i="16" s="1"/>
  <c r="J299" i="16" s="1"/>
  <c r="J362" i="16" s="1"/>
  <c r="J425" i="16" s="1"/>
  <c r="J488" i="16" s="1"/>
  <c r="J551" i="16" s="1"/>
  <c r="J614" i="16" s="1"/>
  <c r="J677" i="16" s="1"/>
  <c r="J740" i="16" s="1"/>
  <c r="J803" i="16" s="1"/>
  <c r="J866" i="16" s="1"/>
  <c r="J929" i="16" s="1"/>
  <c r="J992" i="16" s="1"/>
  <c r="J1055" i="16" s="1"/>
  <c r="J1118" i="16" s="1"/>
  <c r="J1181" i="16" s="1"/>
  <c r="J1244" i="16" s="1"/>
  <c r="J1307" i="16" s="1"/>
  <c r="J1370" i="16" s="1"/>
  <c r="J1433" i="16" s="1"/>
  <c r="J1496" i="16" s="1"/>
  <c r="J1559" i="16" s="1"/>
  <c r="J1622" i="16" s="1"/>
  <c r="J1685" i="16" s="1"/>
  <c r="J1748" i="16" s="1"/>
  <c r="J1811" i="16" s="1"/>
  <c r="J1874" i="16" s="1"/>
  <c r="J1937" i="16" s="1"/>
  <c r="J171" i="16"/>
  <c r="J234" i="16" s="1"/>
  <c r="J297" i="16" s="1"/>
  <c r="J360" i="16" s="1"/>
  <c r="J423" i="16" s="1"/>
  <c r="J486" i="16" s="1"/>
  <c r="J549" i="16" s="1"/>
  <c r="J612" i="16" s="1"/>
  <c r="J675" i="16" s="1"/>
  <c r="J738" i="16" s="1"/>
  <c r="J801" i="16" s="1"/>
  <c r="J864" i="16" s="1"/>
  <c r="J927" i="16" s="1"/>
  <c r="J990" i="16" s="1"/>
  <c r="J1053" i="16" s="1"/>
  <c r="J1116" i="16" s="1"/>
  <c r="J1179" i="16" s="1"/>
  <c r="J1242" i="16" s="1"/>
  <c r="J1305" i="16" s="1"/>
  <c r="J1368" i="16" s="1"/>
  <c r="J1431" i="16" s="1"/>
  <c r="J1494" i="16" s="1"/>
  <c r="J1557" i="16" s="1"/>
  <c r="J1620" i="16" s="1"/>
  <c r="J1683" i="16" s="1"/>
  <c r="J1746" i="16" s="1"/>
  <c r="J1809" i="16" s="1"/>
  <c r="J1872" i="16" s="1"/>
  <c r="J1935" i="16" s="1"/>
  <c r="I171" i="16"/>
  <c r="E171" i="16"/>
  <c r="J170" i="16"/>
  <c r="J233" i="16" s="1"/>
  <c r="J296" i="16" s="1"/>
  <c r="J359" i="16" s="1"/>
  <c r="J422" i="16" s="1"/>
  <c r="J485" i="16" s="1"/>
  <c r="J548" i="16" s="1"/>
  <c r="J611" i="16" s="1"/>
  <c r="J674" i="16" s="1"/>
  <c r="J737" i="16" s="1"/>
  <c r="J800" i="16" s="1"/>
  <c r="J863" i="16" s="1"/>
  <c r="J926" i="16" s="1"/>
  <c r="J989" i="16" s="1"/>
  <c r="J1052" i="16" s="1"/>
  <c r="J1115" i="16" s="1"/>
  <c r="J1178" i="16" s="1"/>
  <c r="J1241" i="16" s="1"/>
  <c r="J1304" i="16" s="1"/>
  <c r="J1367" i="16" s="1"/>
  <c r="J1430" i="16" s="1"/>
  <c r="J1493" i="16" s="1"/>
  <c r="J1556" i="16" s="1"/>
  <c r="J1619" i="16" s="1"/>
  <c r="J1682" i="16" s="1"/>
  <c r="J1745" i="16" s="1"/>
  <c r="J1808" i="16" s="1"/>
  <c r="J1871" i="16" s="1"/>
  <c r="J1934" i="16" s="1"/>
  <c r="I170" i="16"/>
  <c r="E170" i="16"/>
  <c r="J169" i="16"/>
  <c r="J232" i="16" s="1"/>
  <c r="J295" i="16" s="1"/>
  <c r="J358" i="16" s="1"/>
  <c r="J421" i="16" s="1"/>
  <c r="J484" i="16" s="1"/>
  <c r="J547" i="16" s="1"/>
  <c r="J610" i="16" s="1"/>
  <c r="J673" i="16" s="1"/>
  <c r="J736" i="16" s="1"/>
  <c r="J799" i="16" s="1"/>
  <c r="J862" i="16" s="1"/>
  <c r="J925" i="16" s="1"/>
  <c r="J988" i="16" s="1"/>
  <c r="J1051" i="16" s="1"/>
  <c r="J1114" i="16" s="1"/>
  <c r="J1177" i="16" s="1"/>
  <c r="J1240" i="16" s="1"/>
  <c r="J1303" i="16" s="1"/>
  <c r="J1366" i="16" s="1"/>
  <c r="J1429" i="16" s="1"/>
  <c r="J1492" i="16" s="1"/>
  <c r="J1555" i="16" s="1"/>
  <c r="J1618" i="16" s="1"/>
  <c r="J1681" i="16" s="1"/>
  <c r="J1744" i="16" s="1"/>
  <c r="J1807" i="16" s="1"/>
  <c r="J1870" i="16" s="1"/>
  <c r="J1933" i="16" s="1"/>
  <c r="I169" i="16"/>
  <c r="E169" i="16"/>
  <c r="J168" i="16"/>
  <c r="J231" i="16" s="1"/>
  <c r="J294" i="16" s="1"/>
  <c r="J357" i="16" s="1"/>
  <c r="J420" i="16" s="1"/>
  <c r="J483" i="16" s="1"/>
  <c r="J546" i="16" s="1"/>
  <c r="J609" i="16" s="1"/>
  <c r="J672" i="16" s="1"/>
  <c r="J735" i="16" s="1"/>
  <c r="J798" i="16" s="1"/>
  <c r="J861" i="16" s="1"/>
  <c r="J924" i="16" s="1"/>
  <c r="J987" i="16" s="1"/>
  <c r="J1050" i="16" s="1"/>
  <c r="J1113" i="16" s="1"/>
  <c r="J1176" i="16" s="1"/>
  <c r="J1239" i="16" s="1"/>
  <c r="J1302" i="16" s="1"/>
  <c r="J1365" i="16" s="1"/>
  <c r="J1428" i="16" s="1"/>
  <c r="J1491" i="16" s="1"/>
  <c r="J1554" i="16" s="1"/>
  <c r="J1617" i="16" s="1"/>
  <c r="J1680" i="16" s="1"/>
  <c r="J1743" i="16" s="1"/>
  <c r="J1806" i="16" s="1"/>
  <c r="J1869" i="16" s="1"/>
  <c r="J1932" i="16" s="1"/>
  <c r="I168" i="16"/>
  <c r="E168" i="16"/>
  <c r="J167" i="16"/>
  <c r="J230" i="16" s="1"/>
  <c r="J293" i="16" s="1"/>
  <c r="J356" i="16" s="1"/>
  <c r="J419" i="16" s="1"/>
  <c r="J482" i="16" s="1"/>
  <c r="J545" i="16" s="1"/>
  <c r="J608" i="16" s="1"/>
  <c r="J671" i="16" s="1"/>
  <c r="J734" i="16" s="1"/>
  <c r="J797" i="16" s="1"/>
  <c r="J860" i="16" s="1"/>
  <c r="J923" i="16" s="1"/>
  <c r="J986" i="16" s="1"/>
  <c r="J1049" i="16" s="1"/>
  <c r="J1112" i="16" s="1"/>
  <c r="J1175" i="16" s="1"/>
  <c r="J1238" i="16" s="1"/>
  <c r="J1301" i="16" s="1"/>
  <c r="J1364" i="16" s="1"/>
  <c r="J1427" i="16" s="1"/>
  <c r="J1490" i="16" s="1"/>
  <c r="J1553" i="16" s="1"/>
  <c r="J1616" i="16" s="1"/>
  <c r="J1679" i="16" s="1"/>
  <c r="J1742" i="16" s="1"/>
  <c r="J1805" i="16" s="1"/>
  <c r="J1868" i="16" s="1"/>
  <c r="J1931" i="16" s="1"/>
  <c r="I167" i="16"/>
  <c r="E167" i="16"/>
  <c r="J166" i="16"/>
  <c r="J229" i="16" s="1"/>
  <c r="J292" i="16" s="1"/>
  <c r="J355" i="16" s="1"/>
  <c r="J418" i="16" s="1"/>
  <c r="J481" i="16" s="1"/>
  <c r="J544" i="16" s="1"/>
  <c r="J607" i="16" s="1"/>
  <c r="J670" i="16" s="1"/>
  <c r="J733" i="16" s="1"/>
  <c r="J796" i="16" s="1"/>
  <c r="J859" i="16" s="1"/>
  <c r="J922" i="16" s="1"/>
  <c r="J985" i="16" s="1"/>
  <c r="J1048" i="16" s="1"/>
  <c r="J1111" i="16" s="1"/>
  <c r="J1174" i="16" s="1"/>
  <c r="J1237" i="16" s="1"/>
  <c r="J1300" i="16" s="1"/>
  <c r="J1363" i="16" s="1"/>
  <c r="J1426" i="16" s="1"/>
  <c r="J1489" i="16" s="1"/>
  <c r="J1552" i="16" s="1"/>
  <c r="J1615" i="16" s="1"/>
  <c r="J1678" i="16" s="1"/>
  <c r="J1741" i="16" s="1"/>
  <c r="J1804" i="16" s="1"/>
  <c r="J1867" i="16" s="1"/>
  <c r="J1930" i="16" s="1"/>
  <c r="I166" i="16"/>
  <c r="I165" i="16"/>
  <c r="I164" i="16"/>
  <c r="J163" i="16"/>
  <c r="J226" i="16" s="1"/>
  <c r="J289" i="16" s="1"/>
  <c r="J352" i="16" s="1"/>
  <c r="J415" i="16" s="1"/>
  <c r="J478" i="16" s="1"/>
  <c r="J541" i="16" s="1"/>
  <c r="J604" i="16" s="1"/>
  <c r="J667" i="16" s="1"/>
  <c r="J730" i="16" s="1"/>
  <c r="J793" i="16" s="1"/>
  <c r="J856" i="16" s="1"/>
  <c r="J919" i="16" s="1"/>
  <c r="J982" i="16" s="1"/>
  <c r="J1045" i="16" s="1"/>
  <c r="J1108" i="16" s="1"/>
  <c r="J1171" i="16" s="1"/>
  <c r="J1234" i="16" s="1"/>
  <c r="J1297" i="16" s="1"/>
  <c r="J1360" i="16" s="1"/>
  <c r="J1423" i="16" s="1"/>
  <c r="J1486" i="16" s="1"/>
  <c r="J1549" i="16" s="1"/>
  <c r="J1612" i="16" s="1"/>
  <c r="J1675" i="16" s="1"/>
  <c r="J1738" i="16" s="1"/>
  <c r="J1801" i="16" s="1"/>
  <c r="J1864" i="16" s="1"/>
  <c r="J1927" i="16" s="1"/>
  <c r="I163" i="16"/>
  <c r="J162" i="16"/>
  <c r="J225" i="16" s="1"/>
  <c r="J288" i="16" s="1"/>
  <c r="J351" i="16" s="1"/>
  <c r="J414" i="16" s="1"/>
  <c r="J477" i="16" s="1"/>
  <c r="J540" i="16" s="1"/>
  <c r="J603" i="16" s="1"/>
  <c r="J666" i="16" s="1"/>
  <c r="J729" i="16" s="1"/>
  <c r="J792" i="16" s="1"/>
  <c r="J855" i="16" s="1"/>
  <c r="J918" i="16" s="1"/>
  <c r="J981" i="16" s="1"/>
  <c r="J1044" i="16" s="1"/>
  <c r="J1107" i="16" s="1"/>
  <c r="J1170" i="16" s="1"/>
  <c r="J1233" i="16" s="1"/>
  <c r="J1296" i="16" s="1"/>
  <c r="J1359" i="16" s="1"/>
  <c r="J1422" i="16" s="1"/>
  <c r="J1485" i="16" s="1"/>
  <c r="J1548" i="16" s="1"/>
  <c r="J1611" i="16" s="1"/>
  <c r="J1674" i="16" s="1"/>
  <c r="J1737" i="16" s="1"/>
  <c r="J1800" i="16" s="1"/>
  <c r="J1863" i="16" s="1"/>
  <c r="J1926" i="16" s="1"/>
  <c r="I162" i="16"/>
  <c r="I161" i="16"/>
  <c r="I160" i="16"/>
  <c r="J159" i="16"/>
  <c r="J222" i="16" s="1"/>
  <c r="J285" i="16" s="1"/>
  <c r="J348" i="16" s="1"/>
  <c r="J411" i="16" s="1"/>
  <c r="J474" i="16" s="1"/>
  <c r="J537" i="16" s="1"/>
  <c r="J600" i="16" s="1"/>
  <c r="J663" i="16" s="1"/>
  <c r="J726" i="16" s="1"/>
  <c r="J789" i="16" s="1"/>
  <c r="J852" i="16" s="1"/>
  <c r="J915" i="16" s="1"/>
  <c r="J978" i="16" s="1"/>
  <c r="J1041" i="16" s="1"/>
  <c r="J1104" i="16" s="1"/>
  <c r="J1167" i="16" s="1"/>
  <c r="J1230" i="16" s="1"/>
  <c r="J1293" i="16" s="1"/>
  <c r="J1356" i="16" s="1"/>
  <c r="J1419" i="16" s="1"/>
  <c r="J1482" i="16" s="1"/>
  <c r="J1545" i="16" s="1"/>
  <c r="J1608" i="16" s="1"/>
  <c r="J1671" i="16" s="1"/>
  <c r="J1734" i="16" s="1"/>
  <c r="J1797" i="16" s="1"/>
  <c r="J1860" i="16" s="1"/>
  <c r="J1923" i="16" s="1"/>
  <c r="I159" i="16"/>
  <c r="J158" i="16"/>
  <c r="J221" i="16" s="1"/>
  <c r="J284" i="16" s="1"/>
  <c r="J347" i="16" s="1"/>
  <c r="J410" i="16" s="1"/>
  <c r="J473" i="16" s="1"/>
  <c r="J536" i="16" s="1"/>
  <c r="J599" i="16" s="1"/>
  <c r="J662" i="16" s="1"/>
  <c r="J725" i="16" s="1"/>
  <c r="J788" i="16" s="1"/>
  <c r="J851" i="16" s="1"/>
  <c r="J914" i="16" s="1"/>
  <c r="J977" i="16" s="1"/>
  <c r="J1040" i="16" s="1"/>
  <c r="J1103" i="16" s="1"/>
  <c r="J1166" i="16" s="1"/>
  <c r="J1229" i="16" s="1"/>
  <c r="J1292" i="16" s="1"/>
  <c r="J1355" i="16" s="1"/>
  <c r="J1418" i="16" s="1"/>
  <c r="J1481" i="16" s="1"/>
  <c r="J1544" i="16" s="1"/>
  <c r="J1607" i="16" s="1"/>
  <c r="J1670" i="16" s="1"/>
  <c r="J1733" i="16" s="1"/>
  <c r="J1796" i="16" s="1"/>
  <c r="J1859" i="16" s="1"/>
  <c r="J1922" i="16" s="1"/>
  <c r="I158" i="16"/>
  <c r="I157" i="16"/>
  <c r="I156" i="16"/>
  <c r="J155" i="16"/>
  <c r="J218" i="16" s="1"/>
  <c r="J281" i="16" s="1"/>
  <c r="J344" i="16" s="1"/>
  <c r="J407" i="16" s="1"/>
  <c r="J470" i="16" s="1"/>
  <c r="J533" i="16" s="1"/>
  <c r="J596" i="16" s="1"/>
  <c r="J659" i="16" s="1"/>
  <c r="J722" i="16" s="1"/>
  <c r="J785" i="16" s="1"/>
  <c r="J848" i="16" s="1"/>
  <c r="J911" i="16" s="1"/>
  <c r="J974" i="16" s="1"/>
  <c r="J1037" i="16" s="1"/>
  <c r="J1100" i="16" s="1"/>
  <c r="J1163" i="16" s="1"/>
  <c r="J1226" i="16" s="1"/>
  <c r="J1289" i="16" s="1"/>
  <c r="J1352" i="16" s="1"/>
  <c r="J1415" i="16" s="1"/>
  <c r="J1478" i="16" s="1"/>
  <c r="J1541" i="16" s="1"/>
  <c r="J1604" i="16" s="1"/>
  <c r="J1667" i="16" s="1"/>
  <c r="J1730" i="16" s="1"/>
  <c r="J1793" i="16" s="1"/>
  <c r="J1856" i="16" s="1"/>
  <c r="J1919" i="16" s="1"/>
  <c r="I155" i="16"/>
  <c r="J154" i="16"/>
  <c r="J217" i="16" s="1"/>
  <c r="J280" i="16" s="1"/>
  <c r="J343" i="16" s="1"/>
  <c r="J406" i="16" s="1"/>
  <c r="J469" i="16" s="1"/>
  <c r="J532" i="16" s="1"/>
  <c r="J595" i="16" s="1"/>
  <c r="J658" i="16" s="1"/>
  <c r="J721" i="16" s="1"/>
  <c r="J784" i="16" s="1"/>
  <c r="J847" i="16" s="1"/>
  <c r="J910" i="16" s="1"/>
  <c r="J973" i="16" s="1"/>
  <c r="J1036" i="16" s="1"/>
  <c r="J1099" i="16" s="1"/>
  <c r="J1162" i="16" s="1"/>
  <c r="J1225" i="16" s="1"/>
  <c r="J1288" i="16" s="1"/>
  <c r="J1351" i="16" s="1"/>
  <c r="J1414" i="16" s="1"/>
  <c r="J1477" i="16" s="1"/>
  <c r="J1540" i="16" s="1"/>
  <c r="J1603" i="16" s="1"/>
  <c r="J1666" i="16" s="1"/>
  <c r="J1729" i="16" s="1"/>
  <c r="J1792" i="16" s="1"/>
  <c r="J1855" i="16" s="1"/>
  <c r="J1918" i="16" s="1"/>
  <c r="I154" i="16"/>
  <c r="I153" i="16"/>
  <c r="I152" i="16"/>
  <c r="J151" i="16"/>
  <c r="J214" i="16" s="1"/>
  <c r="J277" i="16" s="1"/>
  <c r="J340" i="16" s="1"/>
  <c r="J403" i="16" s="1"/>
  <c r="J466" i="16" s="1"/>
  <c r="J529" i="16" s="1"/>
  <c r="J592" i="16" s="1"/>
  <c r="J655" i="16" s="1"/>
  <c r="J718" i="16" s="1"/>
  <c r="J781" i="16" s="1"/>
  <c r="J844" i="16" s="1"/>
  <c r="J907" i="16" s="1"/>
  <c r="J970" i="16" s="1"/>
  <c r="J1033" i="16" s="1"/>
  <c r="J1096" i="16" s="1"/>
  <c r="J1159" i="16" s="1"/>
  <c r="J1222" i="16" s="1"/>
  <c r="J1285" i="16" s="1"/>
  <c r="J1348" i="16" s="1"/>
  <c r="J1411" i="16" s="1"/>
  <c r="J1474" i="16" s="1"/>
  <c r="J1537" i="16" s="1"/>
  <c r="J1600" i="16" s="1"/>
  <c r="J1663" i="16" s="1"/>
  <c r="J1726" i="16" s="1"/>
  <c r="J1789" i="16" s="1"/>
  <c r="J1852" i="16" s="1"/>
  <c r="J1915" i="16" s="1"/>
  <c r="I151" i="16"/>
  <c r="J150" i="16"/>
  <c r="J213" i="16" s="1"/>
  <c r="J276" i="16" s="1"/>
  <c r="J339" i="16" s="1"/>
  <c r="J402" i="16" s="1"/>
  <c r="J465" i="16" s="1"/>
  <c r="J528" i="16" s="1"/>
  <c r="J591" i="16" s="1"/>
  <c r="J654" i="16" s="1"/>
  <c r="J717" i="16" s="1"/>
  <c r="J780" i="16" s="1"/>
  <c r="J843" i="16" s="1"/>
  <c r="J906" i="16" s="1"/>
  <c r="J969" i="16" s="1"/>
  <c r="J1032" i="16" s="1"/>
  <c r="J1095" i="16" s="1"/>
  <c r="J1158" i="16" s="1"/>
  <c r="J1221" i="16" s="1"/>
  <c r="J1284" i="16" s="1"/>
  <c r="J1347" i="16" s="1"/>
  <c r="J1410" i="16" s="1"/>
  <c r="J1473" i="16" s="1"/>
  <c r="J1536" i="16" s="1"/>
  <c r="J1599" i="16" s="1"/>
  <c r="J1662" i="16" s="1"/>
  <c r="J1725" i="16" s="1"/>
  <c r="J1788" i="16" s="1"/>
  <c r="J1851" i="16" s="1"/>
  <c r="J1914" i="16" s="1"/>
  <c r="I150" i="16"/>
  <c r="I149" i="16"/>
  <c r="I148" i="16"/>
  <c r="J147" i="16"/>
  <c r="J210" i="16" s="1"/>
  <c r="J273" i="16" s="1"/>
  <c r="J336" i="16" s="1"/>
  <c r="J399" i="16" s="1"/>
  <c r="J462" i="16" s="1"/>
  <c r="J525" i="16" s="1"/>
  <c r="J588" i="16" s="1"/>
  <c r="J651" i="16" s="1"/>
  <c r="J714" i="16" s="1"/>
  <c r="J777" i="16" s="1"/>
  <c r="J840" i="16" s="1"/>
  <c r="J903" i="16" s="1"/>
  <c r="J966" i="16" s="1"/>
  <c r="J1029" i="16" s="1"/>
  <c r="J1092" i="16" s="1"/>
  <c r="J1155" i="16" s="1"/>
  <c r="J1218" i="16" s="1"/>
  <c r="J1281" i="16" s="1"/>
  <c r="J1344" i="16" s="1"/>
  <c r="J1407" i="16" s="1"/>
  <c r="J1470" i="16" s="1"/>
  <c r="J1533" i="16" s="1"/>
  <c r="J1596" i="16" s="1"/>
  <c r="J1659" i="16" s="1"/>
  <c r="J1722" i="16" s="1"/>
  <c r="J1785" i="16" s="1"/>
  <c r="J1848" i="16" s="1"/>
  <c r="J1911" i="16" s="1"/>
  <c r="I147" i="16"/>
  <c r="J146" i="16"/>
  <c r="J209" i="16" s="1"/>
  <c r="J272" i="16" s="1"/>
  <c r="J335" i="16" s="1"/>
  <c r="J398" i="16" s="1"/>
  <c r="J461" i="16" s="1"/>
  <c r="J524" i="16" s="1"/>
  <c r="J587" i="16" s="1"/>
  <c r="J650" i="16" s="1"/>
  <c r="J713" i="16" s="1"/>
  <c r="J776" i="16" s="1"/>
  <c r="J839" i="16" s="1"/>
  <c r="J902" i="16" s="1"/>
  <c r="J965" i="16" s="1"/>
  <c r="J1028" i="16" s="1"/>
  <c r="J1091" i="16" s="1"/>
  <c r="J1154" i="16" s="1"/>
  <c r="J1217" i="16" s="1"/>
  <c r="J1280" i="16" s="1"/>
  <c r="J1343" i="16" s="1"/>
  <c r="J1406" i="16" s="1"/>
  <c r="J1469" i="16" s="1"/>
  <c r="J1532" i="16" s="1"/>
  <c r="J1595" i="16" s="1"/>
  <c r="J1658" i="16" s="1"/>
  <c r="J1721" i="16" s="1"/>
  <c r="J1784" i="16" s="1"/>
  <c r="J1847" i="16" s="1"/>
  <c r="J1910" i="16" s="1"/>
  <c r="I146" i="16"/>
  <c r="I145" i="16"/>
  <c r="I144" i="16"/>
  <c r="J143" i="16"/>
  <c r="J206" i="16" s="1"/>
  <c r="J269" i="16" s="1"/>
  <c r="J332" i="16" s="1"/>
  <c r="J395" i="16" s="1"/>
  <c r="J458" i="16" s="1"/>
  <c r="J521" i="16" s="1"/>
  <c r="J584" i="16" s="1"/>
  <c r="J647" i="16" s="1"/>
  <c r="J710" i="16" s="1"/>
  <c r="J773" i="16" s="1"/>
  <c r="J836" i="16" s="1"/>
  <c r="J899" i="16" s="1"/>
  <c r="J962" i="16" s="1"/>
  <c r="J1025" i="16" s="1"/>
  <c r="J1088" i="16" s="1"/>
  <c r="J1151" i="16" s="1"/>
  <c r="J1214" i="16" s="1"/>
  <c r="J1277" i="16" s="1"/>
  <c r="J1340" i="16" s="1"/>
  <c r="J1403" i="16" s="1"/>
  <c r="J1466" i="16" s="1"/>
  <c r="J1529" i="16" s="1"/>
  <c r="J1592" i="16" s="1"/>
  <c r="J1655" i="16" s="1"/>
  <c r="J1718" i="16" s="1"/>
  <c r="J1781" i="16" s="1"/>
  <c r="J1844" i="16" s="1"/>
  <c r="J1907" i="16" s="1"/>
  <c r="I143" i="16"/>
  <c r="J142" i="16"/>
  <c r="J205" i="16" s="1"/>
  <c r="J268" i="16" s="1"/>
  <c r="J331" i="16" s="1"/>
  <c r="J394" i="16" s="1"/>
  <c r="J457" i="16" s="1"/>
  <c r="J520" i="16" s="1"/>
  <c r="J583" i="16" s="1"/>
  <c r="J646" i="16" s="1"/>
  <c r="J709" i="16" s="1"/>
  <c r="J772" i="16" s="1"/>
  <c r="J835" i="16" s="1"/>
  <c r="J898" i="16" s="1"/>
  <c r="J961" i="16" s="1"/>
  <c r="J1024" i="16" s="1"/>
  <c r="J1087" i="16" s="1"/>
  <c r="J1150" i="16" s="1"/>
  <c r="J1213" i="16" s="1"/>
  <c r="J1276" i="16" s="1"/>
  <c r="J1339" i="16" s="1"/>
  <c r="J1402" i="16" s="1"/>
  <c r="J1465" i="16" s="1"/>
  <c r="J1528" i="16" s="1"/>
  <c r="J1591" i="16" s="1"/>
  <c r="J1654" i="16" s="1"/>
  <c r="J1717" i="16" s="1"/>
  <c r="J1780" i="16" s="1"/>
  <c r="J1843" i="16" s="1"/>
  <c r="J1906" i="16" s="1"/>
  <c r="I142" i="16"/>
  <c r="I141" i="16"/>
  <c r="I140" i="16"/>
  <c r="J139" i="16"/>
  <c r="J202" i="16" s="1"/>
  <c r="J265" i="16" s="1"/>
  <c r="J328" i="16" s="1"/>
  <c r="J391" i="16" s="1"/>
  <c r="J454" i="16" s="1"/>
  <c r="J517" i="16" s="1"/>
  <c r="J580" i="16" s="1"/>
  <c r="J643" i="16" s="1"/>
  <c r="J706" i="16" s="1"/>
  <c r="J769" i="16" s="1"/>
  <c r="J832" i="16" s="1"/>
  <c r="J895" i="16" s="1"/>
  <c r="J958" i="16" s="1"/>
  <c r="J1021" i="16" s="1"/>
  <c r="J1084" i="16" s="1"/>
  <c r="J1147" i="16" s="1"/>
  <c r="J1210" i="16" s="1"/>
  <c r="J1273" i="16" s="1"/>
  <c r="J1336" i="16" s="1"/>
  <c r="J1399" i="16" s="1"/>
  <c r="J1462" i="16" s="1"/>
  <c r="J1525" i="16" s="1"/>
  <c r="J1588" i="16" s="1"/>
  <c r="J1651" i="16" s="1"/>
  <c r="J1714" i="16" s="1"/>
  <c r="J1777" i="16" s="1"/>
  <c r="J1840" i="16" s="1"/>
  <c r="J1903" i="16" s="1"/>
  <c r="I139" i="16"/>
  <c r="J138" i="16"/>
  <c r="J201" i="16" s="1"/>
  <c r="J264" i="16" s="1"/>
  <c r="J327" i="16" s="1"/>
  <c r="J390" i="16" s="1"/>
  <c r="J453" i="16" s="1"/>
  <c r="J516" i="16" s="1"/>
  <c r="J579" i="16" s="1"/>
  <c r="J642" i="16" s="1"/>
  <c r="J705" i="16" s="1"/>
  <c r="J768" i="16" s="1"/>
  <c r="J831" i="16" s="1"/>
  <c r="J894" i="16" s="1"/>
  <c r="J957" i="16" s="1"/>
  <c r="J1020" i="16" s="1"/>
  <c r="J1083" i="16" s="1"/>
  <c r="J1146" i="16" s="1"/>
  <c r="J1209" i="16" s="1"/>
  <c r="J1272" i="16" s="1"/>
  <c r="J1335" i="16" s="1"/>
  <c r="J1398" i="16" s="1"/>
  <c r="J1461" i="16" s="1"/>
  <c r="J1524" i="16" s="1"/>
  <c r="J1587" i="16" s="1"/>
  <c r="J1650" i="16" s="1"/>
  <c r="J1713" i="16" s="1"/>
  <c r="J1776" i="16" s="1"/>
  <c r="J1839" i="16" s="1"/>
  <c r="J1902" i="16" s="1"/>
  <c r="I138" i="16"/>
  <c r="J136" i="16"/>
  <c r="J199" i="16" s="1"/>
  <c r="J262" i="16" s="1"/>
  <c r="J325" i="16" s="1"/>
  <c r="J388" i="16" s="1"/>
  <c r="J451" i="16" s="1"/>
  <c r="J514" i="16" s="1"/>
  <c r="J577" i="16" s="1"/>
  <c r="J640" i="16" s="1"/>
  <c r="J703" i="16" s="1"/>
  <c r="J766" i="16" s="1"/>
  <c r="J829" i="16" s="1"/>
  <c r="J892" i="16" s="1"/>
  <c r="J955" i="16" s="1"/>
  <c r="J1018" i="16" s="1"/>
  <c r="J1081" i="16" s="1"/>
  <c r="J1144" i="16" s="1"/>
  <c r="J1207" i="16" s="1"/>
  <c r="J1270" i="16" s="1"/>
  <c r="J1333" i="16" s="1"/>
  <c r="J1396" i="16" s="1"/>
  <c r="J1459" i="16" s="1"/>
  <c r="J1522" i="16" s="1"/>
  <c r="J1585" i="16" s="1"/>
  <c r="J1648" i="16" s="1"/>
  <c r="J1711" i="16" s="1"/>
  <c r="J1774" i="16" s="1"/>
  <c r="J1837" i="16" s="1"/>
  <c r="J1900" i="16" s="1"/>
  <c r="J135" i="16"/>
  <c r="J198" i="16" s="1"/>
  <c r="J261" i="16" s="1"/>
  <c r="J324" i="16" s="1"/>
  <c r="J387" i="16" s="1"/>
  <c r="J450" i="16" s="1"/>
  <c r="J513" i="16" s="1"/>
  <c r="J576" i="16" s="1"/>
  <c r="J639" i="16" s="1"/>
  <c r="J702" i="16" s="1"/>
  <c r="J765" i="16" s="1"/>
  <c r="J828" i="16" s="1"/>
  <c r="J891" i="16" s="1"/>
  <c r="J954" i="16" s="1"/>
  <c r="J1017" i="16" s="1"/>
  <c r="J1080" i="16" s="1"/>
  <c r="J1143" i="16" s="1"/>
  <c r="J1206" i="16" s="1"/>
  <c r="J1269" i="16" s="1"/>
  <c r="J1332" i="16" s="1"/>
  <c r="J1395" i="16" s="1"/>
  <c r="J1458" i="16" s="1"/>
  <c r="J1521" i="16" s="1"/>
  <c r="J1584" i="16" s="1"/>
  <c r="J1647" i="16" s="1"/>
  <c r="J1710" i="16" s="1"/>
  <c r="J1773" i="16" s="1"/>
  <c r="J1836" i="16" s="1"/>
  <c r="J1899" i="16" s="1"/>
  <c r="J133" i="16"/>
  <c r="J196" i="16" s="1"/>
  <c r="J259" i="16" s="1"/>
  <c r="J322" i="16" s="1"/>
  <c r="J385" i="16" s="1"/>
  <c r="J448" i="16" s="1"/>
  <c r="J511" i="16" s="1"/>
  <c r="J574" i="16" s="1"/>
  <c r="J637" i="16" s="1"/>
  <c r="J700" i="16" s="1"/>
  <c r="J763" i="16" s="1"/>
  <c r="J826" i="16" s="1"/>
  <c r="J889" i="16" s="1"/>
  <c r="J952" i="16" s="1"/>
  <c r="J1015" i="16" s="1"/>
  <c r="J1078" i="16" s="1"/>
  <c r="J1141" i="16" s="1"/>
  <c r="J1204" i="16" s="1"/>
  <c r="J1267" i="16" s="1"/>
  <c r="J1330" i="16" s="1"/>
  <c r="J1393" i="16" s="1"/>
  <c r="J1456" i="16" s="1"/>
  <c r="J1519" i="16" s="1"/>
  <c r="J1582" i="16" s="1"/>
  <c r="J1645" i="16" s="1"/>
  <c r="J1708" i="16" s="1"/>
  <c r="J1771" i="16" s="1"/>
  <c r="J1834" i="16" s="1"/>
  <c r="J1897" i="16" s="1"/>
  <c r="E133" i="16"/>
  <c r="J129" i="16"/>
  <c r="J192" i="16" s="1"/>
  <c r="J255" i="16" s="1"/>
  <c r="J318" i="16" s="1"/>
  <c r="J381" i="16" s="1"/>
  <c r="J444" i="16" s="1"/>
  <c r="J507" i="16" s="1"/>
  <c r="J570" i="16" s="1"/>
  <c r="J633" i="16" s="1"/>
  <c r="J696" i="16" s="1"/>
  <c r="J759" i="16" s="1"/>
  <c r="J822" i="16" s="1"/>
  <c r="J885" i="16" s="1"/>
  <c r="J948" i="16" s="1"/>
  <c r="J1011" i="16" s="1"/>
  <c r="J1074" i="16" s="1"/>
  <c r="J1137" i="16" s="1"/>
  <c r="J1200" i="16" s="1"/>
  <c r="J1263" i="16" s="1"/>
  <c r="J1326" i="16" s="1"/>
  <c r="J1389" i="16" s="1"/>
  <c r="J1452" i="16" s="1"/>
  <c r="J1515" i="16" s="1"/>
  <c r="J1578" i="16" s="1"/>
  <c r="J1641" i="16" s="1"/>
  <c r="J1704" i="16" s="1"/>
  <c r="J1767" i="16" s="1"/>
  <c r="J1830" i="16" s="1"/>
  <c r="J1893" i="16" s="1"/>
  <c r="E129" i="16"/>
  <c r="E192" i="16" s="1"/>
  <c r="E255" i="16" s="1"/>
  <c r="E318" i="16" s="1"/>
  <c r="E381" i="16" s="1"/>
  <c r="E444" i="16" s="1"/>
  <c r="E507" i="16" s="1"/>
  <c r="E570" i="16" s="1"/>
  <c r="E633" i="16" s="1"/>
  <c r="E696" i="16" s="1"/>
  <c r="E759" i="16" s="1"/>
  <c r="E822" i="16" s="1"/>
  <c r="E885" i="16" s="1"/>
  <c r="E948" i="16" s="1"/>
  <c r="E1011" i="16" s="1"/>
  <c r="E1074" i="16" s="1"/>
  <c r="E1137" i="16" s="1"/>
  <c r="E1200" i="16" s="1"/>
  <c r="E1263" i="16" s="1"/>
  <c r="E1326" i="16" s="1"/>
  <c r="E1389" i="16" s="1"/>
  <c r="E1452" i="16" s="1"/>
  <c r="E1515" i="16" s="1"/>
  <c r="E1578" i="16" s="1"/>
  <c r="E1641" i="16" s="1"/>
  <c r="E1704" i="16" s="1"/>
  <c r="E1767" i="16" s="1"/>
  <c r="E1830" i="16" s="1"/>
  <c r="E1893" i="16" s="1"/>
  <c r="J127" i="16"/>
  <c r="J190" i="16" s="1"/>
  <c r="J253" i="16" s="1"/>
  <c r="J316" i="16" s="1"/>
  <c r="J379" i="16" s="1"/>
  <c r="J442" i="16" s="1"/>
  <c r="J505" i="16" s="1"/>
  <c r="J568" i="16" s="1"/>
  <c r="J631" i="16" s="1"/>
  <c r="J694" i="16" s="1"/>
  <c r="J757" i="16" s="1"/>
  <c r="J820" i="16" s="1"/>
  <c r="J883" i="16" s="1"/>
  <c r="J946" i="16" s="1"/>
  <c r="J1009" i="16" s="1"/>
  <c r="J1072" i="16" s="1"/>
  <c r="J1135" i="16" s="1"/>
  <c r="J1198" i="16" s="1"/>
  <c r="J1261" i="16" s="1"/>
  <c r="J1324" i="16" s="1"/>
  <c r="J1387" i="16" s="1"/>
  <c r="J1450" i="16" s="1"/>
  <c r="J1513" i="16" s="1"/>
  <c r="J1576" i="16" s="1"/>
  <c r="J1639" i="16" s="1"/>
  <c r="J1702" i="16" s="1"/>
  <c r="J1765" i="16" s="1"/>
  <c r="J1828" i="16" s="1"/>
  <c r="J1891" i="16" s="1"/>
  <c r="J126" i="16"/>
  <c r="J189" i="16" s="1"/>
  <c r="J252" i="16" s="1"/>
  <c r="J315" i="16" s="1"/>
  <c r="J378" i="16" s="1"/>
  <c r="J441" i="16" s="1"/>
  <c r="J504" i="16" s="1"/>
  <c r="J567" i="16" s="1"/>
  <c r="J630" i="16" s="1"/>
  <c r="J693" i="16" s="1"/>
  <c r="J756" i="16" s="1"/>
  <c r="J819" i="16" s="1"/>
  <c r="J882" i="16" s="1"/>
  <c r="J945" i="16" s="1"/>
  <c r="J1008" i="16" s="1"/>
  <c r="J1071" i="16" s="1"/>
  <c r="J1134" i="16" s="1"/>
  <c r="J1197" i="16" s="1"/>
  <c r="J1260" i="16" s="1"/>
  <c r="J1323" i="16" s="1"/>
  <c r="J1386" i="16" s="1"/>
  <c r="J1449" i="16" s="1"/>
  <c r="J1512" i="16" s="1"/>
  <c r="J1575" i="16" s="1"/>
  <c r="J1638" i="16" s="1"/>
  <c r="J1701" i="16" s="1"/>
  <c r="J1764" i="16" s="1"/>
  <c r="J1827" i="16" s="1"/>
  <c r="J1890" i="16" s="1"/>
  <c r="J1953" i="16" s="1"/>
  <c r="J125" i="16"/>
  <c r="J124" i="16"/>
  <c r="J123" i="16"/>
  <c r="J186" i="16" s="1"/>
  <c r="J249" i="16" s="1"/>
  <c r="J312" i="16" s="1"/>
  <c r="J375" i="16" s="1"/>
  <c r="J438" i="16" s="1"/>
  <c r="J501" i="16" s="1"/>
  <c r="J564" i="16" s="1"/>
  <c r="J627" i="16" s="1"/>
  <c r="J690" i="16" s="1"/>
  <c r="J753" i="16" s="1"/>
  <c r="J816" i="16" s="1"/>
  <c r="J879" i="16" s="1"/>
  <c r="J942" i="16" s="1"/>
  <c r="J1005" i="16" s="1"/>
  <c r="J1068" i="16" s="1"/>
  <c r="J1131" i="16" s="1"/>
  <c r="J1194" i="16" s="1"/>
  <c r="J1257" i="16" s="1"/>
  <c r="J1320" i="16" s="1"/>
  <c r="J1383" i="16" s="1"/>
  <c r="J1446" i="16" s="1"/>
  <c r="J1509" i="16" s="1"/>
  <c r="J1572" i="16" s="1"/>
  <c r="J1635" i="16" s="1"/>
  <c r="J1698" i="16" s="1"/>
  <c r="J1761" i="16" s="1"/>
  <c r="J1824" i="16" s="1"/>
  <c r="J1887" i="16" s="1"/>
  <c r="J1950" i="16" s="1"/>
  <c r="J122" i="16"/>
  <c r="J185" i="16" s="1"/>
  <c r="J248" i="16" s="1"/>
  <c r="J311" i="16" s="1"/>
  <c r="J374" i="16" s="1"/>
  <c r="J437" i="16" s="1"/>
  <c r="J500" i="16" s="1"/>
  <c r="J563" i="16" s="1"/>
  <c r="J626" i="16" s="1"/>
  <c r="J689" i="16" s="1"/>
  <c r="J752" i="16" s="1"/>
  <c r="J815" i="16" s="1"/>
  <c r="J878" i="16" s="1"/>
  <c r="J941" i="16" s="1"/>
  <c r="J1004" i="16" s="1"/>
  <c r="J1067" i="16" s="1"/>
  <c r="J1130" i="16" s="1"/>
  <c r="J1193" i="16" s="1"/>
  <c r="J1256" i="16" s="1"/>
  <c r="J1319" i="16" s="1"/>
  <c r="J1382" i="16" s="1"/>
  <c r="J1445" i="16" s="1"/>
  <c r="J1508" i="16" s="1"/>
  <c r="J1571" i="16" s="1"/>
  <c r="J1634" i="16" s="1"/>
  <c r="J1697" i="16" s="1"/>
  <c r="J1760" i="16" s="1"/>
  <c r="J1823" i="16" s="1"/>
  <c r="J1886" i="16" s="1"/>
  <c r="J1949" i="16" s="1"/>
  <c r="J121" i="16"/>
  <c r="J120" i="16"/>
  <c r="J119" i="16"/>
  <c r="J182" i="16" s="1"/>
  <c r="J245" i="16" s="1"/>
  <c r="J308" i="16" s="1"/>
  <c r="J371" i="16" s="1"/>
  <c r="J434" i="16" s="1"/>
  <c r="J497" i="16" s="1"/>
  <c r="J560" i="16" s="1"/>
  <c r="J623" i="16" s="1"/>
  <c r="J686" i="16" s="1"/>
  <c r="J749" i="16" s="1"/>
  <c r="J812" i="16" s="1"/>
  <c r="J875" i="16" s="1"/>
  <c r="J938" i="16" s="1"/>
  <c r="J1001" i="16" s="1"/>
  <c r="J1064" i="16" s="1"/>
  <c r="J1127" i="16" s="1"/>
  <c r="J1190" i="16" s="1"/>
  <c r="J1253" i="16" s="1"/>
  <c r="J1316" i="16" s="1"/>
  <c r="J1379" i="16" s="1"/>
  <c r="J1442" i="16" s="1"/>
  <c r="J1505" i="16" s="1"/>
  <c r="J1568" i="16" s="1"/>
  <c r="J1631" i="16" s="1"/>
  <c r="J1694" i="16" s="1"/>
  <c r="J1757" i="16" s="1"/>
  <c r="J1820" i="16" s="1"/>
  <c r="J1883" i="16" s="1"/>
  <c r="J1946" i="16" s="1"/>
  <c r="C119" i="16"/>
  <c r="C182" i="16" s="1"/>
  <c r="C245" i="16" s="1"/>
  <c r="C308" i="16" s="1"/>
  <c r="C371" i="16" s="1"/>
  <c r="C434" i="16" s="1"/>
  <c r="C497" i="16" s="1"/>
  <c r="C560" i="16" s="1"/>
  <c r="C623" i="16" s="1"/>
  <c r="C686" i="16" s="1"/>
  <c r="C749" i="16" s="1"/>
  <c r="C812" i="16" s="1"/>
  <c r="C875" i="16" s="1"/>
  <c r="C938" i="16" s="1"/>
  <c r="C1001" i="16" s="1"/>
  <c r="C1064" i="16" s="1"/>
  <c r="C1127" i="16" s="1"/>
  <c r="C1190" i="16" s="1"/>
  <c r="C1253" i="16" s="1"/>
  <c r="C1316" i="16" s="1"/>
  <c r="C1379" i="16" s="1"/>
  <c r="C1442" i="16" s="1"/>
  <c r="C1505" i="16" s="1"/>
  <c r="C1568" i="16" s="1"/>
  <c r="C1631" i="16" s="1"/>
  <c r="C1694" i="16" s="1"/>
  <c r="C1757" i="16" s="1"/>
  <c r="C1820" i="16" s="1"/>
  <c r="C1883" i="16" s="1"/>
  <c r="C1946" i="16" s="1"/>
  <c r="J118" i="16"/>
  <c r="J117" i="16"/>
  <c r="J180" i="16" s="1"/>
  <c r="J243" i="16" s="1"/>
  <c r="J306" i="16" s="1"/>
  <c r="J369" i="16" s="1"/>
  <c r="J432" i="16" s="1"/>
  <c r="J495" i="16" s="1"/>
  <c r="J558" i="16" s="1"/>
  <c r="J621" i="16" s="1"/>
  <c r="J684" i="16" s="1"/>
  <c r="J747" i="16" s="1"/>
  <c r="J810" i="16" s="1"/>
  <c r="J873" i="16" s="1"/>
  <c r="J936" i="16" s="1"/>
  <c r="J999" i="16" s="1"/>
  <c r="J1062" i="16" s="1"/>
  <c r="J1125" i="16" s="1"/>
  <c r="J1188" i="16" s="1"/>
  <c r="J1251" i="16" s="1"/>
  <c r="J1314" i="16" s="1"/>
  <c r="J1377" i="16" s="1"/>
  <c r="J1440" i="16" s="1"/>
  <c r="J1503" i="16" s="1"/>
  <c r="J1566" i="16" s="1"/>
  <c r="J1629" i="16" s="1"/>
  <c r="J1692" i="16" s="1"/>
  <c r="J1755" i="16" s="1"/>
  <c r="J1818" i="16" s="1"/>
  <c r="J1881" i="16" s="1"/>
  <c r="J1944" i="16" s="1"/>
  <c r="J116" i="16"/>
  <c r="J179" i="16" s="1"/>
  <c r="J242" i="16" s="1"/>
  <c r="J305" i="16" s="1"/>
  <c r="J368" i="16" s="1"/>
  <c r="J431" i="16" s="1"/>
  <c r="J494" i="16" s="1"/>
  <c r="J557" i="16" s="1"/>
  <c r="J620" i="16" s="1"/>
  <c r="J683" i="16" s="1"/>
  <c r="J746" i="16" s="1"/>
  <c r="J809" i="16" s="1"/>
  <c r="J872" i="16" s="1"/>
  <c r="J935" i="16" s="1"/>
  <c r="J998" i="16" s="1"/>
  <c r="J1061" i="16" s="1"/>
  <c r="J1124" i="16" s="1"/>
  <c r="J1187" i="16" s="1"/>
  <c r="J1250" i="16" s="1"/>
  <c r="J1313" i="16" s="1"/>
  <c r="J1376" i="16" s="1"/>
  <c r="J1439" i="16" s="1"/>
  <c r="J1502" i="16" s="1"/>
  <c r="J1565" i="16" s="1"/>
  <c r="J1628" i="16" s="1"/>
  <c r="J1691" i="16" s="1"/>
  <c r="J1754" i="16" s="1"/>
  <c r="J1817" i="16" s="1"/>
  <c r="J1880" i="16" s="1"/>
  <c r="J1943" i="16" s="1"/>
  <c r="J115" i="16"/>
  <c r="J114" i="16"/>
  <c r="J113" i="16"/>
  <c r="J176" i="16" s="1"/>
  <c r="J239" i="16" s="1"/>
  <c r="J302" i="16" s="1"/>
  <c r="J365" i="16" s="1"/>
  <c r="J428" i="16" s="1"/>
  <c r="J491" i="16" s="1"/>
  <c r="J554" i="16" s="1"/>
  <c r="J617" i="16" s="1"/>
  <c r="J680" i="16" s="1"/>
  <c r="J743" i="16" s="1"/>
  <c r="J806" i="16" s="1"/>
  <c r="J869" i="16" s="1"/>
  <c r="J932" i="16" s="1"/>
  <c r="J995" i="16" s="1"/>
  <c r="J1058" i="16" s="1"/>
  <c r="J1121" i="16" s="1"/>
  <c r="J1184" i="16" s="1"/>
  <c r="J1247" i="16" s="1"/>
  <c r="J1310" i="16" s="1"/>
  <c r="J1373" i="16" s="1"/>
  <c r="J1436" i="16" s="1"/>
  <c r="J1499" i="16" s="1"/>
  <c r="J1562" i="16" s="1"/>
  <c r="J1625" i="16" s="1"/>
  <c r="J1688" i="16" s="1"/>
  <c r="J1751" i="16" s="1"/>
  <c r="J1814" i="16" s="1"/>
  <c r="J1877" i="16" s="1"/>
  <c r="J1940" i="16" s="1"/>
  <c r="J112" i="16"/>
  <c r="J175" i="16" s="1"/>
  <c r="J238" i="16" s="1"/>
  <c r="J301" i="16" s="1"/>
  <c r="J364" i="16" s="1"/>
  <c r="J427" i="16" s="1"/>
  <c r="J490" i="16" s="1"/>
  <c r="J553" i="16" s="1"/>
  <c r="J616" i="16" s="1"/>
  <c r="J679" i="16" s="1"/>
  <c r="J742" i="16" s="1"/>
  <c r="J805" i="16" s="1"/>
  <c r="J868" i="16" s="1"/>
  <c r="J931" i="16" s="1"/>
  <c r="J994" i="16" s="1"/>
  <c r="J1057" i="16" s="1"/>
  <c r="J1120" i="16" s="1"/>
  <c r="J1183" i="16" s="1"/>
  <c r="J1246" i="16" s="1"/>
  <c r="J1309" i="16" s="1"/>
  <c r="J1372" i="16" s="1"/>
  <c r="J1435" i="16" s="1"/>
  <c r="J1498" i="16" s="1"/>
  <c r="J1561" i="16" s="1"/>
  <c r="J1624" i="16" s="1"/>
  <c r="J1687" i="16" s="1"/>
  <c r="J1750" i="16" s="1"/>
  <c r="J1813" i="16" s="1"/>
  <c r="J1876" i="16" s="1"/>
  <c r="J1939" i="16" s="1"/>
  <c r="J111" i="16"/>
  <c r="J110" i="16"/>
  <c r="J109" i="16"/>
  <c r="J172" i="16" s="1"/>
  <c r="J235" i="16" s="1"/>
  <c r="J298" i="16" s="1"/>
  <c r="J361" i="16" s="1"/>
  <c r="J424" i="16" s="1"/>
  <c r="J487" i="16" s="1"/>
  <c r="J550" i="16" s="1"/>
  <c r="J613" i="16" s="1"/>
  <c r="J676" i="16" s="1"/>
  <c r="J739" i="16" s="1"/>
  <c r="J802" i="16" s="1"/>
  <c r="J865" i="16" s="1"/>
  <c r="J928" i="16" s="1"/>
  <c r="J991" i="16" s="1"/>
  <c r="J1054" i="16" s="1"/>
  <c r="J1117" i="16" s="1"/>
  <c r="J1180" i="16" s="1"/>
  <c r="J1243" i="16" s="1"/>
  <c r="J1306" i="16" s="1"/>
  <c r="J1369" i="16" s="1"/>
  <c r="J1432" i="16" s="1"/>
  <c r="J1495" i="16" s="1"/>
  <c r="J1558" i="16" s="1"/>
  <c r="J1621" i="16" s="1"/>
  <c r="J1684" i="16" s="1"/>
  <c r="J1747" i="16" s="1"/>
  <c r="J1810" i="16" s="1"/>
  <c r="J1873" i="16" s="1"/>
  <c r="J1936" i="16" s="1"/>
  <c r="J108" i="16"/>
  <c r="E108" i="16"/>
  <c r="I108" i="16" s="1"/>
  <c r="J107" i="16"/>
  <c r="F107" i="16"/>
  <c r="F170" i="16" s="1"/>
  <c r="F233" i="16" s="1"/>
  <c r="F296" i="16" s="1"/>
  <c r="F359" i="16" s="1"/>
  <c r="F422" i="16" s="1"/>
  <c r="F485" i="16" s="1"/>
  <c r="F548" i="16" s="1"/>
  <c r="E107" i="16"/>
  <c r="I107" i="16" s="1"/>
  <c r="J106" i="16"/>
  <c r="E106" i="16"/>
  <c r="I106" i="16" s="1"/>
  <c r="J105" i="16"/>
  <c r="E105" i="16"/>
  <c r="I105" i="16" s="1"/>
  <c r="J104" i="16"/>
  <c r="E104" i="16"/>
  <c r="I104" i="16" s="1"/>
  <c r="J103" i="16"/>
  <c r="I103" i="16"/>
  <c r="J102" i="16"/>
  <c r="J165" i="16" s="1"/>
  <c r="J228" i="16" s="1"/>
  <c r="J291" i="16" s="1"/>
  <c r="J354" i="16" s="1"/>
  <c r="J417" i="16" s="1"/>
  <c r="J480" i="16" s="1"/>
  <c r="J543" i="16" s="1"/>
  <c r="J606" i="16" s="1"/>
  <c r="J669" i="16" s="1"/>
  <c r="J732" i="16" s="1"/>
  <c r="J795" i="16" s="1"/>
  <c r="J858" i="16" s="1"/>
  <c r="J921" i="16" s="1"/>
  <c r="J984" i="16" s="1"/>
  <c r="J1047" i="16" s="1"/>
  <c r="J1110" i="16" s="1"/>
  <c r="J1173" i="16" s="1"/>
  <c r="J1236" i="16" s="1"/>
  <c r="J1299" i="16" s="1"/>
  <c r="J1362" i="16" s="1"/>
  <c r="J1425" i="16" s="1"/>
  <c r="J1488" i="16" s="1"/>
  <c r="J1551" i="16" s="1"/>
  <c r="J1614" i="16" s="1"/>
  <c r="J1677" i="16" s="1"/>
  <c r="J1740" i="16" s="1"/>
  <c r="J1803" i="16" s="1"/>
  <c r="J1866" i="16" s="1"/>
  <c r="J1929" i="16" s="1"/>
  <c r="I102" i="16"/>
  <c r="J101" i="16"/>
  <c r="J164" i="16" s="1"/>
  <c r="J227" i="16" s="1"/>
  <c r="J290" i="16" s="1"/>
  <c r="J353" i="16" s="1"/>
  <c r="J416" i="16" s="1"/>
  <c r="J479" i="16" s="1"/>
  <c r="J542" i="16" s="1"/>
  <c r="J605" i="16" s="1"/>
  <c r="J668" i="16" s="1"/>
  <c r="J731" i="16" s="1"/>
  <c r="J794" i="16" s="1"/>
  <c r="J857" i="16" s="1"/>
  <c r="J920" i="16" s="1"/>
  <c r="J983" i="16" s="1"/>
  <c r="J1046" i="16" s="1"/>
  <c r="J1109" i="16" s="1"/>
  <c r="J1172" i="16" s="1"/>
  <c r="J1235" i="16" s="1"/>
  <c r="J1298" i="16" s="1"/>
  <c r="J1361" i="16" s="1"/>
  <c r="J1424" i="16" s="1"/>
  <c r="J1487" i="16" s="1"/>
  <c r="J1550" i="16" s="1"/>
  <c r="J1613" i="16" s="1"/>
  <c r="J1676" i="16" s="1"/>
  <c r="J1739" i="16" s="1"/>
  <c r="J1802" i="16" s="1"/>
  <c r="J1865" i="16" s="1"/>
  <c r="J1928" i="16" s="1"/>
  <c r="I101" i="16"/>
  <c r="J100" i="16"/>
  <c r="I100" i="16"/>
  <c r="J99" i="16"/>
  <c r="I99" i="16"/>
  <c r="F99" i="16"/>
  <c r="F162" i="16" s="1"/>
  <c r="F225" i="16" s="1"/>
  <c r="F288" i="16" s="1"/>
  <c r="F351" i="16" s="1"/>
  <c r="F414" i="16" s="1"/>
  <c r="F477" i="16" s="1"/>
  <c r="F540" i="16" s="1"/>
  <c r="F603" i="16" s="1"/>
  <c r="F666" i="16" s="1"/>
  <c r="F729" i="16" s="1"/>
  <c r="F792" i="16" s="1"/>
  <c r="F855" i="16" s="1"/>
  <c r="F918" i="16" s="1"/>
  <c r="F981" i="16" s="1"/>
  <c r="F1044" i="16" s="1"/>
  <c r="F1107" i="16" s="1"/>
  <c r="F1170" i="16" s="1"/>
  <c r="F1233" i="16" s="1"/>
  <c r="F1296" i="16" s="1"/>
  <c r="F1359" i="16" s="1"/>
  <c r="F1422" i="16" s="1"/>
  <c r="F1485" i="16" s="1"/>
  <c r="F1548" i="16" s="1"/>
  <c r="F1611" i="16" s="1"/>
  <c r="F1674" i="16" s="1"/>
  <c r="F1737" i="16" s="1"/>
  <c r="F1800" i="16" s="1"/>
  <c r="F1863" i="16" s="1"/>
  <c r="F1926" i="16" s="1"/>
  <c r="J98" i="16"/>
  <c r="J161" i="16" s="1"/>
  <c r="J224" i="16" s="1"/>
  <c r="J287" i="16" s="1"/>
  <c r="J350" i="16" s="1"/>
  <c r="J413" i="16" s="1"/>
  <c r="J476" i="16" s="1"/>
  <c r="J539" i="16" s="1"/>
  <c r="J602" i="16" s="1"/>
  <c r="J665" i="16" s="1"/>
  <c r="J728" i="16" s="1"/>
  <c r="J791" i="16" s="1"/>
  <c r="J854" i="16" s="1"/>
  <c r="J917" i="16" s="1"/>
  <c r="J980" i="16" s="1"/>
  <c r="J1043" i="16" s="1"/>
  <c r="J1106" i="16" s="1"/>
  <c r="J1169" i="16" s="1"/>
  <c r="J1232" i="16" s="1"/>
  <c r="J1295" i="16" s="1"/>
  <c r="J1358" i="16" s="1"/>
  <c r="J1421" i="16" s="1"/>
  <c r="J1484" i="16" s="1"/>
  <c r="J1547" i="16" s="1"/>
  <c r="J1610" i="16" s="1"/>
  <c r="J1673" i="16" s="1"/>
  <c r="J1736" i="16" s="1"/>
  <c r="J1799" i="16" s="1"/>
  <c r="J1862" i="16" s="1"/>
  <c r="J1925" i="16" s="1"/>
  <c r="I98" i="16"/>
  <c r="J97" i="16"/>
  <c r="J160" i="16" s="1"/>
  <c r="J223" i="16" s="1"/>
  <c r="J286" i="16" s="1"/>
  <c r="J349" i="16" s="1"/>
  <c r="J412" i="16" s="1"/>
  <c r="J475" i="16" s="1"/>
  <c r="J538" i="16" s="1"/>
  <c r="J601" i="16" s="1"/>
  <c r="J664" i="16" s="1"/>
  <c r="J727" i="16" s="1"/>
  <c r="J790" i="16" s="1"/>
  <c r="J853" i="16" s="1"/>
  <c r="J916" i="16" s="1"/>
  <c r="J979" i="16" s="1"/>
  <c r="J1042" i="16" s="1"/>
  <c r="J1105" i="16" s="1"/>
  <c r="J1168" i="16" s="1"/>
  <c r="J1231" i="16" s="1"/>
  <c r="J1294" i="16" s="1"/>
  <c r="J1357" i="16" s="1"/>
  <c r="J1420" i="16" s="1"/>
  <c r="J1483" i="16" s="1"/>
  <c r="J1546" i="16" s="1"/>
  <c r="J1609" i="16" s="1"/>
  <c r="J1672" i="16" s="1"/>
  <c r="J1735" i="16" s="1"/>
  <c r="J1798" i="16" s="1"/>
  <c r="J1861" i="16" s="1"/>
  <c r="J1924" i="16" s="1"/>
  <c r="I97" i="16"/>
  <c r="J96" i="16"/>
  <c r="I96" i="16"/>
  <c r="J95" i="16"/>
  <c r="I95" i="16"/>
  <c r="J94" i="16"/>
  <c r="J157" i="16" s="1"/>
  <c r="J220" i="16" s="1"/>
  <c r="J283" i="16" s="1"/>
  <c r="J346" i="16" s="1"/>
  <c r="J409" i="16" s="1"/>
  <c r="J472" i="16" s="1"/>
  <c r="J535" i="16" s="1"/>
  <c r="J598" i="16" s="1"/>
  <c r="J661" i="16" s="1"/>
  <c r="J724" i="16" s="1"/>
  <c r="J787" i="16" s="1"/>
  <c r="J850" i="16" s="1"/>
  <c r="J913" i="16" s="1"/>
  <c r="J976" i="16" s="1"/>
  <c r="J1039" i="16" s="1"/>
  <c r="J1102" i="16" s="1"/>
  <c r="J1165" i="16" s="1"/>
  <c r="J1228" i="16" s="1"/>
  <c r="J1291" i="16" s="1"/>
  <c r="J1354" i="16" s="1"/>
  <c r="J1417" i="16" s="1"/>
  <c r="J1480" i="16" s="1"/>
  <c r="J1543" i="16" s="1"/>
  <c r="J1606" i="16" s="1"/>
  <c r="J1669" i="16" s="1"/>
  <c r="J1732" i="16" s="1"/>
  <c r="J1795" i="16" s="1"/>
  <c r="J1858" i="16" s="1"/>
  <c r="J1921" i="16" s="1"/>
  <c r="I94" i="16"/>
  <c r="J93" i="16"/>
  <c r="J156" i="16" s="1"/>
  <c r="J219" i="16" s="1"/>
  <c r="J282" i="16" s="1"/>
  <c r="J345" i="16" s="1"/>
  <c r="J408" i="16" s="1"/>
  <c r="J471" i="16" s="1"/>
  <c r="J534" i="16" s="1"/>
  <c r="J597" i="16" s="1"/>
  <c r="J660" i="16" s="1"/>
  <c r="J723" i="16" s="1"/>
  <c r="J786" i="16" s="1"/>
  <c r="J849" i="16" s="1"/>
  <c r="J912" i="16" s="1"/>
  <c r="J975" i="16" s="1"/>
  <c r="J1038" i="16" s="1"/>
  <c r="J1101" i="16" s="1"/>
  <c r="J1164" i="16" s="1"/>
  <c r="J1227" i="16" s="1"/>
  <c r="J1290" i="16" s="1"/>
  <c r="J1353" i="16" s="1"/>
  <c r="J1416" i="16" s="1"/>
  <c r="J1479" i="16" s="1"/>
  <c r="J1542" i="16" s="1"/>
  <c r="J1605" i="16" s="1"/>
  <c r="J1668" i="16" s="1"/>
  <c r="J1731" i="16" s="1"/>
  <c r="J1794" i="16" s="1"/>
  <c r="J1857" i="16" s="1"/>
  <c r="J1920" i="16" s="1"/>
  <c r="I93" i="16"/>
  <c r="J92" i="16"/>
  <c r="I92" i="16"/>
  <c r="J91" i="16"/>
  <c r="I91" i="16"/>
  <c r="J90" i="16"/>
  <c r="J153" i="16" s="1"/>
  <c r="J216" i="16" s="1"/>
  <c r="J279" i="16" s="1"/>
  <c r="J342" i="16" s="1"/>
  <c r="J405" i="16" s="1"/>
  <c r="J468" i="16" s="1"/>
  <c r="J531" i="16" s="1"/>
  <c r="J594" i="16" s="1"/>
  <c r="J657" i="16" s="1"/>
  <c r="J720" i="16" s="1"/>
  <c r="J783" i="16" s="1"/>
  <c r="J846" i="16" s="1"/>
  <c r="J909" i="16" s="1"/>
  <c r="J972" i="16" s="1"/>
  <c r="J1035" i="16" s="1"/>
  <c r="J1098" i="16" s="1"/>
  <c r="J1161" i="16" s="1"/>
  <c r="J1224" i="16" s="1"/>
  <c r="J1287" i="16" s="1"/>
  <c r="J1350" i="16" s="1"/>
  <c r="J1413" i="16" s="1"/>
  <c r="J1476" i="16" s="1"/>
  <c r="J1539" i="16" s="1"/>
  <c r="J1602" i="16" s="1"/>
  <c r="J1665" i="16" s="1"/>
  <c r="J1728" i="16" s="1"/>
  <c r="J1791" i="16" s="1"/>
  <c r="J1854" i="16" s="1"/>
  <c r="J1917" i="16" s="1"/>
  <c r="I90" i="16"/>
  <c r="J89" i="16"/>
  <c r="J152" i="16" s="1"/>
  <c r="J215" i="16" s="1"/>
  <c r="J278" i="16" s="1"/>
  <c r="J341" i="16" s="1"/>
  <c r="J404" i="16" s="1"/>
  <c r="J467" i="16" s="1"/>
  <c r="J530" i="16" s="1"/>
  <c r="J593" i="16" s="1"/>
  <c r="J656" i="16" s="1"/>
  <c r="J719" i="16" s="1"/>
  <c r="J782" i="16" s="1"/>
  <c r="J845" i="16" s="1"/>
  <c r="J908" i="16" s="1"/>
  <c r="J971" i="16" s="1"/>
  <c r="J1034" i="16" s="1"/>
  <c r="J1097" i="16" s="1"/>
  <c r="J1160" i="16" s="1"/>
  <c r="J1223" i="16" s="1"/>
  <c r="J1286" i="16" s="1"/>
  <c r="J1349" i="16" s="1"/>
  <c r="J1412" i="16" s="1"/>
  <c r="J1475" i="16" s="1"/>
  <c r="J1538" i="16" s="1"/>
  <c r="J1601" i="16" s="1"/>
  <c r="J1664" i="16" s="1"/>
  <c r="J1727" i="16" s="1"/>
  <c r="J1790" i="16" s="1"/>
  <c r="J1853" i="16" s="1"/>
  <c r="J1916" i="16" s="1"/>
  <c r="I89" i="16"/>
  <c r="J88" i="16"/>
  <c r="I88" i="16"/>
  <c r="J87" i="16"/>
  <c r="I87" i="16"/>
  <c r="J86" i="16"/>
  <c r="J149" i="16" s="1"/>
  <c r="J212" i="16" s="1"/>
  <c r="J275" i="16" s="1"/>
  <c r="J338" i="16" s="1"/>
  <c r="J401" i="16" s="1"/>
  <c r="J464" i="16" s="1"/>
  <c r="J527" i="16" s="1"/>
  <c r="J590" i="16" s="1"/>
  <c r="J653" i="16" s="1"/>
  <c r="J716" i="16" s="1"/>
  <c r="J779" i="16" s="1"/>
  <c r="J842" i="16" s="1"/>
  <c r="J905" i="16" s="1"/>
  <c r="J968" i="16" s="1"/>
  <c r="J1031" i="16" s="1"/>
  <c r="J1094" i="16" s="1"/>
  <c r="J1157" i="16" s="1"/>
  <c r="J1220" i="16" s="1"/>
  <c r="J1283" i="16" s="1"/>
  <c r="J1346" i="16" s="1"/>
  <c r="J1409" i="16" s="1"/>
  <c r="J1472" i="16" s="1"/>
  <c r="J1535" i="16" s="1"/>
  <c r="J1598" i="16" s="1"/>
  <c r="J1661" i="16" s="1"/>
  <c r="J1724" i="16" s="1"/>
  <c r="J1787" i="16" s="1"/>
  <c r="J1850" i="16" s="1"/>
  <c r="J1913" i="16" s="1"/>
  <c r="I86" i="16"/>
  <c r="J85" i="16"/>
  <c r="J148" i="16" s="1"/>
  <c r="J211" i="16" s="1"/>
  <c r="J274" i="16" s="1"/>
  <c r="J337" i="16" s="1"/>
  <c r="J400" i="16" s="1"/>
  <c r="J463" i="16" s="1"/>
  <c r="J526" i="16" s="1"/>
  <c r="J589" i="16" s="1"/>
  <c r="J652" i="16" s="1"/>
  <c r="J715" i="16" s="1"/>
  <c r="J778" i="16" s="1"/>
  <c r="J841" i="16" s="1"/>
  <c r="J904" i="16" s="1"/>
  <c r="J967" i="16" s="1"/>
  <c r="J1030" i="16" s="1"/>
  <c r="J1093" i="16" s="1"/>
  <c r="J1156" i="16" s="1"/>
  <c r="J1219" i="16" s="1"/>
  <c r="J1282" i="16" s="1"/>
  <c r="J1345" i="16" s="1"/>
  <c r="J1408" i="16" s="1"/>
  <c r="J1471" i="16" s="1"/>
  <c r="J1534" i="16" s="1"/>
  <c r="J1597" i="16" s="1"/>
  <c r="J1660" i="16" s="1"/>
  <c r="J1723" i="16" s="1"/>
  <c r="J1786" i="16" s="1"/>
  <c r="J1849" i="16" s="1"/>
  <c r="J1912" i="16" s="1"/>
  <c r="I85" i="16"/>
  <c r="J84" i="16"/>
  <c r="I84" i="16"/>
  <c r="J83" i="16"/>
  <c r="I83" i="16"/>
  <c r="F83" i="16"/>
  <c r="F146" i="16" s="1"/>
  <c r="F209" i="16" s="1"/>
  <c r="F272" i="16" s="1"/>
  <c r="F335" i="16" s="1"/>
  <c r="F398" i="16" s="1"/>
  <c r="F461" i="16" s="1"/>
  <c r="F524" i="16" s="1"/>
  <c r="F587" i="16" s="1"/>
  <c r="F650" i="16" s="1"/>
  <c r="F713" i="16" s="1"/>
  <c r="F776" i="16" s="1"/>
  <c r="F839" i="16" s="1"/>
  <c r="F902" i="16" s="1"/>
  <c r="F965" i="16" s="1"/>
  <c r="F1028" i="16" s="1"/>
  <c r="F1091" i="16" s="1"/>
  <c r="F1154" i="16" s="1"/>
  <c r="F1217" i="16" s="1"/>
  <c r="F1280" i="16" s="1"/>
  <c r="F1343" i="16" s="1"/>
  <c r="F1406" i="16" s="1"/>
  <c r="F1469" i="16" s="1"/>
  <c r="F1532" i="16" s="1"/>
  <c r="F1595" i="16" s="1"/>
  <c r="F1658" i="16" s="1"/>
  <c r="F1721" i="16" s="1"/>
  <c r="F1784" i="16" s="1"/>
  <c r="F1847" i="16" s="1"/>
  <c r="F1910" i="16" s="1"/>
  <c r="J82" i="16"/>
  <c r="J145" i="16" s="1"/>
  <c r="J208" i="16" s="1"/>
  <c r="J271" i="16" s="1"/>
  <c r="J334" i="16" s="1"/>
  <c r="J397" i="16" s="1"/>
  <c r="J460" i="16" s="1"/>
  <c r="J523" i="16" s="1"/>
  <c r="J586" i="16" s="1"/>
  <c r="J649" i="16" s="1"/>
  <c r="J712" i="16" s="1"/>
  <c r="J775" i="16" s="1"/>
  <c r="J838" i="16" s="1"/>
  <c r="J901" i="16" s="1"/>
  <c r="J964" i="16" s="1"/>
  <c r="J1027" i="16" s="1"/>
  <c r="J1090" i="16" s="1"/>
  <c r="J1153" i="16" s="1"/>
  <c r="J1216" i="16" s="1"/>
  <c r="J1279" i="16" s="1"/>
  <c r="J1342" i="16" s="1"/>
  <c r="J1405" i="16" s="1"/>
  <c r="J1468" i="16" s="1"/>
  <c r="J1531" i="16" s="1"/>
  <c r="J1594" i="16" s="1"/>
  <c r="J1657" i="16" s="1"/>
  <c r="J1720" i="16" s="1"/>
  <c r="J1783" i="16" s="1"/>
  <c r="J1846" i="16" s="1"/>
  <c r="J1909" i="16" s="1"/>
  <c r="I82" i="16"/>
  <c r="J81" i="16"/>
  <c r="J144" i="16" s="1"/>
  <c r="J207" i="16" s="1"/>
  <c r="J270" i="16" s="1"/>
  <c r="J333" i="16" s="1"/>
  <c r="J396" i="16" s="1"/>
  <c r="J459" i="16" s="1"/>
  <c r="J522" i="16" s="1"/>
  <c r="J585" i="16" s="1"/>
  <c r="J648" i="16" s="1"/>
  <c r="J711" i="16" s="1"/>
  <c r="J774" i="16" s="1"/>
  <c r="J837" i="16" s="1"/>
  <c r="J900" i="16" s="1"/>
  <c r="J963" i="16" s="1"/>
  <c r="J1026" i="16" s="1"/>
  <c r="J1089" i="16" s="1"/>
  <c r="J1152" i="16" s="1"/>
  <c r="J1215" i="16" s="1"/>
  <c r="J1278" i="16" s="1"/>
  <c r="J1341" i="16" s="1"/>
  <c r="J1404" i="16" s="1"/>
  <c r="J1467" i="16" s="1"/>
  <c r="J1530" i="16" s="1"/>
  <c r="J1593" i="16" s="1"/>
  <c r="J1656" i="16" s="1"/>
  <c r="J1719" i="16" s="1"/>
  <c r="J1782" i="16" s="1"/>
  <c r="J1845" i="16" s="1"/>
  <c r="J1908" i="16" s="1"/>
  <c r="I81" i="16"/>
  <c r="J80" i="16"/>
  <c r="I80" i="16"/>
  <c r="J79" i="16"/>
  <c r="I79" i="16"/>
  <c r="J78" i="16"/>
  <c r="J141" i="16" s="1"/>
  <c r="J204" i="16" s="1"/>
  <c r="J267" i="16" s="1"/>
  <c r="J330" i="16" s="1"/>
  <c r="J393" i="16" s="1"/>
  <c r="J456" i="16" s="1"/>
  <c r="J519" i="16" s="1"/>
  <c r="J582" i="16" s="1"/>
  <c r="J645" i="16" s="1"/>
  <c r="J708" i="16" s="1"/>
  <c r="J771" i="16" s="1"/>
  <c r="J834" i="16" s="1"/>
  <c r="J897" i="16" s="1"/>
  <c r="J960" i="16" s="1"/>
  <c r="J1023" i="16" s="1"/>
  <c r="J1086" i="16" s="1"/>
  <c r="J1149" i="16" s="1"/>
  <c r="J1212" i="16" s="1"/>
  <c r="J1275" i="16" s="1"/>
  <c r="J1338" i="16" s="1"/>
  <c r="J1401" i="16" s="1"/>
  <c r="J1464" i="16" s="1"/>
  <c r="J1527" i="16" s="1"/>
  <c r="J1590" i="16" s="1"/>
  <c r="J1653" i="16" s="1"/>
  <c r="J1716" i="16" s="1"/>
  <c r="J1779" i="16" s="1"/>
  <c r="J1842" i="16" s="1"/>
  <c r="J1905" i="16" s="1"/>
  <c r="I78" i="16"/>
  <c r="J77" i="16"/>
  <c r="J140" i="16" s="1"/>
  <c r="J203" i="16" s="1"/>
  <c r="J266" i="16" s="1"/>
  <c r="J329" i="16" s="1"/>
  <c r="J392" i="16" s="1"/>
  <c r="J455" i="16" s="1"/>
  <c r="J518" i="16" s="1"/>
  <c r="J581" i="16" s="1"/>
  <c r="J644" i="16" s="1"/>
  <c r="J707" i="16" s="1"/>
  <c r="J770" i="16" s="1"/>
  <c r="J833" i="16" s="1"/>
  <c r="J896" i="16" s="1"/>
  <c r="J959" i="16" s="1"/>
  <c r="J1022" i="16" s="1"/>
  <c r="J1085" i="16" s="1"/>
  <c r="J1148" i="16" s="1"/>
  <c r="J1211" i="16" s="1"/>
  <c r="J1274" i="16" s="1"/>
  <c r="J1337" i="16" s="1"/>
  <c r="J1400" i="16" s="1"/>
  <c r="J1463" i="16" s="1"/>
  <c r="J1526" i="16" s="1"/>
  <c r="J1589" i="16" s="1"/>
  <c r="J1652" i="16" s="1"/>
  <c r="J1715" i="16" s="1"/>
  <c r="J1778" i="16" s="1"/>
  <c r="J1841" i="16" s="1"/>
  <c r="J1904" i="16" s="1"/>
  <c r="I77" i="16"/>
  <c r="J76" i="16"/>
  <c r="I76" i="16"/>
  <c r="I109" i="16" s="1"/>
  <c r="J75" i="16"/>
  <c r="I75" i="16"/>
  <c r="J74" i="16"/>
  <c r="J137" i="16" s="1"/>
  <c r="J200" i="16" s="1"/>
  <c r="J263" i="16" s="1"/>
  <c r="J326" i="16" s="1"/>
  <c r="J389" i="16" s="1"/>
  <c r="J452" i="16" s="1"/>
  <c r="J515" i="16" s="1"/>
  <c r="J578" i="16" s="1"/>
  <c r="J641" i="16" s="1"/>
  <c r="J704" i="16" s="1"/>
  <c r="J767" i="16" s="1"/>
  <c r="J830" i="16" s="1"/>
  <c r="J893" i="16" s="1"/>
  <c r="J956" i="16" s="1"/>
  <c r="J1019" i="16" s="1"/>
  <c r="J1082" i="16" s="1"/>
  <c r="J1145" i="16" s="1"/>
  <c r="J1208" i="16" s="1"/>
  <c r="J1271" i="16" s="1"/>
  <c r="J1334" i="16" s="1"/>
  <c r="J1397" i="16" s="1"/>
  <c r="J1460" i="16" s="1"/>
  <c r="J1523" i="16" s="1"/>
  <c r="J1586" i="16" s="1"/>
  <c r="J1649" i="16" s="1"/>
  <c r="J1712" i="16" s="1"/>
  <c r="J1775" i="16" s="1"/>
  <c r="J1838" i="16" s="1"/>
  <c r="J1901" i="16" s="1"/>
  <c r="J73" i="16"/>
  <c r="J72" i="16"/>
  <c r="J71" i="16"/>
  <c r="J134" i="16" s="1"/>
  <c r="J197" i="16" s="1"/>
  <c r="J260" i="16" s="1"/>
  <c r="J323" i="16" s="1"/>
  <c r="J386" i="16" s="1"/>
  <c r="J449" i="16" s="1"/>
  <c r="J512" i="16" s="1"/>
  <c r="J575" i="16" s="1"/>
  <c r="J638" i="16" s="1"/>
  <c r="J701" i="16" s="1"/>
  <c r="J764" i="16" s="1"/>
  <c r="J827" i="16" s="1"/>
  <c r="J890" i="16" s="1"/>
  <c r="J953" i="16" s="1"/>
  <c r="J1016" i="16" s="1"/>
  <c r="J1079" i="16" s="1"/>
  <c r="J1142" i="16" s="1"/>
  <c r="J1205" i="16" s="1"/>
  <c r="J1268" i="16" s="1"/>
  <c r="J1331" i="16" s="1"/>
  <c r="J1394" i="16" s="1"/>
  <c r="J1457" i="16" s="1"/>
  <c r="J1520" i="16" s="1"/>
  <c r="J1583" i="16" s="1"/>
  <c r="J1646" i="16" s="1"/>
  <c r="J1709" i="16" s="1"/>
  <c r="J1772" i="16" s="1"/>
  <c r="J1835" i="16" s="1"/>
  <c r="J1898" i="16" s="1"/>
  <c r="J70" i="16"/>
  <c r="E70" i="16"/>
  <c r="J69" i="16"/>
  <c r="J132" i="16" s="1"/>
  <c r="J195" i="16" s="1"/>
  <c r="J258" i="16" s="1"/>
  <c r="J321" i="16" s="1"/>
  <c r="J384" i="16" s="1"/>
  <c r="J447" i="16" s="1"/>
  <c r="J510" i="16" s="1"/>
  <c r="J573" i="16" s="1"/>
  <c r="J636" i="16" s="1"/>
  <c r="J699" i="16" s="1"/>
  <c r="J762" i="16" s="1"/>
  <c r="J825" i="16" s="1"/>
  <c r="J888" i="16" s="1"/>
  <c r="J951" i="16" s="1"/>
  <c r="J1014" i="16" s="1"/>
  <c r="J1077" i="16" s="1"/>
  <c r="J1140" i="16" s="1"/>
  <c r="J1203" i="16" s="1"/>
  <c r="J1266" i="16" s="1"/>
  <c r="J1329" i="16" s="1"/>
  <c r="J1392" i="16" s="1"/>
  <c r="J1455" i="16" s="1"/>
  <c r="J1518" i="16" s="1"/>
  <c r="J1581" i="16" s="1"/>
  <c r="J1644" i="16" s="1"/>
  <c r="J1707" i="16" s="1"/>
  <c r="J1770" i="16" s="1"/>
  <c r="J1833" i="16" s="1"/>
  <c r="J1896" i="16" s="1"/>
  <c r="J68" i="16"/>
  <c r="J131" i="16" s="1"/>
  <c r="J194" i="16" s="1"/>
  <c r="J257" i="16" s="1"/>
  <c r="J320" i="16" s="1"/>
  <c r="J383" i="16" s="1"/>
  <c r="J446" i="16" s="1"/>
  <c r="J509" i="16" s="1"/>
  <c r="J572" i="16" s="1"/>
  <c r="J635" i="16" s="1"/>
  <c r="J698" i="16" s="1"/>
  <c r="J761" i="16" s="1"/>
  <c r="J824" i="16" s="1"/>
  <c r="J887" i="16" s="1"/>
  <c r="J950" i="16" s="1"/>
  <c r="J1013" i="16" s="1"/>
  <c r="J1076" i="16" s="1"/>
  <c r="J1139" i="16" s="1"/>
  <c r="J1202" i="16" s="1"/>
  <c r="J1265" i="16" s="1"/>
  <c r="J1328" i="16" s="1"/>
  <c r="J1391" i="16" s="1"/>
  <c r="J1454" i="16" s="1"/>
  <c r="J1517" i="16" s="1"/>
  <c r="J1580" i="16" s="1"/>
  <c r="J1643" i="16" s="1"/>
  <c r="J1706" i="16" s="1"/>
  <c r="J1769" i="16" s="1"/>
  <c r="J1832" i="16" s="1"/>
  <c r="J1895" i="16" s="1"/>
  <c r="J67" i="16"/>
  <c r="J130" i="16" s="1"/>
  <c r="J193" i="16" s="1"/>
  <c r="J256" i="16" s="1"/>
  <c r="J319" i="16" s="1"/>
  <c r="J382" i="16" s="1"/>
  <c r="J445" i="16" s="1"/>
  <c r="J508" i="16" s="1"/>
  <c r="J571" i="16" s="1"/>
  <c r="J634" i="16" s="1"/>
  <c r="J697" i="16" s="1"/>
  <c r="J760" i="16" s="1"/>
  <c r="J823" i="16" s="1"/>
  <c r="J886" i="16" s="1"/>
  <c r="J949" i="16" s="1"/>
  <c r="J1012" i="16" s="1"/>
  <c r="J1075" i="16" s="1"/>
  <c r="J1138" i="16" s="1"/>
  <c r="J1201" i="16" s="1"/>
  <c r="J1264" i="16" s="1"/>
  <c r="J1327" i="16" s="1"/>
  <c r="J1390" i="16" s="1"/>
  <c r="J1453" i="16" s="1"/>
  <c r="J1516" i="16" s="1"/>
  <c r="J1579" i="16" s="1"/>
  <c r="J1642" i="16" s="1"/>
  <c r="J1705" i="16" s="1"/>
  <c r="J1768" i="16" s="1"/>
  <c r="J1831" i="16" s="1"/>
  <c r="J1894" i="16" s="1"/>
  <c r="J66" i="16"/>
  <c r="E66" i="16"/>
  <c r="J65" i="16"/>
  <c r="J128" i="16" s="1"/>
  <c r="J191" i="16" s="1"/>
  <c r="J254" i="16" s="1"/>
  <c r="J317" i="16" s="1"/>
  <c r="J380" i="16" s="1"/>
  <c r="J443" i="16" s="1"/>
  <c r="J506" i="16" s="1"/>
  <c r="J569" i="16" s="1"/>
  <c r="J632" i="16" s="1"/>
  <c r="J695" i="16" s="1"/>
  <c r="J758" i="16" s="1"/>
  <c r="J821" i="16" s="1"/>
  <c r="J884" i="16" s="1"/>
  <c r="J947" i="16" s="1"/>
  <c r="J1010" i="16" s="1"/>
  <c r="J1073" i="16" s="1"/>
  <c r="J1136" i="16" s="1"/>
  <c r="J1199" i="16" s="1"/>
  <c r="J1262" i="16" s="1"/>
  <c r="J1325" i="16" s="1"/>
  <c r="J1388" i="16" s="1"/>
  <c r="J1451" i="16" s="1"/>
  <c r="J1514" i="16" s="1"/>
  <c r="J1577" i="16" s="1"/>
  <c r="J1640" i="16" s="1"/>
  <c r="J1703" i="16" s="1"/>
  <c r="J1766" i="16" s="1"/>
  <c r="J1829" i="16" s="1"/>
  <c r="J1892" i="16" s="1"/>
  <c r="B65" i="16"/>
  <c r="J64" i="16"/>
  <c r="C56" i="16"/>
  <c r="C55" i="16"/>
  <c r="C118" i="16" s="1"/>
  <c r="C181" i="16" s="1"/>
  <c r="C244" i="16" s="1"/>
  <c r="C307" i="16" s="1"/>
  <c r="C370" i="16" s="1"/>
  <c r="C433" i="16" s="1"/>
  <c r="C496" i="16" s="1"/>
  <c r="C559" i="16" s="1"/>
  <c r="C622" i="16" s="1"/>
  <c r="C685" i="16" s="1"/>
  <c r="C748" i="16" s="1"/>
  <c r="C811" i="16" s="1"/>
  <c r="C874" i="16" s="1"/>
  <c r="C937" i="16" s="1"/>
  <c r="C1000" i="16" s="1"/>
  <c r="C1063" i="16" s="1"/>
  <c r="C1126" i="16" s="1"/>
  <c r="C1189" i="16" s="1"/>
  <c r="C1252" i="16" s="1"/>
  <c r="C1315" i="16" s="1"/>
  <c r="C1378" i="16" s="1"/>
  <c r="C1441" i="16" s="1"/>
  <c r="C1504" i="16" s="1"/>
  <c r="C1567" i="16" s="1"/>
  <c r="C1630" i="16" s="1"/>
  <c r="C1693" i="16" s="1"/>
  <c r="C1756" i="16" s="1"/>
  <c r="C1819" i="16" s="1"/>
  <c r="C1882" i="16" s="1"/>
  <c r="C1945" i="16" s="1"/>
  <c r="E45" i="16"/>
  <c r="I44" i="16"/>
  <c r="F44" i="16"/>
  <c r="E44" i="16"/>
  <c r="I43" i="16"/>
  <c r="F43" i="16"/>
  <c r="F106" i="16" s="1"/>
  <c r="F169" i="16" s="1"/>
  <c r="F232" i="16" s="1"/>
  <c r="F295" i="16" s="1"/>
  <c r="F358" i="16" s="1"/>
  <c r="F421" i="16" s="1"/>
  <c r="F484" i="16" s="1"/>
  <c r="F547" i="16" s="1"/>
  <c r="E43" i="16"/>
  <c r="F42" i="16"/>
  <c r="F105" i="16" s="1"/>
  <c r="F168" i="16" s="1"/>
  <c r="F231" i="16" s="1"/>
  <c r="F294" i="16" s="1"/>
  <c r="F357" i="16" s="1"/>
  <c r="F420" i="16" s="1"/>
  <c r="F483" i="16" s="1"/>
  <c r="F546" i="16" s="1"/>
  <c r="E42" i="16"/>
  <c r="I42" i="16" s="1"/>
  <c r="E41" i="16"/>
  <c r="I40" i="16"/>
  <c r="F40" i="16"/>
  <c r="F103" i="16" s="1"/>
  <c r="F166" i="16" s="1"/>
  <c r="F229" i="16" s="1"/>
  <c r="F292" i="16" s="1"/>
  <c r="F355" i="16" s="1"/>
  <c r="F418" i="16" s="1"/>
  <c r="F481" i="16" s="1"/>
  <c r="F544" i="16" s="1"/>
  <c r="F607" i="16" s="1"/>
  <c r="F670" i="16" s="1"/>
  <c r="F733" i="16" s="1"/>
  <c r="F796" i="16" s="1"/>
  <c r="F859" i="16" s="1"/>
  <c r="F922" i="16" s="1"/>
  <c r="F985" i="16" s="1"/>
  <c r="F1048" i="16" s="1"/>
  <c r="F1111" i="16" s="1"/>
  <c r="F1174" i="16" s="1"/>
  <c r="F1237" i="16" s="1"/>
  <c r="F1300" i="16" s="1"/>
  <c r="F1363" i="16" s="1"/>
  <c r="F1426" i="16" s="1"/>
  <c r="F1489" i="16" s="1"/>
  <c r="F1552" i="16" s="1"/>
  <c r="F1615" i="16" s="1"/>
  <c r="F1678" i="16" s="1"/>
  <c r="F1741" i="16" s="1"/>
  <c r="F1804" i="16" s="1"/>
  <c r="F1867" i="16" s="1"/>
  <c r="F1930" i="16" s="1"/>
  <c r="I39" i="16"/>
  <c r="F39" i="16"/>
  <c r="F102" i="16" s="1"/>
  <c r="F165" i="16" s="1"/>
  <c r="F228" i="16" s="1"/>
  <c r="F291" i="16" s="1"/>
  <c r="F354" i="16" s="1"/>
  <c r="F417" i="16" s="1"/>
  <c r="F480" i="16" s="1"/>
  <c r="F543" i="16" s="1"/>
  <c r="F606" i="16" s="1"/>
  <c r="F669" i="16" s="1"/>
  <c r="F732" i="16" s="1"/>
  <c r="F795" i="16" s="1"/>
  <c r="F858" i="16" s="1"/>
  <c r="F921" i="16" s="1"/>
  <c r="F984" i="16" s="1"/>
  <c r="F1047" i="16" s="1"/>
  <c r="F1110" i="16" s="1"/>
  <c r="F1173" i="16" s="1"/>
  <c r="F1236" i="16" s="1"/>
  <c r="F1299" i="16" s="1"/>
  <c r="F1362" i="16" s="1"/>
  <c r="F1425" i="16" s="1"/>
  <c r="F1488" i="16" s="1"/>
  <c r="F1551" i="16" s="1"/>
  <c r="F1614" i="16" s="1"/>
  <c r="F1677" i="16" s="1"/>
  <c r="F1740" i="16" s="1"/>
  <c r="F1803" i="16" s="1"/>
  <c r="F1866" i="16" s="1"/>
  <c r="F1929" i="16" s="1"/>
  <c r="I38" i="16"/>
  <c r="F38" i="16"/>
  <c r="F101" i="16" s="1"/>
  <c r="F164" i="16" s="1"/>
  <c r="F227" i="16" s="1"/>
  <c r="F290" i="16" s="1"/>
  <c r="F353" i="16" s="1"/>
  <c r="F416" i="16" s="1"/>
  <c r="F479" i="16" s="1"/>
  <c r="F542" i="16" s="1"/>
  <c r="F605" i="16" s="1"/>
  <c r="F668" i="16" s="1"/>
  <c r="F731" i="16" s="1"/>
  <c r="F794" i="16" s="1"/>
  <c r="F857" i="16" s="1"/>
  <c r="F920" i="16" s="1"/>
  <c r="F983" i="16" s="1"/>
  <c r="F1046" i="16" s="1"/>
  <c r="F1109" i="16" s="1"/>
  <c r="F1172" i="16" s="1"/>
  <c r="F1235" i="16" s="1"/>
  <c r="F1298" i="16" s="1"/>
  <c r="F1361" i="16" s="1"/>
  <c r="F1424" i="16" s="1"/>
  <c r="F1487" i="16" s="1"/>
  <c r="F1550" i="16" s="1"/>
  <c r="F1613" i="16" s="1"/>
  <c r="F1676" i="16" s="1"/>
  <c r="F1739" i="16" s="1"/>
  <c r="F1802" i="16" s="1"/>
  <c r="F1865" i="16" s="1"/>
  <c r="F1928" i="16" s="1"/>
  <c r="I37" i="16"/>
  <c r="F37" i="16"/>
  <c r="F100" i="16" s="1"/>
  <c r="F163" i="16" s="1"/>
  <c r="F226" i="16" s="1"/>
  <c r="F289" i="16" s="1"/>
  <c r="F352" i="16" s="1"/>
  <c r="F415" i="16" s="1"/>
  <c r="F478" i="16" s="1"/>
  <c r="F541" i="16" s="1"/>
  <c r="F604" i="16" s="1"/>
  <c r="F667" i="16" s="1"/>
  <c r="F730" i="16" s="1"/>
  <c r="F793" i="16" s="1"/>
  <c r="F856" i="16" s="1"/>
  <c r="F919" i="16" s="1"/>
  <c r="F982" i="16" s="1"/>
  <c r="F1045" i="16" s="1"/>
  <c r="F1108" i="16" s="1"/>
  <c r="F1171" i="16" s="1"/>
  <c r="F1234" i="16" s="1"/>
  <c r="F1297" i="16" s="1"/>
  <c r="F1360" i="16" s="1"/>
  <c r="F1423" i="16" s="1"/>
  <c r="F1486" i="16" s="1"/>
  <c r="F1549" i="16" s="1"/>
  <c r="F1612" i="16" s="1"/>
  <c r="F1675" i="16" s="1"/>
  <c r="F1738" i="16" s="1"/>
  <c r="F1801" i="16" s="1"/>
  <c r="F1864" i="16" s="1"/>
  <c r="F1927" i="16" s="1"/>
  <c r="I36" i="16"/>
  <c r="F36" i="16"/>
  <c r="I35" i="16"/>
  <c r="F35" i="16"/>
  <c r="F98" i="16" s="1"/>
  <c r="F161" i="16" s="1"/>
  <c r="F224" i="16" s="1"/>
  <c r="F287" i="16" s="1"/>
  <c r="F350" i="16" s="1"/>
  <c r="F413" i="16" s="1"/>
  <c r="F476" i="16" s="1"/>
  <c r="F539" i="16" s="1"/>
  <c r="F602" i="16" s="1"/>
  <c r="F665" i="16" s="1"/>
  <c r="F728" i="16" s="1"/>
  <c r="F791" i="16" s="1"/>
  <c r="F854" i="16" s="1"/>
  <c r="F917" i="16" s="1"/>
  <c r="F980" i="16" s="1"/>
  <c r="F1043" i="16" s="1"/>
  <c r="F1106" i="16" s="1"/>
  <c r="F1169" i="16" s="1"/>
  <c r="F1232" i="16" s="1"/>
  <c r="F1295" i="16" s="1"/>
  <c r="F1358" i="16" s="1"/>
  <c r="F1421" i="16" s="1"/>
  <c r="F1484" i="16" s="1"/>
  <c r="F1547" i="16" s="1"/>
  <c r="F1610" i="16" s="1"/>
  <c r="F1673" i="16" s="1"/>
  <c r="F1736" i="16" s="1"/>
  <c r="F1799" i="16" s="1"/>
  <c r="F1862" i="16" s="1"/>
  <c r="F1925" i="16" s="1"/>
  <c r="I34" i="16"/>
  <c r="F34" i="16"/>
  <c r="F97" i="16" s="1"/>
  <c r="F160" i="16" s="1"/>
  <c r="F223" i="16" s="1"/>
  <c r="F286" i="16" s="1"/>
  <c r="F349" i="16" s="1"/>
  <c r="F412" i="16" s="1"/>
  <c r="F475" i="16" s="1"/>
  <c r="F538" i="16" s="1"/>
  <c r="F601" i="16" s="1"/>
  <c r="F664" i="16" s="1"/>
  <c r="F727" i="16" s="1"/>
  <c r="F790" i="16" s="1"/>
  <c r="F853" i="16" s="1"/>
  <c r="F916" i="16" s="1"/>
  <c r="F979" i="16" s="1"/>
  <c r="F1042" i="16" s="1"/>
  <c r="F1105" i="16" s="1"/>
  <c r="F1168" i="16" s="1"/>
  <c r="F1231" i="16" s="1"/>
  <c r="F1294" i="16" s="1"/>
  <c r="F1357" i="16" s="1"/>
  <c r="F1420" i="16" s="1"/>
  <c r="F1483" i="16" s="1"/>
  <c r="F1546" i="16" s="1"/>
  <c r="F1609" i="16" s="1"/>
  <c r="F1672" i="16" s="1"/>
  <c r="F1735" i="16" s="1"/>
  <c r="F1798" i="16" s="1"/>
  <c r="F1861" i="16" s="1"/>
  <c r="F1924" i="16" s="1"/>
  <c r="I33" i="16"/>
  <c r="F33" i="16"/>
  <c r="F96" i="16" s="1"/>
  <c r="F159" i="16" s="1"/>
  <c r="F222" i="16" s="1"/>
  <c r="F285" i="16" s="1"/>
  <c r="F348" i="16" s="1"/>
  <c r="F411" i="16" s="1"/>
  <c r="F474" i="16" s="1"/>
  <c r="F537" i="16" s="1"/>
  <c r="F600" i="16" s="1"/>
  <c r="F663" i="16" s="1"/>
  <c r="F726" i="16" s="1"/>
  <c r="F789" i="16" s="1"/>
  <c r="F852" i="16" s="1"/>
  <c r="F915" i="16" s="1"/>
  <c r="F978" i="16" s="1"/>
  <c r="F1041" i="16" s="1"/>
  <c r="F1104" i="16" s="1"/>
  <c r="F1167" i="16" s="1"/>
  <c r="F1230" i="16" s="1"/>
  <c r="F1293" i="16" s="1"/>
  <c r="F1356" i="16" s="1"/>
  <c r="F1419" i="16" s="1"/>
  <c r="F1482" i="16" s="1"/>
  <c r="F1545" i="16" s="1"/>
  <c r="F1608" i="16" s="1"/>
  <c r="F1671" i="16" s="1"/>
  <c r="F1734" i="16" s="1"/>
  <c r="F1797" i="16" s="1"/>
  <c r="F1860" i="16" s="1"/>
  <c r="F1923" i="16" s="1"/>
  <c r="I32" i="16"/>
  <c r="F32" i="16"/>
  <c r="F95" i="16" s="1"/>
  <c r="F158" i="16" s="1"/>
  <c r="F221" i="16" s="1"/>
  <c r="F284" i="16" s="1"/>
  <c r="F347" i="16" s="1"/>
  <c r="F410" i="16" s="1"/>
  <c r="F473" i="16" s="1"/>
  <c r="F536" i="16" s="1"/>
  <c r="F599" i="16" s="1"/>
  <c r="F662" i="16" s="1"/>
  <c r="F725" i="16" s="1"/>
  <c r="F788" i="16" s="1"/>
  <c r="F851" i="16" s="1"/>
  <c r="F914" i="16" s="1"/>
  <c r="F977" i="16" s="1"/>
  <c r="F1040" i="16" s="1"/>
  <c r="F1103" i="16" s="1"/>
  <c r="F1166" i="16" s="1"/>
  <c r="F1229" i="16" s="1"/>
  <c r="F1292" i="16" s="1"/>
  <c r="F1355" i="16" s="1"/>
  <c r="F1418" i="16" s="1"/>
  <c r="F1481" i="16" s="1"/>
  <c r="F1544" i="16" s="1"/>
  <c r="F1607" i="16" s="1"/>
  <c r="F1670" i="16" s="1"/>
  <c r="F1733" i="16" s="1"/>
  <c r="F1796" i="16" s="1"/>
  <c r="F1859" i="16" s="1"/>
  <c r="F1922" i="16" s="1"/>
  <c r="I31" i="16"/>
  <c r="F31" i="16"/>
  <c r="F94" i="16" s="1"/>
  <c r="F157" i="16" s="1"/>
  <c r="F220" i="16" s="1"/>
  <c r="F283" i="16" s="1"/>
  <c r="F346" i="16" s="1"/>
  <c r="F409" i="16" s="1"/>
  <c r="F472" i="16" s="1"/>
  <c r="F535" i="16" s="1"/>
  <c r="F598" i="16" s="1"/>
  <c r="F661" i="16" s="1"/>
  <c r="F724" i="16" s="1"/>
  <c r="F787" i="16" s="1"/>
  <c r="F850" i="16" s="1"/>
  <c r="F913" i="16" s="1"/>
  <c r="F976" i="16" s="1"/>
  <c r="F1039" i="16" s="1"/>
  <c r="F1102" i="16" s="1"/>
  <c r="F1165" i="16" s="1"/>
  <c r="F1228" i="16" s="1"/>
  <c r="F1291" i="16" s="1"/>
  <c r="F1354" i="16" s="1"/>
  <c r="F1417" i="16" s="1"/>
  <c r="F1480" i="16" s="1"/>
  <c r="F1543" i="16" s="1"/>
  <c r="F1606" i="16" s="1"/>
  <c r="F1669" i="16" s="1"/>
  <c r="F1732" i="16" s="1"/>
  <c r="F1795" i="16" s="1"/>
  <c r="F1858" i="16" s="1"/>
  <c r="F1921" i="16" s="1"/>
  <c r="I30" i="16"/>
  <c r="F30" i="16"/>
  <c r="F93" i="16" s="1"/>
  <c r="F156" i="16" s="1"/>
  <c r="F219" i="16" s="1"/>
  <c r="F282" i="16" s="1"/>
  <c r="F345" i="16" s="1"/>
  <c r="F408" i="16" s="1"/>
  <c r="F471" i="16" s="1"/>
  <c r="F534" i="16" s="1"/>
  <c r="F597" i="16" s="1"/>
  <c r="F660" i="16" s="1"/>
  <c r="F723" i="16" s="1"/>
  <c r="F786" i="16" s="1"/>
  <c r="F849" i="16" s="1"/>
  <c r="F912" i="16" s="1"/>
  <c r="F975" i="16" s="1"/>
  <c r="F1038" i="16" s="1"/>
  <c r="F1101" i="16" s="1"/>
  <c r="F1164" i="16" s="1"/>
  <c r="F1227" i="16" s="1"/>
  <c r="F1290" i="16" s="1"/>
  <c r="F1353" i="16" s="1"/>
  <c r="F1416" i="16" s="1"/>
  <c r="F1479" i="16" s="1"/>
  <c r="F1542" i="16" s="1"/>
  <c r="F1605" i="16" s="1"/>
  <c r="F1668" i="16" s="1"/>
  <c r="F1731" i="16" s="1"/>
  <c r="F1794" i="16" s="1"/>
  <c r="F1857" i="16" s="1"/>
  <c r="F1920" i="16" s="1"/>
  <c r="I29" i="16"/>
  <c r="F29" i="16"/>
  <c r="F92" i="16" s="1"/>
  <c r="F155" i="16" s="1"/>
  <c r="F218" i="16" s="1"/>
  <c r="F281" i="16" s="1"/>
  <c r="F344" i="16" s="1"/>
  <c r="F407" i="16" s="1"/>
  <c r="F470" i="16" s="1"/>
  <c r="F533" i="16" s="1"/>
  <c r="F596" i="16" s="1"/>
  <c r="F659" i="16" s="1"/>
  <c r="F722" i="16" s="1"/>
  <c r="F785" i="16" s="1"/>
  <c r="F848" i="16" s="1"/>
  <c r="F911" i="16" s="1"/>
  <c r="F974" i="16" s="1"/>
  <c r="F1037" i="16" s="1"/>
  <c r="F1100" i="16" s="1"/>
  <c r="F1163" i="16" s="1"/>
  <c r="F1226" i="16" s="1"/>
  <c r="F1289" i="16" s="1"/>
  <c r="F1352" i="16" s="1"/>
  <c r="F1415" i="16" s="1"/>
  <c r="F1478" i="16" s="1"/>
  <c r="F1541" i="16" s="1"/>
  <c r="F1604" i="16" s="1"/>
  <c r="F1667" i="16" s="1"/>
  <c r="F1730" i="16" s="1"/>
  <c r="F1793" i="16" s="1"/>
  <c r="F1856" i="16" s="1"/>
  <c r="F1919" i="16" s="1"/>
  <c r="I28" i="16"/>
  <c r="F28" i="16"/>
  <c r="F91" i="16" s="1"/>
  <c r="F154" i="16" s="1"/>
  <c r="F217" i="16" s="1"/>
  <c r="F280" i="16" s="1"/>
  <c r="F343" i="16" s="1"/>
  <c r="F406" i="16" s="1"/>
  <c r="F469" i="16" s="1"/>
  <c r="F532" i="16" s="1"/>
  <c r="F595" i="16" s="1"/>
  <c r="F658" i="16" s="1"/>
  <c r="F721" i="16" s="1"/>
  <c r="F784" i="16" s="1"/>
  <c r="F847" i="16" s="1"/>
  <c r="F910" i="16" s="1"/>
  <c r="F973" i="16" s="1"/>
  <c r="F1036" i="16" s="1"/>
  <c r="F1099" i="16" s="1"/>
  <c r="F1162" i="16" s="1"/>
  <c r="F1225" i="16" s="1"/>
  <c r="F1288" i="16" s="1"/>
  <c r="F1351" i="16" s="1"/>
  <c r="F1414" i="16" s="1"/>
  <c r="F1477" i="16" s="1"/>
  <c r="F1540" i="16" s="1"/>
  <c r="F1603" i="16" s="1"/>
  <c r="F1666" i="16" s="1"/>
  <c r="F1729" i="16" s="1"/>
  <c r="F1792" i="16" s="1"/>
  <c r="F1855" i="16" s="1"/>
  <c r="F1918" i="16" s="1"/>
  <c r="I27" i="16"/>
  <c r="F27" i="16"/>
  <c r="F90" i="16" s="1"/>
  <c r="F153" i="16" s="1"/>
  <c r="F216" i="16" s="1"/>
  <c r="F279" i="16" s="1"/>
  <c r="F342" i="16" s="1"/>
  <c r="F405" i="16" s="1"/>
  <c r="F468" i="16" s="1"/>
  <c r="F531" i="16" s="1"/>
  <c r="F594" i="16" s="1"/>
  <c r="F657" i="16" s="1"/>
  <c r="F720" i="16" s="1"/>
  <c r="F783" i="16" s="1"/>
  <c r="F846" i="16" s="1"/>
  <c r="F909" i="16" s="1"/>
  <c r="F972" i="16" s="1"/>
  <c r="F1035" i="16" s="1"/>
  <c r="F1098" i="16" s="1"/>
  <c r="F1161" i="16" s="1"/>
  <c r="F1224" i="16" s="1"/>
  <c r="F1287" i="16" s="1"/>
  <c r="F1350" i="16" s="1"/>
  <c r="F1413" i="16" s="1"/>
  <c r="F1476" i="16" s="1"/>
  <c r="F1539" i="16" s="1"/>
  <c r="F1602" i="16" s="1"/>
  <c r="F1665" i="16" s="1"/>
  <c r="F1728" i="16" s="1"/>
  <c r="F1791" i="16" s="1"/>
  <c r="F1854" i="16" s="1"/>
  <c r="F1917" i="16" s="1"/>
  <c r="I26" i="16"/>
  <c r="F26" i="16"/>
  <c r="F89" i="16" s="1"/>
  <c r="F152" i="16" s="1"/>
  <c r="F215" i="16" s="1"/>
  <c r="F278" i="16" s="1"/>
  <c r="F341" i="16" s="1"/>
  <c r="F404" i="16" s="1"/>
  <c r="F467" i="16" s="1"/>
  <c r="F530" i="16" s="1"/>
  <c r="F593" i="16" s="1"/>
  <c r="F656" i="16" s="1"/>
  <c r="F719" i="16" s="1"/>
  <c r="F782" i="16" s="1"/>
  <c r="F845" i="16" s="1"/>
  <c r="F908" i="16" s="1"/>
  <c r="F971" i="16" s="1"/>
  <c r="F1034" i="16" s="1"/>
  <c r="F1097" i="16" s="1"/>
  <c r="F1160" i="16" s="1"/>
  <c r="F1223" i="16" s="1"/>
  <c r="F1286" i="16" s="1"/>
  <c r="F1349" i="16" s="1"/>
  <c r="F1412" i="16" s="1"/>
  <c r="F1475" i="16" s="1"/>
  <c r="F1538" i="16" s="1"/>
  <c r="F1601" i="16" s="1"/>
  <c r="F1664" i="16" s="1"/>
  <c r="F1727" i="16" s="1"/>
  <c r="F1790" i="16" s="1"/>
  <c r="F1853" i="16" s="1"/>
  <c r="F1916" i="16" s="1"/>
  <c r="I25" i="16"/>
  <c r="F25" i="16"/>
  <c r="F88" i="16" s="1"/>
  <c r="F151" i="16" s="1"/>
  <c r="F214" i="16" s="1"/>
  <c r="F277" i="16" s="1"/>
  <c r="F340" i="16" s="1"/>
  <c r="F403" i="16" s="1"/>
  <c r="F466" i="16" s="1"/>
  <c r="F529" i="16" s="1"/>
  <c r="F592" i="16" s="1"/>
  <c r="F655" i="16" s="1"/>
  <c r="F718" i="16" s="1"/>
  <c r="F781" i="16" s="1"/>
  <c r="F844" i="16" s="1"/>
  <c r="F907" i="16" s="1"/>
  <c r="F970" i="16" s="1"/>
  <c r="F1033" i="16" s="1"/>
  <c r="F1096" i="16" s="1"/>
  <c r="F1159" i="16" s="1"/>
  <c r="F1222" i="16" s="1"/>
  <c r="F1285" i="16" s="1"/>
  <c r="F1348" i="16" s="1"/>
  <c r="F1411" i="16" s="1"/>
  <c r="F1474" i="16" s="1"/>
  <c r="F1537" i="16" s="1"/>
  <c r="F1600" i="16" s="1"/>
  <c r="F1663" i="16" s="1"/>
  <c r="F1726" i="16" s="1"/>
  <c r="F1789" i="16" s="1"/>
  <c r="F1852" i="16" s="1"/>
  <c r="F1915" i="16" s="1"/>
  <c r="I24" i="16"/>
  <c r="F24" i="16"/>
  <c r="F87" i="16" s="1"/>
  <c r="F150" i="16" s="1"/>
  <c r="F213" i="16" s="1"/>
  <c r="F276" i="16" s="1"/>
  <c r="F339" i="16" s="1"/>
  <c r="F402" i="16" s="1"/>
  <c r="F465" i="16" s="1"/>
  <c r="F528" i="16" s="1"/>
  <c r="F591" i="16" s="1"/>
  <c r="F654" i="16" s="1"/>
  <c r="F717" i="16" s="1"/>
  <c r="F780" i="16" s="1"/>
  <c r="F843" i="16" s="1"/>
  <c r="F906" i="16" s="1"/>
  <c r="F969" i="16" s="1"/>
  <c r="F1032" i="16" s="1"/>
  <c r="F1095" i="16" s="1"/>
  <c r="F1158" i="16" s="1"/>
  <c r="F1221" i="16" s="1"/>
  <c r="F1284" i="16" s="1"/>
  <c r="F1347" i="16" s="1"/>
  <c r="F1410" i="16" s="1"/>
  <c r="F1473" i="16" s="1"/>
  <c r="F1536" i="16" s="1"/>
  <c r="F1599" i="16" s="1"/>
  <c r="F1662" i="16" s="1"/>
  <c r="F1725" i="16" s="1"/>
  <c r="F1788" i="16" s="1"/>
  <c r="F1851" i="16" s="1"/>
  <c r="F1914" i="16" s="1"/>
  <c r="I23" i="16"/>
  <c r="F23" i="16"/>
  <c r="F86" i="16" s="1"/>
  <c r="F149" i="16" s="1"/>
  <c r="F212" i="16" s="1"/>
  <c r="F275" i="16" s="1"/>
  <c r="F338" i="16" s="1"/>
  <c r="F401" i="16" s="1"/>
  <c r="F464" i="16" s="1"/>
  <c r="F527" i="16" s="1"/>
  <c r="F590" i="16" s="1"/>
  <c r="F653" i="16" s="1"/>
  <c r="F716" i="16" s="1"/>
  <c r="F779" i="16" s="1"/>
  <c r="F842" i="16" s="1"/>
  <c r="F905" i="16" s="1"/>
  <c r="F968" i="16" s="1"/>
  <c r="F1031" i="16" s="1"/>
  <c r="F1094" i="16" s="1"/>
  <c r="F1157" i="16" s="1"/>
  <c r="F1220" i="16" s="1"/>
  <c r="F1283" i="16" s="1"/>
  <c r="F1346" i="16" s="1"/>
  <c r="F1409" i="16" s="1"/>
  <c r="F1472" i="16" s="1"/>
  <c r="F1535" i="16" s="1"/>
  <c r="F1598" i="16" s="1"/>
  <c r="F1661" i="16" s="1"/>
  <c r="F1724" i="16" s="1"/>
  <c r="F1787" i="16" s="1"/>
  <c r="F1850" i="16" s="1"/>
  <c r="F1913" i="16" s="1"/>
  <c r="I22" i="16"/>
  <c r="F22" i="16"/>
  <c r="F85" i="16" s="1"/>
  <c r="F148" i="16" s="1"/>
  <c r="F211" i="16" s="1"/>
  <c r="F274" i="16" s="1"/>
  <c r="F337" i="16" s="1"/>
  <c r="F400" i="16" s="1"/>
  <c r="F463" i="16" s="1"/>
  <c r="F526" i="16" s="1"/>
  <c r="F589" i="16" s="1"/>
  <c r="F652" i="16" s="1"/>
  <c r="F715" i="16" s="1"/>
  <c r="F778" i="16" s="1"/>
  <c r="F841" i="16" s="1"/>
  <c r="F904" i="16" s="1"/>
  <c r="F967" i="16" s="1"/>
  <c r="F1030" i="16" s="1"/>
  <c r="F1093" i="16" s="1"/>
  <c r="F1156" i="16" s="1"/>
  <c r="F1219" i="16" s="1"/>
  <c r="F1282" i="16" s="1"/>
  <c r="F1345" i="16" s="1"/>
  <c r="F1408" i="16" s="1"/>
  <c r="F1471" i="16" s="1"/>
  <c r="F1534" i="16" s="1"/>
  <c r="F1597" i="16" s="1"/>
  <c r="F1660" i="16" s="1"/>
  <c r="F1723" i="16" s="1"/>
  <c r="F1786" i="16" s="1"/>
  <c r="F1849" i="16" s="1"/>
  <c r="F1912" i="16" s="1"/>
  <c r="I21" i="16"/>
  <c r="F21" i="16"/>
  <c r="F84" i="16" s="1"/>
  <c r="F147" i="16" s="1"/>
  <c r="F210" i="16" s="1"/>
  <c r="F273" i="16" s="1"/>
  <c r="F336" i="16" s="1"/>
  <c r="F399" i="16" s="1"/>
  <c r="F462" i="16" s="1"/>
  <c r="F525" i="16" s="1"/>
  <c r="F588" i="16" s="1"/>
  <c r="F651" i="16" s="1"/>
  <c r="F714" i="16" s="1"/>
  <c r="F777" i="16" s="1"/>
  <c r="F840" i="16" s="1"/>
  <c r="F903" i="16" s="1"/>
  <c r="F966" i="16" s="1"/>
  <c r="F1029" i="16" s="1"/>
  <c r="F1092" i="16" s="1"/>
  <c r="F1155" i="16" s="1"/>
  <c r="F1218" i="16" s="1"/>
  <c r="F1281" i="16" s="1"/>
  <c r="F1344" i="16" s="1"/>
  <c r="F1407" i="16" s="1"/>
  <c r="F1470" i="16" s="1"/>
  <c r="F1533" i="16" s="1"/>
  <c r="F1596" i="16" s="1"/>
  <c r="F1659" i="16" s="1"/>
  <c r="F1722" i="16" s="1"/>
  <c r="F1785" i="16" s="1"/>
  <c r="F1848" i="16" s="1"/>
  <c r="F1911" i="16" s="1"/>
  <c r="I20" i="16"/>
  <c r="F20" i="16"/>
  <c r="I19" i="16"/>
  <c r="F19" i="16"/>
  <c r="F82" i="16" s="1"/>
  <c r="F145" i="16" s="1"/>
  <c r="F208" i="16" s="1"/>
  <c r="F271" i="16" s="1"/>
  <c r="F334" i="16" s="1"/>
  <c r="F397" i="16" s="1"/>
  <c r="F460" i="16" s="1"/>
  <c r="F523" i="16" s="1"/>
  <c r="F586" i="16" s="1"/>
  <c r="F649" i="16" s="1"/>
  <c r="F712" i="16" s="1"/>
  <c r="F775" i="16" s="1"/>
  <c r="F838" i="16" s="1"/>
  <c r="F901" i="16" s="1"/>
  <c r="F964" i="16" s="1"/>
  <c r="F1027" i="16" s="1"/>
  <c r="F1090" i="16" s="1"/>
  <c r="F1153" i="16" s="1"/>
  <c r="F1216" i="16" s="1"/>
  <c r="F1279" i="16" s="1"/>
  <c r="F1342" i="16" s="1"/>
  <c r="F1405" i="16" s="1"/>
  <c r="F1468" i="16" s="1"/>
  <c r="F1531" i="16" s="1"/>
  <c r="F1594" i="16" s="1"/>
  <c r="F1657" i="16" s="1"/>
  <c r="F1720" i="16" s="1"/>
  <c r="F1783" i="16" s="1"/>
  <c r="F1846" i="16" s="1"/>
  <c r="F1909" i="16" s="1"/>
  <c r="I18" i="16"/>
  <c r="F18" i="16"/>
  <c r="F81" i="16" s="1"/>
  <c r="F144" i="16" s="1"/>
  <c r="F207" i="16" s="1"/>
  <c r="F270" i="16" s="1"/>
  <c r="F333" i="16" s="1"/>
  <c r="F396" i="16" s="1"/>
  <c r="F459" i="16" s="1"/>
  <c r="F522" i="16" s="1"/>
  <c r="F585" i="16" s="1"/>
  <c r="F648" i="16" s="1"/>
  <c r="F711" i="16" s="1"/>
  <c r="F774" i="16" s="1"/>
  <c r="F837" i="16" s="1"/>
  <c r="F900" i="16" s="1"/>
  <c r="F963" i="16" s="1"/>
  <c r="F1026" i="16" s="1"/>
  <c r="F1089" i="16" s="1"/>
  <c r="F1152" i="16" s="1"/>
  <c r="F1215" i="16" s="1"/>
  <c r="F1278" i="16" s="1"/>
  <c r="F1341" i="16" s="1"/>
  <c r="F1404" i="16" s="1"/>
  <c r="F1467" i="16" s="1"/>
  <c r="F1530" i="16" s="1"/>
  <c r="F1593" i="16" s="1"/>
  <c r="F1656" i="16" s="1"/>
  <c r="F1719" i="16" s="1"/>
  <c r="F1782" i="16" s="1"/>
  <c r="F1845" i="16" s="1"/>
  <c r="F1908" i="16" s="1"/>
  <c r="I17" i="16"/>
  <c r="F17" i="16"/>
  <c r="F80" i="16" s="1"/>
  <c r="F143" i="16" s="1"/>
  <c r="F206" i="16" s="1"/>
  <c r="F269" i="16" s="1"/>
  <c r="F332" i="16" s="1"/>
  <c r="F395" i="16" s="1"/>
  <c r="F458" i="16" s="1"/>
  <c r="F521" i="16" s="1"/>
  <c r="F584" i="16" s="1"/>
  <c r="F647" i="16" s="1"/>
  <c r="F710" i="16" s="1"/>
  <c r="F773" i="16" s="1"/>
  <c r="F836" i="16" s="1"/>
  <c r="F899" i="16" s="1"/>
  <c r="F962" i="16" s="1"/>
  <c r="F1025" i="16" s="1"/>
  <c r="F1088" i="16" s="1"/>
  <c r="F1151" i="16" s="1"/>
  <c r="F1214" i="16" s="1"/>
  <c r="F1277" i="16" s="1"/>
  <c r="F1340" i="16" s="1"/>
  <c r="F1403" i="16" s="1"/>
  <c r="F1466" i="16" s="1"/>
  <c r="F1529" i="16" s="1"/>
  <c r="F1592" i="16" s="1"/>
  <c r="F1655" i="16" s="1"/>
  <c r="F1718" i="16" s="1"/>
  <c r="F1781" i="16" s="1"/>
  <c r="F1844" i="16" s="1"/>
  <c r="F1907" i="16" s="1"/>
  <c r="I16" i="16"/>
  <c r="F16" i="16"/>
  <c r="F79" i="16" s="1"/>
  <c r="F142" i="16" s="1"/>
  <c r="F205" i="16" s="1"/>
  <c r="F268" i="16" s="1"/>
  <c r="F331" i="16" s="1"/>
  <c r="F394" i="16" s="1"/>
  <c r="F457" i="16" s="1"/>
  <c r="F520" i="16" s="1"/>
  <c r="F583" i="16" s="1"/>
  <c r="F646" i="16" s="1"/>
  <c r="F709" i="16" s="1"/>
  <c r="F772" i="16" s="1"/>
  <c r="F835" i="16" s="1"/>
  <c r="F898" i="16" s="1"/>
  <c r="F961" i="16" s="1"/>
  <c r="F1024" i="16" s="1"/>
  <c r="F1087" i="16" s="1"/>
  <c r="F1150" i="16" s="1"/>
  <c r="F1213" i="16" s="1"/>
  <c r="F1276" i="16" s="1"/>
  <c r="F1339" i="16" s="1"/>
  <c r="F1402" i="16" s="1"/>
  <c r="F1465" i="16" s="1"/>
  <c r="F1528" i="16" s="1"/>
  <c r="F1591" i="16" s="1"/>
  <c r="F1654" i="16" s="1"/>
  <c r="F1717" i="16" s="1"/>
  <c r="F1780" i="16" s="1"/>
  <c r="F1843" i="16" s="1"/>
  <c r="F1906" i="16" s="1"/>
  <c r="I15" i="16"/>
  <c r="F15" i="16"/>
  <c r="F78" i="16" s="1"/>
  <c r="F141" i="16" s="1"/>
  <c r="F204" i="16" s="1"/>
  <c r="F267" i="16" s="1"/>
  <c r="F330" i="16" s="1"/>
  <c r="F393" i="16" s="1"/>
  <c r="F456" i="16" s="1"/>
  <c r="F519" i="16" s="1"/>
  <c r="F582" i="16" s="1"/>
  <c r="F645" i="16" s="1"/>
  <c r="F708" i="16" s="1"/>
  <c r="F771" i="16" s="1"/>
  <c r="F834" i="16" s="1"/>
  <c r="F897" i="16" s="1"/>
  <c r="F960" i="16" s="1"/>
  <c r="F1023" i="16" s="1"/>
  <c r="F1086" i="16" s="1"/>
  <c r="F1149" i="16" s="1"/>
  <c r="F1212" i="16" s="1"/>
  <c r="F1275" i="16" s="1"/>
  <c r="F1338" i="16" s="1"/>
  <c r="F1401" i="16" s="1"/>
  <c r="F1464" i="16" s="1"/>
  <c r="F1527" i="16" s="1"/>
  <c r="F1590" i="16" s="1"/>
  <c r="F1653" i="16" s="1"/>
  <c r="F1716" i="16" s="1"/>
  <c r="F1779" i="16" s="1"/>
  <c r="F1842" i="16" s="1"/>
  <c r="F1905" i="16" s="1"/>
  <c r="I14" i="16"/>
  <c r="F14" i="16"/>
  <c r="F77" i="16" s="1"/>
  <c r="F140" i="16" s="1"/>
  <c r="F203" i="16" s="1"/>
  <c r="F266" i="16" s="1"/>
  <c r="F329" i="16" s="1"/>
  <c r="F392" i="16" s="1"/>
  <c r="F455" i="16" s="1"/>
  <c r="F518" i="16" s="1"/>
  <c r="F581" i="16" s="1"/>
  <c r="F644" i="16" s="1"/>
  <c r="F707" i="16" s="1"/>
  <c r="F770" i="16" s="1"/>
  <c r="F833" i="16" s="1"/>
  <c r="F896" i="16" s="1"/>
  <c r="F959" i="16" s="1"/>
  <c r="F1022" i="16" s="1"/>
  <c r="F1085" i="16" s="1"/>
  <c r="F1148" i="16" s="1"/>
  <c r="F1211" i="16" s="1"/>
  <c r="F1274" i="16" s="1"/>
  <c r="F1337" i="16" s="1"/>
  <c r="F1400" i="16" s="1"/>
  <c r="F1463" i="16" s="1"/>
  <c r="F1526" i="16" s="1"/>
  <c r="F1589" i="16" s="1"/>
  <c r="F1652" i="16" s="1"/>
  <c r="F1715" i="16" s="1"/>
  <c r="F1778" i="16" s="1"/>
  <c r="F1841" i="16" s="1"/>
  <c r="F1904" i="16" s="1"/>
  <c r="I13" i="16"/>
  <c r="F13" i="16"/>
  <c r="F76" i="16" s="1"/>
  <c r="F139" i="16" s="1"/>
  <c r="F202" i="16" s="1"/>
  <c r="F265" i="16" s="1"/>
  <c r="F328" i="16" s="1"/>
  <c r="F391" i="16" s="1"/>
  <c r="F454" i="16" s="1"/>
  <c r="F517" i="16" s="1"/>
  <c r="F580" i="16" s="1"/>
  <c r="F643" i="16" s="1"/>
  <c r="F706" i="16" s="1"/>
  <c r="F769" i="16" s="1"/>
  <c r="F832" i="16" s="1"/>
  <c r="F895" i="16" s="1"/>
  <c r="F958" i="16" s="1"/>
  <c r="F1021" i="16" s="1"/>
  <c r="F1084" i="16" s="1"/>
  <c r="F1147" i="16" s="1"/>
  <c r="F1210" i="16" s="1"/>
  <c r="F1273" i="16" s="1"/>
  <c r="F1336" i="16" s="1"/>
  <c r="F1399" i="16" s="1"/>
  <c r="F1462" i="16" s="1"/>
  <c r="F1525" i="16" s="1"/>
  <c r="F1588" i="16" s="1"/>
  <c r="F1651" i="16" s="1"/>
  <c r="F1714" i="16" s="1"/>
  <c r="F1777" i="16" s="1"/>
  <c r="F1840" i="16" s="1"/>
  <c r="F1903" i="16" s="1"/>
  <c r="I12" i="16"/>
  <c r="F12" i="16"/>
  <c r="F75" i="16" s="1"/>
  <c r="F138" i="16" s="1"/>
  <c r="F201" i="16" s="1"/>
  <c r="F264" i="16" s="1"/>
  <c r="F327" i="16" s="1"/>
  <c r="F390" i="16" s="1"/>
  <c r="F453" i="16" s="1"/>
  <c r="F516" i="16" s="1"/>
  <c r="F579" i="16" s="1"/>
  <c r="F642" i="16" s="1"/>
  <c r="F705" i="16" s="1"/>
  <c r="F768" i="16" s="1"/>
  <c r="F831" i="16" s="1"/>
  <c r="F894" i="16" s="1"/>
  <c r="F957" i="16" s="1"/>
  <c r="F1020" i="16" s="1"/>
  <c r="F1083" i="16" s="1"/>
  <c r="F1146" i="16" s="1"/>
  <c r="F1209" i="16" s="1"/>
  <c r="F1272" i="16" s="1"/>
  <c r="F1335" i="16" s="1"/>
  <c r="F1398" i="16" s="1"/>
  <c r="F1461" i="16" s="1"/>
  <c r="F1524" i="16" s="1"/>
  <c r="F1587" i="16" s="1"/>
  <c r="F1650" i="16" s="1"/>
  <c r="F1713" i="16" s="1"/>
  <c r="F1776" i="16" s="1"/>
  <c r="F1839" i="16" s="1"/>
  <c r="F1902" i="16" s="1"/>
  <c r="B8" i="16"/>
  <c r="E7" i="16"/>
  <c r="E6" i="16"/>
  <c r="B6" i="16"/>
  <c r="E1935" i="15"/>
  <c r="I1935" i="15" s="1"/>
  <c r="E1934" i="15"/>
  <c r="I1934" i="15" s="1"/>
  <c r="E1933" i="15"/>
  <c r="I1933" i="15" s="1"/>
  <c r="E1932" i="15"/>
  <c r="I1932" i="15" s="1"/>
  <c r="E1931" i="15"/>
  <c r="I1931" i="15" s="1"/>
  <c r="I1930" i="15"/>
  <c r="I1929" i="15"/>
  <c r="I1928" i="15"/>
  <c r="I1927" i="15"/>
  <c r="I1926" i="15"/>
  <c r="I1925" i="15"/>
  <c r="I1924" i="15"/>
  <c r="I1923" i="15"/>
  <c r="I1922" i="15"/>
  <c r="I1921" i="15"/>
  <c r="I1920" i="15"/>
  <c r="I1919" i="15"/>
  <c r="I1918" i="15"/>
  <c r="I1917" i="15"/>
  <c r="I1916" i="15"/>
  <c r="I1915" i="15"/>
  <c r="I1914" i="15"/>
  <c r="I1913" i="15"/>
  <c r="I1912" i="15"/>
  <c r="I1911" i="15"/>
  <c r="I1910" i="15"/>
  <c r="I1909" i="15"/>
  <c r="I1908" i="15"/>
  <c r="I1907" i="15"/>
  <c r="I1906" i="15"/>
  <c r="I1905" i="15"/>
  <c r="I1904" i="15"/>
  <c r="I1903" i="15"/>
  <c r="I1902" i="15"/>
  <c r="E1897" i="15"/>
  <c r="E1872" i="15"/>
  <c r="I1872" i="15" s="1"/>
  <c r="E1871" i="15"/>
  <c r="I1871" i="15" s="1"/>
  <c r="E1870" i="15"/>
  <c r="I1870" i="15" s="1"/>
  <c r="E1869" i="15"/>
  <c r="I1869" i="15" s="1"/>
  <c r="E1868" i="15"/>
  <c r="I1868" i="15" s="1"/>
  <c r="I1867" i="15"/>
  <c r="I1866" i="15"/>
  <c r="I1865" i="15"/>
  <c r="I1864" i="15"/>
  <c r="I1863" i="15"/>
  <c r="I1862" i="15"/>
  <c r="I1861" i="15"/>
  <c r="I1860" i="15"/>
  <c r="I1859" i="15"/>
  <c r="I1858" i="15"/>
  <c r="I1857" i="15"/>
  <c r="I1856" i="15"/>
  <c r="I1855" i="15"/>
  <c r="I1854" i="15"/>
  <c r="I1853" i="15"/>
  <c r="I1852" i="15"/>
  <c r="I1851" i="15"/>
  <c r="I1850" i="15"/>
  <c r="I1849" i="15"/>
  <c r="I1848" i="15"/>
  <c r="I1847" i="15"/>
  <c r="I1846" i="15"/>
  <c r="I1845" i="15"/>
  <c r="I1844" i="15"/>
  <c r="I1843" i="15"/>
  <c r="I1842" i="15"/>
  <c r="I1841" i="15"/>
  <c r="I1840" i="15"/>
  <c r="I1839" i="15"/>
  <c r="E1834" i="15"/>
  <c r="E1809" i="15"/>
  <c r="I1809" i="15" s="1"/>
  <c r="E1808" i="15"/>
  <c r="I1808" i="15" s="1"/>
  <c r="E1807" i="15"/>
  <c r="I1807" i="15" s="1"/>
  <c r="E1806" i="15"/>
  <c r="I1806" i="15" s="1"/>
  <c r="E1805" i="15"/>
  <c r="I1805" i="15" s="1"/>
  <c r="I1804" i="15"/>
  <c r="I1803" i="15"/>
  <c r="I1802" i="15"/>
  <c r="I1801" i="15"/>
  <c r="I1800" i="15"/>
  <c r="I1799" i="15"/>
  <c r="I1798" i="15"/>
  <c r="I1797" i="15"/>
  <c r="I1796" i="15"/>
  <c r="I1795" i="15"/>
  <c r="I1794" i="15"/>
  <c r="I1793" i="15"/>
  <c r="I1792" i="15"/>
  <c r="I1791" i="15"/>
  <c r="I1790" i="15"/>
  <c r="I1789" i="15"/>
  <c r="I1788" i="15"/>
  <c r="I1787" i="15"/>
  <c r="I1786" i="15"/>
  <c r="I1785" i="15"/>
  <c r="I1784" i="15"/>
  <c r="I1783" i="15"/>
  <c r="I1782" i="15"/>
  <c r="I1781" i="15"/>
  <c r="I1780" i="15"/>
  <c r="I1779" i="15"/>
  <c r="I1778" i="15"/>
  <c r="I1777" i="15"/>
  <c r="I1776" i="15"/>
  <c r="E1771" i="15"/>
  <c r="E1746" i="15"/>
  <c r="I1746" i="15" s="1"/>
  <c r="E1745" i="15"/>
  <c r="I1745" i="15" s="1"/>
  <c r="E1744" i="15"/>
  <c r="E1743" i="15"/>
  <c r="I1743" i="15" s="1"/>
  <c r="E1742" i="15"/>
  <c r="I1741" i="15"/>
  <c r="I1740" i="15"/>
  <c r="I1739" i="15"/>
  <c r="I1738" i="15"/>
  <c r="I1737" i="15"/>
  <c r="I1736" i="15"/>
  <c r="I1735" i="15"/>
  <c r="I1734" i="15"/>
  <c r="I1733" i="15"/>
  <c r="I1732" i="15"/>
  <c r="I1731" i="15"/>
  <c r="I1730" i="15"/>
  <c r="I1729" i="15"/>
  <c r="I1728" i="15"/>
  <c r="I1727" i="15"/>
  <c r="I1726" i="15"/>
  <c r="I1725" i="15"/>
  <c r="I1724" i="15"/>
  <c r="I1723" i="15"/>
  <c r="I1722" i="15"/>
  <c r="I1721" i="15"/>
  <c r="I1720" i="15"/>
  <c r="I1719" i="15"/>
  <c r="I1718" i="15"/>
  <c r="I1717" i="15"/>
  <c r="I1716" i="15"/>
  <c r="I1715" i="15"/>
  <c r="I1714" i="15"/>
  <c r="I1713" i="15"/>
  <c r="E1708" i="15"/>
  <c r="I1683" i="15"/>
  <c r="E1683" i="15"/>
  <c r="I1682" i="15"/>
  <c r="E1682" i="15"/>
  <c r="I1681" i="15"/>
  <c r="E1681" i="15"/>
  <c r="I1680" i="15"/>
  <c r="E1680" i="15"/>
  <c r="I1679" i="15"/>
  <c r="E1679" i="15"/>
  <c r="I1678" i="15"/>
  <c r="I1677" i="15"/>
  <c r="I1676" i="15"/>
  <c r="I1675" i="15"/>
  <c r="I1674" i="15"/>
  <c r="I1673" i="15"/>
  <c r="I1672" i="15"/>
  <c r="I1671" i="15"/>
  <c r="I1670" i="15"/>
  <c r="I1669" i="15"/>
  <c r="I1668" i="15"/>
  <c r="I1667" i="15"/>
  <c r="I1666" i="15"/>
  <c r="I1665" i="15"/>
  <c r="I1664" i="15"/>
  <c r="I1663" i="15"/>
  <c r="I1662" i="15"/>
  <c r="I1661" i="15"/>
  <c r="I1660" i="15"/>
  <c r="I1659" i="15"/>
  <c r="I1658" i="15"/>
  <c r="I1657" i="15"/>
  <c r="I1656" i="15"/>
  <c r="I1655" i="15"/>
  <c r="I1654" i="15"/>
  <c r="I1653" i="15"/>
  <c r="I1652" i="15"/>
  <c r="I1651" i="15"/>
  <c r="I1650" i="15"/>
  <c r="E1645" i="15"/>
  <c r="I1620" i="15"/>
  <c r="E1620" i="15"/>
  <c r="I1619" i="15"/>
  <c r="E1619" i="15"/>
  <c r="I1618" i="15"/>
  <c r="E1618" i="15"/>
  <c r="I1617" i="15"/>
  <c r="E1617" i="15"/>
  <c r="I1616" i="15"/>
  <c r="E1616" i="15"/>
  <c r="I1615" i="15"/>
  <c r="I1614" i="15"/>
  <c r="I1613" i="15"/>
  <c r="I1612" i="15"/>
  <c r="I1611" i="15"/>
  <c r="I1610" i="15"/>
  <c r="I1609" i="15"/>
  <c r="I1608" i="15"/>
  <c r="I1607" i="15"/>
  <c r="I1606" i="15"/>
  <c r="I1605" i="15"/>
  <c r="I1604" i="15"/>
  <c r="I1603" i="15"/>
  <c r="I1602" i="15"/>
  <c r="I1601" i="15"/>
  <c r="I1600" i="15"/>
  <c r="I1599" i="15"/>
  <c r="I1598" i="15"/>
  <c r="I1597" i="15"/>
  <c r="I1596" i="15"/>
  <c r="I1595" i="15"/>
  <c r="I1594" i="15"/>
  <c r="I1593" i="15"/>
  <c r="I1592" i="15"/>
  <c r="I1591" i="15"/>
  <c r="I1590" i="15"/>
  <c r="I1589" i="15"/>
  <c r="I1588" i="15"/>
  <c r="I1587" i="15"/>
  <c r="E1582" i="15"/>
  <c r="E1557" i="15"/>
  <c r="I1557" i="15" s="1"/>
  <c r="I1556" i="15"/>
  <c r="E1556" i="15"/>
  <c r="I1555" i="15"/>
  <c r="E1555" i="15"/>
  <c r="E1554" i="15"/>
  <c r="E1553" i="15"/>
  <c r="I1553" i="15" s="1"/>
  <c r="I1552" i="15"/>
  <c r="I1551" i="15"/>
  <c r="I1550" i="15"/>
  <c r="I1549" i="15"/>
  <c r="I1548" i="15"/>
  <c r="I1547" i="15"/>
  <c r="I1546" i="15"/>
  <c r="I1545" i="15"/>
  <c r="I1544" i="15"/>
  <c r="I1543" i="15"/>
  <c r="I1542" i="15"/>
  <c r="I1541" i="15"/>
  <c r="I1540" i="15"/>
  <c r="I1539" i="15"/>
  <c r="I1538" i="15"/>
  <c r="I1537" i="15"/>
  <c r="I1536" i="15"/>
  <c r="I1535" i="15"/>
  <c r="I1534" i="15"/>
  <c r="I1533" i="15"/>
  <c r="I1532" i="15"/>
  <c r="I1531" i="15"/>
  <c r="I1530" i="15"/>
  <c r="I1529" i="15"/>
  <c r="I1528" i="15"/>
  <c r="I1527" i="15"/>
  <c r="I1526" i="15"/>
  <c r="I1525" i="15"/>
  <c r="I1524" i="15"/>
  <c r="E1519" i="15"/>
  <c r="I1494" i="15"/>
  <c r="E1494" i="15"/>
  <c r="E1493" i="15"/>
  <c r="I1492" i="15"/>
  <c r="E1492" i="15"/>
  <c r="E1491" i="15"/>
  <c r="I1490" i="15"/>
  <c r="E1490" i="15"/>
  <c r="I1489" i="15"/>
  <c r="I1488" i="15"/>
  <c r="I1487" i="15"/>
  <c r="I1486" i="15"/>
  <c r="I1485" i="15"/>
  <c r="I1484" i="15"/>
  <c r="I1483" i="15"/>
  <c r="I1482" i="15"/>
  <c r="I1481" i="15"/>
  <c r="I1480" i="15"/>
  <c r="I1479" i="15"/>
  <c r="I1478" i="15"/>
  <c r="I1477" i="15"/>
  <c r="I1476" i="15"/>
  <c r="I1475" i="15"/>
  <c r="I1474" i="15"/>
  <c r="I1473" i="15"/>
  <c r="I1472" i="15"/>
  <c r="I1471" i="15"/>
  <c r="I1470" i="15"/>
  <c r="I1469" i="15"/>
  <c r="I1468" i="15"/>
  <c r="I1467" i="15"/>
  <c r="I1466" i="15"/>
  <c r="I1465" i="15"/>
  <c r="I1464" i="15"/>
  <c r="I1463" i="15"/>
  <c r="I1462" i="15"/>
  <c r="I1461" i="15"/>
  <c r="E1456" i="15"/>
  <c r="I1431" i="15"/>
  <c r="E1431" i="15"/>
  <c r="E1430" i="15"/>
  <c r="I1430" i="15" s="1"/>
  <c r="E1429" i="15"/>
  <c r="I1429" i="15" s="1"/>
  <c r="I1428" i="15"/>
  <c r="E1428" i="15"/>
  <c r="I1427" i="15"/>
  <c r="E1427" i="15"/>
  <c r="I1426" i="15"/>
  <c r="I1425" i="15"/>
  <c r="I1424" i="15"/>
  <c r="I1423" i="15"/>
  <c r="I1422" i="15"/>
  <c r="I1421" i="15"/>
  <c r="I1420" i="15"/>
  <c r="I1419" i="15"/>
  <c r="I1418" i="15"/>
  <c r="I1417" i="15"/>
  <c r="I1416" i="15"/>
  <c r="I1415" i="15"/>
  <c r="I1414" i="15"/>
  <c r="I1413" i="15"/>
  <c r="I1412" i="15"/>
  <c r="I1411" i="15"/>
  <c r="I1410" i="15"/>
  <c r="I1409" i="15"/>
  <c r="I1408" i="15"/>
  <c r="I1407" i="15"/>
  <c r="I1406" i="15"/>
  <c r="I1405" i="15"/>
  <c r="I1404" i="15"/>
  <c r="I1403" i="15"/>
  <c r="I1402" i="15"/>
  <c r="I1401" i="15"/>
  <c r="I1400" i="15"/>
  <c r="I1399" i="15"/>
  <c r="I1398" i="15"/>
  <c r="E1393" i="15"/>
  <c r="I1368" i="15"/>
  <c r="E1368" i="15"/>
  <c r="E1367" i="15"/>
  <c r="I1366" i="15"/>
  <c r="E1366" i="15"/>
  <c r="E1365" i="15"/>
  <c r="I1364" i="15"/>
  <c r="E1364" i="15"/>
  <c r="I1363" i="15"/>
  <c r="I1362" i="15"/>
  <c r="I1361" i="15"/>
  <c r="I1360" i="15"/>
  <c r="I1359" i="15"/>
  <c r="I1358" i="15"/>
  <c r="I1357" i="15"/>
  <c r="I1356" i="15"/>
  <c r="I1355" i="15"/>
  <c r="I1354" i="15"/>
  <c r="I1353" i="15"/>
  <c r="I1352" i="15"/>
  <c r="I1351" i="15"/>
  <c r="I1350" i="15"/>
  <c r="I1349" i="15"/>
  <c r="I1348" i="15"/>
  <c r="I1347" i="15"/>
  <c r="I1346" i="15"/>
  <c r="I1345" i="15"/>
  <c r="I1344" i="15"/>
  <c r="I1343" i="15"/>
  <c r="I1342" i="15"/>
  <c r="I1341" i="15"/>
  <c r="I1340" i="15"/>
  <c r="I1339" i="15"/>
  <c r="I1338" i="15"/>
  <c r="I1337" i="15"/>
  <c r="I1336" i="15"/>
  <c r="I1335" i="15"/>
  <c r="E1330" i="15"/>
  <c r="I1305" i="15"/>
  <c r="E1305" i="15"/>
  <c r="I1304" i="15"/>
  <c r="E1304" i="15"/>
  <c r="I1303" i="15"/>
  <c r="E1303" i="15"/>
  <c r="I1302" i="15"/>
  <c r="E1302" i="15"/>
  <c r="I1301" i="15"/>
  <c r="E1301" i="15"/>
  <c r="I1300" i="15"/>
  <c r="I1299" i="15"/>
  <c r="I1298" i="15"/>
  <c r="I1297" i="15"/>
  <c r="I1296" i="15"/>
  <c r="I1295" i="15"/>
  <c r="I1294" i="15"/>
  <c r="I1293" i="15"/>
  <c r="I1292" i="15"/>
  <c r="I1291" i="15"/>
  <c r="I1290" i="15"/>
  <c r="I1289" i="15"/>
  <c r="I1288" i="15"/>
  <c r="I1287" i="15"/>
  <c r="I1286" i="15"/>
  <c r="I1285" i="15"/>
  <c r="I1284" i="15"/>
  <c r="I1283" i="15"/>
  <c r="I1282" i="15"/>
  <c r="I1281" i="15"/>
  <c r="I1280" i="15"/>
  <c r="I1279" i="15"/>
  <c r="I1278" i="15"/>
  <c r="I1277" i="15"/>
  <c r="I1276" i="15"/>
  <c r="I1275" i="15"/>
  <c r="I1274" i="15"/>
  <c r="I1273" i="15"/>
  <c r="I1272" i="15"/>
  <c r="I1306" i="15" s="1"/>
  <c r="E1267" i="15"/>
  <c r="E1242" i="15"/>
  <c r="I1242" i="15" s="1"/>
  <c r="E1241" i="15"/>
  <c r="I1241" i="15" s="1"/>
  <c r="E1240" i="15"/>
  <c r="I1240" i="15" s="1"/>
  <c r="E1239" i="15"/>
  <c r="I1239" i="15" s="1"/>
  <c r="E1238" i="15"/>
  <c r="I1238" i="15" s="1"/>
  <c r="I1237" i="15"/>
  <c r="I1236" i="15"/>
  <c r="I1235" i="15"/>
  <c r="I1234" i="15"/>
  <c r="I1233" i="15"/>
  <c r="I1232" i="15"/>
  <c r="I1231" i="15"/>
  <c r="I1230" i="15"/>
  <c r="I1229" i="15"/>
  <c r="I1228" i="15"/>
  <c r="I1227" i="15"/>
  <c r="I1226" i="15"/>
  <c r="I1225" i="15"/>
  <c r="I1224" i="15"/>
  <c r="I1223" i="15"/>
  <c r="I1222" i="15"/>
  <c r="I1221" i="15"/>
  <c r="I1220" i="15"/>
  <c r="I1219" i="15"/>
  <c r="I1218" i="15"/>
  <c r="I1217" i="15"/>
  <c r="I1216" i="15"/>
  <c r="I1215" i="15"/>
  <c r="I1214" i="15"/>
  <c r="I1213" i="15"/>
  <c r="I1212" i="15"/>
  <c r="I1211" i="15"/>
  <c r="I1210" i="15"/>
  <c r="I1209" i="15"/>
  <c r="E1204" i="15"/>
  <c r="I1179" i="15"/>
  <c r="E1179" i="15"/>
  <c r="E1178" i="15"/>
  <c r="I1178" i="15" s="1"/>
  <c r="I1177" i="15"/>
  <c r="E1177" i="15"/>
  <c r="I1176" i="15"/>
  <c r="E1176" i="15"/>
  <c r="I1175" i="15"/>
  <c r="E1175" i="15"/>
  <c r="I1174" i="15"/>
  <c r="I1173" i="15"/>
  <c r="I1172" i="15"/>
  <c r="I1171" i="15"/>
  <c r="I1170" i="15"/>
  <c r="I1169" i="15"/>
  <c r="I1168" i="15"/>
  <c r="I1167" i="15"/>
  <c r="I1166" i="15"/>
  <c r="I1165" i="15"/>
  <c r="I1164" i="15"/>
  <c r="I1163" i="15"/>
  <c r="I1162" i="15"/>
  <c r="I1161" i="15"/>
  <c r="I1160" i="15"/>
  <c r="I1159" i="15"/>
  <c r="I1158" i="15"/>
  <c r="I1157" i="15"/>
  <c r="I1156" i="15"/>
  <c r="I1155" i="15"/>
  <c r="I1154" i="15"/>
  <c r="I1153" i="15"/>
  <c r="I1152" i="15"/>
  <c r="I1151" i="15"/>
  <c r="I1150" i="15"/>
  <c r="I1149" i="15"/>
  <c r="I1148" i="15"/>
  <c r="I1147" i="15"/>
  <c r="I1146" i="15"/>
  <c r="I1180" i="15" s="1"/>
  <c r="E1141" i="15"/>
  <c r="I1116" i="15"/>
  <c r="E1116" i="15"/>
  <c r="I1115" i="15"/>
  <c r="E1115" i="15"/>
  <c r="I1114" i="15"/>
  <c r="E1114" i="15"/>
  <c r="I1113" i="15"/>
  <c r="E1113" i="15"/>
  <c r="I1112" i="15"/>
  <c r="E1112" i="15"/>
  <c r="I1111" i="15"/>
  <c r="I1110" i="15"/>
  <c r="I1109" i="15"/>
  <c r="I1108" i="15"/>
  <c r="I1107" i="15"/>
  <c r="I1106" i="15"/>
  <c r="I1105" i="15"/>
  <c r="I1104" i="15"/>
  <c r="I1103" i="15"/>
  <c r="I1102" i="15"/>
  <c r="I1101" i="15"/>
  <c r="I1100" i="15"/>
  <c r="I1099" i="15"/>
  <c r="I1098" i="15"/>
  <c r="I1097" i="15"/>
  <c r="I1096" i="15"/>
  <c r="I1095" i="15"/>
  <c r="I1094" i="15"/>
  <c r="I1093" i="15"/>
  <c r="I1092" i="15"/>
  <c r="I1091" i="15"/>
  <c r="I1090" i="15"/>
  <c r="I1089" i="15"/>
  <c r="I1088" i="15"/>
  <c r="I1087" i="15"/>
  <c r="I1086" i="15"/>
  <c r="I1085" i="15"/>
  <c r="I1084" i="15"/>
  <c r="I1083" i="15"/>
  <c r="E1078" i="15"/>
  <c r="I1053" i="15"/>
  <c r="E1053" i="15"/>
  <c r="I1052" i="15"/>
  <c r="E1052" i="15"/>
  <c r="I1051" i="15"/>
  <c r="E1051" i="15"/>
  <c r="I1050" i="15"/>
  <c r="E1050" i="15"/>
  <c r="I1049" i="15"/>
  <c r="E1049" i="15"/>
  <c r="I1048" i="15"/>
  <c r="I1047" i="15"/>
  <c r="F1047" i="15"/>
  <c r="F1110" i="15" s="1"/>
  <c r="F1173" i="15" s="1"/>
  <c r="F1236" i="15" s="1"/>
  <c r="F1299" i="15" s="1"/>
  <c r="F1362" i="15" s="1"/>
  <c r="F1425" i="15" s="1"/>
  <c r="F1488" i="15" s="1"/>
  <c r="F1551" i="15" s="1"/>
  <c r="F1614" i="15" s="1"/>
  <c r="F1677" i="15" s="1"/>
  <c r="F1740" i="15" s="1"/>
  <c r="F1803" i="15" s="1"/>
  <c r="F1866" i="15" s="1"/>
  <c r="F1929" i="15" s="1"/>
  <c r="I1046" i="15"/>
  <c r="I1045" i="15"/>
  <c r="I1044" i="15"/>
  <c r="I1043" i="15"/>
  <c r="I1042" i="15"/>
  <c r="I1041" i="15"/>
  <c r="I1040" i="15"/>
  <c r="I1039" i="15"/>
  <c r="I1038" i="15"/>
  <c r="I1037" i="15"/>
  <c r="I1036" i="15"/>
  <c r="I1035" i="15"/>
  <c r="I1034" i="15"/>
  <c r="J1033" i="15"/>
  <c r="J1096" i="15" s="1"/>
  <c r="J1159" i="15" s="1"/>
  <c r="J1222" i="15" s="1"/>
  <c r="J1285" i="15" s="1"/>
  <c r="J1348" i="15" s="1"/>
  <c r="J1411" i="15" s="1"/>
  <c r="J1474" i="15" s="1"/>
  <c r="J1537" i="15" s="1"/>
  <c r="J1600" i="15" s="1"/>
  <c r="J1663" i="15" s="1"/>
  <c r="J1726" i="15" s="1"/>
  <c r="J1789" i="15" s="1"/>
  <c r="J1852" i="15" s="1"/>
  <c r="J1915" i="15" s="1"/>
  <c r="I1033" i="15"/>
  <c r="I1032" i="15"/>
  <c r="I1031" i="15"/>
  <c r="F1031" i="15"/>
  <c r="F1094" i="15" s="1"/>
  <c r="F1157" i="15" s="1"/>
  <c r="F1220" i="15" s="1"/>
  <c r="F1283" i="15" s="1"/>
  <c r="F1346" i="15" s="1"/>
  <c r="F1409" i="15" s="1"/>
  <c r="F1472" i="15" s="1"/>
  <c r="F1535" i="15" s="1"/>
  <c r="F1598" i="15" s="1"/>
  <c r="F1661" i="15" s="1"/>
  <c r="F1724" i="15" s="1"/>
  <c r="F1787" i="15" s="1"/>
  <c r="F1850" i="15" s="1"/>
  <c r="F1913" i="15" s="1"/>
  <c r="I1030" i="15"/>
  <c r="I1029" i="15"/>
  <c r="I1028" i="15"/>
  <c r="I1027" i="15"/>
  <c r="I1026" i="15"/>
  <c r="I1025" i="15"/>
  <c r="I1024" i="15"/>
  <c r="I1023" i="15"/>
  <c r="I1022" i="15"/>
  <c r="I1021" i="15"/>
  <c r="I1020" i="15"/>
  <c r="E1015" i="15"/>
  <c r="E990" i="15"/>
  <c r="E989" i="15"/>
  <c r="E988" i="15"/>
  <c r="E987" i="15"/>
  <c r="E986" i="15"/>
  <c r="I985" i="15"/>
  <c r="I984" i="15"/>
  <c r="I983" i="15"/>
  <c r="I982" i="15"/>
  <c r="I981" i="15"/>
  <c r="I980" i="15"/>
  <c r="I979" i="15"/>
  <c r="I978" i="15"/>
  <c r="I977" i="15"/>
  <c r="I976" i="15"/>
  <c r="I975" i="15"/>
  <c r="I974" i="15"/>
  <c r="I973" i="15"/>
  <c r="I972" i="15"/>
  <c r="I971" i="15"/>
  <c r="I970" i="15"/>
  <c r="I969" i="15"/>
  <c r="I968" i="15"/>
  <c r="I967" i="15"/>
  <c r="I966" i="15"/>
  <c r="I965" i="15"/>
  <c r="I964" i="15"/>
  <c r="I963" i="15"/>
  <c r="I962" i="15"/>
  <c r="I961" i="15"/>
  <c r="I960" i="15"/>
  <c r="I959" i="15"/>
  <c r="I958" i="15"/>
  <c r="I957" i="15"/>
  <c r="E952" i="15"/>
  <c r="I927" i="15"/>
  <c r="E927" i="15"/>
  <c r="I926" i="15"/>
  <c r="E926" i="15"/>
  <c r="I925" i="15"/>
  <c r="E925" i="15"/>
  <c r="I924" i="15"/>
  <c r="E924" i="15"/>
  <c r="I923" i="15"/>
  <c r="E923" i="15"/>
  <c r="I922" i="15"/>
  <c r="I921" i="15"/>
  <c r="I920" i="15"/>
  <c r="I919" i="15"/>
  <c r="I918" i="15"/>
  <c r="I917" i="15"/>
  <c r="I916" i="15"/>
  <c r="I915" i="15"/>
  <c r="I914" i="15"/>
  <c r="I913" i="15"/>
  <c r="I912" i="15"/>
  <c r="I911" i="15"/>
  <c r="I910" i="15"/>
  <c r="I909" i="15"/>
  <c r="I908" i="15"/>
  <c r="I907" i="15"/>
  <c r="I906" i="15"/>
  <c r="I905" i="15"/>
  <c r="I904" i="15"/>
  <c r="I903" i="15"/>
  <c r="I902" i="15"/>
  <c r="I901" i="15"/>
  <c r="I900" i="15"/>
  <c r="I899" i="15"/>
  <c r="I898" i="15"/>
  <c r="I897" i="15"/>
  <c r="I896" i="15"/>
  <c r="I895" i="15"/>
  <c r="I894" i="15"/>
  <c r="J891" i="15"/>
  <c r="J954" i="15" s="1"/>
  <c r="J1017" i="15" s="1"/>
  <c r="J1080" i="15" s="1"/>
  <c r="J1143" i="15" s="1"/>
  <c r="J1206" i="15" s="1"/>
  <c r="J1269" i="15" s="1"/>
  <c r="J1332" i="15" s="1"/>
  <c r="J1395" i="15" s="1"/>
  <c r="J1458" i="15" s="1"/>
  <c r="J1521" i="15" s="1"/>
  <c r="J1584" i="15" s="1"/>
  <c r="J1647" i="15" s="1"/>
  <c r="J1710" i="15" s="1"/>
  <c r="J1773" i="15" s="1"/>
  <c r="J1836" i="15" s="1"/>
  <c r="J1899" i="15" s="1"/>
  <c r="E889" i="15"/>
  <c r="E864" i="15"/>
  <c r="E863" i="15"/>
  <c r="E862" i="15"/>
  <c r="E861" i="15"/>
  <c r="E860" i="15"/>
  <c r="I859" i="15"/>
  <c r="I858" i="15"/>
  <c r="I857" i="15"/>
  <c r="I856" i="15"/>
  <c r="I855" i="15"/>
  <c r="I854" i="15"/>
  <c r="I853" i="15"/>
  <c r="I852" i="15"/>
  <c r="I851" i="15"/>
  <c r="I850" i="15"/>
  <c r="I849" i="15"/>
  <c r="I848" i="15"/>
  <c r="I847" i="15"/>
  <c r="I846" i="15"/>
  <c r="I845" i="15"/>
  <c r="I844" i="15"/>
  <c r="I843" i="15"/>
  <c r="I842" i="15"/>
  <c r="I841" i="15"/>
  <c r="I840" i="15"/>
  <c r="I839" i="15"/>
  <c r="I838" i="15"/>
  <c r="I837" i="15"/>
  <c r="I836" i="15"/>
  <c r="I835" i="15"/>
  <c r="I834" i="15"/>
  <c r="I833" i="15"/>
  <c r="I832" i="15"/>
  <c r="I831" i="15"/>
  <c r="E826" i="15"/>
  <c r="E801" i="15"/>
  <c r="I801" i="15" s="1"/>
  <c r="E800" i="15"/>
  <c r="I800" i="15" s="1"/>
  <c r="E799" i="15"/>
  <c r="I799" i="15" s="1"/>
  <c r="E798" i="15"/>
  <c r="I798" i="15" s="1"/>
  <c r="E797" i="15"/>
  <c r="I797" i="15" s="1"/>
  <c r="I796" i="15"/>
  <c r="I795" i="15"/>
  <c r="I794" i="15"/>
  <c r="I793" i="15"/>
  <c r="I792" i="15"/>
  <c r="I791" i="15"/>
  <c r="I790" i="15"/>
  <c r="I789" i="15"/>
  <c r="I788" i="15"/>
  <c r="I787" i="15"/>
  <c r="I786" i="15"/>
  <c r="I785" i="15"/>
  <c r="I784" i="15"/>
  <c r="I783" i="15"/>
  <c r="I782" i="15"/>
  <c r="I781" i="15"/>
  <c r="I780" i="15"/>
  <c r="I779" i="15"/>
  <c r="I778" i="15"/>
  <c r="I777" i="15"/>
  <c r="I776" i="15"/>
  <c r="I775" i="15"/>
  <c r="I774" i="15"/>
  <c r="I773" i="15"/>
  <c r="I772" i="15"/>
  <c r="I771" i="15"/>
  <c r="I770" i="15"/>
  <c r="I769" i="15"/>
  <c r="I768" i="15"/>
  <c r="E763" i="15"/>
  <c r="I738" i="15"/>
  <c r="E738" i="15"/>
  <c r="I737" i="15"/>
  <c r="E737" i="15"/>
  <c r="I736" i="15"/>
  <c r="E736" i="15"/>
  <c r="I735" i="15"/>
  <c r="E735" i="15"/>
  <c r="I734" i="15"/>
  <c r="E734" i="15"/>
  <c r="I733" i="15"/>
  <c r="I732" i="15"/>
  <c r="I731" i="15"/>
  <c r="I730" i="15"/>
  <c r="I729" i="15"/>
  <c r="I728" i="15"/>
  <c r="I727" i="15"/>
  <c r="I726" i="15"/>
  <c r="I725" i="15"/>
  <c r="I724" i="15"/>
  <c r="I723" i="15"/>
  <c r="I722" i="15"/>
  <c r="I721" i="15"/>
  <c r="I720" i="15"/>
  <c r="I719" i="15"/>
  <c r="I718" i="15"/>
  <c r="I717" i="15"/>
  <c r="I716" i="15"/>
  <c r="I715" i="15"/>
  <c r="I714" i="15"/>
  <c r="I713" i="15"/>
  <c r="I712" i="15"/>
  <c r="I711" i="15"/>
  <c r="I710" i="15"/>
  <c r="I709" i="15"/>
  <c r="I708" i="15"/>
  <c r="I707" i="15"/>
  <c r="I706" i="15"/>
  <c r="I705" i="15"/>
  <c r="I739" i="15" s="1"/>
  <c r="E700" i="15"/>
  <c r="E675" i="15"/>
  <c r="I675" i="15" s="1"/>
  <c r="E674" i="15"/>
  <c r="I674" i="15" s="1"/>
  <c r="E673" i="15"/>
  <c r="I673" i="15" s="1"/>
  <c r="E672" i="15"/>
  <c r="I672" i="15" s="1"/>
  <c r="E671" i="15"/>
  <c r="I671" i="15" s="1"/>
  <c r="I670" i="15"/>
  <c r="I669" i="15"/>
  <c r="I668" i="15"/>
  <c r="I667" i="15"/>
  <c r="I666" i="15"/>
  <c r="I665" i="15"/>
  <c r="I664" i="15"/>
  <c r="I663" i="15"/>
  <c r="I662" i="15"/>
  <c r="I661" i="15"/>
  <c r="I660" i="15"/>
  <c r="I659" i="15"/>
  <c r="I658" i="15"/>
  <c r="I657" i="15"/>
  <c r="I656" i="15"/>
  <c r="I655" i="15"/>
  <c r="I654" i="15"/>
  <c r="I653" i="15"/>
  <c r="I652" i="15"/>
  <c r="I651" i="15"/>
  <c r="I650" i="15"/>
  <c r="I649" i="15"/>
  <c r="I648" i="15"/>
  <c r="I647" i="15"/>
  <c r="I646" i="15"/>
  <c r="I645" i="15"/>
  <c r="I644" i="15"/>
  <c r="I643" i="15"/>
  <c r="I642" i="15"/>
  <c r="E637" i="15"/>
  <c r="E612" i="15"/>
  <c r="I612" i="15" s="1"/>
  <c r="E611" i="15"/>
  <c r="I611" i="15" s="1"/>
  <c r="E610" i="15"/>
  <c r="I610" i="15" s="1"/>
  <c r="E609" i="15"/>
  <c r="I609" i="15" s="1"/>
  <c r="E608" i="15"/>
  <c r="I608" i="15" s="1"/>
  <c r="I607" i="15"/>
  <c r="I606" i="15"/>
  <c r="I605" i="15"/>
  <c r="I604" i="15"/>
  <c r="I603" i="15"/>
  <c r="I602" i="15"/>
  <c r="I601" i="15"/>
  <c r="I600" i="15"/>
  <c r="I599" i="15"/>
  <c r="I598" i="15"/>
  <c r="I597" i="15"/>
  <c r="I596" i="15"/>
  <c r="I595" i="15"/>
  <c r="I594" i="15"/>
  <c r="I593" i="15"/>
  <c r="I592" i="15"/>
  <c r="I591" i="15"/>
  <c r="I590" i="15"/>
  <c r="I589" i="15"/>
  <c r="I588" i="15"/>
  <c r="I587" i="15"/>
  <c r="I586" i="15"/>
  <c r="I585" i="15"/>
  <c r="I584" i="15"/>
  <c r="I583" i="15"/>
  <c r="I582" i="15"/>
  <c r="I581" i="15"/>
  <c r="I580" i="15"/>
  <c r="I579" i="15"/>
  <c r="I613" i="15" s="1"/>
  <c r="E574" i="15"/>
  <c r="E549" i="15"/>
  <c r="I549" i="15" s="1"/>
  <c r="E548" i="15"/>
  <c r="I548" i="15" s="1"/>
  <c r="E547" i="15"/>
  <c r="I547" i="15" s="1"/>
  <c r="E546" i="15"/>
  <c r="I546" i="15" s="1"/>
  <c r="E545" i="15"/>
  <c r="I545" i="15" s="1"/>
  <c r="I544" i="15"/>
  <c r="I543" i="15"/>
  <c r="I542" i="15"/>
  <c r="I541" i="15"/>
  <c r="I540" i="15"/>
  <c r="I539" i="15"/>
  <c r="I538" i="15"/>
  <c r="I537" i="15"/>
  <c r="I536" i="15"/>
  <c r="I535" i="15"/>
  <c r="I534" i="15"/>
  <c r="I533" i="15"/>
  <c r="I532" i="15"/>
  <c r="I531" i="15"/>
  <c r="I530" i="15"/>
  <c r="I529" i="15"/>
  <c r="I528" i="15"/>
  <c r="I527" i="15"/>
  <c r="I526" i="15"/>
  <c r="I525" i="15"/>
  <c r="I524" i="15"/>
  <c r="I523" i="15"/>
  <c r="I522" i="15"/>
  <c r="I521" i="15"/>
  <c r="I520" i="15"/>
  <c r="I519" i="15"/>
  <c r="I518" i="15"/>
  <c r="I517" i="15"/>
  <c r="I516" i="15"/>
  <c r="E511" i="15"/>
  <c r="E486" i="15"/>
  <c r="I486" i="15" s="1"/>
  <c r="E485" i="15"/>
  <c r="I485" i="15" s="1"/>
  <c r="E484" i="15"/>
  <c r="I484" i="15" s="1"/>
  <c r="E483" i="15"/>
  <c r="I483" i="15" s="1"/>
  <c r="E482" i="15"/>
  <c r="I482" i="15" s="1"/>
  <c r="I481" i="15"/>
  <c r="I480" i="15"/>
  <c r="I479" i="15"/>
  <c r="I478" i="15"/>
  <c r="I477" i="15"/>
  <c r="I476" i="15"/>
  <c r="I475" i="15"/>
  <c r="I474" i="15"/>
  <c r="I473" i="15"/>
  <c r="I472" i="15"/>
  <c r="I471" i="15"/>
  <c r="I470" i="15"/>
  <c r="I469" i="15"/>
  <c r="I468" i="15"/>
  <c r="I467" i="15"/>
  <c r="I466" i="15"/>
  <c r="I465" i="15"/>
  <c r="I464" i="15"/>
  <c r="I463" i="15"/>
  <c r="I462" i="15"/>
  <c r="I461" i="15"/>
  <c r="I460" i="15"/>
  <c r="I459" i="15"/>
  <c r="I458" i="15"/>
  <c r="I457" i="15"/>
  <c r="I456" i="15"/>
  <c r="I455" i="15"/>
  <c r="I454" i="15"/>
  <c r="I453" i="15"/>
  <c r="I487" i="15" s="1"/>
  <c r="E448" i="15"/>
  <c r="I423" i="15"/>
  <c r="E423" i="15"/>
  <c r="I422" i="15"/>
  <c r="E422" i="15"/>
  <c r="I421" i="15"/>
  <c r="E421" i="15"/>
  <c r="I420" i="15"/>
  <c r="E420" i="15"/>
  <c r="I419" i="15"/>
  <c r="E419" i="15"/>
  <c r="I418" i="15"/>
  <c r="I417" i="15"/>
  <c r="I416" i="15"/>
  <c r="I415" i="15"/>
  <c r="I414" i="15"/>
  <c r="I413" i="15"/>
  <c r="I412" i="15"/>
  <c r="I411" i="15"/>
  <c r="I410" i="15"/>
  <c r="I409" i="15"/>
  <c r="I408" i="15"/>
  <c r="I407" i="15"/>
  <c r="I406" i="15"/>
  <c r="I405" i="15"/>
  <c r="I404" i="15"/>
  <c r="I403" i="15"/>
  <c r="I402" i="15"/>
  <c r="I401" i="15"/>
  <c r="I400" i="15"/>
  <c r="I399" i="15"/>
  <c r="I398" i="15"/>
  <c r="I397" i="15"/>
  <c r="I396" i="15"/>
  <c r="I395" i="15"/>
  <c r="I394" i="15"/>
  <c r="I393" i="15"/>
  <c r="I392" i="15"/>
  <c r="I391" i="15"/>
  <c r="I390" i="15"/>
  <c r="E385" i="15"/>
  <c r="E360" i="15"/>
  <c r="I360" i="15" s="1"/>
  <c r="E359" i="15"/>
  <c r="I359" i="15" s="1"/>
  <c r="E358" i="15"/>
  <c r="I358" i="15" s="1"/>
  <c r="E357" i="15"/>
  <c r="I357" i="15" s="1"/>
  <c r="E356" i="15"/>
  <c r="I356" i="15" s="1"/>
  <c r="I355" i="15"/>
  <c r="I354" i="15"/>
  <c r="I353" i="15"/>
  <c r="I352" i="15"/>
  <c r="I351" i="15"/>
  <c r="I350" i="15"/>
  <c r="I349" i="15"/>
  <c r="I348" i="15"/>
  <c r="I347" i="15"/>
  <c r="I346" i="15"/>
  <c r="I345" i="15"/>
  <c r="I344" i="15"/>
  <c r="I343" i="15"/>
  <c r="I342" i="15"/>
  <c r="I341" i="15"/>
  <c r="I340" i="15"/>
  <c r="I339" i="15"/>
  <c r="I338" i="15"/>
  <c r="I337" i="15"/>
  <c r="I336" i="15"/>
  <c r="I335" i="15"/>
  <c r="I334" i="15"/>
  <c r="I333" i="15"/>
  <c r="I332" i="15"/>
  <c r="I331" i="15"/>
  <c r="I330" i="15"/>
  <c r="I329" i="15"/>
  <c r="I328" i="15"/>
  <c r="I327" i="15"/>
  <c r="E322" i="15"/>
  <c r="E297" i="15"/>
  <c r="I297" i="15" s="1"/>
  <c r="E296" i="15"/>
  <c r="I296" i="15" s="1"/>
  <c r="E295" i="15"/>
  <c r="I295" i="15" s="1"/>
  <c r="E294" i="15"/>
  <c r="I294" i="15" s="1"/>
  <c r="E293" i="15"/>
  <c r="I293" i="15" s="1"/>
  <c r="I292" i="15"/>
  <c r="I291" i="15"/>
  <c r="I290" i="15"/>
  <c r="I289" i="15"/>
  <c r="I288" i="15"/>
  <c r="I287" i="15"/>
  <c r="I286" i="15"/>
  <c r="I285" i="15"/>
  <c r="I284" i="15"/>
  <c r="I283" i="15"/>
  <c r="I282" i="15"/>
  <c r="I281" i="15"/>
  <c r="I280" i="15"/>
  <c r="I279" i="15"/>
  <c r="I278" i="15"/>
  <c r="I277" i="15"/>
  <c r="I276" i="15"/>
  <c r="I275" i="15"/>
  <c r="I274" i="15"/>
  <c r="I273" i="15"/>
  <c r="I272" i="15"/>
  <c r="I271" i="15"/>
  <c r="I270" i="15"/>
  <c r="I269" i="15"/>
  <c r="I268" i="15"/>
  <c r="I267" i="15"/>
  <c r="I266" i="15"/>
  <c r="I265" i="15"/>
  <c r="I264" i="15"/>
  <c r="I298" i="15" s="1"/>
  <c r="E259" i="15"/>
  <c r="E234" i="15"/>
  <c r="I234" i="15" s="1"/>
  <c r="J233" i="15"/>
  <c r="J296" i="15" s="1"/>
  <c r="J359" i="15" s="1"/>
  <c r="J422" i="15" s="1"/>
  <c r="J485" i="15" s="1"/>
  <c r="J548" i="15" s="1"/>
  <c r="J611" i="15" s="1"/>
  <c r="J674" i="15" s="1"/>
  <c r="J737" i="15" s="1"/>
  <c r="J800" i="15" s="1"/>
  <c r="J863" i="15" s="1"/>
  <c r="J926" i="15" s="1"/>
  <c r="J989" i="15" s="1"/>
  <c r="J1052" i="15" s="1"/>
  <c r="J1115" i="15" s="1"/>
  <c r="J1178" i="15" s="1"/>
  <c r="J1241" i="15" s="1"/>
  <c r="J1304" i="15" s="1"/>
  <c r="J1367" i="15" s="1"/>
  <c r="J1430" i="15" s="1"/>
  <c r="J1493" i="15" s="1"/>
  <c r="J1556" i="15" s="1"/>
  <c r="J1619" i="15" s="1"/>
  <c r="J1682" i="15" s="1"/>
  <c r="J1745" i="15" s="1"/>
  <c r="J1808" i="15" s="1"/>
  <c r="J1871" i="15" s="1"/>
  <c r="J1934" i="15" s="1"/>
  <c r="E233" i="15"/>
  <c r="I233" i="15" s="1"/>
  <c r="E232" i="15"/>
  <c r="I232" i="15" s="1"/>
  <c r="E231" i="15"/>
  <c r="I231" i="15" s="1"/>
  <c r="E230" i="15"/>
  <c r="I230" i="15" s="1"/>
  <c r="J229" i="15"/>
  <c r="J292" i="15" s="1"/>
  <c r="J355" i="15" s="1"/>
  <c r="J418" i="15" s="1"/>
  <c r="J481" i="15" s="1"/>
  <c r="J544" i="15" s="1"/>
  <c r="J607" i="15" s="1"/>
  <c r="J670" i="15" s="1"/>
  <c r="J733" i="15" s="1"/>
  <c r="J796" i="15" s="1"/>
  <c r="J859" i="15" s="1"/>
  <c r="J922" i="15" s="1"/>
  <c r="J985" i="15" s="1"/>
  <c r="J1048" i="15" s="1"/>
  <c r="J1111" i="15" s="1"/>
  <c r="J1174" i="15" s="1"/>
  <c r="J1237" i="15" s="1"/>
  <c r="J1300" i="15" s="1"/>
  <c r="J1363" i="15" s="1"/>
  <c r="J1426" i="15" s="1"/>
  <c r="J1489" i="15" s="1"/>
  <c r="J1552" i="15" s="1"/>
  <c r="J1615" i="15" s="1"/>
  <c r="J1678" i="15" s="1"/>
  <c r="J1741" i="15" s="1"/>
  <c r="J1804" i="15" s="1"/>
  <c r="J1867" i="15" s="1"/>
  <c r="J1930" i="15" s="1"/>
  <c r="I229" i="15"/>
  <c r="I228" i="15"/>
  <c r="I227" i="15"/>
  <c r="I226" i="15"/>
  <c r="J225" i="15"/>
  <c r="J288" i="15" s="1"/>
  <c r="J351" i="15" s="1"/>
  <c r="J414" i="15" s="1"/>
  <c r="J477" i="15" s="1"/>
  <c r="J540" i="15" s="1"/>
  <c r="J603" i="15" s="1"/>
  <c r="J666" i="15" s="1"/>
  <c r="J729" i="15" s="1"/>
  <c r="J792" i="15" s="1"/>
  <c r="J855" i="15" s="1"/>
  <c r="J918" i="15" s="1"/>
  <c r="J981" i="15" s="1"/>
  <c r="J1044" i="15" s="1"/>
  <c r="J1107" i="15" s="1"/>
  <c r="J1170" i="15" s="1"/>
  <c r="J1233" i="15" s="1"/>
  <c r="J1296" i="15" s="1"/>
  <c r="J1359" i="15" s="1"/>
  <c r="J1422" i="15" s="1"/>
  <c r="J1485" i="15" s="1"/>
  <c r="J1548" i="15" s="1"/>
  <c r="J1611" i="15" s="1"/>
  <c r="J1674" i="15" s="1"/>
  <c r="J1737" i="15" s="1"/>
  <c r="J1800" i="15" s="1"/>
  <c r="J1863" i="15" s="1"/>
  <c r="J1926" i="15" s="1"/>
  <c r="I225" i="15"/>
  <c r="I224" i="15"/>
  <c r="I223" i="15"/>
  <c r="I222" i="15"/>
  <c r="J221" i="15"/>
  <c r="J284" i="15" s="1"/>
  <c r="J347" i="15" s="1"/>
  <c r="J410" i="15" s="1"/>
  <c r="J473" i="15" s="1"/>
  <c r="J536" i="15" s="1"/>
  <c r="J599" i="15" s="1"/>
  <c r="J662" i="15" s="1"/>
  <c r="J725" i="15" s="1"/>
  <c r="J788" i="15" s="1"/>
  <c r="J851" i="15" s="1"/>
  <c r="J914" i="15" s="1"/>
  <c r="J977" i="15" s="1"/>
  <c r="J1040" i="15" s="1"/>
  <c r="J1103" i="15" s="1"/>
  <c r="J1166" i="15" s="1"/>
  <c r="J1229" i="15" s="1"/>
  <c r="J1292" i="15" s="1"/>
  <c r="J1355" i="15" s="1"/>
  <c r="J1418" i="15" s="1"/>
  <c r="J1481" i="15" s="1"/>
  <c r="J1544" i="15" s="1"/>
  <c r="J1607" i="15" s="1"/>
  <c r="J1670" i="15" s="1"/>
  <c r="J1733" i="15" s="1"/>
  <c r="J1796" i="15" s="1"/>
  <c r="J1859" i="15" s="1"/>
  <c r="J1922" i="15" s="1"/>
  <c r="I221" i="15"/>
  <c r="I220" i="15"/>
  <c r="I219" i="15"/>
  <c r="I218" i="15"/>
  <c r="J217" i="15"/>
  <c r="J280" i="15" s="1"/>
  <c r="J343" i="15" s="1"/>
  <c r="J406" i="15" s="1"/>
  <c r="J469" i="15" s="1"/>
  <c r="J532" i="15" s="1"/>
  <c r="J595" i="15" s="1"/>
  <c r="J658" i="15" s="1"/>
  <c r="J721" i="15" s="1"/>
  <c r="J784" i="15" s="1"/>
  <c r="J847" i="15" s="1"/>
  <c r="J910" i="15" s="1"/>
  <c r="J973" i="15" s="1"/>
  <c r="J1036" i="15" s="1"/>
  <c r="J1099" i="15" s="1"/>
  <c r="J1162" i="15" s="1"/>
  <c r="J1225" i="15" s="1"/>
  <c r="J1288" i="15" s="1"/>
  <c r="J1351" i="15" s="1"/>
  <c r="J1414" i="15" s="1"/>
  <c r="J1477" i="15" s="1"/>
  <c r="J1540" i="15" s="1"/>
  <c r="J1603" i="15" s="1"/>
  <c r="J1666" i="15" s="1"/>
  <c r="J1729" i="15" s="1"/>
  <c r="J1792" i="15" s="1"/>
  <c r="J1855" i="15" s="1"/>
  <c r="J1918" i="15" s="1"/>
  <c r="I217" i="15"/>
  <c r="I216" i="15"/>
  <c r="I215" i="15"/>
  <c r="I214" i="15"/>
  <c r="J213" i="15"/>
  <c r="J276" i="15" s="1"/>
  <c r="J339" i="15" s="1"/>
  <c r="J402" i="15" s="1"/>
  <c r="J465" i="15" s="1"/>
  <c r="J528" i="15" s="1"/>
  <c r="J591" i="15" s="1"/>
  <c r="J654" i="15" s="1"/>
  <c r="J717" i="15" s="1"/>
  <c r="J780" i="15" s="1"/>
  <c r="J843" i="15" s="1"/>
  <c r="J906" i="15" s="1"/>
  <c r="J969" i="15" s="1"/>
  <c r="J1032" i="15" s="1"/>
  <c r="J1095" i="15" s="1"/>
  <c r="J1158" i="15" s="1"/>
  <c r="J1221" i="15" s="1"/>
  <c r="J1284" i="15" s="1"/>
  <c r="J1347" i="15" s="1"/>
  <c r="J1410" i="15" s="1"/>
  <c r="J1473" i="15" s="1"/>
  <c r="J1536" i="15" s="1"/>
  <c r="J1599" i="15" s="1"/>
  <c r="J1662" i="15" s="1"/>
  <c r="J1725" i="15" s="1"/>
  <c r="J1788" i="15" s="1"/>
  <c r="J1851" i="15" s="1"/>
  <c r="J1914" i="15" s="1"/>
  <c r="I213" i="15"/>
  <c r="I212" i="15"/>
  <c r="I211" i="15"/>
  <c r="I210" i="15"/>
  <c r="J209" i="15"/>
  <c r="J272" i="15" s="1"/>
  <c r="J335" i="15" s="1"/>
  <c r="J398" i="15" s="1"/>
  <c r="J461" i="15" s="1"/>
  <c r="J524" i="15" s="1"/>
  <c r="J587" i="15" s="1"/>
  <c r="J650" i="15" s="1"/>
  <c r="J713" i="15" s="1"/>
  <c r="J776" i="15" s="1"/>
  <c r="J839" i="15" s="1"/>
  <c r="J902" i="15" s="1"/>
  <c r="J965" i="15" s="1"/>
  <c r="J1028" i="15" s="1"/>
  <c r="J1091" i="15" s="1"/>
  <c r="J1154" i="15" s="1"/>
  <c r="J1217" i="15" s="1"/>
  <c r="J1280" i="15" s="1"/>
  <c r="J1343" i="15" s="1"/>
  <c r="J1406" i="15" s="1"/>
  <c r="J1469" i="15" s="1"/>
  <c r="J1532" i="15" s="1"/>
  <c r="J1595" i="15" s="1"/>
  <c r="J1658" i="15" s="1"/>
  <c r="J1721" i="15" s="1"/>
  <c r="J1784" i="15" s="1"/>
  <c r="J1847" i="15" s="1"/>
  <c r="J1910" i="15" s="1"/>
  <c r="I209" i="15"/>
  <c r="I208" i="15"/>
  <c r="I207" i="15"/>
  <c r="I206" i="15"/>
  <c r="I205" i="15"/>
  <c r="I204" i="15"/>
  <c r="I203" i="15"/>
  <c r="I202" i="15"/>
  <c r="J201" i="15"/>
  <c r="J264" i="15" s="1"/>
  <c r="J327" i="15" s="1"/>
  <c r="J390" i="15" s="1"/>
  <c r="J453" i="15" s="1"/>
  <c r="J516" i="15" s="1"/>
  <c r="J579" i="15" s="1"/>
  <c r="J642" i="15" s="1"/>
  <c r="J705" i="15" s="1"/>
  <c r="J768" i="15" s="1"/>
  <c r="J831" i="15" s="1"/>
  <c r="J894" i="15" s="1"/>
  <c r="J957" i="15" s="1"/>
  <c r="J1020" i="15" s="1"/>
  <c r="J1083" i="15" s="1"/>
  <c r="J1146" i="15" s="1"/>
  <c r="J1209" i="15" s="1"/>
  <c r="J1272" i="15" s="1"/>
  <c r="J1335" i="15" s="1"/>
  <c r="J1398" i="15" s="1"/>
  <c r="J1461" i="15" s="1"/>
  <c r="J1524" i="15" s="1"/>
  <c r="J1587" i="15" s="1"/>
  <c r="J1650" i="15" s="1"/>
  <c r="J1713" i="15" s="1"/>
  <c r="J1776" i="15" s="1"/>
  <c r="J1839" i="15" s="1"/>
  <c r="J1902" i="15" s="1"/>
  <c r="I201" i="15"/>
  <c r="E196" i="15"/>
  <c r="J188" i="15"/>
  <c r="J251" i="15" s="1"/>
  <c r="J314" i="15" s="1"/>
  <c r="J377" i="15" s="1"/>
  <c r="J440" i="15" s="1"/>
  <c r="J503" i="15" s="1"/>
  <c r="J566" i="15" s="1"/>
  <c r="J629" i="15" s="1"/>
  <c r="J692" i="15" s="1"/>
  <c r="J755" i="15" s="1"/>
  <c r="J818" i="15" s="1"/>
  <c r="J881" i="15" s="1"/>
  <c r="J944" i="15" s="1"/>
  <c r="J1007" i="15" s="1"/>
  <c r="J1070" i="15" s="1"/>
  <c r="J1133" i="15" s="1"/>
  <c r="J1196" i="15" s="1"/>
  <c r="J1259" i="15" s="1"/>
  <c r="J1322" i="15" s="1"/>
  <c r="J1385" i="15" s="1"/>
  <c r="J1448" i="15" s="1"/>
  <c r="J1511" i="15" s="1"/>
  <c r="J1574" i="15" s="1"/>
  <c r="J1637" i="15" s="1"/>
  <c r="J1700" i="15" s="1"/>
  <c r="J1763" i="15" s="1"/>
  <c r="J1826" i="15" s="1"/>
  <c r="J1889" i="15" s="1"/>
  <c r="J1952" i="15" s="1"/>
  <c r="J184" i="15"/>
  <c r="J247" i="15" s="1"/>
  <c r="J310" i="15" s="1"/>
  <c r="J373" i="15" s="1"/>
  <c r="J436" i="15" s="1"/>
  <c r="J499" i="15" s="1"/>
  <c r="J562" i="15" s="1"/>
  <c r="J625" i="15" s="1"/>
  <c r="J688" i="15" s="1"/>
  <c r="J751" i="15" s="1"/>
  <c r="J814" i="15" s="1"/>
  <c r="J877" i="15" s="1"/>
  <c r="J940" i="15" s="1"/>
  <c r="J1003" i="15" s="1"/>
  <c r="J1066" i="15" s="1"/>
  <c r="J1129" i="15" s="1"/>
  <c r="J1192" i="15" s="1"/>
  <c r="J1255" i="15" s="1"/>
  <c r="J1318" i="15" s="1"/>
  <c r="J1381" i="15" s="1"/>
  <c r="J1444" i="15" s="1"/>
  <c r="J1507" i="15" s="1"/>
  <c r="J1570" i="15" s="1"/>
  <c r="J1633" i="15" s="1"/>
  <c r="J1696" i="15" s="1"/>
  <c r="J1759" i="15" s="1"/>
  <c r="J1822" i="15" s="1"/>
  <c r="J1885" i="15" s="1"/>
  <c r="J1948" i="15" s="1"/>
  <c r="J181" i="15"/>
  <c r="J244" i="15" s="1"/>
  <c r="J307" i="15" s="1"/>
  <c r="J370" i="15" s="1"/>
  <c r="J433" i="15" s="1"/>
  <c r="J496" i="15" s="1"/>
  <c r="J559" i="15" s="1"/>
  <c r="J622" i="15" s="1"/>
  <c r="J685" i="15" s="1"/>
  <c r="J748" i="15" s="1"/>
  <c r="J811" i="15" s="1"/>
  <c r="J874" i="15" s="1"/>
  <c r="J937" i="15" s="1"/>
  <c r="J1000" i="15" s="1"/>
  <c r="J1063" i="15" s="1"/>
  <c r="J1126" i="15" s="1"/>
  <c r="J1189" i="15" s="1"/>
  <c r="J1252" i="15" s="1"/>
  <c r="J1315" i="15" s="1"/>
  <c r="J1378" i="15" s="1"/>
  <c r="J1441" i="15" s="1"/>
  <c r="J1504" i="15" s="1"/>
  <c r="J1567" i="15" s="1"/>
  <c r="J1630" i="15" s="1"/>
  <c r="J1693" i="15" s="1"/>
  <c r="J1756" i="15" s="1"/>
  <c r="J1819" i="15" s="1"/>
  <c r="J1882" i="15" s="1"/>
  <c r="J1945" i="15" s="1"/>
  <c r="J178" i="15"/>
  <c r="J241" i="15" s="1"/>
  <c r="J304" i="15" s="1"/>
  <c r="J367" i="15" s="1"/>
  <c r="J430" i="15" s="1"/>
  <c r="J493" i="15" s="1"/>
  <c r="J556" i="15" s="1"/>
  <c r="J619" i="15" s="1"/>
  <c r="J682" i="15" s="1"/>
  <c r="J745" i="15" s="1"/>
  <c r="J808" i="15" s="1"/>
  <c r="J871" i="15" s="1"/>
  <c r="J934" i="15" s="1"/>
  <c r="J997" i="15" s="1"/>
  <c r="J1060" i="15" s="1"/>
  <c r="J1123" i="15" s="1"/>
  <c r="J1186" i="15" s="1"/>
  <c r="J1249" i="15" s="1"/>
  <c r="J1312" i="15" s="1"/>
  <c r="J1375" i="15" s="1"/>
  <c r="J1438" i="15" s="1"/>
  <c r="J1501" i="15" s="1"/>
  <c r="J1564" i="15" s="1"/>
  <c r="J1627" i="15" s="1"/>
  <c r="J1690" i="15" s="1"/>
  <c r="J1753" i="15" s="1"/>
  <c r="J1816" i="15" s="1"/>
  <c r="J1879" i="15" s="1"/>
  <c r="J1942" i="15" s="1"/>
  <c r="J174" i="15"/>
  <c r="J237" i="15" s="1"/>
  <c r="J300" i="15" s="1"/>
  <c r="J363" i="15" s="1"/>
  <c r="J426" i="15" s="1"/>
  <c r="J489" i="15" s="1"/>
  <c r="J552" i="15" s="1"/>
  <c r="J615" i="15" s="1"/>
  <c r="J678" i="15" s="1"/>
  <c r="J741" i="15" s="1"/>
  <c r="J804" i="15" s="1"/>
  <c r="J867" i="15" s="1"/>
  <c r="J930" i="15" s="1"/>
  <c r="J993" i="15" s="1"/>
  <c r="J1056" i="15" s="1"/>
  <c r="J1119" i="15" s="1"/>
  <c r="J1182" i="15" s="1"/>
  <c r="J1245" i="15" s="1"/>
  <c r="J1308" i="15" s="1"/>
  <c r="J1371" i="15" s="1"/>
  <c r="J1434" i="15" s="1"/>
  <c r="J1497" i="15" s="1"/>
  <c r="J1560" i="15" s="1"/>
  <c r="J1623" i="15" s="1"/>
  <c r="J1686" i="15" s="1"/>
  <c r="J1749" i="15" s="1"/>
  <c r="J1812" i="15" s="1"/>
  <c r="J1875" i="15" s="1"/>
  <c r="J1938" i="15" s="1"/>
  <c r="I171" i="15"/>
  <c r="E171" i="15"/>
  <c r="J170" i="15"/>
  <c r="I170" i="15"/>
  <c r="E170" i="15"/>
  <c r="I169" i="15"/>
  <c r="E169" i="15"/>
  <c r="J168" i="15"/>
  <c r="J231" i="15" s="1"/>
  <c r="J294" i="15" s="1"/>
  <c r="J357" i="15" s="1"/>
  <c r="J420" i="15" s="1"/>
  <c r="J483" i="15" s="1"/>
  <c r="J546" i="15" s="1"/>
  <c r="J609" i="15" s="1"/>
  <c r="J672" i="15" s="1"/>
  <c r="J735" i="15" s="1"/>
  <c r="J798" i="15" s="1"/>
  <c r="J861" i="15" s="1"/>
  <c r="J924" i="15" s="1"/>
  <c r="J987" i="15" s="1"/>
  <c r="J1050" i="15" s="1"/>
  <c r="J1113" i="15" s="1"/>
  <c r="J1176" i="15" s="1"/>
  <c r="J1239" i="15" s="1"/>
  <c r="J1302" i="15" s="1"/>
  <c r="J1365" i="15" s="1"/>
  <c r="J1428" i="15" s="1"/>
  <c r="J1491" i="15" s="1"/>
  <c r="J1554" i="15" s="1"/>
  <c r="J1617" i="15" s="1"/>
  <c r="J1680" i="15" s="1"/>
  <c r="J1743" i="15" s="1"/>
  <c r="J1806" i="15" s="1"/>
  <c r="J1869" i="15" s="1"/>
  <c r="J1932" i="15" s="1"/>
  <c r="I168" i="15"/>
  <c r="E168" i="15"/>
  <c r="I167" i="15"/>
  <c r="E167" i="15"/>
  <c r="J166" i="15"/>
  <c r="I166" i="15"/>
  <c r="I165" i="15"/>
  <c r="I164" i="15"/>
  <c r="F164" i="15"/>
  <c r="F227" i="15" s="1"/>
  <c r="F290" i="15" s="1"/>
  <c r="F353" i="15" s="1"/>
  <c r="F416" i="15" s="1"/>
  <c r="F479" i="15" s="1"/>
  <c r="F542" i="15" s="1"/>
  <c r="F605" i="15" s="1"/>
  <c r="F668" i="15" s="1"/>
  <c r="F731" i="15" s="1"/>
  <c r="F794" i="15" s="1"/>
  <c r="F857" i="15" s="1"/>
  <c r="F920" i="15" s="1"/>
  <c r="F983" i="15" s="1"/>
  <c r="F1046" i="15" s="1"/>
  <c r="F1109" i="15" s="1"/>
  <c r="F1172" i="15" s="1"/>
  <c r="F1235" i="15" s="1"/>
  <c r="F1298" i="15" s="1"/>
  <c r="F1361" i="15" s="1"/>
  <c r="F1424" i="15" s="1"/>
  <c r="F1487" i="15" s="1"/>
  <c r="F1550" i="15" s="1"/>
  <c r="F1613" i="15" s="1"/>
  <c r="F1676" i="15" s="1"/>
  <c r="F1739" i="15" s="1"/>
  <c r="F1802" i="15" s="1"/>
  <c r="F1865" i="15" s="1"/>
  <c r="F1928" i="15" s="1"/>
  <c r="I163" i="15"/>
  <c r="J162" i="15"/>
  <c r="I162" i="15"/>
  <c r="I161" i="15"/>
  <c r="I160" i="15"/>
  <c r="I159" i="15"/>
  <c r="J158" i="15"/>
  <c r="I158" i="15"/>
  <c r="I157" i="15"/>
  <c r="I156" i="15"/>
  <c r="I155" i="15"/>
  <c r="J154" i="15"/>
  <c r="I154" i="15"/>
  <c r="I153" i="15"/>
  <c r="I152" i="15"/>
  <c r="I151" i="15"/>
  <c r="J150" i="15"/>
  <c r="I150" i="15"/>
  <c r="I149" i="15"/>
  <c r="I148" i="15"/>
  <c r="I147" i="15"/>
  <c r="J146" i="15"/>
  <c r="I146" i="15"/>
  <c r="I145" i="15"/>
  <c r="I144" i="15"/>
  <c r="I143" i="15"/>
  <c r="I142" i="15"/>
  <c r="I141" i="15"/>
  <c r="I140" i="15"/>
  <c r="I139" i="15"/>
  <c r="J138" i="15"/>
  <c r="I138" i="15"/>
  <c r="E133" i="15"/>
  <c r="J128" i="15"/>
  <c r="J191" i="15" s="1"/>
  <c r="J254" i="15" s="1"/>
  <c r="J317" i="15" s="1"/>
  <c r="J380" i="15" s="1"/>
  <c r="J443" i="15" s="1"/>
  <c r="J506" i="15" s="1"/>
  <c r="J569" i="15" s="1"/>
  <c r="J632" i="15" s="1"/>
  <c r="J695" i="15" s="1"/>
  <c r="J758" i="15" s="1"/>
  <c r="J821" i="15" s="1"/>
  <c r="J884" i="15" s="1"/>
  <c r="J947" i="15" s="1"/>
  <c r="J1010" i="15" s="1"/>
  <c r="J1073" i="15" s="1"/>
  <c r="J1136" i="15" s="1"/>
  <c r="J1199" i="15" s="1"/>
  <c r="J1262" i="15" s="1"/>
  <c r="J1325" i="15" s="1"/>
  <c r="J1388" i="15" s="1"/>
  <c r="J1451" i="15" s="1"/>
  <c r="J1514" i="15" s="1"/>
  <c r="J1577" i="15" s="1"/>
  <c r="J1640" i="15" s="1"/>
  <c r="J1703" i="15" s="1"/>
  <c r="J1766" i="15" s="1"/>
  <c r="J1829" i="15" s="1"/>
  <c r="J1892" i="15" s="1"/>
  <c r="J126" i="15"/>
  <c r="J189" i="15" s="1"/>
  <c r="J252" i="15" s="1"/>
  <c r="J315" i="15" s="1"/>
  <c r="J378" i="15" s="1"/>
  <c r="J441" i="15" s="1"/>
  <c r="J504" i="15" s="1"/>
  <c r="J567" i="15" s="1"/>
  <c r="J630" i="15" s="1"/>
  <c r="J693" i="15" s="1"/>
  <c r="J756" i="15" s="1"/>
  <c r="J819" i="15" s="1"/>
  <c r="J882" i="15" s="1"/>
  <c r="J945" i="15" s="1"/>
  <c r="J1008" i="15" s="1"/>
  <c r="J1071" i="15" s="1"/>
  <c r="J1134" i="15" s="1"/>
  <c r="J1197" i="15" s="1"/>
  <c r="J1260" i="15" s="1"/>
  <c r="J1323" i="15" s="1"/>
  <c r="J1386" i="15" s="1"/>
  <c r="J1449" i="15" s="1"/>
  <c r="J1512" i="15" s="1"/>
  <c r="J1575" i="15" s="1"/>
  <c r="J1638" i="15" s="1"/>
  <c r="J1701" i="15" s="1"/>
  <c r="J1764" i="15" s="1"/>
  <c r="J1827" i="15" s="1"/>
  <c r="J1890" i="15" s="1"/>
  <c r="J1953" i="15" s="1"/>
  <c r="J125" i="15"/>
  <c r="J124" i="15"/>
  <c r="J187" i="15" s="1"/>
  <c r="J250" i="15" s="1"/>
  <c r="J313" i="15" s="1"/>
  <c r="J376" i="15" s="1"/>
  <c r="J439" i="15" s="1"/>
  <c r="J502" i="15" s="1"/>
  <c r="J565" i="15" s="1"/>
  <c r="J628" i="15" s="1"/>
  <c r="J691" i="15" s="1"/>
  <c r="J754" i="15" s="1"/>
  <c r="J817" i="15" s="1"/>
  <c r="J880" i="15" s="1"/>
  <c r="J943" i="15" s="1"/>
  <c r="J1006" i="15" s="1"/>
  <c r="J1069" i="15" s="1"/>
  <c r="J1132" i="15" s="1"/>
  <c r="J1195" i="15" s="1"/>
  <c r="J1258" i="15" s="1"/>
  <c r="J1321" i="15" s="1"/>
  <c r="J1384" i="15" s="1"/>
  <c r="J1447" i="15" s="1"/>
  <c r="J1510" i="15" s="1"/>
  <c r="J1573" i="15" s="1"/>
  <c r="J1636" i="15" s="1"/>
  <c r="J1699" i="15" s="1"/>
  <c r="J1762" i="15" s="1"/>
  <c r="J1825" i="15" s="1"/>
  <c r="J1888" i="15" s="1"/>
  <c r="J1951" i="15" s="1"/>
  <c r="J123" i="15"/>
  <c r="J186" i="15" s="1"/>
  <c r="J249" i="15" s="1"/>
  <c r="J312" i="15" s="1"/>
  <c r="J375" i="15" s="1"/>
  <c r="J438" i="15" s="1"/>
  <c r="J501" i="15" s="1"/>
  <c r="J564" i="15" s="1"/>
  <c r="J627" i="15" s="1"/>
  <c r="J690" i="15" s="1"/>
  <c r="J753" i="15" s="1"/>
  <c r="J816" i="15" s="1"/>
  <c r="J879" i="15" s="1"/>
  <c r="J942" i="15" s="1"/>
  <c r="J1005" i="15" s="1"/>
  <c r="J1068" i="15" s="1"/>
  <c r="J1131" i="15" s="1"/>
  <c r="J1194" i="15" s="1"/>
  <c r="J1257" i="15" s="1"/>
  <c r="J1320" i="15" s="1"/>
  <c r="J1383" i="15" s="1"/>
  <c r="J1446" i="15" s="1"/>
  <c r="J1509" i="15" s="1"/>
  <c r="J1572" i="15" s="1"/>
  <c r="J1635" i="15" s="1"/>
  <c r="J1698" i="15" s="1"/>
  <c r="J1761" i="15" s="1"/>
  <c r="J1824" i="15" s="1"/>
  <c r="J1887" i="15" s="1"/>
  <c r="J1950" i="15" s="1"/>
  <c r="J122" i="15"/>
  <c r="J185" i="15" s="1"/>
  <c r="J248" i="15" s="1"/>
  <c r="J311" i="15" s="1"/>
  <c r="J374" i="15" s="1"/>
  <c r="J437" i="15" s="1"/>
  <c r="J500" i="15" s="1"/>
  <c r="J563" i="15" s="1"/>
  <c r="J626" i="15" s="1"/>
  <c r="J689" i="15" s="1"/>
  <c r="J752" i="15" s="1"/>
  <c r="J815" i="15" s="1"/>
  <c r="J878" i="15" s="1"/>
  <c r="J941" i="15" s="1"/>
  <c r="J1004" i="15" s="1"/>
  <c r="J1067" i="15" s="1"/>
  <c r="J1130" i="15" s="1"/>
  <c r="J1193" i="15" s="1"/>
  <c r="J1256" i="15" s="1"/>
  <c r="J1319" i="15" s="1"/>
  <c r="J1382" i="15" s="1"/>
  <c r="J1445" i="15" s="1"/>
  <c r="J1508" i="15" s="1"/>
  <c r="J1571" i="15" s="1"/>
  <c r="J1634" i="15" s="1"/>
  <c r="J1697" i="15" s="1"/>
  <c r="J1760" i="15" s="1"/>
  <c r="J1823" i="15" s="1"/>
  <c r="J1886" i="15" s="1"/>
  <c r="J1949" i="15" s="1"/>
  <c r="J121" i="15"/>
  <c r="J120" i="15"/>
  <c r="J183" i="15" s="1"/>
  <c r="J246" i="15" s="1"/>
  <c r="J309" i="15" s="1"/>
  <c r="J372" i="15" s="1"/>
  <c r="J435" i="15" s="1"/>
  <c r="J498" i="15" s="1"/>
  <c r="J561" i="15" s="1"/>
  <c r="J624" i="15" s="1"/>
  <c r="J687" i="15" s="1"/>
  <c r="J750" i="15" s="1"/>
  <c r="J813" i="15" s="1"/>
  <c r="J876" i="15" s="1"/>
  <c r="J939" i="15" s="1"/>
  <c r="J1002" i="15" s="1"/>
  <c r="J1065" i="15" s="1"/>
  <c r="J1128" i="15" s="1"/>
  <c r="J1191" i="15" s="1"/>
  <c r="J1254" i="15" s="1"/>
  <c r="J1317" i="15" s="1"/>
  <c r="J1380" i="15" s="1"/>
  <c r="J1443" i="15" s="1"/>
  <c r="J1506" i="15" s="1"/>
  <c r="J1569" i="15" s="1"/>
  <c r="J1632" i="15" s="1"/>
  <c r="J1695" i="15" s="1"/>
  <c r="J1758" i="15" s="1"/>
  <c r="J1821" i="15" s="1"/>
  <c r="J1884" i="15" s="1"/>
  <c r="J1947" i="15" s="1"/>
  <c r="J119" i="15"/>
  <c r="J182" i="15" s="1"/>
  <c r="J245" i="15" s="1"/>
  <c r="J308" i="15" s="1"/>
  <c r="J371" i="15" s="1"/>
  <c r="J434" i="15" s="1"/>
  <c r="J497" i="15" s="1"/>
  <c r="J560" i="15" s="1"/>
  <c r="J623" i="15" s="1"/>
  <c r="J686" i="15" s="1"/>
  <c r="J749" i="15" s="1"/>
  <c r="J812" i="15" s="1"/>
  <c r="J875" i="15" s="1"/>
  <c r="J938" i="15" s="1"/>
  <c r="J1001" i="15" s="1"/>
  <c r="J1064" i="15" s="1"/>
  <c r="J1127" i="15" s="1"/>
  <c r="J1190" i="15" s="1"/>
  <c r="J1253" i="15" s="1"/>
  <c r="J1316" i="15" s="1"/>
  <c r="J1379" i="15" s="1"/>
  <c r="J1442" i="15" s="1"/>
  <c r="J1505" i="15" s="1"/>
  <c r="J1568" i="15" s="1"/>
  <c r="J1631" i="15" s="1"/>
  <c r="J1694" i="15" s="1"/>
  <c r="J1757" i="15" s="1"/>
  <c r="J1820" i="15" s="1"/>
  <c r="J1883" i="15" s="1"/>
  <c r="J1946" i="15" s="1"/>
  <c r="J118" i="15"/>
  <c r="J117" i="15"/>
  <c r="J180" i="15" s="1"/>
  <c r="J243" i="15" s="1"/>
  <c r="J306" i="15" s="1"/>
  <c r="J369" i="15" s="1"/>
  <c r="J432" i="15" s="1"/>
  <c r="J495" i="15" s="1"/>
  <c r="J558" i="15" s="1"/>
  <c r="J621" i="15" s="1"/>
  <c r="J684" i="15" s="1"/>
  <c r="J747" i="15" s="1"/>
  <c r="J810" i="15" s="1"/>
  <c r="J873" i="15" s="1"/>
  <c r="J936" i="15" s="1"/>
  <c r="J999" i="15" s="1"/>
  <c r="J1062" i="15" s="1"/>
  <c r="J1125" i="15" s="1"/>
  <c r="J1188" i="15" s="1"/>
  <c r="J1251" i="15" s="1"/>
  <c r="J1314" i="15" s="1"/>
  <c r="J1377" i="15" s="1"/>
  <c r="J1440" i="15" s="1"/>
  <c r="J1503" i="15" s="1"/>
  <c r="J1566" i="15" s="1"/>
  <c r="J1629" i="15" s="1"/>
  <c r="J1692" i="15" s="1"/>
  <c r="J1755" i="15" s="1"/>
  <c r="J1818" i="15" s="1"/>
  <c r="J1881" i="15" s="1"/>
  <c r="J1944" i="15" s="1"/>
  <c r="J116" i="15"/>
  <c r="J179" i="15" s="1"/>
  <c r="J242" i="15" s="1"/>
  <c r="J305" i="15" s="1"/>
  <c r="J368" i="15" s="1"/>
  <c r="J431" i="15" s="1"/>
  <c r="J494" i="15" s="1"/>
  <c r="J557" i="15" s="1"/>
  <c r="J620" i="15" s="1"/>
  <c r="J683" i="15" s="1"/>
  <c r="J746" i="15" s="1"/>
  <c r="J809" i="15" s="1"/>
  <c r="J872" i="15" s="1"/>
  <c r="J935" i="15" s="1"/>
  <c r="J998" i="15" s="1"/>
  <c r="J1061" i="15" s="1"/>
  <c r="J1124" i="15" s="1"/>
  <c r="J1187" i="15" s="1"/>
  <c r="J1250" i="15" s="1"/>
  <c r="J1313" i="15" s="1"/>
  <c r="J1376" i="15" s="1"/>
  <c r="J1439" i="15" s="1"/>
  <c r="J1502" i="15" s="1"/>
  <c r="J1565" i="15" s="1"/>
  <c r="J1628" i="15" s="1"/>
  <c r="J1691" i="15" s="1"/>
  <c r="J1754" i="15" s="1"/>
  <c r="J1817" i="15" s="1"/>
  <c r="J1880" i="15" s="1"/>
  <c r="J1943" i="15" s="1"/>
  <c r="J115" i="15"/>
  <c r="J114" i="15"/>
  <c r="J177" i="15" s="1"/>
  <c r="J240" i="15" s="1"/>
  <c r="J303" i="15" s="1"/>
  <c r="J366" i="15" s="1"/>
  <c r="J429" i="15" s="1"/>
  <c r="J492" i="15" s="1"/>
  <c r="J555" i="15" s="1"/>
  <c r="J618" i="15" s="1"/>
  <c r="J681" i="15" s="1"/>
  <c r="J744" i="15" s="1"/>
  <c r="J807" i="15" s="1"/>
  <c r="J870" i="15" s="1"/>
  <c r="J933" i="15" s="1"/>
  <c r="J996" i="15" s="1"/>
  <c r="J1059" i="15" s="1"/>
  <c r="J1122" i="15" s="1"/>
  <c r="J1185" i="15" s="1"/>
  <c r="J1248" i="15" s="1"/>
  <c r="J1311" i="15" s="1"/>
  <c r="J1374" i="15" s="1"/>
  <c r="J1437" i="15" s="1"/>
  <c r="J1500" i="15" s="1"/>
  <c r="J1563" i="15" s="1"/>
  <c r="J1626" i="15" s="1"/>
  <c r="J1689" i="15" s="1"/>
  <c r="J1752" i="15" s="1"/>
  <c r="J1815" i="15" s="1"/>
  <c r="J1878" i="15" s="1"/>
  <c r="J1941" i="15" s="1"/>
  <c r="J113" i="15"/>
  <c r="J176" i="15" s="1"/>
  <c r="J239" i="15" s="1"/>
  <c r="J302" i="15" s="1"/>
  <c r="J365" i="15" s="1"/>
  <c r="J428" i="15" s="1"/>
  <c r="J491" i="15" s="1"/>
  <c r="J554" i="15" s="1"/>
  <c r="J617" i="15" s="1"/>
  <c r="J680" i="15" s="1"/>
  <c r="J743" i="15" s="1"/>
  <c r="J806" i="15" s="1"/>
  <c r="J869" i="15" s="1"/>
  <c r="J932" i="15" s="1"/>
  <c r="J995" i="15" s="1"/>
  <c r="J1058" i="15" s="1"/>
  <c r="J1121" i="15" s="1"/>
  <c r="J1184" i="15" s="1"/>
  <c r="J1247" i="15" s="1"/>
  <c r="J1310" i="15" s="1"/>
  <c r="J1373" i="15" s="1"/>
  <c r="J1436" i="15" s="1"/>
  <c r="J1499" i="15" s="1"/>
  <c r="J1562" i="15" s="1"/>
  <c r="J1625" i="15" s="1"/>
  <c r="J1688" i="15" s="1"/>
  <c r="J1751" i="15" s="1"/>
  <c r="J1814" i="15" s="1"/>
  <c r="J1877" i="15" s="1"/>
  <c r="J1940" i="15" s="1"/>
  <c r="J112" i="15"/>
  <c r="J175" i="15" s="1"/>
  <c r="J238" i="15" s="1"/>
  <c r="J301" i="15" s="1"/>
  <c r="J364" i="15" s="1"/>
  <c r="J427" i="15" s="1"/>
  <c r="J490" i="15" s="1"/>
  <c r="J553" i="15" s="1"/>
  <c r="J616" i="15" s="1"/>
  <c r="J679" i="15" s="1"/>
  <c r="J742" i="15" s="1"/>
  <c r="J805" i="15" s="1"/>
  <c r="J868" i="15" s="1"/>
  <c r="J931" i="15" s="1"/>
  <c r="J994" i="15" s="1"/>
  <c r="J1057" i="15" s="1"/>
  <c r="J1120" i="15" s="1"/>
  <c r="J1183" i="15" s="1"/>
  <c r="J1246" i="15" s="1"/>
  <c r="J1309" i="15" s="1"/>
  <c r="J1372" i="15" s="1"/>
  <c r="J1435" i="15" s="1"/>
  <c r="J1498" i="15" s="1"/>
  <c r="J1561" i="15" s="1"/>
  <c r="J1624" i="15" s="1"/>
  <c r="J1687" i="15" s="1"/>
  <c r="J1750" i="15" s="1"/>
  <c r="J1813" i="15" s="1"/>
  <c r="J1876" i="15" s="1"/>
  <c r="J1939" i="15" s="1"/>
  <c r="J111" i="15"/>
  <c r="J110" i="15"/>
  <c r="J173" i="15" s="1"/>
  <c r="J236" i="15" s="1"/>
  <c r="J299" i="15" s="1"/>
  <c r="J362" i="15" s="1"/>
  <c r="J425" i="15" s="1"/>
  <c r="J488" i="15" s="1"/>
  <c r="J551" i="15" s="1"/>
  <c r="J614" i="15" s="1"/>
  <c r="J677" i="15" s="1"/>
  <c r="J740" i="15" s="1"/>
  <c r="J803" i="15" s="1"/>
  <c r="J866" i="15" s="1"/>
  <c r="J929" i="15" s="1"/>
  <c r="J992" i="15" s="1"/>
  <c r="J1055" i="15" s="1"/>
  <c r="J1118" i="15" s="1"/>
  <c r="J1181" i="15" s="1"/>
  <c r="J1244" i="15" s="1"/>
  <c r="J1307" i="15" s="1"/>
  <c r="J1370" i="15" s="1"/>
  <c r="J1433" i="15" s="1"/>
  <c r="J1496" i="15" s="1"/>
  <c r="J1559" i="15" s="1"/>
  <c r="J1622" i="15" s="1"/>
  <c r="J1685" i="15" s="1"/>
  <c r="J1748" i="15" s="1"/>
  <c r="J1811" i="15" s="1"/>
  <c r="J1874" i="15" s="1"/>
  <c r="J1937" i="15" s="1"/>
  <c r="J109" i="15"/>
  <c r="J172" i="15" s="1"/>
  <c r="J235" i="15" s="1"/>
  <c r="J298" i="15" s="1"/>
  <c r="J361" i="15" s="1"/>
  <c r="J424" i="15" s="1"/>
  <c r="J487" i="15" s="1"/>
  <c r="J550" i="15" s="1"/>
  <c r="J613" i="15" s="1"/>
  <c r="J676" i="15" s="1"/>
  <c r="J739" i="15" s="1"/>
  <c r="J802" i="15" s="1"/>
  <c r="J865" i="15" s="1"/>
  <c r="J928" i="15" s="1"/>
  <c r="J991" i="15" s="1"/>
  <c r="J1054" i="15" s="1"/>
  <c r="J1117" i="15" s="1"/>
  <c r="J1180" i="15" s="1"/>
  <c r="J1243" i="15" s="1"/>
  <c r="J1306" i="15" s="1"/>
  <c r="J1369" i="15" s="1"/>
  <c r="J1432" i="15" s="1"/>
  <c r="J1495" i="15" s="1"/>
  <c r="J1558" i="15" s="1"/>
  <c r="J1621" i="15" s="1"/>
  <c r="J1684" i="15" s="1"/>
  <c r="J1747" i="15" s="1"/>
  <c r="J1810" i="15" s="1"/>
  <c r="J1873" i="15" s="1"/>
  <c r="J1936" i="15" s="1"/>
  <c r="J108" i="15"/>
  <c r="J171" i="15" s="1"/>
  <c r="J234" i="15" s="1"/>
  <c r="J297" i="15" s="1"/>
  <c r="J360" i="15" s="1"/>
  <c r="J423" i="15" s="1"/>
  <c r="J486" i="15" s="1"/>
  <c r="J549" i="15" s="1"/>
  <c r="J612" i="15" s="1"/>
  <c r="J675" i="15" s="1"/>
  <c r="J738" i="15" s="1"/>
  <c r="J801" i="15" s="1"/>
  <c r="J864" i="15" s="1"/>
  <c r="J927" i="15" s="1"/>
  <c r="J990" i="15" s="1"/>
  <c r="J1053" i="15" s="1"/>
  <c r="J1116" i="15" s="1"/>
  <c r="J1179" i="15" s="1"/>
  <c r="J1242" i="15" s="1"/>
  <c r="J1305" i="15" s="1"/>
  <c r="J1368" i="15" s="1"/>
  <c r="J1431" i="15" s="1"/>
  <c r="J1494" i="15" s="1"/>
  <c r="J1557" i="15" s="1"/>
  <c r="J1620" i="15" s="1"/>
  <c r="J1683" i="15" s="1"/>
  <c r="J1746" i="15" s="1"/>
  <c r="J1809" i="15" s="1"/>
  <c r="J1872" i="15" s="1"/>
  <c r="J1935" i="15" s="1"/>
  <c r="E108" i="15"/>
  <c r="I108" i="15" s="1"/>
  <c r="J107" i="15"/>
  <c r="F107" i="15"/>
  <c r="F170" i="15" s="1"/>
  <c r="F233" i="15" s="1"/>
  <c r="F296" i="15" s="1"/>
  <c r="F359" i="15" s="1"/>
  <c r="F422" i="15" s="1"/>
  <c r="F485" i="15" s="1"/>
  <c r="F548" i="15" s="1"/>
  <c r="F611" i="15" s="1"/>
  <c r="F674" i="15" s="1"/>
  <c r="F737" i="15" s="1"/>
  <c r="F800" i="15" s="1"/>
  <c r="E107" i="15"/>
  <c r="I107" i="15" s="1"/>
  <c r="J106" i="15"/>
  <c r="J169" i="15" s="1"/>
  <c r="J232" i="15" s="1"/>
  <c r="J295" i="15" s="1"/>
  <c r="J358" i="15" s="1"/>
  <c r="J421" i="15" s="1"/>
  <c r="J484" i="15" s="1"/>
  <c r="J547" i="15" s="1"/>
  <c r="J610" i="15" s="1"/>
  <c r="J673" i="15" s="1"/>
  <c r="J736" i="15" s="1"/>
  <c r="J799" i="15" s="1"/>
  <c r="J862" i="15" s="1"/>
  <c r="J925" i="15" s="1"/>
  <c r="J988" i="15" s="1"/>
  <c r="J1051" i="15" s="1"/>
  <c r="J1114" i="15" s="1"/>
  <c r="J1177" i="15" s="1"/>
  <c r="J1240" i="15" s="1"/>
  <c r="J1303" i="15" s="1"/>
  <c r="J1366" i="15" s="1"/>
  <c r="J1429" i="15" s="1"/>
  <c r="J1492" i="15" s="1"/>
  <c r="J1555" i="15" s="1"/>
  <c r="J1618" i="15" s="1"/>
  <c r="J1681" i="15" s="1"/>
  <c r="J1744" i="15" s="1"/>
  <c r="J1807" i="15" s="1"/>
  <c r="J1870" i="15" s="1"/>
  <c r="J1933" i="15" s="1"/>
  <c r="E106" i="15"/>
  <c r="I106" i="15" s="1"/>
  <c r="J105" i="15"/>
  <c r="E105" i="15"/>
  <c r="I105" i="15" s="1"/>
  <c r="J104" i="15"/>
  <c r="J167" i="15" s="1"/>
  <c r="J230" i="15" s="1"/>
  <c r="J293" i="15" s="1"/>
  <c r="J356" i="15" s="1"/>
  <c r="J419" i="15" s="1"/>
  <c r="J482" i="15" s="1"/>
  <c r="J545" i="15" s="1"/>
  <c r="J608" i="15" s="1"/>
  <c r="J671" i="15" s="1"/>
  <c r="J734" i="15" s="1"/>
  <c r="J797" i="15" s="1"/>
  <c r="J860" i="15" s="1"/>
  <c r="J923" i="15" s="1"/>
  <c r="J986" i="15" s="1"/>
  <c r="J1049" i="15" s="1"/>
  <c r="J1112" i="15" s="1"/>
  <c r="J1175" i="15" s="1"/>
  <c r="J1238" i="15" s="1"/>
  <c r="J1301" i="15" s="1"/>
  <c r="J1364" i="15" s="1"/>
  <c r="J1427" i="15" s="1"/>
  <c r="J1490" i="15" s="1"/>
  <c r="J1553" i="15" s="1"/>
  <c r="J1616" i="15" s="1"/>
  <c r="J1679" i="15" s="1"/>
  <c r="J1742" i="15" s="1"/>
  <c r="J1805" i="15" s="1"/>
  <c r="J1868" i="15" s="1"/>
  <c r="J1931" i="15" s="1"/>
  <c r="E104" i="15"/>
  <c r="I104" i="15" s="1"/>
  <c r="J103" i="15"/>
  <c r="I103" i="15"/>
  <c r="J102" i="15"/>
  <c r="J165" i="15" s="1"/>
  <c r="J228" i="15" s="1"/>
  <c r="J291" i="15" s="1"/>
  <c r="J354" i="15" s="1"/>
  <c r="J417" i="15" s="1"/>
  <c r="J480" i="15" s="1"/>
  <c r="J543" i="15" s="1"/>
  <c r="J606" i="15" s="1"/>
  <c r="J669" i="15" s="1"/>
  <c r="J732" i="15" s="1"/>
  <c r="J795" i="15" s="1"/>
  <c r="J858" i="15" s="1"/>
  <c r="J921" i="15" s="1"/>
  <c r="J984" i="15" s="1"/>
  <c r="J1047" i="15" s="1"/>
  <c r="J1110" i="15" s="1"/>
  <c r="J1173" i="15" s="1"/>
  <c r="J1236" i="15" s="1"/>
  <c r="J1299" i="15" s="1"/>
  <c r="J1362" i="15" s="1"/>
  <c r="J1425" i="15" s="1"/>
  <c r="J1488" i="15" s="1"/>
  <c r="J1551" i="15" s="1"/>
  <c r="J1614" i="15" s="1"/>
  <c r="J1677" i="15" s="1"/>
  <c r="J1740" i="15" s="1"/>
  <c r="J1803" i="15" s="1"/>
  <c r="J1866" i="15" s="1"/>
  <c r="J1929" i="15" s="1"/>
  <c r="I102" i="15"/>
  <c r="J101" i="15"/>
  <c r="J164" i="15" s="1"/>
  <c r="J227" i="15" s="1"/>
  <c r="J290" i="15" s="1"/>
  <c r="J353" i="15" s="1"/>
  <c r="J416" i="15" s="1"/>
  <c r="J479" i="15" s="1"/>
  <c r="J542" i="15" s="1"/>
  <c r="J605" i="15" s="1"/>
  <c r="J668" i="15" s="1"/>
  <c r="J731" i="15" s="1"/>
  <c r="J794" i="15" s="1"/>
  <c r="J857" i="15" s="1"/>
  <c r="J920" i="15" s="1"/>
  <c r="J983" i="15" s="1"/>
  <c r="J1046" i="15" s="1"/>
  <c r="J1109" i="15" s="1"/>
  <c r="J1172" i="15" s="1"/>
  <c r="J1235" i="15" s="1"/>
  <c r="J1298" i="15" s="1"/>
  <c r="J1361" i="15" s="1"/>
  <c r="J1424" i="15" s="1"/>
  <c r="J1487" i="15" s="1"/>
  <c r="J1550" i="15" s="1"/>
  <c r="J1613" i="15" s="1"/>
  <c r="J1676" i="15" s="1"/>
  <c r="J1739" i="15" s="1"/>
  <c r="J1802" i="15" s="1"/>
  <c r="J1865" i="15" s="1"/>
  <c r="J1928" i="15" s="1"/>
  <c r="I101" i="15"/>
  <c r="F101" i="15"/>
  <c r="J100" i="15"/>
  <c r="J163" i="15" s="1"/>
  <c r="J226" i="15" s="1"/>
  <c r="J289" i="15" s="1"/>
  <c r="J352" i="15" s="1"/>
  <c r="J415" i="15" s="1"/>
  <c r="J478" i="15" s="1"/>
  <c r="J541" i="15" s="1"/>
  <c r="J604" i="15" s="1"/>
  <c r="J667" i="15" s="1"/>
  <c r="J730" i="15" s="1"/>
  <c r="J793" i="15" s="1"/>
  <c r="J856" i="15" s="1"/>
  <c r="J919" i="15" s="1"/>
  <c r="J982" i="15" s="1"/>
  <c r="J1045" i="15" s="1"/>
  <c r="J1108" i="15" s="1"/>
  <c r="J1171" i="15" s="1"/>
  <c r="J1234" i="15" s="1"/>
  <c r="J1297" i="15" s="1"/>
  <c r="J1360" i="15" s="1"/>
  <c r="J1423" i="15" s="1"/>
  <c r="J1486" i="15" s="1"/>
  <c r="J1549" i="15" s="1"/>
  <c r="J1612" i="15" s="1"/>
  <c r="J1675" i="15" s="1"/>
  <c r="J1738" i="15" s="1"/>
  <c r="J1801" i="15" s="1"/>
  <c r="J1864" i="15" s="1"/>
  <c r="J1927" i="15" s="1"/>
  <c r="I100" i="15"/>
  <c r="J99" i="15"/>
  <c r="I99" i="15"/>
  <c r="J98" i="15"/>
  <c r="J161" i="15" s="1"/>
  <c r="J224" i="15" s="1"/>
  <c r="J287" i="15" s="1"/>
  <c r="J350" i="15" s="1"/>
  <c r="J413" i="15" s="1"/>
  <c r="J476" i="15" s="1"/>
  <c r="J539" i="15" s="1"/>
  <c r="J602" i="15" s="1"/>
  <c r="J665" i="15" s="1"/>
  <c r="J728" i="15" s="1"/>
  <c r="J791" i="15" s="1"/>
  <c r="J854" i="15" s="1"/>
  <c r="J917" i="15" s="1"/>
  <c r="J980" i="15" s="1"/>
  <c r="J1043" i="15" s="1"/>
  <c r="J1106" i="15" s="1"/>
  <c r="J1169" i="15" s="1"/>
  <c r="J1232" i="15" s="1"/>
  <c r="J1295" i="15" s="1"/>
  <c r="J1358" i="15" s="1"/>
  <c r="J1421" i="15" s="1"/>
  <c r="J1484" i="15" s="1"/>
  <c r="J1547" i="15" s="1"/>
  <c r="J1610" i="15" s="1"/>
  <c r="J1673" i="15" s="1"/>
  <c r="J1736" i="15" s="1"/>
  <c r="J1799" i="15" s="1"/>
  <c r="J1862" i="15" s="1"/>
  <c r="J1925" i="15" s="1"/>
  <c r="I98" i="15"/>
  <c r="J97" i="15"/>
  <c r="J160" i="15" s="1"/>
  <c r="J223" i="15" s="1"/>
  <c r="J286" i="15" s="1"/>
  <c r="J349" i="15" s="1"/>
  <c r="J412" i="15" s="1"/>
  <c r="J475" i="15" s="1"/>
  <c r="J538" i="15" s="1"/>
  <c r="J601" i="15" s="1"/>
  <c r="J664" i="15" s="1"/>
  <c r="J727" i="15" s="1"/>
  <c r="J790" i="15" s="1"/>
  <c r="J853" i="15" s="1"/>
  <c r="J916" i="15" s="1"/>
  <c r="J979" i="15" s="1"/>
  <c r="J1042" i="15" s="1"/>
  <c r="J1105" i="15" s="1"/>
  <c r="J1168" i="15" s="1"/>
  <c r="J1231" i="15" s="1"/>
  <c r="J1294" i="15" s="1"/>
  <c r="J1357" i="15" s="1"/>
  <c r="J1420" i="15" s="1"/>
  <c r="J1483" i="15" s="1"/>
  <c r="J1546" i="15" s="1"/>
  <c r="J1609" i="15" s="1"/>
  <c r="J1672" i="15" s="1"/>
  <c r="J1735" i="15" s="1"/>
  <c r="J1798" i="15" s="1"/>
  <c r="J1861" i="15" s="1"/>
  <c r="J1924" i="15" s="1"/>
  <c r="I97" i="15"/>
  <c r="J96" i="15"/>
  <c r="J159" i="15" s="1"/>
  <c r="J222" i="15" s="1"/>
  <c r="J285" i="15" s="1"/>
  <c r="J348" i="15" s="1"/>
  <c r="J411" i="15" s="1"/>
  <c r="J474" i="15" s="1"/>
  <c r="J537" i="15" s="1"/>
  <c r="J600" i="15" s="1"/>
  <c r="J663" i="15" s="1"/>
  <c r="J726" i="15" s="1"/>
  <c r="J789" i="15" s="1"/>
  <c r="J852" i="15" s="1"/>
  <c r="J915" i="15" s="1"/>
  <c r="J978" i="15" s="1"/>
  <c r="J1041" i="15" s="1"/>
  <c r="J1104" i="15" s="1"/>
  <c r="J1167" i="15" s="1"/>
  <c r="J1230" i="15" s="1"/>
  <c r="J1293" i="15" s="1"/>
  <c r="J1356" i="15" s="1"/>
  <c r="J1419" i="15" s="1"/>
  <c r="J1482" i="15" s="1"/>
  <c r="J1545" i="15" s="1"/>
  <c r="J1608" i="15" s="1"/>
  <c r="J1671" i="15" s="1"/>
  <c r="J1734" i="15" s="1"/>
  <c r="J1797" i="15" s="1"/>
  <c r="J1860" i="15" s="1"/>
  <c r="J1923" i="15" s="1"/>
  <c r="I96" i="15"/>
  <c r="J95" i="15"/>
  <c r="I95" i="15"/>
  <c r="J94" i="15"/>
  <c r="J157" i="15" s="1"/>
  <c r="J220" i="15" s="1"/>
  <c r="J283" i="15" s="1"/>
  <c r="J346" i="15" s="1"/>
  <c r="J409" i="15" s="1"/>
  <c r="J472" i="15" s="1"/>
  <c r="J535" i="15" s="1"/>
  <c r="J598" i="15" s="1"/>
  <c r="J661" i="15" s="1"/>
  <c r="J724" i="15" s="1"/>
  <c r="J787" i="15" s="1"/>
  <c r="J850" i="15" s="1"/>
  <c r="J913" i="15" s="1"/>
  <c r="J976" i="15" s="1"/>
  <c r="J1039" i="15" s="1"/>
  <c r="J1102" i="15" s="1"/>
  <c r="J1165" i="15" s="1"/>
  <c r="J1228" i="15" s="1"/>
  <c r="J1291" i="15" s="1"/>
  <c r="J1354" i="15" s="1"/>
  <c r="J1417" i="15" s="1"/>
  <c r="J1480" i="15" s="1"/>
  <c r="J1543" i="15" s="1"/>
  <c r="J1606" i="15" s="1"/>
  <c r="J1669" i="15" s="1"/>
  <c r="J1732" i="15" s="1"/>
  <c r="J1795" i="15" s="1"/>
  <c r="J1858" i="15" s="1"/>
  <c r="J1921" i="15" s="1"/>
  <c r="I94" i="15"/>
  <c r="J93" i="15"/>
  <c r="J156" i="15" s="1"/>
  <c r="J219" i="15" s="1"/>
  <c r="J282" i="15" s="1"/>
  <c r="J345" i="15" s="1"/>
  <c r="J408" i="15" s="1"/>
  <c r="J471" i="15" s="1"/>
  <c r="J534" i="15" s="1"/>
  <c r="J597" i="15" s="1"/>
  <c r="J660" i="15" s="1"/>
  <c r="J723" i="15" s="1"/>
  <c r="J786" i="15" s="1"/>
  <c r="J849" i="15" s="1"/>
  <c r="J912" i="15" s="1"/>
  <c r="J975" i="15" s="1"/>
  <c r="J1038" i="15" s="1"/>
  <c r="J1101" i="15" s="1"/>
  <c r="J1164" i="15" s="1"/>
  <c r="J1227" i="15" s="1"/>
  <c r="J1290" i="15" s="1"/>
  <c r="J1353" i="15" s="1"/>
  <c r="J1416" i="15" s="1"/>
  <c r="J1479" i="15" s="1"/>
  <c r="J1542" i="15" s="1"/>
  <c r="J1605" i="15" s="1"/>
  <c r="J1668" i="15" s="1"/>
  <c r="J1731" i="15" s="1"/>
  <c r="J1794" i="15" s="1"/>
  <c r="J1857" i="15" s="1"/>
  <c r="J1920" i="15" s="1"/>
  <c r="I93" i="15"/>
  <c r="F93" i="15"/>
  <c r="F156" i="15" s="1"/>
  <c r="F219" i="15" s="1"/>
  <c r="F282" i="15" s="1"/>
  <c r="F345" i="15" s="1"/>
  <c r="F408" i="15" s="1"/>
  <c r="F471" i="15" s="1"/>
  <c r="F534" i="15" s="1"/>
  <c r="F597" i="15" s="1"/>
  <c r="F660" i="15" s="1"/>
  <c r="F723" i="15" s="1"/>
  <c r="F786" i="15" s="1"/>
  <c r="F849" i="15" s="1"/>
  <c r="F912" i="15" s="1"/>
  <c r="F975" i="15" s="1"/>
  <c r="F1038" i="15" s="1"/>
  <c r="F1101" i="15" s="1"/>
  <c r="F1164" i="15" s="1"/>
  <c r="F1227" i="15" s="1"/>
  <c r="F1290" i="15" s="1"/>
  <c r="F1353" i="15" s="1"/>
  <c r="F1416" i="15" s="1"/>
  <c r="F1479" i="15" s="1"/>
  <c r="F1542" i="15" s="1"/>
  <c r="F1605" i="15" s="1"/>
  <c r="F1668" i="15" s="1"/>
  <c r="F1731" i="15" s="1"/>
  <c r="F1794" i="15" s="1"/>
  <c r="F1857" i="15" s="1"/>
  <c r="F1920" i="15" s="1"/>
  <c r="J92" i="15"/>
  <c r="J155" i="15" s="1"/>
  <c r="J218" i="15" s="1"/>
  <c r="J281" i="15" s="1"/>
  <c r="J344" i="15" s="1"/>
  <c r="J407" i="15" s="1"/>
  <c r="J470" i="15" s="1"/>
  <c r="J533" i="15" s="1"/>
  <c r="J596" i="15" s="1"/>
  <c r="J659" i="15" s="1"/>
  <c r="J722" i="15" s="1"/>
  <c r="J785" i="15" s="1"/>
  <c r="J848" i="15" s="1"/>
  <c r="J911" i="15" s="1"/>
  <c r="J974" i="15" s="1"/>
  <c r="J1037" i="15" s="1"/>
  <c r="J1100" i="15" s="1"/>
  <c r="J1163" i="15" s="1"/>
  <c r="J1226" i="15" s="1"/>
  <c r="J1289" i="15" s="1"/>
  <c r="J1352" i="15" s="1"/>
  <c r="J1415" i="15" s="1"/>
  <c r="J1478" i="15" s="1"/>
  <c r="J1541" i="15" s="1"/>
  <c r="J1604" i="15" s="1"/>
  <c r="J1667" i="15" s="1"/>
  <c r="J1730" i="15" s="1"/>
  <c r="J1793" i="15" s="1"/>
  <c r="J1856" i="15" s="1"/>
  <c r="J1919" i="15" s="1"/>
  <c r="I92" i="15"/>
  <c r="J91" i="15"/>
  <c r="I91" i="15"/>
  <c r="J90" i="15"/>
  <c r="J153" i="15" s="1"/>
  <c r="J216" i="15" s="1"/>
  <c r="J279" i="15" s="1"/>
  <c r="J342" i="15" s="1"/>
  <c r="J405" i="15" s="1"/>
  <c r="J468" i="15" s="1"/>
  <c r="J531" i="15" s="1"/>
  <c r="J594" i="15" s="1"/>
  <c r="J657" i="15" s="1"/>
  <c r="J720" i="15" s="1"/>
  <c r="J783" i="15" s="1"/>
  <c r="J846" i="15" s="1"/>
  <c r="J909" i="15" s="1"/>
  <c r="J972" i="15" s="1"/>
  <c r="J1035" i="15" s="1"/>
  <c r="J1098" i="15" s="1"/>
  <c r="J1161" i="15" s="1"/>
  <c r="J1224" i="15" s="1"/>
  <c r="J1287" i="15" s="1"/>
  <c r="J1350" i="15" s="1"/>
  <c r="J1413" i="15" s="1"/>
  <c r="J1476" i="15" s="1"/>
  <c r="J1539" i="15" s="1"/>
  <c r="J1602" i="15" s="1"/>
  <c r="J1665" i="15" s="1"/>
  <c r="J1728" i="15" s="1"/>
  <c r="J1791" i="15" s="1"/>
  <c r="J1854" i="15" s="1"/>
  <c r="J1917" i="15" s="1"/>
  <c r="I90" i="15"/>
  <c r="J89" i="15"/>
  <c r="J152" i="15" s="1"/>
  <c r="J215" i="15" s="1"/>
  <c r="J278" i="15" s="1"/>
  <c r="J341" i="15" s="1"/>
  <c r="J404" i="15" s="1"/>
  <c r="J467" i="15" s="1"/>
  <c r="J530" i="15" s="1"/>
  <c r="J593" i="15" s="1"/>
  <c r="J656" i="15" s="1"/>
  <c r="J719" i="15" s="1"/>
  <c r="J782" i="15" s="1"/>
  <c r="J845" i="15" s="1"/>
  <c r="J908" i="15" s="1"/>
  <c r="J971" i="15" s="1"/>
  <c r="J1034" i="15" s="1"/>
  <c r="J1097" i="15" s="1"/>
  <c r="J1160" i="15" s="1"/>
  <c r="J1223" i="15" s="1"/>
  <c r="J1286" i="15" s="1"/>
  <c r="J1349" i="15" s="1"/>
  <c r="J1412" i="15" s="1"/>
  <c r="J1475" i="15" s="1"/>
  <c r="J1538" i="15" s="1"/>
  <c r="J1601" i="15" s="1"/>
  <c r="J1664" i="15" s="1"/>
  <c r="J1727" i="15" s="1"/>
  <c r="J1790" i="15" s="1"/>
  <c r="J1853" i="15" s="1"/>
  <c r="J1916" i="15" s="1"/>
  <c r="I89" i="15"/>
  <c r="J88" i="15"/>
  <c r="J151" i="15" s="1"/>
  <c r="J214" i="15" s="1"/>
  <c r="J277" i="15" s="1"/>
  <c r="J340" i="15" s="1"/>
  <c r="J403" i="15" s="1"/>
  <c r="J466" i="15" s="1"/>
  <c r="J529" i="15" s="1"/>
  <c r="J592" i="15" s="1"/>
  <c r="J655" i="15" s="1"/>
  <c r="J718" i="15" s="1"/>
  <c r="J781" i="15" s="1"/>
  <c r="J844" i="15" s="1"/>
  <c r="J907" i="15" s="1"/>
  <c r="J970" i="15" s="1"/>
  <c r="I88" i="15"/>
  <c r="J87" i="15"/>
  <c r="I87" i="15"/>
  <c r="J86" i="15"/>
  <c r="J149" i="15" s="1"/>
  <c r="J212" i="15" s="1"/>
  <c r="J275" i="15" s="1"/>
  <c r="J338" i="15" s="1"/>
  <c r="J401" i="15" s="1"/>
  <c r="J464" i="15" s="1"/>
  <c r="J527" i="15" s="1"/>
  <c r="J590" i="15" s="1"/>
  <c r="J653" i="15" s="1"/>
  <c r="J716" i="15" s="1"/>
  <c r="J779" i="15" s="1"/>
  <c r="J842" i="15" s="1"/>
  <c r="J905" i="15" s="1"/>
  <c r="J968" i="15" s="1"/>
  <c r="J1031" i="15" s="1"/>
  <c r="J1094" i="15" s="1"/>
  <c r="J1157" i="15" s="1"/>
  <c r="J1220" i="15" s="1"/>
  <c r="J1283" i="15" s="1"/>
  <c r="J1346" i="15" s="1"/>
  <c r="J1409" i="15" s="1"/>
  <c r="J1472" i="15" s="1"/>
  <c r="J1535" i="15" s="1"/>
  <c r="J1598" i="15" s="1"/>
  <c r="J1661" i="15" s="1"/>
  <c r="J1724" i="15" s="1"/>
  <c r="J1787" i="15" s="1"/>
  <c r="J1850" i="15" s="1"/>
  <c r="J1913" i="15" s="1"/>
  <c r="I86" i="15"/>
  <c r="J85" i="15"/>
  <c r="J148" i="15" s="1"/>
  <c r="J211" i="15" s="1"/>
  <c r="J274" i="15" s="1"/>
  <c r="J337" i="15" s="1"/>
  <c r="J400" i="15" s="1"/>
  <c r="J463" i="15" s="1"/>
  <c r="J526" i="15" s="1"/>
  <c r="J589" i="15" s="1"/>
  <c r="J652" i="15" s="1"/>
  <c r="J715" i="15" s="1"/>
  <c r="J778" i="15" s="1"/>
  <c r="J841" i="15" s="1"/>
  <c r="J904" i="15" s="1"/>
  <c r="J967" i="15" s="1"/>
  <c r="J1030" i="15" s="1"/>
  <c r="J1093" i="15" s="1"/>
  <c r="J1156" i="15" s="1"/>
  <c r="J1219" i="15" s="1"/>
  <c r="J1282" i="15" s="1"/>
  <c r="J1345" i="15" s="1"/>
  <c r="J1408" i="15" s="1"/>
  <c r="J1471" i="15" s="1"/>
  <c r="J1534" i="15" s="1"/>
  <c r="J1597" i="15" s="1"/>
  <c r="J1660" i="15" s="1"/>
  <c r="J1723" i="15" s="1"/>
  <c r="J1786" i="15" s="1"/>
  <c r="J1849" i="15" s="1"/>
  <c r="J1912" i="15" s="1"/>
  <c r="I85" i="15"/>
  <c r="F85" i="15"/>
  <c r="F148" i="15" s="1"/>
  <c r="F211" i="15" s="1"/>
  <c r="F274" i="15" s="1"/>
  <c r="F337" i="15" s="1"/>
  <c r="F400" i="15" s="1"/>
  <c r="F463" i="15" s="1"/>
  <c r="F526" i="15" s="1"/>
  <c r="F589" i="15" s="1"/>
  <c r="F652" i="15" s="1"/>
  <c r="F715" i="15" s="1"/>
  <c r="F778" i="15" s="1"/>
  <c r="F841" i="15" s="1"/>
  <c r="F904" i="15" s="1"/>
  <c r="F967" i="15" s="1"/>
  <c r="F1030" i="15" s="1"/>
  <c r="F1093" i="15" s="1"/>
  <c r="F1156" i="15" s="1"/>
  <c r="F1219" i="15" s="1"/>
  <c r="F1282" i="15" s="1"/>
  <c r="F1345" i="15" s="1"/>
  <c r="F1408" i="15" s="1"/>
  <c r="F1471" i="15" s="1"/>
  <c r="F1534" i="15" s="1"/>
  <c r="F1597" i="15" s="1"/>
  <c r="F1660" i="15" s="1"/>
  <c r="F1723" i="15" s="1"/>
  <c r="F1786" i="15" s="1"/>
  <c r="F1849" i="15" s="1"/>
  <c r="F1912" i="15" s="1"/>
  <c r="J84" i="15"/>
  <c r="J147" i="15" s="1"/>
  <c r="J210" i="15" s="1"/>
  <c r="J273" i="15" s="1"/>
  <c r="J336" i="15" s="1"/>
  <c r="J399" i="15" s="1"/>
  <c r="J462" i="15" s="1"/>
  <c r="J525" i="15" s="1"/>
  <c r="J588" i="15" s="1"/>
  <c r="J651" i="15" s="1"/>
  <c r="J714" i="15" s="1"/>
  <c r="J777" i="15" s="1"/>
  <c r="J840" i="15" s="1"/>
  <c r="J903" i="15" s="1"/>
  <c r="J966" i="15" s="1"/>
  <c r="J1029" i="15" s="1"/>
  <c r="J1092" i="15" s="1"/>
  <c r="J1155" i="15" s="1"/>
  <c r="J1218" i="15" s="1"/>
  <c r="J1281" i="15" s="1"/>
  <c r="J1344" i="15" s="1"/>
  <c r="J1407" i="15" s="1"/>
  <c r="J1470" i="15" s="1"/>
  <c r="J1533" i="15" s="1"/>
  <c r="J1596" i="15" s="1"/>
  <c r="J1659" i="15" s="1"/>
  <c r="J1722" i="15" s="1"/>
  <c r="J1785" i="15" s="1"/>
  <c r="J1848" i="15" s="1"/>
  <c r="J1911" i="15" s="1"/>
  <c r="I84" i="15"/>
  <c r="J83" i="15"/>
  <c r="I83" i="15"/>
  <c r="J82" i="15"/>
  <c r="J145" i="15" s="1"/>
  <c r="J208" i="15" s="1"/>
  <c r="J271" i="15" s="1"/>
  <c r="J334" i="15" s="1"/>
  <c r="J397" i="15" s="1"/>
  <c r="J460" i="15" s="1"/>
  <c r="J523" i="15" s="1"/>
  <c r="J586" i="15" s="1"/>
  <c r="J649" i="15" s="1"/>
  <c r="J712" i="15" s="1"/>
  <c r="J775" i="15" s="1"/>
  <c r="J838" i="15" s="1"/>
  <c r="J901" i="15" s="1"/>
  <c r="J964" i="15" s="1"/>
  <c r="J1027" i="15" s="1"/>
  <c r="J1090" i="15" s="1"/>
  <c r="J1153" i="15" s="1"/>
  <c r="J1216" i="15" s="1"/>
  <c r="J1279" i="15" s="1"/>
  <c r="J1342" i="15" s="1"/>
  <c r="J1405" i="15" s="1"/>
  <c r="J1468" i="15" s="1"/>
  <c r="J1531" i="15" s="1"/>
  <c r="J1594" i="15" s="1"/>
  <c r="J1657" i="15" s="1"/>
  <c r="J1720" i="15" s="1"/>
  <c r="J1783" i="15" s="1"/>
  <c r="J1846" i="15" s="1"/>
  <c r="J1909" i="15" s="1"/>
  <c r="I82" i="15"/>
  <c r="J81" i="15"/>
  <c r="J144" i="15" s="1"/>
  <c r="J207" i="15" s="1"/>
  <c r="J270" i="15" s="1"/>
  <c r="J333" i="15" s="1"/>
  <c r="J396" i="15" s="1"/>
  <c r="J459" i="15" s="1"/>
  <c r="J522" i="15" s="1"/>
  <c r="J585" i="15" s="1"/>
  <c r="J648" i="15" s="1"/>
  <c r="J711" i="15" s="1"/>
  <c r="J774" i="15" s="1"/>
  <c r="J837" i="15" s="1"/>
  <c r="J900" i="15" s="1"/>
  <c r="J963" i="15" s="1"/>
  <c r="J1026" i="15" s="1"/>
  <c r="J1089" i="15" s="1"/>
  <c r="J1152" i="15" s="1"/>
  <c r="J1215" i="15" s="1"/>
  <c r="J1278" i="15" s="1"/>
  <c r="J1341" i="15" s="1"/>
  <c r="J1404" i="15" s="1"/>
  <c r="J1467" i="15" s="1"/>
  <c r="J1530" i="15" s="1"/>
  <c r="J1593" i="15" s="1"/>
  <c r="J1656" i="15" s="1"/>
  <c r="J1719" i="15" s="1"/>
  <c r="J1782" i="15" s="1"/>
  <c r="J1845" i="15" s="1"/>
  <c r="J1908" i="15" s="1"/>
  <c r="I81" i="15"/>
  <c r="J80" i="15"/>
  <c r="J143" i="15" s="1"/>
  <c r="J206" i="15" s="1"/>
  <c r="J269" i="15" s="1"/>
  <c r="J332" i="15" s="1"/>
  <c r="J395" i="15" s="1"/>
  <c r="J458" i="15" s="1"/>
  <c r="J521" i="15" s="1"/>
  <c r="J584" i="15" s="1"/>
  <c r="J647" i="15" s="1"/>
  <c r="J710" i="15" s="1"/>
  <c r="J773" i="15" s="1"/>
  <c r="J836" i="15" s="1"/>
  <c r="J899" i="15" s="1"/>
  <c r="J962" i="15" s="1"/>
  <c r="J1025" i="15" s="1"/>
  <c r="J1088" i="15" s="1"/>
  <c r="J1151" i="15" s="1"/>
  <c r="J1214" i="15" s="1"/>
  <c r="J1277" i="15" s="1"/>
  <c r="J1340" i="15" s="1"/>
  <c r="J1403" i="15" s="1"/>
  <c r="J1466" i="15" s="1"/>
  <c r="J1529" i="15" s="1"/>
  <c r="J1592" i="15" s="1"/>
  <c r="J1655" i="15" s="1"/>
  <c r="J1718" i="15" s="1"/>
  <c r="J1781" i="15" s="1"/>
  <c r="J1844" i="15" s="1"/>
  <c r="J1907" i="15" s="1"/>
  <c r="I80" i="15"/>
  <c r="J79" i="15"/>
  <c r="J142" i="15" s="1"/>
  <c r="J205" i="15" s="1"/>
  <c r="J268" i="15" s="1"/>
  <c r="J331" i="15" s="1"/>
  <c r="J394" i="15" s="1"/>
  <c r="J457" i="15" s="1"/>
  <c r="J520" i="15" s="1"/>
  <c r="J583" i="15" s="1"/>
  <c r="J646" i="15" s="1"/>
  <c r="J709" i="15" s="1"/>
  <c r="J772" i="15" s="1"/>
  <c r="J835" i="15" s="1"/>
  <c r="J898" i="15" s="1"/>
  <c r="J961" i="15" s="1"/>
  <c r="J1024" i="15" s="1"/>
  <c r="J1087" i="15" s="1"/>
  <c r="J1150" i="15" s="1"/>
  <c r="J1213" i="15" s="1"/>
  <c r="J1276" i="15" s="1"/>
  <c r="J1339" i="15" s="1"/>
  <c r="J1402" i="15" s="1"/>
  <c r="J1465" i="15" s="1"/>
  <c r="J1528" i="15" s="1"/>
  <c r="J1591" i="15" s="1"/>
  <c r="J1654" i="15" s="1"/>
  <c r="J1717" i="15" s="1"/>
  <c r="J1780" i="15" s="1"/>
  <c r="J1843" i="15" s="1"/>
  <c r="J1906" i="15" s="1"/>
  <c r="I79" i="15"/>
  <c r="J78" i="15"/>
  <c r="J141" i="15" s="1"/>
  <c r="J204" i="15" s="1"/>
  <c r="J267" i="15" s="1"/>
  <c r="J330" i="15" s="1"/>
  <c r="J393" i="15" s="1"/>
  <c r="J456" i="15" s="1"/>
  <c r="J519" i="15" s="1"/>
  <c r="J582" i="15" s="1"/>
  <c r="J645" i="15" s="1"/>
  <c r="J708" i="15" s="1"/>
  <c r="J771" i="15" s="1"/>
  <c r="J834" i="15" s="1"/>
  <c r="J897" i="15" s="1"/>
  <c r="J960" i="15" s="1"/>
  <c r="J1023" i="15" s="1"/>
  <c r="J1086" i="15" s="1"/>
  <c r="J1149" i="15" s="1"/>
  <c r="J1212" i="15" s="1"/>
  <c r="J1275" i="15" s="1"/>
  <c r="J1338" i="15" s="1"/>
  <c r="J1401" i="15" s="1"/>
  <c r="J1464" i="15" s="1"/>
  <c r="J1527" i="15" s="1"/>
  <c r="J1590" i="15" s="1"/>
  <c r="J1653" i="15" s="1"/>
  <c r="J1716" i="15" s="1"/>
  <c r="J1779" i="15" s="1"/>
  <c r="J1842" i="15" s="1"/>
  <c r="J1905" i="15" s="1"/>
  <c r="I78" i="15"/>
  <c r="J77" i="15"/>
  <c r="J140" i="15" s="1"/>
  <c r="J203" i="15" s="1"/>
  <c r="J266" i="15" s="1"/>
  <c r="J329" i="15" s="1"/>
  <c r="J392" i="15" s="1"/>
  <c r="J455" i="15" s="1"/>
  <c r="J518" i="15" s="1"/>
  <c r="J581" i="15" s="1"/>
  <c r="J644" i="15" s="1"/>
  <c r="J707" i="15" s="1"/>
  <c r="J770" i="15" s="1"/>
  <c r="J833" i="15" s="1"/>
  <c r="J896" i="15" s="1"/>
  <c r="J959" i="15" s="1"/>
  <c r="J1022" i="15" s="1"/>
  <c r="J1085" i="15" s="1"/>
  <c r="J1148" i="15" s="1"/>
  <c r="J1211" i="15" s="1"/>
  <c r="J1274" i="15" s="1"/>
  <c r="J1337" i="15" s="1"/>
  <c r="J1400" i="15" s="1"/>
  <c r="J1463" i="15" s="1"/>
  <c r="J1526" i="15" s="1"/>
  <c r="J1589" i="15" s="1"/>
  <c r="J1652" i="15" s="1"/>
  <c r="J1715" i="15" s="1"/>
  <c r="J1778" i="15" s="1"/>
  <c r="J1841" i="15" s="1"/>
  <c r="J1904" i="15" s="1"/>
  <c r="I77" i="15"/>
  <c r="F77" i="15"/>
  <c r="F140" i="15" s="1"/>
  <c r="F203" i="15" s="1"/>
  <c r="F266" i="15" s="1"/>
  <c r="F329" i="15" s="1"/>
  <c r="F392" i="15" s="1"/>
  <c r="F455" i="15" s="1"/>
  <c r="F518" i="15" s="1"/>
  <c r="F581" i="15" s="1"/>
  <c r="F644" i="15" s="1"/>
  <c r="F707" i="15" s="1"/>
  <c r="F770" i="15" s="1"/>
  <c r="F833" i="15" s="1"/>
  <c r="F896" i="15" s="1"/>
  <c r="F959" i="15" s="1"/>
  <c r="F1022" i="15" s="1"/>
  <c r="F1085" i="15" s="1"/>
  <c r="F1148" i="15" s="1"/>
  <c r="F1211" i="15" s="1"/>
  <c r="F1274" i="15" s="1"/>
  <c r="F1337" i="15" s="1"/>
  <c r="F1400" i="15" s="1"/>
  <c r="F1463" i="15" s="1"/>
  <c r="F1526" i="15" s="1"/>
  <c r="F1589" i="15" s="1"/>
  <c r="F1652" i="15" s="1"/>
  <c r="F1715" i="15" s="1"/>
  <c r="F1778" i="15" s="1"/>
  <c r="F1841" i="15" s="1"/>
  <c r="F1904" i="15" s="1"/>
  <c r="J76" i="15"/>
  <c r="J139" i="15" s="1"/>
  <c r="J202" i="15" s="1"/>
  <c r="J265" i="15" s="1"/>
  <c r="J328" i="15" s="1"/>
  <c r="J391" i="15" s="1"/>
  <c r="J454" i="15" s="1"/>
  <c r="J517" i="15" s="1"/>
  <c r="J580" i="15" s="1"/>
  <c r="J643" i="15" s="1"/>
  <c r="J706" i="15" s="1"/>
  <c r="J769" i="15" s="1"/>
  <c r="J832" i="15" s="1"/>
  <c r="J895" i="15" s="1"/>
  <c r="J958" i="15" s="1"/>
  <c r="J1021" i="15" s="1"/>
  <c r="J1084" i="15" s="1"/>
  <c r="J1147" i="15" s="1"/>
  <c r="J1210" i="15" s="1"/>
  <c r="J1273" i="15" s="1"/>
  <c r="J1336" i="15" s="1"/>
  <c r="J1399" i="15" s="1"/>
  <c r="J1462" i="15" s="1"/>
  <c r="J1525" i="15" s="1"/>
  <c r="J1588" i="15" s="1"/>
  <c r="J1651" i="15" s="1"/>
  <c r="J1714" i="15" s="1"/>
  <c r="J1777" i="15" s="1"/>
  <c r="J1840" i="15" s="1"/>
  <c r="J1903" i="15" s="1"/>
  <c r="I76" i="15"/>
  <c r="J75" i="15"/>
  <c r="I75" i="15"/>
  <c r="J74" i="15"/>
  <c r="J137" i="15" s="1"/>
  <c r="J200" i="15" s="1"/>
  <c r="J263" i="15" s="1"/>
  <c r="J326" i="15" s="1"/>
  <c r="J389" i="15" s="1"/>
  <c r="J452" i="15" s="1"/>
  <c r="J515" i="15" s="1"/>
  <c r="J578" i="15" s="1"/>
  <c r="J641" i="15" s="1"/>
  <c r="J704" i="15" s="1"/>
  <c r="J767" i="15" s="1"/>
  <c r="J830" i="15" s="1"/>
  <c r="J893" i="15" s="1"/>
  <c r="J956" i="15" s="1"/>
  <c r="J1019" i="15" s="1"/>
  <c r="J1082" i="15" s="1"/>
  <c r="J1145" i="15" s="1"/>
  <c r="J1208" i="15" s="1"/>
  <c r="J1271" i="15" s="1"/>
  <c r="J1334" i="15" s="1"/>
  <c r="J1397" i="15" s="1"/>
  <c r="J1460" i="15" s="1"/>
  <c r="J1523" i="15" s="1"/>
  <c r="J1586" i="15" s="1"/>
  <c r="J1649" i="15" s="1"/>
  <c r="J1712" i="15" s="1"/>
  <c r="J1775" i="15" s="1"/>
  <c r="J1838" i="15" s="1"/>
  <c r="J1901" i="15" s="1"/>
  <c r="J73" i="15"/>
  <c r="J136" i="15" s="1"/>
  <c r="J199" i="15" s="1"/>
  <c r="J262" i="15" s="1"/>
  <c r="J325" i="15" s="1"/>
  <c r="J388" i="15" s="1"/>
  <c r="J451" i="15" s="1"/>
  <c r="J514" i="15" s="1"/>
  <c r="J577" i="15" s="1"/>
  <c r="J640" i="15" s="1"/>
  <c r="J703" i="15" s="1"/>
  <c r="J766" i="15" s="1"/>
  <c r="J829" i="15" s="1"/>
  <c r="J892" i="15" s="1"/>
  <c r="J955" i="15" s="1"/>
  <c r="J1018" i="15" s="1"/>
  <c r="J1081" i="15" s="1"/>
  <c r="J1144" i="15" s="1"/>
  <c r="J1207" i="15" s="1"/>
  <c r="J1270" i="15" s="1"/>
  <c r="J1333" i="15" s="1"/>
  <c r="J1396" i="15" s="1"/>
  <c r="J1459" i="15" s="1"/>
  <c r="J1522" i="15" s="1"/>
  <c r="J1585" i="15" s="1"/>
  <c r="J1648" i="15" s="1"/>
  <c r="J1711" i="15" s="1"/>
  <c r="J1774" i="15" s="1"/>
  <c r="J1837" i="15" s="1"/>
  <c r="J1900" i="15" s="1"/>
  <c r="J72" i="15"/>
  <c r="J135" i="15" s="1"/>
  <c r="J198" i="15" s="1"/>
  <c r="J261" i="15" s="1"/>
  <c r="J324" i="15" s="1"/>
  <c r="J387" i="15" s="1"/>
  <c r="J450" i="15" s="1"/>
  <c r="J513" i="15" s="1"/>
  <c r="J576" i="15" s="1"/>
  <c r="J639" i="15" s="1"/>
  <c r="J702" i="15" s="1"/>
  <c r="J765" i="15" s="1"/>
  <c r="J828" i="15" s="1"/>
  <c r="J71" i="15"/>
  <c r="J134" i="15" s="1"/>
  <c r="J197" i="15" s="1"/>
  <c r="J260" i="15" s="1"/>
  <c r="J323" i="15" s="1"/>
  <c r="J386" i="15" s="1"/>
  <c r="J449" i="15" s="1"/>
  <c r="J512" i="15" s="1"/>
  <c r="J575" i="15" s="1"/>
  <c r="J638" i="15" s="1"/>
  <c r="J701" i="15" s="1"/>
  <c r="J764" i="15" s="1"/>
  <c r="J827" i="15" s="1"/>
  <c r="J890" i="15" s="1"/>
  <c r="J953" i="15" s="1"/>
  <c r="J1016" i="15" s="1"/>
  <c r="J1079" i="15" s="1"/>
  <c r="J1142" i="15" s="1"/>
  <c r="J1205" i="15" s="1"/>
  <c r="J1268" i="15" s="1"/>
  <c r="J1331" i="15" s="1"/>
  <c r="J1394" i="15" s="1"/>
  <c r="J1457" i="15" s="1"/>
  <c r="J1520" i="15" s="1"/>
  <c r="J1583" i="15" s="1"/>
  <c r="J1646" i="15" s="1"/>
  <c r="J1709" i="15" s="1"/>
  <c r="J1772" i="15" s="1"/>
  <c r="J1835" i="15" s="1"/>
  <c r="J1898" i="15" s="1"/>
  <c r="J70" i="15"/>
  <c r="J133" i="15" s="1"/>
  <c r="J196" i="15" s="1"/>
  <c r="J259" i="15" s="1"/>
  <c r="J322" i="15" s="1"/>
  <c r="J385" i="15" s="1"/>
  <c r="J448" i="15" s="1"/>
  <c r="J511" i="15" s="1"/>
  <c r="J574" i="15" s="1"/>
  <c r="J637" i="15" s="1"/>
  <c r="J700" i="15" s="1"/>
  <c r="J763" i="15" s="1"/>
  <c r="J826" i="15" s="1"/>
  <c r="J889" i="15" s="1"/>
  <c r="J952" i="15" s="1"/>
  <c r="J1015" i="15" s="1"/>
  <c r="J1078" i="15" s="1"/>
  <c r="J1141" i="15" s="1"/>
  <c r="J1204" i="15" s="1"/>
  <c r="J1267" i="15" s="1"/>
  <c r="J1330" i="15" s="1"/>
  <c r="J1393" i="15" s="1"/>
  <c r="J1456" i="15" s="1"/>
  <c r="J1519" i="15" s="1"/>
  <c r="J1582" i="15" s="1"/>
  <c r="J1645" i="15" s="1"/>
  <c r="J1708" i="15" s="1"/>
  <c r="J1771" i="15" s="1"/>
  <c r="J1834" i="15" s="1"/>
  <c r="J1897" i="15" s="1"/>
  <c r="E70" i="15"/>
  <c r="J69" i="15"/>
  <c r="J132" i="15" s="1"/>
  <c r="J195" i="15" s="1"/>
  <c r="J258" i="15" s="1"/>
  <c r="J321" i="15" s="1"/>
  <c r="J384" i="15" s="1"/>
  <c r="J447" i="15" s="1"/>
  <c r="J510" i="15" s="1"/>
  <c r="J573" i="15" s="1"/>
  <c r="J636" i="15" s="1"/>
  <c r="J699" i="15" s="1"/>
  <c r="J762" i="15" s="1"/>
  <c r="J825" i="15" s="1"/>
  <c r="J888" i="15" s="1"/>
  <c r="J951" i="15" s="1"/>
  <c r="J1014" i="15" s="1"/>
  <c r="J1077" i="15" s="1"/>
  <c r="J1140" i="15" s="1"/>
  <c r="J1203" i="15" s="1"/>
  <c r="J1266" i="15" s="1"/>
  <c r="J1329" i="15" s="1"/>
  <c r="J1392" i="15" s="1"/>
  <c r="J1455" i="15" s="1"/>
  <c r="J1518" i="15" s="1"/>
  <c r="J1581" i="15" s="1"/>
  <c r="J1644" i="15" s="1"/>
  <c r="J1707" i="15" s="1"/>
  <c r="J1770" i="15" s="1"/>
  <c r="J1833" i="15" s="1"/>
  <c r="J1896" i="15" s="1"/>
  <c r="J68" i="15"/>
  <c r="J131" i="15" s="1"/>
  <c r="J194" i="15" s="1"/>
  <c r="J257" i="15" s="1"/>
  <c r="J320" i="15" s="1"/>
  <c r="J383" i="15" s="1"/>
  <c r="J446" i="15" s="1"/>
  <c r="J509" i="15" s="1"/>
  <c r="J572" i="15" s="1"/>
  <c r="J635" i="15" s="1"/>
  <c r="J698" i="15" s="1"/>
  <c r="J761" i="15" s="1"/>
  <c r="J824" i="15" s="1"/>
  <c r="J887" i="15" s="1"/>
  <c r="J950" i="15" s="1"/>
  <c r="J1013" i="15" s="1"/>
  <c r="J1076" i="15" s="1"/>
  <c r="J1139" i="15" s="1"/>
  <c r="J1202" i="15" s="1"/>
  <c r="J1265" i="15" s="1"/>
  <c r="J1328" i="15" s="1"/>
  <c r="J1391" i="15" s="1"/>
  <c r="J1454" i="15" s="1"/>
  <c r="J1517" i="15" s="1"/>
  <c r="J1580" i="15" s="1"/>
  <c r="J1643" i="15" s="1"/>
  <c r="J1706" i="15" s="1"/>
  <c r="J1769" i="15" s="1"/>
  <c r="J1832" i="15" s="1"/>
  <c r="J1895" i="15" s="1"/>
  <c r="J67" i="15"/>
  <c r="J130" i="15" s="1"/>
  <c r="J193" i="15" s="1"/>
  <c r="J256" i="15" s="1"/>
  <c r="J319" i="15" s="1"/>
  <c r="J382" i="15" s="1"/>
  <c r="J445" i="15" s="1"/>
  <c r="J508" i="15" s="1"/>
  <c r="J571" i="15" s="1"/>
  <c r="J634" i="15" s="1"/>
  <c r="J697" i="15" s="1"/>
  <c r="J760" i="15" s="1"/>
  <c r="J823" i="15" s="1"/>
  <c r="J886" i="15" s="1"/>
  <c r="J949" i="15" s="1"/>
  <c r="J1012" i="15" s="1"/>
  <c r="J1075" i="15" s="1"/>
  <c r="J1138" i="15" s="1"/>
  <c r="J1201" i="15" s="1"/>
  <c r="J1264" i="15" s="1"/>
  <c r="J1327" i="15" s="1"/>
  <c r="J1390" i="15" s="1"/>
  <c r="J1453" i="15" s="1"/>
  <c r="J1516" i="15" s="1"/>
  <c r="J1579" i="15" s="1"/>
  <c r="J1642" i="15" s="1"/>
  <c r="J1705" i="15" s="1"/>
  <c r="J1768" i="15" s="1"/>
  <c r="J1831" i="15" s="1"/>
  <c r="J1894" i="15" s="1"/>
  <c r="J66" i="15"/>
  <c r="J129" i="15" s="1"/>
  <c r="J192" i="15" s="1"/>
  <c r="J255" i="15" s="1"/>
  <c r="J318" i="15" s="1"/>
  <c r="J381" i="15" s="1"/>
  <c r="J444" i="15" s="1"/>
  <c r="J507" i="15" s="1"/>
  <c r="J570" i="15" s="1"/>
  <c r="J633" i="15" s="1"/>
  <c r="J696" i="15" s="1"/>
  <c r="J759" i="15" s="1"/>
  <c r="J822" i="15" s="1"/>
  <c r="J885" i="15" s="1"/>
  <c r="J948" i="15" s="1"/>
  <c r="J1011" i="15" s="1"/>
  <c r="J1074" i="15" s="1"/>
  <c r="J1137" i="15" s="1"/>
  <c r="J1200" i="15" s="1"/>
  <c r="J1263" i="15" s="1"/>
  <c r="J1326" i="15" s="1"/>
  <c r="J1389" i="15" s="1"/>
  <c r="J1452" i="15" s="1"/>
  <c r="J1515" i="15" s="1"/>
  <c r="J1578" i="15" s="1"/>
  <c r="J1641" i="15" s="1"/>
  <c r="J1704" i="15" s="1"/>
  <c r="J1767" i="15" s="1"/>
  <c r="J1830" i="15" s="1"/>
  <c r="J1893" i="15" s="1"/>
  <c r="E66" i="15"/>
  <c r="E129" i="15" s="1"/>
  <c r="E192" i="15" s="1"/>
  <c r="E255" i="15" s="1"/>
  <c r="E318" i="15" s="1"/>
  <c r="E381" i="15" s="1"/>
  <c r="E444" i="15" s="1"/>
  <c r="E507" i="15" s="1"/>
  <c r="E570" i="15" s="1"/>
  <c r="E633" i="15" s="1"/>
  <c r="E696" i="15" s="1"/>
  <c r="E759" i="15" s="1"/>
  <c r="E822" i="15" s="1"/>
  <c r="E885" i="15" s="1"/>
  <c r="E948" i="15" s="1"/>
  <c r="E1011" i="15" s="1"/>
  <c r="E1074" i="15" s="1"/>
  <c r="E1137" i="15" s="1"/>
  <c r="E1200" i="15" s="1"/>
  <c r="E1263" i="15" s="1"/>
  <c r="E1326" i="15" s="1"/>
  <c r="E1389" i="15" s="1"/>
  <c r="E1452" i="15" s="1"/>
  <c r="E1515" i="15" s="1"/>
  <c r="E1578" i="15" s="1"/>
  <c r="E1641" i="15" s="1"/>
  <c r="E1704" i="15" s="1"/>
  <c r="E1767" i="15" s="1"/>
  <c r="E1830" i="15" s="1"/>
  <c r="E1893" i="15" s="1"/>
  <c r="J65" i="15"/>
  <c r="B65" i="15"/>
  <c r="B128" i="15" s="1"/>
  <c r="J64" i="15"/>
  <c r="J127" i="15" s="1"/>
  <c r="J190" i="15" s="1"/>
  <c r="J253" i="15" s="1"/>
  <c r="J316" i="15" s="1"/>
  <c r="J379" i="15" s="1"/>
  <c r="J442" i="15" s="1"/>
  <c r="J505" i="15" s="1"/>
  <c r="J568" i="15" s="1"/>
  <c r="J631" i="15" s="1"/>
  <c r="J694" i="15" s="1"/>
  <c r="J757" i="15" s="1"/>
  <c r="J820" i="15" s="1"/>
  <c r="J883" i="15" s="1"/>
  <c r="J946" i="15" s="1"/>
  <c r="J1009" i="15" s="1"/>
  <c r="J1072" i="15" s="1"/>
  <c r="J1135" i="15" s="1"/>
  <c r="J1198" i="15" s="1"/>
  <c r="J1261" i="15" s="1"/>
  <c r="J1324" i="15" s="1"/>
  <c r="J1387" i="15" s="1"/>
  <c r="J1450" i="15" s="1"/>
  <c r="J1513" i="15" s="1"/>
  <c r="J1576" i="15" s="1"/>
  <c r="J1639" i="15" s="1"/>
  <c r="J1702" i="15" s="1"/>
  <c r="J1765" i="15" s="1"/>
  <c r="J1828" i="15" s="1"/>
  <c r="J1891" i="15" s="1"/>
  <c r="C56" i="15"/>
  <c r="C119" i="15" s="1"/>
  <c r="C182" i="15" s="1"/>
  <c r="C245" i="15" s="1"/>
  <c r="C308" i="15" s="1"/>
  <c r="C371" i="15" s="1"/>
  <c r="C434" i="15" s="1"/>
  <c r="C497" i="15" s="1"/>
  <c r="C560" i="15" s="1"/>
  <c r="C623" i="15" s="1"/>
  <c r="C686" i="15" s="1"/>
  <c r="C749" i="15" s="1"/>
  <c r="C812" i="15" s="1"/>
  <c r="C875" i="15" s="1"/>
  <c r="C938" i="15" s="1"/>
  <c r="C1001" i="15" s="1"/>
  <c r="C1064" i="15" s="1"/>
  <c r="C1127" i="15" s="1"/>
  <c r="C1190" i="15" s="1"/>
  <c r="C1253" i="15" s="1"/>
  <c r="C1316" i="15" s="1"/>
  <c r="C1379" i="15" s="1"/>
  <c r="C1442" i="15" s="1"/>
  <c r="C1505" i="15" s="1"/>
  <c r="C1568" i="15" s="1"/>
  <c r="C1631" i="15" s="1"/>
  <c r="C1694" i="15" s="1"/>
  <c r="C1757" i="15" s="1"/>
  <c r="C1820" i="15" s="1"/>
  <c r="C1883" i="15" s="1"/>
  <c r="C1946" i="15" s="1"/>
  <c r="C55" i="15"/>
  <c r="C118" i="15" s="1"/>
  <c r="C181" i="15" s="1"/>
  <c r="C244" i="15" s="1"/>
  <c r="C307" i="15" s="1"/>
  <c r="C370" i="15" s="1"/>
  <c r="C433" i="15" s="1"/>
  <c r="C496" i="15" s="1"/>
  <c r="C559" i="15" s="1"/>
  <c r="C622" i="15" s="1"/>
  <c r="C685" i="15" s="1"/>
  <c r="C748" i="15" s="1"/>
  <c r="C811" i="15" s="1"/>
  <c r="C874" i="15" s="1"/>
  <c r="C937" i="15" s="1"/>
  <c r="C1000" i="15" s="1"/>
  <c r="C1063" i="15" s="1"/>
  <c r="C1126" i="15" s="1"/>
  <c r="C1189" i="15" s="1"/>
  <c r="C1252" i="15" s="1"/>
  <c r="C1315" i="15" s="1"/>
  <c r="C1378" i="15" s="1"/>
  <c r="C1441" i="15" s="1"/>
  <c r="C1504" i="15" s="1"/>
  <c r="C1567" i="15" s="1"/>
  <c r="C1630" i="15" s="1"/>
  <c r="C1693" i="15" s="1"/>
  <c r="C1756" i="15" s="1"/>
  <c r="C1819" i="15" s="1"/>
  <c r="C1882" i="15" s="1"/>
  <c r="C1945" i="15" s="1"/>
  <c r="I45" i="15"/>
  <c r="E45" i="15"/>
  <c r="F45" i="15" s="1"/>
  <c r="F108" i="15" s="1"/>
  <c r="F171" i="15" s="1"/>
  <c r="F234" i="15" s="1"/>
  <c r="F297" i="15" s="1"/>
  <c r="F360" i="15" s="1"/>
  <c r="F423" i="15" s="1"/>
  <c r="F486" i="15" s="1"/>
  <c r="F549" i="15" s="1"/>
  <c r="F612" i="15" s="1"/>
  <c r="F675" i="15" s="1"/>
  <c r="F738" i="15" s="1"/>
  <c r="F801" i="15" s="1"/>
  <c r="I44" i="15"/>
  <c r="F44" i="15"/>
  <c r="E44" i="15"/>
  <c r="I43" i="15"/>
  <c r="F43" i="15"/>
  <c r="F106" i="15" s="1"/>
  <c r="F169" i="15" s="1"/>
  <c r="F232" i="15" s="1"/>
  <c r="F295" i="15" s="1"/>
  <c r="F358" i="15" s="1"/>
  <c r="F421" i="15" s="1"/>
  <c r="F484" i="15" s="1"/>
  <c r="F547" i="15" s="1"/>
  <c r="F610" i="15" s="1"/>
  <c r="F673" i="15" s="1"/>
  <c r="F736" i="15" s="1"/>
  <c r="F799" i="15" s="1"/>
  <c r="E43" i="15"/>
  <c r="E42" i="15"/>
  <c r="I42" i="15" s="1"/>
  <c r="F41" i="15"/>
  <c r="F104" i="15" s="1"/>
  <c r="F167" i="15" s="1"/>
  <c r="F230" i="15" s="1"/>
  <c r="F293" i="15" s="1"/>
  <c r="F356" i="15" s="1"/>
  <c r="F419" i="15" s="1"/>
  <c r="F482" i="15" s="1"/>
  <c r="F545" i="15" s="1"/>
  <c r="F608" i="15" s="1"/>
  <c r="F671" i="15" s="1"/>
  <c r="F734" i="15" s="1"/>
  <c r="F797" i="15" s="1"/>
  <c r="E41" i="15"/>
  <c r="I41" i="15" s="1"/>
  <c r="I40" i="15"/>
  <c r="F40" i="15"/>
  <c r="F103" i="15" s="1"/>
  <c r="F166" i="15" s="1"/>
  <c r="F229" i="15" s="1"/>
  <c r="F292" i="15" s="1"/>
  <c r="F355" i="15" s="1"/>
  <c r="F418" i="15" s="1"/>
  <c r="F481" i="15" s="1"/>
  <c r="F544" i="15" s="1"/>
  <c r="F607" i="15" s="1"/>
  <c r="F670" i="15" s="1"/>
  <c r="F733" i="15" s="1"/>
  <c r="F796" i="15" s="1"/>
  <c r="F859" i="15" s="1"/>
  <c r="F922" i="15" s="1"/>
  <c r="F985" i="15" s="1"/>
  <c r="F1048" i="15" s="1"/>
  <c r="F1111" i="15" s="1"/>
  <c r="F1174" i="15" s="1"/>
  <c r="F1237" i="15" s="1"/>
  <c r="F1300" i="15" s="1"/>
  <c r="F1363" i="15" s="1"/>
  <c r="F1426" i="15" s="1"/>
  <c r="F1489" i="15" s="1"/>
  <c r="F1552" i="15" s="1"/>
  <c r="F1615" i="15" s="1"/>
  <c r="F1678" i="15" s="1"/>
  <c r="F1741" i="15" s="1"/>
  <c r="F1804" i="15" s="1"/>
  <c r="F1867" i="15" s="1"/>
  <c r="F1930" i="15" s="1"/>
  <c r="I39" i="15"/>
  <c r="F39" i="15"/>
  <c r="F102" i="15" s="1"/>
  <c r="F165" i="15" s="1"/>
  <c r="F228" i="15" s="1"/>
  <c r="F291" i="15" s="1"/>
  <c r="F354" i="15" s="1"/>
  <c r="F417" i="15" s="1"/>
  <c r="F480" i="15" s="1"/>
  <c r="F543" i="15" s="1"/>
  <c r="F606" i="15" s="1"/>
  <c r="F669" i="15" s="1"/>
  <c r="F732" i="15" s="1"/>
  <c r="F795" i="15" s="1"/>
  <c r="F858" i="15" s="1"/>
  <c r="F921" i="15" s="1"/>
  <c r="F984" i="15" s="1"/>
  <c r="I38" i="15"/>
  <c r="F38" i="15"/>
  <c r="I37" i="15"/>
  <c r="F37" i="15"/>
  <c r="F100" i="15" s="1"/>
  <c r="F163" i="15" s="1"/>
  <c r="F226" i="15" s="1"/>
  <c r="F289" i="15" s="1"/>
  <c r="F352" i="15" s="1"/>
  <c r="F415" i="15" s="1"/>
  <c r="F478" i="15" s="1"/>
  <c r="F541" i="15" s="1"/>
  <c r="F604" i="15" s="1"/>
  <c r="F667" i="15" s="1"/>
  <c r="F730" i="15" s="1"/>
  <c r="F793" i="15" s="1"/>
  <c r="F856" i="15" s="1"/>
  <c r="F919" i="15" s="1"/>
  <c r="F982" i="15" s="1"/>
  <c r="F1045" i="15" s="1"/>
  <c r="F1108" i="15" s="1"/>
  <c r="F1171" i="15" s="1"/>
  <c r="F1234" i="15" s="1"/>
  <c r="F1297" i="15" s="1"/>
  <c r="F1360" i="15" s="1"/>
  <c r="F1423" i="15" s="1"/>
  <c r="F1486" i="15" s="1"/>
  <c r="F1549" i="15" s="1"/>
  <c r="F1612" i="15" s="1"/>
  <c r="F1675" i="15" s="1"/>
  <c r="F1738" i="15" s="1"/>
  <c r="F1801" i="15" s="1"/>
  <c r="F1864" i="15" s="1"/>
  <c r="F1927" i="15" s="1"/>
  <c r="I36" i="15"/>
  <c r="F36" i="15"/>
  <c r="F99" i="15" s="1"/>
  <c r="F162" i="15" s="1"/>
  <c r="F225" i="15" s="1"/>
  <c r="F288" i="15" s="1"/>
  <c r="F351" i="15" s="1"/>
  <c r="F414" i="15" s="1"/>
  <c r="F477" i="15" s="1"/>
  <c r="F540" i="15" s="1"/>
  <c r="F603" i="15" s="1"/>
  <c r="F666" i="15" s="1"/>
  <c r="F729" i="15" s="1"/>
  <c r="F792" i="15" s="1"/>
  <c r="F855" i="15" s="1"/>
  <c r="F918" i="15" s="1"/>
  <c r="F981" i="15" s="1"/>
  <c r="F1044" i="15" s="1"/>
  <c r="F1107" i="15" s="1"/>
  <c r="F1170" i="15" s="1"/>
  <c r="F1233" i="15" s="1"/>
  <c r="F1296" i="15" s="1"/>
  <c r="F1359" i="15" s="1"/>
  <c r="F1422" i="15" s="1"/>
  <c r="F1485" i="15" s="1"/>
  <c r="F1548" i="15" s="1"/>
  <c r="F1611" i="15" s="1"/>
  <c r="F1674" i="15" s="1"/>
  <c r="F1737" i="15" s="1"/>
  <c r="F1800" i="15" s="1"/>
  <c r="F1863" i="15" s="1"/>
  <c r="F1926" i="15" s="1"/>
  <c r="I35" i="15"/>
  <c r="F35" i="15"/>
  <c r="F98" i="15" s="1"/>
  <c r="F161" i="15" s="1"/>
  <c r="F224" i="15" s="1"/>
  <c r="F287" i="15" s="1"/>
  <c r="F350" i="15" s="1"/>
  <c r="F413" i="15" s="1"/>
  <c r="F476" i="15" s="1"/>
  <c r="F539" i="15" s="1"/>
  <c r="F602" i="15" s="1"/>
  <c r="F665" i="15" s="1"/>
  <c r="F728" i="15" s="1"/>
  <c r="F791" i="15" s="1"/>
  <c r="F854" i="15" s="1"/>
  <c r="F917" i="15" s="1"/>
  <c r="F980" i="15" s="1"/>
  <c r="F1043" i="15" s="1"/>
  <c r="F1106" i="15" s="1"/>
  <c r="F1169" i="15" s="1"/>
  <c r="F1232" i="15" s="1"/>
  <c r="F1295" i="15" s="1"/>
  <c r="F1358" i="15" s="1"/>
  <c r="F1421" i="15" s="1"/>
  <c r="F1484" i="15" s="1"/>
  <c r="F1547" i="15" s="1"/>
  <c r="F1610" i="15" s="1"/>
  <c r="F1673" i="15" s="1"/>
  <c r="F1736" i="15" s="1"/>
  <c r="F1799" i="15" s="1"/>
  <c r="F1862" i="15" s="1"/>
  <c r="F1925" i="15" s="1"/>
  <c r="I34" i="15"/>
  <c r="F34" i="15"/>
  <c r="F97" i="15" s="1"/>
  <c r="F160" i="15" s="1"/>
  <c r="F223" i="15" s="1"/>
  <c r="F286" i="15" s="1"/>
  <c r="F349" i="15" s="1"/>
  <c r="F412" i="15" s="1"/>
  <c r="F475" i="15" s="1"/>
  <c r="F538" i="15" s="1"/>
  <c r="F601" i="15" s="1"/>
  <c r="F664" i="15" s="1"/>
  <c r="F727" i="15" s="1"/>
  <c r="F790" i="15" s="1"/>
  <c r="F853" i="15" s="1"/>
  <c r="F916" i="15" s="1"/>
  <c r="F979" i="15" s="1"/>
  <c r="F1042" i="15" s="1"/>
  <c r="F1105" i="15" s="1"/>
  <c r="F1168" i="15" s="1"/>
  <c r="F1231" i="15" s="1"/>
  <c r="F1294" i="15" s="1"/>
  <c r="F1357" i="15" s="1"/>
  <c r="F1420" i="15" s="1"/>
  <c r="F1483" i="15" s="1"/>
  <c r="F1546" i="15" s="1"/>
  <c r="F1609" i="15" s="1"/>
  <c r="F1672" i="15" s="1"/>
  <c r="F1735" i="15" s="1"/>
  <c r="F1798" i="15" s="1"/>
  <c r="F1861" i="15" s="1"/>
  <c r="F1924" i="15" s="1"/>
  <c r="I33" i="15"/>
  <c r="F33" i="15"/>
  <c r="F96" i="15" s="1"/>
  <c r="F159" i="15" s="1"/>
  <c r="F222" i="15" s="1"/>
  <c r="F285" i="15" s="1"/>
  <c r="F348" i="15" s="1"/>
  <c r="F411" i="15" s="1"/>
  <c r="F474" i="15" s="1"/>
  <c r="F537" i="15" s="1"/>
  <c r="F600" i="15" s="1"/>
  <c r="F663" i="15" s="1"/>
  <c r="F726" i="15" s="1"/>
  <c r="F789" i="15" s="1"/>
  <c r="F852" i="15" s="1"/>
  <c r="F915" i="15" s="1"/>
  <c r="F978" i="15" s="1"/>
  <c r="F1041" i="15" s="1"/>
  <c r="F1104" i="15" s="1"/>
  <c r="F1167" i="15" s="1"/>
  <c r="F1230" i="15" s="1"/>
  <c r="F1293" i="15" s="1"/>
  <c r="F1356" i="15" s="1"/>
  <c r="F1419" i="15" s="1"/>
  <c r="F1482" i="15" s="1"/>
  <c r="F1545" i="15" s="1"/>
  <c r="F1608" i="15" s="1"/>
  <c r="F1671" i="15" s="1"/>
  <c r="F1734" i="15" s="1"/>
  <c r="F1797" i="15" s="1"/>
  <c r="F1860" i="15" s="1"/>
  <c r="F1923" i="15" s="1"/>
  <c r="I32" i="15"/>
  <c r="F32" i="15"/>
  <c r="F95" i="15" s="1"/>
  <c r="F158" i="15" s="1"/>
  <c r="F221" i="15" s="1"/>
  <c r="F284" i="15" s="1"/>
  <c r="F347" i="15" s="1"/>
  <c r="F410" i="15" s="1"/>
  <c r="F473" i="15" s="1"/>
  <c r="F536" i="15" s="1"/>
  <c r="F599" i="15" s="1"/>
  <c r="F662" i="15" s="1"/>
  <c r="F725" i="15" s="1"/>
  <c r="F788" i="15" s="1"/>
  <c r="F851" i="15" s="1"/>
  <c r="F914" i="15" s="1"/>
  <c r="F977" i="15" s="1"/>
  <c r="F1040" i="15" s="1"/>
  <c r="F1103" i="15" s="1"/>
  <c r="F1166" i="15" s="1"/>
  <c r="F1229" i="15" s="1"/>
  <c r="F1292" i="15" s="1"/>
  <c r="F1355" i="15" s="1"/>
  <c r="F1418" i="15" s="1"/>
  <c r="F1481" i="15" s="1"/>
  <c r="F1544" i="15" s="1"/>
  <c r="F1607" i="15" s="1"/>
  <c r="F1670" i="15" s="1"/>
  <c r="F1733" i="15" s="1"/>
  <c r="F1796" i="15" s="1"/>
  <c r="F1859" i="15" s="1"/>
  <c r="F1922" i="15" s="1"/>
  <c r="I31" i="15"/>
  <c r="F31" i="15"/>
  <c r="F94" i="15" s="1"/>
  <c r="F157" i="15" s="1"/>
  <c r="F220" i="15" s="1"/>
  <c r="F283" i="15" s="1"/>
  <c r="F346" i="15" s="1"/>
  <c r="F409" i="15" s="1"/>
  <c r="F472" i="15" s="1"/>
  <c r="F535" i="15" s="1"/>
  <c r="F598" i="15" s="1"/>
  <c r="F661" i="15" s="1"/>
  <c r="F724" i="15" s="1"/>
  <c r="F787" i="15" s="1"/>
  <c r="F850" i="15" s="1"/>
  <c r="F913" i="15" s="1"/>
  <c r="F976" i="15" s="1"/>
  <c r="F1039" i="15" s="1"/>
  <c r="F1102" i="15" s="1"/>
  <c r="F1165" i="15" s="1"/>
  <c r="F1228" i="15" s="1"/>
  <c r="F1291" i="15" s="1"/>
  <c r="F1354" i="15" s="1"/>
  <c r="F1417" i="15" s="1"/>
  <c r="F1480" i="15" s="1"/>
  <c r="F1543" i="15" s="1"/>
  <c r="F1606" i="15" s="1"/>
  <c r="F1669" i="15" s="1"/>
  <c r="F1732" i="15" s="1"/>
  <c r="F1795" i="15" s="1"/>
  <c r="F1858" i="15" s="1"/>
  <c r="F1921" i="15" s="1"/>
  <c r="I30" i="15"/>
  <c r="F30" i="15"/>
  <c r="I29" i="15"/>
  <c r="F29" i="15"/>
  <c r="F92" i="15" s="1"/>
  <c r="F155" i="15" s="1"/>
  <c r="F218" i="15" s="1"/>
  <c r="F281" i="15" s="1"/>
  <c r="F344" i="15" s="1"/>
  <c r="F407" i="15" s="1"/>
  <c r="F470" i="15" s="1"/>
  <c r="F533" i="15" s="1"/>
  <c r="F596" i="15" s="1"/>
  <c r="F659" i="15" s="1"/>
  <c r="F722" i="15" s="1"/>
  <c r="F785" i="15" s="1"/>
  <c r="F848" i="15" s="1"/>
  <c r="F911" i="15" s="1"/>
  <c r="F974" i="15" s="1"/>
  <c r="F1037" i="15" s="1"/>
  <c r="F1100" i="15" s="1"/>
  <c r="F1163" i="15" s="1"/>
  <c r="F1226" i="15" s="1"/>
  <c r="F1289" i="15" s="1"/>
  <c r="F1352" i="15" s="1"/>
  <c r="F1415" i="15" s="1"/>
  <c r="F1478" i="15" s="1"/>
  <c r="F1541" i="15" s="1"/>
  <c r="F1604" i="15" s="1"/>
  <c r="F1667" i="15" s="1"/>
  <c r="F1730" i="15" s="1"/>
  <c r="F1793" i="15" s="1"/>
  <c r="F1856" i="15" s="1"/>
  <c r="F1919" i="15" s="1"/>
  <c r="I28" i="15"/>
  <c r="F28" i="15"/>
  <c r="F91" i="15" s="1"/>
  <c r="F154" i="15" s="1"/>
  <c r="F217" i="15" s="1"/>
  <c r="F280" i="15" s="1"/>
  <c r="F343" i="15" s="1"/>
  <c r="F406" i="15" s="1"/>
  <c r="F469" i="15" s="1"/>
  <c r="F532" i="15" s="1"/>
  <c r="F595" i="15" s="1"/>
  <c r="F658" i="15" s="1"/>
  <c r="F721" i="15" s="1"/>
  <c r="F784" i="15" s="1"/>
  <c r="F847" i="15" s="1"/>
  <c r="F910" i="15" s="1"/>
  <c r="F973" i="15" s="1"/>
  <c r="F1036" i="15" s="1"/>
  <c r="F1099" i="15" s="1"/>
  <c r="F1162" i="15" s="1"/>
  <c r="F1225" i="15" s="1"/>
  <c r="F1288" i="15" s="1"/>
  <c r="F1351" i="15" s="1"/>
  <c r="F1414" i="15" s="1"/>
  <c r="F1477" i="15" s="1"/>
  <c r="F1540" i="15" s="1"/>
  <c r="F1603" i="15" s="1"/>
  <c r="F1666" i="15" s="1"/>
  <c r="F1729" i="15" s="1"/>
  <c r="F1792" i="15" s="1"/>
  <c r="F1855" i="15" s="1"/>
  <c r="F1918" i="15" s="1"/>
  <c r="I27" i="15"/>
  <c r="F27" i="15"/>
  <c r="F90" i="15" s="1"/>
  <c r="F153" i="15" s="1"/>
  <c r="F216" i="15" s="1"/>
  <c r="F279" i="15" s="1"/>
  <c r="F342" i="15" s="1"/>
  <c r="F405" i="15" s="1"/>
  <c r="F468" i="15" s="1"/>
  <c r="F531" i="15" s="1"/>
  <c r="F594" i="15" s="1"/>
  <c r="F657" i="15" s="1"/>
  <c r="F720" i="15" s="1"/>
  <c r="F783" i="15" s="1"/>
  <c r="F846" i="15" s="1"/>
  <c r="F909" i="15" s="1"/>
  <c r="F972" i="15" s="1"/>
  <c r="F1035" i="15" s="1"/>
  <c r="F1098" i="15" s="1"/>
  <c r="F1161" i="15" s="1"/>
  <c r="F1224" i="15" s="1"/>
  <c r="F1287" i="15" s="1"/>
  <c r="F1350" i="15" s="1"/>
  <c r="F1413" i="15" s="1"/>
  <c r="F1476" i="15" s="1"/>
  <c r="F1539" i="15" s="1"/>
  <c r="F1602" i="15" s="1"/>
  <c r="F1665" i="15" s="1"/>
  <c r="F1728" i="15" s="1"/>
  <c r="F1791" i="15" s="1"/>
  <c r="F1854" i="15" s="1"/>
  <c r="F1917" i="15" s="1"/>
  <c r="I26" i="15"/>
  <c r="F26" i="15"/>
  <c r="F89" i="15" s="1"/>
  <c r="F152" i="15" s="1"/>
  <c r="F215" i="15" s="1"/>
  <c r="F278" i="15" s="1"/>
  <c r="F341" i="15" s="1"/>
  <c r="F404" i="15" s="1"/>
  <c r="F467" i="15" s="1"/>
  <c r="F530" i="15" s="1"/>
  <c r="F593" i="15" s="1"/>
  <c r="F656" i="15" s="1"/>
  <c r="F719" i="15" s="1"/>
  <c r="F782" i="15" s="1"/>
  <c r="F845" i="15" s="1"/>
  <c r="F908" i="15" s="1"/>
  <c r="F971" i="15" s="1"/>
  <c r="F1034" i="15" s="1"/>
  <c r="F1097" i="15" s="1"/>
  <c r="F1160" i="15" s="1"/>
  <c r="F1223" i="15" s="1"/>
  <c r="F1286" i="15" s="1"/>
  <c r="F1349" i="15" s="1"/>
  <c r="F1412" i="15" s="1"/>
  <c r="F1475" i="15" s="1"/>
  <c r="F1538" i="15" s="1"/>
  <c r="F1601" i="15" s="1"/>
  <c r="F1664" i="15" s="1"/>
  <c r="F1727" i="15" s="1"/>
  <c r="F1790" i="15" s="1"/>
  <c r="F1853" i="15" s="1"/>
  <c r="F1916" i="15" s="1"/>
  <c r="I25" i="15"/>
  <c r="F25" i="15"/>
  <c r="F88" i="15" s="1"/>
  <c r="F151" i="15" s="1"/>
  <c r="F214" i="15" s="1"/>
  <c r="F277" i="15" s="1"/>
  <c r="F340" i="15" s="1"/>
  <c r="F403" i="15" s="1"/>
  <c r="F466" i="15" s="1"/>
  <c r="F529" i="15" s="1"/>
  <c r="F592" i="15" s="1"/>
  <c r="F655" i="15" s="1"/>
  <c r="F718" i="15" s="1"/>
  <c r="F781" i="15" s="1"/>
  <c r="F844" i="15" s="1"/>
  <c r="F907" i="15" s="1"/>
  <c r="F970" i="15" s="1"/>
  <c r="F1033" i="15" s="1"/>
  <c r="F1096" i="15" s="1"/>
  <c r="F1159" i="15" s="1"/>
  <c r="F1222" i="15" s="1"/>
  <c r="F1285" i="15" s="1"/>
  <c r="F1348" i="15" s="1"/>
  <c r="F1411" i="15" s="1"/>
  <c r="F1474" i="15" s="1"/>
  <c r="F1537" i="15" s="1"/>
  <c r="F1600" i="15" s="1"/>
  <c r="F1663" i="15" s="1"/>
  <c r="F1726" i="15" s="1"/>
  <c r="F1789" i="15" s="1"/>
  <c r="F1852" i="15" s="1"/>
  <c r="F1915" i="15" s="1"/>
  <c r="I24" i="15"/>
  <c r="F24" i="15"/>
  <c r="F87" i="15" s="1"/>
  <c r="F150" i="15" s="1"/>
  <c r="F213" i="15" s="1"/>
  <c r="F276" i="15" s="1"/>
  <c r="F339" i="15" s="1"/>
  <c r="F402" i="15" s="1"/>
  <c r="F465" i="15" s="1"/>
  <c r="F528" i="15" s="1"/>
  <c r="F591" i="15" s="1"/>
  <c r="F654" i="15" s="1"/>
  <c r="F717" i="15" s="1"/>
  <c r="F780" i="15" s="1"/>
  <c r="F843" i="15" s="1"/>
  <c r="F906" i="15" s="1"/>
  <c r="F969" i="15" s="1"/>
  <c r="F1032" i="15" s="1"/>
  <c r="F1095" i="15" s="1"/>
  <c r="F1158" i="15" s="1"/>
  <c r="F1221" i="15" s="1"/>
  <c r="F1284" i="15" s="1"/>
  <c r="F1347" i="15" s="1"/>
  <c r="F1410" i="15" s="1"/>
  <c r="F1473" i="15" s="1"/>
  <c r="F1536" i="15" s="1"/>
  <c r="F1599" i="15" s="1"/>
  <c r="F1662" i="15" s="1"/>
  <c r="F1725" i="15" s="1"/>
  <c r="F1788" i="15" s="1"/>
  <c r="F1851" i="15" s="1"/>
  <c r="F1914" i="15" s="1"/>
  <c r="I23" i="15"/>
  <c r="F23" i="15"/>
  <c r="F86" i="15" s="1"/>
  <c r="F149" i="15" s="1"/>
  <c r="F212" i="15" s="1"/>
  <c r="F275" i="15" s="1"/>
  <c r="F338" i="15" s="1"/>
  <c r="F401" i="15" s="1"/>
  <c r="F464" i="15" s="1"/>
  <c r="F527" i="15" s="1"/>
  <c r="F590" i="15" s="1"/>
  <c r="F653" i="15" s="1"/>
  <c r="F716" i="15" s="1"/>
  <c r="F779" i="15" s="1"/>
  <c r="F842" i="15" s="1"/>
  <c r="F905" i="15" s="1"/>
  <c r="F968" i="15" s="1"/>
  <c r="I22" i="15"/>
  <c r="F22" i="15"/>
  <c r="I21" i="15"/>
  <c r="F21" i="15"/>
  <c r="F84" i="15" s="1"/>
  <c r="F147" i="15" s="1"/>
  <c r="F210" i="15" s="1"/>
  <c r="F273" i="15" s="1"/>
  <c r="F336" i="15" s="1"/>
  <c r="F399" i="15" s="1"/>
  <c r="F462" i="15" s="1"/>
  <c r="F525" i="15" s="1"/>
  <c r="F588" i="15" s="1"/>
  <c r="F651" i="15" s="1"/>
  <c r="F714" i="15" s="1"/>
  <c r="F777" i="15" s="1"/>
  <c r="F840" i="15" s="1"/>
  <c r="F903" i="15" s="1"/>
  <c r="F966" i="15" s="1"/>
  <c r="F1029" i="15" s="1"/>
  <c r="F1092" i="15" s="1"/>
  <c r="F1155" i="15" s="1"/>
  <c r="F1218" i="15" s="1"/>
  <c r="F1281" i="15" s="1"/>
  <c r="F1344" i="15" s="1"/>
  <c r="F1407" i="15" s="1"/>
  <c r="F1470" i="15" s="1"/>
  <c r="F1533" i="15" s="1"/>
  <c r="F1596" i="15" s="1"/>
  <c r="F1659" i="15" s="1"/>
  <c r="F1722" i="15" s="1"/>
  <c r="F1785" i="15" s="1"/>
  <c r="F1848" i="15" s="1"/>
  <c r="F1911" i="15" s="1"/>
  <c r="I20" i="15"/>
  <c r="F20" i="15"/>
  <c r="F83" i="15" s="1"/>
  <c r="F146" i="15" s="1"/>
  <c r="F209" i="15" s="1"/>
  <c r="F272" i="15" s="1"/>
  <c r="F335" i="15" s="1"/>
  <c r="F398" i="15" s="1"/>
  <c r="F461" i="15" s="1"/>
  <c r="F524" i="15" s="1"/>
  <c r="F587" i="15" s="1"/>
  <c r="F650" i="15" s="1"/>
  <c r="F713" i="15" s="1"/>
  <c r="F776" i="15" s="1"/>
  <c r="F839" i="15" s="1"/>
  <c r="F902" i="15" s="1"/>
  <c r="F965" i="15" s="1"/>
  <c r="F1028" i="15" s="1"/>
  <c r="F1091" i="15" s="1"/>
  <c r="F1154" i="15" s="1"/>
  <c r="F1217" i="15" s="1"/>
  <c r="F1280" i="15" s="1"/>
  <c r="F1343" i="15" s="1"/>
  <c r="F1406" i="15" s="1"/>
  <c r="F1469" i="15" s="1"/>
  <c r="F1532" i="15" s="1"/>
  <c r="F1595" i="15" s="1"/>
  <c r="F1658" i="15" s="1"/>
  <c r="F1721" i="15" s="1"/>
  <c r="F1784" i="15" s="1"/>
  <c r="F1847" i="15" s="1"/>
  <c r="F1910" i="15" s="1"/>
  <c r="I19" i="15"/>
  <c r="F19" i="15"/>
  <c r="F82" i="15" s="1"/>
  <c r="F145" i="15" s="1"/>
  <c r="F208" i="15" s="1"/>
  <c r="F271" i="15" s="1"/>
  <c r="F334" i="15" s="1"/>
  <c r="F397" i="15" s="1"/>
  <c r="F460" i="15" s="1"/>
  <c r="F523" i="15" s="1"/>
  <c r="F586" i="15" s="1"/>
  <c r="F649" i="15" s="1"/>
  <c r="F712" i="15" s="1"/>
  <c r="F775" i="15" s="1"/>
  <c r="F838" i="15" s="1"/>
  <c r="F901" i="15" s="1"/>
  <c r="F964" i="15" s="1"/>
  <c r="F1027" i="15" s="1"/>
  <c r="F1090" i="15" s="1"/>
  <c r="F1153" i="15" s="1"/>
  <c r="F1216" i="15" s="1"/>
  <c r="F1279" i="15" s="1"/>
  <c r="F1342" i="15" s="1"/>
  <c r="F1405" i="15" s="1"/>
  <c r="F1468" i="15" s="1"/>
  <c r="F1531" i="15" s="1"/>
  <c r="F1594" i="15" s="1"/>
  <c r="F1657" i="15" s="1"/>
  <c r="F1720" i="15" s="1"/>
  <c r="F1783" i="15" s="1"/>
  <c r="F1846" i="15" s="1"/>
  <c r="F1909" i="15" s="1"/>
  <c r="I18" i="15"/>
  <c r="F18" i="15"/>
  <c r="F81" i="15" s="1"/>
  <c r="F144" i="15" s="1"/>
  <c r="F207" i="15" s="1"/>
  <c r="F270" i="15" s="1"/>
  <c r="F333" i="15" s="1"/>
  <c r="F396" i="15" s="1"/>
  <c r="F459" i="15" s="1"/>
  <c r="F522" i="15" s="1"/>
  <c r="F585" i="15" s="1"/>
  <c r="F648" i="15" s="1"/>
  <c r="F711" i="15" s="1"/>
  <c r="F774" i="15" s="1"/>
  <c r="F837" i="15" s="1"/>
  <c r="F900" i="15" s="1"/>
  <c r="F963" i="15" s="1"/>
  <c r="F1026" i="15" s="1"/>
  <c r="F1089" i="15" s="1"/>
  <c r="F1152" i="15" s="1"/>
  <c r="F1215" i="15" s="1"/>
  <c r="F1278" i="15" s="1"/>
  <c r="F1341" i="15" s="1"/>
  <c r="F1404" i="15" s="1"/>
  <c r="F1467" i="15" s="1"/>
  <c r="F1530" i="15" s="1"/>
  <c r="F1593" i="15" s="1"/>
  <c r="F1656" i="15" s="1"/>
  <c r="F1719" i="15" s="1"/>
  <c r="F1782" i="15" s="1"/>
  <c r="F1845" i="15" s="1"/>
  <c r="F1908" i="15" s="1"/>
  <c r="I17" i="15"/>
  <c r="F17" i="15"/>
  <c r="F80" i="15" s="1"/>
  <c r="F143" i="15" s="1"/>
  <c r="F206" i="15" s="1"/>
  <c r="F269" i="15" s="1"/>
  <c r="F332" i="15" s="1"/>
  <c r="F395" i="15" s="1"/>
  <c r="F458" i="15" s="1"/>
  <c r="F521" i="15" s="1"/>
  <c r="F584" i="15" s="1"/>
  <c r="F647" i="15" s="1"/>
  <c r="F710" i="15" s="1"/>
  <c r="F773" i="15" s="1"/>
  <c r="F836" i="15" s="1"/>
  <c r="F899" i="15" s="1"/>
  <c r="F962" i="15" s="1"/>
  <c r="F1025" i="15" s="1"/>
  <c r="F1088" i="15" s="1"/>
  <c r="F1151" i="15" s="1"/>
  <c r="F1214" i="15" s="1"/>
  <c r="F1277" i="15" s="1"/>
  <c r="F1340" i="15" s="1"/>
  <c r="F1403" i="15" s="1"/>
  <c r="F1466" i="15" s="1"/>
  <c r="F1529" i="15" s="1"/>
  <c r="F1592" i="15" s="1"/>
  <c r="F1655" i="15" s="1"/>
  <c r="F1718" i="15" s="1"/>
  <c r="F1781" i="15" s="1"/>
  <c r="F1844" i="15" s="1"/>
  <c r="F1907" i="15" s="1"/>
  <c r="I16" i="15"/>
  <c r="F16" i="15"/>
  <c r="F79" i="15" s="1"/>
  <c r="F142" i="15" s="1"/>
  <c r="F205" i="15" s="1"/>
  <c r="F268" i="15" s="1"/>
  <c r="F331" i="15" s="1"/>
  <c r="F394" i="15" s="1"/>
  <c r="F457" i="15" s="1"/>
  <c r="F520" i="15" s="1"/>
  <c r="F583" i="15" s="1"/>
  <c r="F646" i="15" s="1"/>
  <c r="F709" i="15" s="1"/>
  <c r="F772" i="15" s="1"/>
  <c r="F835" i="15" s="1"/>
  <c r="F898" i="15" s="1"/>
  <c r="F961" i="15" s="1"/>
  <c r="F1024" i="15" s="1"/>
  <c r="F1087" i="15" s="1"/>
  <c r="F1150" i="15" s="1"/>
  <c r="F1213" i="15" s="1"/>
  <c r="F1276" i="15" s="1"/>
  <c r="F1339" i="15" s="1"/>
  <c r="F1402" i="15" s="1"/>
  <c r="F1465" i="15" s="1"/>
  <c r="F1528" i="15" s="1"/>
  <c r="F1591" i="15" s="1"/>
  <c r="F1654" i="15" s="1"/>
  <c r="F1717" i="15" s="1"/>
  <c r="F1780" i="15" s="1"/>
  <c r="F1843" i="15" s="1"/>
  <c r="F1906" i="15" s="1"/>
  <c r="I15" i="15"/>
  <c r="F15" i="15"/>
  <c r="F78" i="15" s="1"/>
  <c r="F141" i="15" s="1"/>
  <c r="F204" i="15" s="1"/>
  <c r="F267" i="15" s="1"/>
  <c r="F330" i="15" s="1"/>
  <c r="F393" i="15" s="1"/>
  <c r="F456" i="15" s="1"/>
  <c r="F519" i="15" s="1"/>
  <c r="F582" i="15" s="1"/>
  <c r="F645" i="15" s="1"/>
  <c r="F708" i="15" s="1"/>
  <c r="F771" i="15" s="1"/>
  <c r="F834" i="15" s="1"/>
  <c r="F897" i="15" s="1"/>
  <c r="F960" i="15" s="1"/>
  <c r="F1023" i="15" s="1"/>
  <c r="F1086" i="15" s="1"/>
  <c r="F1149" i="15" s="1"/>
  <c r="F1212" i="15" s="1"/>
  <c r="F1275" i="15" s="1"/>
  <c r="F1338" i="15" s="1"/>
  <c r="F1401" i="15" s="1"/>
  <c r="F1464" i="15" s="1"/>
  <c r="F1527" i="15" s="1"/>
  <c r="F1590" i="15" s="1"/>
  <c r="F1653" i="15" s="1"/>
  <c r="F1716" i="15" s="1"/>
  <c r="F1779" i="15" s="1"/>
  <c r="F1842" i="15" s="1"/>
  <c r="F1905" i="15" s="1"/>
  <c r="I14" i="15"/>
  <c r="F14" i="15"/>
  <c r="I13" i="15"/>
  <c r="F13" i="15"/>
  <c r="F76" i="15" s="1"/>
  <c r="F139" i="15" s="1"/>
  <c r="F202" i="15" s="1"/>
  <c r="F265" i="15" s="1"/>
  <c r="F328" i="15" s="1"/>
  <c r="F391" i="15" s="1"/>
  <c r="F454" i="15" s="1"/>
  <c r="F517" i="15" s="1"/>
  <c r="F580" i="15" s="1"/>
  <c r="F643" i="15" s="1"/>
  <c r="F706" i="15" s="1"/>
  <c r="F769" i="15" s="1"/>
  <c r="F832" i="15" s="1"/>
  <c r="F895" i="15" s="1"/>
  <c r="F958" i="15" s="1"/>
  <c r="F1021" i="15" s="1"/>
  <c r="F1084" i="15" s="1"/>
  <c r="F1147" i="15" s="1"/>
  <c r="F1210" i="15" s="1"/>
  <c r="F1273" i="15" s="1"/>
  <c r="F1336" i="15" s="1"/>
  <c r="F1399" i="15" s="1"/>
  <c r="F1462" i="15" s="1"/>
  <c r="F1525" i="15" s="1"/>
  <c r="F1588" i="15" s="1"/>
  <c r="F1651" i="15" s="1"/>
  <c r="F1714" i="15" s="1"/>
  <c r="F1777" i="15" s="1"/>
  <c r="F1840" i="15" s="1"/>
  <c r="F1903" i="15" s="1"/>
  <c r="I12" i="15"/>
  <c r="F12" i="15"/>
  <c r="F75" i="15" s="1"/>
  <c r="F138" i="15" s="1"/>
  <c r="F201" i="15" s="1"/>
  <c r="F264" i="15" s="1"/>
  <c r="F327" i="15" s="1"/>
  <c r="F390" i="15" s="1"/>
  <c r="F453" i="15" s="1"/>
  <c r="F516" i="15" s="1"/>
  <c r="F579" i="15" s="1"/>
  <c r="F642" i="15" s="1"/>
  <c r="F705" i="15" s="1"/>
  <c r="F768" i="15" s="1"/>
  <c r="F831" i="15" s="1"/>
  <c r="F894" i="15" s="1"/>
  <c r="F957" i="15" s="1"/>
  <c r="F1020" i="15" s="1"/>
  <c r="F1083" i="15" s="1"/>
  <c r="F1146" i="15" s="1"/>
  <c r="F1209" i="15" s="1"/>
  <c r="F1272" i="15" s="1"/>
  <c r="F1335" i="15" s="1"/>
  <c r="F1398" i="15" s="1"/>
  <c r="F1461" i="15" s="1"/>
  <c r="F1524" i="15" s="1"/>
  <c r="F1587" i="15" s="1"/>
  <c r="F1650" i="15" s="1"/>
  <c r="F1713" i="15" s="1"/>
  <c r="F1776" i="15" s="1"/>
  <c r="F1839" i="15" s="1"/>
  <c r="F1902" i="15" s="1"/>
  <c r="B8" i="15"/>
  <c r="B71" i="15" s="1"/>
  <c r="E7" i="15"/>
  <c r="B6" i="15"/>
  <c r="E6" i="15" s="1"/>
  <c r="E1935" i="14"/>
  <c r="I1935" i="14" s="1"/>
  <c r="E1934" i="14"/>
  <c r="I1934" i="14" s="1"/>
  <c r="E1933" i="14"/>
  <c r="I1933" i="14" s="1"/>
  <c r="E1932" i="14"/>
  <c r="I1932" i="14" s="1"/>
  <c r="E1931" i="14"/>
  <c r="I1931" i="14" s="1"/>
  <c r="I1930" i="14"/>
  <c r="I1929" i="14"/>
  <c r="I1928" i="14"/>
  <c r="I1927" i="14"/>
  <c r="I1926" i="14"/>
  <c r="I1925" i="14"/>
  <c r="I1924" i="14"/>
  <c r="I1923" i="14"/>
  <c r="I1922" i="14"/>
  <c r="I1921" i="14"/>
  <c r="I1920" i="14"/>
  <c r="I1919" i="14"/>
  <c r="I1918" i="14"/>
  <c r="I1917" i="14"/>
  <c r="I1916" i="14"/>
  <c r="I1915" i="14"/>
  <c r="I1914" i="14"/>
  <c r="I1913" i="14"/>
  <c r="I1912" i="14"/>
  <c r="I1911" i="14"/>
  <c r="I1910" i="14"/>
  <c r="I1909" i="14"/>
  <c r="I1908" i="14"/>
  <c r="I1907" i="14"/>
  <c r="I1906" i="14"/>
  <c r="I1905" i="14"/>
  <c r="I1904" i="14"/>
  <c r="I1903" i="14"/>
  <c r="I1902" i="14"/>
  <c r="E1897" i="14"/>
  <c r="E1872" i="14"/>
  <c r="I1872" i="14" s="1"/>
  <c r="E1871" i="14"/>
  <c r="I1871" i="14" s="1"/>
  <c r="E1870" i="14"/>
  <c r="I1870" i="14" s="1"/>
  <c r="E1869" i="14"/>
  <c r="I1869" i="14" s="1"/>
  <c r="E1868" i="14"/>
  <c r="I1868" i="14" s="1"/>
  <c r="I1867" i="14"/>
  <c r="I1866" i="14"/>
  <c r="I1865" i="14"/>
  <c r="I1864" i="14"/>
  <c r="I1863" i="14"/>
  <c r="I1862" i="14"/>
  <c r="I1861" i="14"/>
  <c r="I1860" i="14"/>
  <c r="I1859" i="14"/>
  <c r="I1858" i="14"/>
  <c r="I1857" i="14"/>
  <c r="I1856" i="14"/>
  <c r="I1855" i="14"/>
  <c r="I1854" i="14"/>
  <c r="I1853" i="14"/>
  <c r="I1852" i="14"/>
  <c r="I1851" i="14"/>
  <c r="I1850" i="14"/>
  <c r="I1849" i="14"/>
  <c r="I1848" i="14"/>
  <c r="I1847" i="14"/>
  <c r="I1846" i="14"/>
  <c r="I1845" i="14"/>
  <c r="I1844" i="14"/>
  <c r="I1843" i="14"/>
  <c r="I1842" i="14"/>
  <c r="I1841" i="14"/>
  <c r="I1840" i="14"/>
  <c r="I1839" i="14"/>
  <c r="E1834" i="14"/>
  <c r="E1809" i="14"/>
  <c r="I1809" i="14" s="1"/>
  <c r="I1808" i="14"/>
  <c r="E1808" i="14"/>
  <c r="E1807" i="14"/>
  <c r="I1807" i="14" s="1"/>
  <c r="E1806" i="14"/>
  <c r="I1806" i="14" s="1"/>
  <c r="E1805" i="14"/>
  <c r="I1805" i="14" s="1"/>
  <c r="I1804" i="14"/>
  <c r="I1803" i="14"/>
  <c r="I1802" i="14"/>
  <c r="I1801" i="14"/>
  <c r="I1800" i="14"/>
  <c r="I1799" i="14"/>
  <c r="I1798" i="14"/>
  <c r="I1797" i="14"/>
  <c r="I1796" i="14"/>
  <c r="I1795" i="14"/>
  <c r="I1794" i="14"/>
  <c r="I1793" i="14"/>
  <c r="I1792" i="14"/>
  <c r="I1791" i="14"/>
  <c r="I1790" i="14"/>
  <c r="I1789" i="14"/>
  <c r="I1788" i="14"/>
  <c r="I1787" i="14"/>
  <c r="I1786" i="14"/>
  <c r="I1785" i="14"/>
  <c r="I1784" i="14"/>
  <c r="I1783" i="14"/>
  <c r="I1782" i="14"/>
  <c r="I1781" i="14"/>
  <c r="I1780" i="14"/>
  <c r="I1779" i="14"/>
  <c r="I1778" i="14"/>
  <c r="I1777" i="14"/>
  <c r="I1776" i="14"/>
  <c r="E1771" i="14"/>
  <c r="E1746" i="14"/>
  <c r="I1746" i="14" s="1"/>
  <c r="I1745" i="14"/>
  <c r="E1745" i="14"/>
  <c r="E1744" i="14"/>
  <c r="I1744" i="14" s="1"/>
  <c r="E1743" i="14"/>
  <c r="I1743" i="14" s="1"/>
  <c r="E1742" i="14"/>
  <c r="I1742" i="14" s="1"/>
  <c r="I1741" i="14"/>
  <c r="I1740" i="14"/>
  <c r="I1739" i="14"/>
  <c r="I1738" i="14"/>
  <c r="I1737" i="14"/>
  <c r="I1736" i="14"/>
  <c r="I1735" i="14"/>
  <c r="I1734" i="14"/>
  <c r="I1733" i="14"/>
  <c r="I1732" i="14"/>
  <c r="I1731" i="14"/>
  <c r="I1730" i="14"/>
  <c r="I1729" i="14"/>
  <c r="I1728" i="14"/>
  <c r="I1727" i="14"/>
  <c r="I1726" i="14"/>
  <c r="I1725" i="14"/>
  <c r="I1724" i="14"/>
  <c r="I1723" i="14"/>
  <c r="I1722" i="14"/>
  <c r="I1721" i="14"/>
  <c r="I1720" i="14"/>
  <c r="I1719" i="14"/>
  <c r="I1718" i="14"/>
  <c r="I1717" i="14"/>
  <c r="I1716" i="14"/>
  <c r="I1715" i="14"/>
  <c r="I1714" i="14"/>
  <c r="I1713" i="14"/>
  <c r="E1708" i="14"/>
  <c r="E1683" i="14"/>
  <c r="I1683" i="14" s="1"/>
  <c r="E1682" i="14"/>
  <c r="I1682" i="14" s="1"/>
  <c r="E1681" i="14"/>
  <c r="I1681" i="14" s="1"/>
  <c r="E1680" i="14"/>
  <c r="I1680" i="14" s="1"/>
  <c r="E1679" i="14"/>
  <c r="I1679" i="14" s="1"/>
  <c r="I1678" i="14"/>
  <c r="I1677" i="14"/>
  <c r="I1676" i="14"/>
  <c r="I1675" i="14"/>
  <c r="I1674" i="14"/>
  <c r="I1673" i="14"/>
  <c r="I1672" i="14"/>
  <c r="I1671" i="14"/>
  <c r="I1670" i="14"/>
  <c r="I1669" i="14"/>
  <c r="I1668" i="14"/>
  <c r="I1667" i="14"/>
  <c r="I1666" i="14"/>
  <c r="I1665" i="14"/>
  <c r="I1664" i="14"/>
  <c r="I1663" i="14"/>
  <c r="I1662" i="14"/>
  <c r="I1661" i="14"/>
  <c r="I1660" i="14"/>
  <c r="I1659" i="14"/>
  <c r="I1658" i="14"/>
  <c r="I1657" i="14"/>
  <c r="I1656" i="14"/>
  <c r="I1655" i="14"/>
  <c r="I1654" i="14"/>
  <c r="I1653" i="14"/>
  <c r="I1652" i="14"/>
  <c r="I1651" i="14"/>
  <c r="I1650" i="14"/>
  <c r="E1645" i="14"/>
  <c r="E1620" i="14"/>
  <c r="I1620" i="14" s="1"/>
  <c r="E1619" i="14"/>
  <c r="I1619" i="14" s="1"/>
  <c r="E1618" i="14"/>
  <c r="I1618" i="14" s="1"/>
  <c r="E1617" i="14"/>
  <c r="I1617" i="14" s="1"/>
  <c r="E1616" i="14"/>
  <c r="I1616" i="14" s="1"/>
  <c r="I1615" i="14"/>
  <c r="I1614" i="14"/>
  <c r="I1613" i="14"/>
  <c r="I1612" i="14"/>
  <c r="I1611" i="14"/>
  <c r="I1610" i="14"/>
  <c r="I1609" i="14"/>
  <c r="I1608" i="14"/>
  <c r="I1607" i="14"/>
  <c r="I1606" i="14"/>
  <c r="I1605" i="14"/>
  <c r="I1604" i="14"/>
  <c r="I1603" i="14"/>
  <c r="I1602" i="14"/>
  <c r="I1601" i="14"/>
  <c r="I1600" i="14"/>
  <c r="I1599" i="14"/>
  <c r="I1598" i="14"/>
  <c r="I1597" i="14"/>
  <c r="I1596" i="14"/>
  <c r="I1595" i="14"/>
  <c r="I1594" i="14"/>
  <c r="I1593" i="14"/>
  <c r="I1592" i="14"/>
  <c r="I1591" i="14"/>
  <c r="I1590" i="14"/>
  <c r="I1589" i="14"/>
  <c r="I1588" i="14"/>
  <c r="I1587" i="14"/>
  <c r="E1582" i="14"/>
  <c r="E1557" i="14"/>
  <c r="I1557" i="14" s="1"/>
  <c r="E1556" i="14"/>
  <c r="I1556" i="14" s="1"/>
  <c r="E1555" i="14"/>
  <c r="I1555" i="14" s="1"/>
  <c r="E1554" i="14"/>
  <c r="I1554" i="14" s="1"/>
  <c r="E1553" i="14"/>
  <c r="I1553" i="14" s="1"/>
  <c r="I1552" i="14"/>
  <c r="I1551" i="14"/>
  <c r="I1550" i="14"/>
  <c r="I1549" i="14"/>
  <c r="I1548" i="14"/>
  <c r="I1547" i="14"/>
  <c r="I1546" i="14"/>
  <c r="I1545" i="14"/>
  <c r="I1544" i="14"/>
  <c r="I1543" i="14"/>
  <c r="I1542" i="14"/>
  <c r="I1541" i="14"/>
  <c r="I1540" i="14"/>
  <c r="I1539" i="14"/>
  <c r="I1538" i="14"/>
  <c r="I1537" i="14"/>
  <c r="I1536" i="14"/>
  <c r="I1535" i="14"/>
  <c r="I1534" i="14"/>
  <c r="I1533" i="14"/>
  <c r="I1532" i="14"/>
  <c r="I1531" i="14"/>
  <c r="I1530" i="14"/>
  <c r="I1529" i="14"/>
  <c r="I1528" i="14"/>
  <c r="I1527" i="14"/>
  <c r="I1526" i="14"/>
  <c r="I1525" i="14"/>
  <c r="I1524" i="14"/>
  <c r="E1519" i="14"/>
  <c r="E1494" i="14"/>
  <c r="I1494" i="14" s="1"/>
  <c r="E1493" i="14"/>
  <c r="I1493" i="14" s="1"/>
  <c r="E1492" i="14"/>
  <c r="I1492" i="14" s="1"/>
  <c r="E1491" i="14"/>
  <c r="I1491" i="14" s="1"/>
  <c r="E1490" i="14"/>
  <c r="I1490" i="14" s="1"/>
  <c r="I1489" i="14"/>
  <c r="I1488" i="14"/>
  <c r="I1487" i="14"/>
  <c r="I1486" i="14"/>
  <c r="I1485" i="14"/>
  <c r="I1484" i="14"/>
  <c r="I1483" i="14"/>
  <c r="I1482" i="14"/>
  <c r="I1481" i="14"/>
  <c r="I1480" i="14"/>
  <c r="I1479" i="14"/>
  <c r="I1478" i="14"/>
  <c r="I1477" i="14"/>
  <c r="I1476" i="14"/>
  <c r="I1475" i="14"/>
  <c r="I1474" i="14"/>
  <c r="I1473" i="14"/>
  <c r="I1472" i="14"/>
  <c r="I1471" i="14"/>
  <c r="I1470" i="14"/>
  <c r="I1469" i="14"/>
  <c r="I1468" i="14"/>
  <c r="I1467" i="14"/>
  <c r="I1466" i="14"/>
  <c r="I1465" i="14"/>
  <c r="I1464" i="14"/>
  <c r="I1463" i="14"/>
  <c r="I1462" i="14"/>
  <c r="I1461" i="14"/>
  <c r="E1456" i="14"/>
  <c r="E1431" i="14"/>
  <c r="I1431" i="14" s="1"/>
  <c r="E1430" i="14"/>
  <c r="I1430" i="14" s="1"/>
  <c r="E1429" i="14"/>
  <c r="I1429" i="14" s="1"/>
  <c r="E1428" i="14"/>
  <c r="I1428" i="14" s="1"/>
  <c r="E1427" i="14"/>
  <c r="I1427" i="14" s="1"/>
  <c r="I1426" i="14"/>
  <c r="I1425" i="14"/>
  <c r="I1424" i="14"/>
  <c r="I1423" i="14"/>
  <c r="I1422" i="14"/>
  <c r="I1421" i="14"/>
  <c r="I1420" i="14"/>
  <c r="I1419" i="14"/>
  <c r="I1418" i="14"/>
  <c r="I1417" i="14"/>
  <c r="I1416" i="14"/>
  <c r="I1415" i="14"/>
  <c r="I1414" i="14"/>
  <c r="I1413" i="14"/>
  <c r="I1412" i="14"/>
  <c r="I1411" i="14"/>
  <c r="I1410" i="14"/>
  <c r="I1409" i="14"/>
  <c r="I1408" i="14"/>
  <c r="I1407" i="14"/>
  <c r="I1406" i="14"/>
  <c r="I1405" i="14"/>
  <c r="I1404" i="14"/>
  <c r="I1403" i="14"/>
  <c r="I1402" i="14"/>
  <c r="I1401" i="14"/>
  <c r="I1400" i="14"/>
  <c r="I1399" i="14"/>
  <c r="I1398" i="14"/>
  <c r="E1393" i="14"/>
  <c r="E1368" i="14"/>
  <c r="I1368" i="14" s="1"/>
  <c r="E1367" i="14"/>
  <c r="I1367" i="14" s="1"/>
  <c r="E1366" i="14"/>
  <c r="I1366" i="14" s="1"/>
  <c r="E1365" i="14"/>
  <c r="I1365" i="14" s="1"/>
  <c r="E1364" i="14"/>
  <c r="I1364" i="14" s="1"/>
  <c r="I1363" i="14"/>
  <c r="I1362" i="14"/>
  <c r="I1361" i="14"/>
  <c r="I1360" i="14"/>
  <c r="I1359" i="14"/>
  <c r="I1358" i="14"/>
  <c r="I1357" i="14"/>
  <c r="I1356" i="14"/>
  <c r="I1355" i="14"/>
  <c r="I1354" i="14"/>
  <c r="I1353" i="14"/>
  <c r="I1352" i="14"/>
  <c r="I1351" i="14"/>
  <c r="I1350" i="14"/>
  <c r="I1349" i="14"/>
  <c r="I1348" i="14"/>
  <c r="I1347" i="14"/>
  <c r="I1346" i="14"/>
  <c r="I1345" i="14"/>
  <c r="I1344" i="14"/>
  <c r="I1343" i="14"/>
  <c r="I1342" i="14"/>
  <c r="I1341" i="14"/>
  <c r="I1340" i="14"/>
  <c r="I1339" i="14"/>
  <c r="I1338" i="14"/>
  <c r="I1337" i="14"/>
  <c r="I1336" i="14"/>
  <c r="I1335" i="14"/>
  <c r="E1330" i="14"/>
  <c r="E1305" i="14"/>
  <c r="I1305" i="14" s="1"/>
  <c r="E1304" i="14"/>
  <c r="I1304" i="14" s="1"/>
  <c r="E1303" i="14"/>
  <c r="I1303" i="14" s="1"/>
  <c r="E1302" i="14"/>
  <c r="I1302" i="14" s="1"/>
  <c r="E1301" i="14"/>
  <c r="I1301" i="14" s="1"/>
  <c r="I1300" i="14"/>
  <c r="I1299" i="14"/>
  <c r="I1298" i="14"/>
  <c r="I1297" i="14"/>
  <c r="I1296" i="14"/>
  <c r="I1295" i="14"/>
  <c r="I1294" i="14"/>
  <c r="I1293" i="14"/>
  <c r="I1292" i="14"/>
  <c r="I1291" i="14"/>
  <c r="I1290" i="14"/>
  <c r="I1289" i="14"/>
  <c r="I1288" i="14"/>
  <c r="I1287" i="14"/>
  <c r="I1286" i="14"/>
  <c r="I1285" i="14"/>
  <c r="I1284" i="14"/>
  <c r="I1283" i="14"/>
  <c r="I1282" i="14"/>
  <c r="I1281" i="14"/>
  <c r="I1280" i="14"/>
  <c r="I1279" i="14"/>
  <c r="I1278" i="14"/>
  <c r="I1277" i="14"/>
  <c r="I1276" i="14"/>
  <c r="I1275" i="14"/>
  <c r="I1274" i="14"/>
  <c r="I1273" i="14"/>
  <c r="I1272" i="14"/>
  <c r="E1267" i="14"/>
  <c r="E1242" i="14"/>
  <c r="I1242" i="14" s="1"/>
  <c r="E1241" i="14"/>
  <c r="I1241" i="14" s="1"/>
  <c r="E1240" i="14"/>
  <c r="I1240" i="14" s="1"/>
  <c r="E1239" i="14"/>
  <c r="I1239" i="14" s="1"/>
  <c r="E1238" i="14"/>
  <c r="I1238" i="14" s="1"/>
  <c r="I1237" i="14"/>
  <c r="I1236" i="14"/>
  <c r="I1235" i="14"/>
  <c r="I1234" i="14"/>
  <c r="I1233" i="14"/>
  <c r="I1232" i="14"/>
  <c r="I1231" i="14"/>
  <c r="I1230" i="14"/>
  <c r="I1229" i="14"/>
  <c r="I1228" i="14"/>
  <c r="I1227" i="14"/>
  <c r="I1226" i="14"/>
  <c r="I1225" i="14"/>
  <c r="I1224" i="14"/>
  <c r="I1223" i="14"/>
  <c r="I1222" i="14"/>
  <c r="I1221" i="14"/>
  <c r="I1220" i="14"/>
  <c r="I1219" i="14"/>
  <c r="I1218" i="14"/>
  <c r="I1217" i="14"/>
  <c r="I1216" i="14"/>
  <c r="I1215" i="14"/>
  <c r="I1214" i="14"/>
  <c r="I1213" i="14"/>
  <c r="I1212" i="14"/>
  <c r="I1211" i="14"/>
  <c r="I1210" i="14"/>
  <c r="I1209" i="14"/>
  <c r="E1204" i="14"/>
  <c r="E1179" i="14"/>
  <c r="I1179" i="14" s="1"/>
  <c r="E1178" i="14"/>
  <c r="I1178" i="14" s="1"/>
  <c r="E1177" i="14"/>
  <c r="I1177" i="14" s="1"/>
  <c r="E1176" i="14"/>
  <c r="I1176" i="14" s="1"/>
  <c r="E1175" i="14"/>
  <c r="I1175" i="14" s="1"/>
  <c r="I1174" i="14"/>
  <c r="I1173" i="14"/>
  <c r="I1172" i="14"/>
  <c r="I1171" i="14"/>
  <c r="I1170" i="14"/>
  <c r="I1169" i="14"/>
  <c r="I1168" i="14"/>
  <c r="I1167" i="14"/>
  <c r="I1166" i="14"/>
  <c r="I1165" i="14"/>
  <c r="I1164" i="14"/>
  <c r="I1163" i="14"/>
  <c r="I1162" i="14"/>
  <c r="I1161" i="14"/>
  <c r="I1160" i="14"/>
  <c r="I1159" i="14"/>
  <c r="I1158" i="14"/>
  <c r="I1157" i="14"/>
  <c r="I1156" i="14"/>
  <c r="I1155" i="14"/>
  <c r="I1154" i="14"/>
  <c r="I1153" i="14"/>
  <c r="I1152" i="14"/>
  <c r="I1151" i="14"/>
  <c r="I1150" i="14"/>
  <c r="I1149" i="14"/>
  <c r="I1148" i="14"/>
  <c r="I1147" i="14"/>
  <c r="I1146" i="14"/>
  <c r="E1141" i="14"/>
  <c r="E1116" i="14"/>
  <c r="E1115" i="14"/>
  <c r="E1114" i="14"/>
  <c r="E1113" i="14"/>
  <c r="E1112" i="14"/>
  <c r="I1111" i="14"/>
  <c r="I1110" i="14"/>
  <c r="I1109" i="14"/>
  <c r="I1108" i="14"/>
  <c r="I1107" i="14"/>
  <c r="I1106" i="14"/>
  <c r="I1105" i="14"/>
  <c r="I1104" i="14"/>
  <c r="I1103" i="14"/>
  <c r="I1102" i="14"/>
  <c r="I1101" i="14"/>
  <c r="I1100" i="14"/>
  <c r="I1099" i="14"/>
  <c r="I1098" i="14"/>
  <c r="I1097" i="14"/>
  <c r="I1096" i="14"/>
  <c r="I1095" i="14"/>
  <c r="I1094" i="14"/>
  <c r="I1093" i="14"/>
  <c r="I1092" i="14"/>
  <c r="I1091" i="14"/>
  <c r="I1090" i="14"/>
  <c r="I1089" i="14"/>
  <c r="I1088" i="14"/>
  <c r="I1087" i="14"/>
  <c r="I1086" i="14"/>
  <c r="I1085" i="14"/>
  <c r="I1084" i="14"/>
  <c r="I1083" i="14"/>
  <c r="E1078" i="14"/>
  <c r="E1053" i="14"/>
  <c r="I1053" i="14" s="1"/>
  <c r="E1052" i="14"/>
  <c r="I1052" i="14" s="1"/>
  <c r="E1051" i="14"/>
  <c r="I1051" i="14" s="1"/>
  <c r="E1050" i="14"/>
  <c r="I1050" i="14" s="1"/>
  <c r="E1049" i="14"/>
  <c r="I1049" i="14" s="1"/>
  <c r="I1048" i="14"/>
  <c r="I1047" i="14"/>
  <c r="I1046" i="14"/>
  <c r="I1045" i="14"/>
  <c r="I1044" i="14"/>
  <c r="I1043" i="14"/>
  <c r="I1042" i="14"/>
  <c r="I1041" i="14"/>
  <c r="I1040" i="14"/>
  <c r="I1039" i="14"/>
  <c r="I1038" i="14"/>
  <c r="I1037" i="14"/>
  <c r="I1036" i="14"/>
  <c r="I1035" i="14"/>
  <c r="I1034" i="14"/>
  <c r="I1033" i="14"/>
  <c r="I1032" i="14"/>
  <c r="I1031" i="14"/>
  <c r="I1030" i="14"/>
  <c r="I1029" i="14"/>
  <c r="I1028" i="14"/>
  <c r="I1027" i="14"/>
  <c r="I1026" i="14"/>
  <c r="I1025" i="14"/>
  <c r="I1024" i="14"/>
  <c r="I1023" i="14"/>
  <c r="I1022" i="14"/>
  <c r="I1021" i="14"/>
  <c r="I1020" i="14"/>
  <c r="E1015" i="14"/>
  <c r="E990" i="14"/>
  <c r="I990" i="14" s="1"/>
  <c r="E989" i="14"/>
  <c r="I989" i="14" s="1"/>
  <c r="E988" i="14"/>
  <c r="I988" i="14" s="1"/>
  <c r="E987" i="14"/>
  <c r="I987" i="14" s="1"/>
  <c r="E986" i="14"/>
  <c r="I986" i="14" s="1"/>
  <c r="I985" i="14"/>
  <c r="I984" i="14"/>
  <c r="I983" i="14"/>
  <c r="I982" i="14"/>
  <c r="I981" i="14"/>
  <c r="I980" i="14"/>
  <c r="I979" i="14"/>
  <c r="I978" i="14"/>
  <c r="I977" i="14"/>
  <c r="I976" i="14"/>
  <c r="I975" i="14"/>
  <c r="I974" i="14"/>
  <c r="I973" i="14"/>
  <c r="I972" i="14"/>
  <c r="I971" i="14"/>
  <c r="I970" i="14"/>
  <c r="I969" i="14"/>
  <c r="I968" i="14"/>
  <c r="I967" i="14"/>
  <c r="I966" i="14"/>
  <c r="I965" i="14"/>
  <c r="I964" i="14"/>
  <c r="I963" i="14"/>
  <c r="I962" i="14"/>
  <c r="I961" i="14"/>
  <c r="I960" i="14"/>
  <c r="I959" i="14"/>
  <c r="I958" i="14"/>
  <c r="I957" i="14"/>
  <c r="E952" i="14"/>
  <c r="E927" i="14"/>
  <c r="I927" i="14" s="1"/>
  <c r="E926" i="14"/>
  <c r="I926" i="14" s="1"/>
  <c r="E925" i="14"/>
  <c r="I925" i="14" s="1"/>
  <c r="E924" i="14"/>
  <c r="I924" i="14" s="1"/>
  <c r="E923" i="14"/>
  <c r="I923" i="14" s="1"/>
  <c r="I922" i="14"/>
  <c r="I921" i="14"/>
  <c r="I920" i="14"/>
  <c r="I919" i="14"/>
  <c r="I918" i="14"/>
  <c r="I917" i="14"/>
  <c r="I916" i="14"/>
  <c r="I915" i="14"/>
  <c r="I914" i="14"/>
  <c r="I913" i="14"/>
  <c r="I912" i="14"/>
  <c r="I911" i="14"/>
  <c r="I910" i="14"/>
  <c r="I909" i="14"/>
  <c r="I908" i="14"/>
  <c r="I907" i="14"/>
  <c r="I906" i="14"/>
  <c r="I905" i="14"/>
  <c r="I904" i="14"/>
  <c r="I903" i="14"/>
  <c r="I902" i="14"/>
  <c r="I901" i="14"/>
  <c r="I900" i="14"/>
  <c r="I899" i="14"/>
  <c r="I898" i="14"/>
  <c r="I897" i="14"/>
  <c r="I896" i="14"/>
  <c r="I895" i="14"/>
  <c r="I894" i="14"/>
  <c r="E889" i="14"/>
  <c r="E864" i="14"/>
  <c r="I864" i="14" s="1"/>
  <c r="E863" i="14"/>
  <c r="I863" i="14" s="1"/>
  <c r="E862" i="14"/>
  <c r="I862" i="14" s="1"/>
  <c r="E861" i="14"/>
  <c r="I861" i="14" s="1"/>
  <c r="E860" i="14"/>
  <c r="I860" i="14" s="1"/>
  <c r="I859" i="14"/>
  <c r="I858" i="14"/>
  <c r="I857" i="14"/>
  <c r="I856" i="14"/>
  <c r="I855" i="14"/>
  <c r="I854" i="14"/>
  <c r="I853" i="14"/>
  <c r="I852" i="14"/>
  <c r="I851" i="14"/>
  <c r="I850" i="14"/>
  <c r="I849" i="14"/>
  <c r="I848" i="14"/>
  <c r="I847" i="14"/>
  <c r="I846" i="14"/>
  <c r="I845" i="14"/>
  <c r="I844" i="14"/>
  <c r="I843" i="14"/>
  <c r="I842" i="14"/>
  <c r="I841" i="14"/>
  <c r="I840" i="14"/>
  <c r="I839" i="14"/>
  <c r="I838" i="14"/>
  <c r="I837" i="14"/>
  <c r="I836" i="14"/>
  <c r="I835" i="14"/>
  <c r="I834" i="14"/>
  <c r="I833" i="14"/>
  <c r="I832" i="14"/>
  <c r="I831" i="14"/>
  <c r="E826" i="14"/>
  <c r="E801" i="14"/>
  <c r="I801" i="14" s="1"/>
  <c r="E800" i="14"/>
  <c r="I800" i="14" s="1"/>
  <c r="E799" i="14"/>
  <c r="I799" i="14" s="1"/>
  <c r="E798" i="14"/>
  <c r="I798" i="14" s="1"/>
  <c r="E797" i="14"/>
  <c r="I797" i="14" s="1"/>
  <c r="I796" i="14"/>
  <c r="I795" i="14"/>
  <c r="I794" i="14"/>
  <c r="I793" i="14"/>
  <c r="I792" i="14"/>
  <c r="I791" i="14"/>
  <c r="I790" i="14"/>
  <c r="I789" i="14"/>
  <c r="I788" i="14"/>
  <c r="I787" i="14"/>
  <c r="I786" i="14"/>
  <c r="I785" i="14"/>
  <c r="I784" i="14"/>
  <c r="I783" i="14"/>
  <c r="I782" i="14"/>
  <c r="I781" i="14"/>
  <c r="I780" i="14"/>
  <c r="I779" i="14"/>
  <c r="I778" i="14"/>
  <c r="I777" i="14"/>
  <c r="I776" i="14"/>
  <c r="I775" i="14"/>
  <c r="I774" i="14"/>
  <c r="I773" i="14"/>
  <c r="I772" i="14"/>
  <c r="I771" i="14"/>
  <c r="I770" i="14"/>
  <c r="I769" i="14"/>
  <c r="I768" i="14"/>
  <c r="E763" i="14"/>
  <c r="E738" i="14"/>
  <c r="I738" i="14" s="1"/>
  <c r="E737" i="14"/>
  <c r="I737" i="14" s="1"/>
  <c r="E736" i="14"/>
  <c r="I736" i="14" s="1"/>
  <c r="E735" i="14"/>
  <c r="I735" i="14" s="1"/>
  <c r="E734" i="14"/>
  <c r="I734" i="14" s="1"/>
  <c r="I733" i="14"/>
  <c r="I732" i="14"/>
  <c r="I731" i="14"/>
  <c r="I730" i="14"/>
  <c r="I729" i="14"/>
  <c r="I728" i="14"/>
  <c r="I727" i="14"/>
  <c r="I726" i="14"/>
  <c r="I725" i="14"/>
  <c r="I724" i="14"/>
  <c r="I723" i="14"/>
  <c r="I722" i="14"/>
  <c r="I721" i="14"/>
  <c r="I720" i="14"/>
  <c r="I719" i="14"/>
  <c r="I718" i="14"/>
  <c r="I717" i="14"/>
  <c r="I716" i="14"/>
  <c r="I715" i="14"/>
  <c r="I714" i="14"/>
  <c r="I713" i="14"/>
  <c r="I712" i="14"/>
  <c r="I711" i="14"/>
  <c r="I710" i="14"/>
  <c r="I709" i="14"/>
  <c r="I708" i="14"/>
  <c r="I707" i="14"/>
  <c r="I706" i="14"/>
  <c r="I705" i="14"/>
  <c r="E700" i="14"/>
  <c r="I675" i="14"/>
  <c r="I674" i="14"/>
  <c r="I673" i="14"/>
  <c r="I672" i="14"/>
  <c r="I671" i="14"/>
  <c r="I670" i="14"/>
  <c r="I669" i="14"/>
  <c r="I668" i="14"/>
  <c r="I667" i="14"/>
  <c r="I666" i="14"/>
  <c r="I665" i="14"/>
  <c r="I664" i="14"/>
  <c r="I663" i="14"/>
  <c r="I662" i="14"/>
  <c r="I661" i="14"/>
  <c r="I660" i="14"/>
  <c r="I659" i="14"/>
  <c r="I658" i="14"/>
  <c r="I657" i="14"/>
  <c r="I656" i="14"/>
  <c r="I655" i="14"/>
  <c r="I654" i="14"/>
  <c r="I653" i="14"/>
  <c r="I652" i="14"/>
  <c r="I651" i="14"/>
  <c r="I650" i="14"/>
  <c r="I649" i="14"/>
  <c r="I648" i="14"/>
  <c r="I647" i="14"/>
  <c r="I646" i="14"/>
  <c r="I645" i="14"/>
  <c r="I644" i="14"/>
  <c r="I643" i="14"/>
  <c r="I642" i="14"/>
  <c r="E637" i="14"/>
  <c r="E612" i="14"/>
  <c r="I612" i="14" s="1"/>
  <c r="E611" i="14"/>
  <c r="I611" i="14" s="1"/>
  <c r="E610" i="14"/>
  <c r="I610" i="14" s="1"/>
  <c r="E609" i="14"/>
  <c r="I609" i="14" s="1"/>
  <c r="E608" i="14"/>
  <c r="I608" i="14" s="1"/>
  <c r="I607" i="14"/>
  <c r="I606" i="14"/>
  <c r="I605" i="14"/>
  <c r="I604" i="14"/>
  <c r="I603" i="14"/>
  <c r="I602" i="14"/>
  <c r="I601" i="14"/>
  <c r="I600" i="14"/>
  <c r="I599" i="14"/>
  <c r="I598" i="14"/>
  <c r="I597" i="14"/>
  <c r="I596" i="14"/>
  <c r="I595" i="14"/>
  <c r="I594" i="14"/>
  <c r="I593" i="14"/>
  <c r="I592" i="14"/>
  <c r="I591" i="14"/>
  <c r="I590" i="14"/>
  <c r="I589" i="14"/>
  <c r="I588" i="14"/>
  <c r="I587" i="14"/>
  <c r="I586" i="14"/>
  <c r="I585" i="14"/>
  <c r="I584" i="14"/>
  <c r="I583" i="14"/>
  <c r="I582" i="14"/>
  <c r="I581" i="14"/>
  <c r="I580" i="14"/>
  <c r="I579" i="14"/>
  <c r="E574" i="14"/>
  <c r="E549" i="14"/>
  <c r="I549" i="14" s="1"/>
  <c r="E548" i="14"/>
  <c r="I548" i="14" s="1"/>
  <c r="E547" i="14"/>
  <c r="I547" i="14" s="1"/>
  <c r="E546" i="14"/>
  <c r="I546" i="14" s="1"/>
  <c r="E545" i="14"/>
  <c r="I545" i="14" s="1"/>
  <c r="I544" i="14"/>
  <c r="I543" i="14"/>
  <c r="I542" i="14"/>
  <c r="I541" i="14"/>
  <c r="I540" i="14"/>
  <c r="I539" i="14"/>
  <c r="I538" i="14"/>
  <c r="I537" i="14"/>
  <c r="I536" i="14"/>
  <c r="I535" i="14"/>
  <c r="I534" i="14"/>
  <c r="I533" i="14"/>
  <c r="I532" i="14"/>
  <c r="I531" i="14"/>
  <c r="I530" i="14"/>
  <c r="I529" i="14"/>
  <c r="I528" i="14"/>
  <c r="I527" i="14"/>
  <c r="I526" i="14"/>
  <c r="I525" i="14"/>
  <c r="I524" i="14"/>
  <c r="I523" i="14"/>
  <c r="I522" i="14"/>
  <c r="I521" i="14"/>
  <c r="I520" i="14"/>
  <c r="I519" i="14"/>
  <c r="I518" i="14"/>
  <c r="I517" i="14"/>
  <c r="I516" i="14"/>
  <c r="E511" i="14"/>
  <c r="E486" i="14"/>
  <c r="I486" i="14" s="1"/>
  <c r="E485" i="14"/>
  <c r="I485" i="14" s="1"/>
  <c r="E484" i="14"/>
  <c r="I484" i="14" s="1"/>
  <c r="E483" i="14"/>
  <c r="I483" i="14" s="1"/>
  <c r="E482" i="14"/>
  <c r="I482" i="14" s="1"/>
  <c r="I481" i="14"/>
  <c r="I480" i="14"/>
  <c r="I479" i="14"/>
  <c r="I478" i="14"/>
  <c r="I477" i="14"/>
  <c r="I476" i="14"/>
  <c r="I475" i="14"/>
  <c r="I474" i="14"/>
  <c r="I473" i="14"/>
  <c r="I472" i="14"/>
  <c r="I471" i="14"/>
  <c r="I470" i="14"/>
  <c r="I469" i="14"/>
  <c r="I468" i="14"/>
  <c r="I467" i="14"/>
  <c r="I466" i="14"/>
  <c r="I465" i="14"/>
  <c r="I464" i="14"/>
  <c r="I463" i="14"/>
  <c r="I462" i="14"/>
  <c r="I461" i="14"/>
  <c r="I460" i="14"/>
  <c r="I459" i="14"/>
  <c r="I458" i="14"/>
  <c r="I457" i="14"/>
  <c r="I456" i="14"/>
  <c r="I455" i="14"/>
  <c r="I454" i="14"/>
  <c r="I453" i="14"/>
  <c r="E448" i="14"/>
  <c r="I423" i="14"/>
  <c r="E423" i="14"/>
  <c r="I422" i="14"/>
  <c r="E422" i="14"/>
  <c r="E421" i="14"/>
  <c r="I421" i="14" s="1"/>
  <c r="E420" i="14"/>
  <c r="I420" i="14" s="1"/>
  <c r="E419" i="14"/>
  <c r="I419" i="14" s="1"/>
  <c r="I418" i="14"/>
  <c r="I417" i="14"/>
  <c r="I416" i="14"/>
  <c r="I415" i="14"/>
  <c r="I414" i="14"/>
  <c r="I413" i="14"/>
  <c r="I412" i="14"/>
  <c r="I411" i="14"/>
  <c r="I410" i="14"/>
  <c r="I409" i="14"/>
  <c r="I408" i="14"/>
  <c r="I407" i="14"/>
  <c r="I406" i="14"/>
  <c r="I405" i="14"/>
  <c r="I404" i="14"/>
  <c r="I403" i="14"/>
  <c r="I402" i="14"/>
  <c r="I401" i="14"/>
  <c r="I400" i="14"/>
  <c r="I399" i="14"/>
  <c r="I398" i="14"/>
  <c r="I397" i="14"/>
  <c r="I396" i="14"/>
  <c r="I395" i="14"/>
  <c r="I394" i="14"/>
  <c r="I393" i="14"/>
  <c r="I392" i="14"/>
  <c r="I391" i="14"/>
  <c r="I390" i="14"/>
  <c r="E385" i="14"/>
  <c r="J65" i="14"/>
  <c r="J128" i="14" s="1"/>
  <c r="J191" i="14" s="1"/>
  <c r="J254" i="14" s="1"/>
  <c r="J317" i="14" s="1"/>
  <c r="J380" i="14" s="1"/>
  <c r="J443" i="14" s="1"/>
  <c r="J506" i="14" s="1"/>
  <c r="J569" i="14" s="1"/>
  <c r="J632" i="14" s="1"/>
  <c r="J695" i="14" s="1"/>
  <c r="J758" i="14" s="1"/>
  <c r="J821" i="14" s="1"/>
  <c r="J884" i="14" s="1"/>
  <c r="J947" i="14" s="1"/>
  <c r="J1010" i="14" s="1"/>
  <c r="J1073" i="14" s="1"/>
  <c r="J1136" i="14" s="1"/>
  <c r="J1199" i="14" s="1"/>
  <c r="J1262" i="14" s="1"/>
  <c r="J1325" i="14" s="1"/>
  <c r="J1388" i="14" s="1"/>
  <c r="J1451" i="14" s="1"/>
  <c r="J1514" i="14" s="1"/>
  <c r="J1577" i="14" s="1"/>
  <c r="J1640" i="14" s="1"/>
  <c r="J1703" i="14" s="1"/>
  <c r="J1766" i="14" s="1"/>
  <c r="J1829" i="14" s="1"/>
  <c r="J1892" i="14" s="1"/>
  <c r="J66" i="14"/>
  <c r="J67" i="14"/>
  <c r="J68" i="14"/>
  <c r="J131" i="14" s="1"/>
  <c r="J194" i="14" s="1"/>
  <c r="J257" i="14" s="1"/>
  <c r="J320" i="14" s="1"/>
  <c r="J383" i="14" s="1"/>
  <c r="J446" i="14" s="1"/>
  <c r="J509" i="14" s="1"/>
  <c r="J572" i="14" s="1"/>
  <c r="J635" i="14" s="1"/>
  <c r="J698" i="14" s="1"/>
  <c r="J761" i="14" s="1"/>
  <c r="J824" i="14" s="1"/>
  <c r="J887" i="14" s="1"/>
  <c r="J950" i="14" s="1"/>
  <c r="J1013" i="14" s="1"/>
  <c r="J1076" i="14" s="1"/>
  <c r="J1139" i="14" s="1"/>
  <c r="J1202" i="14" s="1"/>
  <c r="J1265" i="14" s="1"/>
  <c r="J1328" i="14" s="1"/>
  <c r="J1391" i="14" s="1"/>
  <c r="J1454" i="14" s="1"/>
  <c r="J1517" i="14" s="1"/>
  <c r="J1580" i="14" s="1"/>
  <c r="J1643" i="14" s="1"/>
  <c r="J1706" i="14" s="1"/>
  <c r="J1769" i="14" s="1"/>
  <c r="J1832" i="14" s="1"/>
  <c r="J1895" i="14" s="1"/>
  <c r="J69" i="14"/>
  <c r="J132" i="14" s="1"/>
  <c r="J195" i="14" s="1"/>
  <c r="J258" i="14" s="1"/>
  <c r="J321" i="14" s="1"/>
  <c r="J384" i="14" s="1"/>
  <c r="J447" i="14" s="1"/>
  <c r="J510" i="14" s="1"/>
  <c r="J573" i="14" s="1"/>
  <c r="J636" i="14" s="1"/>
  <c r="J699" i="14" s="1"/>
  <c r="J762" i="14" s="1"/>
  <c r="J825" i="14" s="1"/>
  <c r="J888" i="14" s="1"/>
  <c r="J951" i="14" s="1"/>
  <c r="J1014" i="14" s="1"/>
  <c r="J1077" i="14" s="1"/>
  <c r="J1140" i="14" s="1"/>
  <c r="J1203" i="14" s="1"/>
  <c r="J1266" i="14" s="1"/>
  <c r="J1329" i="14" s="1"/>
  <c r="J1392" i="14" s="1"/>
  <c r="J1455" i="14" s="1"/>
  <c r="J1518" i="14" s="1"/>
  <c r="J1581" i="14" s="1"/>
  <c r="J1644" i="14" s="1"/>
  <c r="J1707" i="14" s="1"/>
  <c r="J1770" i="14" s="1"/>
  <c r="J1833" i="14" s="1"/>
  <c r="J1896" i="14" s="1"/>
  <c r="J70" i="14"/>
  <c r="J71" i="14"/>
  <c r="J72" i="14"/>
  <c r="J135" i="14" s="1"/>
  <c r="J198" i="14" s="1"/>
  <c r="J261" i="14" s="1"/>
  <c r="J324" i="14" s="1"/>
  <c r="J387" i="14" s="1"/>
  <c r="J450" i="14" s="1"/>
  <c r="J513" i="14" s="1"/>
  <c r="J576" i="14" s="1"/>
  <c r="J639" i="14" s="1"/>
  <c r="J702" i="14" s="1"/>
  <c r="J765" i="14" s="1"/>
  <c r="J828" i="14" s="1"/>
  <c r="J891" i="14" s="1"/>
  <c r="J954" i="14" s="1"/>
  <c r="J1017" i="14" s="1"/>
  <c r="J1080" i="14" s="1"/>
  <c r="J1143" i="14" s="1"/>
  <c r="J1206" i="14" s="1"/>
  <c r="J1269" i="14" s="1"/>
  <c r="J1332" i="14" s="1"/>
  <c r="J1395" i="14" s="1"/>
  <c r="J1458" i="14" s="1"/>
  <c r="J1521" i="14" s="1"/>
  <c r="J1584" i="14" s="1"/>
  <c r="J1647" i="14" s="1"/>
  <c r="J1710" i="14" s="1"/>
  <c r="J1773" i="14" s="1"/>
  <c r="J1836" i="14" s="1"/>
  <c r="J1899" i="14" s="1"/>
  <c r="J73" i="14"/>
  <c r="J136" i="14" s="1"/>
  <c r="J199" i="14" s="1"/>
  <c r="J262" i="14" s="1"/>
  <c r="J325" i="14" s="1"/>
  <c r="J388" i="14" s="1"/>
  <c r="J451" i="14" s="1"/>
  <c r="J514" i="14" s="1"/>
  <c r="J577" i="14" s="1"/>
  <c r="J640" i="14" s="1"/>
  <c r="J703" i="14" s="1"/>
  <c r="J766" i="14" s="1"/>
  <c r="J829" i="14" s="1"/>
  <c r="J892" i="14" s="1"/>
  <c r="J955" i="14" s="1"/>
  <c r="J1018" i="14" s="1"/>
  <c r="J1081" i="14" s="1"/>
  <c r="J1144" i="14" s="1"/>
  <c r="J1207" i="14" s="1"/>
  <c r="J1270" i="14" s="1"/>
  <c r="J1333" i="14" s="1"/>
  <c r="J1396" i="14" s="1"/>
  <c r="J1459" i="14" s="1"/>
  <c r="J1522" i="14" s="1"/>
  <c r="J1585" i="14" s="1"/>
  <c r="J1648" i="14" s="1"/>
  <c r="J1711" i="14" s="1"/>
  <c r="J1774" i="14" s="1"/>
  <c r="J1837" i="14" s="1"/>
  <c r="J1900" i="14" s="1"/>
  <c r="J74" i="14"/>
  <c r="J75" i="14"/>
  <c r="J76" i="14"/>
  <c r="J139" i="14" s="1"/>
  <c r="J202" i="14" s="1"/>
  <c r="J265" i="14" s="1"/>
  <c r="J328" i="14" s="1"/>
  <c r="J391" i="14" s="1"/>
  <c r="J454" i="14" s="1"/>
  <c r="J517" i="14" s="1"/>
  <c r="J580" i="14" s="1"/>
  <c r="J643" i="14" s="1"/>
  <c r="J706" i="14" s="1"/>
  <c r="J769" i="14" s="1"/>
  <c r="J832" i="14" s="1"/>
  <c r="J895" i="14" s="1"/>
  <c r="J958" i="14" s="1"/>
  <c r="J1021" i="14" s="1"/>
  <c r="J1084" i="14" s="1"/>
  <c r="J1147" i="14" s="1"/>
  <c r="J1210" i="14" s="1"/>
  <c r="J1273" i="14" s="1"/>
  <c r="J1336" i="14" s="1"/>
  <c r="J1399" i="14" s="1"/>
  <c r="J1462" i="14" s="1"/>
  <c r="J1525" i="14" s="1"/>
  <c r="J1588" i="14" s="1"/>
  <c r="J1651" i="14" s="1"/>
  <c r="J1714" i="14" s="1"/>
  <c r="J1777" i="14" s="1"/>
  <c r="J1840" i="14" s="1"/>
  <c r="J1903" i="14" s="1"/>
  <c r="J77" i="14"/>
  <c r="J78" i="14"/>
  <c r="J79" i="14"/>
  <c r="J80" i="14"/>
  <c r="J143" i="14" s="1"/>
  <c r="J206" i="14" s="1"/>
  <c r="J269" i="14" s="1"/>
  <c r="J332" i="14" s="1"/>
  <c r="J395" i="14" s="1"/>
  <c r="J458" i="14" s="1"/>
  <c r="J521" i="14" s="1"/>
  <c r="J584" i="14" s="1"/>
  <c r="J647" i="14" s="1"/>
  <c r="J710" i="14" s="1"/>
  <c r="J773" i="14" s="1"/>
  <c r="J836" i="14" s="1"/>
  <c r="J899" i="14" s="1"/>
  <c r="J962" i="14" s="1"/>
  <c r="J1025" i="14" s="1"/>
  <c r="J1088" i="14" s="1"/>
  <c r="J1151" i="14" s="1"/>
  <c r="J1214" i="14" s="1"/>
  <c r="J1277" i="14" s="1"/>
  <c r="J1340" i="14" s="1"/>
  <c r="J1403" i="14" s="1"/>
  <c r="J1466" i="14" s="1"/>
  <c r="J1529" i="14" s="1"/>
  <c r="J1592" i="14" s="1"/>
  <c r="J1655" i="14" s="1"/>
  <c r="J1718" i="14" s="1"/>
  <c r="J1781" i="14" s="1"/>
  <c r="J1844" i="14" s="1"/>
  <c r="J1907" i="14" s="1"/>
  <c r="J81" i="14"/>
  <c r="J144" i="14" s="1"/>
  <c r="J207" i="14" s="1"/>
  <c r="J270" i="14" s="1"/>
  <c r="J333" i="14" s="1"/>
  <c r="J396" i="14" s="1"/>
  <c r="J459" i="14" s="1"/>
  <c r="J522" i="14" s="1"/>
  <c r="J585" i="14" s="1"/>
  <c r="J648" i="14" s="1"/>
  <c r="J711" i="14" s="1"/>
  <c r="J774" i="14" s="1"/>
  <c r="J837" i="14" s="1"/>
  <c r="J900" i="14" s="1"/>
  <c r="J963" i="14" s="1"/>
  <c r="J1026" i="14" s="1"/>
  <c r="J1089" i="14" s="1"/>
  <c r="J1152" i="14" s="1"/>
  <c r="J1215" i="14" s="1"/>
  <c r="J1278" i="14" s="1"/>
  <c r="J1341" i="14" s="1"/>
  <c r="J1404" i="14" s="1"/>
  <c r="J1467" i="14" s="1"/>
  <c r="J1530" i="14" s="1"/>
  <c r="J1593" i="14" s="1"/>
  <c r="J1656" i="14" s="1"/>
  <c r="J1719" i="14" s="1"/>
  <c r="J1782" i="14" s="1"/>
  <c r="J1845" i="14" s="1"/>
  <c r="J1908" i="14" s="1"/>
  <c r="J82" i="14"/>
  <c r="J83" i="14"/>
  <c r="J84" i="14"/>
  <c r="J147" i="14" s="1"/>
  <c r="J210" i="14" s="1"/>
  <c r="J273" i="14" s="1"/>
  <c r="J336" i="14" s="1"/>
  <c r="J399" i="14" s="1"/>
  <c r="J462" i="14" s="1"/>
  <c r="J525" i="14" s="1"/>
  <c r="J588" i="14" s="1"/>
  <c r="J651" i="14" s="1"/>
  <c r="J714" i="14" s="1"/>
  <c r="J777" i="14" s="1"/>
  <c r="J840" i="14" s="1"/>
  <c r="J903" i="14" s="1"/>
  <c r="J966" i="14" s="1"/>
  <c r="J1029" i="14" s="1"/>
  <c r="J1092" i="14" s="1"/>
  <c r="J1155" i="14" s="1"/>
  <c r="J1218" i="14" s="1"/>
  <c r="J1281" i="14" s="1"/>
  <c r="J1344" i="14" s="1"/>
  <c r="J1407" i="14" s="1"/>
  <c r="J1470" i="14" s="1"/>
  <c r="J1533" i="14" s="1"/>
  <c r="J1596" i="14" s="1"/>
  <c r="J1659" i="14" s="1"/>
  <c r="J1722" i="14" s="1"/>
  <c r="J1785" i="14" s="1"/>
  <c r="J1848" i="14" s="1"/>
  <c r="J1911" i="14" s="1"/>
  <c r="J85" i="14"/>
  <c r="J148" i="14" s="1"/>
  <c r="J211" i="14" s="1"/>
  <c r="J274" i="14" s="1"/>
  <c r="J337" i="14" s="1"/>
  <c r="J400" i="14" s="1"/>
  <c r="J463" i="14" s="1"/>
  <c r="J526" i="14" s="1"/>
  <c r="J589" i="14" s="1"/>
  <c r="J652" i="14" s="1"/>
  <c r="J715" i="14" s="1"/>
  <c r="J778" i="14" s="1"/>
  <c r="J841" i="14" s="1"/>
  <c r="J904" i="14" s="1"/>
  <c r="J967" i="14" s="1"/>
  <c r="J1030" i="14" s="1"/>
  <c r="J1093" i="14" s="1"/>
  <c r="J1156" i="14" s="1"/>
  <c r="J1219" i="14" s="1"/>
  <c r="J1282" i="14" s="1"/>
  <c r="J1345" i="14" s="1"/>
  <c r="J1408" i="14" s="1"/>
  <c r="J1471" i="14" s="1"/>
  <c r="J1534" i="14" s="1"/>
  <c r="J1597" i="14" s="1"/>
  <c r="J1660" i="14" s="1"/>
  <c r="J1723" i="14" s="1"/>
  <c r="J1786" i="14" s="1"/>
  <c r="J1849" i="14" s="1"/>
  <c r="J1912" i="14" s="1"/>
  <c r="J86" i="14"/>
  <c r="J87" i="14"/>
  <c r="J88" i="14"/>
  <c r="J151" i="14" s="1"/>
  <c r="J214" i="14" s="1"/>
  <c r="J277" i="14" s="1"/>
  <c r="J340" i="14" s="1"/>
  <c r="J403" i="14" s="1"/>
  <c r="J466" i="14" s="1"/>
  <c r="J529" i="14" s="1"/>
  <c r="J592" i="14" s="1"/>
  <c r="J655" i="14" s="1"/>
  <c r="J718" i="14" s="1"/>
  <c r="J781" i="14" s="1"/>
  <c r="J844" i="14" s="1"/>
  <c r="J907" i="14" s="1"/>
  <c r="J970" i="14" s="1"/>
  <c r="J1033" i="14" s="1"/>
  <c r="J1096" i="14" s="1"/>
  <c r="J1159" i="14" s="1"/>
  <c r="J1222" i="14" s="1"/>
  <c r="J1285" i="14" s="1"/>
  <c r="J1348" i="14" s="1"/>
  <c r="J1411" i="14" s="1"/>
  <c r="J1474" i="14" s="1"/>
  <c r="J1537" i="14" s="1"/>
  <c r="J1600" i="14" s="1"/>
  <c r="J1663" i="14" s="1"/>
  <c r="J1726" i="14" s="1"/>
  <c r="J1789" i="14" s="1"/>
  <c r="J1852" i="14" s="1"/>
  <c r="J1915" i="14" s="1"/>
  <c r="J89" i="14"/>
  <c r="J152" i="14" s="1"/>
  <c r="J215" i="14" s="1"/>
  <c r="J278" i="14" s="1"/>
  <c r="J341" i="14" s="1"/>
  <c r="J404" i="14" s="1"/>
  <c r="J467" i="14" s="1"/>
  <c r="J530" i="14" s="1"/>
  <c r="J593" i="14" s="1"/>
  <c r="J656" i="14" s="1"/>
  <c r="J719" i="14" s="1"/>
  <c r="J782" i="14" s="1"/>
  <c r="J845" i="14" s="1"/>
  <c r="J908" i="14" s="1"/>
  <c r="J971" i="14" s="1"/>
  <c r="J1034" i="14" s="1"/>
  <c r="J1097" i="14" s="1"/>
  <c r="J1160" i="14" s="1"/>
  <c r="J1223" i="14" s="1"/>
  <c r="J1286" i="14" s="1"/>
  <c r="J1349" i="14" s="1"/>
  <c r="J1412" i="14" s="1"/>
  <c r="J1475" i="14" s="1"/>
  <c r="J1538" i="14" s="1"/>
  <c r="J1601" i="14" s="1"/>
  <c r="J1664" i="14" s="1"/>
  <c r="J1727" i="14" s="1"/>
  <c r="J1790" i="14" s="1"/>
  <c r="J1853" i="14" s="1"/>
  <c r="J1916" i="14" s="1"/>
  <c r="J90" i="14"/>
  <c r="J91" i="14"/>
  <c r="J92" i="14"/>
  <c r="J155" i="14" s="1"/>
  <c r="J218" i="14" s="1"/>
  <c r="J281" i="14" s="1"/>
  <c r="J344" i="14" s="1"/>
  <c r="J407" i="14" s="1"/>
  <c r="J470" i="14" s="1"/>
  <c r="J533" i="14" s="1"/>
  <c r="J596" i="14" s="1"/>
  <c r="J659" i="14" s="1"/>
  <c r="J722" i="14" s="1"/>
  <c r="J785" i="14" s="1"/>
  <c r="J848" i="14" s="1"/>
  <c r="J911" i="14" s="1"/>
  <c r="J974" i="14" s="1"/>
  <c r="J1037" i="14" s="1"/>
  <c r="J1100" i="14" s="1"/>
  <c r="J1163" i="14" s="1"/>
  <c r="J1226" i="14" s="1"/>
  <c r="J1289" i="14" s="1"/>
  <c r="J1352" i="14" s="1"/>
  <c r="J1415" i="14" s="1"/>
  <c r="J1478" i="14" s="1"/>
  <c r="J1541" i="14" s="1"/>
  <c r="J1604" i="14" s="1"/>
  <c r="J1667" i="14" s="1"/>
  <c r="J1730" i="14" s="1"/>
  <c r="J1793" i="14" s="1"/>
  <c r="J1856" i="14" s="1"/>
  <c r="J1919" i="14" s="1"/>
  <c r="J93" i="14"/>
  <c r="J156" i="14" s="1"/>
  <c r="J219" i="14" s="1"/>
  <c r="J282" i="14" s="1"/>
  <c r="J345" i="14" s="1"/>
  <c r="J408" i="14" s="1"/>
  <c r="J471" i="14" s="1"/>
  <c r="J534" i="14" s="1"/>
  <c r="J597" i="14" s="1"/>
  <c r="J660" i="14" s="1"/>
  <c r="J723" i="14" s="1"/>
  <c r="J786" i="14" s="1"/>
  <c r="J849" i="14" s="1"/>
  <c r="J912" i="14" s="1"/>
  <c r="J975" i="14" s="1"/>
  <c r="J1038" i="14" s="1"/>
  <c r="J1101" i="14" s="1"/>
  <c r="J1164" i="14" s="1"/>
  <c r="J1227" i="14" s="1"/>
  <c r="J1290" i="14" s="1"/>
  <c r="J1353" i="14" s="1"/>
  <c r="J1416" i="14" s="1"/>
  <c r="J1479" i="14" s="1"/>
  <c r="J1542" i="14" s="1"/>
  <c r="J1605" i="14" s="1"/>
  <c r="J1668" i="14" s="1"/>
  <c r="J1731" i="14" s="1"/>
  <c r="J1794" i="14" s="1"/>
  <c r="J1857" i="14" s="1"/>
  <c r="J1920" i="14" s="1"/>
  <c r="J94" i="14"/>
  <c r="J95" i="14"/>
  <c r="J96" i="14"/>
  <c r="J159" i="14" s="1"/>
  <c r="J222" i="14" s="1"/>
  <c r="J285" i="14" s="1"/>
  <c r="J348" i="14" s="1"/>
  <c r="J411" i="14" s="1"/>
  <c r="J474" i="14" s="1"/>
  <c r="J537" i="14" s="1"/>
  <c r="J600" i="14" s="1"/>
  <c r="J663" i="14" s="1"/>
  <c r="J726" i="14" s="1"/>
  <c r="J789" i="14" s="1"/>
  <c r="J852" i="14" s="1"/>
  <c r="J915" i="14" s="1"/>
  <c r="J978" i="14" s="1"/>
  <c r="J1041" i="14" s="1"/>
  <c r="J1104" i="14" s="1"/>
  <c r="J1167" i="14" s="1"/>
  <c r="J1230" i="14" s="1"/>
  <c r="J1293" i="14" s="1"/>
  <c r="J1356" i="14" s="1"/>
  <c r="J1419" i="14" s="1"/>
  <c r="J1482" i="14" s="1"/>
  <c r="J1545" i="14" s="1"/>
  <c r="J1608" i="14" s="1"/>
  <c r="J1671" i="14" s="1"/>
  <c r="J1734" i="14" s="1"/>
  <c r="J1797" i="14" s="1"/>
  <c r="J1860" i="14" s="1"/>
  <c r="J1923" i="14" s="1"/>
  <c r="J97" i="14"/>
  <c r="J160" i="14" s="1"/>
  <c r="J223" i="14" s="1"/>
  <c r="J286" i="14" s="1"/>
  <c r="J349" i="14" s="1"/>
  <c r="J412" i="14" s="1"/>
  <c r="J475" i="14" s="1"/>
  <c r="J538" i="14" s="1"/>
  <c r="J601" i="14" s="1"/>
  <c r="J664" i="14" s="1"/>
  <c r="J727" i="14" s="1"/>
  <c r="J790" i="14" s="1"/>
  <c r="J853" i="14" s="1"/>
  <c r="J916" i="14" s="1"/>
  <c r="J979" i="14" s="1"/>
  <c r="J1042" i="14" s="1"/>
  <c r="J1105" i="14" s="1"/>
  <c r="J1168" i="14" s="1"/>
  <c r="J1231" i="14" s="1"/>
  <c r="J1294" i="14" s="1"/>
  <c r="J1357" i="14" s="1"/>
  <c r="J1420" i="14" s="1"/>
  <c r="J1483" i="14" s="1"/>
  <c r="J1546" i="14" s="1"/>
  <c r="J1609" i="14" s="1"/>
  <c r="J1672" i="14" s="1"/>
  <c r="J1735" i="14" s="1"/>
  <c r="J1798" i="14" s="1"/>
  <c r="J1861" i="14" s="1"/>
  <c r="J1924" i="14" s="1"/>
  <c r="J98" i="14"/>
  <c r="J99" i="14"/>
  <c r="J100" i="14"/>
  <c r="J163" i="14" s="1"/>
  <c r="J226" i="14" s="1"/>
  <c r="J289" i="14" s="1"/>
  <c r="J352" i="14" s="1"/>
  <c r="J415" i="14" s="1"/>
  <c r="J478" i="14" s="1"/>
  <c r="J541" i="14" s="1"/>
  <c r="J604" i="14" s="1"/>
  <c r="J667" i="14" s="1"/>
  <c r="J730" i="14" s="1"/>
  <c r="J793" i="14" s="1"/>
  <c r="J856" i="14" s="1"/>
  <c r="J919" i="14" s="1"/>
  <c r="J982" i="14" s="1"/>
  <c r="J1045" i="14" s="1"/>
  <c r="J1108" i="14" s="1"/>
  <c r="J1171" i="14" s="1"/>
  <c r="J1234" i="14" s="1"/>
  <c r="J1297" i="14" s="1"/>
  <c r="J1360" i="14" s="1"/>
  <c r="J1423" i="14" s="1"/>
  <c r="J1486" i="14" s="1"/>
  <c r="J1549" i="14" s="1"/>
  <c r="J1612" i="14" s="1"/>
  <c r="J1675" i="14" s="1"/>
  <c r="J1738" i="14" s="1"/>
  <c r="J1801" i="14" s="1"/>
  <c r="J1864" i="14" s="1"/>
  <c r="J1927" i="14" s="1"/>
  <c r="J101" i="14"/>
  <c r="J164" i="14" s="1"/>
  <c r="J227" i="14" s="1"/>
  <c r="J290" i="14" s="1"/>
  <c r="J353" i="14" s="1"/>
  <c r="J416" i="14" s="1"/>
  <c r="J479" i="14" s="1"/>
  <c r="J542" i="14" s="1"/>
  <c r="J605" i="14" s="1"/>
  <c r="J668" i="14" s="1"/>
  <c r="J731" i="14" s="1"/>
  <c r="J794" i="14" s="1"/>
  <c r="J857" i="14" s="1"/>
  <c r="J920" i="14" s="1"/>
  <c r="J983" i="14" s="1"/>
  <c r="J1046" i="14" s="1"/>
  <c r="J1109" i="14" s="1"/>
  <c r="J1172" i="14" s="1"/>
  <c r="J1235" i="14" s="1"/>
  <c r="J1298" i="14" s="1"/>
  <c r="J1361" i="14" s="1"/>
  <c r="J1424" i="14" s="1"/>
  <c r="J1487" i="14" s="1"/>
  <c r="J1550" i="14" s="1"/>
  <c r="J1613" i="14" s="1"/>
  <c r="J1676" i="14" s="1"/>
  <c r="J1739" i="14" s="1"/>
  <c r="J1802" i="14" s="1"/>
  <c r="J1865" i="14" s="1"/>
  <c r="J1928" i="14" s="1"/>
  <c r="J102" i="14"/>
  <c r="J103" i="14"/>
  <c r="J104" i="14"/>
  <c r="J167" i="14" s="1"/>
  <c r="J230" i="14" s="1"/>
  <c r="J293" i="14" s="1"/>
  <c r="J356" i="14" s="1"/>
  <c r="J419" i="14" s="1"/>
  <c r="J482" i="14" s="1"/>
  <c r="J545" i="14" s="1"/>
  <c r="J608" i="14" s="1"/>
  <c r="J671" i="14" s="1"/>
  <c r="J734" i="14" s="1"/>
  <c r="J797" i="14" s="1"/>
  <c r="J860" i="14" s="1"/>
  <c r="J923" i="14" s="1"/>
  <c r="J986" i="14" s="1"/>
  <c r="J1049" i="14" s="1"/>
  <c r="J1112" i="14" s="1"/>
  <c r="J1175" i="14" s="1"/>
  <c r="J1238" i="14" s="1"/>
  <c r="J1301" i="14" s="1"/>
  <c r="J1364" i="14" s="1"/>
  <c r="J1427" i="14" s="1"/>
  <c r="J1490" i="14" s="1"/>
  <c r="J1553" i="14" s="1"/>
  <c r="J1616" i="14" s="1"/>
  <c r="J1679" i="14" s="1"/>
  <c r="J1742" i="14" s="1"/>
  <c r="J1805" i="14" s="1"/>
  <c r="J1868" i="14" s="1"/>
  <c r="J1931" i="14" s="1"/>
  <c r="J105" i="14"/>
  <c r="J168" i="14" s="1"/>
  <c r="J231" i="14" s="1"/>
  <c r="J294" i="14" s="1"/>
  <c r="J357" i="14" s="1"/>
  <c r="J420" i="14" s="1"/>
  <c r="J483" i="14" s="1"/>
  <c r="J546" i="14" s="1"/>
  <c r="J609" i="14" s="1"/>
  <c r="J672" i="14" s="1"/>
  <c r="J735" i="14" s="1"/>
  <c r="J798" i="14" s="1"/>
  <c r="J861" i="14" s="1"/>
  <c r="J924" i="14" s="1"/>
  <c r="J987" i="14" s="1"/>
  <c r="J1050" i="14" s="1"/>
  <c r="J1113" i="14" s="1"/>
  <c r="J1176" i="14" s="1"/>
  <c r="J1239" i="14" s="1"/>
  <c r="J1302" i="14" s="1"/>
  <c r="J1365" i="14" s="1"/>
  <c r="J1428" i="14" s="1"/>
  <c r="J1491" i="14" s="1"/>
  <c r="J1554" i="14" s="1"/>
  <c r="J1617" i="14" s="1"/>
  <c r="J1680" i="14" s="1"/>
  <c r="J1743" i="14" s="1"/>
  <c r="J1806" i="14" s="1"/>
  <c r="J1869" i="14" s="1"/>
  <c r="J1932" i="14" s="1"/>
  <c r="J106" i="14"/>
  <c r="J107" i="14"/>
  <c r="J108" i="14"/>
  <c r="J171" i="14" s="1"/>
  <c r="J234" i="14" s="1"/>
  <c r="J297" i="14" s="1"/>
  <c r="J360" i="14" s="1"/>
  <c r="J423" i="14" s="1"/>
  <c r="J486" i="14" s="1"/>
  <c r="J549" i="14" s="1"/>
  <c r="J612" i="14" s="1"/>
  <c r="J675" i="14" s="1"/>
  <c r="J738" i="14" s="1"/>
  <c r="J801" i="14" s="1"/>
  <c r="J864" i="14" s="1"/>
  <c r="J927" i="14" s="1"/>
  <c r="J990" i="14" s="1"/>
  <c r="J1053" i="14" s="1"/>
  <c r="J1116" i="14" s="1"/>
  <c r="J1179" i="14" s="1"/>
  <c r="J1242" i="14" s="1"/>
  <c r="J1305" i="14" s="1"/>
  <c r="J1368" i="14" s="1"/>
  <c r="J1431" i="14" s="1"/>
  <c r="J1494" i="14" s="1"/>
  <c r="J1557" i="14" s="1"/>
  <c r="J1620" i="14" s="1"/>
  <c r="J1683" i="14" s="1"/>
  <c r="J1746" i="14" s="1"/>
  <c r="J1809" i="14" s="1"/>
  <c r="J1872" i="14" s="1"/>
  <c r="J1935" i="14" s="1"/>
  <c r="J109" i="14"/>
  <c r="J172" i="14" s="1"/>
  <c r="J235" i="14" s="1"/>
  <c r="J298" i="14" s="1"/>
  <c r="J361" i="14" s="1"/>
  <c r="J424" i="14" s="1"/>
  <c r="J487" i="14" s="1"/>
  <c r="J550" i="14" s="1"/>
  <c r="J613" i="14" s="1"/>
  <c r="J676" i="14" s="1"/>
  <c r="J739" i="14" s="1"/>
  <c r="J802" i="14" s="1"/>
  <c r="J865" i="14" s="1"/>
  <c r="J928" i="14" s="1"/>
  <c r="J991" i="14" s="1"/>
  <c r="J1054" i="14" s="1"/>
  <c r="J1117" i="14" s="1"/>
  <c r="J1180" i="14" s="1"/>
  <c r="J1243" i="14" s="1"/>
  <c r="J1306" i="14" s="1"/>
  <c r="J1369" i="14" s="1"/>
  <c r="J1432" i="14" s="1"/>
  <c r="J1495" i="14" s="1"/>
  <c r="J1558" i="14" s="1"/>
  <c r="J1621" i="14" s="1"/>
  <c r="J1684" i="14" s="1"/>
  <c r="J1747" i="14" s="1"/>
  <c r="J1810" i="14" s="1"/>
  <c r="J1873" i="14" s="1"/>
  <c r="J1936" i="14" s="1"/>
  <c r="J110" i="14"/>
  <c r="J111" i="14"/>
  <c r="J112" i="14"/>
  <c r="J175" i="14" s="1"/>
  <c r="J238" i="14" s="1"/>
  <c r="J301" i="14" s="1"/>
  <c r="J364" i="14" s="1"/>
  <c r="J427" i="14" s="1"/>
  <c r="J490" i="14" s="1"/>
  <c r="J553" i="14" s="1"/>
  <c r="J616" i="14" s="1"/>
  <c r="J679" i="14" s="1"/>
  <c r="J742" i="14" s="1"/>
  <c r="J805" i="14" s="1"/>
  <c r="J868" i="14" s="1"/>
  <c r="J931" i="14" s="1"/>
  <c r="J994" i="14" s="1"/>
  <c r="J1057" i="14" s="1"/>
  <c r="J1120" i="14" s="1"/>
  <c r="J1183" i="14" s="1"/>
  <c r="J1246" i="14" s="1"/>
  <c r="J1309" i="14" s="1"/>
  <c r="J1372" i="14" s="1"/>
  <c r="J1435" i="14" s="1"/>
  <c r="J1498" i="14" s="1"/>
  <c r="J1561" i="14" s="1"/>
  <c r="J1624" i="14" s="1"/>
  <c r="J1687" i="14" s="1"/>
  <c r="J1750" i="14" s="1"/>
  <c r="J1813" i="14" s="1"/>
  <c r="J1876" i="14" s="1"/>
  <c r="J1939" i="14" s="1"/>
  <c r="J113" i="14"/>
  <c r="J176" i="14" s="1"/>
  <c r="J239" i="14" s="1"/>
  <c r="J302" i="14" s="1"/>
  <c r="J365" i="14" s="1"/>
  <c r="J428" i="14" s="1"/>
  <c r="J491" i="14" s="1"/>
  <c r="J554" i="14" s="1"/>
  <c r="J617" i="14" s="1"/>
  <c r="J680" i="14" s="1"/>
  <c r="J743" i="14" s="1"/>
  <c r="J806" i="14" s="1"/>
  <c r="J869" i="14" s="1"/>
  <c r="J932" i="14" s="1"/>
  <c r="J995" i="14" s="1"/>
  <c r="J1058" i="14" s="1"/>
  <c r="J1121" i="14" s="1"/>
  <c r="J1184" i="14" s="1"/>
  <c r="J1247" i="14" s="1"/>
  <c r="J1310" i="14" s="1"/>
  <c r="J1373" i="14" s="1"/>
  <c r="J1436" i="14" s="1"/>
  <c r="J1499" i="14" s="1"/>
  <c r="J1562" i="14" s="1"/>
  <c r="J1625" i="14" s="1"/>
  <c r="J1688" i="14" s="1"/>
  <c r="J1751" i="14" s="1"/>
  <c r="J1814" i="14" s="1"/>
  <c r="J1877" i="14" s="1"/>
  <c r="J1940" i="14" s="1"/>
  <c r="J114" i="14"/>
  <c r="J115" i="14"/>
  <c r="J116" i="14"/>
  <c r="J179" i="14" s="1"/>
  <c r="J242" i="14" s="1"/>
  <c r="J305" i="14" s="1"/>
  <c r="J368" i="14" s="1"/>
  <c r="J431" i="14" s="1"/>
  <c r="J494" i="14" s="1"/>
  <c r="J557" i="14" s="1"/>
  <c r="J620" i="14" s="1"/>
  <c r="J683" i="14" s="1"/>
  <c r="J746" i="14" s="1"/>
  <c r="J809" i="14" s="1"/>
  <c r="J872" i="14" s="1"/>
  <c r="J935" i="14" s="1"/>
  <c r="J998" i="14" s="1"/>
  <c r="J1061" i="14" s="1"/>
  <c r="J1124" i="14" s="1"/>
  <c r="J1187" i="14" s="1"/>
  <c r="J1250" i="14" s="1"/>
  <c r="J1313" i="14" s="1"/>
  <c r="J1376" i="14" s="1"/>
  <c r="J1439" i="14" s="1"/>
  <c r="J1502" i="14" s="1"/>
  <c r="J1565" i="14" s="1"/>
  <c r="J1628" i="14" s="1"/>
  <c r="J1691" i="14" s="1"/>
  <c r="J1754" i="14" s="1"/>
  <c r="J1817" i="14" s="1"/>
  <c r="J1880" i="14" s="1"/>
  <c r="J1943" i="14" s="1"/>
  <c r="J117" i="14"/>
  <c r="J180" i="14" s="1"/>
  <c r="J243" i="14" s="1"/>
  <c r="J306" i="14" s="1"/>
  <c r="J369" i="14" s="1"/>
  <c r="J432" i="14" s="1"/>
  <c r="J495" i="14" s="1"/>
  <c r="J558" i="14" s="1"/>
  <c r="J621" i="14" s="1"/>
  <c r="J684" i="14" s="1"/>
  <c r="J747" i="14" s="1"/>
  <c r="J810" i="14" s="1"/>
  <c r="J873" i="14" s="1"/>
  <c r="J936" i="14" s="1"/>
  <c r="J999" i="14" s="1"/>
  <c r="J1062" i="14" s="1"/>
  <c r="J1125" i="14" s="1"/>
  <c r="J1188" i="14" s="1"/>
  <c r="J1251" i="14" s="1"/>
  <c r="J1314" i="14" s="1"/>
  <c r="J1377" i="14" s="1"/>
  <c r="J1440" i="14" s="1"/>
  <c r="J1503" i="14" s="1"/>
  <c r="J1566" i="14" s="1"/>
  <c r="J1629" i="14" s="1"/>
  <c r="J1692" i="14" s="1"/>
  <c r="J1755" i="14" s="1"/>
  <c r="J1818" i="14" s="1"/>
  <c r="J1881" i="14" s="1"/>
  <c r="J1944" i="14" s="1"/>
  <c r="J118" i="14"/>
  <c r="J119" i="14"/>
  <c r="J120" i="14"/>
  <c r="J183" i="14" s="1"/>
  <c r="J246" i="14" s="1"/>
  <c r="J309" i="14" s="1"/>
  <c r="J372" i="14" s="1"/>
  <c r="J435" i="14" s="1"/>
  <c r="J498" i="14" s="1"/>
  <c r="J561" i="14" s="1"/>
  <c r="J624" i="14" s="1"/>
  <c r="J687" i="14" s="1"/>
  <c r="J750" i="14" s="1"/>
  <c r="J813" i="14" s="1"/>
  <c r="J876" i="14" s="1"/>
  <c r="J939" i="14" s="1"/>
  <c r="J1002" i="14" s="1"/>
  <c r="J1065" i="14" s="1"/>
  <c r="J1128" i="14" s="1"/>
  <c r="J1191" i="14" s="1"/>
  <c r="J1254" i="14" s="1"/>
  <c r="J1317" i="14" s="1"/>
  <c r="J1380" i="14" s="1"/>
  <c r="J1443" i="14" s="1"/>
  <c r="J1506" i="14" s="1"/>
  <c r="J1569" i="14" s="1"/>
  <c r="J1632" i="14" s="1"/>
  <c r="J1695" i="14" s="1"/>
  <c r="J1758" i="14" s="1"/>
  <c r="J1821" i="14" s="1"/>
  <c r="J1884" i="14" s="1"/>
  <c r="J1947" i="14" s="1"/>
  <c r="J121" i="14"/>
  <c r="J184" i="14" s="1"/>
  <c r="J247" i="14" s="1"/>
  <c r="J310" i="14" s="1"/>
  <c r="J373" i="14" s="1"/>
  <c r="J436" i="14" s="1"/>
  <c r="J499" i="14" s="1"/>
  <c r="J562" i="14" s="1"/>
  <c r="J625" i="14" s="1"/>
  <c r="J688" i="14" s="1"/>
  <c r="J751" i="14" s="1"/>
  <c r="J814" i="14" s="1"/>
  <c r="J877" i="14" s="1"/>
  <c r="J940" i="14" s="1"/>
  <c r="J1003" i="14" s="1"/>
  <c r="J1066" i="14" s="1"/>
  <c r="J1129" i="14" s="1"/>
  <c r="J1192" i="14" s="1"/>
  <c r="J1255" i="14" s="1"/>
  <c r="J1318" i="14" s="1"/>
  <c r="J1381" i="14" s="1"/>
  <c r="J1444" i="14" s="1"/>
  <c r="J1507" i="14" s="1"/>
  <c r="J1570" i="14" s="1"/>
  <c r="J1633" i="14" s="1"/>
  <c r="J1696" i="14" s="1"/>
  <c r="J1759" i="14" s="1"/>
  <c r="J1822" i="14" s="1"/>
  <c r="J1885" i="14" s="1"/>
  <c r="J1948" i="14" s="1"/>
  <c r="J122" i="14"/>
  <c r="J123" i="14"/>
  <c r="J124" i="14"/>
  <c r="J187" i="14" s="1"/>
  <c r="J250" i="14" s="1"/>
  <c r="J313" i="14" s="1"/>
  <c r="J376" i="14" s="1"/>
  <c r="J439" i="14" s="1"/>
  <c r="J502" i="14" s="1"/>
  <c r="J565" i="14" s="1"/>
  <c r="J628" i="14" s="1"/>
  <c r="J691" i="14" s="1"/>
  <c r="J754" i="14" s="1"/>
  <c r="J817" i="14" s="1"/>
  <c r="J880" i="14" s="1"/>
  <c r="J943" i="14" s="1"/>
  <c r="J1006" i="14" s="1"/>
  <c r="J1069" i="14" s="1"/>
  <c r="J1132" i="14" s="1"/>
  <c r="J1195" i="14" s="1"/>
  <c r="J1258" i="14" s="1"/>
  <c r="J1321" i="14" s="1"/>
  <c r="J1384" i="14" s="1"/>
  <c r="J1447" i="14" s="1"/>
  <c r="J1510" i="14" s="1"/>
  <c r="J1573" i="14" s="1"/>
  <c r="J1636" i="14" s="1"/>
  <c r="J1699" i="14" s="1"/>
  <c r="J1762" i="14" s="1"/>
  <c r="J1825" i="14" s="1"/>
  <c r="J1888" i="14" s="1"/>
  <c r="J1951" i="14" s="1"/>
  <c r="J125" i="14"/>
  <c r="J188" i="14" s="1"/>
  <c r="J251" i="14" s="1"/>
  <c r="J314" i="14" s="1"/>
  <c r="J377" i="14" s="1"/>
  <c r="J440" i="14" s="1"/>
  <c r="J503" i="14" s="1"/>
  <c r="J566" i="14" s="1"/>
  <c r="J629" i="14" s="1"/>
  <c r="J692" i="14" s="1"/>
  <c r="J755" i="14" s="1"/>
  <c r="J818" i="14" s="1"/>
  <c r="J881" i="14" s="1"/>
  <c r="J944" i="14" s="1"/>
  <c r="J1007" i="14" s="1"/>
  <c r="J1070" i="14" s="1"/>
  <c r="J1133" i="14" s="1"/>
  <c r="J1196" i="14" s="1"/>
  <c r="J1259" i="14" s="1"/>
  <c r="J1322" i="14" s="1"/>
  <c r="J1385" i="14" s="1"/>
  <c r="J1448" i="14" s="1"/>
  <c r="J1511" i="14" s="1"/>
  <c r="J1574" i="14" s="1"/>
  <c r="J1637" i="14" s="1"/>
  <c r="J1700" i="14" s="1"/>
  <c r="J1763" i="14" s="1"/>
  <c r="J1826" i="14" s="1"/>
  <c r="J1889" i="14" s="1"/>
  <c r="J1952" i="14" s="1"/>
  <c r="J126" i="14"/>
  <c r="J129" i="14"/>
  <c r="J192" i="14" s="1"/>
  <c r="J255" i="14" s="1"/>
  <c r="J318" i="14" s="1"/>
  <c r="J381" i="14" s="1"/>
  <c r="J444" i="14" s="1"/>
  <c r="J507" i="14" s="1"/>
  <c r="J570" i="14" s="1"/>
  <c r="J633" i="14" s="1"/>
  <c r="J696" i="14" s="1"/>
  <c r="J759" i="14" s="1"/>
  <c r="J822" i="14" s="1"/>
  <c r="J885" i="14" s="1"/>
  <c r="J948" i="14" s="1"/>
  <c r="J1011" i="14" s="1"/>
  <c r="J1074" i="14" s="1"/>
  <c r="J1137" i="14" s="1"/>
  <c r="J1200" i="14" s="1"/>
  <c r="J1263" i="14" s="1"/>
  <c r="J1326" i="14" s="1"/>
  <c r="J1389" i="14" s="1"/>
  <c r="J1452" i="14" s="1"/>
  <c r="J1515" i="14" s="1"/>
  <c r="J1578" i="14" s="1"/>
  <c r="J1641" i="14" s="1"/>
  <c r="J1704" i="14" s="1"/>
  <c r="J1767" i="14" s="1"/>
  <c r="J1830" i="14" s="1"/>
  <c r="J1893" i="14" s="1"/>
  <c r="J130" i="14"/>
  <c r="J193" i="14" s="1"/>
  <c r="J256" i="14" s="1"/>
  <c r="J319" i="14" s="1"/>
  <c r="J382" i="14" s="1"/>
  <c r="J445" i="14" s="1"/>
  <c r="J508" i="14" s="1"/>
  <c r="J571" i="14" s="1"/>
  <c r="J634" i="14" s="1"/>
  <c r="J697" i="14" s="1"/>
  <c r="J760" i="14" s="1"/>
  <c r="J823" i="14" s="1"/>
  <c r="J886" i="14" s="1"/>
  <c r="J949" i="14" s="1"/>
  <c r="J1012" i="14" s="1"/>
  <c r="J1075" i="14" s="1"/>
  <c r="J1138" i="14" s="1"/>
  <c r="J1201" i="14" s="1"/>
  <c r="J1264" i="14" s="1"/>
  <c r="J1327" i="14" s="1"/>
  <c r="J1390" i="14" s="1"/>
  <c r="J1453" i="14" s="1"/>
  <c r="J1516" i="14" s="1"/>
  <c r="J1579" i="14" s="1"/>
  <c r="J1642" i="14" s="1"/>
  <c r="J1705" i="14" s="1"/>
  <c r="J1768" i="14" s="1"/>
  <c r="J1831" i="14" s="1"/>
  <c r="J1894" i="14" s="1"/>
  <c r="J133" i="14"/>
  <c r="J196" i="14" s="1"/>
  <c r="J259" i="14" s="1"/>
  <c r="J322" i="14" s="1"/>
  <c r="J385" i="14" s="1"/>
  <c r="J448" i="14" s="1"/>
  <c r="J511" i="14" s="1"/>
  <c r="J574" i="14" s="1"/>
  <c r="J637" i="14" s="1"/>
  <c r="J700" i="14" s="1"/>
  <c r="J763" i="14" s="1"/>
  <c r="J826" i="14" s="1"/>
  <c r="J889" i="14" s="1"/>
  <c r="J952" i="14" s="1"/>
  <c r="J1015" i="14" s="1"/>
  <c r="J1078" i="14" s="1"/>
  <c r="J1141" i="14" s="1"/>
  <c r="J1204" i="14" s="1"/>
  <c r="J1267" i="14" s="1"/>
  <c r="J1330" i="14" s="1"/>
  <c r="J1393" i="14" s="1"/>
  <c r="J1456" i="14" s="1"/>
  <c r="J1519" i="14" s="1"/>
  <c r="J1582" i="14" s="1"/>
  <c r="J1645" i="14" s="1"/>
  <c r="J1708" i="14" s="1"/>
  <c r="J1771" i="14" s="1"/>
  <c r="J1834" i="14" s="1"/>
  <c r="J1897" i="14" s="1"/>
  <c r="J134" i="14"/>
  <c r="J197" i="14" s="1"/>
  <c r="J260" i="14" s="1"/>
  <c r="J323" i="14" s="1"/>
  <c r="J386" i="14" s="1"/>
  <c r="J449" i="14" s="1"/>
  <c r="J512" i="14" s="1"/>
  <c r="J575" i="14" s="1"/>
  <c r="J638" i="14" s="1"/>
  <c r="J701" i="14" s="1"/>
  <c r="J764" i="14" s="1"/>
  <c r="J827" i="14" s="1"/>
  <c r="J890" i="14" s="1"/>
  <c r="J953" i="14" s="1"/>
  <c r="J1016" i="14" s="1"/>
  <c r="J1079" i="14" s="1"/>
  <c r="J1142" i="14" s="1"/>
  <c r="J1205" i="14" s="1"/>
  <c r="J1268" i="14" s="1"/>
  <c r="J1331" i="14" s="1"/>
  <c r="J1394" i="14" s="1"/>
  <c r="J1457" i="14" s="1"/>
  <c r="J1520" i="14" s="1"/>
  <c r="J1583" i="14" s="1"/>
  <c r="J1646" i="14" s="1"/>
  <c r="J1709" i="14" s="1"/>
  <c r="J1772" i="14" s="1"/>
  <c r="J1835" i="14" s="1"/>
  <c r="J1898" i="14" s="1"/>
  <c r="J137" i="14"/>
  <c r="J138" i="14"/>
  <c r="J201" i="14" s="1"/>
  <c r="J264" i="14" s="1"/>
  <c r="J327" i="14" s="1"/>
  <c r="J390" i="14" s="1"/>
  <c r="J453" i="14" s="1"/>
  <c r="J516" i="14" s="1"/>
  <c r="J579" i="14" s="1"/>
  <c r="J642" i="14" s="1"/>
  <c r="J705" i="14" s="1"/>
  <c r="J768" i="14" s="1"/>
  <c r="J831" i="14" s="1"/>
  <c r="J894" i="14" s="1"/>
  <c r="J957" i="14" s="1"/>
  <c r="J1020" i="14" s="1"/>
  <c r="J1083" i="14" s="1"/>
  <c r="J1146" i="14" s="1"/>
  <c r="J1209" i="14" s="1"/>
  <c r="J1272" i="14" s="1"/>
  <c r="J1335" i="14" s="1"/>
  <c r="J1398" i="14" s="1"/>
  <c r="J1461" i="14" s="1"/>
  <c r="J1524" i="14" s="1"/>
  <c r="J1587" i="14" s="1"/>
  <c r="J1650" i="14" s="1"/>
  <c r="J1713" i="14" s="1"/>
  <c r="J1776" i="14" s="1"/>
  <c r="J1839" i="14" s="1"/>
  <c r="J1902" i="14" s="1"/>
  <c r="J140" i="14"/>
  <c r="J203" i="14" s="1"/>
  <c r="J266" i="14" s="1"/>
  <c r="J329" i="14" s="1"/>
  <c r="J392" i="14" s="1"/>
  <c r="J455" i="14" s="1"/>
  <c r="J518" i="14" s="1"/>
  <c r="J581" i="14" s="1"/>
  <c r="J644" i="14" s="1"/>
  <c r="J707" i="14" s="1"/>
  <c r="J770" i="14" s="1"/>
  <c r="J833" i="14" s="1"/>
  <c r="J896" i="14" s="1"/>
  <c r="J959" i="14" s="1"/>
  <c r="J1022" i="14" s="1"/>
  <c r="J1085" i="14" s="1"/>
  <c r="J1148" i="14" s="1"/>
  <c r="J1211" i="14" s="1"/>
  <c r="J1274" i="14" s="1"/>
  <c r="J1337" i="14" s="1"/>
  <c r="J1400" i="14" s="1"/>
  <c r="J1463" i="14" s="1"/>
  <c r="J1526" i="14" s="1"/>
  <c r="J1589" i="14" s="1"/>
  <c r="J1652" i="14" s="1"/>
  <c r="J1715" i="14" s="1"/>
  <c r="J1778" i="14" s="1"/>
  <c r="J1841" i="14" s="1"/>
  <c r="J1904" i="14" s="1"/>
  <c r="J141" i="14"/>
  <c r="J142" i="14"/>
  <c r="J145" i="14"/>
  <c r="J208" i="14" s="1"/>
  <c r="J271" i="14" s="1"/>
  <c r="J334" i="14" s="1"/>
  <c r="J397" i="14" s="1"/>
  <c r="J460" i="14" s="1"/>
  <c r="J523" i="14" s="1"/>
  <c r="J586" i="14" s="1"/>
  <c r="J649" i="14" s="1"/>
  <c r="J712" i="14" s="1"/>
  <c r="J775" i="14" s="1"/>
  <c r="J838" i="14" s="1"/>
  <c r="J901" i="14" s="1"/>
  <c r="J964" i="14" s="1"/>
  <c r="J1027" i="14" s="1"/>
  <c r="J1090" i="14" s="1"/>
  <c r="J1153" i="14" s="1"/>
  <c r="J1216" i="14" s="1"/>
  <c r="J1279" i="14" s="1"/>
  <c r="J1342" i="14" s="1"/>
  <c r="J1405" i="14" s="1"/>
  <c r="J1468" i="14" s="1"/>
  <c r="J1531" i="14" s="1"/>
  <c r="J1594" i="14" s="1"/>
  <c r="J1657" i="14" s="1"/>
  <c r="J1720" i="14" s="1"/>
  <c r="J1783" i="14" s="1"/>
  <c r="J1846" i="14" s="1"/>
  <c r="J1909" i="14" s="1"/>
  <c r="J146" i="14"/>
  <c r="J209" i="14" s="1"/>
  <c r="J272" i="14" s="1"/>
  <c r="J335" i="14" s="1"/>
  <c r="J398" i="14" s="1"/>
  <c r="J461" i="14" s="1"/>
  <c r="J524" i="14" s="1"/>
  <c r="J587" i="14" s="1"/>
  <c r="J650" i="14" s="1"/>
  <c r="J713" i="14" s="1"/>
  <c r="J776" i="14" s="1"/>
  <c r="J839" i="14" s="1"/>
  <c r="J902" i="14" s="1"/>
  <c r="J965" i="14" s="1"/>
  <c r="J1028" i="14" s="1"/>
  <c r="J1091" i="14" s="1"/>
  <c r="J1154" i="14" s="1"/>
  <c r="J1217" i="14" s="1"/>
  <c r="J1280" i="14" s="1"/>
  <c r="J1343" i="14" s="1"/>
  <c r="J1406" i="14" s="1"/>
  <c r="J1469" i="14" s="1"/>
  <c r="J1532" i="14" s="1"/>
  <c r="J1595" i="14" s="1"/>
  <c r="J1658" i="14" s="1"/>
  <c r="J1721" i="14" s="1"/>
  <c r="J1784" i="14" s="1"/>
  <c r="J1847" i="14" s="1"/>
  <c r="J1910" i="14" s="1"/>
  <c r="J149" i="14"/>
  <c r="J212" i="14" s="1"/>
  <c r="J275" i="14" s="1"/>
  <c r="J338" i="14" s="1"/>
  <c r="J401" i="14" s="1"/>
  <c r="J464" i="14" s="1"/>
  <c r="J527" i="14" s="1"/>
  <c r="J590" i="14" s="1"/>
  <c r="J653" i="14" s="1"/>
  <c r="J716" i="14" s="1"/>
  <c r="J779" i="14" s="1"/>
  <c r="J842" i="14" s="1"/>
  <c r="J905" i="14" s="1"/>
  <c r="J968" i="14" s="1"/>
  <c r="J1031" i="14" s="1"/>
  <c r="J1094" i="14" s="1"/>
  <c r="J1157" i="14" s="1"/>
  <c r="J1220" i="14" s="1"/>
  <c r="J1283" i="14" s="1"/>
  <c r="J1346" i="14" s="1"/>
  <c r="J1409" i="14" s="1"/>
  <c r="J1472" i="14" s="1"/>
  <c r="J1535" i="14" s="1"/>
  <c r="J1598" i="14" s="1"/>
  <c r="J1661" i="14" s="1"/>
  <c r="J1724" i="14" s="1"/>
  <c r="J1787" i="14" s="1"/>
  <c r="J1850" i="14" s="1"/>
  <c r="J1913" i="14" s="1"/>
  <c r="J150" i="14"/>
  <c r="J213" i="14" s="1"/>
  <c r="J276" i="14" s="1"/>
  <c r="J339" i="14" s="1"/>
  <c r="J402" i="14" s="1"/>
  <c r="J465" i="14" s="1"/>
  <c r="J528" i="14" s="1"/>
  <c r="J591" i="14" s="1"/>
  <c r="J654" i="14" s="1"/>
  <c r="J717" i="14" s="1"/>
  <c r="J780" i="14" s="1"/>
  <c r="J843" i="14" s="1"/>
  <c r="J906" i="14" s="1"/>
  <c r="J969" i="14" s="1"/>
  <c r="J1032" i="14" s="1"/>
  <c r="J1095" i="14" s="1"/>
  <c r="J1158" i="14" s="1"/>
  <c r="J1221" i="14" s="1"/>
  <c r="J1284" i="14" s="1"/>
  <c r="J1347" i="14" s="1"/>
  <c r="J1410" i="14" s="1"/>
  <c r="J1473" i="14" s="1"/>
  <c r="J1536" i="14" s="1"/>
  <c r="J1599" i="14" s="1"/>
  <c r="J1662" i="14" s="1"/>
  <c r="J1725" i="14" s="1"/>
  <c r="J1788" i="14" s="1"/>
  <c r="J1851" i="14" s="1"/>
  <c r="J1914" i="14" s="1"/>
  <c r="J153" i="14"/>
  <c r="J216" i="14" s="1"/>
  <c r="J279" i="14" s="1"/>
  <c r="J342" i="14" s="1"/>
  <c r="J405" i="14" s="1"/>
  <c r="J468" i="14" s="1"/>
  <c r="J531" i="14" s="1"/>
  <c r="J594" i="14" s="1"/>
  <c r="J657" i="14" s="1"/>
  <c r="J720" i="14" s="1"/>
  <c r="J783" i="14" s="1"/>
  <c r="J846" i="14" s="1"/>
  <c r="J909" i="14" s="1"/>
  <c r="J972" i="14" s="1"/>
  <c r="J1035" i="14" s="1"/>
  <c r="J1098" i="14" s="1"/>
  <c r="J1161" i="14" s="1"/>
  <c r="J1224" i="14" s="1"/>
  <c r="J1287" i="14" s="1"/>
  <c r="J1350" i="14" s="1"/>
  <c r="J1413" i="14" s="1"/>
  <c r="J1476" i="14" s="1"/>
  <c r="J1539" i="14" s="1"/>
  <c r="J1602" i="14" s="1"/>
  <c r="J1665" i="14" s="1"/>
  <c r="J1728" i="14" s="1"/>
  <c r="J1791" i="14" s="1"/>
  <c r="J1854" i="14" s="1"/>
  <c r="J1917" i="14" s="1"/>
  <c r="J154" i="14"/>
  <c r="J217" i="14" s="1"/>
  <c r="J280" i="14" s="1"/>
  <c r="J343" i="14" s="1"/>
  <c r="J406" i="14" s="1"/>
  <c r="J469" i="14" s="1"/>
  <c r="J532" i="14" s="1"/>
  <c r="J595" i="14" s="1"/>
  <c r="J658" i="14" s="1"/>
  <c r="J721" i="14" s="1"/>
  <c r="J784" i="14" s="1"/>
  <c r="J847" i="14" s="1"/>
  <c r="J910" i="14" s="1"/>
  <c r="J973" i="14" s="1"/>
  <c r="J1036" i="14" s="1"/>
  <c r="J1099" i="14" s="1"/>
  <c r="J1162" i="14" s="1"/>
  <c r="J1225" i="14" s="1"/>
  <c r="J1288" i="14" s="1"/>
  <c r="J1351" i="14" s="1"/>
  <c r="J1414" i="14" s="1"/>
  <c r="J1477" i="14" s="1"/>
  <c r="J1540" i="14" s="1"/>
  <c r="J1603" i="14" s="1"/>
  <c r="J1666" i="14" s="1"/>
  <c r="J1729" i="14" s="1"/>
  <c r="J1792" i="14" s="1"/>
  <c r="J1855" i="14" s="1"/>
  <c r="J1918" i="14" s="1"/>
  <c r="J157" i="14"/>
  <c r="J158" i="14"/>
  <c r="J161" i="14"/>
  <c r="J224" i="14" s="1"/>
  <c r="J287" i="14" s="1"/>
  <c r="J350" i="14" s="1"/>
  <c r="J413" i="14" s="1"/>
  <c r="J476" i="14" s="1"/>
  <c r="J539" i="14" s="1"/>
  <c r="J602" i="14" s="1"/>
  <c r="J665" i="14" s="1"/>
  <c r="J728" i="14" s="1"/>
  <c r="J791" i="14" s="1"/>
  <c r="J854" i="14" s="1"/>
  <c r="J917" i="14" s="1"/>
  <c r="J980" i="14" s="1"/>
  <c r="J1043" i="14" s="1"/>
  <c r="J1106" i="14" s="1"/>
  <c r="J1169" i="14" s="1"/>
  <c r="J1232" i="14" s="1"/>
  <c r="J1295" i="14" s="1"/>
  <c r="J1358" i="14" s="1"/>
  <c r="J1421" i="14" s="1"/>
  <c r="J1484" i="14" s="1"/>
  <c r="J1547" i="14" s="1"/>
  <c r="J1610" i="14" s="1"/>
  <c r="J1673" i="14" s="1"/>
  <c r="J1736" i="14" s="1"/>
  <c r="J1799" i="14" s="1"/>
  <c r="J1862" i="14" s="1"/>
  <c r="J1925" i="14" s="1"/>
  <c r="J162" i="14"/>
  <c r="J165" i="14"/>
  <c r="J228" i="14" s="1"/>
  <c r="J291" i="14" s="1"/>
  <c r="J354" i="14" s="1"/>
  <c r="J417" i="14" s="1"/>
  <c r="J480" i="14" s="1"/>
  <c r="J543" i="14" s="1"/>
  <c r="J606" i="14" s="1"/>
  <c r="J669" i="14" s="1"/>
  <c r="J732" i="14" s="1"/>
  <c r="J795" i="14" s="1"/>
  <c r="J858" i="14" s="1"/>
  <c r="J921" i="14" s="1"/>
  <c r="J984" i="14" s="1"/>
  <c r="J1047" i="14" s="1"/>
  <c r="J1110" i="14" s="1"/>
  <c r="J1173" i="14" s="1"/>
  <c r="J1236" i="14" s="1"/>
  <c r="J1299" i="14" s="1"/>
  <c r="J1362" i="14" s="1"/>
  <c r="J1425" i="14" s="1"/>
  <c r="J1488" i="14" s="1"/>
  <c r="J1551" i="14" s="1"/>
  <c r="J1614" i="14" s="1"/>
  <c r="J1677" i="14" s="1"/>
  <c r="J1740" i="14" s="1"/>
  <c r="J1803" i="14" s="1"/>
  <c r="J1866" i="14" s="1"/>
  <c r="J1929" i="14" s="1"/>
  <c r="J166" i="14"/>
  <c r="J229" i="14" s="1"/>
  <c r="J292" i="14" s="1"/>
  <c r="J355" i="14" s="1"/>
  <c r="J418" i="14" s="1"/>
  <c r="J481" i="14" s="1"/>
  <c r="J544" i="14" s="1"/>
  <c r="J607" i="14" s="1"/>
  <c r="J670" i="14" s="1"/>
  <c r="J733" i="14" s="1"/>
  <c r="J796" i="14" s="1"/>
  <c r="J859" i="14" s="1"/>
  <c r="J922" i="14" s="1"/>
  <c r="J985" i="14" s="1"/>
  <c r="J1048" i="14" s="1"/>
  <c r="J1111" i="14" s="1"/>
  <c r="J1174" i="14" s="1"/>
  <c r="J1237" i="14" s="1"/>
  <c r="J1300" i="14" s="1"/>
  <c r="J1363" i="14" s="1"/>
  <c r="J1426" i="14" s="1"/>
  <c r="J1489" i="14" s="1"/>
  <c r="J1552" i="14" s="1"/>
  <c r="J1615" i="14" s="1"/>
  <c r="J1678" i="14" s="1"/>
  <c r="J1741" i="14" s="1"/>
  <c r="J1804" i="14" s="1"/>
  <c r="J1867" i="14" s="1"/>
  <c r="J1930" i="14" s="1"/>
  <c r="J169" i="14"/>
  <c r="J232" i="14" s="1"/>
  <c r="J295" i="14" s="1"/>
  <c r="J358" i="14" s="1"/>
  <c r="J421" i="14" s="1"/>
  <c r="J484" i="14" s="1"/>
  <c r="J547" i="14" s="1"/>
  <c r="J610" i="14" s="1"/>
  <c r="J673" i="14" s="1"/>
  <c r="J736" i="14" s="1"/>
  <c r="J799" i="14" s="1"/>
  <c r="J862" i="14" s="1"/>
  <c r="J925" i="14" s="1"/>
  <c r="J988" i="14" s="1"/>
  <c r="J1051" i="14" s="1"/>
  <c r="J1114" i="14" s="1"/>
  <c r="J1177" i="14" s="1"/>
  <c r="J1240" i="14" s="1"/>
  <c r="J1303" i="14" s="1"/>
  <c r="J1366" i="14" s="1"/>
  <c r="J1429" i="14" s="1"/>
  <c r="J1492" i="14" s="1"/>
  <c r="J1555" i="14" s="1"/>
  <c r="J1618" i="14" s="1"/>
  <c r="J1681" i="14" s="1"/>
  <c r="J1744" i="14" s="1"/>
  <c r="J1807" i="14" s="1"/>
  <c r="J1870" i="14" s="1"/>
  <c r="J1933" i="14" s="1"/>
  <c r="J170" i="14"/>
  <c r="J233" i="14" s="1"/>
  <c r="J296" i="14" s="1"/>
  <c r="J359" i="14" s="1"/>
  <c r="J422" i="14" s="1"/>
  <c r="J485" i="14" s="1"/>
  <c r="J548" i="14" s="1"/>
  <c r="J611" i="14" s="1"/>
  <c r="J674" i="14" s="1"/>
  <c r="J737" i="14" s="1"/>
  <c r="J800" i="14" s="1"/>
  <c r="J863" i="14" s="1"/>
  <c r="J926" i="14" s="1"/>
  <c r="J989" i="14" s="1"/>
  <c r="J1052" i="14" s="1"/>
  <c r="J1115" i="14" s="1"/>
  <c r="J1178" i="14" s="1"/>
  <c r="J1241" i="14" s="1"/>
  <c r="J1304" i="14" s="1"/>
  <c r="J1367" i="14" s="1"/>
  <c r="J1430" i="14" s="1"/>
  <c r="J1493" i="14" s="1"/>
  <c r="J1556" i="14" s="1"/>
  <c r="J1619" i="14" s="1"/>
  <c r="J1682" i="14" s="1"/>
  <c r="J1745" i="14" s="1"/>
  <c r="J1808" i="14" s="1"/>
  <c r="J1871" i="14" s="1"/>
  <c r="J1934" i="14" s="1"/>
  <c r="J173" i="14"/>
  <c r="J174" i="14"/>
  <c r="J177" i="14"/>
  <c r="J240" i="14" s="1"/>
  <c r="J303" i="14" s="1"/>
  <c r="J366" i="14" s="1"/>
  <c r="J429" i="14" s="1"/>
  <c r="J492" i="14" s="1"/>
  <c r="J555" i="14" s="1"/>
  <c r="J618" i="14" s="1"/>
  <c r="J681" i="14" s="1"/>
  <c r="J744" i="14" s="1"/>
  <c r="J807" i="14" s="1"/>
  <c r="J870" i="14" s="1"/>
  <c r="J933" i="14" s="1"/>
  <c r="J996" i="14" s="1"/>
  <c r="J1059" i="14" s="1"/>
  <c r="J1122" i="14" s="1"/>
  <c r="J1185" i="14" s="1"/>
  <c r="J1248" i="14" s="1"/>
  <c r="J1311" i="14" s="1"/>
  <c r="J1374" i="14" s="1"/>
  <c r="J1437" i="14" s="1"/>
  <c r="J1500" i="14" s="1"/>
  <c r="J1563" i="14" s="1"/>
  <c r="J1626" i="14" s="1"/>
  <c r="J1689" i="14" s="1"/>
  <c r="J1752" i="14" s="1"/>
  <c r="J1815" i="14" s="1"/>
  <c r="J1878" i="14" s="1"/>
  <c r="J1941" i="14" s="1"/>
  <c r="J178" i="14"/>
  <c r="J181" i="14"/>
  <c r="J244" i="14" s="1"/>
  <c r="J307" i="14" s="1"/>
  <c r="J370" i="14" s="1"/>
  <c r="J433" i="14" s="1"/>
  <c r="J496" i="14" s="1"/>
  <c r="J559" i="14" s="1"/>
  <c r="J622" i="14" s="1"/>
  <c r="J685" i="14" s="1"/>
  <c r="J748" i="14" s="1"/>
  <c r="J811" i="14" s="1"/>
  <c r="J874" i="14" s="1"/>
  <c r="J937" i="14" s="1"/>
  <c r="J1000" i="14" s="1"/>
  <c r="J1063" i="14" s="1"/>
  <c r="J1126" i="14" s="1"/>
  <c r="J1189" i="14" s="1"/>
  <c r="J1252" i="14" s="1"/>
  <c r="J1315" i="14" s="1"/>
  <c r="J1378" i="14" s="1"/>
  <c r="J1441" i="14" s="1"/>
  <c r="J1504" i="14" s="1"/>
  <c r="J1567" i="14" s="1"/>
  <c r="J1630" i="14" s="1"/>
  <c r="J1693" i="14" s="1"/>
  <c r="J1756" i="14" s="1"/>
  <c r="J1819" i="14" s="1"/>
  <c r="J1882" i="14" s="1"/>
  <c r="J1945" i="14" s="1"/>
  <c r="J182" i="14"/>
  <c r="J245" i="14" s="1"/>
  <c r="J308" i="14" s="1"/>
  <c r="J371" i="14" s="1"/>
  <c r="J434" i="14" s="1"/>
  <c r="J497" i="14" s="1"/>
  <c r="J560" i="14" s="1"/>
  <c r="J623" i="14" s="1"/>
  <c r="J686" i="14" s="1"/>
  <c r="J749" i="14" s="1"/>
  <c r="J812" i="14" s="1"/>
  <c r="J875" i="14" s="1"/>
  <c r="J938" i="14" s="1"/>
  <c r="J1001" i="14" s="1"/>
  <c r="J1064" i="14" s="1"/>
  <c r="J1127" i="14" s="1"/>
  <c r="J1190" i="14" s="1"/>
  <c r="J1253" i="14" s="1"/>
  <c r="J1316" i="14" s="1"/>
  <c r="J1379" i="14" s="1"/>
  <c r="J1442" i="14" s="1"/>
  <c r="J1505" i="14" s="1"/>
  <c r="J1568" i="14" s="1"/>
  <c r="J1631" i="14" s="1"/>
  <c r="J1694" i="14" s="1"/>
  <c r="J1757" i="14" s="1"/>
  <c r="J1820" i="14" s="1"/>
  <c r="J1883" i="14" s="1"/>
  <c r="J1946" i="14" s="1"/>
  <c r="J185" i="14"/>
  <c r="J186" i="14"/>
  <c r="J249" i="14" s="1"/>
  <c r="J312" i="14" s="1"/>
  <c r="J375" i="14" s="1"/>
  <c r="J438" i="14" s="1"/>
  <c r="J501" i="14" s="1"/>
  <c r="J564" i="14" s="1"/>
  <c r="J627" i="14" s="1"/>
  <c r="J690" i="14" s="1"/>
  <c r="J753" i="14" s="1"/>
  <c r="J816" i="14" s="1"/>
  <c r="J879" i="14" s="1"/>
  <c r="J942" i="14" s="1"/>
  <c r="J1005" i="14" s="1"/>
  <c r="J1068" i="14" s="1"/>
  <c r="J1131" i="14" s="1"/>
  <c r="J1194" i="14" s="1"/>
  <c r="J1257" i="14" s="1"/>
  <c r="J1320" i="14" s="1"/>
  <c r="J1383" i="14" s="1"/>
  <c r="J1446" i="14" s="1"/>
  <c r="J1509" i="14" s="1"/>
  <c r="J1572" i="14" s="1"/>
  <c r="J1635" i="14" s="1"/>
  <c r="J1698" i="14" s="1"/>
  <c r="J1761" i="14" s="1"/>
  <c r="J1824" i="14" s="1"/>
  <c r="J1887" i="14" s="1"/>
  <c r="J1950" i="14" s="1"/>
  <c r="J189" i="14"/>
  <c r="J252" i="14" s="1"/>
  <c r="J315" i="14" s="1"/>
  <c r="J378" i="14" s="1"/>
  <c r="J441" i="14" s="1"/>
  <c r="J504" i="14" s="1"/>
  <c r="J567" i="14" s="1"/>
  <c r="J630" i="14" s="1"/>
  <c r="J693" i="14" s="1"/>
  <c r="J756" i="14" s="1"/>
  <c r="J819" i="14" s="1"/>
  <c r="J882" i="14" s="1"/>
  <c r="J945" i="14" s="1"/>
  <c r="J1008" i="14" s="1"/>
  <c r="J1071" i="14" s="1"/>
  <c r="J1134" i="14" s="1"/>
  <c r="J1197" i="14" s="1"/>
  <c r="J1260" i="14" s="1"/>
  <c r="J1323" i="14" s="1"/>
  <c r="J1386" i="14" s="1"/>
  <c r="J1449" i="14" s="1"/>
  <c r="J1512" i="14" s="1"/>
  <c r="J1575" i="14" s="1"/>
  <c r="J1638" i="14" s="1"/>
  <c r="J1701" i="14" s="1"/>
  <c r="J1764" i="14" s="1"/>
  <c r="J1827" i="14" s="1"/>
  <c r="J1890" i="14" s="1"/>
  <c r="J1953" i="14" s="1"/>
  <c r="J200" i="14"/>
  <c r="J263" i="14" s="1"/>
  <c r="J326" i="14" s="1"/>
  <c r="J389" i="14" s="1"/>
  <c r="J452" i="14" s="1"/>
  <c r="J515" i="14" s="1"/>
  <c r="J578" i="14" s="1"/>
  <c r="J641" i="14" s="1"/>
  <c r="J704" i="14" s="1"/>
  <c r="J767" i="14" s="1"/>
  <c r="J830" i="14" s="1"/>
  <c r="J893" i="14" s="1"/>
  <c r="J956" i="14" s="1"/>
  <c r="J1019" i="14" s="1"/>
  <c r="J1082" i="14" s="1"/>
  <c r="J1145" i="14" s="1"/>
  <c r="J1208" i="14" s="1"/>
  <c r="J1271" i="14" s="1"/>
  <c r="J1334" i="14" s="1"/>
  <c r="J1397" i="14" s="1"/>
  <c r="J1460" i="14" s="1"/>
  <c r="J1523" i="14" s="1"/>
  <c r="J1586" i="14" s="1"/>
  <c r="J1649" i="14" s="1"/>
  <c r="J1712" i="14" s="1"/>
  <c r="J1775" i="14" s="1"/>
  <c r="J1838" i="14" s="1"/>
  <c r="J1901" i="14" s="1"/>
  <c r="J204" i="14"/>
  <c r="J267" i="14" s="1"/>
  <c r="J330" i="14" s="1"/>
  <c r="J393" i="14" s="1"/>
  <c r="J456" i="14" s="1"/>
  <c r="J519" i="14" s="1"/>
  <c r="J582" i="14" s="1"/>
  <c r="J645" i="14" s="1"/>
  <c r="J708" i="14" s="1"/>
  <c r="J771" i="14" s="1"/>
  <c r="J834" i="14" s="1"/>
  <c r="J897" i="14" s="1"/>
  <c r="J960" i="14" s="1"/>
  <c r="J1023" i="14" s="1"/>
  <c r="J1086" i="14" s="1"/>
  <c r="J1149" i="14" s="1"/>
  <c r="J1212" i="14" s="1"/>
  <c r="J1275" i="14" s="1"/>
  <c r="J1338" i="14" s="1"/>
  <c r="J1401" i="14" s="1"/>
  <c r="J1464" i="14" s="1"/>
  <c r="J1527" i="14" s="1"/>
  <c r="J1590" i="14" s="1"/>
  <c r="J1653" i="14" s="1"/>
  <c r="J1716" i="14" s="1"/>
  <c r="J1779" i="14" s="1"/>
  <c r="J1842" i="14" s="1"/>
  <c r="J1905" i="14" s="1"/>
  <c r="J205" i="14"/>
  <c r="J268" i="14" s="1"/>
  <c r="J331" i="14" s="1"/>
  <c r="J394" i="14" s="1"/>
  <c r="J457" i="14" s="1"/>
  <c r="J520" i="14" s="1"/>
  <c r="J583" i="14" s="1"/>
  <c r="J646" i="14" s="1"/>
  <c r="J709" i="14" s="1"/>
  <c r="J772" i="14" s="1"/>
  <c r="J835" i="14" s="1"/>
  <c r="J898" i="14" s="1"/>
  <c r="J961" i="14" s="1"/>
  <c r="J1024" i="14" s="1"/>
  <c r="J1087" i="14" s="1"/>
  <c r="J1150" i="14" s="1"/>
  <c r="J1213" i="14" s="1"/>
  <c r="J1276" i="14" s="1"/>
  <c r="J1339" i="14" s="1"/>
  <c r="J1402" i="14" s="1"/>
  <c r="J1465" i="14" s="1"/>
  <c r="J1528" i="14" s="1"/>
  <c r="J1591" i="14" s="1"/>
  <c r="J1654" i="14" s="1"/>
  <c r="J1717" i="14" s="1"/>
  <c r="J1780" i="14" s="1"/>
  <c r="J1843" i="14" s="1"/>
  <c r="J1906" i="14" s="1"/>
  <c r="J220" i="14"/>
  <c r="J283" i="14" s="1"/>
  <c r="J346" i="14" s="1"/>
  <c r="J409" i="14" s="1"/>
  <c r="J472" i="14" s="1"/>
  <c r="J535" i="14" s="1"/>
  <c r="J598" i="14" s="1"/>
  <c r="J661" i="14" s="1"/>
  <c r="J724" i="14" s="1"/>
  <c r="J787" i="14" s="1"/>
  <c r="J850" i="14" s="1"/>
  <c r="J913" i="14" s="1"/>
  <c r="J976" i="14" s="1"/>
  <c r="J1039" i="14" s="1"/>
  <c r="J1102" i="14" s="1"/>
  <c r="J1165" i="14" s="1"/>
  <c r="J1228" i="14" s="1"/>
  <c r="J1291" i="14" s="1"/>
  <c r="J1354" i="14" s="1"/>
  <c r="J1417" i="14" s="1"/>
  <c r="J1480" i="14" s="1"/>
  <c r="J1543" i="14" s="1"/>
  <c r="J1606" i="14" s="1"/>
  <c r="J1669" i="14" s="1"/>
  <c r="J1732" i="14" s="1"/>
  <c r="J1795" i="14" s="1"/>
  <c r="J1858" i="14" s="1"/>
  <c r="J1921" i="14" s="1"/>
  <c r="J221" i="14"/>
  <c r="J284" i="14" s="1"/>
  <c r="J347" i="14" s="1"/>
  <c r="J410" i="14" s="1"/>
  <c r="J473" i="14" s="1"/>
  <c r="J536" i="14" s="1"/>
  <c r="J599" i="14" s="1"/>
  <c r="J662" i="14" s="1"/>
  <c r="J725" i="14" s="1"/>
  <c r="J788" i="14" s="1"/>
  <c r="J851" i="14" s="1"/>
  <c r="J914" i="14" s="1"/>
  <c r="J977" i="14" s="1"/>
  <c r="J1040" i="14" s="1"/>
  <c r="J1103" i="14" s="1"/>
  <c r="J1166" i="14" s="1"/>
  <c r="J1229" i="14" s="1"/>
  <c r="J1292" i="14" s="1"/>
  <c r="J1355" i="14" s="1"/>
  <c r="J1418" i="14" s="1"/>
  <c r="J1481" i="14" s="1"/>
  <c r="J1544" i="14" s="1"/>
  <c r="J1607" i="14" s="1"/>
  <c r="J1670" i="14" s="1"/>
  <c r="J1733" i="14" s="1"/>
  <c r="J1796" i="14" s="1"/>
  <c r="J1859" i="14" s="1"/>
  <c r="J1922" i="14" s="1"/>
  <c r="J225" i="14"/>
  <c r="J236" i="14"/>
  <c r="J299" i="14" s="1"/>
  <c r="J362" i="14" s="1"/>
  <c r="J425" i="14" s="1"/>
  <c r="J488" i="14" s="1"/>
  <c r="J551" i="14" s="1"/>
  <c r="J614" i="14" s="1"/>
  <c r="J677" i="14" s="1"/>
  <c r="J740" i="14" s="1"/>
  <c r="J803" i="14" s="1"/>
  <c r="J866" i="14" s="1"/>
  <c r="J929" i="14" s="1"/>
  <c r="J992" i="14" s="1"/>
  <c r="J1055" i="14" s="1"/>
  <c r="J1118" i="14" s="1"/>
  <c r="J1181" i="14" s="1"/>
  <c r="J1244" i="14" s="1"/>
  <c r="J1307" i="14" s="1"/>
  <c r="J1370" i="14" s="1"/>
  <c r="J1433" i="14" s="1"/>
  <c r="J1496" i="14" s="1"/>
  <c r="J1559" i="14" s="1"/>
  <c r="J1622" i="14" s="1"/>
  <c r="J1685" i="14" s="1"/>
  <c r="J1748" i="14" s="1"/>
  <c r="J1811" i="14" s="1"/>
  <c r="J1874" i="14" s="1"/>
  <c r="J1937" i="14" s="1"/>
  <c r="J237" i="14"/>
  <c r="J300" i="14" s="1"/>
  <c r="J363" i="14" s="1"/>
  <c r="J426" i="14" s="1"/>
  <c r="J489" i="14" s="1"/>
  <c r="J552" i="14" s="1"/>
  <c r="J615" i="14" s="1"/>
  <c r="J678" i="14" s="1"/>
  <c r="J741" i="14" s="1"/>
  <c r="J804" i="14" s="1"/>
  <c r="J867" i="14" s="1"/>
  <c r="J930" i="14" s="1"/>
  <c r="J993" i="14" s="1"/>
  <c r="J1056" i="14" s="1"/>
  <c r="J1119" i="14" s="1"/>
  <c r="J1182" i="14" s="1"/>
  <c r="J1245" i="14" s="1"/>
  <c r="J1308" i="14" s="1"/>
  <c r="J1371" i="14" s="1"/>
  <c r="J1434" i="14" s="1"/>
  <c r="J1497" i="14" s="1"/>
  <c r="J1560" i="14" s="1"/>
  <c r="J1623" i="14" s="1"/>
  <c r="J1686" i="14" s="1"/>
  <c r="J1749" i="14" s="1"/>
  <c r="J1812" i="14" s="1"/>
  <c r="J1875" i="14" s="1"/>
  <c r="J1938" i="14" s="1"/>
  <c r="J241" i="14"/>
  <c r="J304" i="14" s="1"/>
  <c r="J367" i="14" s="1"/>
  <c r="J430" i="14" s="1"/>
  <c r="J493" i="14" s="1"/>
  <c r="J556" i="14" s="1"/>
  <c r="J619" i="14" s="1"/>
  <c r="J682" i="14" s="1"/>
  <c r="J745" i="14" s="1"/>
  <c r="J808" i="14" s="1"/>
  <c r="J871" i="14" s="1"/>
  <c r="J934" i="14" s="1"/>
  <c r="J997" i="14" s="1"/>
  <c r="J1060" i="14" s="1"/>
  <c r="J1123" i="14" s="1"/>
  <c r="J1186" i="14" s="1"/>
  <c r="J1249" i="14" s="1"/>
  <c r="J1312" i="14" s="1"/>
  <c r="J1375" i="14" s="1"/>
  <c r="J1438" i="14" s="1"/>
  <c r="J1501" i="14" s="1"/>
  <c r="J1564" i="14" s="1"/>
  <c r="J1627" i="14" s="1"/>
  <c r="J1690" i="14" s="1"/>
  <c r="J1753" i="14" s="1"/>
  <c r="J1816" i="14" s="1"/>
  <c r="J1879" i="14" s="1"/>
  <c r="J1942" i="14" s="1"/>
  <c r="J248" i="14"/>
  <c r="J311" i="14" s="1"/>
  <c r="J374" i="14" s="1"/>
  <c r="J437" i="14" s="1"/>
  <c r="J500" i="14" s="1"/>
  <c r="J563" i="14" s="1"/>
  <c r="J626" i="14" s="1"/>
  <c r="J689" i="14" s="1"/>
  <c r="J752" i="14" s="1"/>
  <c r="J815" i="14" s="1"/>
  <c r="J878" i="14" s="1"/>
  <c r="J941" i="14" s="1"/>
  <c r="J1004" i="14" s="1"/>
  <c r="J1067" i="14" s="1"/>
  <c r="J1130" i="14" s="1"/>
  <c r="J1193" i="14" s="1"/>
  <c r="J1256" i="14" s="1"/>
  <c r="J1319" i="14" s="1"/>
  <c r="J1382" i="14" s="1"/>
  <c r="J1445" i="14" s="1"/>
  <c r="J1508" i="14" s="1"/>
  <c r="J1571" i="14" s="1"/>
  <c r="J1634" i="14" s="1"/>
  <c r="J1697" i="14" s="1"/>
  <c r="J1760" i="14" s="1"/>
  <c r="J1823" i="14" s="1"/>
  <c r="J1886" i="14" s="1"/>
  <c r="J1949" i="14" s="1"/>
  <c r="J288" i="14"/>
  <c r="J351" i="14" s="1"/>
  <c r="J414" i="14" s="1"/>
  <c r="J477" i="14" s="1"/>
  <c r="J540" i="14" s="1"/>
  <c r="J603" i="14" s="1"/>
  <c r="J666" i="14" s="1"/>
  <c r="J729" i="14" s="1"/>
  <c r="J792" i="14" s="1"/>
  <c r="J855" i="14" s="1"/>
  <c r="J918" i="14" s="1"/>
  <c r="J981" i="14" s="1"/>
  <c r="J1044" i="14" s="1"/>
  <c r="J1107" i="14" s="1"/>
  <c r="J1170" i="14" s="1"/>
  <c r="J1233" i="14" s="1"/>
  <c r="J1296" i="14" s="1"/>
  <c r="J1359" i="14" s="1"/>
  <c r="J1422" i="14" s="1"/>
  <c r="J1485" i="14" s="1"/>
  <c r="J1548" i="14" s="1"/>
  <c r="J1611" i="14" s="1"/>
  <c r="J1674" i="14" s="1"/>
  <c r="J1737" i="14" s="1"/>
  <c r="J1800" i="14" s="1"/>
  <c r="J1863" i="14" s="1"/>
  <c r="J1926" i="14" s="1"/>
  <c r="J64" i="14"/>
  <c r="J127" i="14" s="1"/>
  <c r="J190" i="14" s="1"/>
  <c r="J253" i="14" s="1"/>
  <c r="J316" i="14" s="1"/>
  <c r="J379" i="14" s="1"/>
  <c r="J442" i="14" s="1"/>
  <c r="J505" i="14" s="1"/>
  <c r="J568" i="14" s="1"/>
  <c r="J631" i="14" s="1"/>
  <c r="J694" i="14" s="1"/>
  <c r="J757" i="14" s="1"/>
  <c r="J820" i="14" s="1"/>
  <c r="J883" i="14" s="1"/>
  <c r="J946" i="14" s="1"/>
  <c r="J1009" i="14" s="1"/>
  <c r="J1072" i="14" s="1"/>
  <c r="J1135" i="14" s="1"/>
  <c r="J1198" i="14" s="1"/>
  <c r="J1261" i="14" s="1"/>
  <c r="J1324" i="14" s="1"/>
  <c r="J1387" i="14" s="1"/>
  <c r="J1450" i="14" s="1"/>
  <c r="J1513" i="14" s="1"/>
  <c r="J1576" i="14" s="1"/>
  <c r="J1639" i="14" s="1"/>
  <c r="J1702" i="14" s="1"/>
  <c r="J1765" i="14" s="1"/>
  <c r="J1828" i="14" s="1"/>
  <c r="J1891" i="14" s="1"/>
  <c r="E360" i="14"/>
  <c r="I360" i="14" s="1"/>
  <c r="E359" i="14"/>
  <c r="I359" i="14" s="1"/>
  <c r="E358" i="14"/>
  <c r="I358" i="14" s="1"/>
  <c r="E357" i="14"/>
  <c r="I357" i="14" s="1"/>
  <c r="E356" i="14"/>
  <c r="I356" i="14" s="1"/>
  <c r="I355" i="14"/>
  <c r="I354" i="14"/>
  <c r="I353" i="14"/>
  <c r="I352" i="14"/>
  <c r="I351" i="14"/>
  <c r="I350" i="14"/>
  <c r="I349" i="14"/>
  <c r="I348" i="14"/>
  <c r="I347" i="14"/>
  <c r="I346" i="14"/>
  <c r="I345" i="14"/>
  <c r="I344" i="14"/>
  <c r="I343" i="14"/>
  <c r="I342" i="14"/>
  <c r="I341" i="14"/>
  <c r="I340" i="14"/>
  <c r="I339" i="14"/>
  <c r="I338" i="14"/>
  <c r="I337" i="14"/>
  <c r="I336" i="14"/>
  <c r="I335" i="14"/>
  <c r="I334" i="14"/>
  <c r="I333" i="14"/>
  <c r="I332" i="14"/>
  <c r="I331" i="14"/>
  <c r="I330" i="14"/>
  <c r="I329" i="14"/>
  <c r="I328" i="14"/>
  <c r="I327" i="14"/>
  <c r="E322" i="14"/>
  <c r="E297" i="14"/>
  <c r="I297" i="14" s="1"/>
  <c r="E296" i="14"/>
  <c r="I296" i="14" s="1"/>
  <c r="E295" i="14"/>
  <c r="I295" i="14" s="1"/>
  <c r="E294" i="14"/>
  <c r="I294" i="14" s="1"/>
  <c r="E293" i="14"/>
  <c r="I293" i="14" s="1"/>
  <c r="I292" i="14"/>
  <c r="I291" i="14"/>
  <c r="I290" i="14"/>
  <c r="I289" i="14"/>
  <c r="I288" i="14"/>
  <c r="I287" i="14"/>
  <c r="I286" i="14"/>
  <c r="I285" i="14"/>
  <c r="I284" i="14"/>
  <c r="I283" i="14"/>
  <c r="I282" i="14"/>
  <c r="I281" i="14"/>
  <c r="I280" i="14"/>
  <c r="I279" i="14"/>
  <c r="I278" i="14"/>
  <c r="I277" i="14"/>
  <c r="I276" i="14"/>
  <c r="I275" i="14"/>
  <c r="I274" i="14"/>
  <c r="I273" i="14"/>
  <c r="I272" i="14"/>
  <c r="I271" i="14"/>
  <c r="I270" i="14"/>
  <c r="I269" i="14"/>
  <c r="I268" i="14"/>
  <c r="I267" i="14"/>
  <c r="I266" i="14"/>
  <c r="I265" i="14"/>
  <c r="I264" i="14"/>
  <c r="E259" i="14"/>
  <c r="E234" i="14"/>
  <c r="I234" i="14" s="1"/>
  <c r="E233" i="14"/>
  <c r="I233" i="14" s="1"/>
  <c r="E232" i="14"/>
  <c r="I232" i="14" s="1"/>
  <c r="E231" i="14"/>
  <c r="I231" i="14" s="1"/>
  <c r="E230" i="14"/>
  <c r="I230" i="14" s="1"/>
  <c r="I229" i="14"/>
  <c r="I228" i="14"/>
  <c r="I227" i="14"/>
  <c r="I226" i="14"/>
  <c r="I225" i="14"/>
  <c r="I224" i="14"/>
  <c r="I223" i="14"/>
  <c r="I222" i="14"/>
  <c r="I221" i="14"/>
  <c r="I220" i="14"/>
  <c r="I219" i="14"/>
  <c r="I218" i="14"/>
  <c r="I217" i="14"/>
  <c r="I216" i="14"/>
  <c r="I215" i="14"/>
  <c r="I214" i="14"/>
  <c r="I213" i="14"/>
  <c r="I212" i="14"/>
  <c r="I211" i="14"/>
  <c r="I210" i="14"/>
  <c r="I209" i="14"/>
  <c r="I208" i="14"/>
  <c r="I207" i="14"/>
  <c r="I206" i="14"/>
  <c r="I205" i="14"/>
  <c r="I204" i="14"/>
  <c r="I203" i="14"/>
  <c r="I202" i="14"/>
  <c r="I201" i="14"/>
  <c r="E196" i="14"/>
  <c r="I171" i="14"/>
  <c r="E171" i="14"/>
  <c r="E170" i="14"/>
  <c r="I170" i="14" s="1"/>
  <c r="E169" i="14"/>
  <c r="I169" i="14" s="1"/>
  <c r="E168" i="14"/>
  <c r="I168" i="14" s="1"/>
  <c r="E167" i="14"/>
  <c r="I167" i="14" s="1"/>
  <c r="I166" i="14"/>
  <c r="I165" i="14"/>
  <c r="I164" i="14"/>
  <c r="I163" i="14"/>
  <c r="I162" i="14"/>
  <c r="I161" i="14"/>
  <c r="I160" i="14"/>
  <c r="I159" i="14"/>
  <c r="I158" i="14"/>
  <c r="I157" i="14"/>
  <c r="I156" i="14"/>
  <c r="I155" i="14"/>
  <c r="I154" i="14"/>
  <c r="I153" i="14"/>
  <c r="I152" i="14"/>
  <c r="I151" i="14"/>
  <c r="I150" i="14"/>
  <c r="I149" i="14"/>
  <c r="I148" i="14"/>
  <c r="I147" i="14"/>
  <c r="I146" i="14"/>
  <c r="I145" i="14"/>
  <c r="I144" i="14"/>
  <c r="I143" i="14"/>
  <c r="I142" i="14"/>
  <c r="I141" i="14"/>
  <c r="I140" i="14"/>
  <c r="I139" i="14"/>
  <c r="I138" i="14"/>
  <c r="E133" i="14"/>
  <c r="E129" i="14"/>
  <c r="E192" i="14" s="1"/>
  <c r="E255" i="14" s="1"/>
  <c r="E318" i="14" s="1"/>
  <c r="E381" i="14" s="1"/>
  <c r="E444" i="14" s="1"/>
  <c r="E507" i="14" s="1"/>
  <c r="E570" i="14" s="1"/>
  <c r="E633" i="14" s="1"/>
  <c r="E696" i="14" s="1"/>
  <c r="E759" i="14" s="1"/>
  <c r="E822" i="14" s="1"/>
  <c r="E885" i="14" s="1"/>
  <c r="E948" i="14" s="1"/>
  <c r="E1011" i="14" s="1"/>
  <c r="E1074" i="14" s="1"/>
  <c r="E1137" i="14" s="1"/>
  <c r="E1200" i="14" s="1"/>
  <c r="E1263" i="14" s="1"/>
  <c r="E1326" i="14" s="1"/>
  <c r="E1389" i="14" s="1"/>
  <c r="E1452" i="14" s="1"/>
  <c r="E1515" i="14" s="1"/>
  <c r="E1578" i="14" s="1"/>
  <c r="E1641" i="14" s="1"/>
  <c r="E1704" i="14" s="1"/>
  <c r="E1767" i="14" s="1"/>
  <c r="E1830" i="14" s="1"/>
  <c r="E1893" i="14" s="1"/>
  <c r="E66" i="14"/>
  <c r="B65" i="14"/>
  <c r="B69" i="14" s="1"/>
  <c r="E69" i="14" s="1"/>
  <c r="C119" i="14"/>
  <c r="C182" i="14" s="1"/>
  <c r="C245" i="14" s="1"/>
  <c r="C308" i="14" s="1"/>
  <c r="C371" i="14" s="1"/>
  <c r="C434" i="14" s="1"/>
  <c r="C497" i="14" s="1"/>
  <c r="C560" i="14" s="1"/>
  <c r="C623" i="14" s="1"/>
  <c r="C686" i="14" s="1"/>
  <c r="C749" i="14" s="1"/>
  <c r="C812" i="14" s="1"/>
  <c r="C875" i="14" s="1"/>
  <c r="C938" i="14" s="1"/>
  <c r="C1001" i="14" s="1"/>
  <c r="C1064" i="14" s="1"/>
  <c r="C1127" i="14" s="1"/>
  <c r="C1190" i="14" s="1"/>
  <c r="C1253" i="14" s="1"/>
  <c r="C1316" i="14" s="1"/>
  <c r="C1379" i="14" s="1"/>
  <c r="C1442" i="14" s="1"/>
  <c r="C1505" i="14" s="1"/>
  <c r="C1568" i="14" s="1"/>
  <c r="C1631" i="14" s="1"/>
  <c r="C1694" i="14" s="1"/>
  <c r="C1757" i="14" s="1"/>
  <c r="C1820" i="14" s="1"/>
  <c r="C1883" i="14" s="1"/>
  <c r="C1946" i="14" s="1"/>
  <c r="C118" i="14"/>
  <c r="C181" i="14" s="1"/>
  <c r="C244" i="14" s="1"/>
  <c r="C307" i="14" s="1"/>
  <c r="C370" i="14" s="1"/>
  <c r="C433" i="14" s="1"/>
  <c r="C496" i="14" s="1"/>
  <c r="C559" i="14" s="1"/>
  <c r="C622" i="14" s="1"/>
  <c r="C685" i="14" s="1"/>
  <c r="C748" i="14" s="1"/>
  <c r="C811" i="14" s="1"/>
  <c r="C874" i="14" s="1"/>
  <c r="C937" i="14" s="1"/>
  <c r="C1000" i="14" s="1"/>
  <c r="C1063" i="14" s="1"/>
  <c r="C1126" i="14" s="1"/>
  <c r="C1189" i="14" s="1"/>
  <c r="C1252" i="14" s="1"/>
  <c r="C1315" i="14" s="1"/>
  <c r="C1378" i="14" s="1"/>
  <c r="C1441" i="14" s="1"/>
  <c r="C1504" i="14" s="1"/>
  <c r="C1567" i="14" s="1"/>
  <c r="C1630" i="14" s="1"/>
  <c r="C1693" i="14" s="1"/>
  <c r="C1756" i="14" s="1"/>
  <c r="C1819" i="14" s="1"/>
  <c r="C1882" i="14" s="1"/>
  <c r="C1945" i="14" s="1"/>
  <c r="E108" i="14"/>
  <c r="I108" i="14" s="1"/>
  <c r="E107" i="14"/>
  <c r="I107" i="14" s="1"/>
  <c r="E106" i="14"/>
  <c r="I106" i="14" s="1"/>
  <c r="E105" i="14"/>
  <c r="I105" i="14" s="1"/>
  <c r="E104" i="14"/>
  <c r="I104" i="14" s="1"/>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E70" i="14"/>
  <c r="F76" i="14"/>
  <c r="F139" i="14" s="1"/>
  <c r="F202" i="14" s="1"/>
  <c r="F265" i="14" s="1"/>
  <c r="F328" i="14" s="1"/>
  <c r="F391" i="14" s="1"/>
  <c r="F454" i="14" s="1"/>
  <c r="F517" i="14" s="1"/>
  <c r="F580" i="14" s="1"/>
  <c r="F643" i="14" s="1"/>
  <c r="F706" i="14" s="1"/>
  <c r="F769" i="14" s="1"/>
  <c r="F832" i="14" s="1"/>
  <c r="F895" i="14" s="1"/>
  <c r="F958" i="14" s="1"/>
  <c r="F1021" i="14" s="1"/>
  <c r="F1084" i="14" s="1"/>
  <c r="F1147" i="14" s="1"/>
  <c r="F1210" i="14" s="1"/>
  <c r="F1273" i="14" s="1"/>
  <c r="F1336" i="14" s="1"/>
  <c r="F1399" i="14" s="1"/>
  <c r="F1462" i="14" s="1"/>
  <c r="F1525" i="14" s="1"/>
  <c r="F1588" i="14" s="1"/>
  <c r="F1651" i="14" s="1"/>
  <c r="F1714" i="14" s="1"/>
  <c r="F1777" i="14" s="1"/>
  <c r="F1840" i="14" s="1"/>
  <c r="F1903" i="14" s="1"/>
  <c r="F77" i="14"/>
  <c r="F140" i="14" s="1"/>
  <c r="F203" i="14" s="1"/>
  <c r="F266" i="14" s="1"/>
  <c r="F329" i="14" s="1"/>
  <c r="F392" i="14" s="1"/>
  <c r="F455" i="14" s="1"/>
  <c r="F518" i="14" s="1"/>
  <c r="F581" i="14" s="1"/>
  <c r="F644" i="14" s="1"/>
  <c r="F707" i="14" s="1"/>
  <c r="F770" i="14" s="1"/>
  <c r="F833" i="14" s="1"/>
  <c r="F896" i="14" s="1"/>
  <c r="F959" i="14" s="1"/>
  <c r="F1022" i="14" s="1"/>
  <c r="F1085" i="14" s="1"/>
  <c r="F1148" i="14" s="1"/>
  <c r="F1211" i="14" s="1"/>
  <c r="F1274" i="14" s="1"/>
  <c r="F1337" i="14" s="1"/>
  <c r="F1400" i="14" s="1"/>
  <c r="F1463" i="14" s="1"/>
  <c r="F1526" i="14" s="1"/>
  <c r="F1589" i="14" s="1"/>
  <c r="F1652" i="14" s="1"/>
  <c r="F1715" i="14" s="1"/>
  <c r="F1778" i="14" s="1"/>
  <c r="F1841" i="14" s="1"/>
  <c r="F1904" i="14" s="1"/>
  <c r="F78" i="14"/>
  <c r="F141" i="14" s="1"/>
  <c r="F204" i="14" s="1"/>
  <c r="F267" i="14" s="1"/>
  <c r="F330" i="14" s="1"/>
  <c r="F393" i="14" s="1"/>
  <c r="F456" i="14" s="1"/>
  <c r="F519" i="14" s="1"/>
  <c r="F582" i="14" s="1"/>
  <c r="F645" i="14" s="1"/>
  <c r="F708" i="14" s="1"/>
  <c r="F771" i="14" s="1"/>
  <c r="F834" i="14" s="1"/>
  <c r="F897" i="14" s="1"/>
  <c r="F960" i="14" s="1"/>
  <c r="F1023" i="14" s="1"/>
  <c r="F1086" i="14" s="1"/>
  <c r="F1149" i="14" s="1"/>
  <c r="F1212" i="14" s="1"/>
  <c r="F1275" i="14" s="1"/>
  <c r="F1338" i="14" s="1"/>
  <c r="F1401" i="14" s="1"/>
  <c r="F1464" i="14" s="1"/>
  <c r="F1527" i="14" s="1"/>
  <c r="F1590" i="14" s="1"/>
  <c r="F1653" i="14" s="1"/>
  <c r="F1716" i="14" s="1"/>
  <c r="F1779" i="14" s="1"/>
  <c r="F1842" i="14" s="1"/>
  <c r="F1905" i="14" s="1"/>
  <c r="F79" i="14"/>
  <c r="F142" i="14" s="1"/>
  <c r="F205" i="14" s="1"/>
  <c r="F268" i="14" s="1"/>
  <c r="F331" i="14" s="1"/>
  <c r="F394" i="14" s="1"/>
  <c r="F457" i="14" s="1"/>
  <c r="F520" i="14" s="1"/>
  <c r="F583" i="14" s="1"/>
  <c r="F646" i="14" s="1"/>
  <c r="F709" i="14" s="1"/>
  <c r="F772" i="14" s="1"/>
  <c r="F835" i="14" s="1"/>
  <c r="F898" i="14" s="1"/>
  <c r="F961" i="14" s="1"/>
  <c r="F1024" i="14" s="1"/>
  <c r="F1087" i="14" s="1"/>
  <c r="F1150" i="14" s="1"/>
  <c r="F1213" i="14" s="1"/>
  <c r="F1276" i="14" s="1"/>
  <c r="F1339" i="14" s="1"/>
  <c r="F1402" i="14" s="1"/>
  <c r="F1465" i="14" s="1"/>
  <c r="F1528" i="14" s="1"/>
  <c r="F1591" i="14" s="1"/>
  <c r="F1654" i="14" s="1"/>
  <c r="F1717" i="14" s="1"/>
  <c r="F1780" i="14" s="1"/>
  <c r="F1843" i="14" s="1"/>
  <c r="F1906" i="14" s="1"/>
  <c r="F80" i="14"/>
  <c r="F143" i="14" s="1"/>
  <c r="F206" i="14" s="1"/>
  <c r="F269" i="14" s="1"/>
  <c r="F332" i="14" s="1"/>
  <c r="F395" i="14" s="1"/>
  <c r="F458" i="14" s="1"/>
  <c r="F521" i="14" s="1"/>
  <c r="F584" i="14" s="1"/>
  <c r="F647" i="14" s="1"/>
  <c r="F710" i="14" s="1"/>
  <c r="F773" i="14" s="1"/>
  <c r="F836" i="14" s="1"/>
  <c r="F899" i="14" s="1"/>
  <c r="F962" i="14" s="1"/>
  <c r="F1025" i="14" s="1"/>
  <c r="F1088" i="14" s="1"/>
  <c r="F1151" i="14" s="1"/>
  <c r="F1214" i="14" s="1"/>
  <c r="F1277" i="14" s="1"/>
  <c r="F1340" i="14" s="1"/>
  <c r="F1403" i="14" s="1"/>
  <c r="F1466" i="14" s="1"/>
  <c r="F1529" i="14" s="1"/>
  <c r="F1592" i="14" s="1"/>
  <c r="F1655" i="14" s="1"/>
  <c r="F1718" i="14" s="1"/>
  <c r="F1781" i="14" s="1"/>
  <c r="F1844" i="14" s="1"/>
  <c r="F1907" i="14" s="1"/>
  <c r="F81" i="14"/>
  <c r="F144" i="14" s="1"/>
  <c r="F207" i="14" s="1"/>
  <c r="F270" i="14" s="1"/>
  <c r="F333" i="14" s="1"/>
  <c r="F396" i="14" s="1"/>
  <c r="F459" i="14" s="1"/>
  <c r="F522" i="14" s="1"/>
  <c r="F585" i="14" s="1"/>
  <c r="F648" i="14" s="1"/>
  <c r="F711" i="14" s="1"/>
  <c r="F774" i="14" s="1"/>
  <c r="F837" i="14" s="1"/>
  <c r="F900" i="14" s="1"/>
  <c r="F963" i="14" s="1"/>
  <c r="F1026" i="14" s="1"/>
  <c r="F1089" i="14" s="1"/>
  <c r="F1152" i="14" s="1"/>
  <c r="F1215" i="14" s="1"/>
  <c r="F1278" i="14" s="1"/>
  <c r="F1341" i="14" s="1"/>
  <c r="F1404" i="14" s="1"/>
  <c r="F1467" i="14" s="1"/>
  <c r="F1530" i="14" s="1"/>
  <c r="F1593" i="14" s="1"/>
  <c r="F1656" i="14" s="1"/>
  <c r="F1719" i="14" s="1"/>
  <c r="F1782" i="14" s="1"/>
  <c r="F1845" i="14" s="1"/>
  <c r="F1908" i="14" s="1"/>
  <c r="F82" i="14"/>
  <c r="F145" i="14" s="1"/>
  <c r="F208" i="14" s="1"/>
  <c r="F271" i="14" s="1"/>
  <c r="F334" i="14" s="1"/>
  <c r="F397" i="14" s="1"/>
  <c r="F460" i="14" s="1"/>
  <c r="F523" i="14" s="1"/>
  <c r="F586" i="14" s="1"/>
  <c r="F649" i="14" s="1"/>
  <c r="F712" i="14" s="1"/>
  <c r="F775" i="14" s="1"/>
  <c r="F838" i="14" s="1"/>
  <c r="F901" i="14" s="1"/>
  <c r="F964" i="14" s="1"/>
  <c r="F1027" i="14" s="1"/>
  <c r="F1090" i="14" s="1"/>
  <c r="F1153" i="14" s="1"/>
  <c r="F1216" i="14" s="1"/>
  <c r="F1279" i="14" s="1"/>
  <c r="F1342" i="14" s="1"/>
  <c r="F1405" i="14" s="1"/>
  <c r="F1468" i="14" s="1"/>
  <c r="F1531" i="14" s="1"/>
  <c r="F1594" i="14" s="1"/>
  <c r="F1657" i="14" s="1"/>
  <c r="F1720" i="14" s="1"/>
  <c r="F1783" i="14" s="1"/>
  <c r="F1846" i="14" s="1"/>
  <c r="F1909" i="14" s="1"/>
  <c r="F83" i="14"/>
  <c r="F146" i="14" s="1"/>
  <c r="F209" i="14" s="1"/>
  <c r="F272" i="14" s="1"/>
  <c r="F335" i="14" s="1"/>
  <c r="F398" i="14" s="1"/>
  <c r="F461" i="14" s="1"/>
  <c r="F524" i="14" s="1"/>
  <c r="F587" i="14" s="1"/>
  <c r="F650" i="14" s="1"/>
  <c r="F713" i="14" s="1"/>
  <c r="F776" i="14" s="1"/>
  <c r="F839" i="14" s="1"/>
  <c r="F902" i="14" s="1"/>
  <c r="F965" i="14" s="1"/>
  <c r="F1028" i="14" s="1"/>
  <c r="F1091" i="14" s="1"/>
  <c r="F1154" i="14" s="1"/>
  <c r="F1217" i="14" s="1"/>
  <c r="F1280" i="14" s="1"/>
  <c r="F1343" i="14" s="1"/>
  <c r="F1406" i="14" s="1"/>
  <c r="F1469" i="14" s="1"/>
  <c r="F1532" i="14" s="1"/>
  <c r="F1595" i="14" s="1"/>
  <c r="F1658" i="14" s="1"/>
  <c r="F1721" i="14" s="1"/>
  <c r="F1784" i="14" s="1"/>
  <c r="F1847" i="14" s="1"/>
  <c r="F1910" i="14" s="1"/>
  <c r="F84" i="14"/>
  <c r="F147" i="14" s="1"/>
  <c r="F210" i="14" s="1"/>
  <c r="F273" i="14" s="1"/>
  <c r="F336" i="14" s="1"/>
  <c r="F399" i="14" s="1"/>
  <c r="F462" i="14" s="1"/>
  <c r="F525" i="14" s="1"/>
  <c r="F588" i="14" s="1"/>
  <c r="F651" i="14" s="1"/>
  <c r="F714" i="14" s="1"/>
  <c r="F777" i="14" s="1"/>
  <c r="F840" i="14" s="1"/>
  <c r="F903" i="14" s="1"/>
  <c r="F966" i="14" s="1"/>
  <c r="F1029" i="14" s="1"/>
  <c r="F1092" i="14" s="1"/>
  <c r="F1155" i="14" s="1"/>
  <c r="F1218" i="14" s="1"/>
  <c r="F1281" i="14" s="1"/>
  <c r="F1344" i="14" s="1"/>
  <c r="F1407" i="14" s="1"/>
  <c r="F1470" i="14" s="1"/>
  <c r="F1533" i="14" s="1"/>
  <c r="F1596" i="14" s="1"/>
  <c r="F1659" i="14" s="1"/>
  <c r="F1722" i="14" s="1"/>
  <c r="F1785" i="14" s="1"/>
  <c r="F1848" i="14" s="1"/>
  <c r="F1911" i="14" s="1"/>
  <c r="F85" i="14"/>
  <c r="F148" i="14" s="1"/>
  <c r="F211" i="14" s="1"/>
  <c r="F274" i="14" s="1"/>
  <c r="F337" i="14" s="1"/>
  <c r="F400" i="14" s="1"/>
  <c r="F463" i="14" s="1"/>
  <c r="F526" i="14" s="1"/>
  <c r="F589" i="14" s="1"/>
  <c r="F652" i="14" s="1"/>
  <c r="F715" i="14" s="1"/>
  <c r="F778" i="14" s="1"/>
  <c r="F841" i="14" s="1"/>
  <c r="F904" i="14" s="1"/>
  <c r="F967" i="14" s="1"/>
  <c r="F1030" i="14" s="1"/>
  <c r="F1093" i="14" s="1"/>
  <c r="F1156" i="14" s="1"/>
  <c r="F1219" i="14" s="1"/>
  <c r="F1282" i="14" s="1"/>
  <c r="F1345" i="14" s="1"/>
  <c r="F1408" i="14" s="1"/>
  <c r="F1471" i="14" s="1"/>
  <c r="F1534" i="14" s="1"/>
  <c r="F1597" i="14" s="1"/>
  <c r="F1660" i="14" s="1"/>
  <c r="F1723" i="14" s="1"/>
  <c r="F1786" i="14" s="1"/>
  <c r="F1849" i="14" s="1"/>
  <c r="F1912" i="14" s="1"/>
  <c r="F86" i="14"/>
  <c r="F149" i="14" s="1"/>
  <c r="F212" i="14" s="1"/>
  <c r="F275" i="14" s="1"/>
  <c r="F338" i="14" s="1"/>
  <c r="F401" i="14" s="1"/>
  <c r="F464" i="14" s="1"/>
  <c r="F527" i="14" s="1"/>
  <c r="F590" i="14" s="1"/>
  <c r="F653" i="14" s="1"/>
  <c r="F716" i="14" s="1"/>
  <c r="F779" i="14" s="1"/>
  <c r="F842" i="14" s="1"/>
  <c r="F905" i="14" s="1"/>
  <c r="F968" i="14" s="1"/>
  <c r="F1031" i="14" s="1"/>
  <c r="F1094" i="14" s="1"/>
  <c r="F1157" i="14" s="1"/>
  <c r="F1220" i="14" s="1"/>
  <c r="F1283" i="14" s="1"/>
  <c r="F1346" i="14" s="1"/>
  <c r="F1409" i="14" s="1"/>
  <c r="F1472" i="14" s="1"/>
  <c r="F1535" i="14" s="1"/>
  <c r="F1598" i="14" s="1"/>
  <c r="F1661" i="14" s="1"/>
  <c r="F1724" i="14" s="1"/>
  <c r="F1787" i="14" s="1"/>
  <c r="F1850" i="14" s="1"/>
  <c r="F1913" i="14" s="1"/>
  <c r="F87" i="14"/>
  <c r="F150" i="14" s="1"/>
  <c r="F213" i="14" s="1"/>
  <c r="F276" i="14" s="1"/>
  <c r="F339" i="14" s="1"/>
  <c r="F402" i="14" s="1"/>
  <c r="F465" i="14" s="1"/>
  <c r="F528" i="14" s="1"/>
  <c r="F591" i="14" s="1"/>
  <c r="F654" i="14" s="1"/>
  <c r="F717" i="14" s="1"/>
  <c r="F780" i="14" s="1"/>
  <c r="F843" i="14" s="1"/>
  <c r="F906" i="14" s="1"/>
  <c r="F969" i="14" s="1"/>
  <c r="F1032" i="14" s="1"/>
  <c r="F1095" i="14" s="1"/>
  <c r="F1158" i="14" s="1"/>
  <c r="F1221" i="14" s="1"/>
  <c r="F1284" i="14" s="1"/>
  <c r="F1347" i="14" s="1"/>
  <c r="F1410" i="14" s="1"/>
  <c r="F1473" i="14" s="1"/>
  <c r="F1536" i="14" s="1"/>
  <c r="F1599" i="14" s="1"/>
  <c r="F1662" i="14" s="1"/>
  <c r="F1725" i="14" s="1"/>
  <c r="F1788" i="14" s="1"/>
  <c r="F1851" i="14" s="1"/>
  <c r="F1914" i="14" s="1"/>
  <c r="F88" i="14"/>
  <c r="F151" i="14" s="1"/>
  <c r="F214" i="14" s="1"/>
  <c r="F277" i="14" s="1"/>
  <c r="F340" i="14" s="1"/>
  <c r="F403" i="14" s="1"/>
  <c r="F466" i="14" s="1"/>
  <c r="F529" i="14" s="1"/>
  <c r="F592" i="14" s="1"/>
  <c r="F655" i="14" s="1"/>
  <c r="F718" i="14" s="1"/>
  <c r="F781" i="14" s="1"/>
  <c r="F844" i="14" s="1"/>
  <c r="F907" i="14" s="1"/>
  <c r="F970" i="14" s="1"/>
  <c r="F1033" i="14" s="1"/>
  <c r="F1096" i="14" s="1"/>
  <c r="F1159" i="14" s="1"/>
  <c r="F1222" i="14" s="1"/>
  <c r="F1285" i="14" s="1"/>
  <c r="F1348" i="14" s="1"/>
  <c r="F1411" i="14" s="1"/>
  <c r="F1474" i="14" s="1"/>
  <c r="F1537" i="14" s="1"/>
  <c r="F1600" i="14" s="1"/>
  <c r="F1663" i="14" s="1"/>
  <c r="F1726" i="14" s="1"/>
  <c r="F1789" i="14" s="1"/>
  <c r="F1852" i="14" s="1"/>
  <c r="F1915" i="14" s="1"/>
  <c r="F89" i="14"/>
  <c r="F152" i="14" s="1"/>
  <c r="F215" i="14" s="1"/>
  <c r="F278" i="14" s="1"/>
  <c r="F341" i="14" s="1"/>
  <c r="F404" i="14" s="1"/>
  <c r="F467" i="14" s="1"/>
  <c r="F530" i="14" s="1"/>
  <c r="F593" i="14" s="1"/>
  <c r="F656" i="14" s="1"/>
  <c r="F719" i="14" s="1"/>
  <c r="F782" i="14" s="1"/>
  <c r="F845" i="14" s="1"/>
  <c r="F908" i="14" s="1"/>
  <c r="F971" i="14" s="1"/>
  <c r="F1034" i="14" s="1"/>
  <c r="F1097" i="14" s="1"/>
  <c r="F1160" i="14" s="1"/>
  <c r="F1223" i="14" s="1"/>
  <c r="F1286" i="14" s="1"/>
  <c r="F1349" i="14" s="1"/>
  <c r="F1412" i="14" s="1"/>
  <c r="F1475" i="14" s="1"/>
  <c r="F1538" i="14" s="1"/>
  <c r="F1601" i="14" s="1"/>
  <c r="F1664" i="14" s="1"/>
  <c r="F1727" i="14" s="1"/>
  <c r="F1790" i="14" s="1"/>
  <c r="F1853" i="14" s="1"/>
  <c r="F1916" i="14" s="1"/>
  <c r="F90" i="14"/>
  <c r="F153" i="14" s="1"/>
  <c r="F216" i="14" s="1"/>
  <c r="F279" i="14" s="1"/>
  <c r="F342" i="14" s="1"/>
  <c r="F405" i="14" s="1"/>
  <c r="F468" i="14" s="1"/>
  <c r="F531" i="14" s="1"/>
  <c r="F594" i="14" s="1"/>
  <c r="F657" i="14" s="1"/>
  <c r="F720" i="14" s="1"/>
  <c r="F783" i="14" s="1"/>
  <c r="F846" i="14" s="1"/>
  <c r="F909" i="14" s="1"/>
  <c r="F972" i="14" s="1"/>
  <c r="F1035" i="14" s="1"/>
  <c r="F1098" i="14" s="1"/>
  <c r="F1161" i="14" s="1"/>
  <c r="F1224" i="14" s="1"/>
  <c r="F1287" i="14" s="1"/>
  <c r="F1350" i="14" s="1"/>
  <c r="F1413" i="14" s="1"/>
  <c r="F1476" i="14" s="1"/>
  <c r="F1539" i="14" s="1"/>
  <c r="F1602" i="14" s="1"/>
  <c r="F1665" i="14" s="1"/>
  <c r="F1728" i="14" s="1"/>
  <c r="F1791" i="14" s="1"/>
  <c r="F1854" i="14" s="1"/>
  <c r="F1917" i="14" s="1"/>
  <c r="F91" i="14"/>
  <c r="F154" i="14" s="1"/>
  <c r="F217" i="14" s="1"/>
  <c r="F280" i="14" s="1"/>
  <c r="F343" i="14" s="1"/>
  <c r="F406" i="14" s="1"/>
  <c r="F469" i="14" s="1"/>
  <c r="F532" i="14" s="1"/>
  <c r="F595" i="14" s="1"/>
  <c r="F658" i="14" s="1"/>
  <c r="F721" i="14" s="1"/>
  <c r="F784" i="14" s="1"/>
  <c r="F847" i="14" s="1"/>
  <c r="F910" i="14" s="1"/>
  <c r="F973" i="14" s="1"/>
  <c r="F1036" i="14" s="1"/>
  <c r="F1099" i="14" s="1"/>
  <c r="F1162" i="14" s="1"/>
  <c r="F1225" i="14" s="1"/>
  <c r="F1288" i="14" s="1"/>
  <c r="F1351" i="14" s="1"/>
  <c r="F1414" i="14" s="1"/>
  <c r="F1477" i="14" s="1"/>
  <c r="F1540" i="14" s="1"/>
  <c r="F1603" i="14" s="1"/>
  <c r="F1666" i="14" s="1"/>
  <c r="F1729" i="14" s="1"/>
  <c r="F1792" i="14" s="1"/>
  <c r="F1855" i="14" s="1"/>
  <c r="F1918" i="14" s="1"/>
  <c r="F92" i="14"/>
  <c r="F155" i="14" s="1"/>
  <c r="F218" i="14" s="1"/>
  <c r="F281" i="14" s="1"/>
  <c r="F344" i="14" s="1"/>
  <c r="F407" i="14" s="1"/>
  <c r="F470" i="14" s="1"/>
  <c r="F533" i="14" s="1"/>
  <c r="F596" i="14" s="1"/>
  <c r="F659" i="14" s="1"/>
  <c r="F722" i="14" s="1"/>
  <c r="F785" i="14" s="1"/>
  <c r="F848" i="14" s="1"/>
  <c r="F911" i="14" s="1"/>
  <c r="F974" i="14" s="1"/>
  <c r="F1037" i="14" s="1"/>
  <c r="F1100" i="14" s="1"/>
  <c r="F1163" i="14" s="1"/>
  <c r="F1226" i="14" s="1"/>
  <c r="F1289" i="14" s="1"/>
  <c r="F1352" i="14" s="1"/>
  <c r="F1415" i="14" s="1"/>
  <c r="F1478" i="14" s="1"/>
  <c r="F1541" i="14" s="1"/>
  <c r="F1604" i="14" s="1"/>
  <c r="F1667" i="14" s="1"/>
  <c r="F1730" i="14" s="1"/>
  <c r="F1793" i="14" s="1"/>
  <c r="F1856" i="14" s="1"/>
  <c r="F1919" i="14" s="1"/>
  <c r="F93" i="14"/>
  <c r="F156" i="14" s="1"/>
  <c r="F219" i="14" s="1"/>
  <c r="F282" i="14" s="1"/>
  <c r="F345" i="14" s="1"/>
  <c r="F408" i="14" s="1"/>
  <c r="F471" i="14" s="1"/>
  <c r="F534" i="14" s="1"/>
  <c r="F597" i="14" s="1"/>
  <c r="F660" i="14" s="1"/>
  <c r="F723" i="14" s="1"/>
  <c r="F786" i="14" s="1"/>
  <c r="F849" i="14" s="1"/>
  <c r="F912" i="14" s="1"/>
  <c r="F975" i="14" s="1"/>
  <c r="F1038" i="14" s="1"/>
  <c r="F1101" i="14" s="1"/>
  <c r="F1164" i="14" s="1"/>
  <c r="F1227" i="14" s="1"/>
  <c r="F1290" i="14" s="1"/>
  <c r="F1353" i="14" s="1"/>
  <c r="F1416" i="14" s="1"/>
  <c r="F1479" i="14" s="1"/>
  <c r="F1542" i="14" s="1"/>
  <c r="F1605" i="14" s="1"/>
  <c r="F1668" i="14" s="1"/>
  <c r="F1731" i="14" s="1"/>
  <c r="F1794" i="14" s="1"/>
  <c r="F1857" i="14" s="1"/>
  <c r="F1920" i="14" s="1"/>
  <c r="F94" i="14"/>
  <c r="F157" i="14" s="1"/>
  <c r="F220" i="14" s="1"/>
  <c r="F283" i="14" s="1"/>
  <c r="F346" i="14" s="1"/>
  <c r="F409" i="14" s="1"/>
  <c r="F472" i="14" s="1"/>
  <c r="F535" i="14" s="1"/>
  <c r="F598" i="14" s="1"/>
  <c r="F661" i="14" s="1"/>
  <c r="F724" i="14" s="1"/>
  <c r="F787" i="14" s="1"/>
  <c r="F850" i="14" s="1"/>
  <c r="F913" i="14" s="1"/>
  <c r="F976" i="14" s="1"/>
  <c r="F1039" i="14" s="1"/>
  <c r="F1102" i="14" s="1"/>
  <c r="F1165" i="14" s="1"/>
  <c r="F1228" i="14" s="1"/>
  <c r="F1291" i="14" s="1"/>
  <c r="F1354" i="14" s="1"/>
  <c r="F1417" i="14" s="1"/>
  <c r="F1480" i="14" s="1"/>
  <c r="F1543" i="14" s="1"/>
  <c r="F1606" i="14" s="1"/>
  <c r="F1669" i="14" s="1"/>
  <c r="F1732" i="14" s="1"/>
  <c r="F1795" i="14" s="1"/>
  <c r="F1858" i="14" s="1"/>
  <c r="F1921" i="14" s="1"/>
  <c r="F95" i="14"/>
  <c r="F158" i="14" s="1"/>
  <c r="F221" i="14" s="1"/>
  <c r="F284" i="14" s="1"/>
  <c r="F347" i="14" s="1"/>
  <c r="F410" i="14" s="1"/>
  <c r="F473" i="14" s="1"/>
  <c r="F536" i="14" s="1"/>
  <c r="F599" i="14" s="1"/>
  <c r="F662" i="14" s="1"/>
  <c r="F725" i="14" s="1"/>
  <c r="F788" i="14" s="1"/>
  <c r="F851" i="14" s="1"/>
  <c r="F914" i="14" s="1"/>
  <c r="F977" i="14" s="1"/>
  <c r="F1040" i="14" s="1"/>
  <c r="F1103" i="14" s="1"/>
  <c r="F1166" i="14" s="1"/>
  <c r="F1229" i="14" s="1"/>
  <c r="F1292" i="14" s="1"/>
  <c r="F1355" i="14" s="1"/>
  <c r="F1418" i="14" s="1"/>
  <c r="F1481" i="14" s="1"/>
  <c r="F1544" i="14" s="1"/>
  <c r="F1607" i="14" s="1"/>
  <c r="F1670" i="14" s="1"/>
  <c r="F1733" i="14" s="1"/>
  <c r="F1796" i="14" s="1"/>
  <c r="F1859" i="14" s="1"/>
  <c r="F1922" i="14" s="1"/>
  <c r="F96" i="14"/>
  <c r="F159" i="14" s="1"/>
  <c r="F222" i="14" s="1"/>
  <c r="F285" i="14" s="1"/>
  <c r="F348" i="14" s="1"/>
  <c r="F411" i="14" s="1"/>
  <c r="F474" i="14" s="1"/>
  <c r="F537" i="14" s="1"/>
  <c r="F600" i="14" s="1"/>
  <c r="F663" i="14" s="1"/>
  <c r="F726" i="14" s="1"/>
  <c r="F789" i="14" s="1"/>
  <c r="F852" i="14" s="1"/>
  <c r="F915" i="14" s="1"/>
  <c r="F978" i="14" s="1"/>
  <c r="F1041" i="14" s="1"/>
  <c r="F1104" i="14" s="1"/>
  <c r="F1167" i="14" s="1"/>
  <c r="F1230" i="14" s="1"/>
  <c r="F1293" i="14" s="1"/>
  <c r="F1356" i="14" s="1"/>
  <c r="F1419" i="14" s="1"/>
  <c r="F1482" i="14" s="1"/>
  <c r="F1545" i="14" s="1"/>
  <c r="F1608" i="14" s="1"/>
  <c r="F1671" i="14" s="1"/>
  <c r="F1734" i="14" s="1"/>
  <c r="F1797" i="14" s="1"/>
  <c r="F1860" i="14" s="1"/>
  <c r="F1923" i="14" s="1"/>
  <c r="F97" i="14"/>
  <c r="F160" i="14" s="1"/>
  <c r="F223" i="14" s="1"/>
  <c r="F286" i="14" s="1"/>
  <c r="F349" i="14" s="1"/>
  <c r="F412" i="14" s="1"/>
  <c r="F475" i="14" s="1"/>
  <c r="F538" i="14" s="1"/>
  <c r="F601" i="14" s="1"/>
  <c r="F664" i="14" s="1"/>
  <c r="F727" i="14" s="1"/>
  <c r="F790" i="14" s="1"/>
  <c r="F853" i="14" s="1"/>
  <c r="F916" i="14" s="1"/>
  <c r="F979" i="14" s="1"/>
  <c r="F1042" i="14" s="1"/>
  <c r="F1105" i="14" s="1"/>
  <c r="F1168" i="14" s="1"/>
  <c r="F1231" i="14" s="1"/>
  <c r="F1294" i="14" s="1"/>
  <c r="F1357" i="14" s="1"/>
  <c r="F1420" i="14" s="1"/>
  <c r="F1483" i="14" s="1"/>
  <c r="F1546" i="14" s="1"/>
  <c r="F1609" i="14" s="1"/>
  <c r="F1672" i="14" s="1"/>
  <c r="F1735" i="14" s="1"/>
  <c r="F1798" i="14" s="1"/>
  <c r="F1861" i="14" s="1"/>
  <c r="F1924" i="14" s="1"/>
  <c r="F98" i="14"/>
  <c r="F161" i="14" s="1"/>
  <c r="F224" i="14" s="1"/>
  <c r="F287" i="14" s="1"/>
  <c r="F350" i="14" s="1"/>
  <c r="F413" i="14" s="1"/>
  <c r="F476" i="14" s="1"/>
  <c r="F539" i="14" s="1"/>
  <c r="F602" i="14" s="1"/>
  <c r="F665" i="14" s="1"/>
  <c r="F728" i="14" s="1"/>
  <c r="F791" i="14" s="1"/>
  <c r="F854" i="14" s="1"/>
  <c r="F917" i="14" s="1"/>
  <c r="F980" i="14" s="1"/>
  <c r="F1043" i="14" s="1"/>
  <c r="F1106" i="14" s="1"/>
  <c r="F1169" i="14" s="1"/>
  <c r="F1232" i="14" s="1"/>
  <c r="F1295" i="14" s="1"/>
  <c r="F1358" i="14" s="1"/>
  <c r="F1421" i="14" s="1"/>
  <c r="F1484" i="14" s="1"/>
  <c r="F1547" i="14" s="1"/>
  <c r="F1610" i="14" s="1"/>
  <c r="F1673" i="14" s="1"/>
  <c r="F1736" i="14" s="1"/>
  <c r="F1799" i="14" s="1"/>
  <c r="F1862" i="14" s="1"/>
  <c r="F1925" i="14" s="1"/>
  <c r="F99" i="14"/>
  <c r="F162" i="14" s="1"/>
  <c r="F225" i="14" s="1"/>
  <c r="F288" i="14" s="1"/>
  <c r="F351" i="14" s="1"/>
  <c r="F414" i="14" s="1"/>
  <c r="F477" i="14" s="1"/>
  <c r="F540" i="14" s="1"/>
  <c r="F603" i="14" s="1"/>
  <c r="F666" i="14" s="1"/>
  <c r="F729" i="14" s="1"/>
  <c r="F792" i="14" s="1"/>
  <c r="F855" i="14" s="1"/>
  <c r="F918" i="14" s="1"/>
  <c r="F981" i="14" s="1"/>
  <c r="F1044" i="14" s="1"/>
  <c r="F1107" i="14" s="1"/>
  <c r="F1170" i="14" s="1"/>
  <c r="F1233" i="14" s="1"/>
  <c r="F1296" i="14" s="1"/>
  <c r="F1359" i="14" s="1"/>
  <c r="F1422" i="14" s="1"/>
  <c r="F1485" i="14" s="1"/>
  <c r="F1548" i="14" s="1"/>
  <c r="F1611" i="14" s="1"/>
  <c r="F1674" i="14" s="1"/>
  <c r="F1737" i="14" s="1"/>
  <c r="F1800" i="14" s="1"/>
  <c r="F1863" i="14" s="1"/>
  <c r="F1926" i="14" s="1"/>
  <c r="F100" i="14"/>
  <c r="F163" i="14" s="1"/>
  <c r="F226" i="14" s="1"/>
  <c r="F289" i="14" s="1"/>
  <c r="F352" i="14" s="1"/>
  <c r="F415" i="14" s="1"/>
  <c r="F478" i="14" s="1"/>
  <c r="F541" i="14" s="1"/>
  <c r="F604" i="14" s="1"/>
  <c r="F667" i="14" s="1"/>
  <c r="F730" i="14" s="1"/>
  <c r="F793" i="14" s="1"/>
  <c r="F856" i="14" s="1"/>
  <c r="F919" i="14" s="1"/>
  <c r="F982" i="14" s="1"/>
  <c r="F1045" i="14" s="1"/>
  <c r="F1108" i="14" s="1"/>
  <c r="F1171" i="14" s="1"/>
  <c r="F1234" i="14" s="1"/>
  <c r="F1297" i="14" s="1"/>
  <c r="F1360" i="14" s="1"/>
  <c r="F1423" i="14" s="1"/>
  <c r="F1486" i="14" s="1"/>
  <c r="F1549" i="14" s="1"/>
  <c r="F1612" i="14" s="1"/>
  <c r="F1675" i="14" s="1"/>
  <c r="F1738" i="14" s="1"/>
  <c r="F1801" i="14" s="1"/>
  <c r="F1864" i="14" s="1"/>
  <c r="F1927" i="14" s="1"/>
  <c r="F101" i="14"/>
  <c r="F164" i="14" s="1"/>
  <c r="F227" i="14" s="1"/>
  <c r="F290" i="14" s="1"/>
  <c r="F353" i="14" s="1"/>
  <c r="F416" i="14" s="1"/>
  <c r="F479" i="14" s="1"/>
  <c r="F542" i="14" s="1"/>
  <c r="F605" i="14" s="1"/>
  <c r="F668" i="14" s="1"/>
  <c r="F731" i="14" s="1"/>
  <c r="F794" i="14" s="1"/>
  <c r="F857" i="14" s="1"/>
  <c r="F920" i="14" s="1"/>
  <c r="F983" i="14" s="1"/>
  <c r="F1046" i="14" s="1"/>
  <c r="F1109" i="14" s="1"/>
  <c r="F1172" i="14" s="1"/>
  <c r="F1235" i="14" s="1"/>
  <c r="F1298" i="14" s="1"/>
  <c r="F1361" i="14" s="1"/>
  <c r="F1424" i="14" s="1"/>
  <c r="F1487" i="14" s="1"/>
  <c r="F1550" i="14" s="1"/>
  <c r="F1613" i="14" s="1"/>
  <c r="F1676" i="14" s="1"/>
  <c r="F1739" i="14" s="1"/>
  <c r="F1802" i="14" s="1"/>
  <c r="F1865" i="14" s="1"/>
  <c r="F1928" i="14" s="1"/>
  <c r="F102" i="14"/>
  <c r="F165" i="14" s="1"/>
  <c r="F228" i="14" s="1"/>
  <c r="F291" i="14" s="1"/>
  <c r="F354" i="14" s="1"/>
  <c r="F417" i="14" s="1"/>
  <c r="F480" i="14" s="1"/>
  <c r="F543" i="14" s="1"/>
  <c r="F606" i="14" s="1"/>
  <c r="F669" i="14" s="1"/>
  <c r="F732" i="14" s="1"/>
  <c r="F795" i="14" s="1"/>
  <c r="F858" i="14" s="1"/>
  <c r="F921" i="14" s="1"/>
  <c r="F984" i="14" s="1"/>
  <c r="F1047" i="14" s="1"/>
  <c r="F1110" i="14" s="1"/>
  <c r="F1173" i="14" s="1"/>
  <c r="F1236" i="14" s="1"/>
  <c r="F1299" i="14" s="1"/>
  <c r="F1362" i="14" s="1"/>
  <c r="F1425" i="14" s="1"/>
  <c r="F1488" i="14" s="1"/>
  <c r="F1551" i="14" s="1"/>
  <c r="F1614" i="14" s="1"/>
  <c r="F1677" i="14" s="1"/>
  <c r="F1740" i="14" s="1"/>
  <c r="F1803" i="14" s="1"/>
  <c r="F1866" i="14" s="1"/>
  <c r="F1929" i="14" s="1"/>
  <c r="F103" i="14"/>
  <c r="F166" i="14" s="1"/>
  <c r="F229" i="14" s="1"/>
  <c r="F292" i="14" s="1"/>
  <c r="F355" i="14" s="1"/>
  <c r="F418" i="14" s="1"/>
  <c r="F481" i="14" s="1"/>
  <c r="F544" i="14" s="1"/>
  <c r="F607" i="14" s="1"/>
  <c r="F670" i="14" s="1"/>
  <c r="F733" i="14" s="1"/>
  <c r="F796" i="14" s="1"/>
  <c r="F859" i="14" s="1"/>
  <c r="F922" i="14" s="1"/>
  <c r="F985" i="14" s="1"/>
  <c r="F1048" i="14" s="1"/>
  <c r="F1111" i="14" s="1"/>
  <c r="F1174" i="14" s="1"/>
  <c r="F1237" i="14" s="1"/>
  <c r="F1300" i="14" s="1"/>
  <c r="F1363" i="14" s="1"/>
  <c r="F1426" i="14" s="1"/>
  <c r="F1489" i="14" s="1"/>
  <c r="F1552" i="14" s="1"/>
  <c r="F1615" i="14" s="1"/>
  <c r="F1678" i="14" s="1"/>
  <c r="F1741" i="14" s="1"/>
  <c r="F1804" i="14" s="1"/>
  <c r="F1867" i="14" s="1"/>
  <c r="F1930" i="14" s="1"/>
  <c r="F108" i="14"/>
  <c r="F75" i="14"/>
  <c r="F138" i="14" s="1"/>
  <c r="F201" i="14" s="1"/>
  <c r="F264" i="14" s="1"/>
  <c r="F327" i="14" s="1"/>
  <c r="F390" i="14" s="1"/>
  <c r="F453" i="14" s="1"/>
  <c r="F516" i="14" s="1"/>
  <c r="F579" i="14" s="1"/>
  <c r="F642" i="14" s="1"/>
  <c r="F705" i="14" s="1"/>
  <c r="F768" i="14" s="1"/>
  <c r="F831" i="14" s="1"/>
  <c r="F894" i="14" s="1"/>
  <c r="F957" i="14" s="1"/>
  <c r="F1020" i="14" s="1"/>
  <c r="F1083" i="14" s="1"/>
  <c r="F1146" i="14" s="1"/>
  <c r="F1209" i="14" s="1"/>
  <c r="F1272" i="14" s="1"/>
  <c r="F1335" i="14" s="1"/>
  <c r="F1398" i="14" s="1"/>
  <c r="F1461" i="14" s="1"/>
  <c r="F1524" i="14" s="1"/>
  <c r="F1587" i="14" s="1"/>
  <c r="F1650" i="14" s="1"/>
  <c r="F1713" i="14" s="1"/>
  <c r="F1776" i="14" s="1"/>
  <c r="F1839" i="14" s="1"/>
  <c r="F1902" i="14" s="1"/>
  <c r="E45" i="14"/>
  <c r="I45" i="14" s="1"/>
  <c r="E44" i="14"/>
  <c r="I44" i="14" s="1"/>
  <c r="E43" i="14"/>
  <c r="I43" i="14" s="1"/>
  <c r="E42" i="14"/>
  <c r="I42" i="14" s="1"/>
  <c r="E41" i="14"/>
  <c r="F104" i="14" s="1"/>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I12" i="14"/>
  <c r="E7" i="14"/>
  <c r="B6" i="14"/>
  <c r="E6" i="14" s="1"/>
  <c r="R3" i="3"/>
  <c r="S3" i="3"/>
  <c r="T3" i="3"/>
  <c r="U3" i="3"/>
  <c r="V3" i="3"/>
  <c r="W3" i="3"/>
  <c r="X3" i="3"/>
  <c r="Y3" i="3"/>
  <c r="Z3" i="3"/>
  <c r="Q3" i="3"/>
  <c r="C20" i="3"/>
  <c r="D19" i="3" s="1"/>
  <c r="P18" i="3"/>
  <c r="N18" i="3"/>
  <c r="L18" i="3"/>
  <c r="J18" i="3"/>
  <c r="H18" i="3"/>
  <c r="F18" i="3"/>
  <c r="D18" i="3"/>
  <c r="M18" i="3" s="1"/>
  <c r="P17" i="3"/>
  <c r="N17" i="3"/>
  <c r="L17" i="3"/>
  <c r="J17" i="3"/>
  <c r="H17" i="3"/>
  <c r="F17" i="3"/>
  <c r="D17" i="3"/>
  <c r="M17" i="3" s="1"/>
  <c r="P16" i="3"/>
  <c r="N16" i="3"/>
  <c r="L16" i="3"/>
  <c r="J16" i="3"/>
  <c r="H16" i="3"/>
  <c r="F16" i="3"/>
  <c r="D16" i="3"/>
  <c r="M16" i="3" s="1"/>
  <c r="P15" i="3"/>
  <c r="N15" i="3"/>
  <c r="L15" i="3"/>
  <c r="J15" i="3"/>
  <c r="H15" i="3"/>
  <c r="F15" i="3"/>
  <c r="D15" i="3"/>
  <c r="M15" i="3" s="1"/>
  <c r="P14" i="3"/>
  <c r="N14" i="3"/>
  <c r="M14" i="3"/>
  <c r="L14" i="3"/>
  <c r="D14" i="3"/>
  <c r="O14" i="3" s="1"/>
  <c r="P13" i="3"/>
  <c r="P12" i="3" s="1"/>
  <c r="P11" i="3" s="1"/>
  <c r="P10" i="3" s="1"/>
  <c r="P9" i="3" s="1"/>
  <c r="O13" i="3"/>
  <c r="N13" i="3"/>
  <c r="D13" i="3"/>
  <c r="M12" i="3"/>
  <c r="L12" i="3"/>
  <c r="D12" i="3"/>
  <c r="L11" i="3"/>
  <c r="J11" i="3"/>
  <c r="D11" i="3"/>
  <c r="M11" i="3" s="1"/>
  <c r="D10" i="3"/>
  <c r="L10" i="3" s="1"/>
  <c r="M9" i="3"/>
  <c r="K9" i="3"/>
  <c r="J9" i="3"/>
  <c r="I9" i="3"/>
  <c r="D9" i="3"/>
  <c r="L9" i="3" s="1"/>
  <c r="D8" i="3"/>
  <c r="J8" i="3" s="1"/>
  <c r="D7" i="3"/>
  <c r="I7" i="3" s="1"/>
  <c r="H6" i="3"/>
  <c r="F6" i="3"/>
  <c r="D6" i="3"/>
  <c r="D20" i="3" s="1"/>
  <c r="G3" i="3"/>
  <c r="H3" i="3" s="1"/>
  <c r="I3" i="3" s="1"/>
  <c r="J3" i="3" s="1"/>
  <c r="K3" i="3" s="1"/>
  <c r="L3" i="3" s="1"/>
  <c r="M3" i="3" s="1"/>
  <c r="N3" i="3" s="1"/>
  <c r="O3" i="3" s="1"/>
  <c r="B134" i="15" l="1"/>
  <c r="B71" i="17"/>
  <c r="B134" i="17" s="1"/>
  <c r="F106" i="17"/>
  <c r="F104" i="17"/>
  <c r="F167" i="17" s="1"/>
  <c r="F230" i="17" s="1"/>
  <c r="F293" i="17" s="1"/>
  <c r="F356" i="17" s="1"/>
  <c r="F419" i="17" s="1"/>
  <c r="F482" i="17" s="1"/>
  <c r="F545" i="17" s="1"/>
  <c r="F608" i="17" s="1"/>
  <c r="F671" i="17" s="1"/>
  <c r="F734" i="17" s="1"/>
  <c r="F797" i="17" s="1"/>
  <c r="F860" i="17" s="1"/>
  <c r="F923" i="17" s="1"/>
  <c r="F986" i="17" s="1"/>
  <c r="F1049" i="17" s="1"/>
  <c r="F1112" i="17" s="1"/>
  <c r="F1175" i="17" s="1"/>
  <c r="F1238" i="17" s="1"/>
  <c r="F1301" i="17" s="1"/>
  <c r="F1364" i="17" s="1"/>
  <c r="F1427" i="17" s="1"/>
  <c r="F1490" i="17" s="1"/>
  <c r="F1553" i="17" s="1"/>
  <c r="F1616" i="17" s="1"/>
  <c r="F1679" i="17" s="1"/>
  <c r="F1742" i="17" s="1"/>
  <c r="F1805" i="17" s="1"/>
  <c r="F1868" i="17" s="1"/>
  <c r="F1931" i="17" s="1"/>
  <c r="F108" i="17"/>
  <c r="I169" i="17"/>
  <c r="F169" i="17"/>
  <c r="F232" i="17" s="1"/>
  <c r="F295" i="17" s="1"/>
  <c r="F358" i="17" s="1"/>
  <c r="F421" i="17" s="1"/>
  <c r="F484" i="17" s="1"/>
  <c r="F547" i="17" s="1"/>
  <c r="F610" i="17" s="1"/>
  <c r="F673" i="17" s="1"/>
  <c r="F736" i="17" s="1"/>
  <c r="F799" i="17" s="1"/>
  <c r="F862" i="17" s="1"/>
  <c r="F925" i="17" s="1"/>
  <c r="F988" i="17" s="1"/>
  <c r="F1051" i="17" s="1"/>
  <c r="F1114" i="17" s="1"/>
  <c r="F1177" i="17" s="1"/>
  <c r="F1240" i="17" s="1"/>
  <c r="F1303" i="17" s="1"/>
  <c r="F1366" i="17" s="1"/>
  <c r="F1429" i="17" s="1"/>
  <c r="F1492" i="17" s="1"/>
  <c r="F1555" i="17" s="1"/>
  <c r="F1618" i="17" s="1"/>
  <c r="F1681" i="17" s="1"/>
  <c r="F1744" i="17" s="1"/>
  <c r="F1807" i="17" s="1"/>
  <c r="F1870" i="17" s="1"/>
  <c r="F1933" i="17" s="1"/>
  <c r="I296" i="17"/>
  <c r="I419" i="17"/>
  <c r="I423" i="17"/>
  <c r="I546" i="17"/>
  <c r="I673" i="17"/>
  <c r="B191" i="17"/>
  <c r="B132" i="17"/>
  <c r="E132" i="17" s="1"/>
  <c r="I170" i="17"/>
  <c r="I293" i="17"/>
  <c r="I298" i="17" s="1"/>
  <c r="I297" i="17"/>
  <c r="I361" i="17"/>
  <c r="I420" i="17"/>
  <c r="I547" i="17"/>
  <c r="I674" i="17"/>
  <c r="F105" i="17"/>
  <c r="F168" i="17" s="1"/>
  <c r="F231" i="17" s="1"/>
  <c r="F294" i="17" s="1"/>
  <c r="F357" i="17" s="1"/>
  <c r="F420" i="17" s="1"/>
  <c r="F483" i="17" s="1"/>
  <c r="F546" i="17" s="1"/>
  <c r="F609" i="17" s="1"/>
  <c r="F672" i="17" s="1"/>
  <c r="F735" i="17" s="1"/>
  <c r="F798" i="17" s="1"/>
  <c r="F861" i="17" s="1"/>
  <c r="F924" i="17" s="1"/>
  <c r="F987" i="17" s="1"/>
  <c r="F1050" i="17" s="1"/>
  <c r="F1113" i="17" s="1"/>
  <c r="F1176" i="17" s="1"/>
  <c r="F1239" i="17" s="1"/>
  <c r="F1302" i="17" s="1"/>
  <c r="F1365" i="17" s="1"/>
  <c r="F1428" i="17" s="1"/>
  <c r="F1491" i="17" s="1"/>
  <c r="F1554" i="17" s="1"/>
  <c r="F1617" i="17" s="1"/>
  <c r="F1680" i="17" s="1"/>
  <c r="F1743" i="17" s="1"/>
  <c r="F1806" i="17" s="1"/>
  <c r="F1869" i="17" s="1"/>
  <c r="F1932" i="17" s="1"/>
  <c r="I167" i="17"/>
  <c r="I171" i="17"/>
  <c r="F171" i="17"/>
  <c r="F234" i="17" s="1"/>
  <c r="F297" i="17" s="1"/>
  <c r="F360" i="17" s="1"/>
  <c r="F423" i="17" s="1"/>
  <c r="F486" i="17" s="1"/>
  <c r="F549" i="17" s="1"/>
  <c r="F612" i="17" s="1"/>
  <c r="F675" i="17" s="1"/>
  <c r="F738" i="17" s="1"/>
  <c r="F801" i="17" s="1"/>
  <c r="F864" i="17" s="1"/>
  <c r="F927" i="17" s="1"/>
  <c r="F990" i="17" s="1"/>
  <c r="F1053" i="17" s="1"/>
  <c r="F1116" i="17" s="1"/>
  <c r="F1179" i="17" s="1"/>
  <c r="F1242" i="17" s="1"/>
  <c r="F1305" i="17" s="1"/>
  <c r="F1368" i="17" s="1"/>
  <c r="F1431" i="17" s="1"/>
  <c r="F1494" i="17" s="1"/>
  <c r="F1557" i="17" s="1"/>
  <c r="F1620" i="17" s="1"/>
  <c r="F1683" i="17" s="1"/>
  <c r="F1746" i="17" s="1"/>
  <c r="F1809" i="17" s="1"/>
  <c r="F1872" i="17" s="1"/>
  <c r="F1935" i="17" s="1"/>
  <c r="I235" i="17"/>
  <c r="I294" i="17"/>
  <c r="I421" i="17"/>
  <c r="I424" i="17" s="1"/>
  <c r="I548" i="17"/>
  <c r="I671" i="17"/>
  <c r="I676" i="17" s="1"/>
  <c r="I675" i="17"/>
  <c r="I44" i="17"/>
  <c r="I46" i="17" s="1"/>
  <c r="E8" i="17" s="1"/>
  <c r="E71" i="17" s="1"/>
  <c r="F44" i="17"/>
  <c r="F107" i="17" s="1"/>
  <c r="F170" i="17" s="1"/>
  <c r="F233" i="17" s="1"/>
  <c r="F296" i="17" s="1"/>
  <c r="F359" i="17" s="1"/>
  <c r="F422" i="17" s="1"/>
  <c r="F485" i="17" s="1"/>
  <c r="F548" i="17" s="1"/>
  <c r="F611" i="17" s="1"/>
  <c r="F674" i="17" s="1"/>
  <c r="F737" i="17" s="1"/>
  <c r="F800" i="17" s="1"/>
  <c r="F863" i="17" s="1"/>
  <c r="F926" i="17" s="1"/>
  <c r="F989" i="17" s="1"/>
  <c r="F1052" i="17" s="1"/>
  <c r="F1115" i="17" s="1"/>
  <c r="F1178" i="17" s="1"/>
  <c r="F1241" i="17" s="1"/>
  <c r="F1304" i="17" s="1"/>
  <c r="F1367" i="17" s="1"/>
  <c r="F1430" i="17" s="1"/>
  <c r="F1493" i="17" s="1"/>
  <c r="F1556" i="17" s="1"/>
  <c r="F1619" i="17" s="1"/>
  <c r="F1682" i="17" s="1"/>
  <c r="F1745" i="17" s="1"/>
  <c r="F1808" i="17" s="1"/>
  <c r="F1871" i="17" s="1"/>
  <c r="F1934" i="17" s="1"/>
  <c r="I168" i="17"/>
  <c r="I295" i="17"/>
  <c r="I422" i="17"/>
  <c r="I545" i="17"/>
  <c r="I549" i="17"/>
  <c r="I672" i="17"/>
  <c r="I802" i="17"/>
  <c r="I865" i="17"/>
  <c r="I928" i="17"/>
  <c r="I991" i="17"/>
  <c r="I1054" i="17"/>
  <c r="I1178" i="17"/>
  <c r="I1243" i="17"/>
  <c r="I1175" i="17"/>
  <c r="I1179" i="17"/>
  <c r="I1239" i="17"/>
  <c r="I1117" i="17"/>
  <c r="I1176" i="17"/>
  <c r="I1367" i="17"/>
  <c r="I1369" i="17" s="1"/>
  <c r="I1177" i="17"/>
  <c r="I1241" i="17"/>
  <c r="I1306" i="17"/>
  <c r="I1364" i="17"/>
  <c r="I1368" i="17"/>
  <c r="I1495" i="17"/>
  <c r="I1747" i="17"/>
  <c r="I1365" i="17"/>
  <c r="I1872" i="17"/>
  <c r="I1366" i="17"/>
  <c r="I1618" i="17"/>
  <c r="I1619" i="17"/>
  <c r="I1558" i="17"/>
  <c r="I1616" i="17"/>
  <c r="I1621" i="17" s="1"/>
  <c r="I1620" i="17"/>
  <c r="I1684" i="17"/>
  <c r="I1617" i="17"/>
  <c r="I1746" i="17"/>
  <c r="I1873" i="17"/>
  <c r="I1870" i="17"/>
  <c r="I1868" i="17"/>
  <c r="I1810" i="17"/>
  <c r="I1869" i="17"/>
  <c r="I1871" i="17"/>
  <c r="I1936" i="17"/>
  <c r="I41" i="16"/>
  <c r="F41" i="16"/>
  <c r="F104" i="16" s="1"/>
  <c r="F167" i="16" s="1"/>
  <c r="F230" i="16" s="1"/>
  <c r="F293" i="16" s="1"/>
  <c r="F356" i="16" s="1"/>
  <c r="F419" i="16" s="1"/>
  <c r="F482" i="16" s="1"/>
  <c r="F545" i="16" s="1"/>
  <c r="F608" i="16" s="1"/>
  <c r="F671" i="16" s="1"/>
  <c r="F734" i="16" s="1"/>
  <c r="F797" i="16" s="1"/>
  <c r="F860" i="16" s="1"/>
  <c r="F923" i="16" s="1"/>
  <c r="F986" i="16" s="1"/>
  <c r="F1049" i="16" s="1"/>
  <c r="F1112" i="16" s="1"/>
  <c r="F1175" i="16" s="1"/>
  <c r="F1238" i="16" s="1"/>
  <c r="F1301" i="16" s="1"/>
  <c r="F1364" i="16" s="1"/>
  <c r="F1427" i="16" s="1"/>
  <c r="F1490" i="16" s="1"/>
  <c r="F1553" i="16" s="1"/>
  <c r="F1616" i="16" s="1"/>
  <c r="F1679" i="16" s="1"/>
  <c r="F1742" i="16" s="1"/>
  <c r="F1805" i="16" s="1"/>
  <c r="F1868" i="16" s="1"/>
  <c r="F1931" i="16" s="1"/>
  <c r="I45" i="16"/>
  <c r="F45" i="16"/>
  <c r="F108" i="16" s="1"/>
  <c r="F171" i="16" s="1"/>
  <c r="F234" i="16" s="1"/>
  <c r="F297" i="16" s="1"/>
  <c r="F360" i="16" s="1"/>
  <c r="F423" i="16" s="1"/>
  <c r="F486" i="16" s="1"/>
  <c r="F549" i="16" s="1"/>
  <c r="F612" i="16" s="1"/>
  <c r="F675" i="16" s="1"/>
  <c r="F738" i="16" s="1"/>
  <c r="F801" i="16" s="1"/>
  <c r="F864" i="16" s="1"/>
  <c r="F927" i="16" s="1"/>
  <c r="F990" i="16" s="1"/>
  <c r="F1053" i="16" s="1"/>
  <c r="F1116" i="16" s="1"/>
  <c r="F1179" i="16" s="1"/>
  <c r="F1242" i="16" s="1"/>
  <c r="F1305" i="16" s="1"/>
  <c r="F1368" i="16" s="1"/>
  <c r="F1431" i="16" s="1"/>
  <c r="F1494" i="16" s="1"/>
  <c r="F1557" i="16" s="1"/>
  <c r="F1620" i="16" s="1"/>
  <c r="F1683" i="16" s="1"/>
  <c r="F1746" i="16" s="1"/>
  <c r="F1809" i="16" s="1"/>
  <c r="F1872" i="16" s="1"/>
  <c r="F1935" i="16" s="1"/>
  <c r="B71" i="16"/>
  <c r="I46" i="16"/>
  <c r="E8" i="16" s="1"/>
  <c r="E71" i="16" s="1"/>
  <c r="I172" i="16"/>
  <c r="I298" i="16"/>
  <c r="B69" i="16"/>
  <c r="E69" i="16" s="1"/>
  <c r="B128" i="16"/>
  <c r="I737" i="16"/>
  <c r="I739" i="16" s="1"/>
  <c r="I1051" i="16"/>
  <c r="I608" i="16"/>
  <c r="I613" i="16" s="1"/>
  <c r="I612" i="16"/>
  <c r="I609" i="16"/>
  <c r="F609" i="16"/>
  <c r="F672" i="16" s="1"/>
  <c r="F735" i="16" s="1"/>
  <c r="F798" i="16" s="1"/>
  <c r="F861" i="16" s="1"/>
  <c r="F924" i="16" s="1"/>
  <c r="F987" i="16" s="1"/>
  <c r="F1050" i="16" s="1"/>
  <c r="F1113" i="16" s="1"/>
  <c r="F1176" i="16" s="1"/>
  <c r="F1239" i="16" s="1"/>
  <c r="F1302" i="16" s="1"/>
  <c r="F1365" i="16" s="1"/>
  <c r="F1428" i="16" s="1"/>
  <c r="F1491" i="16" s="1"/>
  <c r="F1554" i="16" s="1"/>
  <c r="F1617" i="16" s="1"/>
  <c r="F1680" i="16" s="1"/>
  <c r="F1743" i="16" s="1"/>
  <c r="F1806" i="16" s="1"/>
  <c r="F1869" i="16" s="1"/>
  <c r="F1932" i="16" s="1"/>
  <c r="I611" i="16"/>
  <c r="F611" i="16"/>
  <c r="F674" i="16" s="1"/>
  <c r="F737" i="16" s="1"/>
  <c r="F800" i="16" s="1"/>
  <c r="F863" i="16" s="1"/>
  <c r="F926" i="16" s="1"/>
  <c r="F989" i="16" s="1"/>
  <c r="F1052" i="16" s="1"/>
  <c r="F1115" i="16" s="1"/>
  <c r="F1178" i="16" s="1"/>
  <c r="F1241" i="16" s="1"/>
  <c r="F1304" i="16" s="1"/>
  <c r="F1367" i="16" s="1"/>
  <c r="F1430" i="16" s="1"/>
  <c r="F1493" i="16" s="1"/>
  <c r="F1556" i="16" s="1"/>
  <c r="F1619" i="16" s="1"/>
  <c r="F1682" i="16" s="1"/>
  <c r="F1745" i="16" s="1"/>
  <c r="F1808" i="16" s="1"/>
  <c r="F1871" i="16" s="1"/>
  <c r="F1934" i="16" s="1"/>
  <c r="I676" i="16"/>
  <c r="I734" i="16"/>
  <c r="I738" i="16"/>
  <c r="I802" i="16"/>
  <c r="I991" i="16"/>
  <c r="I1178" i="16"/>
  <c r="I610" i="16"/>
  <c r="F610" i="16"/>
  <c r="F673" i="16" s="1"/>
  <c r="I736" i="16"/>
  <c r="F736" i="16"/>
  <c r="F799" i="16" s="1"/>
  <c r="F862" i="16" s="1"/>
  <c r="F925" i="16" s="1"/>
  <c r="F988" i="16" s="1"/>
  <c r="F1051" i="16" s="1"/>
  <c r="F1114" i="16" s="1"/>
  <c r="F1177" i="16" s="1"/>
  <c r="F1240" i="16" s="1"/>
  <c r="F1303" i="16" s="1"/>
  <c r="F1366" i="16" s="1"/>
  <c r="F1429" i="16" s="1"/>
  <c r="F1492" i="16" s="1"/>
  <c r="F1555" i="16" s="1"/>
  <c r="F1618" i="16" s="1"/>
  <c r="F1681" i="16" s="1"/>
  <c r="F1744" i="16" s="1"/>
  <c r="F1807" i="16" s="1"/>
  <c r="F1870" i="16" s="1"/>
  <c r="F1933" i="16" s="1"/>
  <c r="I550" i="16"/>
  <c r="I735" i="16"/>
  <c r="I863" i="16"/>
  <c r="I865" i="16" s="1"/>
  <c r="I924" i="16"/>
  <c r="I1052" i="16"/>
  <c r="I1175" i="16"/>
  <c r="I1180" i="16" s="1"/>
  <c r="I1179" i="16"/>
  <c r="I1243" i="16"/>
  <c r="I923" i="16"/>
  <c r="I927" i="16"/>
  <c r="I1049" i="16"/>
  <c r="I1054" i="16" s="1"/>
  <c r="I1053" i="16"/>
  <c r="I1117" i="16"/>
  <c r="I1176" i="16"/>
  <c r="I1050" i="16"/>
  <c r="I1177" i="16"/>
  <c r="I1304" i="16"/>
  <c r="I1555" i="16"/>
  <c r="I1306" i="16"/>
  <c r="I1553" i="16"/>
  <c r="I1558" i="16" s="1"/>
  <c r="I1557" i="16"/>
  <c r="I1367" i="16"/>
  <c r="I1369" i="16" s="1"/>
  <c r="I1428" i="16"/>
  <c r="I1430" i="16"/>
  <c r="I1495" i="16"/>
  <c r="I1744" i="16"/>
  <c r="I1554" i="16"/>
  <c r="I1556" i="16"/>
  <c r="I1427" i="16"/>
  <c r="I1432" i="16" s="1"/>
  <c r="I1429" i="16"/>
  <c r="I1431" i="16"/>
  <c r="I1742" i="16"/>
  <c r="I1747" i="16" s="1"/>
  <c r="I1746" i="16"/>
  <c r="I1684" i="16"/>
  <c r="I1743" i="16"/>
  <c r="I1745" i="16"/>
  <c r="I1810" i="16"/>
  <c r="I1873" i="16"/>
  <c r="I1936" i="16"/>
  <c r="F42" i="15"/>
  <c r="F105" i="15" s="1"/>
  <c r="F168" i="15" s="1"/>
  <c r="F231" i="15" s="1"/>
  <c r="F294" i="15" s="1"/>
  <c r="F357" i="15" s="1"/>
  <c r="F420" i="15" s="1"/>
  <c r="F483" i="15" s="1"/>
  <c r="F546" i="15" s="1"/>
  <c r="F609" i="15" s="1"/>
  <c r="F672" i="15" s="1"/>
  <c r="F735" i="15" s="1"/>
  <c r="F798" i="15" s="1"/>
  <c r="F861" i="15" s="1"/>
  <c r="F924" i="15" s="1"/>
  <c r="F987" i="15" s="1"/>
  <c r="F1050" i="15" s="1"/>
  <c r="F1113" i="15" s="1"/>
  <c r="F1176" i="15" s="1"/>
  <c r="F1239" i="15" s="1"/>
  <c r="F1302" i="15" s="1"/>
  <c r="F1365" i="15" s="1"/>
  <c r="F1428" i="15" s="1"/>
  <c r="F1491" i="15" s="1"/>
  <c r="F1554" i="15" s="1"/>
  <c r="F1617" i="15" s="1"/>
  <c r="F1680" i="15" s="1"/>
  <c r="F1743" i="15" s="1"/>
  <c r="F1806" i="15" s="1"/>
  <c r="F1869" i="15" s="1"/>
  <c r="F1932" i="15" s="1"/>
  <c r="I172" i="15"/>
  <c r="I361" i="15"/>
  <c r="B191" i="15"/>
  <c r="B132" i="15"/>
  <c r="E132" i="15" s="1"/>
  <c r="I109" i="15"/>
  <c r="I424" i="15"/>
  <c r="I550" i="15"/>
  <c r="I676" i="15"/>
  <c r="I46" i="15"/>
  <c r="E8" i="15" s="1"/>
  <c r="I235" i="15"/>
  <c r="I802" i="15"/>
  <c r="I863" i="15"/>
  <c r="F863" i="15"/>
  <c r="I986" i="15"/>
  <c r="I991" i="15" s="1"/>
  <c r="I990" i="15"/>
  <c r="I1054" i="15"/>
  <c r="B69" i="15"/>
  <c r="E69" i="15" s="1"/>
  <c r="I860" i="15"/>
  <c r="F860" i="15"/>
  <c r="F923" i="15" s="1"/>
  <c r="F986" i="15" s="1"/>
  <c r="F1049" i="15" s="1"/>
  <c r="F1112" i="15" s="1"/>
  <c r="F1175" i="15" s="1"/>
  <c r="F1238" i="15" s="1"/>
  <c r="F1301" i="15" s="1"/>
  <c r="F1364" i="15" s="1"/>
  <c r="F1427" i="15" s="1"/>
  <c r="F1490" i="15" s="1"/>
  <c r="F1553" i="15" s="1"/>
  <c r="F1616" i="15" s="1"/>
  <c r="F1679" i="15" s="1"/>
  <c r="F1742" i="15" s="1"/>
  <c r="F1805" i="15" s="1"/>
  <c r="F1868" i="15" s="1"/>
  <c r="F1931" i="15" s="1"/>
  <c r="I864" i="15"/>
  <c r="F864" i="15"/>
  <c r="F927" i="15" s="1"/>
  <c r="F990" i="15" s="1"/>
  <c r="F1053" i="15" s="1"/>
  <c r="F1116" i="15" s="1"/>
  <c r="F1179" i="15" s="1"/>
  <c r="F1242" i="15" s="1"/>
  <c r="F1305" i="15" s="1"/>
  <c r="F1368" i="15" s="1"/>
  <c r="F1431" i="15" s="1"/>
  <c r="F1494" i="15" s="1"/>
  <c r="F1557" i="15" s="1"/>
  <c r="F1620" i="15" s="1"/>
  <c r="F1683" i="15" s="1"/>
  <c r="F1746" i="15" s="1"/>
  <c r="F1809" i="15" s="1"/>
  <c r="F1872" i="15" s="1"/>
  <c r="F1935" i="15" s="1"/>
  <c r="I928" i="15"/>
  <c r="I987" i="15"/>
  <c r="I861" i="15"/>
  <c r="I865" i="15" s="1"/>
  <c r="F926" i="15"/>
  <c r="F989" i="15" s="1"/>
  <c r="F1052" i="15" s="1"/>
  <c r="F1115" i="15" s="1"/>
  <c r="F1178" i="15" s="1"/>
  <c r="F1241" i="15" s="1"/>
  <c r="F1304" i="15" s="1"/>
  <c r="F1367" i="15" s="1"/>
  <c r="F1430" i="15" s="1"/>
  <c r="F1493" i="15" s="1"/>
  <c r="F1556" i="15" s="1"/>
  <c r="F1619" i="15" s="1"/>
  <c r="F1682" i="15" s="1"/>
  <c r="F1745" i="15" s="1"/>
  <c r="F1808" i="15" s="1"/>
  <c r="F1871" i="15" s="1"/>
  <c r="F1934" i="15" s="1"/>
  <c r="I988" i="15"/>
  <c r="I862" i="15"/>
  <c r="F862" i="15"/>
  <c r="F925" i="15" s="1"/>
  <c r="F988" i="15" s="1"/>
  <c r="F1051" i="15" s="1"/>
  <c r="F1114" i="15" s="1"/>
  <c r="F1177" i="15" s="1"/>
  <c r="F1240" i="15" s="1"/>
  <c r="F1303" i="15" s="1"/>
  <c r="F1366" i="15" s="1"/>
  <c r="F1429" i="15" s="1"/>
  <c r="F1492" i="15" s="1"/>
  <c r="F1555" i="15" s="1"/>
  <c r="F1618" i="15" s="1"/>
  <c r="F1681" i="15" s="1"/>
  <c r="F1744" i="15" s="1"/>
  <c r="F1807" i="15" s="1"/>
  <c r="F1870" i="15" s="1"/>
  <c r="F1933" i="15" s="1"/>
  <c r="I989" i="15"/>
  <c r="I1243" i="15"/>
  <c r="I1432" i="15"/>
  <c r="I1117" i="15"/>
  <c r="I1367" i="15"/>
  <c r="I1744" i="15"/>
  <c r="I1491" i="15"/>
  <c r="I1495" i="15" s="1"/>
  <c r="I1493" i="15"/>
  <c r="I1365" i="15"/>
  <c r="I1369" i="15" s="1"/>
  <c r="I1554" i="15"/>
  <c r="I1558" i="15" s="1"/>
  <c r="I1621" i="15"/>
  <c r="I1742" i="15"/>
  <c r="I1747" i="15" s="1"/>
  <c r="I1684" i="15"/>
  <c r="I1810" i="15"/>
  <c r="I1873" i="15"/>
  <c r="I1936" i="15"/>
  <c r="F105" i="14"/>
  <c r="B71" i="14"/>
  <c r="B128" i="14"/>
  <c r="B132" i="14" s="1"/>
  <c r="E132" i="14" s="1"/>
  <c r="B191" i="14"/>
  <c r="F107" i="14"/>
  <c r="F170" i="14" s="1"/>
  <c r="F233" i="14" s="1"/>
  <c r="F296" i="14" s="1"/>
  <c r="F359" i="14" s="1"/>
  <c r="F422" i="14" s="1"/>
  <c r="F485" i="14" s="1"/>
  <c r="F548" i="14" s="1"/>
  <c r="I41" i="14"/>
  <c r="I46" i="14" s="1"/>
  <c r="E8" i="14" s="1"/>
  <c r="F106" i="14"/>
  <c r="F169" i="14" s="1"/>
  <c r="F232" i="14" s="1"/>
  <c r="F295" i="14" s="1"/>
  <c r="F358" i="14" s="1"/>
  <c r="F421" i="14" s="1"/>
  <c r="F484" i="14" s="1"/>
  <c r="F547" i="14" s="1"/>
  <c r="F610" i="14" s="1"/>
  <c r="F673" i="14" s="1"/>
  <c r="F736" i="14" s="1"/>
  <c r="F799" i="14" s="1"/>
  <c r="F862" i="14" s="1"/>
  <c r="F925" i="14" s="1"/>
  <c r="F988" i="14" s="1"/>
  <c r="F1051" i="14" s="1"/>
  <c r="F1114" i="14" s="1"/>
  <c r="F1177" i="14" s="1"/>
  <c r="F1240" i="14" s="1"/>
  <c r="F1303" i="14" s="1"/>
  <c r="F1366" i="14" s="1"/>
  <c r="F1429" i="14" s="1"/>
  <c r="F1492" i="14" s="1"/>
  <c r="F1555" i="14" s="1"/>
  <c r="F1618" i="14" s="1"/>
  <c r="F1681" i="14" s="1"/>
  <c r="F1744" i="14" s="1"/>
  <c r="F1807" i="14" s="1"/>
  <c r="F1870" i="14" s="1"/>
  <c r="F1933" i="14" s="1"/>
  <c r="I1747" i="14"/>
  <c r="I1621" i="14"/>
  <c r="I1495" i="14"/>
  <c r="I1369" i="14"/>
  <c r="I1054" i="14"/>
  <c r="I991" i="14"/>
  <c r="I865" i="14"/>
  <c r="I676" i="14"/>
  <c r="I550" i="14"/>
  <c r="I424" i="14"/>
  <c r="I361" i="14"/>
  <c r="I172" i="14"/>
  <c r="F171" i="14"/>
  <c r="F234" i="14" s="1"/>
  <c r="F297" i="14" s="1"/>
  <c r="F360" i="14" s="1"/>
  <c r="F423" i="14" s="1"/>
  <c r="F486" i="14" s="1"/>
  <c r="F549" i="14" s="1"/>
  <c r="F612" i="14" s="1"/>
  <c r="F675" i="14" s="1"/>
  <c r="F738" i="14" s="1"/>
  <c r="F801" i="14" s="1"/>
  <c r="F864" i="14" s="1"/>
  <c r="F927" i="14" s="1"/>
  <c r="F990" i="14" s="1"/>
  <c r="F1053" i="14" s="1"/>
  <c r="F1116" i="14" s="1"/>
  <c r="F1179" i="14" s="1"/>
  <c r="F1242" i="14" s="1"/>
  <c r="F1305" i="14" s="1"/>
  <c r="F1368" i="14" s="1"/>
  <c r="F1431" i="14" s="1"/>
  <c r="F1494" i="14" s="1"/>
  <c r="F1557" i="14" s="1"/>
  <c r="F1620" i="14" s="1"/>
  <c r="F1683" i="14" s="1"/>
  <c r="F1746" i="14" s="1"/>
  <c r="F1809" i="14" s="1"/>
  <c r="F1872" i="14" s="1"/>
  <c r="F1935" i="14" s="1"/>
  <c r="F167" i="14"/>
  <c r="F230" i="14" s="1"/>
  <c r="F293" i="14" s="1"/>
  <c r="F356" i="14" s="1"/>
  <c r="F419" i="14" s="1"/>
  <c r="F482" i="14" s="1"/>
  <c r="F545" i="14" s="1"/>
  <c r="F608" i="14" s="1"/>
  <c r="F671" i="14" s="1"/>
  <c r="F734" i="14" s="1"/>
  <c r="F797" i="14" s="1"/>
  <c r="F860" i="14" s="1"/>
  <c r="F923" i="14" s="1"/>
  <c r="F986" i="14" s="1"/>
  <c r="F1049" i="14" s="1"/>
  <c r="F1112" i="14" s="1"/>
  <c r="F1175" i="14" s="1"/>
  <c r="F1238" i="14" s="1"/>
  <c r="F1301" i="14" s="1"/>
  <c r="F1364" i="14" s="1"/>
  <c r="F1427" i="14" s="1"/>
  <c r="F1490" i="14" s="1"/>
  <c r="F1553" i="14" s="1"/>
  <c r="F1616" i="14" s="1"/>
  <c r="F1679" i="14" s="1"/>
  <c r="F1742" i="14" s="1"/>
  <c r="F1805" i="14" s="1"/>
  <c r="F1868" i="14" s="1"/>
  <c r="F1931" i="14" s="1"/>
  <c r="B134" i="14"/>
  <c r="B197" i="14" s="1"/>
  <c r="I1684" i="14"/>
  <c r="I1810" i="14"/>
  <c r="I1873" i="14"/>
  <c r="I1936" i="14"/>
  <c r="I1432" i="14"/>
  <c r="I1558" i="14"/>
  <c r="I1115" i="14"/>
  <c r="I1112" i="14"/>
  <c r="I1116" i="14"/>
  <c r="I1113" i="14"/>
  <c r="I1114" i="14"/>
  <c r="I1180" i="14"/>
  <c r="I1243" i="14"/>
  <c r="I1306" i="14"/>
  <c r="I739" i="14"/>
  <c r="I802" i="14"/>
  <c r="I928" i="14"/>
  <c r="I487" i="14"/>
  <c r="I613" i="14"/>
  <c r="F611" i="14"/>
  <c r="F674" i="14" s="1"/>
  <c r="F737" i="14" s="1"/>
  <c r="F800" i="14" s="1"/>
  <c r="F863" i="14" s="1"/>
  <c r="F926" i="14" s="1"/>
  <c r="F989" i="14" s="1"/>
  <c r="F1052" i="14" s="1"/>
  <c r="F1115" i="14" s="1"/>
  <c r="F1178" i="14" s="1"/>
  <c r="F1241" i="14" s="1"/>
  <c r="F1304" i="14" s="1"/>
  <c r="F1367" i="14" s="1"/>
  <c r="F1430" i="14" s="1"/>
  <c r="F1493" i="14" s="1"/>
  <c r="F1556" i="14" s="1"/>
  <c r="F1619" i="14" s="1"/>
  <c r="F1682" i="14" s="1"/>
  <c r="F1745" i="14" s="1"/>
  <c r="F1808" i="14" s="1"/>
  <c r="F1871" i="14" s="1"/>
  <c r="F1934" i="14" s="1"/>
  <c r="I298" i="14"/>
  <c r="I235" i="14"/>
  <c r="F168" i="14"/>
  <c r="F231" i="14" s="1"/>
  <c r="F294" i="14" s="1"/>
  <c r="F357" i="14" s="1"/>
  <c r="F420" i="14" s="1"/>
  <c r="F483" i="14" s="1"/>
  <c r="F546" i="14" s="1"/>
  <c r="F609" i="14" s="1"/>
  <c r="F672" i="14" s="1"/>
  <c r="F735" i="14" s="1"/>
  <c r="F798" i="14" s="1"/>
  <c r="F861" i="14" s="1"/>
  <c r="F924" i="14" s="1"/>
  <c r="F987" i="14" s="1"/>
  <c r="F1050" i="14" s="1"/>
  <c r="F1113" i="14" s="1"/>
  <c r="F1176" i="14" s="1"/>
  <c r="F1239" i="14" s="1"/>
  <c r="F1302" i="14" s="1"/>
  <c r="F1365" i="14" s="1"/>
  <c r="F1428" i="14" s="1"/>
  <c r="F1491" i="14" s="1"/>
  <c r="F1554" i="14" s="1"/>
  <c r="F1617" i="14" s="1"/>
  <c r="F1680" i="14" s="1"/>
  <c r="F1743" i="14" s="1"/>
  <c r="F1806" i="14" s="1"/>
  <c r="F1869" i="14" s="1"/>
  <c r="F1932" i="14" s="1"/>
  <c r="I109" i="14"/>
  <c r="L21" i="3"/>
  <c r="M19" i="3"/>
  <c r="I19" i="3"/>
  <c r="N19" i="3"/>
  <c r="F19" i="3"/>
  <c r="F21" i="3" s="1"/>
  <c r="F22" i="3" s="1"/>
  <c r="L19" i="3"/>
  <c r="H19" i="3"/>
  <c r="O19" i="3"/>
  <c r="K19" i="3"/>
  <c r="G19" i="3"/>
  <c r="J19" i="3"/>
  <c r="M10" i="3"/>
  <c r="M21" i="3" s="1"/>
  <c r="G6" i="3"/>
  <c r="G7" i="3"/>
  <c r="H8" i="3"/>
  <c r="J10" i="3"/>
  <c r="J21" i="3" s="1"/>
  <c r="N10" i="3"/>
  <c r="N21" i="3" s="1"/>
  <c r="K11" i="3"/>
  <c r="G15" i="3"/>
  <c r="K15" i="3"/>
  <c r="O15" i="3"/>
  <c r="O21" i="3" s="1"/>
  <c r="G16" i="3"/>
  <c r="K16" i="3"/>
  <c r="O16" i="3"/>
  <c r="G17" i="3"/>
  <c r="K17" i="3"/>
  <c r="O17" i="3"/>
  <c r="G18" i="3"/>
  <c r="K18" i="3"/>
  <c r="O18" i="3"/>
  <c r="K8" i="3"/>
  <c r="K21" i="3" s="1"/>
  <c r="H7" i="3"/>
  <c r="H21" i="3" s="1"/>
  <c r="I8" i="3"/>
  <c r="K10" i="3"/>
  <c r="I6" i="3"/>
  <c r="I15" i="3"/>
  <c r="I16" i="3"/>
  <c r="I17" i="3"/>
  <c r="I18" i="3"/>
  <c r="Q1" i="3"/>
  <c r="Q27" i="3"/>
  <c r="B197" i="17" l="1"/>
  <c r="B195" i="17"/>
  <c r="E195" i="17" s="1"/>
  <c r="B254" i="17"/>
  <c r="I172" i="17"/>
  <c r="E134" i="17" s="1"/>
  <c r="E197" i="17" s="1"/>
  <c r="E260" i="17" s="1"/>
  <c r="E323" i="17" s="1"/>
  <c r="E386" i="17" s="1"/>
  <c r="E449" i="17" s="1"/>
  <c r="I1180" i="17"/>
  <c r="I550" i="17"/>
  <c r="E134" i="16"/>
  <c r="E197" i="16" s="1"/>
  <c r="E260" i="16" s="1"/>
  <c r="E323" i="16" s="1"/>
  <c r="E386" i="16" s="1"/>
  <c r="E449" i="16" s="1"/>
  <c r="E512" i="16" s="1"/>
  <c r="E575" i="16" s="1"/>
  <c r="E638" i="16" s="1"/>
  <c r="E701" i="16" s="1"/>
  <c r="E764" i="16" s="1"/>
  <c r="E827" i="16" s="1"/>
  <c r="I928" i="16"/>
  <c r="B191" i="16"/>
  <c r="B132" i="16"/>
  <c r="E132" i="16" s="1"/>
  <c r="B134" i="16"/>
  <c r="E71" i="15"/>
  <c r="E134" i="15"/>
  <c r="E197" i="15" s="1"/>
  <c r="E260" i="15" s="1"/>
  <c r="E323" i="15" s="1"/>
  <c r="E386" i="15" s="1"/>
  <c r="E449" i="15" s="1"/>
  <c r="E512" i="15" s="1"/>
  <c r="E575" i="15" s="1"/>
  <c r="E638" i="15" s="1"/>
  <c r="E701" i="15" s="1"/>
  <c r="E764" i="15" s="1"/>
  <c r="E827" i="15" s="1"/>
  <c r="E890" i="15" s="1"/>
  <c r="E953" i="15" s="1"/>
  <c r="E1016" i="15" s="1"/>
  <c r="E1079" i="15" s="1"/>
  <c r="E1142" i="15" s="1"/>
  <c r="E1205" i="15" s="1"/>
  <c r="E1268" i="15" s="1"/>
  <c r="E1331" i="15" s="1"/>
  <c r="E1394" i="15" s="1"/>
  <c r="E1457" i="15" s="1"/>
  <c r="E1520" i="15" s="1"/>
  <c r="E1583" i="15" s="1"/>
  <c r="E1646" i="15" s="1"/>
  <c r="E1709" i="15" s="1"/>
  <c r="E1772" i="15" s="1"/>
  <c r="E1835" i="15" s="1"/>
  <c r="E1898" i="15" s="1"/>
  <c r="B254" i="15"/>
  <c r="B195" i="15"/>
  <c r="E195" i="15" s="1"/>
  <c r="B197" i="15"/>
  <c r="B195" i="14"/>
  <c r="E195" i="14" s="1"/>
  <c r="B254" i="14"/>
  <c r="I1117" i="14"/>
  <c r="E71" i="14"/>
  <c r="E134" i="14" s="1"/>
  <c r="E197" i="14" s="1"/>
  <c r="E260" i="14" s="1"/>
  <c r="E323" i="14" s="1"/>
  <c r="E386" i="14" s="1"/>
  <c r="E449" i="14" s="1"/>
  <c r="E512" i="14" s="1"/>
  <c r="E575" i="14" s="1"/>
  <c r="E638" i="14" s="1"/>
  <c r="E701" i="14" s="1"/>
  <c r="E764" i="14" s="1"/>
  <c r="E827" i="14" s="1"/>
  <c r="E890" i="14" s="1"/>
  <c r="E953" i="14" s="1"/>
  <c r="E1016" i="14" s="1"/>
  <c r="G21" i="3"/>
  <c r="G22" i="3" s="1"/>
  <c r="H22" i="3" s="1"/>
  <c r="I22" i="3" s="1"/>
  <c r="J22" i="3" s="1"/>
  <c r="K22" i="3" s="1"/>
  <c r="L22" i="3" s="1"/>
  <c r="M22" i="3" s="1"/>
  <c r="N22" i="3" s="1"/>
  <c r="O22" i="3" s="1"/>
  <c r="I21" i="3"/>
  <c r="Q2" i="3"/>
  <c r="R2" i="3"/>
  <c r="R1" i="3"/>
  <c r="E512" i="17" l="1"/>
  <c r="E575" i="17" s="1"/>
  <c r="E638" i="17" s="1"/>
  <c r="E701" i="17" s="1"/>
  <c r="E764" i="17" s="1"/>
  <c r="E827" i="17" s="1"/>
  <c r="E890" i="17" s="1"/>
  <c r="E953" i="17" s="1"/>
  <c r="E1016" i="17" s="1"/>
  <c r="E1079" i="17" s="1"/>
  <c r="E1142" i="17" s="1"/>
  <c r="E1205" i="17" s="1"/>
  <c r="E1268" i="17" s="1"/>
  <c r="E1331" i="17" s="1"/>
  <c r="E1394" i="17" s="1"/>
  <c r="E1457" i="17" s="1"/>
  <c r="E1520" i="17" s="1"/>
  <c r="E1583" i="17" s="1"/>
  <c r="E1646" i="17" s="1"/>
  <c r="E1709" i="17" s="1"/>
  <c r="E1772" i="17" s="1"/>
  <c r="E1835" i="17" s="1"/>
  <c r="E1898" i="17" s="1"/>
  <c r="B260" i="17"/>
  <c r="B317" i="17"/>
  <c r="B258" i="17"/>
  <c r="E258" i="17" s="1"/>
  <c r="B197" i="16"/>
  <c r="B254" i="16"/>
  <c r="B195" i="16"/>
  <c r="E195" i="16" s="1"/>
  <c r="E890" i="16"/>
  <c r="E953" i="16" s="1"/>
  <c r="E1016" i="16" s="1"/>
  <c r="E1079" i="16" s="1"/>
  <c r="E1142" i="16" s="1"/>
  <c r="E1205" i="16" s="1"/>
  <c r="E1268" i="16" s="1"/>
  <c r="E1331" i="16" s="1"/>
  <c r="E1394" i="16" s="1"/>
  <c r="E1457" i="16" s="1"/>
  <c r="E1520" i="16" s="1"/>
  <c r="E1583" i="16" s="1"/>
  <c r="E1646" i="16" s="1"/>
  <c r="E1709" i="16" s="1"/>
  <c r="E1772" i="16" s="1"/>
  <c r="E1835" i="16" s="1"/>
  <c r="E1898" i="16" s="1"/>
  <c r="B317" i="15"/>
  <c r="B258" i="15"/>
  <c r="E258" i="15" s="1"/>
  <c r="B260" i="15"/>
  <c r="B258" i="14"/>
  <c r="E258" i="14" s="1"/>
  <c r="B317" i="14"/>
  <c r="E1079" i="14"/>
  <c r="E1142" i="14" s="1"/>
  <c r="E1205" i="14" s="1"/>
  <c r="E1268" i="14" s="1"/>
  <c r="E1331" i="14" s="1"/>
  <c r="E1394" i="14" s="1"/>
  <c r="E1457" i="14" s="1"/>
  <c r="E1520" i="14" s="1"/>
  <c r="E1583" i="14" s="1"/>
  <c r="E1646" i="14" s="1"/>
  <c r="E1709" i="14" s="1"/>
  <c r="E1772" i="14" s="1"/>
  <c r="E1835" i="14" s="1"/>
  <c r="E1898" i="14" s="1"/>
  <c r="B260" i="14"/>
  <c r="B323" i="14" s="1"/>
  <c r="S1" i="3"/>
  <c r="S2" i="3"/>
  <c r="B323" i="17" l="1"/>
  <c r="B380" i="17"/>
  <c r="B321" i="17"/>
  <c r="E321" i="17" s="1"/>
  <c r="B317" i="16"/>
  <c r="B258" i="16"/>
  <c r="E258" i="16" s="1"/>
  <c r="B260" i="16"/>
  <c r="B380" i="15"/>
  <c r="B321" i="15"/>
  <c r="E321" i="15" s="1"/>
  <c r="B323" i="15"/>
  <c r="B321" i="14"/>
  <c r="E321" i="14" s="1"/>
  <c r="B380" i="14"/>
  <c r="T1" i="3"/>
  <c r="T2" i="3"/>
  <c r="B386" i="17" l="1"/>
  <c r="B443" i="17"/>
  <c r="B384" i="17"/>
  <c r="E384" i="17" s="1"/>
  <c r="B323" i="16"/>
  <c r="B380" i="16"/>
  <c r="B321" i="16"/>
  <c r="E321" i="16" s="1"/>
  <c r="B443" i="15"/>
  <c r="B384" i="15"/>
  <c r="E384" i="15" s="1"/>
  <c r="B386" i="15"/>
  <c r="B384" i="14"/>
  <c r="E384" i="14" s="1"/>
  <c r="B443" i="14"/>
  <c r="B386" i="14"/>
  <c r="U2" i="3"/>
  <c r="U1" i="3"/>
  <c r="B449" i="17" l="1"/>
  <c r="B506" i="17"/>
  <c r="B447" i="17"/>
  <c r="E447" i="17" s="1"/>
  <c r="B443" i="16"/>
  <c r="B384" i="16"/>
  <c r="E384" i="16" s="1"/>
  <c r="B386" i="16"/>
  <c r="B506" i="15"/>
  <c r="B447" i="15"/>
  <c r="E447" i="15" s="1"/>
  <c r="B449" i="15"/>
  <c r="B506" i="14"/>
  <c r="B449" i="14"/>
  <c r="B447" i="14"/>
  <c r="E447" i="14" s="1"/>
  <c r="V2" i="3"/>
  <c r="V1" i="3"/>
  <c r="B512" i="17" l="1"/>
  <c r="B569" i="17"/>
  <c r="B510" i="17"/>
  <c r="E510" i="17" s="1"/>
  <c r="B449" i="16"/>
  <c r="B506" i="16"/>
  <c r="B447" i="16"/>
  <c r="E447" i="16" s="1"/>
  <c r="B569" i="15"/>
  <c r="B510" i="15"/>
  <c r="E510" i="15" s="1"/>
  <c r="B512" i="15"/>
  <c r="B569" i="14"/>
  <c r="B510" i="14"/>
  <c r="E510" i="14" s="1"/>
  <c r="B512" i="14"/>
  <c r="W1" i="3"/>
  <c r="W2" i="3"/>
  <c r="B575" i="17" l="1"/>
  <c r="B573" i="17"/>
  <c r="E573" i="17" s="1"/>
  <c r="B632" i="17"/>
  <c r="B510" i="16"/>
  <c r="E510" i="16" s="1"/>
  <c r="B569" i="16"/>
  <c r="B512" i="16"/>
  <c r="B575" i="15"/>
  <c r="B632" i="15"/>
  <c r="B573" i="15"/>
  <c r="E573" i="15" s="1"/>
  <c r="B575" i="14"/>
  <c r="B632" i="14"/>
  <c r="B573" i="14"/>
  <c r="E573" i="14" s="1"/>
  <c r="X1" i="3"/>
  <c r="X2" i="3"/>
  <c r="B638" i="17" l="1"/>
  <c r="B695" i="17"/>
  <c r="B636" i="17"/>
  <c r="E636" i="17" s="1"/>
  <c r="B632" i="16"/>
  <c r="B573" i="16"/>
  <c r="E573" i="16" s="1"/>
  <c r="B575" i="16"/>
  <c r="B695" i="15"/>
  <c r="B636" i="15"/>
  <c r="E636" i="15" s="1"/>
  <c r="B638" i="15"/>
  <c r="B695" i="14"/>
  <c r="B638" i="14"/>
  <c r="B701" i="14" s="1"/>
  <c r="B636" i="14"/>
  <c r="E636" i="14" s="1"/>
  <c r="Y2" i="3"/>
  <c r="Y1" i="3"/>
  <c r="B758" i="17" l="1"/>
  <c r="B701" i="17"/>
  <c r="B699" i="17"/>
  <c r="E699" i="17" s="1"/>
  <c r="B638" i="16"/>
  <c r="B695" i="16"/>
  <c r="B636" i="16"/>
  <c r="E636" i="16" s="1"/>
  <c r="B701" i="15"/>
  <c r="B758" i="15"/>
  <c r="B699" i="15"/>
  <c r="E699" i="15" s="1"/>
  <c r="B758" i="14"/>
  <c r="B764" i="14" s="1"/>
  <c r="B699" i="14"/>
  <c r="E699" i="14" s="1"/>
  <c r="Z2" i="3"/>
  <c r="Z1" i="3"/>
  <c r="B821" i="17" l="1"/>
  <c r="B762" i="17"/>
  <c r="E762" i="17" s="1"/>
  <c r="B764" i="17"/>
  <c r="B701" i="16"/>
  <c r="B758" i="16"/>
  <c r="B699" i="16"/>
  <c r="E699" i="16" s="1"/>
  <c r="B762" i="15"/>
  <c r="E762" i="15" s="1"/>
  <c r="B821" i="15"/>
  <c r="B764" i="15"/>
  <c r="B821" i="14"/>
  <c r="B827" i="14" s="1"/>
  <c r="B762" i="14"/>
  <c r="E762" i="14" s="1"/>
  <c r="B827" i="17" l="1"/>
  <c r="B884" i="17"/>
  <c r="B825" i="17"/>
  <c r="E825" i="17" s="1"/>
  <c r="B764" i="16"/>
  <c r="B762" i="16"/>
  <c r="E762" i="16" s="1"/>
  <c r="B821" i="16"/>
  <c r="B827" i="15"/>
  <c r="B884" i="15"/>
  <c r="B825" i="15"/>
  <c r="E825" i="15" s="1"/>
  <c r="B825" i="14"/>
  <c r="E825" i="14" s="1"/>
  <c r="B884" i="14"/>
  <c r="B947" i="17" l="1"/>
  <c r="B888" i="17"/>
  <c r="E888" i="17" s="1"/>
  <c r="B890" i="17"/>
  <c r="B884" i="16"/>
  <c r="B827" i="16"/>
  <c r="B825" i="16"/>
  <c r="E825" i="16" s="1"/>
  <c r="B890" i="15"/>
  <c r="B947" i="15"/>
  <c r="B888" i="15"/>
  <c r="E888" i="15" s="1"/>
  <c r="B947" i="14"/>
  <c r="B888" i="14"/>
  <c r="E888" i="14" s="1"/>
  <c r="B890" i="14"/>
  <c r="B953" i="14" s="1"/>
  <c r="B1010" i="17" l="1"/>
  <c r="B953" i="17"/>
  <c r="B951" i="17"/>
  <c r="E951" i="17" s="1"/>
  <c r="B888" i="16"/>
  <c r="E888" i="16" s="1"/>
  <c r="B947" i="16"/>
  <c r="B890" i="16"/>
  <c r="B953" i="15"/>
  <c r="B1010" i="15"/>
  <c r="B951" i="15"/>
  <c r="E951" i="15" s="1"/>
  <c r="B1010" i="14"/>
  <c r="B951" i="14"/>
  <c r="E951" i="14" s="1"/>
  <c r="B1016" i="17" l="1"/>
  <c r="B1073" i="17"/>
  <c r="B1014" i="17"/>
  <c r="E1014" i="17" s="1"/>
  <c r="B953" i="16"/>
  <c r="B1010" i="16"/>
  <c r="B951" i="16"/>
  <c r="E951" i="16" s="1"/>
  <c r="B1016" i="15"/>
  <c r="B1073" i="15"/>
  <c r="B1014" i="15"/>
  <c r="E1014" i="15" s="1"/>
  <c r="B1073" i="14"/>
  <c r="B1014" i="14"/>
  <c r="B1016" i="14"/>
  <c r="B1079" i="14" s="1"/>
  <c r="B1079" i="17" l="1"/>
  <c r="B1077" i="17"/>
  <c r="E1077" i="17" s="1"/>
  <c r="B1136" i="17"/>
  <c r="B1073" i="16"/>
  <c r="B1014" i="16"/>
  <c r="E1014" i="16" s="1"/>
  <c r="B1016" i="16"/>
  <c r="B1136" i="15"/>
  <c r="B1079" i="15"/>
  <c r="B1077" i="15"/>
  <c r="E1077" i="15" s="1"/>
  <c r="B1136" i="14"/>
  <c r="B1142" i="14" s="1"/>
  <c r="B1077" i="14"/>
  <c r="B1199" i="17" l="1"/>
  <c r="B1142" i="17"/>
  <c r="B1140" i="17"/>
  <c r="E1140" i="17" s="1"/>
  <c r="B1079" i="16"/>
  <c r="B1077" i="16"/>
  <c r="E1077" i="16" s="1"/>
  <c r="B1136" i="16"/>
  <c r="B1199" i="15"/>
  <c r="B1140" i="15"/>
  <c r="E1140" i="15" s="1"/>
  <c r="B1142" i="15"/>
  <c r="B1199" i="14"/>
  <c r="B1140" i="14"/>
  <c r="B1205" i="17" l="1"/>
  <c r="B1262" i="17"/>
  <c r="B1203" i="17"/>
  <c r="E1203" i="17" s="1"/>
  <c r="B1142" i="16"/>
  <c r="B1199" i="16"/>
  <c r="B1140" i="16"/>
  <c r="E1140" i="16" s="1"/>
  <c r="B1262" i="15"/>
  <c r="B1203" i="15"/>
  <c r="E1203" i="15" s="1"/>
  <c r="B1205" i="15"/>
  <c r="B1262" i="14"/>
  <c r="B1203" i="14"/>
  <c r="B1205" i="14"/>
  <c r="B1268" i="14" s="1"/>
  <c r="B1268" i="17" l="1"/>
  <c r="B1266" i="17"/>
  <c r="E1266" i="17" s="1"/>
  <c r="B1325" i="17"/>
  <c r="B1205" i="16"/>
  <c r="B1262" i="16"/>
  <c r="B1203" i="16"/>
  <c r="E1203" i="16" s="1"/>
  <c r="B1325" i="15"/>
  <c r="B1266" i="15"/>
  <c r="E1266" i="15" s="1"/>
  <c r="B1268" i="15"/>
  <c r="B1325" i="14"/>
  <c r="B1266" i="14"/>
  <c r="B1331" i="17" l="1"/>
  <c r="B1388" i="17"/>
  <c r="B1329" i="17"/>
  <c r="E1329" i="17" s="1"/>
  <c r="B1325" i="16"/>
  <c r="B1268" i="16"/>
  <c r="B1266" i="16"/>
  <c r="E1266" i="16" s="1"/>
  <c r="B1388" i="15"/>
  <c r="B1331" i="15"/>
  <c r="B1329" i="15"/>
  <c r="E1329" i="15" s="1"/>
  <c r="B1388" i="14"/>
  <c r="B1329" i="14"/>
  <c r="B1331" i="14"/>
  <c r="B1394" i="14" s="1"/>
  <c r="B1451" i="17" l="1"/>
  <c r="B1394" i="17"/>
  <c r="B1392" i="17"/>
  <c r="E1392" i="17" s="1"/>
  <c r="B1388" i="16"/>
  <c r="B1331" i="16"/>
  <c r="B1329" i="16"/>
  <c r="E1329" i="16" s="1"/>
  <c r="B1394" i="15"/>
  <c r="B1451" i="15"/>
  <c r="B1392" i="15"/>
  <c r="E1392" i="15" s="1"/>
  <c r="B1451" i="14"/>
  <c r="B1392" i="14"/>
  <c r="B1514" i="17" l="1"/>
  <c r="B1455" i="17"/>
  <c r="E1455" i="17" s="1"/>
  <c r="B1457" i="17"/>
  <c r="B1451" i="16"/>
  <c r="B1392" i="16"/>
  <c r="E1392" i="16" s="1"/>
  <c r="B1394" i="16"/>
  <c r="B1455" i="15"/>
  <c r="E1455" i="15" s="1"/>
  <c r="B1457" i="15"/>
  <c r="B1514" i="15"/>
  <c r="B1455" i="14"/>
  <c r="B1514" i="14"/>
  <c r="B1457" i="14"/>
  <c r="B1520" i="14" s="1"/>
  <c r="B1520" i="17" l="1"/>
  <c r="B1518" i="17"/>
  <c r="E1518" i="17" s="1"/>
  <c r="B1577" i="17"/>
  <c r="B1457" i="16"/>
  <c r="B1455" i="16"/>
  <c r="E1455" i="16" s="1"/>
  <c r="B1514" i="16"/>
  <c r="B1520" i="15"/>
  <c r="B1577" i="15"/>
  <c r="B1518" i="15"/>
  <c r="E1518" i="15" s="1"/>
  <c r="B1577" i="14"/>
  <c r="B1518" i="14"/>
  <c r="B1583" i="17" l="1"/>
  <c r="B1640" i="17"/>
  <c r="B1581" i="17"/>
  <c r="E1581" i="17" s="1"/>
  <c r="B1577" i="16"/>
  <c r="B1518" i="16"/>
  <c r="E1518" i="16" s="1"/>
  <c r="B1520" i="16"/>
  <c r="B1640" i="15"/>
  <c r="B1581" i="15"/>
  <c r="E1581" i="15" s="1"/>
  <c r="B1583" i="15"/>
  <c r="B1640" i="14"/>
  <c r="B1581" i="14"/>
  <c r="B1583" i="14"/>
  <c r="B1646" i="14" s="1"/>
  <c r="B1703" i="17" l="1"/>
  <c r="B1646" i="17"/>
  <c r="B1644" i="17"/>
  <c r="E1644" i="17" s="1"/>
  <c r="B1583" i="16"/>
  <c r="B1640" i="16"/>
  <c r="B1581" i="16"/>
  <c r="E1581" i="16" s="1"/>
  <c r="B1646" i="15"/>
  <c r="B1703" i="15"/>
  <c r="B1644" i="15"/>
  <c r="E1644" i="15" s="1"/>
  <c r="B1644" i="14"/>
  <c r="B1703" i="14"/>
  <c r="B1709" i="14" s="1"/>
  <c r="B1766" i="17" l="1"/>
  <c r="B1709" i="17"/>
  <c r="B1707" i="17"/>
  <c r="E1707" i="17" s="1"/>
  <c r="B1646" i="16"/>
  <c r="B1644" i="16"/>
  <c r="E1644" i="16" s="1"/>
  <c r="B1703" i="16"/>
  <c r="B1709" i="15"/>
  <c r="B1766" i="15"/>
  <c r="B1707" i="15"/>
  <c r="E1707" i="15" s="1"/>
  <c r="B1707" i="14"/>
  <c r="B1766" i="14"/>
  <c r="B1829" i="17" l="1"/>
  <c r="B1770" i="17"/>
  <c r="E1770" i="17" s="1"/>
  <c r="B1772" i="17"/>
  <c r="B1766" i="16"/>
  <c r="B1707" i="16"/>
  <c r="E1707" i="16" s="1"/>
  <c r="B1709" i="16"/>
  <c r="B1772" i="15"/>
  <c r="B1829" i="15"/>
  <c r="B1770" i="15"/>
  <c r="E1770" i="15" s="1"/>
  <c r="B1829" i="14"/>
  <c r="B1770" i="14"/>
  <c r="B1772" i="14"/>
  <c r="B1835" i="14" s="1"/>
  <c r="B1892" i="17" l="1"/>
  <c r="B1833" i="17"/>
  <c r="E1833" i="17" s="1"/>
  <c r="B1835" i="17"/>
  <c r="B1772" i="16"/>
  <c r="B1829" i="16"/>
  <c r="B1770" i="16"/>
  <c r="E1770" i="16" s="1"/>
  <c r="B1892" i="15"/>
  <c r="B1833" i="15"/>
  <c r="E1833" i="15" s="1"/>
  <c r="B1835" i="15"/>
  <c r="B1892" i="14"/>
  <c r="B1896" i="14" s="1"/>
  <c r="B1833" i="14"/>
  <c r="B1898" i="17" l="1"/>
  <c r="B1896" i="17"/>
  <c r="E1896" i="17" s="1"/>
  <c r="B1892" i="16"/>
  <c r="B1833" i="16"/>
  <c r="E1833" i="16" s="1"/>
  <c r="B1835" i="16"/>
  <c r="B1898" i="15"/>
  <c r="B1896" i="15"/>
  <c r="E1896" i="15" s="1"/>
  <c r="B1898" i="14"/>
  <c r="B1898" i="16" l="1"/>
  <c r="B1896" i="16"/>
  <c r="E1896" i="16" s="1"/>
</calcChain>
</file>

<file path=xl/sharedStrings.xml><?xml version="1.0" encoding="utf-8"?>
<sst xmlns="http://schemas.openxmlformats.org/spreadsheetml/2006/main" count="16140" uniqueCount="127">
  <si>
    <t>公 共 工 程 施 工 日 誌</t>
  </si>
  <si>
    <t>表報編號：</t>
    <phoneticPr fontId="4" type="noConversion"/>
  </si>
  <si>
    <t>本日天氣：</t>
  </si>
  <si>
    <t>工程名稱</t>
    <phoneticPr fontId="4" type="noConversion"/>
  </si>
  <si>
    <t>承攬廠商名稱</t>
    <phoneticPr fontId="4" type="noConversion"/>
  </si>
  <si>
    <t>核定工期</t>
    <phoneticPr fontId="4" type="noConversion"/>
  </si>
  <si>
    <t>工期展延天數</t>
  </si>
  <si>
    <t>累計工期</t>
    <phoneticPr fontId="4" type="noConversion"/>
  </si>
  <si>
    <t>剩餘工期</t>
    <phoneticPr fontId="4" type="noConversion"/>
  </si>
  <si>
    <t>開工日期</t>
    <phoneticPr fontId="4" type="noConversion"/>
  </si>
  <si>
    <t>完工日期</t>
    <phoneticPr fontId="4" type="noConversion"/>
  </si>
  <si>
    <t>預定進度(%)</t>
  </si>
  <si>
    <t>實際進度(%)</t>
    <phoneticPr fontId="4" type="noConversion"/>
  </si>
  <si>
    <t>一、依施工計畫書執行按圖施工概況（含約定之重要施工項目及完成數量等）：</t>
  </si>
  <si>
    <t>項 次</t>
  </si>
  <si>
    <t>施工項目</t>
    <phoneticPr fontId="4" type="noConversion"/>
  </si>
  <si>
    <t>單位</t>
  </si>
  <si>
    <t>契約數量</t>
  </si>
  <si>
    <t>本日完成數量</t>
  </si>
  <si>
    <t>累計完成數量</t>
    <phoneticPr fontId="4" type="noConversion"/>
  </si>
  <si>
    <t>備註</t>
    <phoneticPr fontId="4" type="noConversion"/>
  </si>
  <si>
    <t>單價</t>
  </si>
  <si>
    <t>本日完成金額</t>
    <phoneticPr fontId="4" type="noConversion"/>
  </si>
  <si>
    <t>營照專業工程特定施工項目</t>
    <phoneticPr fontId="4" type="noConversion"/>
  </si>
  <si>
    <t>本日完成總金額</t>
  </si>
  <si>
    <t>A.</t>
  </si>
  <si>
    <t>B.</t>
  </si>
  <si>
    <t>二、工地材料管理概況（含約定之重要材料使用狀況及數量等）；</t>
  </si>
  <si>
    <t>材料名稱</t>
    <phoneticPr fontId="4" type="noConversion"/>
  </si>
  <si>
    <t>單位</t>
    <phoneticPr fontId="4" type="noConversion"/>
  </si>
  <si>
    <t>設計數量</t>
  </si>
  <si>
    <t>累計完成數量</t>
  </si>
  <si>
    <t>三、工地人員及機具管理(含約定之出工人數及機具使用情形及數量)：</t>
  </si>
  <si>
    <t>工別</t>
    <phoneticPr fontId="4" type="noConversion"/>
  </si>
  <si>
    <t>本日人數</t>
    <phoneticPr fontId="4" type="noConversion"/>
  </si>
  <si>
    <t>累計人數</t>
  </si>
  <si>
    <t>機具名稱</t>
    <phoneticPr fontId="4" type="noConversion"/>
  </si>
  <si>
    <t>本日使用數量</t>
  </si>
  <si>
    <t>累計使用數量</t>
    <phoneticPr fontId="4" type="noConversion"/>
  </si>
  <si>
    <t>大工</t>
    <phoneticPr fontId="4" type="noConversion"/>
  </si>
  <si>
    <t>小工</t>
    <phoneticPr fontId="4" type="noConversion"/>
  </si>
  <si>
    <t>四、本日施工項目是否有須依「營造業專業工程特定施工項目應置之技術士總類、比率或人數標準表」規定應設置技術士之專業工程：□有■無 （此項如勾選“有”，則應填寫後附「公共工程施工日誌之技術士簽章表」）</t>
    <phoneticPr fontId="4" type="noConversion"/>
  </si>
  <si>
    <t xml:space="preserve">五、工地職業安全衛生事項之督導、公共環境與安全之維護及其他工地行政事務：
  (ㄧ)施工前檢查事項：
   1.實施勤前教育(含工地預防災變及危害告知)：■有 □無
   2.確認新進勞工是否提報勞工保險(或其他商業保險)資料及安全衛生教育訓練紀錄：□有 □無 ■無新進勞工
   3.檢查勞工個人防護具：■有 □無
  (二)其他事項：
</t>
    <phoneticPr fontId="4" type="noConversion"/>
  </si>
  <si>
    <t>六、施工取樣試驗記錄：</t>
  </si>
  <si>
    <t>七、通知分包廠商辦理事項：</t>
    <phoneticPr fontId="4" type="noConversion"/>
  </si>
  <si>
    <t>簽章【工地負責人】(註3)：</t>
  </si>
  <si>
    <t>註：1.依營造業法第32條第1項第2款規定，工地主任應按日填報施工日誌；本表檢送地方主管建築機關備查。
2.施工日誌應包含上開欄位，惟本施工日誌格式僅供參考，起造人得依工程性質及實際需要自行增減之。
3.本工程依營造業法第30條規定須置工地主任者，由工地主任簽章；免置工地主任者，則由營造業法第32條第2項所定之人員簽章。
4.上開工地主任係為營造業法第31條所稱之工地主任。
5.上開重要事項記錄包含（1）主辦機關及監造單位指示（2）工地遇緊急異常狀況之通報處理情形（3）本日是否由專任工程人員督察按圖施工、解決施工技術問題等。
6.上開施工前檢查事項所列工作應由職業安全衛生管理辦法第 3 條規定所置職業安全衛生人員於每日施工前辦理(檢查紀錄參考範例如附工地職業安全衛生施工前檢查紀錄表)，工地主任負責督導及確認該事項完成後於施工日誌填載。
7.公共工程屬建築物者，請依內政部最新訂頒之「建築物施工日誌」填寫。</t>
    <phoneticPr fontId="4" type="noConversion"/>
  </si>
  <si>
    <t>坤曜土木工程有限公司</t>
  </si>
  <si>
    <t>式</t>
  </si>
  <si>
    <t>M</t>
  </si>
  <si>
    <t>M2</t>
  </si>
  <si>
    <t>施 工 預 定 進 度 表</t>
    <phoneticPr fontId="7" type="noConversion"/>
  </si>
  <si>
    <t>項     目</t>
    <phoneticPr fontId="7" type="noConversion"/>
  </si>
  <si>
    <t>金  額</t>
    <phoneticPr fontId="7" type="noConversion"/>
  </si>
  <si>
    <t>比 例</t>
    <phoneticPr fontId="7" type="noConversion"/>
  </si>
  <si>
    <t>日</t>
    <phoneticPr fontId="7" type="noConversion"/>
  </si>
  <si>
    <t>期</t>
    <phoneticPr fontId="7" type="noConversion"/>
  </si>
  <si>
    <t>每月預訂進度</t>
  </si>
  <si>
    <t>每月累計進度</t>
  </si>
  <si>
    <t>預定進度</t>
    <phoneticPr fontId="7" type="noConversion"/>
  </si>
  <si>
    <t>實際進度</t>
    <phoneticPr fontId="7" type="noConversion"/>
  </si>
  <si>
    <t>承覽廠商：坤曜土木工程有限公司</t>
    <phoneticPr fontId="14" type="noConversion"/>
  </si>
  <si>
    <t>契約金額</t>
  </si>
  <si>
    <t>上午：晴  下午:晴</t>
  </si>
  <si>
    <t>八、重要事項紀錄：</t>
    <phoneticPr fontId="2" type="noConversion"/>
  </si>
  <si>
    <t>壹</t>
  </si>
  <si>
    <t>組</t>
  </si>
  <si>
    <t xml:space="preserve">台西國中教學大樓西側廁所整修工程 </t>
    <phoneticPr fontId="2" type="noConversion"/>
  </si>
  <si>
    <t>工程名稱：台西國中教學大樓西側廁所整修工程</t>
    <phoneticPr fontId="7" type="noConversion"/>
  </si>
  <si>
    <t>直接工程費</t>
  </si>
  <si>
    <t>假設及拆除</t>
    <phoneticPr fontId="7" type="noConversion"/>
  </si>
  <si>
    <t>地坪增築工程</t>
    <phoneticPr fontId="7" type="noConversion"/>
  </si>
  <si>
    <t>砌磚工程</t>
    <phoneticPr fontId="7" type="noConversion"/>
  </si>
  <si>
    <t>水泥砂漿粉刷工程</t>
    <phoneticPr fontId="7" type="noConversion"/>
  </si>
  <si>
    <t>防水工程</t>
    <phoneticPr fontId="7" type="noConversion"/>
  </si>
  <si>
    <t>磁磚工程</t>
    <phoneticPr fontId="7" type="noConversion"/>
  </si>
  <si>
    <t>水泥漆工程</t>
    <phoneticPr fontId="7" type="noConversion"/>
  </si>
  <si>
    <t>熱固性樹脂板工程</t>
    <phoneticPr fontId="7" type="noConversion"/>
  </si>
  <si>
    <t>雜項工程</t>
    <phoneticPr fontId="7" type="noConversion"/>
  </si>
  <si>
    <t>貳</t>
  </si>
  <si>
    <t>職業安全衛生管理費(壹*1%)</t>
  </si>
  <si>
    <t>參</t>
  </si>
  <si>
    <t>公共工程品質管制作業費(壹*1%)</t>
  </si>
  <si>
    <t>肆</t>
  </si>
  <si>
    <t>包商利潤及管理費(約壹*7%)</t>
  </si>
  <si>
    <t>伍</t>
  </si>
  <si>
    <t xml:space="preserve">營造綜合保險費 </t>
  </si>
  <si>
    <t>陸</t>
  </si>
  <si>
    <t>營業稅((壹~伍)*5%)</t>
  </si>
  <si>
    <t>監造單位:呂罡銘建築師事務所</t>
    <phoneticPr fontId="7" type="noConversion"/>
  </si>
  <si>
    <t>主辦機關：雲林縣台西國民中學</t>
    <phoneticPr fontId="7" type="noConversion"/>
  </si>
  <si>
    <t>工程告示牌與職安衛告示牌(租用)、施工圍籬、警示帶、安全警示燈等安全措施(租用)</t>
  </si>
  <si>
    <t>施工動線開闢與損壞復原，既有設備管線遷移與復原；測量與放樣</t>
  </si>
  <si>
    <t>拆除(含切割)集中廁所既有牆面、地坪、磁磚、牆面小便斗與隔板、所有衛生設備、給排水設施、導擺及天花板等;廢棄物清運處理(含合法證明)與環境清潔</t>
  </si>
  <si>
    <t>既有污水處理設施抽水肥(含清潔孔開挖與復原)</t>
  </si>
  <si>
    <t>地坪與台階增築</t>
  </si>
  <si>
    <t>砌1/2B磚牆</t>
  </si>
  <si>
    <t>施工範圍內樓板穿管處與既有無用穿管及孔洞需以水泥砂漿封閉並刷彈性砂漿防水塗膜；樓板防水層試水</t>
  </si>
  <si>
    <t>地坪、牆面1:3水泥砂漿粉刷</t>
  </si>
  <si>
    <t>地坪及牆面(H=1.2m)防水層粉刷</t>
  </si>
  <si>
    <t>不銹鋼方形地板落水頭(10*10cm,連工帶料)</t>
  </si>
  <si>
    <t>地坪貼止滑石英磚30*30cm，本色水泥抹縫(連工帶料)</t>
  </si>
  <si>
    <t>地坪貼止滑石英磚60*60cm，本色水泥抹縫(連工帶料)</t>
  </si>
  <si>
    <t>牆面貼石英磚30*60cm，白色水泥抹縫(連工帶料)</t>
  </si>
  <si>
    <t>安裝鋁合金陽角收邊條</t>
  </si>
  <si>
    <t>施做抿石子(1~2分霓虹石，抿石子專用泥)</t>
  </si>
  <si>
    <t>牆面與平頂塗刷水泥漆(含清潔，批土整平，一底漆二度面漆)</t>
  </si>
  <si>
    <t>洗手台整修工程(連工帶料，責任施工)</t>
  </si>
  <si>
    <t>貼深色石材檯面(t=2cm，倒圓角)</t>
  </si>
  <si>
    <t>安裝13mm熱固性樹脂板隔間含門片(頂面H=200cm以上)</t>
  </si>
  <si>
    <t>廁間安裝不鏽鋼掛鈎與13mm熱固性樹脂板置物板</t>
  </si>
  <si>
    <t>13mm熱固性樹脂板小便斗隔屏</t>
  </si>
  <si>
    <t>安裝輕鋼架、金屬烤漆透空網與耐燃一級貼皮天花板(含必要之側封板與窗簾盒批土刷漆)</t>
  </si>
  <si>
    <t>廁所安裝衛生設備(連工帶料)</t>
  </si>
  <si>
    <t>安裝開關、插座與燈具(連工帶料)</t>
  </si>
  <si>
    <t>給排水系統配管與安裝(連工帶料)</t>
  </si>
  <si>
    <t>施做緊急求救按鈕(含閃光與蜂嗚警報器、線材、五金配件, 各層樓每間廁所皆有求救鈕，連工帶料，責任施工)</t>
  </si>
  <si>
    <t>安裝廁所指標系統、拖把夾(連工帶料，責任施工)</t>
  </si>
  <si>
    <t>新設砌磚拖布盆(H=30cm)</t>
  </si>
  <si>
    <t>門窗工程與雜項工程</t>
  </si>
  <si>
    <t>才</t>
  </si>
  <si>
    <t>間</t>
  </si>
  <si>
    <t>片</t>
  </si>
  <si>
    <t xml:space="preserve">  </t>
    <phoneticPr fontId="2" type="noConversion"/>
  </si>
  <si>
    <t>八、重要事項紀錄：申報開工+告示牌安裝</t>
    <phoneticPr fontId="2" type="noConversion"/>
  </si>
  <si>
    <t>八、重要事項紀錄：拆除施工</t>
    <phoneticPr fontId="2" type="noConversion"/>
  </si>
  <si>
    <t>八、重要事項紀錄：備料</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</si>
</sst>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 #,##0_-;_-* &quot;-&quot;_-;_-@_-"/>
    <numFmt numFmtId="43" formatCode="_-* #,##0.00_-;\-* #,##0.00_-;_-* &quot;-&quot;??_-;_-@_-"/>
    <numFmt numFmtId="176" formatCode="&quot;填報日期：&quot;gge&quot;年&quot;m&quot;月&quot;d&quot;日&quot;\ \ aaaa"/>
    <numFmt numFmtId="177" formatCode="##&quot;天&quot;"/>
    <numFmt numFmtId="178" formatCode="&quot;剩餘工期:&quot;##&quot;天&quot;"/>
    <numFmt numFmtId="179" formatCode="[$-404]gge&quot;年&quot;m&quot;月&quot;d&quot;日&quot;;@"/>
    <numFmt numFmtId="180" formatCode="0;\-0;;@"/>
    <numFmt numFmtId="181" formatCode="&quot;八、重要事項紀錄：&quot;##"/>
    <numFmt numFmtId="182" formatCode="0_ "/>
    <numFmt numFmtId="183" formatCode="0.000%"/>
    <numFmt numFmtId="184" formatCode="0.0_ "/>
    <numFmt numFmtId="185" formatCode="_-* #,##0.000_-;\-* #,##0.000_-;_-* &quot;-&quot;_-;_-@_-"/>
    <numFmt numFmtId="186" formatCode="#,##0.00_);[Red]\(#,##0.00\)"/>
    <numFmt numFmtId="187" formatCode="#,##0.00_);\(#,##0.00\)"/>
    <numFmt numFmtId="188" formatCode="##&quot;日&quot;"/>
  </numFmts>
  <fonts count="26">
    <font>
      <sz val="11"/>
      <color theme="1"/>
      <name val="新細明體"/>
      <family val="2"/>
      <scheme val="minor"/>
    </font>
    <font>
      <sz val="12"/>
      <color theme="1"/>
      <name val="新細明體"/>
      <family val="2"/>
      <charset val="136"/>
      <scheme val="minor"/>
    </font>
    <font>
      <sz val="9"/>
      <name val="新細明體"/>
      <family val="3"/>
      <charset val="136"/>
      <scheme val="minor"/>
    </font>
    <font>
      <sz val="12"/>
      <color theme="1"/>
      <name val="標楷體"/>
      <family val="4"/>
      <charset val="136"/>
    </font>
    <font>
      <sz val="9"/>
      <name val="新細明體"/>
      <family val="2"/>
      <charset val="136"/>
      <scheme val="minor"/>
    </font>
    <font>
      <sz val="11"/>
      <color theme="1"/>
      <name val="標楷體"/>
      <family val="4"/>
      <charset val="136"/>
    </font>
    <font>
      <sz val="12"/>
      <name val="新細明體"/>
      <family val="1"/>
      <charset val="136"/>
    </font>
    <font>
      <sz val="9"/>
      <name val="新細明體"/>
      <family val="1"/>
      <charset val="136"/>
    </font>
    <font>
      <sz val="14"/>
      <name val="標楷體"/>
      <family val="4"/>
      <charset val="136"/>
    </font>
    <font>
      <sz val="20"/>
      <name val="標楷體"/>
      <family val="4"/>
      <charset val="136"/>
    </font>
    <font>
      <sz val="18"/>
      <name val="標楷體"/>
      <family val="4"/>
      <charset val="136"/>
    </font>
    <font>
      <sz val="16"/>
      <name val="標楷體"/>
      <family val="4"/>
      <charset val="136"/>
    </font>
    <font>
      <sz val="18"/>
      <name val="新細明體"/>
      <family val="1"/>
      <charset val="136"/>
    </font>
    <font>
      <sz val="12"/>
      <name val="標楷體"/>
      <family val="4"/>
      <charset val="136"/>
    </font>
    <font>
      <sz val="9"/>
      <name val="細明體"/>
      <family val="3"/>
      <charset val="136"/>
    </font>
    <font>
      <sz val="8"/>
      <name val="新細明體"/>
      <family val="1"/>
      <charset val="136"/>
    </font>
    <font>
      <sz val="6"/>
      <name val="新細明體"/>
      <family val="1"/>
      <charset val="136"/>
    </font>
    <font>
      <sz val="16"/>
      <name val="新細明體"/>
      <family val="1"/>
      <charset val="136"/>
    </font>
    <font>
      <sz val="22"/>
      <name val="標楷體"/>
      <family val="4"/>
      <charset val="136"/>
    </font>
    <font>
      <sz val="22"/>
      <color theme="1"/>
      <name val="標楷體"/>
      <family val="4"/>
      <charset val="136"/>
    </font>
    <font>
      <b/>
      <u/>
      <sz val="36"/>
      <name val="標楷體"/>
      <family val="4"/>
      <charset val="136"/>
    </font>
    <font>
      <sz val="20"/>
      <color rgb="FF000000"/>
      <name val="標楷體"/>
      <family val="4"/>
      <charset val="136"/>
    </font>
    <font>
      <sz val="12"/>
      <color indexed="8"/>
      <name val="標楷體"/>
      <family val="4"/>
      <charset val="136"/>
    </font>
    <font>
      <sz val="20"/>
      <color indexed="8"/>
      <name val="標楷體"/>
      <family val="4"/>
      <charset val="136"/>
    </font>
    <font>
      <sz val="22"/>
      <color rgb="FF000000"/>
      <name val="標楷體"/>
      <family val="4"/>
      <charset val="136"/>
    </font>
    <font>
      <sz val="10"/>
      <name val="Helv"/>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0" fontId="1" fillId="0" borderId="0">
      <alignment vertical="center"/>
    </xf>
    <xf numFmtId="9" fontId="1" fillId="0" borderId="0" applyFont="0" applyFill="0" applyBorder="0" applyAlignment="0" applyProtection="0">
      <alignment vertical="center"/>
    </xf>
    <xf numFmtId="43" fontId="1" fillId="0" borderId="0" applyFont="0" applyFill="0" applyBorder="0" applyAlignment="0" applyProtection="0">
      <alignment vertical="center"/>
    </xf>
    <xf numFmtId="0" fontId="6" fillId="0" borderId="0"/>
    <xf numFmtId="43" fontId="6" fillId="0" borderId="0" applyFont="0" applyFill="0" applyBorder="0" applyAlignment="0" applyProtection="0"/>
    <xf numFmtId="0" fontId="6" fillId="0" borderId="0"/>
    <xf numFmtId="0" fontId="25" fillId="0" borderId="0"/>
  </cellStyleXfs>
  <cellXfs count="107">
    <xf numFmtId="0" fontId="0" fillId="0" borderId="0" xfId="0"/>
    <xf numFmtId="0" fontId="3" fillId="0" borderId="0" xfId="1" applyFont="1">
      <alignment vertical="center"/>
    </xf>
    <xf numFmtId="0" fontId="3" fillId="0" borderId="2" xfId="1" applyFont="1" applyBorder="1">
      <alignment vertical="center"/>
    </xf>
    <xf numFmtId="0" fontId="3" fillId="0" borderId="0" xfId="1" applyFont="1" applyAlignment="1">
      <alignment horizontal="right" vertical="center"/>
    </xf>
    <xf numFmtId="2" fontId="3" fillId="0" borderId="0" xfId="1" applyNumberFormat="1" applyFont="1">
      <alignment vertical="center"/>
    </xf>
    <xf numFmtId="2" fontId="3" fillId="0" borderId="0" xfId="3" applyNumberFormat="1" applyFont="1" applyAlignment="1">
      <alignment vertical="center"/>
    </xf>
    <xf numFmtId="0" fontId="5" fillId="0" borderId="2" xfId="1" applyFont="1" applyBorder="1" applyAlignment="1">
      <alignment horizontal="center" vertical="center"/>
    </xf>
    <xf numFmtId="0" fontId="8" fillId="0" borderId="0" xfId="4" applyFont="1" applyAlignment="1">
      <alignment horizontal="center" vertical="center"/>
    </xf>
    <xf numFmtId="0" fontId="6" fillId="0" borderId="0" xfId="4"/>
    <xf numFmtId="182" fontId="11" fillId="0" borderId="0" xfId="4" quotePrefix="1" applyNumberFormat="1" applyFont="1" applyAlignment="1">
      <alignment horizontal="center" vertical="center"/>
    </xf>
    <xf numFmtId="0" fontId="12" fillId="0" borderId="0" xfId="4" applyFont="1"/>
    <xf numFmtId="10" fontId="8" fillId="0" borderId="0" xfId="4" applyNumberFormat="1" applyFont="1" applyAlignment="1">
      <alignment horizontal="center" vertical="center"/>
    </xf>
    <xf numFmtId="10" fontId="13" fillId="0" borderId="0" xfId="4" applyNumberFormat="1" applyFont="1"/>
    <xf numFmtId="0" fontId="6" fillId="2" borderId="0" xfId="4" applyFill="1"/>
    <xf numFmtId="10" fontId="6" fillId="0" borderId="0" xfId="4" applyNumberFormat="1"/>
    <xf numFmtId="0" fontId="17" fillId="0" borderId="0" xfId="4" applyFont="1"/>
    <xf numFmtId="0" fontId="16" fillId="0" borderId="0" xfId="4" applyFont="1"/>
    <xf numFmtId="0" fontId="6" fillId="0" borderId="0" xfId="4" applyAlignment="1">
      <alignment wrapText="1"/>
    </xf>
    <xf numFmtId="10" fontId="6" fillId="0" borderId="0" xfId="4" applyNumberFormat="1" applyAlignment="1">
      <alignment wrapText="1"/>
    </xf>
    <xf numFmtId="0" fontId="6" fillId="2" borderId="0" xfId="4" applyFill="1" applyAlignment="1">
      <alignment wrapText="1"/>
    </xf>
    <xf numFmtId="10" fontId="6" fillId="2" borderId="0" xfId="4" applyNumberFormat="1" applyFill="1"/>
    <xf numFmtId="184" fontId="6" fillId="2" borderId="0" xfId="4" applyNumberFormat="1" applyFill="1"/>
    <xf numFmtId="10" fontId="17" fillId="0" borderId="0" xfId="4" applyNumberFormat="1" applyFont="1"/>
    <xf numFmtId="10" fontId="16" fillId="0" borderId="0" xfId="4" applyNumberFormat="1" applyFont="1"/>
    <xf numFmtId="180" fontId="5" fillId="0" borderId="2" xfId="1" applyNumberFormat="1" applyFont="1" applyBorder="1" applyAlignment="1">
      <alignment horizontal="center" vertical="center" wrapText="1"/>
    </xf>
    <xf numFmtId="0" fontId="3" fillId="0" borderId="0" xfId="1" applyFont="1" applyAlignment="1">
      <alignment horizontal="center" vertical="center"/>
    </xf>
    <xf numFmtId="0" fontId="10" fillId="0" borderId="0" xfId="0" applyFont="1"/>
    <xf numFmtId="0" fontId="11" fillId="0" borderId="2" xfId="0" applyFont="1" applyBorder="1" applyAlignment="1">
      <alignment horizontal="center" vertical="center"/>
    </xf>
    <xf numFmtId="10" fontId="11" fillId="3" borderId="2" xfId="0" applyNumberFormat="1" applyFont="1" applyFill="1" applyBorder="1" applyAlignment="1">
      <alignment horizontal="center"/>
    </xf>
    <xf numFmtId="0" fontId="0" fillId="0" borderId="2" xfId="0" applyBorder="1"/>
    <xf numFmtId="10" fontId="11" fillId="0" borderId="2" xfId="0" applyNumberFormat="1" applyFont="1" applyBorder="1"/>
    <xf numFmtId="10" fontId="11" fillId="3" borderId="2" xfId="0" applyNumberFormat="1" applyFont="1" applyFill="1" applyBorder="1"/>
    <xf numFmtId="0" fontId="11" fillId="0" borderId="2" xfId="0" applyFont="1" applyBorder="1"/>
    <xf numFmtId="10" fontId="11" fillId="0" borderId="2" xfId="0" applyNumberFormat="1" applyFont="1" applyBorder="1" applyAlignment="1">
      <alignment horizontal="center"/>
    </xf>
    <xf numFmtId="9" fontId="11" fillId="0" borderId="2" xfId="0" applyNumberFormat="1" applyFont="1" applyBorder="1" applyAlignment="1">
      <alignment horizontal="center"/>
    </xf>
    <xf numFmtId="0" fontId="11" fillId="0" borderId="0" xfId="0" applyFont="1" applyAlignment="1">
      <alignment horizontal="left" vertical="center"/>
    </xf>
    <xf numFmtId="0" fontId="12" fillId="0" borderId="0" xfId="0" applyFont="1"/>
    <xf numFmtId="41" fontId="13" fillId="0" borderId="3" xfId="0" applyNumberFormat="1" applyFont="1" applyBorder="1" applyAlignment="1" applyProtection="1">
      <alignment shrinkToFit="1"/>
      <protection locked="0"/>
    </xf>
    <xf numFmtId="41" fontId="13" fillId="0" borderId="2" xfId="0" applyNumberFormat="1" applyFont="1" applyBorder="1" applyAlignment="1" applyProtection="1">
      <alignment shrinkToFit="1"/>
      <protection locked="0"/>
    </xf>
    <xf numFmtId="43" fontId="9" fillId="0" borderId="4" xfId="5" applyFont="1" applyBorder="1" applyAlignment="1">
      <alignment vertical="center"/>
    </xf>
    <xf numFmtId="10" fontId="9" fillId="0" borderId="2" xfId="6" applyNumberFormat="1" applyFont="1" applyBorder="1" applyAlignment="1">
      <alignment horizontal="right" vertical="center" shrinkToFit="1"/>
    </xf>
    <xf numFmtId="43" fontId="21" fillId="4" borderId="2" xfId="5" applyFont="1" applyFill="1" applyBorder="1" applyAlignment="1">
      <alignment horizontal="center" vertical="center"/>
    </xf>
    <xf numFmtId="43" fontId="21" fillId="0" borderId="2" xfId="5" applyFont="1" applyBorder="1" applyAlignment="1"/>
    <xf numFmtId="43" fontId="21" fillId="4" borderId="2" xfId="5" applyFont="1" applyFill="1" applyBorder="1" applyAlignment="1">
      <alignment vertical="center"/>
    </xf>
    <xf numFmtId="186" fontId="22" fillId="0" borderId="5" xfId="0" applyNumberFormat="1" applyFont="1" applyBorder="1" applyAlignment="1">
      <alignment horizontal="left" vertical="center" wrapText="1" shrinkToFit="1"/>
    </xf>
    <xf numFmtId="187" fontId="9" fillId="0" borderId="2" xfId="0" applyNumberFormat="1" applyFont="1" applyBorder="1" applyAlignment="1">
      <alignment horizontal="right"/>
    </xf>
    <xf numFmtId="10" fontId="9" fillId="0" borderId="2" xfId="0" applyNumberFormat="1" applyFont="1" applyBorder="1" applyAlignment="1">
      <alignment horizontal="right"/>
    </xf>
    <xf numFmtId="186" fontId="22" fillId="0" borderId="5" xfId="0" applyNumberFormat="1" applyFont="1" applyBorder="1" applyAlignment="1">
      <alignment horizontal="left" vertical="center" shrinkToFit="1"/>
    </xf>
    <xf numFmtId="0" fontId="10" fillId="0" borderId="2" xfId="0" applyFont="1" applyBorder="1" applyAlignment="1">
      <alignment horizontal="center" vertical="center"/>
    </xf>
    <xf numFmtId="0" fontId="10" fillId="0" borderId="0" xfId="0" applyFont="1" applyAlignment="1">
      <alignment horizontal="left" vertical="center" wrapText="1"/>
    </xf>
    <xf numFmtId="0" fontId="5" fillId="0" borderId="2" xfId="1" applyFont="1" applyBorder="1" applyAlignment="1">
      <alignment vertical="center" wrapText="1"/>
    </xf>
    <xf numFmtId="0" fontId="5" fillId="0" borderId="2" xfId="1" applyFont="1" applyBorder="1" applyAlignment="1">
      <alignment horizontal="center" vertical="center" wrapText="1"/>
    </xf>
    <xf numFmtId="0" fontId="3" fillId="0" borderId="2" xfId="1" applyFont="1" applyBorder="1" applyAlignment="1">
      <alignment horizontal="center" vertical="center"/>
    </xf>
    <xf numFmtId="0" fontId="3" fillId="0" borderId="2" xfId="1" applyFont="1" applyBorder="1" applyAlignment="1">
      <alignment horizontal="left" vertical="center"/>
    </xf>
    <xf numFmtId="177" fontId="3" fillId="0" borderId="2" xfId="1" applyNumberFormat="1" applyFont="1" applyBorder="1" applyAlignment="1">
      <alignment horizontal="left" vertical="center"/>
    </xf>
    <xf numFmtId="179" fontId="3" fillId="0" borderId="2" xfId="1" applyNumberFormat="1" applyFont="1" applyBorder="1" applyAlignment="1">
      <alignment horizontal="left" vertical="center"/>
    </xf>
    <xf numFmtId="10" fontId="3" fillId="0" borderId="2" xfId="2" applyNumberFormat="1" applyFont="1" applyBorder="1" applyAlignment="1">
      <alignment horizontal="left" vertical="center"/>
    </xf>
    <xf numFmtId="9" fontId="11" fillId="0" borderId="0" xfId="0" applyNumberFormat="1" applyFont="1" applyBorder="1" applyAlignment="1">
      <alignment horizontal="right"/>
    </xf>
    <xf numFmtId="0" fontId="23" fillId="0" borderId="8" xfId="0" applyFont="1" applyBorder="1" applyAlignment="1">
      <alignment horizontal="center" vertical="center"/>
    </xf>
    <xf numFmtId="0" fontId="24" fillId="4" borderId="3" xfId="0" applyFont="1" applyFill="1" applyBorder="1" applyAlignment="1">
      <alignment vertical="center" wrapText="1"/>
    </xf>
    <xf numFmtId="0" fontId="9" fillId="0" borderId="2" xfId="0" applyFont="1" applyBorder="1" applyAlignment="1">
      <alignment horizontal="center"/>
    </xf>
    <xf numFmtId="10" fontId="9" fillId="3" borderId="2" xfId="0" applyNumberFormat="1" applyFont="1" applyFill="1" applyBorder="1" applyAlignment="1">
      <alignment horizontal="center"/>
    </xf>
    <xf numFmtId="0" fontId="24" fillId="0" borderId="2" xfId="0" applyFont="1" applyBorder="1" applyAlignment="1">
      <alignment vertical="center"/>
    </xf>
    <xf numFmtId="43" fontId="21" fillId="4" borderId="5" xfId="5" applyFont="1" applyFill="1" applyBorder="1" applyAlignment="1">
      <alignment horizontal="center" vertical="center"/>
    </xf>
    <xf numFmtId="43" fontId="21" fillId="0" borderId="5" xfId="5" applyFont="1" applyBorder="1" applyAlignment="1"/>
    <xf numFmtId="43" fontId="21" fillId="4" borderId="5" xfId="5" applyFont="1" applyFill="1" applyBorder="1" applyAlignment="1">
      <alignment vertical="center"/>
    </xf>
    <xf numFmtId="0" fontId="9" fillId="0" borderId="2" xfId="0" applyFont="1" applyBorder="1"/>
    <xf numFmtId="0" fontId="23" fillId="0" borderId="2" xfId="7" applyFont="1" applyBorder="1" applyAlignment="1">
      <alignment horizontal="left" vertical="center"/>
    </xf>
    <xf numFmtId="0" fontId="23" fillId="0" borderId="9" xfId="0" applyFont="1" applyBorder="1" applyAlignment="1">
      <alignment vertical="center" wrapText="1"/>
    </xf>
    <xf numFmtId="0" fontId="23" fillId="0" borderId="9" xfId="0" applyFont="1" applyBorder="1" applyAlignment="1">
      <alignment vertical="center"/>
    </xf>
    <xf numFmtId="0" fontId="8" fillId="0" borderId="2" xfId="0" applyFont="1" applyBorder="1" applyAlignment="1"/>
    <xf numFmtId="0" fontId="0" fillId="0" borderId="0" xfId="0" applyBorder="1"/>
    <xf numFmtId="0" fontId="15" fillId="0" borderId="0" xfId="0" applyFont="1" applyBorder="1"/>
    <xf numFmtId="183" fontId="16" fillId="0" borderId="0" xfId="0" applyNumberFormat="1" applyFont="1" applyBorder="1" applyAlignment="1">
      <alignment horizontal="center"/>
    </xf>
    <xf numFmtId="9" fontId="8" fillId="0" borderId="0" xfId="0" applyNumberFormat="1" applyFont="1" applyBorder="1" applyAlignment="1"/>
    <xf numFmtId="49" fontId="13" fillId="0" borderId="2" xfId="0" applyNumberFormat="1" applyFont="1" applyBorder="1" applyAlignment="1" applyProtection="1">
      <alignment horizontal="center" vertical="center" shrinkToFit="1"/>
      <protection locked="0"/>
    </xf>
    <xf numFmtId="0" fontId="13" fillId="0" borderId="2" xfId="0" applyFont="1" applyBorder="1" applyAlignment="1" applyProtection="1">
      <alignment horizontal="left" vertical="center" shrinkToFit="1"/>
      <protection locked="0"/>
    </xf>
    <xf numFmtId="0" fontId="13" fillId="0" borderId="2" xfId="0" applyFont="1" applyBorder="1" applyAlignment="1" applyProtection="1">
      <alignment horizontal="center" vertical="center" shrinkToFit="1"/>
      <protection locked="0"/>
    </xf>
    <xf numFmtId="185" fontId="13" fillId="0" borderId="2" xfId="0" applyNumberFormat="1" applyFont="1" applyBorder="1" applyAlignment="1" applyProtection="1">
      <alignment vertical="center" shrinkToFit="1"/>
      <protection locked="0"/>
    </xf>
    <xf numFmtId="2" fontId="3" fillId="0" borderId="2" xfId="1" applyNumberFormat="1" applyFont="1" applyBorder="1" applyAlignment="1">
      <alignment vertical="center"/>
    </xf>
    <xf numFmtId="0" fontId="13" fillId="0" borderId="2" xfId="0" applyFont="1" applyBorder="1" applyAlignment="1" applyProtection="1">
      <alignment horizontal="left" vertical="center" wrapText="1" shrinkToFit="1"/>
      <protection locked="0"/>
    </xf>
    <xf numFmtId="0" fontId="11" fillId="0" borderId="6" xfId="0" applyFont="1" applyBorder="1" applyAlignment="1">
      <alignment horizontal="left" vertical="center"/>
    </xf>
    <xf numFmtId="0" fontId="10" fillId="0" borderId="0" xfId="0" applyFont="1" applyAlignment="1">
      <alignment horizontal="left" vertical="center" wrapText="1"/>
    </xf>
    <xf numFmtId="0" fontId="10" fillId="0" borderId="0" xfId="0" applyFont="1" applyAlignment="1">
      <alignment horizontal="left" vertical="center"/>
    </xf>
    <xf numFmtId="0" fontId="20" fillId="0" borderId="0" xfId="0" applyFont="1" applyAlignment="1">
      <alignment horizontal="center" vertical="center"/>
    </xf>
    <xf numFmtId="0" fontId="18" fillId="0" borderId="0" xfId="0" applyFont="1" applyBorder="1" applyAlignment="1">
      <alignment horizontal="left"/>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10" fillId="0" borderId="2" xfId="0" applyFont="1" applyBorder="1" applyAlignment="1">
      <alignment horizontal="center" vertical="center"/>
    </xf>
    <xf numFmtId="188" fontId="11" fillId="0" borderId="3" xfId="0" applyNumberFormat="1" applyFont="1" applyBorder="1" applyAlignment="1">
      <alignment horizontal="center" vertical="center" wrapText="1"/>
    </xf>
    <xf numFmtId="188" fontId="11" fillId="0" borderId="7" xfId="0" applyNumberFormat="1" applyFont="1" applyBorder="1" applyAlignment="1">
      <alignment horizontal="center" vertical="center" wrapText="1"/>
    </xf>
    <xf numFmtId="181" fontId="5" fillId="0" borderId="2" xfId="1" applyNumberFormat="1" applyFont="1" applyBorder="1" applyAlignment="1">
      <alignment horizontal="left" vertical="center" wrapText="1"/>
    </xf>
    <xf numFmtId="0" fontId="5" fillId="0" borderId="2" xfId="1" applyFont="1" applyBorder="1" applyAlignment="1">
      <alignment horizontal="left" vertical="top" wrapText="1"/>
    </xf>
    <xf numFmtId="0" fontId="5" fillId="0" borderId="0" xfId="1" applyFont="1" applyAlignment="1">
      <alignment horizontal="left" vertical="top" wrapText="1"/>
    </xf>
    <xf numFmtId="0" fontId="5" fillId="0" borderId="2" xfId="1" applyFont="1" applyBorder="1" applyAlignment="1">
      <alignment horizontal="center" vertical="center" wrapText="1"/>
    </xf>
    <xf numFmtId="0" fontId="5" fillId="0" borderId="2" xfId="1" applyFont="1" applyBorder="1" applyAlignment="1">
      <alignment horizontal="left" vertical="center" wrapText="1"/>
    </xf>
    <xf numFmtId="0" fontId="5" fillId="0" borderId="2" xfId="1" applyFont="1" applyBorder="1" applyAlignment="1">
      <alignment vertical="center" wrapText="1"/>
    </xf>
    <xf numFmtId="0" fontId="3" fillId="0" borderId="2" xfId="1" applyFont="1" applyBorder="1" applyAlignment="1">
      <alignment horizontal="center" vertical="center"/>
    </xf>
    <xf numFmtId="0" fontId="3" fillId="0" borderId="2" xfId="1" applyFont="1" applyBorder="1" applyAlignment="1">
      <alignment horizontal="left" vertical="center"/>
    </xf>
    <xf numFmtId="10" fontId="3" fillId="0" borderId="2" xfId="2" applyNumberFormat="1" applyFont="1" applyBorder="1" applyAlignment="1">
      <alignment horizontal="left" vertical="center"/>
    </xf>
    <xf numFmtId="178" fontId="3" fillId="0" borderId="2" xfId="1" applyNumberFormat="1" applyFont="1" applyBorder="1" applyAlignment="1">
      <alignment horizontal="left" vertical="center"/>
    </xf>
    <xf numFmtId="177" fontId="3" fillId="0" borderId="2" xfId="1" applyNumberFormat="1" applyFont="1" applyBorder="1" applyAlignment="1">
      <alignment horizontal="left" vertical="center"/>
    </xf>
    <xf numFmtId="179" fontId="3" fillId="0" borderId="2" xfId="1" applyNumberFormat="1" applyFont="1" applyBorder="1" applyAlignment="1">
      <alignment horizontal="left" vertical="center"/>
    </xf>
    <xf numFmtId="0" fontId="19" fillId="0" borderId="0" xfId="1" applyFont="1" applyAlignment="1">
      <alignment horizontal="center" vertical="center"/>
    </xf>
    <xf numFmtId="0" fontId="3" fillId="0" borderId="0" xfId="1" applyFont="1" applyAlignment="1">
      <alignment horizontal="left" vertical="center"/>
    </xf>
    <xf numFmtId="0" fontId="3" fillId="0" borderId="1" xfId="1" applyFont="1" applyBorder="1" applyAlignment="1">
      <alignment horizontal="left" vertical="center"/>
    </xf>
    <xf numFmtId="176" fontId="3" fillId="0" borderId="1" xfId="1" applyNumberFormat="1" applyFont="1" applyBorder="1" applyAlignment="1">
      <alignment horizontal="left" vertical="center"/>
    </xf>
  </cellXfs>
  <cellStyles count="8">
    <cellStyle name="一般" xfId="0" builtinId="0"/>
    <cellStyle name="一般 10 2" xfId="4" xr:uid="{752F20AD-11FF-4FCA-B8DF-9650EBE6425C}"/>
    <cellStyle name="一般 2" xfId="1" xr:uid="{0191594F-8628-484B-9BA0-B7773D46ADA0}"/>
    <cellStyle name="一般_1040717-平和非營利幼兒園設立概算表" xfId="6" xr:uid="{B8D23FCC-E111-456B-8226-2DF77299E2B8}"/>
    <cellStyle name="一般_聖帕太和162甲線42k支線等處復建工程(土木365.8萬)" xfId="7" xr:uid="{3A9DABCB-F4DE-4AD4-B80D-432AF98F06E7}"/>
    <cellStyle name="千分位 18" xfId="5" xr:uid="{577F3F2D-F8BA-4963-AAA1-9DBB11DCADC6}"/>
    <cellStyle name="千分位 2" xfId="3" xr:uid="{650CF6D8-6C13-46FA-90EB-F0B0A89C4706}"/>
    <cellStyle name="百分比 2" xfId="2" xr:uid="{F6B93F7A-450D-4F77-8F05-64303F6960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manualLayout>
          <c:layoutTarget val="inner"/>
          <c:xMode val="edge"/>
          <c:yMode val="edge"/>
          <c:x val="2.3857215094639998E-2"/>
          <c:y val="2.4871958014804806E-2"/>
          <c:w val="0.97213758088839264"/>
          <c:h val="0.9751279149789881"/>
        </c:manualLayout>
      </c:layout>
      <c:lineChart>
        <c:grouping val="standard"/>
        <c:varyColors val="0"/>
        <c:ser>
          <c:idx val="0"/>
          <c:order val="0"/>
          <c:tx>
            <c:strRef>
              <c:f>[1]進度表!$E$18</c:f>
              <c:strCache>
                <c:ptCount val="1"/>
              </c:strCache>
            </c:strRef>
          </c:tx>
          <c:spPr>
            <a:ln w="28575" cap="rnd">
              <a:solidFill>
                <a:schemeClr val="accent1"/>
              </a:solidFill>
              <a:prstDash val="dash"/>
              <a:round/>
            </a:ln>
            <a:effectLst/>
          </c:spPr>
          <c:marker>
            <c:symbol val="none"/>
          </c:marker>
          <c:cat>
            <c:numLit>
              <c:formatCode>General</c:formatCode>
              <c:ptCount val="1"/>
              <c:pt idx="0">
                <c:v>11</c:v>
              </c:pt>
            </c:numLit>
          </c:cat>
          <c:val>
            <c:numRef>
              <c:f>[1]進度表!$E$18:$O$18</c:f>
              <c:numCache>
                <c:formatCode>General</c:formatCode>
                <c:ptCount val="11"/>
                <c:pt idx="1">
                  <c:v>2.8485342019543975E-4</c:v>
                </c:pt>
                <c:pt idx="2">
                  <c:v>2.8485342019543975E-4</c:v>
                </c:pt>
                <c:pt idx="3">
                  <c:v>2.8485342019543975E-4</c:v>
                </c:pt>
                <c:pt idx="4">
                  <c:v>2.8485342019543975E-4</c:v>
                </c:pt>
                <c:pt idx="5">
                  <c:v>2.8485342019543975E-4</c:v>
                </c:pt>
                <c:pt idx="6">
                  <c:v>2.8485342019543975E-4</c:v>
                </c:pt>
                <c:pt idx="7">
                  <c:v>2.8485342019543975E-4</c:v>
                </c:pt>
                <c:pt idx="8">
                  <c:v>2.8485342019543975E-4</c:v>
                </c:pt>
                <c:pt idx="9">
                  <c:v>2.8485342019543975E-4</c:v>
                </c:pt>
                <c:pt idx="10">
                  <c:v>2.8485342019543975E-4</c:v>
                </c:pt>
              </c:numCache>
            </c:numRef>
          </c:val>
          <c:smooth val="0"/>
          <c:extLst>
            <c:ext xmlns:c16="http://schemas.microsoft.com/office/drawing/2014/chart" uri="{C3380CC4-5D6E-409C-BE32-E72D297353CC}">
              <c16:uniqueId val="{00000000-EBBA-4C7C-A293-E91DE27FE9A4}"/>
            </c:ext>
          </c:extLst>
        </c:ser>
        <c:dLbls>
          <c:showLegendKey val="0"/>
          <c:showVal val="0"/>
          <c:showCatName val="0"/>
          <c:showSerName val="0"/>
          <c:showPercent val="0"/>
          <c:showBubbleSize val="0"/>
        </c:dLbls>
        <c:smooth val="0"/>
        <c:axId val="778984543"/>
        <c:axId val="1"/>
      </c:lineChart>
      <c:catAx>
        <c:axId val="778984543"/>
        <c:scaling>
          <c:orientation val="minMax"/>
        </c:scaling>
        <c:delete val="1"/>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1"/>
        <c:axPos val="l"/>
        <c:numFmt formatCode="General" sourceLinked="1"/>
        <c:majorTickMark val="out"/>
        <c:minorTickMark val="none"/>
        <c:tickLblPos val="nextTo"/>
        <c:crossAx val="778984543"/>
        <c:crosses val="autoZero"/>
        <c:crossBetween val="between"/>
      </c:valAx>
      <c:spPr>
        <a:noFill/>
        <a:ln w="25400">
          <a:noFill/>
        </a:ln>
      </c:spPr>
    </c:plotArea>
    <c:plotVisOnly val="1"/>
    <c:dispBlanksAs val="gap"/>
    <c:showDLblsOverMax val="0"/>
  </c:chart>
  <c:spPr>
    <a:solidFill>
      <a:srgbClr val="FFC000">
        <a:alpha val="0"/>
      </a:srgbClr>
    </a:solidFill>
    <a:ln w="9525" cap="flat" cmpd="sng" algn="ctr">
      <a:noFill/>
      <a:round/>
    </a:ln>
    <a:effectLst/>
  </c:spPr>
  <c:txPr>
    <a:bodyPr/>
    <a:lstStyle/>
    <a:p>
      <a:pPr>
        <a:defRPr/>
      </a:pPr>
      <a:endParaRPr lang="zh-TW"/>
    </a:p>
  </c:txPr>
  <c:printSettings>
    <c:headerFooter/>
    <c:pageMargins b="0.75" l="0.7" r="0.7" t="0.75" header="0.3" footer="0.3"/>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manualLayout>
          <c:layoutTarget val="inner"/>
          <c:xMode val="edge"/>
          <c:yMode val="edge"/>
          <c:x val="2.7783753579867371E-2"/>
          <c:y val="1.5386747404198431E-2"/>
          <c:w val="0.97213758088839264"/>
          <c:h val="0.9751279149789881"/>
        </c:manualLayout>
      </c:layout>
      <c:lineChart>
        <c:grouping val="standard"/>
        <c:varyColors val="0"/>
        <c:ser>
          <c:idx val="0"/>
          <c:order val="0"/>
          <c:tx>
            <c:strRef>
              <c:f>[1]進度表!$E$22</c:f>
              <c:strCache>
                <c:ptCount val="1"/>
              </c:strCache>
            </c:strRef>
          </c:tx>
          <c:spPr>
            <a:ln w="28575" cap="rnd">
              <a:solidFill>
                <a:schemeClr val="accent1"/>
              </a:solidFill>
              <a:prstDash val="dash"/>
              <a:round/>
            </a:ln>
            <a:effectLst/>
          </c:spPr>
          <c:marker>
            <c:symbol val="none"/>
          </c:marker>
          <c:cat>
            <c:numLit>
              <c:formatCode>General</c:formatCode>
              <c:ptCount val="1"/>
              <c:pt idx="0">
                <c:v>11</c:v>
              </c:pt>
            </c:numLit>
          </c:cat>
          <c:val>
            <c:numRef>
              <c:f>[1]進度表!$E$22:$O$22</c:f>
              <c:numCache>
                <c:formatCode>General</c:formatCode>
                <c:ptCount val="11"/>
                <c:pt idx="1">
                  <c:v>4.7761013843648219E-2</c:v>
                </c:pt>
                <c:pt idx="2">
                  <c:v>0.10252772801302934</c:v>
                </c:pt>
                <c:pt idx="3">
                  <c:v>0.16890773615635182</c:v>
                </c:pt>
                <c:pt idx="4">
                  <c:v>0.25922846091205215</c:v>
                </c:pt>
                <c:pt idx="5">
                  <c:v>0.36223912866449515</c:v>
                </c:pt>
                <c:pt idx="6">
                  <c:v>0.46524979641693814</c:v>
                </c:pt>
                <c:pt idx="7">
                  <c:v>0.60748471091205214</c:v>
                </c:pt>
                <c:pt idx="8">
                  <c:v>0.74971962540716619</c:v>
                </c:pt>
                <c:pt idx="9">
                  <c:v>0.87950741042345282</c:v>
                </c:pt>
                <c:pt idx="10">
                  <c:v>1</c:v>
                </c:pt>
              </c:numCache>
            </c:numRef>
          </c:val>
          <c:smooth val="0"/>
          <c:extLst>
            <c:ext xmlns:c16="http://schemas.microsoft.com/office/drawing/2014/chart" uri="{C3380CC4-5D6E-409C-BE32-E72D297353CC}">
              <c16:uniqueId val="{00000000-FF5C-4D1F-B63A-BAEC0E69B5FB}"/>
            </c:ext>
          </c:extLst>
        </c:ser>
        <c:dLbls>
          <c:showLegendKey val="0"/>
          <c:showVal val="0"/>
          <c:showCatName val="0"/>
          <c:showSerName val="0"/>
          <c:showPercent val="0"/>
          <c:showBubbleSize val="0"/>
        </c:dLbls>
        <c:smooth val="0"/>
        <c:axId val="421825072"/>
        <c:axId val="1"/>
      </c:lineChart>
      <c:catAx>
        <c:axId val="421825072"/>
        <c:scaling>
          <c:orientation val="minMax"/>
        </c:scaling>
        <c:delete val="1"/>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1"/>
        <c:axPos val="l"/>
        <c:numFmt formatCode="General" sourceLinked="1"/>
        <c:majorTickMark val="out"/>
        <c:minorTickMark val="none"/>
        <c:tickLblPos val="nextTo"/>
        <c:crossAx val="421825072"/>
        <c:crosses val="autoZero"/>
        <c:crossBetween val="between"/>
      </c:valAx>
      <c:spPr>
        <a:noFill/>
        <a:ln w="25400">
          <a:noFill/>
        </a:ln>
      </c:spPr>
    </c:plotArea>
    <c:plotVisOnly val="1"/>
    <c:dispBlanksAs val="gap"/>
    <c:showDLblsOverMax val="0"/>
  </c:chart>
  <c:spPr>
    <a:solidFill>
      <a:srgbClr val="FFC000">
        <a:alpha val="0"/>
      </a:srgbClr>
    </a:solidFill>
    <a:ln w="9525" cap="flat" cmpd="sng" algn="ctr">
      <a:noFill/>
      <a:round/>
    </a:ln>
    <a:effectLst/>
  </c:spPr>
  <c:txPr>
    <a:bodyPr/>
    <a:lstStyle/>
    <a:p>
      <a:pPr>
        <a:defRPr/>
      </a:pPr>
      <a:endParaRPr lang="zh-TW"/>
    </a:p>
  </c:txPr>
  <c:printSettings>
    <c:headerFooter/>
    <c:pageMargins b="0.75" l="0.7" r="0.7" t="0.75" header="0.3" footer="0.3"/>
    <c:pageSetup paperSize="9" orientation="landscape"/>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361950</xdr:colOff>
      <xdr:row>17</xdr:row>
      <xdr:rowOff>228600</xdr:rowOff>
    </xdr:from>
    <xdr:to>
      <xdr:col>1</xdr:col>
      <xdr:colOff>3003550</xdr:colOff>
      <xdr:row>17</xdr:row>
      <xdr:rowOff>241300</xdr:rowOff>
    </xdr:to>
    <xdr:sp macro="" textlink="">
      <xdr:nvSpPr>
        <xdr:cNvPr id="2" name="Line 46">
          <a:extLst>
            <a:ext uri="{FF2B5EF4-FFF2-40B4-BE49-F238E27FC236}">
              <a16:creationId xmlns:a16="http://schemas.microsoft.com/office/drawing/2014/main" id="{F88BB0A0-C64D-4A01-9804-1D78A79AC007}"/>
            </a:ext>
          </a:extLst>
        </xdr:cNvPr>
        <xdr:cNvSpPr>
          <a:spLocks noChangeShapeType="1"/>
        </xdr:cNvSpPr>
      </xdr:nvSpPr>
      <xdr:spPr bwMode="auto">
        <a:xfrm>
          <a:off x="361950" y="8032750"/>
          <a:ext cx="3822700" cy="12700"/>
        </a:xfrm>
        <a:prstGeom prst="line">
          <a:avLst/>
        </a:prstGeom>
        <a:noFill/>
        <a:ln w="19050">
          <a:solidFill>
            <a:srgbClr val="0000FF"/>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17</xdr:row>
      <xdr:rowOff>298450</xdr:rowOff>
    </xdr:from>
    <xdr:to>
      <xdr:col>8</xdr:col>
      <xdr:colOff>787400</xdr:colOff>
      <xdr:row>17</xdr:row>
      <xdr:rowOff>298450</xdr:rowOff>
    </xdr:to>
    <xdr:sp macro="" textlink="">
      <xdr:nvSpPr>
        <xdr:cNvPr id="4" name="Line 48">
          <a:extLst>
            <a:ext uri="{FF2B5EF4-FFF2-40B4-BE49-F238E27FC236}">
              <a16:creationId xmlns:a16="http://schemas.microsoft.com/office/drawing/2014/main" id="{C9BD42F8-5E34-4FA8-ABA1-0506F2ECF9DF}"/>
            </a:ext>
          </a:extLst>
        </xdr:cNvPr>
        <xdr:cNvSpPr>
          <a:spLocks noChangeShapeType="1"/>
        </xdr:cNvSpPr>
      </xdr:nvSpPr>
      <xdr:spPr bwMode="auto">
        <a:xfrm flipV="1">
          <a:off x="8775700" y="8102600"/>
          <a:ext cx="3683000" cy="0"/>
        </a:xfrm>
        <a:prstGeom prst="line">
          <a:avLst/>
        </a:prstGeom>
        <a:noFill/>
        <a:ln w="1905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358140</xdr:colOff>
      <xdr:row>18</xdr:row>
      <xdr:rowOff>228600</xdr:rowOff>
    </xdr:from>
    <xdr:to>
      <xdr:col>1</xdr:col>
      <xdr:colOff>2948940</xdr:colOff>
      <xdr:row>18</xdr:row>
      <xdr:rowOff>243840</xdr:rowOff>
    </xdr:to>
    <xdr:sp macro="" textlink="">
      <xdr:nvSpPr>
        <xdr:cNvPr id="3" name="Line 46">
          <a:extLst>
            <a:ext uri="{FF2B5EF4-FFF2-40B4-BE49-F238E27FC236}">
              <a16:creationId xmlns:a16="http://schemas.microsoft.com/office/drawing/2014/main" id="{29A1D3E6-A436-4CA9-B4BF-66FB3C64F411}"/>
            </a:ext>
          </a:extLst>
        </xdr:cNvPr>
        <xdr:cNvSpPr>
          <a:spLocks noChangeShapeType="1"/>
        </xdr:cNvSpPr>
      </xdr:nvSpPr>
      <xdr:spPr bwMode="auto">
        <a:xfrm>
          <a:off x="358140" y="9235440"/>
          <a:ext cx="3246120" cy="15240"/>
        </a:xfrm>
        <a:prstGeom prst="line">
          <a:avLst/>
        </a:prstGeom>
        <a:noFill/>
        <a:ln w="19050">
          <a:solidFill>
            <a:srgbClr val="0000FF"/>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xdr:col>
      <xdr:colOff>830580</xdr:colOff>
      <xdr:row>5</xdr:row>
      <xdr:rowOff>286096</xdr:rowOff>
    </xdr:from>
    <xdr:to>
      <xdr:col>16</xdr:col>
      <xdr:colOff>45720</xdr:colOff>
      <xdr:row>18</xdr:row>
      <xdr:rowOff>152399</xdr:rowOff>
    </xdr:to>
    <xdr:graphicFrame macro="">
      <xdr:nvGraphicFramePr>
        <xdr:cNvPr id="5" name="圖表 11">
          <a:extLst>
            <a:ext uri="{FF2B5EF4-FFF2-40B4-BE49-F238E27FC236}">
              <a16:creationId xmlns:a16="http://schemas.microsoft.com/office/drawing/2014/main" id="{85163DA5-E3F1-4F2A-8AE1-C810CDC8E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297180</xdr:rowOff>
    </xdr:from>
    <xdr:to>
      <xdr:col>8</xdr:col>
      <xdr:colOff>769620</xdr:colOff>
      <xdr:row>18</xdr:row>
      <xdr:rowOff>297180</xdr:rowOff>
    </xdr:to>
    <xdr:sp macro="" textlink="">
      <xdr:nvSpPr>
        <xdr:cNvPr id="6" name="Line 48">
          <a:extLst>
            <a:ext uri="{FF2B5EF4-FFF2-40B4-BE49-F238E27FC236}">
              <a16:creationId xmlns:a16="http://schemas.microsoft.com/office/drawing/2014/main" id="{3F849B72-74B5-4AC6-AA30-9A00712A4EAA}"/>
            </a:ext>
          </a:extLst>
        </xdr:cNvPr>
        <xdr:cNvSpPr>
          <a:spLocks noChangeShapeType="1"/>
        </xdr:cNvSpPr>
      </xdr:nvSpPr>
      <xdr:spPr bwMode="auto">
        <a:xfrm flipV="1">
          <a:off x="7932420" y="9304020"/>
          <a:ext cx="4427220" cy="0"/>
        </a:xfrm>
        <a:prstGeom prst="line">
          <a:avLst/>
        </a:prstGeom>
        <a:noFill/>
        <a:ln w="1905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358140</xdr:colOff>
      <xdr:row>22</xdr:row>
      <xdr:rowOff>228600</xdr:rowOff>
    </xdr:from>
    <xdr:to>
      <xdr:col>1</xdr:col>
      <xdr:colOff>2948940</xdr:colOff>
      <xdr:row>22</xdr:row>
      <xdr:rowOff>243840</xdr:rowOff>
    </xdr:to>
    <xdr:sp macro="" textlink="">
      <xdr:nvSpPr>
        <xdr:cNvPr id="7" name="Line 46">
          <a:extLst>
            <a:ext uri="{FF2B5EF4-FFF2-40B4-BE49-F238E27FC236}">
              <a16:creationId xmlns:a16="http://schemas.microsoft.com/office/drawing/2014/main" id="{68F6B315-3422-4BE9-8DA1-95B2D4F163D0}"/>
            </a:ext>
          </a:extLst>
        </xdr:cNvPr>
        <xdr:cNvSpPr>
          <a:spLocks noChangeShapeType="1"/>
        </xdr:cNvSpPr>
      </xdr:nvSpPr>
      <xdr:spPr bwMode="auto">
        <a:xfrm>
          <a:off x="358140" y="10347960"/>
          <a:ext cx="3246120" cy="15240"/>
        </a:xfrm>
        <a:prstGeom prst="line">
          <a:avLst/>
        </a:prstGeom>
        <a:noFill/>
        <a:ln w="19050">
          <a:solidFill>
            <a:srgbClr val="0000FF"/>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xdr:col>
      <xdr:colOff>1181100</xdr:colOff>
      <xdr:row>6</xdr:row>
      <xdr:rowOff>350520</xdr:rowOff>
    </xdr:from>
    <xdr:to>
      <xdr:col>15</xdr:col>
      <xdr:colOff>571500</xdr:colOff>
      <xdr:row>19</xdr:row>
      <xdr:rowOff>266700</xdr:rowOff>
    </xdr:to>
    <xdr:graphicFrame macro="">
      <xdr:nvGraphicFramePr>
        <xdr:cNvPr id="8" name="圖表 11">
          <a:extLst>
            <a:ext uri="{FF2B5EF4-FFF2-40B4-BE49-F238E27FC236}">
              <a16:creationId xmlns:a16="http://schemas.microsoft.com/office/drawing/2014/main" id="{22580F51-8DCE-422D-B4F6-B7B8EA7A5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22</xdr:row>
      <xdr:rowOff>297180</xdr:rowOff>
    </xdr:from>
    <xdr:to>
      <xdr:col>8</xdr:col>
      <xdr:colOff>769620</xdr:colOff>
      <xdr:row>22</xdr:row>
      <xdr:rowOff>297180</xdr:rowOff>
    </xdr:to>
    <xdr:sp macro="" textlink="">
      <xdr:nvSpPr>
        <xdr:cNvPr id="9" name="Line 48">
          <a:extLst>
            <a:ext uri="{FF2B5EF4-FFF2-40B4-BE49-F238E27FC236}">
              <a16:creationId xmlns:a16="http://schemas.microsoft.com/office/drawing/2014/main" id="{AA16C887-AF1A-4958-A619-EDA7FB33A05D}"/>
            </a:ext>
          </a:extLst>
        </xdr:cNvPr>
        <xdr:cNvSpPr>
          <a:spLocks noChangeShapeType="1"/>
        </xdr:cNvSpPr>
      </xdr:nvSpPr>
      <xdr:spPr bwMode="auto">
        <a:xfrm flipV="1">
          <a:off x="7879080" y="10416540"/>
          <a:ext cx="4015740" cy="0"/>
        </a:xfrm>
        <a:prstGeom prst="line">
          <a:avLst/>
        </a:prstGeom>
        <a:noFill/>
        <a:ln w="1905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6914;&#24230;&#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進度表"/>
    </sheetNames>
    <sheetDataSet>
      <sheetData sheetId="0">
        <row r="18">
          <cell r="F18">
            <v>2.8485342019543975E-4</v>
          </cell>
          <cell r="G18">
            <v>2.8485342019543975E-4</v>
          </cell>
          <cell r="H18">
            <v>2.8485342019543975E-4</v>
          </cell>
          <cell r="I18">
            <v>2.8485342019543975E-4</v>
          </cell>
          <cell r="J18">
            <v>2.8485342019543975E-4</v>
          </cell>
          <cell r="K18">
            <v>2.8485342019543975E-4</v>
          </cell>
          <cell r="L18">
            <v>2.8485342019543975E-4</v>
          </cell>
          <cell r="M18">
            <v>2.8485342019543975E-4</v>
          </cell>
          <cell r="N18">
            <v>2.8485342019543975E-4</v>
          </cell>
          <cell r="O18">
            <v>2.8485342019543975E-4</v>
          </cell>
        </row>
        <row r="22">
          <cell r="F22">
            <v>4.7761013843648219E-2</v>
          </cell>
          <cell r="G22">
            <v>0.10252772801302934</v>
          </cell>
          <cell r="H22">
            <v>0.16890773615635182</v>
          </cell>
          <cell r="I22">
            <v>0.25922846091205215</v>
          </cell>
          <cell r="J22">
            <v>0.36223912866449515</v>
          </cell>
          <cell r="K22">
            <v>0.46524979641693814</v>
          </cell>
          <cell r="L22">
            <v>0.60748471091205214</v>
          </cell>
          <cell r="M22">
            <v>0.74971962540716619</v>
          </cell>
          <cell r="N22">
            <v>0.87950741042345282</v>
          </cell>
          <cell r="O22">
            <v>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A4ECF-3EDA-4757-B0F2-3CC567CCBE52}">
  <sheetPr>
    <pageSetUpPr fitToPage="1"/>
  </sheetPr>
  <dimension ref="A1:AA48"/>
  <sheetViews>
    <sheetView view="pageBreakPreview" topLeftCell="D1" zoomScale="55" zoomScaleNormal="70" zoomScaleSheetLayoutView="55" workbookViewId="0">
      <selection activeCell="U7" sqref="U7"/>
    </sheetView>
  </sheetViews>
  <sheetFormatPr defaultColWidth="2.875" defaultRowHeight="16.2"/>
  <cols>
    <col min="1" max="1" width="12" style="8" customWidth="1"/>
    <col min="2" max="2" width="81.25" style="8" customWidth="1"/>
    <col min="3" max="3" width="27.125" style="8" customWidth="1"/>
    <col min="4" max="4" width="19.75" style="8" customWidth="1"/>
    <col min="5" max="5" width="4" style="8" customWidth="1"/>
    <col min="6" max="15" width="20.625" style="8" customWidth="1"/>
    <col min="16" max="16" width="15.25" style="8" customWidth="1"/>
    <col min="17" max="17" width="14.125" style="14" customWidth="1"/>
    <col min="18" max="25" width="15.75" style="8" bestFit="1" customWidth="1"/>
    <col min="26" max="26" width="19" style="8" bestFit="1" customWidth="1"/>
    <col min="27" max="256" width="2.875" style="8"/>
    <col min="257" max="257" width="12" style="8" customWidth="1"/>
    <col min="258" max="258" width="81.25" style="8" customWidth="1"/>
    <col min="259" max="259" width="25.125" style="8" customWidth="1"/>
    <col min="260" max="260" width="19.75" style="8" customWidth="1"/>
    <col min="261" max="261" width="4" style="8" customWidth="1"/>
    <col min="262" max="272" width="15.25" style="8" customWidth="1"/>
    <col min="273" max="281" width="14.125" style="8" customWidth="1"/>
    <col min="282" max="512" width="2.875" style="8"/>
    <col min="513" max="513" width="12" style="8" customWidth="1"/>
    <col min="514" max="514" width="81.25" style="8" customWidth="1"/>
    <col min="515" max="515" width="25.125" style="8" customWidth="1"/>
    <col min="516" max="516" width="19.75" style="8" customWidth="1"/>
    <col min="517" max="517" width="4" style="8" customWidth="1"/>
    <col min="518" max="528" width="15.25" style="8" customWidth="1"/>
    <col min="529" max="537" width="14.125" style="8" customWidth="1"/>
    <col min="538" max="768" width="2.875" style="8"/>
    <col min="769" max="769" width="12" style="8" customWidth="1"/>
    <col min="770" max="770" width="81.25" style="8" customWidth="1"/>
    <col min="771" max="771" width="25.125" style="8" customWidth="1"/>
    <col min="772" max="772" width="19.75" style="8" customWidth="1"/>
    <col min="773" max="773" width="4" style="8" customWidth="1"/>
    <col min="774" max="784" width="15.25" style="8" customWidth="1"/>
    <col min="785" max="793" width="14.125" style="8" customWidth="1"/>
    <col min="794" max="1024" width="2.875" style="8"/>
    <col min="1025" max="1025" width="12" style="8" customWidth="1"/>
    <col min="1026" max="1026" width="81.25" style="8" customWidth="1"/>
    <col min="1027" max="1027" width="25.125" style="8" customWidth="1"/>
    <col min="1028" max="1028" width="19.75" style="8" customWidth="1"/>
    <col min="1029" max="1029" width="4" style="8" customWidth="1"/>
    <col min="1030" max="1040" width="15.25" style="8" customWidth="1"/>
    <col min="1041" max="1049" width="14.125" style="8" customWidth="1"/>
    <col min="1050" max="1280" width="2.875" style="8"/>
    <col min="1281" max="1281" width="12" style="8" customWidth="1"/>
    <col min="1282" max="1282" width="81.25" style="8" customWidth="1"/>
    <col min="1283" max="1283" width="25.125" style="8" customWidth="1"/>
    <col min="1284" max="1284" width="19.75" style="8" customWidth="1"/>
    <col min="1285" max="1285" width="4" style="8" customWidth="1"/>
    <col min="1286" max="1296" width="15.25" style="8" customWidth="1"/>
    <col min="1297" max="1305" width="14.125" style="8" customWidth="1"/>
    <col min="1306" max="1536" width="2.875" style="8"/>
    <col min="1537" max="1537" width="12" style="8" customWidth="1"/>
    <col min="1538" max="1538" width="81.25" style="8" customWidth="1"/>
    <col min="1539" max="1539" width="25.125" style="8" customWidth="1"/>
    <col min="1540" max="1540" width="19.75" style="8" customWidth="1"/>
    <col min="1541" max="1541" width="4" style="8" customWidth="1"/>
    <col min="1542" max="1552" width="15.25" style="8" customWidth="1"/>
    <col min="1553" max="1561" width="14.125" style="8" customWidth="1"/>
    <col min="1562" max="1792" width="2.875" style="8"/>
    <col min="1793" max="1793" width="12" style="8" customWidth="1"/>
    <col min="1794" max="1794" width="81.25" style="8" customWidth="1"/>
    <col min="1795" max="1795" width="25.125" style="8" customWidth="1"/>
    <col min="1796" max="1796" width="19.75" style="8" customWidth="1"/>
    <col min="1797" max="1797" width="4" style="8" customWidth="1"/>
    <col min="1798" max="1808" width="15.25" style="8" customWidth="1"/>
    <col min="1809" max="1817" width="14.125" style="8" customWidth="1"/>
    <col min="1818" max="2048" width="2.875" style="8"/>
    <col min="2049" max="2049" width="12" style="8" customWidth="1"/>
    <col min="2050" max="2050" width="81.25" style="8" customWidth="1"/>
    <col min="2051" max="2051" width="25.125" style="8" customWidth="1"/>
    <col min="2052" max="2052" width="19.75" style="8" customWidth="1"/>
    <col min="2053" max="2053" width="4" style="8" customWidth="1"/>
    <col min="2054" max="2064" width="15.25" style="8" customWidth="1"/>
    <col min="2065" max="2073" width="14.125" style="8" customWidth="1"/>
    <col min="2074" max="2304" width="2.875" style="8"/>
    <col min="2305" max="2305" width="12" style="8" customWidth="1"/>
    <col min="2306" max="2306" width="81.25" style="8" customWidth="1"/>
    <col min="2307" max="2307" width="25.125" style="8" customWidth="1"/>
    <col min="2308" max="2308" width="19.75" style="8" customWidth="1"/>
    <col min="2309" max="2309" width="4" style="8" customWidth="1"/>
    <col min="2310" max="2320" width="15.25" style="8" customWidth="1"/>
    <col min="2321" max="2329" width="14.125" style="8" customWidth="1"/>
    <col min="2330" max="2560" width="2.875" style="8"/>
    <col min="2561" max="2561" width="12" style="8" customWidth="1"/>
    <col min="2562" max="2562" width="81.25" style="8" customWidth="1"/>
    <col min="2563" max="2563" width="25.125" style="8" customWidth="1"/>
    <col min="2564" max="2564" width="19.75" style="8" customWidth="1"/>
    <col min="2565" max="2565" width="4" style="8" customWidth="1"/>
    <col min="2566" max="2576" width="15.25" style="8" customWidth="1"/>
    <col min="2577" max="2585" width="14.125" style="8" customWidth="1"/>
    <col min="2586" max="2816" width="2.875" style="8"/>
    <col min="2817" max="2817" width="12" style="8" customWidth="1"/>
    <col min="2818" max="2818" width="81.25" style="8" customWidth="1"/>
    <col min="2819" max="2819" width="25.125" style="8" customWidth="1"/>
    <col min="2820" max="2820" width="19.75" style="8" customWidth="1"/>
    <col min="2821" max="2821" width="4" style="8" customWidth="1"/>
    <col min="2822" max="2832" width="15.25" style="8" customWidth="1"/>
    <col min="2833" max="2841" width="14.125" style="8" customWidth="1"/>
    <col min="2842" max="3072" width="2.875" style="8"/>
    <col min="3073" max="3073" width="12" style="8" customWidth="1"/>
    <col min="3074" max="3074" width="81.25" style="8" customWidth="1"/>
    <col min="3075" max="3075" width="25.125" style="8" customWidth="1"/>
    <col min="3076" max="3076" width="19.75" style="8" customWidth="1"/>
    <col min="3077" max="3077" width="4" style="8" customWidth="1"/>
    <col min="3078" max="3088" width="15.25" style="8" customWidth="1"/>
    <col min="3089" max="3097" width="14.125" style="8" customWidth="1"/>
    <col min="3098" max="3328" width="2.875" style="8"/>
    <col min="3329" max="3329" width="12" style="8" customWidth="1"/>
    <col min="3330" max="3330" width="81.25" style="8" customWidth="1"/>
    <col min="3331" max="3331" width="25.125" style="8" customWidth="1"/>
    <col min="3332" max="3332" width="19.75" style="8" customWidth="1"/>
    <col min="3333" max="3333" width="4" style="8" customWidth="1"/>
    <col min="3334" max="3344" width="15.25" style="8" customWidth="1"/>
    <col min="3345" max="3353" width="14.125" style="8" customWidth="1"/>
    <col min="3354" max="3584" width="2.875" style="8"/>
    <col min="3585" max="3585" width="12" style="8" customWidth="1"/>
    <col min="3586" max="3586" width="81.25" style="8" customWidth="1"/>
    <col min="3587" max="3587" width="25.125" style="8" customWidth="1"/>
    <col min="3588" max="3588" width="19.75" style="8" customWidth="1"/>
    <col min="3589" max="3589" width="4" style="8" customWidth="1"/>
    <col min="3590" max="3600" width="15.25" style="8" customWidth="1"/>
    <col min="3601" max="3609" width="14.125" style="8" customWidth="1"/>
    <col min="3610" max="3840" width="2.875" style="8"/>
    <col min="3841" max="3841" width="12" style="8" customWidth="1"/>
    <col min="3842" max="3842" width="81.25" style="8" customWidth="1"/>
    <col min="3843" max="3843" width="25.125" style="8" customWidth="1"/>
    <col min="3844" max="3844" width="19.75" style="8" customWidth="1"/>
    <col min="3845" max="3845" width="4" style="8" customWidth="1"/>
    <col min="3846" max="3856" width="15.25" style="8" customWidth="1"/>
    <col min="3857" max="3865" width="14.125" style="8" customWidth="1"/>
    <col min="3866" max="4096" width="2.875" style="8"/>
    <col min="4097" max="4097" width="12" style="8" customWidth="1"/>
    <col min="4098" max="4098" width="81.25" style="8" customWidth="1"/>
    <col min="4099" max="4099" width="25.125" style="8" customWidth="1"/>
    <col min="4100" max="4100" width="19.75" style="8" customWidth="1"/>
    <col min="4101" max="4101" width="4" style="8" customWidth="1"/>
    <col min="4102" max="4112" width="15.25" style="8" customWidth="1"/>
    <col min="4113" max="4121" width="14.125" style="8" customWidth="1"/>
    <col min="4122" max="4352" width="2.875" style="8"/>
    <col min="4353" max="4353" width="12" style="8" customWidth="1"/>
    <col min="4354" max="4354" width="81.25" style="8" customWidth="1"/>
    <col min="4355" max="4355" width="25.125" style="8" customWidth="1"/>
    <col min="4356" max="4356" width="19.75" style="8" customWidth="1"/>
    <col min="4357" max="4357" width="4" style="8" customWidth="1"/>
    <col min="4358" max="4368" width="15.25" style="8" customWidth="1"/>
    <col min="4369" max="4377" width="14.125" style="8" customWidth="1"/>
    <col min="4378" max="4608" width="2.875" style="8"/>
    <col min="4609" max="4609" width="12" style="8" customWidth="1"/>
    <col min="4610" max="4610" width="81.25" style="8" customWidth="1"/>
    <col min="4611" max="4611" width="25.125" style="8" customWidth="1"/>
    <col min="4612" max="4612" width="19.75" style="8" customWidth="1"/>
    <col min="4613" max="4613" width="4" style="8" customWidth="1"/>
    <col min="4614" max="4624" width="15.25" style="8" customWidth="1"/>
    <col min="4625" max="4633" width="14.125" style="8" customWidth="1"/>
    <col min="4634" max="4864" width="2.875" style="8"/>
    <col min="4865" max="4865" width="12" style="8" customWidth="1"/>
    <col min="4866" max="4866" width="81.25" style="8" customWidth="1"/>
    <col min="4867" max="4867" width="25.125" style="8" customWidth="1"/>
    <col min="4868" max="4868" width="19.75" style="8" customWidth="1"/>
    <col min="4869" max="4869" width="4" style="8" customWidth="1"/>
    <col min="4870" max="4880" width="15.25" style="8" customWidth="1"/>
    <col min="4881" max="4889" width="14.125" style="8" customWidth="1"/>
    <col min="4890" max="5120" width="2.875" style="8"/>
    <col min="5121" max="5121" width="12" style="8" customWidth="1"/>
    <col min="5122" max="5122" width="81.25" style="8" customWidth="1"/>
    <col min="5123" max="5123" width="25.125" style="8" customWidth="1"/>
    <col min="5124" max="5124" width="19.75" style="8" customWidth="1"/>
    <col min="5125" max="5125" width="4" style="8" customWidth="1"/>
    <col min="5126" max="5136" width="15.25" style="8" customWidth="1"/>
    <col min="5137" max="5145" width="14.125" style="8" customWidth="1"/>
    <col min="5146" max="5376" width="2.875" style="8"/>
    <col min="5377" max="5377" width="12" style="8" customWidth="1"/>
    <col min="5378" max="5378" width="81.25" style="8" customWidth="1"/>
    <col min="5379" max="5379" width="25.125" style="8" customWidth="1"/>
    <col min="5380" max="5380" width="19.75" style="8" customWidth="1"/>
    <col min="5381" max="5381" width="4" style="8" customWidth="1"/>
    <col min="5382" max="5392" width="15.25" style="8" customWidth="1"/>
    <col min="5393" max="5401" width="14.125" style="8" customWidth="1"/>
    <col min="5402" max="5632" width="2.875" style="8"/>
    <col min="5633" max="5633" width="12" style="8" customWidth="1"/>
    <col min="5634" max="5634" width="81.25" style="8" customWidth="1"/>
    <col min="5635" max="5635" width="25.125" style="8" customWidth="1"/>
    <col min="5636" max="5636" width="19.75" style="8" customWidth="1"/>
    <col min="5637" max="5637" width="4" style="8" customWidth="1"/>
    <col min="5638" max="5648" width="15.25" style="8" customWidth="1"/>
    <col min="5649" max="5657" width="14.125" style="8" customWidth="1"/>
    <col min="5658" max="5888" width="2.875" style="8"/>
    <col min="5889" max="5889" width="12" style="8" customWidth="1"/>
    <col min="5890" max="5890" width="81.25" style="8" customWidth="1"/>
    <col min="5891" max="5891" width="25.125" style="8" customWidth="1"/>
    <col min="5892" max="5892" width="19.75" style="8" customWidth="1"/>
    <col min="5893" max="5893" width="4" style="8" customWidth="1"/>
    <col min="5894" max="5904" width="15.25" style="8" customWidth="1"/>
    <col min="5905" max="5913" width="14.125" style="8" customWidth="1"/>
    <col min="5914" max="6144" width="2.875" style="8"/>
    <col min="6145" max="6145" width="12" style="8" customWidth="1"/>
    <col min="6146" max="6146" width="81.25" style="8" customWidth="1"/>
    <col min="6147" max="6147" width="25.125" style="8" customWidth="1"/>
    <col min="6148" max="6148" width="19.75" style="8" customWidth="1"/>
    <col min="6149" max="6149" width="4" style="8" customWidth="1"/>
    <col min="6150" max="6160" width="15.25" style="8" customWidth="1"/>
    <col min="6161" max="6169" width="14.125" style="8" customWidth="1"/>
    <col min="6170" max="6400" width="2.875" style="8"/>
    <col min="6401" max="6401" width="12" style="8" customWidth="1"/>
    <col min="6402" max="6402" width="81.25" style="8" customWidth="1"/>
    <col min="6403" max="6403" width="25.125" style="8" customWidth="1"/>
    <col min="6404" max="6404" width="19.75" style="8" customWidth="1"/>
    <col min="6405" max="6405" width="4" style="8" customWidth="1"/>
    <col min="6406" max="6416" width="15.25" style="8" customWidth="1"/>
    <col min="6417" max="6425" width="14.125" style="8" customWidth="1"/>
    <col min="6426" max="6656" width="2.875" style="8"/>
    <col min="6657" max="6657" width="12" style="8" customWidth="1"/>
    <col min="6658" max="6658" width="81.25" style="8" customWidth="1"/>
    <col min="6659" max="6659" width="25.125" style="8" customWidth="1"/>
    <col min="6660" max="6660" width="19.75" style="8" customWidth="1"/>
    <col min="6661" max="6661" width="4" style="8" customWidth="1"/>
    <col min="6662" max="6672" width="15.25" style="8" customWidth="1"/>
    <col min="6673" max="6681" width="14.125" style="8" customWidth="1"/>
    <col min="6682" max="6912" width="2.875" style="8"/>
    <col min="6913" max="6913" width="12" style="8" customWidth="1"/>
    <col min="6914" max="6914" width="81.25" style="8" customWidth="1"/>
    <col min="6915" max="6915" width="25.125" style="8" customWidth="1"/>
    <col min="6916" max="6916" width="19.75" style="8" customWidth="1"/>
    <col min="6917" max="6917" width="4" style="8" customWidth="1"/>
    <col min="6918" max="6928" width="15.25" style="8" customWidth="1"/>
    <col min="6929" max="6937" width="14.125" style="8" customWidth="1"/>
    <col min="6938" max="7168" width="2.875" style="8"/>
    <col min="7169" max="7169" width="12" style="8" customWidth="1"/>
    <col min="7170" max="7170" width="81.25" style="8" customWidth="1"/>
    <col min="7171" max="7171" width="25.125" style="8" customWidth="1"/>
    <col min="7172" max="7172" width="19.75" style="8" customWidth="1"/>
    <col min="7173" max="7173" width="4" style="8" customWidth="1"/>
    <col min="7174" max="7184" width="15.25" style="8" customWidth="1"/>
    <col min="7185" max="7193" width="14.125" style="8" customWidth="1"/>
    <col min="7194" max="7424" width="2.875" style="8"/>
    <col min="7425" max="7425" width="12" style="8" customWidth="1"/>
    <col min="7426" max="7426" width="81.25" style="8" customWidth="1"/>
    <col min="7427" max="7427" width="25.125" style="8" customWidth="1"/>
    <col min="7428" max="7428" width="19.75" style="8" customWidth="1"/>
    <col min="7429" max="7429" width="4" style="8" customWidth="1"/>
    <col min="7430" max="7440" width="15.25" style="8" customWidth="1"/>
    <col min="7441" max="7449" width="14.125" style="8" customWidth="1"/>
    <col min="7450" max="7680" width="2.875" style="8"/>
    <col min="7681" max="7681" width="12" style="8" customWidth="1"/>
    <col min="7682" max="7682" width="81.25" style="8" customWidth="1"/>
    <col min="7683" max="7683" width="25.125" style="8" customWidth="1"/>
    <col min="7684" max="7684" width="19.75" style="8" customWidth="1"/>
    <col min="7685" max="7685" width="4" style="8" customWidth="1"/>
    <col min="7686" max="7696" width="15.25" style="8" customWidth="1"/>
    <col min="7697" max="7705" width="14.125" style="8" customWidth="1"/>
    <col min="7706" max="7936" width="2.875" style="8"/>
    <col min="7937" max="7937" width="12" style="8" customWidth="1"/>
    <col min="7938" max="7938" width="81.25" style="8" customWidth="1"/>
    <col min="7939" max="7939" width="25.125" style="8" customWidth="1"/>
    <col min="7940" max="7940" width="19.75" style="8" customWidth="1"/>
    <col min="7941" max="7941" width="4" style="8" customWidth="1"/>
    <col min="7942" max="7952" width="15.25" style="8" customWidth="1"/>
    <col min="7953" max="7961" width="14.125" style="8" customWidth="1"/>
    <col min="7962" max="8192" width="2.875" style="8"/>
    <col min="8193" max="8193" width="12" style="8" customWidth="1"/>
    <col min="8194" max="8194" width="81.25" style="8" customWidth="1"/>
    <col min="8195" max="8195" width="25.125" style="8" customWidth="1"/>
    <col min="8196" max="8196" width="19.75" style="8" customWidth="1"/>
    <col min="8197" max="8197" width="4" style="8" customWidth="1"/>
    <col min="8198" max="8208" width="15.25" style="8" customWidth="1"/>
    <col min="8209" max="8217" width="14.125" style="8" customWidth="1"/>
    <col min="8218" max="8448" width="2.875" style="8"/>
    <col min="8449" max="8449" width="12" style="8" customWidth="1"/>
    <col min="8450" max="8450" width="81.25" style="8" customWidth="1"/>
    <col min="8451" max="8451" width="25.125" style="8" customWidth="1"/>
    <col min="8452" max="8452" width="19.75" style="8" customWidth="1"/>
    <col min="8453" max="8453" width="4" style="8" customWidth="1"/>
    <col min="8454" max="8464" width="15.25" style="8" customWidth="1"/>
    <col min="8465" max="8473" width="14.125" style="8" customWidth="1"/>
    <col min="8474" max="8704" width="2.875" style="8"/>
    <col min="8705" max="8705" width="12" style="8" customWidth="1"/>
    <col min="8706" max="8706" width="81.25" style="8" customWidth="1"/>
    <col min="8707" max="8707" width="25.125" style="8" customWidth="1"/>
    <col min="8708" max="8708" width="19.75" style="8" customWidth="1"/>
    <col min="8709" max="8709" width="4" style="8" customWidth="1"/>
    <col min="8710" max="8720" width="15.25" style="8" customWidth="1"/>
    <col min="8721" max="8729" width="14.125" style="8" customWidth="1"/>
    <col min="8730" max="8960" width="2.875" style="8"/>
    <col min="8961" max="8961" width="12" style="8" customWidth="1"/>
    <col min="8962" max="8962" width="81.25" style="8" customWidth="1"/>
    <col min="8963" max="8963" width="25.125" style="8" customWidth="1"/>
    <col min="8964" max="8964" width="19.75" style="8" customWidth="1"/>
    <col min="8965" max="8965" width="4" style="8" customWidth="1"/>
    <col min="8966" max="8976" width="15.25" style="8" customWidth="1"/>
    <col min="8977" max="8985" width="14.125" style="8" customWidth="1"/>
    <col min="8986" max="9216" width="2.875" style="8"/>
    <col min="9217" max="9217" width="12" style="8" customWidth="1"/>
    <col min="9218" max="9218" width="81.25" style="8" customWidth="1"/>
    <col min="9219" max="9219" width="25.125" style="8" customWidth="1"/>
    <col min="9220" max="9220" width="19.75" style="8" customWidth="1"/>
    <col min="9221" max="9221" width="4" style="8" customWidth="1"/>
    <col min="9222" max="9232" width="15.25" style="8" customWidth="1"/>
    <col min="9233" max="9241" width="14.125" style="8" customWidth="1"/>
    <col min="9242" max="9472" width="2.875" style="8"/>
    <col min="9473" max="9473" width="12" style="8" customWidth="1"/>
    <col min="9474" max="9474" width="81.25" style="8" customWidth="1"/>
    <col min="9475" max="9475" width="25.125" style="8" customWidth="1"/>
    <col min="9476" max="9476" width="19.75" style="8" customWidth="1"/>
    <col min="9477" max="9477" width="4" style="8" customWidth="1"/>
    <col min="9478" max="9488" width="15.25" style="8" customWidth="1"/>
    <col min="9489" max="9497" width="14.125" style="8" customWidth="1"/>
    <col min="9498" max="9728" width="2.875" style="8"/>
    <col min="9729" max="9729" width="12" style="8" customWidth="1"/>
    <col min="9730" max="9730" width="81.25" style="8" customWidth="1"/>
    <col min="9731" max="9731" width="25.125" style="8" customWidth="1"/>
    <col min="9732" max="9732" width="19.75" style="8" customWidth="1"/>
    <col min="9733" max="9733" width="4" style="8" customWidth="1"/>
    <col min="9734" max="9744" width="15.25" style="8" customWidth="1"/>
    <col min="9745" max="9753" width="14.125" style="8" customWidth="1"/>
    <col min="9754" max="9984" width="2.875" style="8"/>
    <col min="9985" max="9985" width="12" style="8" customWidth="1"/>
    <col min="9986" max="9986" width="81.25" style="8" customWidth="1"/>
    <col min="9987" max="9987" width="25.125" style="8" customWidth="1"/>
    <col min="9988" max="9988" width="19.75" style="8" customWidth="1"/>
    <col min="9989" max="9989" width="4" style="8" customWidth="1"/>
    <col min="9990" max="10000" width="15.25" style="8" customWidth="1"/>
    <col min="10001" max="10009" width="14.125" style="8" customWidth="1"/>
    <col min="10010" max="10240" width="2.875" style="8"/>
    <col min="10241" max="10241" width="12" style="8" customWidth="1"/>
    <col min="10242" max="10242" width="81.25" style="8" customWidth="1"/>
    <col min="10243" max="10243" width="25.125" style="8" customWidth="1"/>
    <col min="10244" max="10244" width="19.75" style="8" customWidth="1"/>
    <col min="10245" max="10245" width="4" style="8" customWidth="1"/>
    <col min="10246" max="10256" width="15.25" style="8" customWidth="1"/>
    <col min="10257" max="10265" width="14.125" style="8" customWidth="1"/>
    <col min="10266" max="10496" width="2.875" style="8"/>
    <col min="10497" max="10497" width="12" style="8" customWidth="1"/>
    <col min="10498" max="10498" width="81.25" style="8" customWidth="1"/>
    <col min="10499" max="10499" width="25.125" style="8" customWidth="1"/>
    <col min="10500" max="10500" width="19.75" style="8" customWidth="1"/>
    <col min="10501" max="10501" width="4" style="8" customWidth="1"/>
    <col min="10502" max="10512" width="15.25" style="8" customWidth="1"/>
    <col min="10513" max="10521" width="14.125" style="8" customWidth="1"/>
    <col min="10522" max="10752" width="2.875" style="8"/>
    <col min="10753" max="10753" width="12" style="8" customWidth="1"/>
    <col min="10754" max="10754" width="81.25" style="8" customWidth="1"/>
    <col min="10755" max="10755" width="25.125" style="8" customWidth="1"/>
    <col min="10756" max="10756" width="19.75" style="8" customWidth="1"/>
    <col min="10757" max="10757" width="4" style="8" customWidth="1"/>
    <col min="10758" max="10768" width="15.25" style="8" customWidth="1"/>
    <col min="10769" max="10777" width="14.125" style="8" customWidth="1"/>
    <col min="10778" max="11008" width="2.875" style="8"/>
    <col min="11009" max="11009" width="12" style="8" customWidth="1"/>
    <col min="11010" max="11010" width="81.25" style="8" customWidth="1"/>
    <col min="11011" max="11011" width="25.125" style="8" customWidth="1"/>
    <col min="11012" max="11012" width="19.75" style="8" customWidth="1"/>
    <col min="11013" max="11013" width="4" style="8" customWidth="1"/>
    <col min="11014" max="11024" width="15.25" style="8" customWidth="1"/>
    <col min="11025" max="11033" width="14.125" style="8" customWidth="1"/>
    <col min="11034" max="11264" width="2.875" style="8"/>
    <col min="11265" max="11265" width="12" style="8" customWidth="1"/>
    <col min="11266" max="11266" width="81.25" style="8" customWidth="1"/>
    <col min="11267" max="11267" width="25.125" style="8" customWidth="1"/>
    <col min="11268" max="11268" width="19.75" style="8" customWidth="1"/>
    <col min="11269" max="11269" width="4" style="8" customWidth="1"/>
    <col min="11270" max="11280" width="15.25" style="8" customWidth="1"/>
    <col min="11281" max="11289" width="14.125" style="8" customWidth="1"/>
    <col min="11290" max="11520" width="2.875" style="8"/>
    <col min="11521" max="11521" width="12" style="8" customWidth="1"/>
    <col min="11522" max="11522" width="81.25" style="8" customWidth="1"/>
    <col min="11523" max="11523" width="25.125" style="8" customWidth="1"/>
    <col min="11524" max="11524" width="19.75" style="8" customWidth="1"/>
    <col min="11525" max="11525" width="4" style="8" customWidth="1"/>
    <col min="11526" max="11536" width="15.25" style="8" customWidth="1"/>
    <col min="11537" max="11545" width="14.125" style="8" customWidth="1"/>
    <col min="11546" max="11776" width="2.875" style="8"/>
    <col min="11777" max="11777" width="12" style="8" customWidth="1"/>
    <col min="11778" max="11778" width="81.25" style="8" customWidth="1"/>
    <col min="11779" max="11779" width="25.125" style="8" customWidth="1"/>
    <col min="11780" max="11780" width="19.75" style="8" customWidth="1"/>
    <col min="11781" max="11781" width="4" style="8" customWidth="1"/>
    <col min="11782" max="11792" width="15.25" style="8" customWidth="1"/>
    <col min="11793" max="11801" width="14.125" style="8" customWidth="1"/>
    <col min="11802" max="12032" width="2.875" style="8"/>
    <col min="12033" max="12033" width="12" style="8" customWidth="1"/>
    <col min="12034" max="12034" width="81.25" style="8" customWidth="1"/>
    <col min="12035" max="12035" width="25.125" style="8" customWidth="1"/>
    <col min="12036" max="12036" width="19.75" style="8" customWidth="1"/>
    <col min="12037" max="12037" width="4" style="8" customWidth="1"/>
    <col min="12038" max="12048" width="15.25" style="8" customWidth="1"/>
    <col min="12049" max="12057" width="14.125" style="8" customWidth="1"/>
    <col min="12058" max="12288" width="2.875" style="8"/>
    <col min="12289" max="12289" width="12" style="8" customWidth="1"/>
    <col min="12290" max="12290" width="81.25" style="8" customWidth="1"/>
    <col min="12291" max="12291" width="25.125" style="8" customWidth="1"/>
    <col min="12292" max="12292" width="19.75" style="8" customWidth="1"/>
    <col min="12293" max="12293" width="4" style="8" customWidth="1"/>
    <col min="12294" max="12304" width="15.25" style="8" customWidth="1"/>
    <col min="12305" max="12313" width="14.125" style="8" customWidth="1"/>
    <col min="12314" max="12544" width="2.875" style="8"/>
    <col min="12545" max="12545" width="12" style="8" customWidth="1"/>
    <col min="12546" max="12546" width="81.25" style="8" customWidth="1"/>
    <col min="12547" max="12547" width="25.125" style="8" customWidth="1"/>
    <col min="12548" max="12548" width="19.75" style="8" customWidth="1"/>
    <col min="12549" max="12549" width="4" style="8" customWidth="1"/>
    <col min="12550" max="12560" width="15.25" style="8" customWidth="1"/>
    <col min="12561" max="12569" width="14.125" style="8" customWidth="1"/>
    <col min="12570" max="12800" width="2.875" style="8"/>
    <col min="12801" max="12801" width="12" style="8" customWidth="1"/>
    <col min="12802" max="12802" width="81.25" style="8" customWidth="1"/>
    <col min="12803" max="12803" width="25.125" style="8" customWidth="1"/>
    <col min="12804" max="12804" width="19.75" style="8" customWidth="1"/>
    <col min="12805" max="12805" width="4" style="8" customWidth="1"/>
    <col min="12806" max="12816" width="15.25" style="8" customWidth="1"/>
    <col min="12817" max="12825" width="14.125" style="8" customWidth="1"/>
    <col min="12826" max="13056" width="2.875" style="8"/>
    <col min="13057" max="13057" width="12" style="8" customWidth="1"/>
    <col min="13058" max="13058" width="81.25" style="8" customWidth="1"/>
    <col min="13059" max="13059" width="25.125" style="8" customWidth="1"/>
    <col min="13060" max="13060" width="19.75" style="8" customWidth="1"/>
    <col min="13061" max="13061" width="4" style="8" customWidth="1"/>
    <col min="13062" max="13072" width="15.25" style="8" customWidth="1"/>
    <col min="13073" max="13081" width="14.125" style="8" customWidth="1"/>
    <col min="13082" max="13312" width="2.875" style="8"/>
    <col min="13313" max="13313" width="12" style="8" customWidth="1"/>
    <col min="13314" max="13314" width="81.25" style="8" customWidth="1"/>
    <col min="13315" max="13315" width="25.125" style="8" customWidth="1"/>
    <col min="13316" max="13316" width="19.75" style="8" customWidth="1"/>
    <col min="13317" max="13317" width="4" style="8" customWidth="1"/>
    <col min="13318" max="13328" width="15.25" style="8" customWidth="1"/>
    <col min="13329" max="13337" width="14.125" style="8" customWidth="1"/>
    <col min="13338" max="13568" width="2.875" style="8"/>
    <col min="13569" max="13569" width="12" style="8" customWidth="1"/>
    <col min="13570" max="13570" width="81.25" style="8" customWidth="1"/>
    <col min="13571" max="13571" width="25.125" style="8" customWidth="1"/>
    <col min="13572" max="13572" width="19.75" style="8" customWidth="1"/>
    <col min="13573" max="13573" width="4" style="8" customWidth="1"/>
    <col min="13574" max="13584" width="15.25" style="8" customWidth="1"/>
    <col min="13585" max="13593" width="14.125" style="8" customWidth="1"/>
    <col min="13594" max="13824" width="2.875" style="8"/>
    <col min="13825" max="13825" width="12" style="8" customWidth="1"/>
    <col min="13826" max="13826" width="81.25" style="8" customWidth="1"/>
    <col min="13827" max="13827" width="25.125" style="8" customWidth="1"/>
    <col min="13828" max="13828" width="19.75" style="8" customWidth="1"/>
    <col min="13829" max="13829" width="4" style="8" customWidth="1"/>
    <col min="13830" max="13840" width="15.25" style="8" customWidth="1"/>
    <col min="13841" max="13849" width="14.125" style="8" customWidth="1"/>
    <col min="13850" max="14080" width="2.875" style="8"/>
    <col min="14081" max="14081" width="12" style="8" customWidth="1"/>
    <col min="14082" max="14082" width="81.25" style="8" customWidth="1"/>
    <col min="14083" max="14083" width="25.125" style="8" customWidth="1"/>
    <col min="14084" max="14084" width="19.75" style="8" customWidth="1"/>
    <col min="14085" max="14085" width="4" style="8" customWidth="1"/>
    <col min="14086" max="14096" width="15.25" style="8" customWidth="1"/>
    <col min="14097" max="14105" width="14.125" style="8" customWidth="1"/>
    <col min="14106" max="14336" width="2.875" style="8"/>
    <col min="14337" max="14337" width="12" style="8" customWidth="1"/>
    <col min="14338" max="14338" width="81.25" style="8" customWidth="1"/>
    <col min="14339" max="14339" width="25.125" style="8" customWidth="1"/>
    <col min="14340" max="14340" width="19.75" style="8" customWidth="1"/>
    <col min="14341" max="14341" width="4" style="8" customWidth="1"/>
    <col min="14342" max="14352" width="15.25" style="8" customWidth="1"/>
    <col min="14353" max="14361" width="14.125" style="8" customWidth="1"/>
    <col min="14362" max="14592" width="2.875" style="8"/>
    <col min="14593" max="14593" width="12" style="8" customWidth="1"/>
    <col min="14594" max="14594" width="81.25" style="8" customWidth="1"/>
    <col min="14595" max="14595" width="25.125" style="8" customWidth="1"/>
    <col min="14596" max="14596" width="19.75" style="8" customWidth="1"/>
    <col min="14597" max="14597" width="4" style="8" customWidth="1"/>
    <col min="14598" max="14608" width="15.25" style="8" customWidth="1"/>
    <col min="14609" max="14617" width="14.125" style="8" customWidth="1"/>
    <col min="14618" max="14848" width="2.875" style="8"/>
    <col min="14849" max="14849" width="12" style="8" customWidth="1"/>
    <col min="14850" max="14850" width="81.25" style="8" customWidth="1"/>
    <col min="14851" max="14851" width="25.125" style="8" customWidth="1"/>
    <col min="14852" max="14852" width="19.75" style="8" customWidth="1"/>
    <col min="14853" max="14853" width="4" style="8" customWidth="1"/>
    <col min="14854" max="14864" width="15.25" style="8" customWidth="1"/>
    <col min="14865" max="14873" width="14.125" style="8" customWidth="1"/>
    <col min="14874" max="15104" width="2.875" style="8"/>
    <col min="15105" max="15105" width="12" style="8" customWidth="1"/>
    <col min="15106" max="15106" width="81.25" style="8" customWidth="1"/>
    <col min="15107" max="15107" width="25.125" style="8" customWidth="1"/>
    <col min="15108" max="15108" width="19.75" style="8" customWidth="1"/>
    <col min="15109" max="15109" width="4" style="8" customWidth="1"/>
    <col min="15110" max="15120" width="15.25" style="8" customWidth="1"/>
    <col min="15121" max="15129" width="14.125" style="8" customWidth="1"/>
    <col min="15130" max="15360" width="2.875" style="8"/>
    <col min="15361" max="15361" width="12" style="8" customWidth="1"/>
    <col min="15362" max="15362" width="81.25" style="8" customWidth="1"/>
    <col min="15363" max="15363" width="25.125" style="8" customWidth="1"/>
    <col min="15364" max="15364" width="19.75" style="8" customWidth="1"/>
    <col min="15365" max="15365" width="4" style="8" customWidth="1"/>
    <col min="15366" max="15376" width="15.25" style="8" customWidth="1"/>
    <col min="15377" max="15385" width="14.125" style="8" customWidth="1"/>
    <col min="15386" max="15616" width="2.875" style="8"/>
    <col min="15617" max="15617" width="12" style="8" customWidth="1"/>
    <col min="15618" max="15618" width="81.25" style="8" customWidth="1"/>
    <col min="15619" max="15619" width="25.125" style="8" customWidth="1"/>
    <col min="15620" max="15620" width="19.75" style="8" customWidth="1"/>
    <col min="15621" max="15621" width="4" style="8" customWidth="1"/>
    <col min="15622" max="15632" width="15.25" style="8" customWidth="1"/>
    <col min="15633" max="15641" width="14.125" style="8" customWidth="1"/>
    <col min="15642" max="15872" width="2.875" style="8"/>
    <col min="15873" max="15873" width="12" style="8" customWidth="1"/>
    <col min="15874" max="15874" width="81.25" style="8" customWidth="1"/>
    <col min="15875" max="15875" width="25.125" style="8" customWidth="1"/>
    <col min="15876" max="15876" width="19.75" style="8" customWidth="1"/>
    <col min="15877" max="15877" width="4" style="8" customWidth="1"/>
    <col min="15878" max="15888" width="15.25" style="8" customWidth="1"/>
    <col min="15889" max="15897" width="14.125" style="8" customWidth="1"/>
    <col min="15898" max="16128" width="2.875" style="8"/>
    <col min="16129" max="16129" width="12" style="8" customWidth="1"/>
    <col min="16130" max="16130" width="81.25" style="8" customWidth="1"/>
    <col min="16131" max="16131" width="25.125" style="8" customWidth="1"/>
    <col min="16132" max="16132" width="19.75" style="8" customWidth="1"/>
    <col min="16133" max="16133" width="4" style="8" customWidth="1"/>
    <col min="16134" max="16144" width="15.25" style="8" customWidth="1"/>
    <col min="16145" max="16153" width="14.125" style="8" customWidth="1"/>
    <col min="16154" max="16384" width="2.875" style="8"/>
  </cols>
  <sheetData>
    <row r="1" spans="1:27" ht="50.4" customHeight="1">
      <c r="A1" s="84" t="s">
        <v>51</v>
      </c>
      <c r="B1" s="84"/>
      <c r="C1" s="84"/>
      <c r="D1" s="84"/>
      <c r="E1" s="84"/>
      <c r="F1" s="84"/>
      <c r="G1" s="84"/>
      <c r="H1" s="84"/>
      <c r="I1" s="84"/>
      <c r="J1" s="84"/>
      <c r="K1" s="84"/>
      <c r="L1" s="84"/>
      <c r="M1" s="84"/>
      <c r="N1" s="84"/>
      <c r="O1" s="84"/>
      <c r="P1" s="84"/>
      <c r="Q1" s="7" t="str">
        <f>F3-$F3+1&amp;"天-"&amp;F3&amp;"天"</f>
        <v>1天-12天</v>
      </c>
      <c r="R1" s="7" t="str">
        <f t="shared" ref="R1:Z1" si="0">G3-$F3+1&amp;"天-"&amp;G3&amp;"天"</f>
        <v>13天-24天</v>
      </c>
      <c r="S1" s="7" t="str">
        <f t="shared" si="0"/>
        <v>25天-36天</v>
      </c>
      <c r="T1" s="7" t="str">
        <f t="shared" si="0"/>
        <v>37天-48天</v>
      </c>
      <c r="U1" s="7" t="str">
        <f t="shared" si="0"/>
        <v>49天-60天</v>
      </c>
      <c r="V1" s="7" t="str">
        <f t="shared" si="0"/>
        <v>61天-72天</v>
      </c>
      <c r="W1" s="7" t="str">
        <f t="shared" si="0"/>
        <v>73天-84天</v>
      </c>
      <c r="X1" s="7" t="str">
        <f t="shared" si="0"/>
        <v>85天-96天</v>
      </c>
      <c r="Y1" s="7" t="str">
        <f t="shared" si="0"/>
        <v>97天-108天</v>
      </c>
      <c r="Z1" s="7" t="str">
        <f t="shared" si="0"/>
        <v>109天-120天</v>
      </c>
    </row>
    <row r="2" spans="1:27" s="10" customFormat="1" ht="24.6" customHeight="1">
      <c r="A2" s="85" t="s">
        <v>68</v>
      </c>
      <c r="B2" s="85"/>
      <c r="C2" s="85"/>
      <c r="D2" s="85"/>
      <c r="E2" s="85"/>
      <c r="F2" s="85"/>
      <c r="G2" s="85"/>
      <c r="H2" s="85"/>
      <c r="I2" s="85"/>
      <c r="J2" s="85"/>
      <c r="K2" s="85"/>
      <c r="L2" s="85"/>
      <c r="M2" s="85"/>
      <c r="N2" s="85"/>
      <c r="O2" s="85"/>
      <c r="P2" s="26"/>
      <c r="Q2" s="9">
        <f t="shared" ref="Q2:Y2" si="1">F3-$F3+1</f>
        <v>1</v>
      </c>
      <c r="R2" s="9">
        <f t="shared" si="1"/>
        <v>13</v>
      </c>
      <c r="S2" s="9">
        <f t="shared" si="1"/>
        <v>25</v>
      </c>
      <c r="T2" s="9">
        <f t="shared" si="1"/>
        <v>37</v>
      </c>
      <c r="U2" s="9">
        <f t="shared" si="1"/>
        <v>49</v>
      </c>
      <c r="V2" s="9">
        <f t="shared" si="1"/>
        <v>61</v>
      </c>
      <c r="W2" s="9">
        <f t="shared" si="1"/>
        <v>73</v>
      </c>
      <c r="X2" s="9">
        <f t="shared" si="1"/>
        <v>85</v>
      </c>
      <c r="Y2" s="9">
        <f t="shared" si="1"/>
        <v>97</v>
      </c>
      <c r="Z2" s="9">
        <f>O3-$F3+1</f>
        <v>109</v>
      </c>
    </row>
    <row r="3" spans="1:27" ht="36" customHeight="1">
      <c r="A3" s="86" t="s">
        <v>52</v>
      </c>
      <c r="B3" s="86"/>
      <c r="C3" s="86" t="s">
        <v>53</v>
      </c>
      <c r="D3" s="88" t="s">
        <v>54</v>
      </c>
      <c r="E3" s="27" t="s">
        <v>55</v>
      </c>
      <c r="F3" s="89">
        <v>12</v>
      </c>
      <c r="G3" s="89">
        <f>F3+12</f>
        <v>24</v>
      </c>
      <c r="H3" s="89">
        <f t="shared" ref="H3:O3" si="2">G3+12</f>
        <v>36</v>
      </c>
      <c r="I3" s="89">
        <f t="shared" si="2"/>
        <v>48</v>
      </c>
      <c r="J3" s="89">
        <f t="shared" si="2"/>
        <v>60</v>
      </c>
      <c r="K3" s="89">
        <f t="shared" si="2"/>
        <v>72</v>
      </c>
      <c r="L3" s="89">
        <f t="shared" si="2"/>
        <v>84</v>
      </c>
      <c r="M3" s="89">
        <f t="shared" si="2"/>
        <v>96</v>
      </c>
      <c r="N3" s="89">
        <f t="shared" si="2"/>
        <v>108</v>
      </c>
      <c r="O3" s="89">
        <f t="shared" si="2"/>
        <v>120</v>
      </c>
      <c r="P3" s="57"/>
      <c r="Q3" s="11">
        <f>F21/$F3</f>
        <v>3.9800844869706852E-3</v>
      </c>
      <c r="R3" s="11">
        <f t="shared" ref="R3:Z3" si="3">G21/$F3</f>
        <v>4.5638928474484265E-3</v>
      </c>
      <c r="S3" s="11">
        <f t="shared" si="3"/>
        <v>5.5316673452768736E-3</v>
      </c>
      <c r="T3" s="11">
        <f t="shared" si="3"/>
        <v>7.5267270629750258E-3</v>
      </c>
      <c r="U3" s="11">
        <f t="shared" si="3"/>
        <v>8.5842223127035825E-3</v>
      </c>
      <c r="V3" s="11">
        <f t="shared" si="3"/>
        <v>8.5842223127035825E-3</v>
      </c>
      <c r="W3" s="11">
        <f t="shared" si="3"/>
        <v>1.1852909541259503E-2</v>
      </c>
      <c r="X3" s="11">
        <f t="shared" si="3"/>
        <v>1.1852909541259503E-2</v>
      </c>
      <c r="Y3" s="11">
        <f t="shared" si="3"/>
        <v>1.0815648751357222E-2</v>
      </c>
      <c r="Z3" s="11">
        <f t="shared" si="3"/>
        <v>1.0041049131378935E-2</v>
      </c>
      <c r="AA3" s="11"/>
    </row>
    <row r="4" spans="1:27" ht="37.200000000000003" customHeight="1">
      <c r="A4" s="87"/>
      <c r="B4" s="87"/>
      <c r="C4" s="86"/>
      <c r="D4" s="88"/>
      <c r="E4" s="27" t="s">
        <v>56</v>
      </c>
      <c r="F4" s="90"/>
      <c r="G4" s="90"/>
      <c r="H4" s="90"/>
      <c r="I4" s="90"/>
      <c r="J4" s="90"/>
      <c r="K4" s="90"/>
      <c r="L4" s="90"/>
      <c r="M4" s="90"/>
      <c r="N4" s="90"/>
      <c r="O4" s="90"/>
      <c r="P4" s="57"/>
      <c r="Q4" s="12"/>
      <c r="R4" s="13"/>
      <c r="S4" s="13"/>
    </row>
    <row r="5" spans="1:27" ht="34.950000000000003" customHeight="1">
      <c r="A5" s="58" t="s">
        <v>65</v>
      </c>
      <c r="B5" s="59" t="s">
        <v>69</v>
      </c>
      <c r="C5" s="39"/>
      <c r="D5" s="40"/>
      <c r="E5" s="60"/>
      <c r="F5" s="61"/>
      <c r="G5" s="61"/>
      <c r="H5" s="61"/>
      <c r="I5" s="61"/>
      <c r="J5" s="61"/>
      <c r="K5" s="61"/>
      <c r="L5" s="61"/>
      <c r="M5" s="61"/>
      <c r="N5" s="61"/>
      <c r="O5" s="61"/>
      <c r="P5" s="57"/>
      <c r="Q5" s="12"/>
      <c r="R5" s="13"/>
      <c r="S5" s="13"/>
    </row>
    <row r="6" spans="1:27" ht="34.950000000000003" customHeight="1">
      <c r="A6" s="58">
        <v>1</v>
      </c>
      <c r="B6" s="59" t="s">
        <v>70</v>
      </c>
      <c r="C6" s="39">
        <v>342603</v>
      </c>
      <c r="D6" s="40">
        <f t="shared" ref="D6:D14" si="4">C6/$C$20</f>
        <v>0.13949633550488599</v>
      </c>
      <c r="E6" s="60"/>
      <c r="F6" s="61">
        <f>$D6/4</f>
        <v>3.4874083876221498E-2</v>
      </c>
      <c r="G6" s="61">
        <f t="shared" ref="G6:K8" si="5">$D6/4</f>
        <v>3.4874083876221498E-2</v>
      </c>
      <c r="H6" s="61">
        <f t="shared" si="5"/>
        <v>3.4874083876221498E-2</v>
      </c>
      <c r="I6" s="61">
        <f t="shared" si="5"/>
        <v>3.4874083876221498E-2</v>
      </c>
      <c r="J6" s="61"/>
      <c r="K6" s="61"/>
      <c r="L6" s="61"/>
      <c r="M6" s="61"/>
      <c r="N6" s="61"/>
      <c r="O6" s="61"/>
      <c r="P6" s="57"/>
      <c r="Q6" s="12"/>
      <c r="R6" s="13"/>
      <c r="S6" s="13"/>
    </row>
    <row r="7" spans="1:27" ht="34.950000000000003" customHeight="1">
      <c r="A7" s="58">
        <v>2</v>
      </c>
      <c r="B7" s="62" t="s">
        <v>71</v>
      </c>
      <c r="C7" s="63">
        <v>51618</v>
      </c>
      <c r="D7" s="40">
        <f t="shared" si="4"/>
        <v>2.1017100977198697E-2</v>
      </c>
      <c r="E7" s="60"/>
      <c r="F7" s="61"/>
      <c r="G7" s="61">
        <f>$D7/3</f>
        <v>7.0057003257328991E-3</v>
      </c>
      <c r="H7" s="61">
        <f>$D7/3</f>
        <v>7.0057003257328991E-3</v>
      </c>
      <c r="I7" s="61">
        <f>$D7/3</f>
        <v>7.0057003257328991E-3</v>
      </c>
      <c r="J7" s="61"/>
      <c r="K7" s="61"/>
      <c r="L7" s="61"/>
      <c r="M7" s="61"/>
      <c r="N7" s="61"/>
      <c r="O7" s="61"/>
      <c r="P7" s="57"/>
      <c r="Q7" s="12"/>
      <c r="R7" s="13"/>
      <c r="S7" s="13"/>
    </row>
    <row r="8" spans="1:27" ht="34.950000000000003" customHeight="1">
      <c r="A8" s="58">
        <v>3</v>
      </c>
      <c r="B8" s="62" t="s">
        <v>72</v>
      </c>
      <c r="C8" s="64">
        <v>114089</v>
      </c>
      <c r="D8" s="40">
        <f t="shared" si="4"/>
        <v>4.6453175895765475E-2</v>
      </c>
      <c r="E8" s="60"/>
      <c r="F8" s="61"/>
      <c r="G8" s="61"/>
      <c r="H8" s="61">
        <f t="shared" si="5"/>
        <v>1.1613293973941369E-2</v>
      </c>
      <c r="I8" s="61">
        <f t="shared" si="5"/>
        <v>1.1613293973941369E-2</v>
      </c>
      <c r="J8" s="61">
        <f t="shared" si="5"/>
        <v>1.1613293973941369E-2</v>
      </c>
      <c r="K8" s="61">
        <f t="shared" si="5"/>
        <v>1.1613293973941369E-2</v>
      </c>
      <c r="L8" s="61"/>
      <c r="M8" s="61"/>
      <c r="N8" s="61"/>
      <c r="O8" s="61"/>
      <c r="P8" s="57"/>
      <c r="Q8" s="12"/>
      <c r="R8" s="13"/>
      <c r="S8" s="13"/>
    </row>
    <row r="9" spans="1:27" ht="34.950000000000003" customHeight="1">
      <c r="A9" s="58">
        <v>4</v>
      </c>
      <c r="B9" s="62" t="s">
        <v>73</v>
      </c>
      <c r="C9" s="64">
        <v>293992</v>
      </c>
      <c r="D9" s="40">
        <f t="shared" si="4"/>
        <v>0.11970358306188925</v>
      </c>
      <c r="E9" s="60"/>
      <c r="F9" s="61"/>
      <c r="G9" s="61"/>
      <c r="H9" s="61"/>
      <c r="I9" s="61">
        <f t="shared" ref="I9:N10" si="6">$D9/5</f>
        <v>2.3940716612377851E-2</v>
      </c>
      <c r="J9" s="61">
        <f t="shared" si="6"/>
        <v>2.3940716612377851E-2</v>
      </c>
      <c r="K9" s="61">
        <f t="shared" si="6"/>
        <v>2.3940716612377851E-2</v>
      </c>
      <c r="L9" s="61">
        <f t="shared" si="6"/>
        <v>2.3940716612377851E-2</v>
      </c>
      <c r="M9" s="61">
        <f t="shared" si="6"/>
        <v>2.3940716612377851E-2</v>
      </c>
      <c r="N9" s="61"/>
      <c r="O9" s="61"/>
      <c r="P9" s="57">
        <f t="shared" ref="P9:P18" si="7">P10+0.1</f>
        <v>0.99999999999999989</v>
      </c>
      <c r="Q9" s="12"/>
      <c r="R9" s="13"/>
      <c r="S9" s="13"/>
    </row>
    <row r="10" spans="1:27" ht="34.950000000000003" customHeight="1">
      <c r="A10" s="58">
        <v>5</v>
      </c>
      <c r="B10" s="62" t="s">
        <v>74</v>
      </c>
      <c r="C10" s="65">
        <v>114145</v>
      </c>
      <c r="D10" s="40">
        <f t="shared" si="4"/>
        <v>4.6475977198697067E-2</v>
      </c>
      <c r="E10" s="60"/>
      <c r="F10" s="61"/>
      <c r="G10" s="61"/>
      <c r="H10" s="61"/>
      <c r="I10" s="61"/>
      <c r="J10" s="61">
        <f>$D10/5</f>
        <v>9.2951954397394142E-3</v>
      </c>
      <c r="K10" s="61">
        <f t="shared" si="6"/>
        <v>9.2951954397394142E-3</v>
      </c>
      <c r="L10" s="61">
        <f t="shared" si="6"/>
        <v>9.2951954397394142E-3</v>
      </c>
      <c r="M10" s="61">
        <f t="shared" si="6"/>
        <v>9.2951954397394142E-3</v>
      </c>
      <c r="N10" s="61">
        <f t="shared" si="6"/>
        <v>9.2951954397394142E-3</v>
      </c>
      <c r="O10" s="61"/>
      <c r="P10" s="57">
        <f t="shared" si="7"/>
        <v>0.89999999999999991</v>
      </c>
      <c r="R10" s="13"/>
      <c r="S10" s="13"/>
    </row>
    <row r="11" spans="1:27" ht="34.950000000000003" customHeight="1">
      <c r="A11" s="58">
        <v>6</v>
      </c>
      <c r="B11" s="62" t="s">
        <v>75</v>
      </c>
      <c r="C11" s="65">
        <v>444777</v>
      </c>
      <c r="D11" s="40">
        <f t="shared" si="4"/>
        <v>0.18109812703583061</v>
      </c>
      <c r="E11" s="66"/>
      <c r="F11" s="61"/>
      <c r="G11" s="61"/>
      <c r="H11" s="61"/>
      <c r="I11" s="61"/>
      <c r="J11" s="61">
        <f>$D11/4</f>
        <v>4.5274531758957653E-2</v>
      </c>
      <c r="K11" s="61">
        <f>$D11/4</f>
        <v>4.5274531758957653E-2</v>
      </c>
      <c r="L11" s="61">
        <f>$D11/4</f>
        <v>4.5274531758957653E-2</v>
      </c>
      <c r="M11" s="61">
        <f>$D11/4</f>
        <v>4.5274531758957653E-2</v>
      </c>
      <c r="N11" s="61"/>
      <c r="O11" s="61"/>
      <c r="P11" s="57">
        <f t="shared" si="7"/>
        <v>0.79999999999999993</v>
      </c>
      <c r="R11" s="13"/>
      <c r="S11" s="13"/>
    </row>
    <row r="12" spans="1:27" ht="34.950000000000003" customHeight="1">
      <c r="A12" s="58">
        <v>7</v>
      </c>
      <c r="B12" s="62" t="s">
        <v>76</v>
      </c>
      <c r="C12" s="65">
        <v>58090</v>
      </c>
      <c r="D12" s="40">
        <f t="shared" si="4"/>
        <v>2.3652280130293159E-2</v>
      </c>
      <c r="E12" s="66"/>
      <c r="F12" s="61"/>
      <c r="G12" s="61"/>
      <c r="H12" s="61"/>
      <c r="I12" s="61"/>
      <c r="J12" s="61"/>
      <c r="K12" s="61"/>
      <c r="L12" s="61">
        <f>$D12/2</f>
        <v>1.182614006514658E-2</v>
      </c>
      <c r="M12" s="61">
        <f>$D12/2</f>
        <v>1.182614006514658E-2</v>
      </c>
      <c r="N12" s="61"/>
      <c r="O12" s="61"/>
      <c r="P12" s="57">
        <f t="shared" si="7"/>
        <v>0.7</v>
      </c>
      <c r="R12" s="13"/>
      <c r="S12" s="13"/>
    </row>
    <row r="13" spans="1:27" ht="34.950000000000003" customHeight="1">
      <c r="A13" s="58">
        <v>8</v>
      </c>
      <c r="B13" s="62" t="s">
        <v>77</v>
      </c>
      <c r="C13" s="39">
        <v>336935</v>
      </c>
      <c r="D13" s="40">
        <f t="shared" si="4"/>
        <v>0.13718851791530945</v>
      </c>
      <c r="E13" s="60"/>
      <c r="F13" s="61"/>
      <c r="G13" s="61"/>
      <c r="H13" s="61"/>
      <c r="I13" s="61"/>
      <c r="J13" s="61"/>
      <c r="K13" s="61"/>
      <c r="L13" s="61"/>
      <c r="M13" s="61"/>
      <c r="N13" s="61">
        <f>$D$13/2</f>
        <v>6.8594258957654725E-2</v>
      </c>
      <c r="O13" s="61">
        <f>$D$13/2</f>
        <v>6.8594258957654725E-2</v>
      </c>
      <c r="P13" s="57">
        <f t="shared" si="7"/>
        <v>0.6</v>
      </c>
      <c r="R13" s="13"/>
      <c r="S13" s="13"/>
    </row>
    <row r="14" spans="1:27" ht="34.950000000000003" customHeight="1">
      <c r="A14" s="58">
        <v>9</v>
      </c>
      <c r="B14" s="62" t="s">
        <v>78</v>
      </c>
      <c r="C14" s="39">
        <v>383248</v>
      </c>
      <c r="D14" s="40">
        <f t="shared" si="4"/>
        <v>0.1560456026058632</v>
      </c>
      <c r="E14" s="60"/>
      <c r="F14" s="61"/>
      <c r="G14" s="61"/>
      <c r="H14" s="61"/>
      <c r="I14" s="61"/>
      <c r="J14" s="61"/>
      <c r="K14" s="61"/>
      <c r="L14" s="61">
        <f>$D$14/4</f>
        <v>3.90114006514658E-2</v>
      </c>
      <c r="M14" s="61">
        <f>$D$14/4</f>
        <v>3.90114006514658E-2</v>
      </c>
      <c r="N14" s="61">
        <f>$D$14/4</f>
        <v>3.90114006514658E-2</v>
      </c>
      <c r="O14" s="61">
        <f>$D$14/4</f>
        <v>3.90114006514658E-2</v>
      </c>
      <c r="P14" s="57">
        <f t="shared" si="7"/>
        <v>0.5</v>
      </c>
      <c r="R14" s="13"/>
      <c r="S14" s="13"/>
    </row>
    <row r="15" spans="1:27" ht="34.950000000000003" customHeight="1">
      <c r="A15" s="58" t="s">
        <v>79</v>
      </c>
      <c r="B15" s="67" t="s">
        <v>80</v>
      </c>
      <c r="C15" s="41">
        <v>21395</v>
      </c>
      <c r="D15" s="40">
        <f>C15/$C$20</f>
        <v>8.7113192182410419E-3</v>
      </c>
      <c r="E15" s="60"/>
      <c r="F15" s="61">
        <f t="shared" ref="F15:O19" si="8">$D15/10</f>
        <v>8.7113192182410417E-4</v>
      </c>
      <c r="G15" s="61">
        <f t="shared" si="8"/>
        <v>8.7113192182410417E-4</v>
      </c>
      <c r="H15" s="61">
        <f t="shared" si="8"/>
        <v>8.7113192182410417E-4</v>
      </c>
      <c r="I15" s="61">
        <f t="shared" si="8"/>
        <v>8.7113192182410417E-4</v>
      </c>
      <c r="J15" s="61">
        <f t="shared" si="8"/>
        <v>8.7113192182410417E-4</v>
      </c>
      <c r="K15" s="61">
        <f t="shared" si="8"/>
        <v>8.7113192182410417E-4</v>
      </c>
      <c r="L15" s="61">
        <f t="shared" si="8"/>
        <v>8.7113192182410417E-4</v>
      </c>
      <c r="M15" s="61">
        <f t="shared" si="8"/>
        <v>8.7113192182410417E-4</v>
      </c>
      <c r="N15" s="61">
        <f t="shared" si="8"/>
        <v>8.7113192182410417E-4</v>
      </c>
      <c r="O15" s="61">
        <f t="shared" si="8"/>
        <v>8.7113192182410417E-4</v>
      </c>
      <c r="P15" s="57">
        <f t="shared" si="7"/>
        <v>0.4</v>
      </c>
      <c r="Q15" s="12"/>
      <c r="R15" s="13"/>
      <c r="S15" s="13"/>
    </row>
    <row r="16" spans="1:27" ht="34.950000000000003" customHeight="1">
      <c r="A16" s="58" t="s">
        <v>81</v>
      </c>
      <c r="B16" s="68" t="s">
        <v>82</v>
      </c>
      <c r="C16" s="42">
        <v>21395</v>
      </c>
      <c r="D16" s="40">
        <f>C16/$C$20</f>
        <v>8.7113192182410419E-3</v>
      </c>
      <c r="E16" s="60"/>
      <c r="F16" s="61">
        <f t="shared" si="8"/>
        <v>8.7113192182410417E-4</v>
      </c>
      <c r="G16" s="61">
        <f t="shared" si="8"/>
        <v>8.7113192182410417E-4</v>
      </c>
      <c r="H16" s="61">
        <f t="shared" si="8"/>
        <v>8.7113192182410417E-4</v>
      </c>
      <c r="I16" s="61">
        <f t="shared" si="8"/>
        <v>8.7113192182410417E-4</v>
      </c>
      <c r="J16" s="61">
        <f t="shared" si="8"/>
        <v>8.7113192182410417E-4</v>
      </c>
      <c r="K16" s="61">
        <f t="shared" si="8"/>
        <v>8.7113192182410417E-4</v>
      </c>
      <c r="L16" s="61">
        <f t="shared" si="8"/>
        <v>8.7113192182410417E-4</v>
      </c>
      <c r="M16" s="61">
        <f t="shared" si="8"/>
        <v>8.7113192182410417E-4</v>
      </c>
      <c r="N16" s="61">
        <f t="shared" si="8"/>
        <v>8.7113192182410417E-4</v>
      </c>
      <c r="O16" s="61">
        <f t="shared" si="8"/>
        <v>8.7113192182410417E-4</v>
      </c>
      <c r="P16" s="57">
        <f t="shared" si="7"/>
        <v>0.30000000000000004</v>
      </c>
      <c r="Q16" s="12"/>
      <c r="R16" s="13"/>
      <c r="S16" s="13"/>
    </row>
    <row r="17" spans="1:19" ht="34.950000000000003" customHeight="1">
      <c r="A17" s="58" t="s">
        <v>83</v>
      </c>
      <c r="B17" s="68" t="s">
        <v>84</v>
      </c>
      <c r="C17" s="42">
        <v>149765</v>
      </c>
      <c r="D17" s="40">
        <f>C17/$C$20</f>
        <v>6.0979234527687297E-2</v>
      </c>
      <c r="E17" s="60"/>
      <c r="F17" s="61">
        <f t="shared" si="8"/>
        <v>6.0979234527687295E-3</v>
      </c>
      <c r="G17" s="61">
        <f t="shared" si="8"/>
        <v>6.0979234527687295E-3</v>
      </c>
      <c r="H17" s="61">
        <f t="shared" si="8"/>
        <v>6.0979234527687295E-3</v>
      </c>
      <c r="I17" s="61">
        <f t="shared" si="8"/>
        <v>6.0979234527687295E-3</v>
      </c>
      <c r="J17" s="61">
        <f t="shared" si="8"/>
        <v>6.0979234527687295E-3</v>
      </c>
      <c r="K17" s="61">
        <f t="shared" si="8"/>
        <v>6.0979234527687295E-3</v>
      </c>
      <c r="L17" s="61">
        <f t="shared" si="8"/>
        <v>6.0979234527687295E-3</v>
      </c>
      <c r="M17" s="61">
        <f t="shared" si="8"/>
        <v>6.0979234527687295E-3</v>
      </c>
      <c r="N17" s="61">
        <f t="shared" si="8"/>
        <v>6.0979234527687295E-3</v>
      </c>
      <c r="O17" s="61">
        <f t="shared" si="8"/>
        <v>6.0979234527687295E-3</v>
      </c>
      <c r="P17" s="57">
        <f t="shared" si="7"/>
        <v>0.2</v>
      </c>
      <c r="R17" s="13"/>
      <c r="S17" s="13"/>
    </row>
    <row r="18" spans="1:19" ht="34.950000000000003" customHeight="1">
      <c r="A18" s="58" t="s">
        <v>85</v>
      </c>
      <c r="B18" s="69" t="s">
        <v>86</v>
      </c>
      <c r="C18" s="43">
        <v>6996</v>
      </c>
      <c r="D18" s="40">
        <f>C18/$C$20</f>
        <v>2.8485342019543974E-3</v>
      </c>
      <c r="E18" s="60"/>
      <c r="F18" s="61">
        <f t="shared" si="8"/>
        <v>2.8485342019543975E-4</v>
      </c>
      <c r="G18" s="61">
        <f t="shared" si="8"/>
        <v>2.8485342019543975E-4</v>
      </c>
      <c r="H18" s="61">
        <f t="shared" si="8"/>
        <v>2.8485342019543975E-4</v>
      </c>
      <c r="I18" s="61">
        <f t="shared" si="8"/>
        <v>2.8485342019543975E-4</v>
      </c>
      <c r="J18" s="61">
        <f t="shared" si="8"/>
        <v>2.8485342019543975E-4</v>
      </c>
      <c r="K18" s="61">
        <f t="shared" si="8"/>
        <v>2.8485342019543975E-4</v>
      </c>
      <c r="L18" s="61">
        <f t="shared" si="8"/>
        <v>2.8485342019543975E-4</v>
      </c>
      <c r="M18" s="61">
        <f t="shared" si="8"/>
        <v>2.8485342019543975E-4</v>
      </c>
      <c r="N18" s="61">
        <f t="shared" si="8"/>
        <v>2.8485342019543975E-4</v>
      </c>
      <c r="O18" s="61">
        <f t="shared" si="8"/>
        <v>2.8485342019543975E-4</v>
      </c>
      <c r="P18" s="57">
        <f t="shared" si="7"/>
        <v>0.1</v>
      </c>
      <c r="R18" s="13"/>
      <c r="S18" s="13"/>
    </row>
    <row r="19" spans="1:19" ht="34.950000000000003" customHeight="1">
      <c r="A19" s="58" t="s">
        <v>87</v>
      </c>
      <c r="B19" s="69" t="s">
        <v>88</v>
      </c>
      <c r="C19" s="43">
        <v>116952</v>
      </c>
      <c r="D19" s="40">
        <f>C19/$C$20</f>
        <v>4.7618892508143322E-2</v>
      </c>
      <c r="E19" s="66"/>
      <c r="F19" s="61">
        <f t="shared" si="8"/>
        <v>4.761889250814332E-3</v>
      </c>
      <c r="G19" s="61">
        <f t="shared" si="8"/>
        <v>4.761889250814332E-3</v>
      </c>
      <c r="H19" s="61">
        <f t="shared" si="8"/>
        <v>4.761889250814332E-3</v>
      </c>
      <c r="I19" s="61">
        <f t="shared" si="8"/>
        <v>4.761889250814332E-3</v>
      </c>
      <c r="J19" s="61">
        <f t="shared" si="8"/>
        <v>4.761889250814332E-3</v>
      </c>
      <c r="K19" s="61">
        <f t="shared" si="8"/>
        <v>4.761889250814332E-3</v>
      </c>
      <c r="L19" s="61">
        <f t="shared" si="8"/>
        <v>4.761889250814332E-3</v>
      </c>
      <c r="M19" s="61">
        <f t="shared" si="8"/>
        <v>4.761889250814332E-3</v>
      </c>
      <c r="N19" s="61">
        <f t="shared" si="8"/>
        <v>4.761889250814332E-3</v>
      </c>
      <c r="O19" s="61">
        <f t="shared" si="8"/>
        <v>4.761889250814332E-3</v>
      </c>
      <c r="P19" s="57">
        <v>0</v>
      </c>
      <c r="R19" s="13"/>
      <c r="S19" s="13"/>
    </row>
    <row r="20" spans="1:19" ht="35.1" customHeight="1">
      <c r="A20" s="48"/>
      <c r="B20" s="44"/>
      <c r="C20" s="45">
        <f>SUM(C5:C19)</f>
        <v>2456000</v>
      </c>
      <c r="D20" s="46">
        <f>SUM(D5:D19)</f>
        <v>1</v>
      </c>
      <c r="E20" s="30"/>
      <c r="F20" s="31"/>
      <c r="G20" s="31"/>
      <c r="H20" s="31"/>
      <c r="I20" s="31"/>
      <c r="J20" s="31"/>
      <c r="K20" s="28"/>
      <c r="L20" s="28"/>
      <c r="M20" s="28"/>
      <c r="N20" s="28"/>
      <c r="O20" s="28"/>
      <c r="P20" s="57"/>
      <c r="R20" s="13"/>
      <c r="S20" s="13"/>
    </row>
    <row r="21" spans="1:19" ht="35.1" customHeight="1">
      <c r="A21" s="29"/>
      <c r="B21" s="47"/>
      <c r="C21" s="32"/>
      <c r="D21" s="70" t="s">
        <v>57</v>
      </c>
      <c r="E21" s="70"/>
      <c r="F21" s="33">
        <f t="shared" ref="F21:O21" si="9">SUM(F5:F19)</f>
        <v>4.7761013843648219E-2</v>
      </c>
      <c r="G21" s="33">
        <f t="shared" si="9"/>
        <v>5.4766714169381121E-2</v>
      </c>
      <c r="H21" s="33">
        <f t="shared" si="9"/>
        <v>6.6380008143322483E-2</v>
      </c>
      <c r="I21" s="33">
        <f t="shared" si="9"/>
        <v>9.0320724755700313E-2</v>
      </c>
      <c r="J21" s="33">
        <f t="shared" si="9"/>
        <v>0.10301066775244298</v>
      </c>
      <c r="K21" s="33">
        <f t="shared" si="9"/>
        <v>0.10301066775244298</v>
      </c>
      <c r="L21" s="33">
        <f t="shared" si="9"/>
        <v>0.14223491449511402</v>
      </c>
      <c r="M21" s="33">
        <f t="shared" si="9"/>
        <v>0.14223491449511402</v>
      </c>
      <c r="N21" s="33">
        <f t="shared" si="9"/>
        <v>0.12978778501628666</v>
      </c>
      <c r="O21" s="33">
        <f t="shared" si="9"/>
        <v>0.12049258957654722</v>
      </c>
      <c r="P21" s="57"/>
      <c r="R21" s="13"/>
      <c r="S21" s="13"/>
    </row>
    <row r="22" spans="1:19" ht="35.1" customHeight="1">
      <c r="A22" s="29"/>
      <c r="B22" s="32"/>
      <c r="C22" s="32"/>
      <c r="D22" s="70" t="s">
        <v>58</v>
      </c>
      <c r="E22" s="34"/>
      <c r="F22" s="33">
        <f>F21</f>
        <v>4.7761013843648219E-2</v>
      </c>
      <c r="G22" s="33">
        <f>F22+G21</f>
        <v>0.10252772801302934</v>
      </c>
      <c r="H22" s="33">
        <f t="shared" ref="H22:N22" si="10">G22+H21</f>
        <v>0.16890773615635182</v>
      </c>
      <c r="I22" s="33">
        <f t="shared" si="10"/>
        <v>0.25922846091205215</v>
      </c>
      <c r="J22" s="33">
        <f>I22+J21</f>
        <v>0.36223912866449515</v>
      </c>
      <c r="K22" s="33">
        <f t="shared" si="10"/>
        <v>0.46524979641693814</v>
      </c>
      <c r="L22" s="33">
        <f t="shared" si="10"/>
        <v>0.60748471091205214</v>
      </c>
      <c r="M22" s="33">
        <f t="shared" si="10"/>
        <v>0.74971962540716619</v>
      </c>
      <c r="N22" s="33">
        <f t="shared" si="10"/>
        <v>0.87950741042345282</v>
      </c>
      <c r="O22" s="33">
        <f>N22+O21</f>
        <v>1</v>
      </c>
      <c r="P22" s="57"/>
      <c r="R22" s="13"/>
      <c r="S22" s="13"/>
    </row>
    <row r="23" spans="1:19" ht="35.1" customHeight="1">
      <c r="A23" s="71"/>
      <c r="B23" s="72"/>
      <c r="C23" s="35" t="s">
        <v>59</v>
      </c>
      <c r="D23"/>
      <c r="E23" s="72"/>
      <c r="F23" s="72"/>
      <c r="G23" s="72"/>
      <c r="H23" s="72"/>
      <c r="I23" s="72"/>
      <c r="J23" s="81" t="s">
        <v>60</v>
      </c>
      <c r="K23" s="81"/>
      <c r="L23" s="73"/>
      <c r="M23" s="73"/>
      <c r="N23" s="73"/>
      <c r="O23" s="73"/>
      <c r="P23" s="74"/>
      <c r="R23" s="13"/>
      <c r="S23" s="13"/>
    </row>
    <row r="24" spans="1:19" ht="37.200000000000003" customHeight="1">
      <c r="A24" s="82" t="s">
        <v>61</v>
      </c>
      <c r="B24" s="82"/>
      <c r="C24" s="49"/>
      <c r="D24" s="36"/>
      <c r="E24" s="36"/>
      <c r="F24" s="83" t="s">
        <v>89</v>
      </c>
      <c r="G24" s="83"/>
      <c r="H24" s="83"/>
      <c r="I24" s="83"/>
      <c r="J24" s="83"/>
      <c r="K24" s="83" t="s">
        <v>90</v>
      </c>
      <c r="L24" s="83"/>
      <c r="M24" s="83"/>
      <c r="N24" s="83"/>
      <c r="O24" s="83"/>
      <c r="P24" s="74"/>
      <c r="R24" s="13"/>
      <c r="S24" s="13"/>
    </row>
    <row r="25" spans="1:19" ht="37.200000000000003" customHeight="1">
      <c r="R25" s="13"/>
      <c r="S25" s="13"/>
    </row>
    <row r="26" spans="1:19" ht="37.200000000000003" customHeight="1">
      <c r="R26" s="13"/>
      <c r="S26" s="13"/>
    </row>
    <row r="27" spans="1:19" s="17" customFormat="1" ht="37.200000000000003" customHeight="1">
      <c r="C27" s="8"/>
      <c r="D27" s="8"/>
      <c r="E27" s="8"/>
      <c r="F27" s="8"/>
      <c r="G27" s="8"/>
      <c r="H27" s="8"/>
      <c r="I27" s="8"/>
      <c r="J27" s="8"/>
      <c r="K27" s="8"/>
      <c r="L27" s="8"/>
      <c r="M27" s="8"/>
      <c r="N27" s="8"/>
      <c r="O27" s="8"/>
      <c r="P27" s="8"/>
      <c r="Q27" s="18" t="e">
        <f>#REF!/10</f>
        <v>#REF!</v>
      </c>
      <c r="R27" s="19"/>
      <c r="S27" s="19"/>
    </row>
    <row r="28" spans="1:19" s="17" customFormat="1" ht="21" customHeight="1">
      <c r="C28" s="8"/>
      <c r="D28" s="8"/>
      <c r="E28" s="8"/>
      <c r="F28" s="8"/>
      <c r="G28" s="8"/>
      <c r="H28" s="8"/>
      <c r="I28" s="8"/>
      <c r="J28" s="8"/>
      <c r="K28" s="8"/>
      <c r="L28" s="8"/>
      <c r="M28" s="8"/>
      <c r="N28" s="8"/>
      <c r="O28" s="8"/>
      <c r="P28" s="8"/>
      <c r="Q28" s="18"/>
      <c r="R28" s="19"/>
      <c r="S28" s="19"/>
    </row>
    <row r="29" spans="1:19" s="17" customFormat="1" ht="21" customHeight="1">
      <c r="C29" s="8"/>
      <c r="D29" s="8"/>
      <c r="E29" s="8"/>
      <c r="F29" s="8"/>
      <c r="G29" s="8"/>
      <c r="H29" s="8"/>
      <c r="I29" s="8"/>
      <c r="J29" s="8"/>
      <c r="K29" s="8"/>
      <c r="L29" s="8"/>
      <c r="M29" s="8"/>
      <c r="N29" s="8"/>
      <c r="O29" s="8"/>
      <c r="P29" s="8"/>
      <c r="Q29" s="18"/>
      <c r="R29" s="19"/>
      <c r="S29" s="19"/>
    </row>
    <row r="30" spans="1:19" s="17" customFormat="1" ht="21" customHeight="1">
      <c r="C30" s="8"/>
      <c r="D30" s="8"/>
      <c r="E30" s="8"/>
      <c r="F30" s="8"/>
      <c r="G30" s="8"/>
      <c r="H30" s="8"/>
      <c r="I30" s="8"/>
      <c r="J30" s="8"/>
      <c r="K30" s="8"/>
      <c r="L30" s="8"/>
      <c r="M30" s="8"/>
      <c r="N30" s="8"/>
      <c r="O30" s="8"/>
      <c r="P30" s="8"/>
      <c r="Q30" s="18"/>
      <c r="R30" s="19"/>
      <c r="S30" s="19"/>
    </row>
    <row r="31" spans="1:19" s="17" customFormat="1" ht="21" customHeight="1">
      <c r="B31" s="8"/>
      <c r="C31" s="8"/>
      <c r="D31" s="8"/>
      <c r="E31" s="8"/>
      <c r="F31" s="8"/>
      <c r="G31" s="8"/>
      <c r="H31" s="8"/>
      <c r="I31" s="8"/>
      <c r="J31" s="8"/>
      <c r="K31" s="8"/>
      <c r="L31" s="8"/>
      <c r="M31" s="8"/>
      <c r="N31" s="8"/>
      <c r="O31" s="8"/>
      <c r="P31" s="8"/>
      <c r="Q31" s="18"/>
      <c r="R31" s="19"/>
      <c r="S31" s="19"/>
    </row>
    <row r="32" spans="1:19" s="17" customFormat="1" ht="21" customHeight="1">
      <c r="B32" s="8"/>
      <c r="C32" s="8"/>
      <c r="D32" s="8"/>
      <c r="E32" s="8"/>
      <c r="F32" s="8"/>
      <c r="G32" s="8"/>
      <c r="H32" s="8"/>
      <c r="I32" s="8"/>
      <c r="J32" s="8"/>
      <c r="K32" s="8"/>
      <c r="L32" s="8"/>
      <c r="M32" s="8"/>
      <c r="N32" s="8"/>
      <c r="O32" s="8"/>
      <c r="P32" s="8"/>
      <c r="Q32" s="18"/>
      <c r="R32" s="19"/>
      <c r="S32" s="19"/>
    </row>
    <row r="33" spans="2:23" s="17" customFormat="1" ht="21" customHeight="1">
      <c r="B33" s="8"/>
      <c r="C33" s="8"/>
      <c r="D33" s="8"/>
      <c r="E33" s="8"/>
      <c r="F33" s="8"/>
      <c r="G33" s="8"/>
      <c r="H33" s="8"/>
      <c r="I33" s="8"/>
      <c r="J33" s="8"/>
      <c r="K33" s="8"/>
      <c r="L33" s="8"/>
      <c r="M33" s="8"/>
      <c r="N33" s="8"/>
      <c r="O33" s="8"/>
      <c r="P33" s="8"/>
      <c r="Q33" s="18"/>
      <c r="R33" s="19"/>
      <c r="S33" s="19"/>
    </row>
    <row r="34" spans="2:23" s="17" customFormat="1" ht="21" customHeight="1">
      <c r="B34" s="8"/>
      <c r="C34" s="8"/>
      <c r="D34" s="8"/>
      <c r="E34" s="8"/>
      <c r="F34" s="8"/>
      <c r="G34" s="8"/>
      <c r="H34" s="8"/>
      <c r="I34" s="8"/>
      <c r="J34" s="8"/>
      <c r="K34" s="8"/>
      <c r="L34" s="8"/>
      <c r="M34" s="8"/>
      <c r="N34" s="8"/>
      <c r="O34" s="8"/>
      <c r="P34" s="8"/>
      <c r="Q34" s="18"/>
      <c r="R34" s="19"/>
      <c r="S34" s="19"/>
    </row>
    <row r="35" spans="2:23" s="17" customFormat="1" ht="21" customHeight="1">
      <c r="B35" s="8"/>
      <c r="C35" s="8"/>
      <c r="D35" s="8"/>
      <c r="E35" s="8"/>
      <c r="F35" s="8"/>
      <c r="G35" s="8"/>
      <c r="H35" s="8"/>
      <c r="I35" s="8"/>
      <c r="J35" s="8"/>
      <c r="K35" s="8"/>
      <c r="L35" s="8"/>
      <c r="M35" s="8"/>
      <c r="N35" s="8"/>
      <c r="O35" s="8"/>
      <c r="P35" s="8"/>
      <c r="Q35" s="18"/>
      <c r="R35" s="19"/>
      <c r="S35" s="19"/>
    </row>
    <row r="36" spans="2:23" s="17" customFormat="1" ht="21" customHeight="1">
      <c r="B36" s="8"/>
      <c r="C36" s="8"/>
      <c r="D36" s="8"/>
      <c r="E36" s="8"/>
      <c r="F36" s="8"/>
      <c r="G36" s="8"/>
      <c r="H36" s="8"/>
      <c r="I36" s="8"/>
      <c r="J36" s="8"/>
      <c r="K36" s="8"/>
      <c r="L36" s="8"/>
      <c r="M36" s="8"/>
      <c r="N36" s="8"/>
      <c r="O36" s="8"/>
      <c r="P36" s="8"/>
      <c r="Q36" s="18"/>
      <c r="R36" s="19"/>
      <c r="S36" s="19"/>
    </row>
    <row r="37" spans="2:23" s="17" customFormat="1" ht="21" customHeight="1">
      <c r="B37" s="8"/>
      <c r="C37" s="8"/>
      <c r="D37" s="8"/>
      <c r="E37" s="8"/>
      <c r="F37" s="8"/>
      <c r="G37" s="8"/>
      <c r="H37" s="8"/>
      <c r="I37" s="8"/>
      <c r="J37" s="8"/>
      <c r="K37" s="8"/>
      <c r="L37" s="8"/>
      <c r="M37" s="8"/>
      <c r="N37" s="8"/>
      <c r="O37" s="8"/>
      <c r="P37" s="8"/>
      <c r="Q37" s="18"/>
      <c r="R37" s="19"/>
      <c r="S37" s="19"/>
    </row>
    <row r="38" spans="2:23" s="17" customFormat="1" ht="21" customHeight="1">
      <c r="B38" s="8"/>
      <c r="C38" s="8"/>
      <c r="D38" s="8"/>
      <c r="E38" s="8"/>
      <c r="F38" s="8"/>
      <c r="G38" s="8"/>
      <c r="H38" s="8"/>
      <c r="I38" s="8"/>
      <c r="J38" s="8"/>
      <c r="K38" s="8"/>
      <c r="L38" s="8"/>
      <c r="M38" s="8"/>
      <c r="N38" s="8"/>
      <c r="O38" s="8"/>
      <c r="P38" s="8"/>
      <c r="Q38" s="18"/>
      <c r="R38" s="19"/>
      <c r="S38" s="19"/>
    </row>
    <row r="39" spans="2:23" ht="21" customHeight="1">
      <c r="Q39" s="20"/>
      <c r="R39" s="13"/>
      <c r="S39" s="13"/>
    </row>
    <row r="40" spans="2:23" ht="21" customHeight="1">
      <c r="Q40" s="20"/>
      <c r="R40" s="13"/>
      <c r="S40" s="21"/>
    </row>
    <row r="41" spans="2:23" ht="21" customHeight="1">
      <c r="Q41" s="20"/>
      <c r="R41" s="13"/>
      <c r="S41" s="13"/>
    </row>
    <row r="42" spans="2:23" ht="21" customHeight="1">
      <c r="Q42" s="20"/>
      <c r="R42" s="13"/>
      <c r="S42" s="13"/>
    </row>
    <row r="43" spans="2:23" ht="21" customHeight="1">
      <c r="Q43" s="20"/>
      <c r="R43" s="13"/>
      <c r="S43" s="13"/>
    </row>
    <row r="44" spans="2:23" s="15" customFormat="1" ht="21" customHeight="1">
      <c r="B44" s="8"/>
      <c r="C44" s="8"/>
      <c r="D44" s="8"/>
      <c r="E44" s="8"/>
      <c r="F44" s="8"/>
      <c r="G44" s="8"/>
      <c r="H44" s="8"/>
      <c r="I44" s="8"/>
      <c r="J44" s="8"/>
      <c r="K44" s="8"/>
      <c r="L44" s="8"/>
      <c r="M44" s="8"/>
      <c r="N44" s="8"/>
      <c r="O44" s="8"/>
      <c r="P44" s="8"/>
      <c r="Q44" s="22"/>
    </row>
    <row r="45" spans="2:23" ht="21.75" customHeight="1"/>
    <row r="46" spans="2:23" ht="21.75" customHeight="1"/>
    <row r="47" spans="2:23" ht="21.75" customHeight="1">
      <c r="Q47" s="23"/>
      <c r="R47" s="16"/>
      <c r="S47" s="16"/>
      <c r="T47" s="16"/>
      <c r="U47" s="16"/>
      <c r="V47" s="16"/>
      <c r="W47" s="16"/>
    </row>
    <row r="48" spans="2:23">
      <c r="Q48" s="23"/>
      <c r="R48" s="16"/>
      <c r="S48" s="16"/>
      <c r="T48" s="16"/>
      <c r="U48" s="16"/>
      <c r="V48" s="16"/>
      <c r="W48" s="16"/>
    </row>
  </sheetData>
  <mergeCells count="19">
    <mergeCell ref="M3:M4"/>
    <mergeCell ref="N3:N4"/>
    <mergeCell ref="O3:O4"/>
    <mergeCell ref="J23:K23"/>
    <mergeCell ref="A24:B24"/>
    <mergeCell ref="F24:J24"/>
    <mergeCell ref="K24:O24"/>
    <mergeCell ref="A1:P1"/>
    <mergeCell ref="A2:O2"/>
    <mergeCell ref="A3:B4"/>
    <mergeCell ref="C3:C4"/>
    <mergeCell ref="D3:D4"/>
    <mergeCell ref="F3:F4"/>
    <mergeCell ref="G3:G4"/>
    <mergeCell ref="H3:H4"/>
    <mergeCell ref="I3:I4"/>
    <mergeCell ref="J3:J4"/>
    <mergeCell ref="K3:K4"/>
    <mergeCell ref="L3:L4"/>
  </mergeCells>
  <phoneticPr fontId="2" type="noConversion"/>
  <printOptions horizontalCentered="1" verticalCentered="1"/>
  <pageMargins left="0.39370078740157483" right="0.15748031496062992" top="0.39370078740157483" bottom="0.39370078740157483" header="0.51181102362204722" footer="0.51181102362204722"/>
  <pageSetup paperSize="9" scale="42" orientation="landscape" r:id="rId1"/>
  <headerFooter alignWithMargins="0"/>
  <colBreaks count="1" manualBreakCount="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85B84-C6D8-40ED-85E8-EFE6B487D4EB}">
  <sheetPr>
    <pageSetUpPr fitToPage="1"/>
  </sheetPr>
  <dimension ref="A1:J1953"/>
  <sheetViews>
    <sheetView tabSelected="1" view="pageBreakPreview" topLeftCell="A1633" zoomScaleNormal="85" zoomScaleSheetLayoutView="100" workbookViewId="0">
      <selection activeCell="A1637" sqref="A1637:G1637"/>
    </sheetView>
  </sheetViews>
  <sheetFormatPr defaultColWidth="9.875" defaultRowHeight="16.2"/>
  <cols>
    <col min="1" max="1" width="16.25" style="1" customWidth="1"/>
    <col min="2" max="2" width="67.25" style="1" customWidth="1"/>
    <col min="3" max="3" width="6.75" style="1" customWidth="1"/>
    <col min="4" max="4" width="14.375" style="1" customWidth="1"/>
    <col min="5" max="5" width="18.375" style="1" customWidth="1"/>
    <col min="6" max="6" width="17.5" style="1" customWidth="1"/>
    <col min="7" max="7" width="15.25" style="1" customWidth="1"/>
    <col min="8" max="8" width="21.875" style="1" customWidth="1"/>
    <col min="9" max="9" width="18.75" style="1" customWidth="1"/>
    <col min="10" max="10" width="18.375" style="25" bestFit="1" customWidth="1"/>
    <col min="11" max="16384" width="9.875" style="1"/>
  </cols>
  <sheetData>
    <row r="1" spans="1:10" ht="37.200000000000003" customHeight="1">
      <c r="A1" s="103" t="s">
        <v>0</v>
      </c>
      <c r="B1" s="103"/>
      <c r="C1" s="103"/>
      <c r="D1" s="103"/>
      <c r="E1" s="103"/>
      <c r="F1" s="103"/>
      <c r="G1" s="103"/>
      <c r="J1" s="25">
        <v>1</v>
      </c>
    </row>
    <row r="2" spans="1:10" ht="16.95" customHeight="1">
      <c r="A2" s="1" t="s">
        <v>1</v>
      </c>
      <c r="B2" s="104">
        <v>1</v>
      </c>
      <c r="C2" s="104"/>
      <c r="D2" s="104"/>
      <c r="E2" s="104"/>
      <c r="F2" s="104"/>
      <c r="G2" s="104"/>
      <c r="J2" s="25">
        <v>1</v>
      </c>
    </row>
    <row r="3" spans="1:10" ht="16.95" customHeight="1">
      <c r="A3" s="1" t="s">
        <v>2</v>
      </c>
      <c r="B3" s="105" t="s">
        <v>63</v>
      </c>
      <c r="C3" s="105"/>
      <c r="D3" s="105"/>
      <c r="E3" s="106">
        <v>46204</v>
      </c>
      <c r="F3" s="106"/>
      <c r="G3" s="106"/>
      <c r="J3" s="25">
        <v>1</v>
      </c>
    </row>
    <row r="4" spans="1:10" ht="16.95" customHeight="1">
      <c r="A4" s="53" t="s">
        <v>3</v>
      </c>
      <c r="B4" s="2" t="s">
        <v>67</v>
      </c>
      <c r="C4" s="98" t="s">
        <v>4</v>
      </c>
      <c r="D4" s="98"/>
      <c r="E4" s="98" t="s">
        <v>47</v>
      </c>
      <c r="F4" s="98"/>
      <c r="G4" s="98"/>
      <c r="J4" s="25">
        <v>1</v>
      </c>
    </row>
    <row r="5" spans="1:10" ht="16.95" customHeight="1">
      <c r="A5" s="53" t="s">
        <v>5</v>
      </c>
      <c r="B5" s="54">
        <v>120</v>
      </c>
      <c r="C5" s="98" t="s">
        <v>6</v>
      </c>
      <c r="D5" s="98"/>
      <c r="E5" s="98" t="s">
        <v>123</v>
      </c>
      <c r="F5" s="98"/>
      <c r="G5" s="98"/>
      <c r="J5" s="25">
        <v>1</v>
      </c>
    </row>
    <row r="6" spans="1:10" ht="16.95" customHeight="1">
      <c r="A6" s="53" t="s">
        <v>7</v>
      </c>
      <c r="B6" s="54">
        <f>B2</f>
        <v>1</v>
      </c>
      <c r="C6" s="100" t="s">
        <v>8</v>
      </c>
      <c r="D6" s="100"/>
      <c r="E6" s="101">
        <f>B5-B6</f>
        <v>119</v>
      </c>
      <c r="F6" s="101"/>
      <c r="G6" s="101"/>
      <c r="J6" s="25">
        <v>1</v>
      </c>
    </row>
    <row r="7" spans="1:10" ht="16.95" customHeight="1">
      <c r="A7" s="53" t="s">
        <v>9</v>
      </c>
      <c r="B7" s="55">
        <v>46204</v>
      </c>
      <c r="C7" s="98" t="s">
        <v>10</v>
      </c>
      <c r="D7" s="98"/>
      <c r="E7" s="102">
        <f>B7+B5-1</f>
        <v>46323</v>
      </c>
      <c r="F7" s="102"/>
      <c r="G7" s="102"/>
      <c r="J7" s="25">
        <v>1</v>
      </c>
    </row>
    <row r="8" spans="1:10" ht="16.95" customHeight="1">
      <c r="A8" s="53" t="s">
        <v>11</v>
      </c>
      <c r="B8" s="56">
        <f>HLOOKUP(B2,進度表!$Q$2:$Z$3,2,1)</f>
        <v>3.9800844869706852E-3</v>
      </c>
      <c r="C8" s="98" t="s">
        <v>12</v>
      </c>
      <c r="D8" s="98"/>
      <c r="E8" s="99">
        <f>I46/I8</f>
        <v>5.3524124592833865E-3</v>
      </c>
      <c r="F8" s="99"/>
      <c r="G8" s="99"/>
      <c r="H8" s="3" t="s">
        <v>62</v>
      </c>
      <c r="I8" s="1">
        <v>2456000</v>
      </c>
      <c r="J8" s="25">
        <v>1</v>
      </c>
    </row>
    <row r="9" spans="1:10" ht="16.95" customHeight="1">
      <c r="A9" s="98" t="s">
        <v>13</v>
      </c>
      <c r="B9" s="98"/>
      <c r="C9" s="98"/>
      <c r="D9" s="98"/>
      <c r="E9" s="98"/>
      <c r="F9" s="98"/>
      <c r="G9" s="98"/>
      <c r="J9" s="25">
        <v>1</v>
      </c>
    </row>
    <row r="10" spans="1:10" ht="16.95" customHeight="1">
      <c r="A10" s="52" t="s">
        <v>14</v>
      </c>
      <c r="B10" s="52" t="s">
        <v>15</v>
      </c>
      <c r="C10" s="52" t="s">
        <v>16</v>
      </c>
      <c r="D10" s="52" t="s">
        <v>17</v>
      </c>
      <c r="E10" s="52" t="s">
        <v>18</v>
      </c>
      <c r="F10" s="52" t="s">
        <v>19</v>
      </c>
      <c r="G10" s="52" t="s">
        <v>20</v>
      </c>
      <c r="H10" s="3" t="s">
        <v>21</v>
      </c>
      <c r="I10" s="3" t="s">
        <v>22</v>
      </c>
      <c r="J10" s="25">
        <v>1</v>
      </c>
    </row>
    <row r="11" spans="1:10" ht="16.95" customHeight="1">
      <c r="A11" s="75" t="s">
        <v>65</v>
      </c>
      <c r="B11" s="76" t="s">
        <v>69</v>
      </c>
      <c r="C11" s="77"/>
      <c r="D11" s="78"/>
      <c r="E11" s="79"/>
      <c r="F11" s="79"/>
      <c r="G11" s="2"/>
      <c r="H11" s="37"/>
      <c r="I11" s="4"/>
      <c r="J11" s="25">
        <v>1</v>
      </c>
    </row>
    <row r="12" spans="1:10" ht="34.950000000000003" customHeight="1">
      <c r="A12" s="75">
        <v>1</v>
      </c>
      <c r="B12" s="80" t="s">
        <v>91</v>
      </c>
      <c r="C12" s="77" t="s">
        <v>48</v>
      </c>
      <c r="D12" s="78">
        <v>1</v>
      </c>
      <c r="E12" s="79">
        <v>1</v>
      </c>
      <c r="F12" s="79">
        <f>E12</f>
        <v>1</v>
      </c>
      <c r="G12" s="2"/>
      <c r="H12" s="37">
        <v>10508</v>
      </c>
      <c r="I12" s="4">
        <f>H12*E12</f>
        <v>10508</v>
      </c>
      <c r="J12" s="25">
        <v>1</v>
      </c>
    </row>
    <row r="13" spans="1:10" ht="34.799999999999997" customHeight="1">
      <c r="A13" s="75">
        <v>2</v>
      </c>
      <c r="B13" s="80" t="s">
        <v>92</v>
      </c>
      <c r="C13" s="77" t="s">
        <v>48</v>
      </c>
      <c r="D13" s="78">
        <v>1</v>
      </c>
      <c r="E13" s="79"/>
      <c r="F13" s="79">
        <f t="shared" ref="F13:F45" si="0">E13</f>
        <v>0</v>
      </c>
      <c r="G13" s="2"/>
      <c r="H13" s="37">
        <v>13223</v>
      </c>
      <c r="I13" s="4">
        <f>H13*E13</f>
        <v>0</v>
      </c>
      <c r="J13" s="25">
        <v>1</v>
      </c>
    </row>
    <row r="14" spans="1:10" ht="53.4" customHeight="1">
      <c r="A14" s="75">
        <v>3</v>
      </c>
      <c r="B14" s="80" t="s">
        <v>93</v>
      </c>
      <c r="C14" s="77" t="s">
        <v>48</v>
      </c>
      <c r="D14" s="78">
        <v>1</v>
      </c>
      <c r="E14" s="79"/>
      <c r="F14" s="79">
        <f t="shared" si="0"/>
        <v>0</v>
      </c>
      <c r="G14" s="2"/>
      <c r="H14" s="37">
        <v>310497</v>
      </c>
      <c r="I14" s="4">
        <f t="shared" ref="I14:I45" si="1">H14*E14</f>
        <v>0</v>
      </c>
      <c r="J14" s="25">
        <v>1</v>
      </c>
    </row>
    <row r="15" spans="1:10" ht="16.95" customHeight="1">
      <c r="A15" s="75">
        <v>4</v>
      </c>
      <c r="B15" s="80" t="s">
        <v>94</v>
      </c>
      <c r="C15" s="77" t="s">
        <v>48</v>
      </c>
      <c r="D15" s="78">
        <v>1</v>
      </c>
      <c r="E15" s="79"/>
      <c r="F15" s="79">
        <f t="shared" si="0"/>
        <v>0</v>
      </c>
      <c r="G15" s="2"/>
      <c r="H15" s="37">
        <v>8375</v>
      </c>
      <c r="I15" s="4">
        <f t="shared" si="1"/>
        <v>0</v>
      </c>
      <c r="J15" s="25">
        <v>1</v>
      </c>
    </row>
    <row r="16" spans="1:10" ht="16.95" customHeight="1">
      <c r="A16" s="75">
        <v>5</v>
      </c>
      <c r="B16" s="80" t="s">
        <v>95</v>
      </c>
      <c r="C16" s="77" t="s">
        <v>48</v>
      </c>
      <c r="D16" s="78">
        <v>1</v>
      </c>
      <c r="E16" s="79"/>
      <c r="F16" s="79">
        <f t="shared" si="0"/>
        <v>0</v>
      </c>
      <c r="G16" s="2"/>
      <c r="H16" s="37">
        <v>51618</v>
      </c>
      <c r="I16" s="4">
        <f t="shared" si="1"/>
        <v>0</v>
      </c>
      <c r="J16" s="25">
        <v>1</v>
      </c>
    </row>
    <row r="17" spans="1:10" ht="16.95" customHeight="1">
      <c r="A17" s="75">
        <v>6</v>
      </c>
      <c r="B17" s="80" t="s">
        <v>96</v>
      </c>
      <c r="C17" s="77" t="s">
        <v>50</v>
      </c>
      <c r="D17" s="78">
        <v>11.55</v>
      </c>
      <c r="E17" s="79"/>
      <c r="F17" s="79">
        <f t="shared" si="0"/>
        <v>0</v>
      </c>
      <c r="G17" s="2"/>
      <c r="H17" s="37">
        <v>1188</v>
      </c>
      <c r="I17" s="4">
        <f t="shared" si="1"/>
        <v>0</v>
      </c>
      <c r="J17" s="25">
        <v>1</v>
      </c>
    </row>
    <row r="18" spans="1:10" ht="34.950000000000003" customHeight="1">
      <c r="A18" s="75">
        <v>7</v>
      </c>
      <c r="B18" s="80" t="s">
        <v>97</v>
      </c>
      <c r="C18" s="77" t="s">
        <v>48</v>
      </c>
      <c r="D18" s="78">
        <v>1</v>
      </c>
      <c r="E18" s="79"/>
      <c r="F18" s="79">
        <f t="shared" si="0"/>
        <v>0</v>
      </c>
      <c r="G18" s="2"/>
      <c r="H18" s="37">
        <v>21157</v>
      </c>
      <c r="I18" s="4">
        <f t="shared" si="1"/>
        <v>0</v>
      </c>
      <c r="J18" s="25">
        <v>1</v>
      </c>
    </row>
    <row r="19" spans="1:10" ht="16.95" customHeight="1">
      <c r="A19" s="75">
        <v>8</v>
      </c>
      <c r="B19" s="80" t="s">
        <v>98</v>
      </c>
      <c r="C19" s="77" t="s">
        <v>50</v>
      </c>
      <c r="D19" s="78">
        <v>387</v>
      </c>
      <c r="E19" s="79"/>
      <c r="F19" s="79">
        <f t="shared" si="0"/>
        <v>0</v>
      </c>
      <c r="G19" s="2"/>
      <c r="H19" s="37">
        <v>705</v>
      </c>
      <c r="I19" s="4">
        <f t="shared" si="1"/>
        <v>0</v>
      </c>
      <c r="J19" s="25">
        <v>1</v>
      </c>
    </row>
    <row r="20" spans="1:10" ht="16.95" customHeight="1">
      <c r="A20" s="75">
        <v>9</v>
      </c>
      <c r="B20" s="80" t="s">
        <v>99</v>
      </c>
      <c r="C20" s="77" t="s">
        <v>50</v>
      </c>
      <c r="D20" s="78">
        <v>170</v>
      </c>
      <c r="E20" s="79"/>
      <c r="F20" s="79">
        <f t="shared" si="0"/>
        <v>0</v>
      </c>
      <c r="G20" s="2"/>
      <c r="H20" s="37">
        <v>617</v>
      </c>
      <c r="I20" s="4">
        <f t="shared" si="1"/>
        <v>0</v>
      </c>
      <c r="J20" s="25">
        <v>1</v>
      </c>
    </row>
    <row r="21" spans="1:10" ht="16.95" customHeight="1">
      <c r="A21" s="75">
        <v>10</v>
      </c>
      <c r="B21" s="80" t="s">
        <v>100</v>
      </c>
      <c r="C21" s="77" t="s">
        <v>66</v>
      </c>
      <c r="D21" s="78">
        <v>15</v>
      </c>
      <c r="E21" s="79"/>
      <c r="F21" s="79">
        <f t="shared" si="0"/>
        <v>0</v>
      </c>
      <c r="G21" s="2"/>
      <c r="H21" s="37">
        <v>617</v>
      </c>
      <c r="I21" s="4">
        <f t="shared" si="1"/>
        <v>0</v>
      </c>
      <c r="J21" s="25">
        <v>1</v>
      </c>
    </row>
    <row r="22" spans="1:10" ht="16.95" customHeight="1">
      <c r="A22" s="75">
        <v>11</v>
      </c>
      <c r="B22" s="80" t="s">
        <v>101</v>
      </c>
      <c r="C22" s="77" t="s">
        <v>50</v>
      </c>
      <c r="D22" s="78">
        <v>75</v>
      </c>
      <c r="E22" s="79"/>
      <c r="F22" s="79">
        <f t="shared" si="0"/>
        <v>0</v>
      </c>
      <c r="G22" s="2"/>
      <c r="H22" s="37">
        <v>1146</v>
      </c>
      <c r="I22" s="4">
        <f t="shared" si="1"/>
        <v>0</v>
      </c>
      <c r="J22" s="25">
        <v>1</v>
      </c>
    </row>
    <row r="23" spans="1:10" ht="16.95" customHeight="1">
      <c r="A23" s="75">
        <v>12</v>
      </c>
      <c r="B23" s="80" t="s">
        <v>102</v>
      </c>
      <c r="C23" s="77" t="s">
        <v>50</v>
      </c>
      <c r="D23" s="78">
        <v>5</v>
      </c>
      <c r="E23" s="79"/>
      <c r="F23" s="79">
        <f t="shared" si="0"/>
        <v>0</v>
      </c>
      <c r="G23" s="2"/>
      <c r="H23" s="37">
        <v>1455</v>
      </c>
      <c r="I23" s="4">
        <f t="shared" si="1"/>
        <v>0</v>
      </c>
      <c r="J23" s="25">
        <v>1</v>
      </c>
    </row>
    <row r="24" spans="1:10" ht="16.95" customHeight="1">
      <c r="A24" s="75">
        <v>13</v>
      </c>
      <c r="B24" s="80" t="s">
        <v>103</v>
      </c>
      <c r="C24" s="77" t="s">
        <v>50</v>
      </c>
      <c r="D24" s="78">
        <v>217</v>
      </c>
      <c r="E24" s="79"/>
      <c r="F24" s="79">
        <f t="shared" si="0"/>
        <v>0</v>
      </c>
      <c r="G24" s="2"/>
      <c r="H24" s="37">
        <v>1410</v>
      </c>
      <c r="I24" s="4">
        <f t="shared" si="1"/>
        <v>0</v>
      </c>
      <c r="J24" s="25">
        <v>1</v>
      </c>
    </row>
    <row r="25" spans="1:10" ht="16.95" customHeight="1">
      <c r="A25" s="75">
        <v>14</v>
      </c>
      <c r="B25" s="80" t="s">
        <v>104</v>
      </c>
      <c r="C25" s="77" t="s">
        <v>49</v>
      </c>
      <c r="D25" s="78">
        <v>84</v>
      </c>
      <c r="E25" s="79"/>
      <c r="F25" s="79">
        <f t="shared" si="0"/>
        <v>0</v>
      </c>
      <c r="G25" s="2"/>
      <c r="H25" s="37">
        <v>529</v>
      </c>
      <c r="I25" s="4">
        <f t="shared" si="1"/>
        <v>0</v>
      </c>
      <c r="J25" s="25">
        <v>1</v>
      </c>
    </row>
    <row r="26" spans="1:10" ht="16.95" customHeight="1">
      <c r="A26" s="75">
        <v>15</v>
      </c>
      <c r="B26" s="80" t="s">
        <v>105</v>
      </c>
      <c r="C26" s="77" t="s">
        <v>50</v>
      </c>
      <c r="D26" s="78">
        <v>1</v>
      </c>
      <c r="E26" s="79"/>
      <c r="F26" s="79">
        <f t="shared" si="0"/>
        <v>0</v>
      </c>
      <c r="G26" s="2"/>
      <c r="H26" s="37">
        <v>1146</v>
      </c>
      <c r="I26" s="4">
        <f t="shared" si="1"/>
        <v>0</v>
      </c>
      <c r="J26" s="25">
        <v>1</v>
      </c>
    </row>
    <row r="27" spans="1:10" ht="34.799999999999997" customHeight="1">
      <c r="A27" s="75">
        <v>16</v>
      </c>
      <c r="B27" s="80" t="s">
        <v>106</v>
      </c>
      <c r="C27" s="77" t="s">
        <v>50</v>
      </c>
      <c r="D27" s="78">
        <v>314</v>
      </c>
      <c r="E27" s="79"/>
      <c r="F27" s="79">
        <f t="shared" si="0"/>
        <v>0</v>
      </c>
      <c r="G27" s="2"/>
      <c r="H27" s="37">
        <v>185</v>
      </c>
      <c r="I27" s="4">
        <f t="shared" si="1"/>
        <v>0</v>
      </c>
      <c r="J27" s="25">
        <v>1</v>
      </c>
    </row>
    <row r="28" spans="1:10" ht="16.95" customHeight="1">
      <c r="A28" s="75">
        <v>17</v>
      </c>
      <c r="B28" s="80" t="s">
        <v>107</v>
      </c>
      <c r="C28" s="77" t="s">
        <v>48</v>
      </c>
      <c r="D28" s="78">
        <v>1</v>
      </c>
      <c r="E28" s="79"/>
      <c r="F28" s="79">
        <f t="shared" si="0"/>
        <v>0</v>
      </c>
      <c r="G28" s="2"/>
      <c r="H28" s="37">
        <v>89918</v>
      </c>
      <c r="I28" s="4">
        <f t="shared" si="1"/>
        <v>0</v>
      </c>
      <c r="J28" s="25">
        <v>1</v>
      </c>
    </row>
    <row r="29" spans="1:10" ht="16.95" customHeight="1">
      <c r="A29" s="75">
        <v>18</v>
      </c>
      <c r="B29" s="80" t="s">
        <v>108</v>
      </c>
      <c r="C29" s="77" t="s">
        <v>120</v>
      </c>
      <c r="D29" s="78">
        <v>15</v>
      </c>
      <c r="E29" s="79"/>
      <c r="F29" s="79">
        <f t="shared" si="0"/>
        <v>0</v>
      </c>
      <c r="G29" s="2"/>
      <c r="H29" s="37">
        <v>661</v>
      </c>
      <c r="I29" s="4">
        <f t="shared" si="1"/>
        <v>0</v>
      </c>
      <c r="J29" s="25">
        <v>1</v>
      </c>
    </row>
    <row r="30" spans="1:10" ht="16.95" customHeight="1">
      <c r="A30" s="75">
        <v>19</v>
      </c>
      <c r="B30" s="80" t="s">
        <v>109</v>
      </c>
      <c r="C30" s="77" t="s">
        <v>50</v>
      </c>
      <c r="D30" s="78">
        <v>82</v>
      </c>
      <c r="E30" s="79"/>
      <c r="F30" s="79">
        <f t="shared" si="0"/>
        <v>0</v>
      </c>
      <c r="G30" s="2"/>
      <c r="H30" s="37">
        <v>2909</v>
      </c>
      <c r="I30" s="4">
        <f t="shared" si="1"/>
        <v>0</v>
      </c>
      <c r="J30" s="25">
        <v>1</v>
      </c>
    </row>
    <row r="31" spans="1:10" ht="16.95" customHeight="1">
      <c r="A31" s="75">
        <v>20</v>
      </c>
      <c r="B31" s="80" t="s">
        <v>110</v>
      </c>
      <c r="C31" s="77" t="s">
        <v>121</v>
      </c>
      <c r="D31" s="78">
        <v>12</v>
      </c>
      <c r="E31" s="79"/>
      <c r="F31" s="79">
        <f t="shared" si="0"/>
        <v>0</v>
      </c>
      <c r="G31" s="2"/>
      <c r="H31" s="37">
        <v>882</v>
      </c>
      <c r="I31" s="4">
        <f t="shared" si="1"/>
        <v>0</v>
      </c>
      <c r="J31" s="25">
        <v>1</v>
      </c>
    </row>
    <row r="32" spans="1:10" ht="16.95" customHeight="1">
      <c r="A32" s="77">
        <v>21</v>
      </c>
      <c r="B32" s="80" t="s">
        <v>111</v>
      </c>
      <c r="C32" s="77" t="s">
        <v>122</v>
      </c>
      <c r="D32" s="78">
        <v>3</v>
      </c>
      <c r="E32" s="79"/>
      <c r="F32" s="79">
        <f t="shared" si="0"/>
        <v>0</v>
      </c>
      <c r="G32" s="2"/>
      <c r="H32" s="38">
        <v>1869</v>
      </c>
      <c r="I32" s="4">
        <f t="shared" si="1"/>
        <v>0</v>
      </c>
      <c r="J32" s="25">
        <v>1</v>
      </c>
    </row>
    <row r="33" spans="1:10" ht="34.950000000000003" customHeight="1">
      <c r="A33" s="75">
        <v>22</v>
      </c>
      <c r="B33" s="80" t="s">
        <v>112</v>
      </c>
      <c r="C33" s="77" t="s">
        <v>48</v>
      </c>
      <c r="D33" s="78">
        <v>1</v>
      </c>
      <c r="E33" s="79"/>
      <c r="F33" s="79">
        <f t="shared" si="0"/>
        <v>0</v>
      </c>
      <c r="G33" s="2"/>
      <c r="H33" s="37">
        <v>82206</v>
      </c>
      <c r="I33" s="4">
        <f t="shared" si="1"/>
        <v>0</v>
      </c>
      <c r="J33" s="25">
        <v>1</v>
      </c>
    </row>
    <row r="34" spans="1:10" ht="16.95" customHeight="1">
      <c r="A34" s="75">
        <v>23</v>
      </c>
      <c r="B34" s="80" t="s">
        <v>113</v>
      </c>
      <c r="C34" s="77" t="s">
        <v>48</v>
      </c>
      <c r="D34" s="78">
        <v>1</v>
      </c>
      <c r="E34" s="79"/>
      <c r="F34" s="79">
        <f t="shared" si="0"/>
        <v>0</v>
      </c>
      <c r="G34" s="2"/>
      <c r="H34" s="37">
        <v>142723</v>
      </c>
      <c r="I34" s="4">
        <f t="shared" si="1"/>
        <v>0</v>
      </c>
      <c r="J34" s="25">
        <v>1</v>
      </c>
    </row>
    <row r="35" spans="1:10" ht="16.95" customHeight="1">
      <c r="A35" s="75">
        <v>24</v>
      </c>
      <c r="B35" s="80" t="s">
        <v>114</v>
      </c>
      <c r="C35" s="77" t="s">
        <v>48</v>
      </c>
      <c r="D35" s="78">
        <v>1</v>
      </c>
      <c r="E35" s="79"/>
      <c r="F35" s="79">
        <f t="shared" si="0"/>
        <v>0</v>
      </c>
      <c r="G35" s="2"/>
      <c r="H35" s="37">
        <v>37290</v>
      </c>
      <c r="I35" s="4">
        <f t="shared" si="1"/>
        <v>0</v>
      </c>
      <c r="J35" s="25">
        <v>1</v>
      </c>
    </row>
    <row r="36" spans="1:10" ht="16.95" customHeight="1">
      <c r="A36" s="75">
        <v>25</v>
      </c>
      <c r="B36" s="80" t="s">
        <v>115</v>
      </c>
      <c r="C36" s="77" t="s">
        <v>48</v>
      </c>
      <c r="D36" s="78">
        <v>1</v>
      </c>
      <c r="E36" s="79"/>
      <c r="F36" s="79">
        <f t="shared" si="0"/>
        <v>0</v>
      </c>
      <c r="G36" s="2"/>
      <c r="H36" s="37">
        <v>99394</v>
      </c>
      <c r="I36" s="4">
        <f t="shared" si="1"/>
        <v>0</v>
      </c>
      <c r="J36" s="25">
        <v>1</v>
      </c>
    </row>
    <row r="37" spans="1:10" ht="34.950000000000003" customHeight="1">
      <c r="A37" s="75">
        <v>26</v>
      </c>
      <c r="B37" s="80" t="s">
        <v>116</v>
      </c>
      <c r="C37" s="77" t="s">
        <v>48</v>
      </c>
      <c r="D37" s="78">
        <v>1</v>
      </c>
      <c r="E37" s="79"/>
      <c r="F37" s="79">
        <f t="shared" si="0"/>
        <v>0</v>
      </c>
      <c r="G37" s="2"/>
      <c r="H37" s="37">
        <v>21334</v>
      </c>
      <c r="I37" s="4">
        <f t="shared" si="1"/>
        <v>0</v>
      </c>
      <c r="J37" s="25">
        <v>1</v>
      </c>
    </row>
    <row r="38" spans="1:10" ht="16.95" customHeight="1">
      <c r="A38" s="75">
        <v>27</v>
      </c>
      <c r="B38" s="80" t="s">
        <v>117</v>
      </c>
      <c r="C38" s="77" t="s">
        <v>48</v>
      </c>
      <c r="D38" s="78">
        <v>1</v>
      </c>
      <c r="E38" s="79"/>
      <c r="F38" s="79">
        <f t="shared" si="0"/>
        <v>0</v>
      </c>
      <c r="G38" s="2"/>
      <c r="H38" s="37">
        <v>29620</v>
      </c>
      <c r="I38" s="4">
        <f t="shared" si="1"/>
        <v>0</v>
      </c>
      <c r="J38" s="25">
        <v>1</v>
      </c>
    </row>
    <row r="39" spans="1:10" ht="16.95" customHeight="1">
      <c r="A39" s="75">
        <v>28</v>
      </c>
      <c r="B39" s="80" t="s">
        <v>118</v>
      </c>
      <c r="C39" s="77" t="s">
        <v>48</v>
      </c>
      <c r="D39" s="78">
        <v>1</v>
      </c>
      <c r="E39" s="79"/>
      <c r="F39" s="79">
        <f t="shared" si="0"/>
        <v>0</v>
      </c>
      <c r="G39" s="2"/>
      <c r="H39" s="37">
        <v>18506</v>
      </c>
      <c r="I39" s="4">
        <f t="shared" si="1"/>
        <v>0</v>
      </c>
      <c r="J39" s="25">
        <v>1</v>
      </c>
    </row>
    <row r="40" spans="1:10" ht="16.95" customHeight="1">
      <c r="A40" s="75">
        <v>29</v>
      </c>
      <c r="B40" s="80" t="s">
        <v>119</v>
      </c>
      <c r="C40" s="77" t="s">
        <v>48</v>
      </c>
      <c r="D40" s="78">
        <v>1</v>
      </c>
      <c r="E40" s="79"/>
      <c r="F40" s="79">
        <f t="shared" si="0"/>
        <v>0</v>
      </c>
      <c r="G40" s="2"/>
      <c r="H40" s="37">
        <v>34381</v>
      </c>
      <c r="I40" s="4">
        <f t="shared" si="1"/>
        <v>0</v>
      </c>
      <c r="J40" s="25">
        <v>1</v>
      </c>
    </row>
    <row r="41" spans="1:10" ht="16.95" customHeight="1">
      <c r="A41" s="75" t="s">
        <v>79</v>
      </c>
      <c r="B41" s="80" t="s">
        <v>80</v>
      </c>
      <c r="C41" s="77" t="s">
        <v>48</v>
      </c>
      <c r="D41" s="78">
        <v>1</v>
      </c>
      <c r="E41" s="79">
        <f t="shared" ref="E41:E44" si="2">1/120</f>
        <v>8.3333333333333332E-3</v>
      </c>
      <c r="F41" s="79">
        <f t="shared" si="0"/>
        <v>8.3333333333333332E-3</v>
      </c>
      <c r="G41" s="2"/>
      <c r="H41" s="37">
        <v>21395</v>
      </c>
      <c r="I41" s="4">
        <f t="shared" si="1"/>
        <v>178.29166666666666</v>
      </c>
      <c r="J41" s="25">
        <v>1</v>
      </c>
    </row>
    <row r="42" spans="1:10" ht="16.95" customHeight="1">
      <c r="A42" s="75" t="s">
        <v>81</v>
      </c>
      <c r="B42" s="80" t="s">
        <v>82</v>
      </c>
      <c r="C42" s="77" t="s">
        <v>48</v>
      </c>
      <c r="D42" s="78">
        <v>1</v>
      </c>
      <c r="E42" s="79">
        <f t="shared" si="2"/>
        <v>8.3333333333333332E-3</v>
      </c>
      <c r="F42" s="79">
        <f t="shared" si="0"/>
        <v>8.3333333333333332E-3</v>
      </c>
      <c r="G42" s="2"/>
      <c r="H42" s="37">
        <v>21395</v>
      </c>
      <c r="I42" s="4">
        <f t="shared" si="1"/>
        <v>178.29166666666666</v>
      </c>
      <c r="J42" s="25">
        <v>1</v>
      </c>
    </row>
    <row r="43" spans="1:10" ht="16.95" customHeight="1">
      <c r="A43" s="75" t="s">
        <v>83</v>
      </c>
      <c r="B43" s="80" t="s">
        <v>84</v>
      </c>
      <c r="C43" s="77" t="s">
        <v>48</v>
      </c>
      <c r="D43" s="78">
        <v>1</v>
      </c>
      <c r="E43" s="79">
        <f t="shared" si="2"/>
        <v>8.3333333333333332E-3</v>
      </c>
      <c r="F43" s="79">
        <f t="shared" si="0"/>
        <v>8.3333333333333332E-3</v>
      </c>
      <c r="G43" s="2"/>
      <c r="H43" s="37">
        <v>149765</v>
      </c>
      <c r="I43" s="4">
        <f t="shared" si="1"/>
        <v>1248.0416666666667</v>
      </c>
      <c r="J43" s="25">
        <v>1</v>
      </c>
    </row>
    <row r="44" spans="1:10" ht="16.95" customHeight="1">
      <c r="A44" s="75" t="s">
        <v>85</v>
      </c>
      <c r="B44" s="80" t="s">
        <v>86</v>
      </c>
      <c r="C44" s="77" t="s">
        <v>48</v>
      </c>
      <c r="D44" s="78">
        <v>1</v>
      </c>
      <c r="E44" s="79">
        <f t="shared" si="2"/>
        <v>8.3333333333333332E-3</v>
      </c>
      <c r="F44" s="79">
        <f t="shared" si="0"/>
        <v>8.3333333333333332E-3</v>
      </c>
      <c r="G44" s="2"/>
      <c r="H44" s="37">
        <v>6996</v>
      </c>
      <c r="I44" s="4">
        <f t="shared" si="1"/>
        <v>58.3</v>
      </c>
      <c r="J44" s="25">
        <v>1</v>
      </c>
    </row>
    <row r="45" spans="1:10" ht="16.95" customHeight="1">
      <c r="A45" s="75" t="s">
        <v>87</v>
      </c>
      <c r="B45" s="80" t="s">
        <v>88</v>
      </c>
      <c r="C45" s="77" t="s">
        <v>48</v>
      </c>
      <c r="D45" s="78">
        <v>1</v>
      </c>
      <c r="E45" s="79">
        <f>1/120</f>
        <v>8.3333333333333332E-3</v>
      </c>
      <c r="F45" s="79">
        <f t="shared" si="0"/>
        <v>8.3333333333333332E-3</v>
      </c>
      <c r="G45" s="2"/>
      <c r="H45" s="37">
        <v>116952</v>
      </c>
      <c r="I45" s="4">
        <f t="shared" si="1"/>
        <v>974.6</v>
      </c>
      <c r="J45" s="25">
        <v>1</v>
      </c>
    </row>
    <row r="46" spans="1:10" ht="16.95" customHeight="1">
      <c r="A46" s="95" t="s">
        <v>23</v>
      </c>
      <c r="B46" s="95"/>
      <c r="C46" s="50"/>
      <c r="D46" s="50"/>
      <c r="E46" s="50"/>
      <c r="F46" s="50"/>
      <c r="G46" s="50"/>
      <c r="H46" s="3" t="s">
        <v>24</v>
      </c>
      <c r="I46" s="5">
        <f>SUM(I11:I45)</f>
        <v>13145.524999999998</v>
      </c>
      <c r="J46" s="25">
        <v>1</v>
      </c>
    </row>
    <row r="47" spans="1:10" ht="16.95" customHeight="1">
      <c r="A47" s="96" t="s">
        <v>25</v>
      </c>
      <c r="B47" s="96"/>
      <c r="C47" s="50"/>
      <c r="D47" s="50"/>
      <c r="E47" s="50"/>
      <c r="F47" s="50"/>
      <c r="G47" s="50"/>
      <c r="J47" s="25">
        <v>1</v>
      </c>
    </row>
    <row r="48" spans="1:10" ht="16.95" customHeight="1">
      <c r="A48" s="96" t="s">
        <v>26</v>
      </c>
      <c r="B48" s="96"/>
      <c r="C48" s="50"/>
      <c r="D48" s="50"/>
      <c r="E48" s="50"/>
      <c r="F48" s="50"/>
      <c r="G48" s="50"/>
      <c r="J48" s="25">
        <v>1</v>
      </c>
    </row>
    <row r="49" spans="1:10" ht="16.95" customHeight="1">
      <c r="A49" s="95" t="s">
        <v>27</v>
      </c>
      <c r="B49" s="95"/>
      <c r="C49" s="95"/>
      <c r="D49" s="95"/>
      <c r="E49" s="95"/>
      <c r="F49" s="95"/>
      <c r="G49" s="95"/>
      <c r="J49" s="25">
        <v>1</v>
      </c>
    </row>
    <row r="50" spans="1:10" ht="16.95" customHeight="1">
      <c r="A50" s="94" t="s">
        <v>28</v>
      </c>
      <c r="B50" s="94"/>
      <c r="C50" s="51" t="s">
        <v>29</v>
      </c>
      <c r="D50" s="51" t="s">
        <v>30</v>
      </c>
      <c r="E50" s="51" t="s">
        <v>18</v>
      </c>
      <c r="F50" s="51" t="s">
        <v>31</v>
      </c>
      <c r="G50" s="51" t="s">
        <v>20</v>
      </c>
      <c r="J50" s="25">
        <v>1</v>
      </c>
    </row>
    <row r="51" spans="1:10" ht="16.95" customHeight="1">
      <c r="A51" s="96"/>
      <c r="B51" s="96"/>
      <c r="C51" s="50"/>
      <c r="D51" s="50"/>
      <c r="E51" s="50"/>
      <c r="F51" s="50"/>
      <c r="G51" s="51"/>
      <c r="J51" s="25">
        <v>1</v>
      </c>
    </row>
    <row r="52" spans="1:10" ht="16.95" customHeight="1">
      <c r="A52" s="97"/>
      <c r="B52" s="97"/>
      <c r="C52" s="50"/>
      <c r="D52" s="50"/>
      <c r="E52" s="50"/>
      <c r="F52" s="51"/>
      <c r="G52" s="51"/>
      <c r="J52" s="25">
        <v>1</v>
      </c>
    </row>
    <row r="53" spans="1:10" ht="16.95" customHeight="1">
      <c r="A53" s="95" t="s">
        <v>32</v>
      </c>
      <c r="B53" s="95"/>
      <c r="C53" s="95"/>
      <c r="D53" s="95"/>
      <c r="E53" s="95"/>
      <c r="F53" s="95"/>
      <c r="G53" s="95"/>
      <c r="J53" s="25">
        <v>2</v>
      </c>
    </row>
    <row r="54" spans="1:10" ht="16.95" customHeight="1">
      <c r="A54" s="51" t="s">
        <v>33</v>
      </c>
      <c r="B54" s="51" t="s">
        <v>34</v>
      </c>
      <c r="C54" s="94" t="s">
        <v>35</v>
      </c>
      <c r="D54" s="94"/>
      <c r="E54" s="51" t="s">
        <v>36</v>
      </c>
      <c r="F54" s="51" t="s">
        <v>37</v>
      </c>
      <c r="G54" s="51" t="s">
        <v>38</v>
      </c>
      <c r="J54" s="25">
        <v>2</v>
      </c>
    </row>
    <row r="55" spans="1:10" ht="16.95" customHeight="1">
      <c r="A55" s="51" t="s">
        <v>39</v>
      </c>
      <c r="B55" s="6"/>
      <c r="C55" s="94">
        <f>B55</f>
        <v>0</v>
      </c>
      <c r="D55" s="94"/>
      <c r="E55" s="51"/>
      <c r="F55" s="24"/>
      <c r="G55" s="24"/>
      <c r="J55" s="25">
        <v>2</v>
      </c>
    </row>
    <row r="56" spans="1:10" ht="16.95" customHeight="1">
      <c r="A56" s="51" t="s">
        <v>40</v>
      </c>
      <c r="B56" s="6">
        <v>1</v>
      </c>
      <c r="C56" s="94">
        <f>B56</f>
        <v>1</v>
      </c>
      <c r="D56" s="94"/>
      <c r="E56" s="51"/>
      <c r="F56" s="24"/>
      <c r="G56" s="24"/>
      <c r="J56" s="25">
        <v>2</v>
      </c>
    </row>
    <row r="57" spans="1:10" ht="36.6" customHeight="1">
      <c r="A57" s="95" t="s">
        <v>41</v>
      </c>
      <c r="B57" s="95"/>
      <c r="C57" s="95"/>
      <c r="D57" s="95"/>
      <c r="E57" s="95"/>
      <c r="F57" s="95"/>
      <c r="G57" s="95"/>
      <c r="J57" s="25">
        <v>2</v>
      </c>
    </row>
    <row r="58" spans="1:10" ht="90" customHeight="1">
      <c r="A58" s="92" t="s">
        <v>42</v>
      </c>
      <c r="B58" s="92"/>
      <c r="C58" s="92"/>
      <c r="D58" s="92"/>
      <c r="E58" s="92"/>
      <c r="F58" s="92"/>
      <c r="G58" s="92"/>
      <c r="J58" s="25">
        <v>2</v>
      </c>
    </row>
    <row r="59" spans="1:10" ht="16.95" customHeight="1">
      <c r="A59" s="95" t="s">
        <v>43</v>
      </c>
      <c r="B59" s="95"/>
      <c r="C59" s="95"/>
      <c r="D59" s="95"/>
      <c r="E59" s="95"/>
      <c r="F59" s="95"/>
      <c r="G59" s="95"/>
      <c r="J59" s="25">
        <v>2</v>
      </c>
    </row>
    <row r="60" spans="1:10" ht="16.95" customHeight="1">
      <c r="A60" s="95" t="s">
        <v>44</v>
      </c>
      <c r="B60" s="95"/>
      <c r="C60" s="95"/>
      <c r="D60" s="95"/>
      <c r="E60" s="95"/>
      <c r="F60" s="95"/>
      <c r="G60" s="95"/>
      <c r="J60" s="25">
        <v>2</v>
      </c>
    </row>
    <row r="61" spans="1:10" ht="16.95" customHeight="1">
      <c r="A61" s="91" t="s">
        <v>124</v>
      </c>
      <c r="B61" s="91"/>
      <c r="C61" s="91"/>
      <c r="D61" s="91"/>
      <c r="E61" s="91"/>
      <c r="F61" s="91"/>
      <c r="G61" s="91"/>
      <c r="J61" s="25">
        <v>2</v>
      </c>
    </row>
    <row r="62" spans="1:10" ht="120.6" customHeight="1">
      <c r="A62" s="92" t="s">
        <v>45</v>
      </c>
      <c r="B62" s="92"/>
      <c r="C62" s="92"/>
      <c r="D62" s="92"/>
      <c r="E62" s="92"/>
      <c r="F62" s="92"/>
      <c r="G62" s="92"/>
      <c r="J62" s="25">
        <v>2</v>
      </c>
    </row>
    <row r="63" spans="1:10" ht="140.4" customHeight="1">
      <c r="A63" s="93" t="s">
        <v>46</v>
      </c>
      <c r="B63" s="93"/>
      <c r="C63" s="93"/>
      <c r="D63" s="93"/>
      <c r="E63" s="93"/>
      <c r="F63" s="93"/>
      <c r="G63" s="93"/>
      <c r="J63" s="25">
        <v>2</v>
      </c>
    </row>
    <row r="64" spans="1:10" ht="37.200000000000003" customHeight="1">
      <c r="A64" s="103" t="s">
        <v>0</v>
      </c>
      <c r="B64" s="103"/>
      <c r="C64" s="103"/>
      <c r="D64" s="103"/>
      <c r="E64" s="103"/>
      <c r="F64" s="103"/>
      <c r="G64" s="103"/>
      <c r="J64" s="25">
        <f t="shared" ref="J64:J127" si="3">J1+2</f>
        <v>3</v>
      </c>
    </row>
    <row r="65" spans="1:10" ht="16.95" customHeight="1">
      <c r="A65" s="1" t="s">
        <v>1</v>
      </c>
      <c r="B65" s="104">
        <f>B2+1</f>
        <v>2</v>
      </c>
      <c r="C65" s="104"/>
      <c r="D65" s="104"/>
      <c r="E65" s="104"/>
      <c r="F65" s="104"/>
      <c r="G65" s="104"/>
      <c r="J65" s="25">
        <f t="shared" si="3"/>
        <v>3</v>
      </c>
    </row>
    <row r="66" spans="1:10" ht="16.95" customHeight="1">
      <c r="A66" s="1" t="s">
        <v>2</v>
      </c>
      <c r="B66" s="105" t="s">
        <v>63</v>
      </c>
      <c r="C66" s="105"/>
      <c r="D66" s="105"/>
      <c r="E66" s="106">
        <f>E3+1</f>
        <v>46205</v>
      </c>
      <c r="F66" s="106"/>
      <c r="G66" s="106"/>
      <c r="J66" s="25">
        <f t="shared" si="3"/>
        <v>3</v>
      </c>
    </row>
    <row r="67" spans="1:10" ht="16.95" customHeight="1">
      <c r="A67" s="53" t="s">
        <v>3</v>
      </c>
      <c r="B67" s="2" t="s">
        <v>67</v>
      </c>
      <c r="C67" s="98" t="s">
        <v>4</v>
      </c>
      <c r="D67" s="98"/>
      <c r="E67" s="98" t="s">
        <v>47</v>
      </c>
      <c r="F67" s="98"/>
      <c r="G67" s="98"/>
      <c r="J67" s="25">
        <f t="shared" si="3"/>
        <v>3</v>
      </c>
    </row>
    <row r="68" spans="1:10" ht="16.95" customHeight="1">
      <c r="A68" s="53" t="s">
        <v>5</v>
      </c>
      <c r="B68" s="54">
        <v>120</v>
      </c>
      <c r="C68" s="98" t="s">
        <v>6</v>
      </c>
      <c r="D68" s="98"/>
      <c r="E68" s="98" t="s">
        <v>123</v>
      </c>
      <c r="F68" s="98"/>
      <c r="G68" s="98"/>
      <c r="J68" s="25">
        <f t="shared" si="3"/>
        <v>3</v>
      </c>
    </row>
    <row r="69" spans="1:10" ht="16.95" customHeight="1">
      <c r="A69" s="53" t="s">
        <v>7</v>
      </c>
      <c r="B69" s="54">
        <f>B65</f>
        <v>2</v>
      </c>
      <c r="C69" s="100" t="s">
        <v>8</v>
      </c>
      <c r="D69" s="100"/>
      <c r="E69" s="101">
        <f>B68-B69</f>
        <v>118</v>
      </c>
      <c r="F69" s="101"/>
      <c r="G69" s="101"/>
      <c r="J69" s="25">
        <f t="shared" si="3"/>
        <v>3</v>
      </c>
    </row>
    <row r="70" spans="1:10" ht="16.95" customHeight="1">
      <c r="A70" s="53" t="s">
        <v>9</v>
      </c>
      <c r="B70" s="55">
        <v>46204</v>
      </c>
      <c r="C70" s="98" t="s">
        <v>10</v>
      </c>
      <c r="D70" s="98"/>
      <c r="E70" s="102">
        <f>B70+B68-1</f>
        <v>46323</v>
      </c>
      <c r="F70" s="102"/>
      <c r="G70" s="102"/>
      <c r="J70" s="25">
        <f t="shared" si="3"/>
        <v>3</v>
      </c>
    </row>
    <row r="71" spans="1:10" ht="16.95" customHeight="1">
      <c r="A71" s="53" t="s">
        <v>11</v>
      </c>
      <c r="B71" s="56">
        <f>HLOOKUP(B65,進度表!$Q$2:$Z$3,2,1)+B8</f>
        <v>7.9601689739413704E-3</v>
      </c>
      <c r="C71" s="98" t="s">
        <v>12</v>
      </c>
      <c r="D71" s="98"/>
      <c r="E71" s="99">
        <f>I109/I71+E8</f>
        <v>1.1483277687296414E-2</v>
      </c>
      <c r="F71" s="99"/>
      <c r="G71" s="99"/>
      <c r="H71" s="3" t="s">
        <v>62</v>
      </c>
      <c r="I71" s="1">
        <v>2456000</v>
      </c>
      <c r="J71" s="25">
        <f t="shared" si="3"/>
        <v>3</v>
      </c>
    </row>
    <row r="72" spans="1:10" ht="16.95" customHeight="1">
      <c r="A72" s="98" t="s">
        <v>13</v>
      </c>
      <c r="B72" s="98"/>
      <c r="C72" s="98"/>
      <c r="D72" s="98"/>
      <c r="E72" s="98"/>
      <c r="F72" s="98"/>
      <c r="G72" s="98"/>
      <c r="J72" s="25">
        <f t="shared" si="3"/>
        <v>3</v>
      </c>
    </row>
    <row r="73" spans="1:10" ht="16.95" customHeight="1">
      <c r="A73" s="52" t="s">
        <v>14</v>
      </c>
      <c r="B73" s="52" t="s">
        <v>15</v>
      </c>
      <c r="C73" s="52" t="s">
        <v>16</v>
      </c>
      <c r="D73" s="52" t="s">
        <v>17</v>
      </c>
      <c r="E73" s="52" t="s">
        <v>18</v>
      </c>
      <c r="F73" s="52" t="s">
        <v>19</v>
      </c>
      <c r="G73" s="52" t="s">
        <v>20</v>
      </c>
      <c r="H73" s="3" t="s">
        <v>21</v>
      </c>
      <c r="I73" s="3" t="s">
        <v>22</v>
      </c>
      <c r="J73" s="25">
        <f t="shared" si="3"/>
        <v>3</v>
      </c>
    </row>
    <row r="74" spans="1:10" ht="16.95" customHeight="1">
      <c r="A74" s="75" t="s">
        <v>65</v>
      </c>
      <c r="B74" s="76" t="s">
        <v>69</v>
      </c>
      <c r="C74" s="77"/>
      <c r="D74" s="78"/>
      <c r="E74" s="79"/>
      <c r="F74" s="79"/>
      <c r="G74" s="2"/>
      <c r="H74" s="37"/>
      <c r="I74" s="4"/>
      <c r="J74" s="25">
        <f t="shared" si="3"/>
        <v>3</v>
      </c>
    </row>
    <row r="75" spans="1:10" ht="34.950000000000003" customHeight="1">
      <c r="A75" s="75">
        <v>1</v>
      </c>
      <c r="B75" s="80" t="s">
        <v>91</v>
      </c>
      <c r="C75" s="77" t="s">
        <v>48</v>
      </c>
      <c r="D75" s="78">
        <v>1</v>
      </c>
      <c r="E75" s="79"/>
      <c r="F75" s="79">
        <f t="shared" ref="F75:F108" si="4">E75+F12</f>
        <v>1</v>
      </c>
      <c r="G75" s="2"/>
      <c r="H75" s="37">
        <v>10508</v>
      </c>
      <c r="I75" s="4">
        <f>H75*E75</f>
        <v>0</v>
      </c>
      <c r="J75" s="25">
        <f t="shared" si="3"/>
        <v>3</v>
      </c>
    </row>
    <row r="76" spans="1:10" ht="34.799999999999997" customHeight="1">
      <c r="A76" s="75">
        <v>2</v>
      </c>
      <c r="B76" s="80" t="s">
        <v>92</v>
      </c>
      <c r="C76" s="77" t="s">
        <v>48</v>
      </c>
      <c r="D76" s="78">
        <v>1</v>
      </c>
      <c r="E76" s="79"/>
      <c r="F76" s="79">
        <f t="shared" si="4"/>
        <v>0</v>
      </c>
      <c r="G76" s="2"/>
      <c r="H76" s="37">
        <v>13223</v>
      </c>
      <c r="I76" s="4">
        <f>H76*E76</f>
        <v>0</v>
      </c>
      <c r="J76" s="25">
        <f t="shared" si="3"/>
        <v>3</v>
      </c>
    </row>
    <row r="77" spans="1:10" ht="53.4" customHeight="1">
      <c r="A77" s="75">
        <v>3</v>
      </c>
      <c r="B77" s="80" t="s">
        <v>93</v>
      </c>
      <c r="C77" s="77" t="s">
        <v>48</v>
      </c>
      <c r="D77" s="78">
        <v>1</v>
      </c>
      <c r="E77" s="79">
        <v>0.04</v>
      </c>
      <c r="F77" s="79">
        <f t="shared" si="4"/>
        <v>0.04</v>
      </c>
      <c r="G77" s="2"/>
      <c r="H77" s="37">
        <v>310497</v>
      </c>
      <c r="I77" s="4">
        <f t="shared" ref="I77:I108" si="5">H77*E77</f>
        <v>12419.880000000001</v>
      </c>
      <c r="J77" s="25">
        <f t="shared" si="3"/>
        <v>3</v>
      </c>
    </row>
    <row r="78" spans="1:10" ht="16.95" customHeight="1">
      <c r="A78" s="75">
        <v>4</v>
      </c>
      <c r="B78" s="80" t="s">
        <v>94</v>
      </c>
      <c r="C78" s="77" t="s">
        <v>48</v>
      </c>
      <c r="D78" s="78">
        <v>1</v>
      </c>
      <c r="E78" s="79"/>
      <c r="F78" s="79">
        <f t="shared" si="4"/>
        <v>0</v>
      </c>
      <c r="G78" s="2"/>
      <c r="H78" s="37">
        <v>8375</v>
      </c>
      <c r="I78" s="4">
        <f t="shared" si="5"/>
        <v>0</v>
      </c>
      <c r="J78" s="25">
        <f t="shared" si="3"/>
        <v>3</v>
      </c>
    </row>
    <row r="79" spans="1:10" ht="16.95" customHeight="1">
      <c r="A79" s="75">
        <v>5</v>
      </c>
      <c r="B79" s="80" t="s">
        <v>95</v>
      </c>
      <c r="C79" s="77" t="s">
        <v>48</v>
      </c>
      <c r="D79" s="78">
        <v>1</v>
      </c>
      <c r="E79" s="79"/>
      <c r="F79" s="79">
        <f t="shared" si="4"/>
        <v>0</v>
      </c>
      <c r="G79" s="2"/>
      <c r="H79" s="37">
        <v>51618</v>
      </c>
      <c r="I79" s="4">
        <f t="shared" si="5"/>
        <v>0</v>
      </c>
      <c r="J79" s="25">
        <f t="shared" si="3"/>
        <v>3</v>
      </c>
    </row>
    <row r="80" spans="1:10" ht="16.95" customHeight="1">
      <c r="A80" s="75">
        <v>6</v>
      </c>
      <c r="B80" s="80" t="s">
        <v>96</v>
      </c>
      <c r="C80" s="77" t="s">
        <v>50</v>
      </c>
      <c r="D80" s="78">
        <v>11.55</v>
      </c>
      <c r="E80" s="79"/>
      <c r="F80" s="79">
        <f t="shared" si="4"/>
        <v>0</v>
      </c>
      <c r="G80" s="2"/>
      <c r="H80" s="37">
        <v>1188</v>
      </c>
      <c r="I80" s="4">
        <f t="shared" si="5"/>
        <v>0</v>
      </c>
      <c r="J80" s="25">
        <f t="shared" si="3"/>
        <v>3</v>
      </c>
    </row>
    <row r="81" spans="1:10" ht="34.950000000000003" customHeight="1">
      <c r="A81" s="75">
        <v>7</v>
      </c>
      <c r="B81" s="80" t="s">
        <v>97</v>
      </c>
      <c r="C81" s="77" t="s">
        <v>48</v>
      </c>
      <c r="D81" s="78">
        <v>1</v>
      </c>
      <c r="E81" s="79"/>
      <c r="F81" s="79">
        <f t="shared" si="4"/>
        <v>0</v>
      </c>
      <c r="G81" s="2"/>
      <c r="H81" s="37">
        <v>21157</v>
      </c>
      <c r="I81" s="4">
        <f t="shared" si="5"/>
        <v>0</v>
      </c>
      <c r="J81" s="25">
        <f t="shared" si="3"/>
        <v>3</v>
      </c>
    </row>
    <row r="82" spans="1:10" ht="16.95" customHeight="1">
      <c r="A82" s="75">
        <v>8</v>
      </c>
      <c r="B82" s="80" t="s">
        <v>98</v>
      </c>
      <c r="C82" s="77" t="s">
        <v>50</v>
      </c>
      <c r="D82" s="78">
        <v>387</v>
      </c>
      <c r="E82" s="79"/>
      <c r="F82" s="79">
        <f t="shared" si="4"/>
        <v>0</v>
      </c>
      <c r="G82" s="2"/>
      <c r="H82" s="37">
        <v>705</v>
      </c>
      <c r="I82" s="4">
        <f t="shared" si="5"/>
        <v>0</v>
      </c>
      <c r="J82" s="25">
        <f t="shared" si="3"/>
        <v>3</v>
      </c>
    </row>
    <row r="83" spans="1:10" ht="16.95" customHeight="1">
      <c r="A83" s="75">
        <v>9</v>
      </c>
      <c r="B83" s="80" t="s">
        <v>99</v>
      </c>
      <c r="C83" s="77" t="s">
        <v>50</v>
      </c>
      <c r="D83" s="78">
        <v>170</v>
      </c>
      <c r="E83" s="79"/>
      <c r="F83" s="79">
        <f t="shared" si="4"/>
        <v>0</v>
      </c>
      <c r="G83" s="2"/>
      <c r="H83" s="37">
        <v>617</v>
      </c>
      <c r="I83" s="4">
        <f t="shared" si="5"/>
        <v>0</v>
      </c>
      <c r="J83" s="25">
        <f t="shared" si="3"/>
        <v>3</v>
      </c>
    </row>
    <row r="84" spans="1:10" ht="16.95" customHeight="1">
      <c r="A84" s="75">
        <v>10</v>
      </c>
      <c r="B84" s="80" t="s">
        <v>100</v>
      </c>
      <c r="C84" s="77" t="s">
        <v>66</v>
      </c>
      <c r="D84" s="78">
        <v>15</v>
      </c>
      <c r="E84" s="79"/>
      <c r="F84" s="79">
        <f t="shared" si="4"/>
        <v>0</v>
      </c>
      <c r="G84" s="2"/>
      <c r="H84" s="37">
        <v>617</v>
      </c>
      <c r="I84" s="4">
        <f t="shared" si="5"/>
        <v>0</v>
      </c>
      <c r="J84" s="25">
        <f t="shared" si="3"/>
        <v>3</v>
      </c>
    </row>
    <row r="85" spans="1:10" ht="16.95" customHeight="1">
      <c r="A85" s="75">
        <v>11</v>
      </c>
      <c r="B85" s="80" t="s">
        <v>101</v>
      </c>
      <c r="C85" s="77" t="s">
        <v>50</v>
      </c>
      <c r="D85" s="78">
        <v>75</v>
      </c>
      <c r="E85" s="79"/>
      <c r="F85" s="79">
        <f t="shared" si="4"/>
        <v>0</v>
      </c>
      <c r="G85" s="2"/>
      <c r="H85" s="37">
        <v>1146</v>
      </c>
      <c r="I85" s="4">
        <f t="shared" si="5"/>
        <v>0</v>
      </c>
      <c r="J85" s="25">
        <f t="shared" si="3"/>
        <v>3</v>
      </c>
    </row>
    <row r="86" spans="1:10" ht="16.95" customHeight="1">
      <c r="A86" s="75">
        <v>12</v>
      </c>
      <c r="B86" s="80" t="s">
        <v>102</v>
      </c>
      <c r="C86" s="77" t="s">
        <v>50</v>
      </c>
      <c r="D86" s="78">
        <v>5</v>
      </c>
      <c r="E86" s="79"/>
      <c r="F86" s="79">
        <f t="shared" si="4"/>
        <v>0</v>
      </c>
      <c r="G86" s="2"/>
      <c r="H86" s="37">
        <v>1455</v>
      </c>
      <c r="I86" s="4">
        <f t="shared" si="5"/>
        <v>0</v>
      </c>
      <c r="J86" s="25">
        <f t="shared" si="3"/>
        <v>3</v>
      </c>
    </row>
    <row r="87" spans="1:10" ht="16.95" customHeight="1">
      <c r="A87" s="75">
        <v>13</v>
      </c>
      <c r="B87" s="80" t="s">
        <v>103</v>
      </c>
      <c r="C87" s="77" t="s">
        <v>50</v>
      </c>
      <c r="D87" s="78">
        <v>217</v>
      </c>
      <c r="E87" s="79"/>
      <c r="F87" s="79">
        <f t="shared" si="4"/>
        <v>0</v>
      </c>
      <c r="G87" s="2"/>
      <c r="H87" s="37">
        <v>1410</v>
      </c>
      <c r="I87" s="4">
        <f t="shared" si="5"/>
        <v>0</v>
      </c>
      <c r="J87" s="25">
        <f t="shared" si="3"/>
        <v>3</v>
      </c>
    </row>
    <row r="88" spans="1:10" ht="16.95" customHeight="1">
      <c r="A88" s="75">
        <v>14</v>
      </c>
      <c r="B88" s="80" t="s">
        <v>104</v>
      </c>
      <c r="C88" s="77" t="s">
        <v>49</v>
      </c>
      <c r="D88" s="78">
        <v>84</v>
      </c>
      <c r="E88" s="79"/>
      <c r="F88" s="79">
        <f t="shared" si="4"/>
        <v>0</v>
      </c>
      <c r="G88" s="2"/>
      <c r="H88" s="37">
        <v>529</v>
      </c>
      <c r="I88" s="4">
        <f t="shared" si="5"/>
        <v>0</v>
      </c>
      <c r="J88" s="25">
        <f t="shared" si="3"/>
        <v>3</v>
      </c>
    </row>
    <row r="89" spans="1:10" ht="16.95" customHeight="1">
      <c r="A89" s="75">
        <v>15</v>
      </c>
      <c r="B89" s="80" t="s">
        <v>105</v>
      </c>
      <c r="C89" s="77" t="s">
        <v>50</v>
      </c>
      <c r="D89" s="78">
        <v>1</v>
      </c>
      <c r="E89" s="79"/>
      <c r="F89" s="79">
        <f t="shared" si="4"/>
        <v>0</v>
      </c>
      <c r="G89" s="2"/>
      <c r="H89" s="37">
        <v>1146</v>
      </c>
      <c r="I89" s="4">
        <f t="shared" si="5"/>
        <v>0</v>
      </c>
      <c r="J89" s="25">
        <f t="shared" si="3"/>
        <v>3</v>
      </c>
    </row>
    <row r="90" spans="1:10" ht="34.799999999999997" customHeight="1">
      <c r="A90" s="75">
        <v>16</v>
      </c>
      <c r="B90" s="80" t="s">
        <v>106</v>
      </c>
      <c r="C90" s="77" t="s">
        <v>50</v>
      </c>
      <c r="D90" s="78">
        <v>314</v>
      </c>
      <c r="E90" s="79"/>
      <c r="F90" s="79">
        <f t="shared" si="4"/>
        <v>0</v>
      </c>
      <c r="G90" s="2"/>
      <c r="H90" s="37">
        <v>185</v>
      </c>
      <c r="I90" s="4">
        <f t="shared" si="5"/>
        <v>0</v>
      </c>
      <c r="J90" s="25">
        <f t="shared" si="3"/>
        <v>3</v>
      </c>
    </row>
    <row r="91" spans="1:10" ht="16.95" customHeight="1">
      <c r="A91" s="75">
        <v>17</v>
      </c>
      <c r="B91" s="80" t="s">
        <v>107</v>
      </c>
      <c r="C91" s="77" t="s">
        <v>48</v>
      </c>
      <c r="D91" s="78">
        <v>1</v>
      </c>
      <c r="E91" s="79"/>
      <c r="F91" s="79">
        <f t="shared" si="4"/>
        <v>0</v>
      </c>
      <c r="G91" s="2"/>
      <c r="H91" s="37">
        <v>89918</v>
      </c>
      <c r="I91" s="4">
        <f t="shared" si="5"/>
        <v>0</v>
      </c>
      <c r="J91" s="25">
        <f t="shared" si="3"/>
        <v>3</v>
      </c>
    </row>
    <row r="92" spans="1:10" ht="16.95" customHeight="1">
      <c r="A92" s="75">
        <v>18</v>
      </c>
      <c r="B92" s="80" t="s">
        <v>108</v>
      </c>
      <c r="C92" s="77" t="s">
        <v>120</v>
      </c>
      <c r="D92" s="78">
        <v>15</v>
      </c>
      <c r="E92" s="79"/>
      <c r="F92" s="79">
        <f t="shared" si="4"/>
        <v>0</v>
      </c>
      <c r="G92" s="2"/>
      <c r="H92" s="37">
        <v>661</v>
      </c>
      <c r="I92" s="4">
        <f t="shared" si="5"/>
        <v>0</v>
      </c>
      <c r="J92" s="25">
        <f t="shared" si="3"/>
        <v>3</v>
      </c>
    </row>
    <row r="93" spans="1:10" ht="16.95" customHeight="1">
      <c r="A93" s="75">
        <v>19</v>
      </c>
      <c r="B93" s="80" t="s">
        <v>109</v>
      </c>
      <c r="C93" s="77" t="s">
        <v>50</v>
      </c>
      <c r="D93" s="78">
        <v>82</v>
      </c>
      <c r="E93" s="79"/>
      <c r="F93" s="79">
        <f t="shared" si="4"/>
        <v>0</v>
      </c>
      <c r="G93" s="2"/>
      <c r="H93" s="37">
        <v>2909</v>
      </c>
      <c r="I93" s="4">
        <f t="shared" si="5"/>
        <v>0</v>
      </c>
      <c r="J93" s="25">
        <f t="shared" si="3"/>
        <v>3</v>
      </c>
    </row>
    <row r="94" spans="1:10" ht="16.95" customHeight="1">
      <c r="A94" s="75">
        <v>20</v>
      </c>
      <c r="B94" s="80" t="s">
        <v>110</v>
      </c>
      <c r="C94" s="77" t="s">
        <v>121</v>
      </c>
      <c r="D94" s="78">
        <v>12</v>
      </c>
      <c r="E94" s="79"/>
      <c r="F94" s="79">
        <f t="shared" si="4"/>
        <v>0</v>
      </c>
      <c r="G94" s="2"/>
      <c r="H94" s="37">
        <v>882</v>
      </c>
      <c r="I94" s="4">
        <f t="shared" si="5"/>
        <v>0</v>
      </c>
      <c r="J94" s="25">
        <f t="shared" si="3"/>
        <v>3</v>
      </c>
    </row>
    <row r="95" spans="1:10" ht="16.95" customHeight="1">
      <c r="A95" s="77">
        <v>21</v>
      </c>
      <c r="B95" s="80" t="s">
        <v>111</v>
      </c>
      <c r="C95" s="77" t="s">
        <v>122</v>
      </c>
      <c r="D95" s="78">
        <v>3</v>
      </c>
      <c r="E95" s="79"/>
      <c r="F95" s="79">
        <f t="shared" si="4"/>
        <v>0</v>
      </c>
      <c r="G95" s="2"/>
      <c r="H95" s="38">
        <v>1869</v>
      </c>
      <c r="I95" s="4">
        <f t="shared" si="5"/>
        <v>0</v>
      </c>
      <c r="J95" s="25">
        <f t="shared" si="3"/>
        <v>3</v>
      </c>
    </row>
    <row r="96" spans="1:10" ht="34.950000000000003" customHeight="1">
      <c r="A96" s="75">
        <v>22</v>
      </c>
      <c r="B96" s="80" t="s">
        <v>112</v>
      </c>
      <c r="C96" s="77" t="s">
        <v>48</v>
      </c>
      <c r="D96" s="78">
        <v>1</v>
      </c>
      <c r="E96" s="79"/>
      <c r="F96" s="79">
        <f t="shared" si="4"/>
        <v>0</v>
      </c>
      <c r="G96" s="2"/>
      <c r="H96" s="37">
        <v>82206</v>
      </c>
      <c r="I96" s="4">
        <f t="shared" si="5"/>
        <v>0</v>
      </c>
      <c r="J96" s="25">
        <f t="shared" si="3"/>
        <v>3</v>
      </c>
    </row>
    <row r="97" spans="1:10" ht="16.95" customHeight="1">
      <c r="A97" s="75">
        <v>23</v>
      </c>
      <c r="B97" s="80" t="s">
        <v>113</v>
      </c>
      <c r="C97" s="77" t="s">
        <v>48</v>
      </c>
      <c r="D97" s="78">
        <v>1</v>
      </c>
      <c r="E97" s="79"/>
      <c r="F97" s="79">
        <f t="shared" si="4"/>
        <v>0</v>
      </c>
      <c r="G97" s="2"/>
      <c r="H97" s="37">
        <v>142723</v>
      </c>
      <c r="I97" s="4">
        <f t="shared" si="5"/>
        <v>0</v>
      </c>
      <c r="J97" s="25">
        <f t="shared" si="3"/>
        <v>3</v>
      </c>
    </row>
    <row r="98" spans="1:10" ht="16.95" customHeight="1">
      <c r="A98" s="75">
        <v>24</v>
      </c>
      <c r="B98" s="80" t="s">
        <v>114</v>
      </c>
      <c r="C98" s="77" t="s">
        <v>48</v>
      </c>
      <c r="D98" s="78">
        <v>1</v>
      </c>
      <c r="E98" s="79"/>
      <c r="F98" s="79">
        <f t="shared" si="4"/>
        <v>0</v>
      </c>
      <c r="G98" s="2"/>
      <c r="H98" s="37">
        <v>37290</v>
      </c>
      <c r="I98" s="4">
        <f t="shared" si="5"/>
        <v>0</v>
      </c>
      <c r="J98" s="25">
        <f t="shared" si="3"/>
        <v>3</v>
      </c>
    </row>
    <row r="99" spans="1:10" ht="16.95" customHeight="1">
      <c r="A99" s="75">
        <v>25</v>
      </c>
      <c r="B99" s="80" t="s">
        <v>115</v>
      </c>
      <c r="C99" s="77" t="s">
        <v>48</v>
      </c>
      <c r="D99" s="78">
        <v>1</v>
      </c>
      <c r="E99" s="79"/>
      <c r="F99" s="79">
        <f t="shared" si="4"/>
        <v>0</v>
      </c>
      <c r="G99" s="2"/>
      <c r="H99" s="37">
        <v>99394</v>
      </c>
      <c r="I99" s="4">
        <f t="shared" si="5"/>
        <v>0</v>
      </c>
      <c r="J99" s="25">
        <f t="shared" si="3"/>
        <v>3</v>
      </c>
    </row>
    <row r="100" spans="1:10" ht="34.950000000000003" customHeight="1">
      <c r="A100" s="75">
        <v>26</v>
      </c>
      <c r="B100" s="80" t="s">
        <v>116</v>
      </c>
      <c r="C100" s="77" t="s">
        <v>48</v>
      </c>
      <c r="D100" s="78">
        <v>1</v>
      </c>
      <c r="E100" s="79"/>
      <c r="F100" s="79">
        <f t="shared" si="4"/>
        <v>0</v>
      </c>
      <c r="G100" s="2"/>
      <c r="H100" s="37">
        <v>21334</v>
      </c>
      <c r="I100" s="4">
        <f t="shared" si="5"/>
        <v>0</v>
      </c>
      <c r="J100" s="25">
        <f t="shared" si="3"/>
        <v>3</v>
      </c>
    </row>
    <row r="101" spans="1:10" ht="16.95" customHeight="1">
      <c r="A101" s="75">
        <v>27</v>
      </c>
      <c r="B101" s="80" t="s">
        <v>117</v>
      </c>
      <c r="C101" s="77" t="s">
        <v>48</v>
      </c>
      <c r="D101" s="78">
        <v>1</v>
      </c>
      <c r="E101" s="79"/>
      <c r="F101" s="79">
        <f t="shared" si="4"/>
        <v>0</v>
      </c>
      <c r="G101" s="2"/>
      <c r="H101" s="37">
        <v>29620</v>
      </c>
      <c r="I101" s="4">
        <f t="shared" si="5"/>
        <v>0</v>
      </c>
      <c r="J101" s="25">
        <f t="shared" si="3"/>
        <v>3</v>
      </c>
    </row>
    <row r="102" spans="1:10" ht="16.95" customHeight="1">
      <c r="A102" s="75">
        <v>28</v>
      </c>
      <c r="B102" s="80" t="s">
        <v>118</v>
      </c>
      <c r="C102" s="77" t="s">
        <v>48</v>
      </c>
      <c r="D102" s="78">
        <v>1</v>
      </c>
      <c r="E102" s="79"/>
      <c r="F102" s="79">
        <f t="shared" si="4"/>
        <v>0</v>
      </c>
      <c r="G102" s="2"/>
      <c r="H102" s="37">
        <v>18506</v>
      </c>
      <c r="I102" s="4">
        <f t="shared" si="5"/>
        <v>0</v>
      </c>
      <c r="J102" s="25">
        <f t="shared" si="3"/>
        <v>3</v>
      </c>
    </row>
    <row r="103" spans="1:10" ht="16.95" customHeight="1">
      <c r="A103" s="75">
        <v>29</v>
      </c>
      <c r="B103" s="80" t="s">
        <v>119</v>
      </c>
      <c r="C103" s="77" t="s">
        <v>48</v>
      </c>
      <c r="D103" s="78">
        <v>1</v>
      </c>
      <c r="E103" s="79"/>
      <c r="F103" s="79">
        <f t="shared" si="4"/>
        <v>0</v>
      </c>
      <c r="G103" s="2"/>
      <c r="H103" s="37">
        <v>34381</v>
      </c>
      <c r="I103" s="4">
        <f t="shared" si="5"/>
        <v>0</v>
      </c>
      <c r="J103" s="25">
        <f t="shared" si="3"/>
        <v>3</v>
      </c>
    </row>
    <row r="104" spans="1:10" ht="16.95" customHeight="1">
      <c r="A104" s="75" t="s">
        <v>79</v>
      </c>
      <c r="B104" s="80" t="s">
        <v>80</v>
      </c>
      <c r="C104" s="77" t="s">
        <v>48</v>
      </c>
      <c r="D104" s="78">
        <v>1</v>
      </c>
      <c r="E104" s="79">
        <f t="shared" ref="E104:E107" si="6">1/120</f>
        <v>8.3333333333333332E-3</v>
      </c>
      <c r="F104" s="79">
        <f t="shared" si="4"/>
        <v>1.6666666666666666E-2</v>
      </c>
      <c r="G104" s="2"/>
      <c r="H104" s="37">
        <v>21395</v>
      </c>
      <c r="I104" s="4">
        <f t="shared" si="5"/>
        <v>178.29166666666666</v>
      </c>
      <c r="J104" s="25">
        <f t="shared" si="3"/>
        <v>3</v>
      </c>
    </row>
    <row r="105" spans="1:10" ht="16.95" customHeight="1">
      <c r="A105" s="75" t="s">
        <v>81</v>
      </c>
      <c r="B105" s="80" t="s">
        <v>82</v>
      </c>
      <c r="C105" s="77" t="s">
        <v>48</v>
      </c>
      <c r="D105" s="78">
        <v>1</v>
      </c>
      <c r="E105" s="79">
        <f t="shared" si="6"/>
        <v>8.3333333333333332E-3</v>
      </c>
      <c r="F105" s="79">
        <f t="shared" si="4"/>
        <v>1.6666666666666666E-2</v>
      </c>
      <c r="G105" s="2"/>
      <c r="H105" s="37">
        <v>21395</v>
      </c>
      <c r="I105" s="4">
        <f t="shared" si="5"/>
        <v>178.29166666666666</v>
      </c>
      <c r="J105" s="25">
        <f t="shared" si="3"/>
        <v>3</v>
      </c>
    </row>
    <row r="106" spans="1:10" ht="16.95" customHeight="1">
      <c r="A106" s="75" t="s">
        <v>83</v>
      </c>
      <c r="B106" s="80" t="s">
        <v>84</v>
      </c>
      <c r="C106" s="77" t="s">
        <v>48</v>
      </c>
      <c r="D106" s="78">
        <v>1</v>
      </c>
      <c r="E106" s="79">
        <f t="shared" si="6"/>
        <v>8.3333333333333332E-3</v>
      </c>
      <c r="F106" s="79">
        <f t="shared" si="4"/>
        <v>1.6666666666666666E-2</v>
      </c>
      <c r="G106" s="2"/>
      <c r="H106" s="37">
        <v>149765</v>
      </c>
      <c r="I106" s="4">
        <f t="shared" si="5"/>
        <v>1248.0416666666667</v>
      </c>
      <c r="J106" s="25">
        <f t="shared" si="3"/>
        <v>3</v>
      </c>
    </row>
    <row r="107" spans="1:10" ht="16.95" customHeight="1">
      <c r="A107" s="75" t="s">
        <v>85</v>
      </c>
      <c r="B107" s="80" t="s">
        <v>86</v>
      </c>
      <c r="C107" s="77" t="s">
        <v>48</v>
      </c>
      <c r="D107" s="78">
        <v>1</v>
      </c>
      <c r="E107" s="79">
        <f t="shared" si="6"/>
        <v>8.3333333333333332E-3</v>
      </c>
      <c r="F107" s="79">
        <f t="shared" si="4"/>
        <v>1.6666666666666666E-2</v>
      </c>
      <c r="G107" s="2"/>
      <c r="H107" s="37">
        <v>6996</v>
      </c>
      <c r="I107" s="4">
        <f t="shared" si="5"/>
        <v>58.3</v>
      </c>
      <c r="J107" s="25">
        <f t="shared" si="3"/>
        <v>3</v>
      </c>
    </row>
    <row r="108" spans="1:10" ht="16.95" customHeight="1">
      <c r="A108" s="75" t="s">
        <v>87</v>
      </c>
      <c r="B108" s="80" t="s">
        <v>88</v>
      </c>
      <c r="C108" s="77" t="s">
        <v>48</v>
      </c>
      <c r="D108" s="78">
        <v>1</v>
      </c>
      <c r="E108" s="79">
        <f>1/120</f>
        <v>8.3333333333333332E-3</v>
      </c>
      <c r="F108" s="79">
        <f t="shared" si="4"/>
        <v>1.6666666666666666E-2</v>
      </c>
      <c r="G108" s="2"/>
      <c r="H108" s="37">
        <v>116952</v>
      </c>
      <c r="I108" s="4">
        <f t="shared" si="5"/>
        <v>974.6</v>
      </c>
      <c r="J108" s="25">
        <f t="shared" si="3"/>
        <v>3</v>
      </c>
    </row>
    <row r="109" spans="1:10" ht="16.95" customHeight="1">
      <c r="A109" s="95" t="s">
        <v>23</v>
      </c>
      <c r="B109" s="95"/>
      <c r="C109" s="50"/>
      <c r="D109" s="50"/>
      <c r="E109" s="50"/>
      <c r="F109" s="50"/>
      <c r="G109" s="50"/>
      <c r="H109" s="3" t="s">
        <v>24</v>
      </c>
      <c r="I109" s="5">
        <f>SUM(I74:I108)</f>
        <v>15057.404999999999</v>
      </c>
      <c r="J109" s="25">
        <f t="shared" si="3"/>
        <v>3</v>
      </c>
    </row>
    <row r="110" spans="1:10" ht="16.95" customHeight="1">
      <c r="A110" s="96" t="s">
        <v>25</v>
      </c>
      <c r="B110" s="96"/>
      <c r="C110" s="50"/>
      <c r="D110" s="50"/>
      <c r="E110" s="50"/>
      <c r="F110" s="50"/>
      <c r="G110" s="50"/>
      <c r="J110" s="25">
        <f t="shared" si="3"/>
        <v>3</v>
      </c>
    </row>
    <row r="111" spans="1:10" ht="16.95" customHeight="1">
      <c r="A111" s="96" t="s">
        <v>26</v>
      </c>
      <c r="B111" s="96"/>
      <c r="C111" s="50"/>
      <c r="D111" s="50"/>
      <c r="E111" s="50"/>
      <c r="F111" s="50"/>
      <c r="G111" s="50"/>
      <c r="J111" s="25">
        <f t="shared" si="3"/>
        <v>3</v>
      </c>
    </row>
    <row r="112" spans="1:10" ht="16.95" customHeight="1">
      <c r="A112" s="95" t="s">
        <v>27</v>
      </c>
      <c r="B112" s="95"/>
      <c r="C112" s="95"/>
      <c r="D112" s="95"/>
      <c r="E112" s="95"/>
      <c r="F112" s="95"/>
      <c r="G112" s="95"/>
      <c r="J112" s="25">
        <f t="shared" si="3"/>
        <v>3</v>
      </c>
    </row>
    <row r="113" spans="1:10" ht="16.95" customHeight="1">
      <c r="A113" s="94" t="s">
        <v>28</v>
      </c>
      <c r="B113" s="94"/>
      <c r="C113" s="51" t="s">
        <v>29</v>
      </c>
      <c r="D113" s="51" t="s">
        <v>30</v>
      </c>
      <c r="E113" s="51" t="s">
        <v>18</v>
      </c>
      <c r="F113" s="51" t="s">
        <v>31</v>
      </c>
      <c r="G113" s="51" t="s">
        <v>20</v>
      </c>
      <c r="J113" s="25">
        <f t="shared" si="3"/>
        <v>3</v>
      </c>
    </row>
    <row r="114" spans="1:10" ht="16.95" customHeight="1">
      <c r="A114" s="96"/>
      <c r="B114" s="96"/>
      <c r="C114" s="50"/>
      <c r="D114" s="50"/>
      <c r="E114" s="50"/>
      <c r="F114" s="50"/>
      <c r="G114" s="51"/>
      <c r="J114" s="25">
        <f t="shared" si="3"/>
        <v>3</v>
      </c>
    </row>
    <row r="115" spans="1:10" ht="16.95" customHeight="1">
      <c r="A115" s="97"/>
      <c r="B115" s="97"/>
      <c r="C115" s="50"/>
      <c r="D115" s="50"/>
      <c r="E115" s="50"/>
      <c r="F115" s="51"/>
      <c r="G115" s="51"/>
      <c r="J115" s="25">
        <f t="shared" si="3"/>
        <v>3</v>
      </c>
    </row>
    <row r="116" spans="1:10" ht="16.95" customHeight="1">
      <c r="A116" s="95" t="s">
        <v>32</v>
      </c>
      <c r="B116" s="95"/>
      <c r="C116" s="95"/>
      <c r="D116" s="95"/>
      <c r="E116" s="95"/>
      <c r="F116" s="95"/>
      <c r="G116" s="95"/>
      <c r="J116" s="25">
        <f t="shared" si="3"/>
        <v>4</v>
      </c>
    </row>
    <row r="117" spans="1:10" ht="16.95" customHeight="1">
      <c r="A117" s="51" t="s">
        <v>33</v>
      </c>
      <c r="B117" s="51" t="s">
        <v>34</v>
      </c>
      <c r="C117" s="94" t="s">
        <v>35</v>
      </c>
      <c r="D117" s="94"/>
      <c r="E117" s="51" t="s">
        <v>36</v>
      </c>
      <c r="F117" s="51" t="s">
        <v>37</v>
      </c>
      <c r="G117" s="51" t="s">
        <v>38</v>
      </c>
      <c r="J117" s="25">
        <f t="shared" si="3"/>
        <v>4</v>
      </c>
    </row>
    <row r="118" spans="1:10" ht="16.95" customHeight="1">
      <c r="A118" s="51" t="s">
        <v>39</v>
      </c>
      <c r="B118" s="6">
        <v>1</v>
      </c>
      <c r="C118" s="94">
        <f>B118+C55</f>
        <v>1</v>
      </c>
      <c r="D118" s="94"/>
      <c r="E118" s="51"/>
      <c r="F118" s="24"/>
      <c r="G118" s="24"/>
      <c r="J118" s="25">
        <f t="shared" si="3"/>
        <v>4</v>
      </c>
    </row>
    <row r="119" spans="1:10" ht="16.95" customHeight="1">
      <c r="A119" s="51" t="s">
        <v>40</v>
      </c>
      <c r="B119" s="6">
        <v>1</v>
      </c>
      <c r="C119" s="94">
        <f>B119+C56</f>
        <v>2</v>
      </c>
      <c r="D119" s="94"/>
      <c r="E119" s="51"/>
      <c r="F119" s="24"/>
      <c r="G119" s="24"/>
      <c r="J119" s="25">
        <f t="shared" si="3"/>
        <v>4</v>
      </c>
    </row>
    <row r="120" spans="1:10" ht="36.6" customHeight="1">
      <c r="A120" s="95" t="s">
        <v>41</v>
      </c>
      <c r="B120" s="95"/>
      <c r="C120" s="95"/>
      <c r="D120" s="95"/>
      <c r="E120" s="95"/>
      <c r="F120" s="95"/>
      <c r="G120" s="95"/>
      <c r="J120" s="25">
        <f t="shared" si="3"/>
        <v>4</v>
      </c>
    </row>
    <row r="121" spans="1:10" ht="90" customHeight="1">
      <c r="A121" s="92" t="s">
        <v>42</v>
      </c>
      <c r="B121" s="92"/>
      <c r="C121" s="92"/>
      <c r="D121" s="92"/>
      <c r="E121" s="92"/>
      <c r="F121" s="92"/>
      <c r="G121" s="92"/>
      <c r="J121" s="25">
        <f t="shared" si="3"/>
        <v>4</v>
      </c>
    </row>
    <row r="122" spans="1:10" ht="16.95" customHeight="1">
      <c r="A122" s="95" t="s">
        <v>43</v>
      </c>
      <c r="B122" s="95"/>
      <c r="C122" s="95"/>
      <c r="D122" s="95"/>
      <c r="E122" s="95"/>
      <c r="F122" s="95"/>
      <c r="G122" s="95"/>
      <c r="J122" s="25">
        <f t="shared" si="3"/>
        <v>4</v>
      </c>
    </row>
    <row r="123" spans="1:10" ht="16.95" customHeight="1">
      <c r="A123" s="95" t="s">
        <v>44</v>
      </c>
      <c r="B123" s="95"/>
      <c r="C123" s="95"/>
      <c r="D123" s="95"/>
      <c r="E123" s="95"/>
      <c r="F123" s="95"/>
      <c r="G123" s="95"/>
      <c r="J123" s="25">
        <f t="shared" si="3"/>
        <v>4</v>
      </c>
    </row>
    <row r="124" spans="1:10" ht="16.95" customHeight="1">
      <c r="A124" s="91" t="s">
        <v>125</v>
      </c>
      <c r="B124" s="91"/>
      <c r="C124" s="91"/>
      <c r="D124" s="91"/>
      <c r="E124" s="91"/>
      <c r="F124" s="91"/>
      <c r="G124" s="91"/>
      <c r="J124" s="25">
        <f t="shared" si="3"/>
        <v>4</v>
      </c>
    </row>
    <row r="125" spans="1:10" ht="120.6" customHeight="1">
      <c r="A125" s="92" t="s">
        <v>45</v>
      </c>
      <c r="B125" s="92"/>
      <c r="C125" s="92"/>
      <c r="D125" s="92"/>
      <c r="E125" s="92"/>
      <c r="F125" s="92"/>
      <c r="G125" s="92"/>
      <c r="J125" s="25">
        <f t="shared" si="3"/>
        <v>4</v>
      </c>
    </row>
    <row r="126" spans="1:10" ht="140.4" customHeight="1">
      <c r="A126" s="93" t="s">
        <v>46</v>
      </c>
      <c r="B126" s="93"/>
      <c r="C126" s="93"/>
      <c r="D126" s="93"/>
      <c r="E126" s="93"/>
      <c r="F126" s="93"/>
      <c r="G126" s="93"/>
      <c r="J126" s="25">
        <f t="shared" si="3"/>
        <v>4</v>
      </c>
    </row>
    <row r="127" spans="1:10" ht="37.200000000000003" customHeight="1">
      <c r="A127" s="103" t="s">
        <v>0</v>
      </c>
      <c r="B127" s="103"/>
      <c r="C127" s="103"/>
      <c r="D127" s="103"/>
      <c r="E127" s="103"/>
      <c r="F127" s="103"/>
      <c r="G127" s="103"/>
      <c r="J127" s="25">
        <f t="shared" si="3"/>
        <v>5</v>
      </c>
    </row>
    <row r="128" spans="1:10" ht="16.95" customHeight="1">
      <c r="A128" s="1" t="s">
        <v>1</v>
      </c>
      <c r="B128" s="104">
        <f>B65+1</f>
        <v>3</v>
      </c>
      <c r="C128" s="104"/>
      <c r="D128" s="104"/>
      <c r="E128" s="104"/>
      <c r="F128" s="104"/>
      <c r="G128" s="104"/>
      <c r="J128" s="25">
        <f t="shared" ref="J128:J191" si="7">J65+2</f>
        <v>5</v>
      </c>
    </row>
    <row r="129" spans="1:10" ht="16.95" customHeight="1">
      <c r="A129" s="1" t="s">
        <v>2</v>
      </c>
      <c r="B129" s="105" t="s">
        <v>63</v>
      </c>
      <c r="C129" s="105"/>
      <c r="D129" s="105"/>
      <c r="E129" s="106">
        <f>E66+1</f>
        <v>46206</v>
      </c>
      <c r="F129" s="106"/>
      <c r="G129" s="106"/>
      <c r="J129" s="25">
        <f t="shared" si="7"/>
        <v>5</v>
      </c>
    </row>
    <row r="130" spans="1:10" ht="16.95" customHeight="1">
      <c r="A130" s="53" t="s">
        <v>3</v>
      </c>
      <c r="B130" s="2" t="s">
        <v>67</v>
      </c>
      <c r="C130" s="98" t="s">
        <v>4</v>
      </c>
      <c r="D130" s="98"/>
      <c r="E130" s="98" t="s">
        <v>47</v>
      </c>
      <c r="F130" s="98"/>
      <c r="G130" s="98"/>
      <c r="J130" s="25">
        <f t="shared" si="7"/>
        <v>5</v>
      </c>
    </row>
    <row r="131" spans="1:10" ht="16.95" customHeight="1">
      <c r="A131" s="53" t="s">
        <v>5</v>
      </c>
      <c r="B131" s="54">
        <v>120</v>
      </c>
      <c r="C131" s="98" t="s">
        <v>6</v>
      </c>
      <c r="D131" s="98"/>
      <c r="E131" s="98" t="s">
        <v>123</v>
      </c>
      <c r="F131" s="98"/>
      <c r="G131" s="98"/>
      <c r="J131" s="25">
        <f t="shared" si="7"/>
        <v>5</v>
      </c>
    </row>
    <row r="132" spans="1:10" ht="16.95" customHeight="1">
      <c r="A132" s="53" t="s">
        <v>7</v>
      </c>
      <c r="B132" s="54">
        <f>B128</f>
        <v>3</v>
      </c>
      <c r="C132" s="100" t="s">
        <v>8</v>
      </c>
      <c r="D132" s="100"/>
      <c r="E132" s="101">
        <f>B131-B132</f>
        <v>117</v>
      </c>
      <c r="F132" s="101"/>
      <c r="G132" s="101"/>
      <c r="J132" s="25">
        <f t="shared" si="7"/>
        <v>5</v>
      </c>
    </row>
    <row r="133" spans="1:10" ht="16.95" customHeight="1">
      <c r="A133" s="53" t="s">
        <v>9</v>
      </c>
      <c r="B133" s="55">
        <v>46204</v>
      </c>
      <c r="C133" s="98" t="s">
        <v>10</v>
      </c>
      <c r="D133" s="98"/>
      <c r="E133" s="102">
        <f>B133+B131-1</f>
        <v>46323</v>
      </c>
      <c r="F133" s="102"/>
      <c r="G133" s="102"/>
      <c r="J133" s="25">
        <f t="shared" si="7"/>
        <v>5</v>
      </c>
    </row>
    <row r="134" spans="1:10" ht="16.95" customHeight="1">
      <c r="A134" s="53" t="s">
        <v>11</v>
      </c>
      <c r="B134" s="56">
        <f>HLOOKUP(B128,進度表!$Q$2:$Z$3,2,1)+B71</f>
        <v>1.1940253460912056E-2</v>
      </c>
      <c r="C134" s="98" t="s">
        <v>12</v>
      </c>
      <c r="D134" s="98"/>
      <c r="E134" s="99">
        <f>I172/I134+E71</f>
        <v>1.7614142915309442E-2</v>
      </c>
      <c r="F134" s="99"/>
      <c r="G134" s="99"/>
      <c r="H134" s="3" t="s">
        <v>62</v>
      </c>
      <c r="I134" s="1">
        <v>2456000</v>
      </c>
      <c r="J134" s="25">
        <f t="shared" si="7"/>
        <v>5</v>
      </c>
    </row>
    <row r="135" spans="1:10" ht="16.95" customHeight="1">
      <c r="A135" s="98" t="s">
        <v>13</v>
      </c>
      <c r="B135" s="98"/>
      <c r="C135" s="98"/>
      <c r="D135" s="98"/>
      <c r="E135" s="98"/>
      <c r="F135" s="98"/>
      <c r="G135" s="98"/>
      <c r="J135" s="25">
        <f t="shared" si="7"/>
        <v>5</v>
      </c>
    </row>
    <row r="136" spans="1:10" ht="16.95" customHeight="1">
      <c r="A136" s="52" t="s">
        <v>14</v>
      </c>
      <c r="B136" s="52" t="s">
        <v>15</v>
      </c>
      <c r="C136" s="52" t="s">
        <v>16</v>
      </c>
      <c r="D136" s="52" t="s">
        <v>17</v>
      </c>
      <c r="E136" s="52" t="s">
        <v>18</v>
      </c>
      <c r="F136" s="52" t="s">
        <v>19</v>
      </c>
      <c r="G136" s="52" t="s">
        <v>20</v>
      </c>
      <c r="H136" s="3" t="s">
        <v>21</v>
      </c>
      <c r="I136" s="3" t="s">
        <v>22</v>
      </c>
      <c r="J136" s="25">
        <f t="shared" si="7"/>
        <v>5</v>
      </c>
    </row>
    <row r="137" spans="1:10" ht="16.95" customHeight="1">
      <c r="A137" s="75" t="s">
        <v>65</v>
      </c>
      <c r="B137" s="76" t="s">
        <v>69</v>
      </c>
      <c r="C137" s="77"/>
      <c r="D137" s="78"/>
      <c r="E137" s="79"/>
      <c r="F137" s="79"/>
      <c r="G137" s="2"/>
      <c r="H137" s="37"/>
      <c r="I137" s="4"/>
      <c r="J137" s="25">
        <f t="shared" si="7"/>
        <v>5</v>
      </c>
    </row>
    <row r="138" spans="1:10" ht="34.950000000000003" customHeight="1">
      <c r="A138" s="75">
        <v>1</v>
      </c>
      <c r="B138" s="80" t="s">
        <v>91</v>
      </c>
      <c r="C138" s="77" t="s">
        <v>48</v>
      </c>
      <c r="D138" s="78">
        <v>1</v>
      </c>
      <c r="E138" s="79"/>
      <c r="F138" s="79">
        <f t="shared" ref="F138:F171" si="8">E138+F75</f>
        <v>1</v>
      </c>
      <c r="G138" s="2"/>
      <c r="H138" s="37">
        <v>10508</v>
      </c>
      <c r="I138" s="4">
        <f>H138*E138</f>
        <v>0</v>
      </c>
      <c r="J138" s="25">
        <f t="shared" si="7"/>
        <v>5</v>
      </c>
    </row>
    <row r="139" spans="1:10" ht="34.799999999999997" customHeight="1">
      <c r="A139" s="75">
        <v>2</v>
      </c>
      <c r="B139" s="80" t="s">
        <v>92</v>
      </c>
      <c r="C139" s="77" t="s">
        <v>48</v>
      </c>
      <c r="D139" s="78">
        <v>1</v>
      </c>
      <c r="E139" s="79"/>
      <c r="F139" s="79">
        <f t="shared" si="8"/>
        <v>0</v>
      </c>
      <c r="G139" s="2"/>
      <c r="H139" s="37">
        <v>13223</v>
      </c>
      <c r="I139" s="4">
        <f>H139*E139</f>
        <v>0</v>
      </c>
      <c r="J139" s="25">
        <f t="shared" si="7"/>
        <v>5</v>
      </c>
    </row>
    <row r="140" spans="1:10" ht="53.4" customHeight="1">
      <c r="A140" s="75">
        <v>3</v>
      </c>
      <c r="B140" s="80" t="s">
        <v>93</v>
      </c>
      <c r="C140" s="77" t="s">
        <v>48</v>
      </c>
      <c r="D140" s="78">
        <v>1</v>
      </c>
      <c r="E140" s="79">
        <v>0.04</v>
      </c>
      <c r="F140" s="79">
        <f t="shared" si="8"/>
        <v>0.08</v>
      </c>
      <c r="G140" s="2"/>
      <c r="H140" s="37">
        <v>310497</v>
      </c>
      <c r="I140" s="4">
        <f t="shared" ref="I140:I171" si="9">H140*E140</f>
        <v>12419.880000000001</v>
      </c>
      <c r="J140" s="25">
        <f t="shared" si="7"/>
        <v>5</v>
      </c>
    </row>
    <row r="141" spans="1:10" ht="16.95" customHeight="1">
      <c r="A141" s="75">
        <v>4</v>
      </c>
      <c r="B141" s="80" t="s">
        <v>94</v>
      </c>
      <c r="C141" s="77" t="s">
        <v>48</v>
      </c>
      <c r="D141" s="78">
        <v>1</v>
      </c>
      <c r="E141" s="79"/>
      <c r="F141" s="79">
        <f t="shared" si="8"/>
        <v>0</v>
      </c>
      <c r="G141" s="2"/>
      <c r="H141" s="37">
        <v>8375</v>
      </c>
      <c r="I141" s="4">
        <f t="shared" si="9"/>
        <v>0</v>
      </c>
      <c r="J141" s="25">
        <f t="shared" si="7"/>
        <v>5</v>
      </c>
    </row>
    <row r="142" spans="1:10" ht="16.95" customHeight="1">
      <c r="A142" s="75">
        <v>5</v>
      </c>
      <c r="B142" s="80" t="s">
        <v>95</v>
      </c>
      <c r="C142" s="77" t="s">
        <v>48</v>
      </c>
      <c r="D142" s="78">
        <v>1</v>
      </c>
      <c r="E142" s="79"/>
      <c r="F142" s="79">
        <f t="shared" si="8"/>
        <v>0</v>
      </c>
      <c r="G142" s="2"/>
      <c r="H142" s="37">
        <v>51618</v>
      </c>
      <c r="I142" s="4">
        <f t="shared" si="9"/>
        <v>0</v>
      </c>
      <c r="J142" s="25">
        <f t="shared" si="7"/>
        <v>5</v>
      </c>
    </row>
    <row r="143" spans="1:10" ht="16.95" customHeight="1">
      <c r="A143" s="75">
        <v>6</v>
      </c>
      <c r="B143" s="80" t="s">
        <v>96</v>
      </c>
      <c r="C143" s="77" t="s">
        <v>50</v>
      </c>
      <c r="D143" s="78">
        <v>11.55</v>
      </c>
      <c r="E143" s="79"/>
      <c r="F143" s="79">
        <f t="shared" si="8"/>
        <v>0</v>
      </c>
      <c r="G143" s="2"/>
      <c r="H143" s="37">
        <v>1188</v>
      </c>
      <c r="I143" s="4">
        <f t="shared" si="9"/>
        <v>0</v>
      </c>
      <c r="J143" s="25">
        <f t="shared" si="7"/>
        <v>5</v>
      </c>
    </row>
    <row r="144" spans="1:10" ht="34.950000000000003" customHeight="1">
      <c r="A144" s="75">
        <v>7</v>
      </c>
      <c r="B144" s="80" t="s">
        <v>97</v>
      </c>
      <c r="C144" s="77" t="s">
        <v>48</v>
      </c>
      <c r="D144" s="78">
        <v>1</v>
      </c>
      <c r="E144" s="79"/>
      <c r="F144" s="79">
        <f t="shared" si="8"/>
        <v>0</v>
      </c>
      <c r="G144" s="2"/>
      <c r="H144" s="37">
        <v>21157</v>
      </c>
      <c r="I144" s="4">
        <f t="shared" si="9"/>
        <v>0</v>
      </c>
      <c r="J144" s="25">
        <f t="shared" si="7"/>
        <v>5</v>
      </c>
    </row>
    <row r="145" spans="1:10" ht="16.95" customHeight="1">
      <c r="A145" s="75">
        <v>8</v>
      </c>
      <c r="B145" s="80" t="s">
        <v>98</v>
      </c>
      <c r="C145" s="77" t="s">
        <v>50</v>
      </c>
      <c r="D145" s="78">
        <v>387</v>
      </c>
      <c r="E145" s="79"/>
      <c r="F145" s="79">
        <f t="shared" si="8"/>
        <v>0</v>
      </c>
      <c r="G145" s="2"/>
      <c r="H145" s="37">
        <v>705</v>
      </c>
      <c r="I145" s="4">
        <f t="shared" si="9"/>
        <v>0</v>
      </c>
      <c r="J145" s="25">
        <f t="shared" si="7"/>
        <v>5</v>
      </c>
    </row>
    <row r="146" spans="1:10" ht="16.95" customHeight="1">
      <c r="A146" s="75">
        <v>9</v>
      </c>
      <c r="B146" s="80" t="s">
        <v>99</v>
      </c>
      <c r="C146" s="77" t="s">
        <v>50</v>
      </c>
      <c r="D146" s="78">
        <v>170</v>
      </c>
      <c r="E146" s="79"/>
      <c r="F146" s="79">
        <f t="shared" si="8"/>
        <v>0</v>
      </c>
      <c r="G146" s="2"/>
      <c r="H146" s="37">
        <v>617</v>
      </c>
      <c r="I146" s="4">
        <f t="shared" si="9"/>
        <v>0</v>
      </c>
      <c r="J146" s="25">
        <f t="shared" si="7"/>
        <v>5</v>
      </c>
    </row>
    <row r="147" spans="1:10" ht="16.95" customHeight="1">
      <c r="A147" s="75">
        <v>10</v>
      </c>
      <c r="B147" s="80" t="s">
        <v>100</v>
      </c>
      <c r="C147" s="77" t="s">
        <v>66</v>
      </c>
      <c r="D147" s="78">
        <v>15</v>
      </c>
      <c r="E147" s="79"/>
      <c r="F147" s="79">
        <f t="shared" si="8"/>
        <v>0</v>
      </c>
      <c r="G147" s="2"/>
      <c r="H147" s="37">
        <v>617</v>
      </c>
      <c r="I147" s="4">
        <f t="shared" si="9"/>
        <v>0</v>
      </c>
      <c r="J147" s="25">
        <f t="shared" si="7"/>
        <v>5</v>
      </c>
    </row>
    <row r="148" spans="1:10" ht="16.95" customHeight="1">
      <c r="A148" s="75">
        <v>11</v>
      </c>
      <c r="B148" s="80" t="s">
        <v>101</v>
      </c>
      <c r="C148" s="77" t="s">
        <v>50</v>
      </c>
      <c r="D148" s="78">
        <v>75</v>
      </c>
      <c r="E148" s="79"/>
      <c r="F148" s="79">
        <f t="shared" si="8"/>
        <v>0</v>
      </c>
      <c r="G148" s="2"/>
      <c r="H148" s="37">
        <v>1146</v>
      </c>
      <c r="I148" s="4">
        <f t="shared" si="9"/>
        <v>0</v>
      </c>
      <c r="J148" s="25">
        <f t="shared" si="7"/>
        <v>5</v>
      </c>
    </row>
    <row r="149" spans="1:10" ht="16.95" customHeight="1">
      <c r="A149" s="75">
        <v>12</v>
      </c>
      <c r="B149" s="80" t="s">
        <v>102</v>
      </c>
      <c r="C149" s="77" t="s">
        <v>50</v>
      </c>
      <c r="D149" s="78">
        <v>5</v>
      </c>
      <c r="E149" s="79"/>
      <c r="F149" s="79">
        <f t="shared" si="8"/>
        <v>0</v>
      </c>
      <c r="G149" s="2"/>
      <c r="H149" s="37">
        <v>1455</v>
      </c>
      <c r="I149" s="4">
        <f t="shared" si="9"/>
        <v>0</v>
      </c>
      <c r="J149" s="25">
        <f t="shared" si="7"/>
        <v>5</v>
      </c>
    </row>
    <row r="150" spans="1:10" ht="16.95" customHeight="1">
      <c r="A150" s="75">
        <v>13</v>
      </c>
      <c r="B150" s="80" t="s">
        <v>103</v>
      </c>
      <c r="C150" s="77" t="s">
        <v>50</v>
      </c>
      <c r="D150" s="78">
        <v>217</v>
      </c>
      <c r="E150" s="79"/>
      <c r="F150" s="79">
        <f t="shared" si="8"/>
        <v>0</v>
      </c>
      <c r="G150" s="2"/>
      <c r="H150" s="37">
        <v>1410</v>
      </c>
      <c r="I150" s="4">
        <f t="shared" si="9"/>
        <v>0</v>
      </c>
      <c r="J150" s="25">
        <f t="shared" si="7"/>
        <v>5</v>
      </c>
    </row>
    <row r="151" spans="1:10" ht="16.95" customHeight="1">
      <c r="A151" s="75">
        <v>14</v>
      </c>
      <c r="B151" s="80" t="s">
        <v>104</v>
      </c>
      <c r="C151" s="77" t="s">
        <v>49</v>
      </c>
      <c r="D151" s="78">
        <v>84</v>
      </c>
      <c r="E151" s="79"/>
      <c r="F151" s="79">
        <f t="shared" si="8"/>
        <v>0</v>
      </c>
      <c r="G151" s="2"/>
      <c r="H151" s="37">
        <v>529</v>
      </c>
      <c r="I151" s="4">
        <f t="shared" si="9"/>
        <v>0</v>
      </c>
      <c r="J151" s="25">
        <f t="shared" si="7"/>
        <v>5</v>
      </c>
    </row>
    <row r="152" spans="1:10" ht="16.95" customHeight="1">
      <c r="A152" s="75">
        <v>15</v>
      </c>
      <c r="B152" s="80" t="s">
        <v>105</v>
      </c>
      <c r="C152" s="77" t="s">
        <v>50</v>
      </c>
      <c r="D152" s="78">
        <v>1</v>
      </c>
      <c r="E152" s="79"/>
      <c r="F152" s="79">
        <f t="shared" si="8"/>
        <v>0</v>
      </c>
      <c r="G152" s="2"/>
      <c r="H152" s="37">
        <v>1146</v>
      </c>
      <c r="I152" s="4">
        <f t="shared" si="9"/>
        <v>0</v>
      </c>
      <c r="J152" s="25">
        <f t="shared" si="7"/>
        <v>5</v>
      </c>
    </row>
    <row r="153" spans="1:10" ht="34.799999999999997" customHeight="1">
      <c r="A153" s="75">
        <v>16</v>
      </c>
      <c r="B153" s="80" t="s">
        <v>106</v>
      </c>
      <c r="C153" s="77" t="s">
        <v>50</v>
      </c>
      <c r="D153" s="78">
        <v>314</v>
      </c>
      <c r="E153" s="79"/>
      <c r="F153" s="79">
        <f t="shared" si="8"/>
        <v>0</v>
      </c>
      <c r="G153" s="2"/>
      <c r="H153" s="37">
        <v>185</v>
      </c>
      <c r="I153" s="4">
        <f t="shared" si="9"/>
        <v>0</v>
      </c>
      <c r="J153" s="25">
        <f t="shared" si="7"/>
        <v>5</v>
      </c>
    </row>
    <row r="154" spans="1:10" ht="16.95" customHeight="1">
      <c r="A154" s="75">
        <v>17</v>
      </c>
      <c r="B154" s="80" t="s">
        <v>107</v>
      </c>
      <c r="C154" s="77" t="s">
        <v>48</v>
      </c>
      <c r="D154" s="78">
        <v>1</v>
      </c>
      <c r="E154" s="79"/>
      <c r="F154" s="79">
        <f t="shared" si="8"/>
        <v>0</v>
      </c>
      <c r="G154" s="2"/>
      <c r="H154" s="37">
        <v>89918</v>
      </c>
      <c r="I154" s="4">
        <f t="shared" si="9"/>
        <v>0</v>
      </c>
      <c r="J154" s="25">
        <f t="shared" si="7"/>
        <v>5</v>
      </c>
    </row>
    <row r="155" spans="1:10" ht="16.95" customHeight="1">
      <c r="A155" s="75">
        <v>18</v>
      </c>
      <c r="B155" s="80" t="s">
        <v>108</v>
      </c>
      <c r="C155" s="77" t="s">
        <v>120</v>
      </c>
      <c r="D155" s="78">
        <v>15</v>
      </c>
      <c r="E155" s="79"/>
      <c r="F155" s="79">
        <f t="shared" si="8"/>
        <v>0</v>
      </c>
      <c r="G155" s="2"/>
      <c r="H155" s="37">
        <v>661</v>
      </c>
      <c r="I155" s="4">
        <f t="shared" si="9"/>
        <v>0</v>
      </c>
      <c r="J155" s="25">
        <f t="shared" si="7"/>
        <v>5</v>
      </c>
    </row>
    <row r="156" spans="1:10" ht="16.95" customHeight="1">
      <c r="A156" s="75">
        <v>19</v>
      </c>
      <c r="B156" s="80" t="s">
        <v>109</v>
      </c>
      <c r="C156" s="77" t="s">
        <v>50</v>
      </c>
      <c r="D156" s="78">
        <v>82</v>
      </c>
      <c r="E156" s="79"/>
      <c r="F156" s="79">
        <f t="shared" si="8"/>
        <v>0</v>
      </c>
      <c r="G156" s="2"/>
      <c r="H156" s="37">
        <v>2909</v>
      </c>
      <c r="I156" s="4">
        <f t="shared" si="9"/>
        <v>0</v>
      </c>
      <c r="J156" s="25">
        <f t="shared" si="7"/>
        <v>5</v>
      </c>
    </row>
    <row r="157" spans="1:10" ht="16.95" customHeight="1">
      <c r="A157" s="75">
        <v>20</v>
      </c>
      <c r="B157" s="80" t="s">
        <v>110</v>
      </c>
      <c r="C157" s="77" t="s">
        <v>121</v>
      </c>
      <c r="D157" s="78">
        <v>12</v>
      </c>
      <c r="E157" s="79"/>
      <c r="F157" s="79">
        <f t="shared" si="8"/>
        <v>0</v>
      </c>
      <c r="G157" s="2"/>
      <c r="H157" s="37">
        <v>882</v>
      </c>
      <c r="I157" s="4">
        <f t="shared" si="9"/>
        <v>0</v>
      </c>
      <c r="J157" s="25">
        <f t="shared" si="7"/>
        <v>5</v>
      </c>
    </row>
    <row r="158" spans="1:10" ht="16.95" customHeight="1">
      <c r="A158" s="77">
        <v>21</v>
      </c>
      <c r="B158" s="80" t="s">
        <v>111</v>
      </c>
      <c r="C158" s="77" t="s">
        <v>122</v>
      </c>
      <c r="D158" s="78">
        <v>3</v>
      </c>
      <c r="E158" s="79"/>
      <c r="F158" s="79">
        <f t="shared" si="8"/>
        <v>0</v>
      </c>
      <c r="G158" s="2"/>
      <c r="H158" s="38">
        <v>1869</v>
      </c>
      <c r="I158" s="4">
        <f t="shared" si="9"/>
        <v>0</v>
      </c>
      <c r="J158" s="25">
        <f t="shared" si="7"/>
        <v>5</v>
      </c>
    </row>
    <row r="159" spans="1:10" ht="34.950000000000003" customHeight="1">
      <c r="A159" s="75">
        <v>22</v>
      </c>
      <c r="B159" s="80" t="s">
        <v>112</v>
      </c>
      <c r="C159" s="77" t="s">
        <v>48</v>
      </c>
      <c r="D159" s="78">
        <v>1</v>
      </c>
      <c r="E159" s="79"/>
      <c r="F159" s="79">
        <f t="shared" si="8"/>
        <v>0</v>
      </c>
      <c r="G159" s="2"/>
      <c r="H159" s="37">
        <v>82206</v>
      </c>
      <c r="I159" s="4">
        <f t="shared" si="9"/>
        <v>0</v>
      </c>
      <c r="J159" s="25">
        <f t="shared" si="7"/>
        <v>5</v>
      </c>
    </row>
    <row r="160" spans="1:10" ht="16.95" customHeight="1">
      <c r="A160" s="75">
        <v>23</v>
      </c>
      <c r="B160" s="80" t="s">
        <v>113</v>
      </c>
      <c r="C160" s="77" t="s">
        <v>48</v>
      </c>
      <c r="D160" s="78">
        <v>1</v>
      </c>
      <c r="E160" s="79"/>
      <c r="F160" s="79">
        <f t="shared" si="8"/>
        <v>0</v>
      </c>
      <c r="G160" s="2"/>
      <c r="H160" s="37">
        <v>142723</v>
      </c>
      <c r="I160" s="4">
        <f t="shared" si="9"/>
        <v>0</v>
      </c>
      <c r="J160" s="25">
        <f t="shared" si="7"/>
        <v>5</v>
      </c>
    </row>
    <row r="161" spans="1:10" ht="16.95" customHeight="1">
      <c r="A161" s="75">
        <v>24</v>
      </c>
      <c r="B161" s="80" t="s">
        <v>114</v>
      </c>
      <c r="C161" s="77" t="s">
        <v>48</v>
      </c>
      <c r="D161" s="78">
        <v>1</v>
      </c>
      <c r="E161" s="79"/>
      <c r="F161" s="79">
        <f t="shared" si="8"/>
        <v>0</v>
      </c>
      <c r="G161" s="2"/>
      <c r="H161" s="37">
        <v>37290</v>
      </c>
      <c r="I161" s="4">
        <f t="shared" si="9"/>
        <v>0</v>
      </c>
      <c r="J161" s="25">
        <f t="shared" si="7"/>
        <v>5</v>
      </c>
    </row>
    <row r="162" spans="1:10" ht="16.95" customHeight="1">
      <c r="A162" s="75">
        <v>25</v>
      </c>
      <c r="B162" s="80" t="s">
        <v>115</v>
      </c>
      <c r="C162" s="77" t="s">
        <v>48</v>
      </c>
      <c r="D162" s="78">
        <v>1</v>
      </c>
      <c r="E162" s="79"/>
      <c r="F162" s="79">
        <f t="shared" si="8"/>
        <v>0</v>
      </c>
      <c r="G162" s="2"/>
      <c r="H162" s="37">
        <v>99394</v>
      </c>
      <c r="I162" s="4">
        <f t="shared" si="9"/>
        <v>0</v>
      </c>
      <c r="J162" s="25">
        <f t="shared" si="7"/>
        <v>5</v>
      </c>
    </row>
    <row r="163" spans="1:10" ht="34.950000000000003" customHeight="1">
      <c r="A163" s="75">
        <v>26</v>
      </c>
      <c r="B163" s="80" t="s">
        <v>116</v>
      </c>
      <c r="C163" s="77" t="s">
        <v>48</v>
      </c>
      <c r="D163" s="78">
        <v>1</v>
      </c>
      <c r="E163" s="79"/>
      <c r="F163" s="79">
        <f t="shared" si="8"/>
        <v>0</v>
      </c>
      <c r="G163" s="2"/>
      <c r="H163" s="37">
        <v>21334</v>
      </c>
      <c r="I163" s="4">
        <f t="shared" si="9"/>
        <v>0</v>
      </c>
      <c r="J163" s="25">
        <f t="shared" si="7"/>
        <v>5</v>
      </c>
    </row>
    <row r="164" spans="1:10" ht="16.95" customHeight="1">
      <c r="A164" s="75">
        <v>27</v>
      </c>
      <c r="B164" s="80" t="s">
        <v>117</v>
      </c>
      <c r="C164" s="77" t="s">
        <v>48</v>
      </c>
      <c r="D164" s="78">
        <v>1</v>
      </c>
      <c r="E164" s="79"/>
      <c r="F164" s="79">
        <f t="shared" si="8"/>
        <v>0</v>
      </c>
      <c r="G164" s="2"/>
      <c r="H164" s="37">
        <v>29620</v>
      </c>
      <c r="I164" s="4">
        <f t="shared" si="9"/>
        <v>0</v>
      </c>
      <c r="J164" s="25">
        <f t="shared" si="7"/>
        <v>5</v>
      </c>
    </row>
    <row r="165" spans="1:10" ht="16.95" customHeight="1">
      <c r="A165" s="75">
        <v>28</v>
      </c>
      <c r="B165" s="80" t="s">
        <v>118</v>
      </c>
      <c r="C165" s="77" t="s">
        <v>48</v>
      </c>
      <c r="D165" s="78">
        <v>1</v>
      </c>
      <c r="E165" s="79"/>
      <c r="F165" s="79">
        <f t="shared" si="8"/>
        <v>0</v>
      </c>
      <c r="G165" s="2"/>
      <c r="H165" s="37">
        <v>18506</v>
      </c>
      <c r="I165" s="4">
        <f t="shared" si="9"/>
        <v>0</v>
      </c>
      <c r="J165" s="25">
        <f t="shared" si="7"/>
        <v>5</v>
      </c>
    </row>
    <row r="166" spans="1:10" ht="16.95" customHeight="1">
      <c r="A166" s="75">
        <v>29</v>
      </c>
      <c r="B166" s="80" t="s">
        <v>119</v>
      </c>
      <c r="C166" s="77" t="s">
        <v>48</v>
      </c>
      <c r="D166" s="78">
        <v>1</v>
      </c>
      <c r="E166" s="79"/>
      <c r="F166" s="79">
        <f t="shared" si="8"/>
        <v>0</v>
      </c>
      <c r="G166" s="2"/>
      <c r="H166" s="37">
        <v>34381</v>
      </c>
      <c r="I166" s="4">
        <f t="shared" si="9"/>
        <v>0</v>
      </c>
      <c r="J166" s="25">
        <f t="shared" si="7"/>
        <v>5</v>
      </c>
    </row>
    <row r="167" spans="1:10" ht="16.95" customHeight="1">
      <c r="A167" s="75" t="s">
        <v>79</v>
      </c>
      <c r="B167" s="80" t="s">
        <v>80</v>
      </c>
      <c r="C167" s="77" t="s">
        <v>48</v>
      </c>
      <c r="D167" s="78">
        <v>1</v>
      </c>
      <c r="E167" s="79">
        <f t="shared" ref="E167:E170" si="10">1/120</f>
        <v>8.3333333333333332E-3</v>
      </c>
      <c r="F167" s="79">
        <f t="shared" si="8"/>
        <v>2.5000000000000001E-2</v>
      </c>
      <c r="G167" s="2"/>
      <c r="H167" s="37">
        <v>21395</v>
      </c>
      <c r="I167" s="4">
        <f t="shared" si="9"/>
        <v>178.29166666666666</v>
      </c>
      <c r="J167" s="25">
        <f t="shared" si="7"/>
        <v>5</v>
      </c>
    </row>
    <row r="168" spans="1:10" ht="16.95" customHeight="1">
      <c r="A168" s="75" t="s">
        <v>81</v>
      </c>
      <c r="B168" s="80" t="s">
        <v>82</v>
      </c>
      <c r="C168" s="77" t="s">
        <v>48</v>
      </c>
      <c r="D168" s="78">
        <v>1</v>
      </c>
      <c r="E168" s="79">
        <f t="shared" si="10"/>
        <v>8.3333333333333332E-3</v>
      </c>
      <c r="F168" s="79">
        <f t="shared" si="8"/>
        <v>2.5000000000000001E-2</v>
      </c>
      <c r="G168" s="2"/>
      <c r="H168" s="37">
        <v>21395</v>
      </c>
      <c r="I168" s="4">
        <f t="shared" si="9"/>
        <v>178.29166666666666</v>
      </c>
      <c r="J168" s="25">
        <f t="shared" si="7"/>
        <v>5</v>
      </c>
    </row>
    <row r="169" spans="1:10" ht="16.95" customHeight="1">
      <c r="A169" s="75" t="s">
        <v>83</v>
      </c>
      <c r="B169" s="80" t="s">
        <v>84</v>
      </c>
      <c r="C169" s="77" t="s">
        <v>48</v>
      </c>
      <c r="D169" s="78">
        <v>1</v>
      </c>
      <c r="E169" s="79">
        <f t="shared" si="10"/>
        <v>8.3333333333333332E-3</v>
      </c>
      <c r="F169" s="79">
        <f t="shared" si="8"/>
        <v>2.5000000000000001E-2</v>
      </c>
      <c r="G169" s="2"/>
      <c r="H169" s="37">
        <v>149765</v>
      </c>
      <c r="I169" s="4">
        <f t="shared" si="9"/>
        <v>1248.0416666666667</v>
      </c>
      <c r="J169" s="25">
        <f t="shared" si="7"/>
        <v>5</v>
      </c>
    </row>
    <row r="170" spans="1:10" ht="16.95" customHeight="1">
      <c r="A170" s="75" t="s">
        <v>85</v>
      </c>
      <c r="B170" s="80" t="s">
        <v>86</v>
      </c>
      <c r="C170" s="77" t="s">
        <v>48</v>
      </c>
      <c r="D170" s="78">
        <v>1</v>
      </c>
      <c r="E170" s="79">
        <f t="shared" si="10"/>
        <v>8.3333333333333332E-3</v>
      </c>
      <c r="F170" s="79">
        <f t="shared" si="8"/>
        <v>2.5000000000000001E-2</v>
      </c>
      <c r="G170" s="2"/>
      <c r="H170" s="37">
        <v>6996</v>
      </c>
      <c r="I170" s="4">
        <f t="shared" si="9"/>
        <v>58.3</v>
      </c>
      <c r="J170" s="25">
        <f t="shared" si="7"/>
        <v>5</v>
      </c>
    </row>
    <row r="171" spans="1:10" ht="16.95" customHeight="1">
      <c r="A171" s="75" t="s">
        <v>87</v>
      </c>
      <c r="B171" s="80" t="s">
        <v>88</v>
      </c>
      <c r="C171" s="77" t="s">
        <v>48</v>
      </c>
      <c r="D171" s="78">
        <v>1</v>
      </c>
      <c r="E171" s="79">
        <f>1/120</f>
        <v>8.3333333333333332E-3</v>
      </c>
      <c r="F171" s="79">
        <f t="shared" si="8"/>
        <v>2.5000000000000001E-2</v>
      </c>
      <c r="G171" s="2"/>
      <c r="H171" s="37">
        <v>116952</v>
      </c>
      <c r="I171" s="4">
        <f t="shared" si="9"/>
        <v>974.6</v>
      </c>
      <c r="J171" s="25">
        <f t="shared" si="7"/>
        <v>5</v>
      </c>
    </row>
    <row r="172" spans="1:10" ht="16.95" customHeight="1">
      <c r="A172" s="95" t="s">
        <v>23</v>
      </c>
      <c r="B172" s="95"/>
      <c r="C172" s="50"/>
      <c r="D172" s="50"/>
      <c r="E172" s="50"/>
      <c r="F172" s="50"/>
      <c r="G172" s="50"/>
      <c r="H172" s="3" t="s">
        <v>24</v>
      </c>
      <c r="I172" s="5">
        <f>SUM(I137:I171)</f>
        <v>15057.404999999999</v>
      </c>
      <c r="J172" s="25">
        <f t="shared" si="7"/>
        <v>5</v>
      </c>
    </row>
    <row r="173" spans="1:10" ht="16.95" customHeight="1">
      <c r="A173" s="96" t="s">
        <v>25</v>
      </c>
      <c r="B173" s="96"/>
      <c r="C173" s="50"/>
      <c r="D173" s="50"/>
      <c r="E173" s="50"/>
      <c r="F173" s="50"/>
      <c r="G173" s="50"/>
      <c r="J173" s="25">
        <f t="shared" si="7"/>
        <v>5</v>
      </c>
    </row>
    <row r="174" spans="1:10" ht="16.95" customHeight="1">
      <c r="A174" s="96" t="s">
        <v>26</v>
      </c>
      <c r="B174" s="96"/>
      <c r="C174" s="50"/>
      <c r="D174" s="50"/>
      <c r="E174" s="50"/>
      <c r="F174" s="50"/>
      <c r="G174" s="50"/>
      <c r="J174" s="25">
        <f t="shared" si="7"/>
        <v>5</v>
      </c>
    </row>
    <row r="175" spans="1:10" ht="16.95" customHeight="1">
      <c r="A175" s="95" t="s">
        <v>27</v>
      </c>
      <c r="B175" s="95"/>
      <c r="C175" s="95"/>
      <c r="D175" s="95"/>
      <c r="E175" s="95"/>
      <c r="F175" s="95"/>
      <c r="G175" s="95"/>
      <c r="J175" s="25">
        <f t="shared" si="7"/>
        <v>5</v>
      </c>
    </row>
    <row r="176" spans="1:10" ht="16.95" customHeight="1">
      <c r="A176" s="94" t="s">
        <v>28</v>
      </c>
      <c r="B176" s="94"/>
      <c r="C176" s="51" t="s">
        <v>29</v>
      </c>
      <c r="D176" s="51" t="s">
        <v>30</v>
      </c>
      <c r="E176" s="51" t="s">
        <v>18</v>
      </c>
      <c r="F176" s="51" t="s">
        <v>31</v>
      </c>
      <c r="G176" s="51" t="s">
        <v>20</v>
      </c>
      <c r="J176" s="25">
        <f t="shared" si="7"/>
        <v>5</v>
      </c>
    </row>
    <row r="177" spans="1:10" ht="16.95" customHeight="1">
      <c r="A177" s="96"/>
      <c r="B177" s="96"/>
      <c r="C177" s="50"/>
      <c r="D177" s="50"/>
      <c r="E177" s="50"/>
      <c r="F177" s="50"/>
      <c r="G177" s="51"/>
      <c r="J177" s="25">
        <f t="shared" si="7"/>
        <v>5</v>
      </c>
    </row>
    <row r="178" spans="1:10" ht="16.95" customHeight="1">
      <c r="A178" s="97"/>
      <c r="B178" s="97"/>
      <c r="C178" s="50"/>
      <c r="D178" s="50"/>
      <c r="E178" s="50"/>
      <c r="F178" s="51"/>
      <c r="G178" s="51"/>
      <c r="J178" s="25">
        <f t="shared" si="7"/>
        <v>5</v>
      </c>
    </row>
    <row r="179" spans="1:10" ht="16.95" customHeight="1">
      <c r="A179" s="95" t="s">
        <v>32</v>
      </c>
      <c r="B179" s="95"/>
      <c r="C179" s="95"/>
      <c r="D179" s="95"/>
      <c r="E179" s="95"/>
      <c r="F179" s="95"/>
      <c r="G179" s="95"/>
      <c r="J179" s="25">
        <f t="shared" si="7"/>
        <v>6</v>
      </c>
    </row>
    <row r="180" spans="1:10" ht="16.95" customHeight="1">
      <c r="A180" s="51" t="s">
        <v>33</v>
      </c>
      <c r="B180" s="51" t="s">
        <v>34</v>
      </c>
      <c r="C180" s="94" t="s">
        <v>35</v>
      </c>
      <c r="D180" s="94"/>
      <c r="E180" s="51" t="s">
        <v>36</v>
      </c>
      <c r="F180" s="51" t="s">
        <v>37</v>
      </c>
      <c r="G180" s="51" t="s">
        <v>38</v>
      </c>
      <c r="J180" s="25">
        <f t="shared" si="7"/>
        <v>6</v>
      </c>
    </row>
    <row r="181" spans="1:10" ht="16.95" customHeight="1">
      <c r="A181" s="51" t="s">
        <v>39</v>
      </c>
      <c r="B181" s="6">
        <v>1</v>
      </c>
      <c r="C181" s="94">
        <f>B181+C118</f>
        <v>2</v>
      </c>
      <c r="D181" s="94"/>
      <c r="E181" s="51"/>
      <c r="F181" s="24"/>
      <c r="G181" s="24"/>
      <c r="J181" s="25">
        <f t="shared" si="7"/>
        <v>6</v>
      </c>
    </row>
    <row r="182" spans="1:10" ht="16.95" customHeight="1">
      <c r="A182" s="51" t="s">
        <v>40</v>
      </c>
      <c r="B182" s="6">
        <v>1</v>
      </c>
      <c r="C182" s="94">
        <f>B182+C119</f>
        <v>3</v>
      </c>
      <c r="D182" s="94"/>
      <c r="E182" s="51"/>
      <c r="F182" s="24"/>
      <c r="G182" s="24"/>
      <c r="J182" s="25">
        <f t="shared" si="7"/>
        <v>6</v>
      </c>
    </row>
    <row r="183" spans="1:10" ht="36.6" customHeight="1">
      <c r="A183" s="95" t="s">
        <v>41</v>
      </c>
      <c r="B183" s="95"/>
      <c r="C183" s="95"/>
      <c r="D183" s="95"/>
      <c r="E183" s="95"/>
      <c r="F183" s="95"/>
      <c r="G183" s="95"/>
      <c r="J183" s="25">
        <f t="shared" si="7"/>
        <v>6</v>
      </c>
    </row>
    <row r="184" spans="1:10" ht="90" customHeight="1">
      <c r="A184" s="92" t="s">
        <v>42</v>
      </c>
      <c r="B184" s="92"/>
      <c r="C184" s="92"/>
      <c r="D184" s="92"/>
      <c r="E184" s="92"/>
      <c r="F184" s="92"/>
      <c r="G184" s="92"/>
      <c r="J184" s="25">
        <f t="shared" si="7"/>
        <v>6</v>
      </c>
    </row>
    <row r="185" spans="1:10" ht="16.95" customHeight="1">
      <c r="A185" s="95" t="s">
        <v>43</v>
      </c>
      <c r="B185" s="95"/>
      <c r="C185" s="95"/>
      <c r="D185" s="95"/>
      <c r="E185" s="95"/>
      <c r="F185" s="95"/>
      <c r="G185" s="95"/>
      <c r="J185" s="25">
        <f t="shared" si="7"/>
        <v>6</v>
      </c>
    </row>
    <row r="186" spans="1:10" ht="16.95" customHeight="1">
      <c r="A186" s="95" t="s">
        <v>44</v>
      </c>
      <c r="B186" s="95"/>
      <c r="C186" s="95"/>
      <c r="D186" s="95"/>
      <c r="E186" s="95"/>
      <c r="F186" s="95"/>
      <c r="G186" s="95"/>
      <c r="J186" s="25">
        <f t="shared" si="7"/>
        <v>6</v>
      </c>
    </row>
    <row r="187" spans="1:10" ht="16.95" customHeight="1">
      <c r="A187" s="91" t="s">
        <v>125</v>
      </c>
      <c r="B187" s="91"/>
      <c r="C187" s="91"/>
      <c r="D187" s="91"/>
      <c r="E187" s="91"/>
      <c r="F187" s="91"/>
      <c r="G187" s="91"/>
      <c r="J187" s="25">
        <f t="shared" si="7"/>
        <v>6</v>
      </c>
    </row>
    <row r="188" spans="1:10" ht="120.6" customHeight="1">
      <c r="A188" s="92" t="s">
        <v>45</v>
      </c>
      <c r="B188" s="92"/>
      <c r="C188" s="92"/>
      <c r="D188" s="92"/>
      <c r="E188" s="92"/>
      <c r="F188" s="92"/>
      <c r="G188" s="92"/>
      <c r="J188" s="25">
        <f t="shared" si="7"/>
        <v>6</v>
      </c>
    </row>
    <row r="189" spans="1:10" ht="140.4" customHeight="1">
      <c r="A189" s="93" t="s">
        <v>46</v>
      </c>
      <c r="B189" s="93"/>
      <c r="C189" s="93"/>
      <c r="D189" s="93"/>
      <c r="E189" s="93"/>
      <c r="F189" s="93"/>
      <c r="G189" s="93"/>
      <c r="J189" s="25">
        <f t="shared" si="7"/>
        <v>6</v>
      </c>
    </row>
    <row r="190" spans="1:10" ht="37.200000000000003" customHeight="1">
      <c r="A190" s="103" t="s">
        <v>0</v>
      </c>
      <c r="B190" s="103"/>
      <c r="C190" s="103"/>
      <c r="D190" s="103"/>
      <c r="E190" s="103"/>
      <c r="F190" s="103"/>
      <c r="G190" s="103"/>
      <c r="J190" s="25">
        <f t="shared" si="7"/>
        <v>7</v>
      </c>
    </row>
    <row r="191" spans="1:10" ht="16.95" customHeight="1">
      <c r="A191" s="1" t="s">
        <v>1</v>
      </c>
      <c r="B191" s="104">
        <f>B128+1</f>
        <v>4</v>
      </c>
      <c r="C191" s="104"/>
      <c r="D191" s="104"/>
      <c r="E191" s="104"/>
      <c r="F191" s="104"/>
      <c r="G191" s="104"/>
      <c r="J191" s="25">
        <f t="shared" si="7"/>
        <v>7</v>
      </c>
    </row>
    <row r="192" spans="1:10" ht="16.95" customHeight="1">
      <c r="A192" s="1" t="s">
        <v>2</v>
      </c>
      <c r="B192" s="105" t="s">
        <v>63</v>
      </c>
      <c r="C192" s="105"/>
      <c r="D192" s="105"/>
      <c r="E192" s="106">
        <f>E129+1</f>
        <v>46207</v>
      </c>
      <c r="F192" s="106"/>
      <c r="G192" s="106"/>
      <c r="J192" s="25">
        <f t="shared" ref="J192:J255" si="11">J129+2</f>
        <v>7</v>
      </c>
    </row>
    <row r="193" spans="1:10" ht="16.95" customHeight="1">
      <c r="A193" s="53" t="s">
        <v>3</v>
      </c>
      <c r="B193" s="2" t="s">
        <v>67</v>
      </c>
      <c r="C193" s="98" t="s">
        <v>4</v>
      </c>
      <c r="D193" s="98"/>
      <c r="E193" s="98" t="s">
        <v>47</v>
      </c>
      <c r="F193" s="98"/>
      <c r="G193" s="98"/>
      <c r="J193" s="25">
        <f t="shared" si="11"/>
        <v>7</v>
      </c>
    </row>
    <row r="194" spans="1:10" ht="16.95" customHeight="1">
      <c r="A194" s="53" t="s">
        <v>5</v>
      </c>
      <c r="B194" s="54">
        <v>120</v>
      </c>
      <c r="C194" s="98" t="s">
        <v>6</v>
      </c>
      <c r="D194" s="98"/>
      <c r="E194" s="98" t="s">
        <v>123</v>
      </c>
      <c r="F194" s="98"/>
      <c r="G194" s="98"/>
      <c r="J194" s="25">
        <f t="shared" si="11"/>
        <v>7</v>
      </c>
    </row>
    <row r="195" spans="1:10" ht="16.95" customHeight="1">
      <c r="A195" s="53" t="s">
        <v>7</v>
      </c>
      <c r="B195" s="54">
        <f>B191</f>
        <v>4</v>
      </c>
      <c r="C195" s="100" t="s">
        <v>8</v>
      </c>
      <c r="D195" s="100"/>
      <c r="E195" s="101">
        <f>B194-B195</f>
        <v>116</v>
      </c>
      <c r="F195" s="101"/>
      <c r="G195" s="101"/>
      <c r="J195" s="25">
        <f t="shared" si="11"/>
        <v>7</v>
      </c>
    </row>
    <row r="196" spans="1:10" ht="16.95" customHeight="1">
      <c r="A196" s="53" t="s">
        <v>9</v>
      </c>
      <c r="B196" s="55">
        <v>46204</v>
      </c>
      <c r="C196" s="98" t="s">
        <v>10</v>
      </c>
      <c r="D196" s="98"/>
      <c r="E196" s="102">
        <f>B196+B194-1</f>
        <v>46323</v>
      </c>
      <c r="F196" s="102"/>
      <c r="G196" s="102"/>
      <c r="J196" s="25">
        <f t="shared" si="11"/>
        <v>7</v>
      </c>
    </row>
    <row r="197" spans="1:10" ht="16.95" customHeight="1">
      <c r="A197" s="53" t="s">
        <v>11</v>
      </c>
      <c r="B197" s="56">
        <f>HLOOKUP(B191,進度表!$Q$2:$Z$3,2,1)+B134</f>
        <v>1.5920337947882741E-2</v>
      </c>
      <c r="C197" s="98" t="s">
        <v>12</v>
      </c>
      <c r="D197" s="98"/>
      <c r="E197" s="99">
        <f>I235/I197+E134</f>
        <v>2.374500814332247E-2</v>
      </c>
      <c r="F197" s="99"/>
      <c r="G197" s="99"/>
      <c r="H197" s="3" t="s">
        <v>62</v>
      </c>
      <c r="I197" s="1">
        <v>2456000</v>
      </c>
      <c r="J197" s="25">
        <f t="shared" si="11"/>
        <v>7</v>
      </c>
    </row>
    <row r="198" spans="1:10" ht="16.95" customHeight="1">
      <c r="A198" s="98" t="s">
        <v>13</v>
      </c>
      <c r="B198" s="98"/>
      <c r="C198" s="98"/>
      <c r="D198" s="98"/>
      <c r="E198" s="98"/>
      <c r="F198" s="98"/>
      <c r="G198" s="98"/>
      <c r="J198" s="25">
        <f t="shared" si="11"/>
        <v>7</v>
      </c>
    </row>
    <row r="199" spans="1:10" ht="16.95" customHeight="1">
      <c r="A199" s="52" t="s">
        <v>14</v>
      </c>
      <c r="B199" s="52" t="s">
        <v>15</v>
      </c>
      <c r="C199" s="52" t="s">
        <v>16</v>
      </c>
      <c r="D199" s="52" t="s">
        <v>17</v>
      </c>
      <c r="E199" s="52" t="s">
        <v>18</v>
      </c>
      <c r="F199" s="52" t="s">
        <v>19</v>
      </c>
      <c r="G199" s="52" t="s">
        <v>20</v>
      </c>
      <c r="H199" s="3" t="s">
        <v>21</v>
      </c>
      <c r="I199" s="3" t="s">
        <v>22</v>
      </c>
      <c r="J199" s="25">
        <f t="shared" si="11"/>
        <v>7</v>
      </c>
    </row>
    <row r="200" spans="1:10" ht="16.95" customHeight="1">
      <c r="A200" s="75" t="s">
        <v>65</v>
      </c>
      <c r="B200" s="76" t="s">
        <v>69</v>
      </c>
      <c r="C200" s="77"/>
      <c r="D200" s="78"/>
      <c r="E200" s="79"/>
      <c r="F200" s="79"/>
      <c r="G200" s="2"/>
      <c r="H200" s="37"/>
      <c r="I200" s="4"/>
      <c r="J200" s="25">
        <f t="shared" si="11"/>
        <v>7</v>
      </c>
    </row>
    <row r="201" spans="1:10" ht="34.950000000000003" customHeight="1">
      <c r="A201" s="75">
        <v>1</v>
      </c>
      <c r="B201" s="80" t="s">
        <v>91</v>
      </c>
      <c r="C201" s="77" t="s">
        <v>48</v>
      </c>
      <c r="D201" s="78">
        <v>1</v>
      </c>
      <c r="E201" s="79"/>
      <c r="F201" s="79">
        <f t="shared" ref="F201:F234" si="12">E201+F138</f>
        <v>1</v>
      </c>
      <c r="G201" s="2"/>
      <c r="H201" s="37">
        <v>10508</v>
      </c>
      <c r="I201" s="4">
        <f>H201*E201</f>
        <v>0</v>
      </c>
      <c r="J201" s="25">
        <f t="shared" si="11"/>
        <v>7</v>
      </c>
    </row>
    <row r="202" spans="1:10" ht="34.799999999999997" customHeight="1">
      <c r="A202" s="75">
        <v>2</v>
      </c>
      <c r="B202" s="80" t="s">
        <v>92</v>
      </c>
      <c r="C202" s="77" t="s">
        <v>48</v>
      </c>
      <c r="D202" s="78">
        <v>1</v>
      </c>
      <c r="E202" s="79"/>
      <c r="F202" s="79">
        <f t="shared" si="12"/>
        <v>0</v>
      </c>
      <c r="G202" s="2"/>
      <c r="H202" s="37">
        <v>13223</v>
      </c>
      <c r="I202" s="4">
        <f>H202*E202</f>
        <v>0</v>
      </c>
      <c r="J202" s="25">
        <f t="shared" si="11"/>
        <v>7</v>
      </c>
    </row>
    <row r="203" spans="1:10" ht="53.4" customHeight="1">
      <c r="A203" s="75">
        <v>3</v>
      </c>
      <c r="B203" s="80" t="s">
        <v>93</v>
      </c>
      <c r="C203" s="77" t="s">
        <v>48</v>
      </c>
      <c r="D203" s="78">
        <v>1</v>
      </c>
      <c r="E203" s="79">
        <v>0.04</v>
      </c>
      <c r="F203" s="79">
        <f t="shared" si="12"/>
        <v>0.12</v>
      </c>
      <c r="G203" s="2"/>
      <c r="H203" s="37">
        <v>310497</v>
      </c>
      <c r="I203" s="4">
        <f t="shared" ref="I203:I234" si="13">H203*E203</f>
        <v>12419.880000000001</v>
      </c>
      <c r="J203" s="25">
        <f t="shared" si="11"/>
        <v>7</v>
      </c>
    </row>
    <row r="204" spans="1:10" ht="16.95" customHeight="1">
      <c r="A204" s="75">
        <v>4</v>
      </c>
      <c r="B204" s="80" t="s">
        <v>94</v>
      </c>
      <c r="C204" s="77" t="s">
        <v>48</v>
      </c>
      <c r="D204" s="78">
        <v>1</v>
      </c>
      <c r="E204" s="79"/>
      <c r="F204" s="79">
        <f t="shared" si="12"/>
        <v>0</v>
      </c>
      <c r="G204" s="2"/>
      <c r="H204" s="37">
        <v>8375</v>
      </c>
      <c r="I204" s="4">
        <f t="shared" si="13"/>
        <v>0</v>
      </c>
      <c r="J204" s="25">
        <f t="shared" si="11"/>
        <v>7</v>
      </c>
    </row>
    <row r="205" spans="1:10" ht="16.95" customHeight="1">
      <c r="A205" s="75">
        <v>5</v>
      </c>
      <c r="B205" s="80" t="s">
        <v>95</v>
      </c>
      <c r="C205" s="77" t="s">
        <v>48</v>
      </c>
      <c r="D205" s="78">
        <v>1</v>
      </c>
      <c r="E205" s="79"/>
      <c r="F205" s="79">
        <f t="shared" si="12"/>
        <v>0</v>
      </c>
      <c r="G205" s="2"/>
      <c r="H205" s="37">
        <v>51618</v>
      </c>
      <c r="I205" s="4">
        <f t="shared" si="13"/>
        <v>0</v>
      </c>
      <c r="J205" s="25">
        <f t="shared" si="11"/>
        <v>7</v>
      </c>
    </row>
    <row r="206" spans="1:10" ht="16.95" customHeight="1">
      <c r="A206" s="75">
        <v>6</v>
      </c>
      <c r="B206" s="80" t="s">
        <v>96</v>
      </c>
      <c r="C206" s="77" t="s">
        <v>50</v>
      </c>
      <c r="D206" s="78">
        <v>11.55</v>
      </c>
      <c r="E206" s="79"/>
      <c r="F206" s="79">
        <f t="shared" si="12"/>
        <v>0</v>
      </c>
      <c r="G206" s="2"/>
      <c r="H206" s="37">
        <v>1188</v>
      </c>
      <c r="I206" s="4">
        <f t="shared" si="13"/>
        <v>0</v>
      </c>
      <c r="J206" s="25">
        <f t="shared" si="11"/>
        <v>7</v>
      </c>
    </row>
    <row r="207" spans="1:10" ht="34.950000000000003" customHeight="1">
      <c r="A207" s="75">
        <v>7</v>
      </c>
      <c r="B207" s="80" t="s">
        <v>97</v>
      </c>
      <c r="C207" s="77" t="s">
        <v>48</v>
      </c>
      <c r="D207" s="78">
        <v>1</v>
      </c>
      <c r="E207" s="79"/>
      <c r="F207" s="79">
        <f t="shared" si="12"/>
        <v>0</v>
      </c>
      <c r="G207" s="2"/>
      <c r="H207" s="37">
        <v>21157</v>
      </c>
      <c r="I207" s="4">
        <f t="shared" si="13"/>
        <v>0</v>
      </c>
      <c r="J207" s="25">
        <f t="shared" si="11"/>
        <v>7</v>
      </c>
    </row>
    <row r="208" spans="1:10" ht="16.95" customHeight="1">
      <c r="A208" s="75">
        <v>8</v>
      </c>
      <c r="B208" s="80" t="s">
        <v>98</v>
      </c>
      <c r="C208" s="77" t="s">
        <v>50</v>
      </c>
      <c r="D208" s="78">
        <v>387</v>
      </c>
      <c r="E208" s="79"/>
      <c r="F208" s="79">
        <f t="shared" si="12"/>
        <v>0</v>
      </c>
      <c r="G208" s="2"/>
      <c r="H208" s="37">
        <v>705</v>
      </c>
      <c r="I208" s="4">
        <f t="shared" si="13"/>
        <v>0</v>
      </c>
      <c r="J208" s="25">
        <f t="shared" si="11"/>
        <v>7</v>
      </c>
    </row>
    <row r="209" spans="1:10" ht="16.95" customHeight="1">
      <c r="A209" s="75">
        <v>9</v>
      </c>
      <c r="B209" s="80" t="s">
        <v>99</v>
      </c>
      <c r="C209" s="77" t="s">
        <v>50</v>
      </c>
      <c r="D209" s="78">
        <v>170</v>
      </c>
      <c r="E209" s="79"/>
      <c r="F209" s="79">
        <f t="shared" si="12"/>
        <v>0</v>
      </c>
      <c r="G209" s="2"/>
      <c r="H209" s="37">
        <v>617</v>
      </c>
      <c r="I209" s="4">
        <f t="shared" si="13"/>
        <v>0</v>
      </c>
      <c r="J209" s="25">
        <f t="shared" si="11"/>
        <v>7</v>
      </c>
    </row>
    <row r="210" spans="1:10" ht="16.95" customHeight="1">
      <c r="A210" s="75">
        <v>10</v>
      </c>
      <c r="B210" s="80" t="s">
        <v>100</v>
      </c>
      <c r="C210" s="77" t="s">
        <v>66</v>
      </c>
      <c r="D210" s="78">
        <v>15</v>
      </c>
      <c r="E210" s="79"/>
      <c r="F210" s="79">
        <f t="shared" si="12"/>
        <v>0</v>
      </c>
      <c r="G210" s="2"/>
      <c r="H210" s="37">
        <v>617</v>
      </c>
      <c r="I210" s="4">
        <f t="shared" si="13"/>
        <v>0</v>
      </c>
      <c r="J210" s="25">
        <f t="shared" si="11"/>
        <v>7</v>
      </c>
    </row>
    <row r="211" spans="1:10" ht="16.95" customHeight="1">
      <c r="A211" s="75">
        <v>11</v>
      </c>
      <c r="B211" s="80" t="s">
        <v>101</v>
      </c>
      <c r="C211" s="77" t="s">
        <v>50</v>
      </c>
      <c r="D211" s="78">
        <v>75</v>
      </c>
      <c r="E211" s="79"/>
      <c r="F211" s="79">
        <f t="shared" si="12"/>
        <v>0</v>
      </c>
      <c r="G211" s="2"/>
      <c r="H211" s="37">
        <v>1146</v>
      </c>
      <c r="I211" s="4">
        <f t="shared" si="13"/>
        <v>0</v>
      </c>
      <c r="J211" s="25">
        <f t="shared" si="11"/>
        <v>7</v>
      </c>
    </row>
    <row r="212" spans="1:10" ht="16.95" customHeight="1">
      <c r="A212" s="75">
        <v>12</v>
      </c>
      <c r="B212" s="80" t="s">
        <v>102</v>
      </c>
      <c r="C212" s="77" t="s">
        <v>50</v>
      </c>
      <c r="D212" s="78">
        <v>5</v>
      </c>
      <c r="E212" s="79"/>
      <c r="F212" s="79">
        <f t="shared" si="12"/>
        <v>0</v>
      </c>
      <c r="G212" s="2"/>
      <c r="H212" s="37">
        <v>1455</v>
      </c>
      <c r="I212" s="4">
        <f t="shared" si="13"/>
        <v>0</v>
      </c>
      <c r="J212" s="25">
        <f t="shared" si="11"/>
        <v>7</v>
      </c>
    </row>
    <row r="213" spans="1:10" ht="16.95" customHeight="1">
      <c r="A213" s="75">
        <v>13</v>
      </c>
      <c r="B213" s="80" t="s">
        <v>103</v>
      </c>
      <c r="C213" s="77" t="s">
        <v>50</v>
      </c>
      <c r="D213" s="78">
        <v>217</v>
      </c>
      <c r="E213" s="79"/>
      <c r="F213" s="79">
        <f t="shared" si="12"/>
        <v>0</v>
      </c>
      <c r="G213" s="2"/>
      <c r="H213" s="37">
        <v>1410</v>
      </c>
      <c r="I213" s="4">
        <f t="shared" si="13"/>
        <v>0</v>
      </c>
      <c r="J213" s="25">
        <f t="shared" si="11"/>
        <v>7</v>
      </c>
    </row>
    <row r="214" spans="1:10" ht="16.95" customHeight="1">
      <c r="A214" s="75">
        <v>14</v>
      </c>
      <c r="B214" s="80" t="s">
        <v>104</v>
      </c>
      <c r="C214" s="77" t="s">
        <v>49</v>
      </c>
      <c r="D214" s="78">
        <v>84</v>
      </c>
      <c r="E214" s="79"/>
      <c r="F214" s="79">
        <f t="shared" si="12"/>
        <v>0</v>
      </c>
      <c r="G214" s="2"/>
      <c r="H214" s="37">
        <v>529</v>
      </c>
      <c r="I214" s="4">
        <f t="shared" si="13"/>
        <v>0</v>
      </c>
      <c r="J214" s="25">
        <f t="shared" si="11"/>
        <v>7</v>
      </c>
    </row>
    <row r="215" spans="1:10" ht="16.95" customHeight="1">
      <c r="A215" s="75">
        <v>15</v>
      </c>
      <c r="B215" s="80" t="s">
        <v>105</v>
      </c>
      <c r="C215" s="77" t="s">
        <v>50</v>
      </c>
      <c r="D215" s="78">
        <v>1</v>
      </c>
      <c r="E215" s="79"/>
      <c r="F215" s="79">
        <f t="shared" si="12"/>
        <v>0</v>
      </c>
      <c r="G215" s="2"/>
      <c r="H215" s="37">
        <v>1146</v>
      </c>
      <c r="I215" s="4">
        <f t="shared" si="13"/>
        <v>0</v>
      </c>
      <c r="J215" s="25">
        <f t="shared" si="11"/>
        <v>7</v>
      </c>
    </row>
    <row r="216" spans="1:10" ht="34.799999999999997" customHeight="1">
      <c r="A216" s="75">
        <v>16</v>
      </c>
      <c r="B216" s="80" t="s">
        <v>106</v>
      </c>
      <c r="C216" s="77" t="s">
        <v>50</v>
      </c>
      <c r="D216" s="78">
        <v>314</v>
      </c>
      <c r="E216" s="79"/>
      <c r="F216" s="79">
        <f t="shared" si="12"/>
        <v>0</v>
      </c>
      <c r="G216" s="2"/>
      <c r="H216" s="37">
        <v>185</v>
      </c>
      <c r="I216" s="4">
        <f t="shared" si="13"/>
        <v>0</v>
      </c>
      <c r="J216" s="25">
        <f t="shared" si="11"/>
        <v>7</v>
      </c>
    </row>
    <row r="217" spans="1:10" ht="16.95" customHeight="1">
      <c r="A217" s="75">
        <v>17</v>
      </c>
      <c r="B217" s="80" t="s">
        <v>107</v>
      </c>
      <c r="C217" s="77" t="s">
        <v>48</v>
      </c>
      <c r="D217" s="78">
        <v>1</v>
      </c>
      <c r="E217" s="79"/>
      <c r="F217" s="79">
        <f t="shared" si="12"/>
        <v>0</v>
      </c>
      <c r="G217" s="2"/>
      <c r="H217" s="37">
        <v>89918</v>
      </c>
      <c r="I217" s="4">
        <f t="shared" si="13"/>
        <v>0</v>
      </c>
      <c r="J217" s="25">
        <f t="shared" si="11"/>
        <v>7</v>
      </c>
    </row>
    <row r="218" spans="1:10" ht="16.95" customHeight="1">
      <c r="A218" s="75">
        <v>18</v>
      </c>
      <c r="B218" s="80" t="s">
        <v>108</v>
      </c>
      <c r="C218" s="77" t="s">
        <v>120</v>
      </c>
      <c r="D218" s="78">
        <v>15</v>
      </c>
      <c r="E218" s="79"/>
      <c r="F218" s="79">
        <f t="shared" si="12"/>
        <v>0</v>
      </c>
      <c r="G218" s="2"/>
      <c r="H218" s="37">
        <v>661</v>
      </c>
      <c r="I218" s="4">
        <f t="shared" si="13"/>
        <v>0</v>
      </c>
      <c r="J218" s="25">
        <f t="shared" si="11"/>
        <v>7</v>
      </c>
    </row>
    <row r="219" spans="1:10" ht="16.95" customHeight="1">
      <c r="A219" s="75">
        <v>19</v>
      </c>
      <c r="B219" s="80" t="s">
        <v>109</v>
      </c>
      <c r="C219" s="77" t="s">
        <v>50</v>
      </c>
      <c r="D219" s="78">
        <v>82</v>
      </c>
      <c r="E219" s="79"/>
      <c r="F219" s="79">
        <f t="shared" si="12"/>
        <v>0</v>
      </c>
      <c r="G219" s="2"/>
      <c r="H219" s="37">
        <v>2909</v>
      </c>
      <c r="I219" s="4">
        <f t="shared" si="13"/>
        <v>0</v>
      </c>
      <c r="J219" s="25">
        <f t="shared" si="11"/>
        <v>7</v>
      </c>
    </row>
    <row r="220" spans="1:10" ht="16.95" customHeight="1">
      <c r="A220" s="75">
        <v>20</v>
      </c>
      <c r="B220" s="80" t="s">
        <v>110</v>
      </c>
      <c r="C220" s="77" t="s">
        <v>121</v>
      </c>
      <c r="D220" s="78">
        <v>12</v>
      </c>
      <c r="E220" s="79"/>
      <c r="F220" s="79">
        <f t="shared" si="12"/>
        <v>0</v>
      </c>
      <c r="G220" s="2"/>
      <c r="H220" s="37">
        <v>882</v>
      </c>
      <c r="I220" s="4">
        <f t="shared" si="13"/>
        <v>0</v>
      </c>
      <c r="J220" s="25">
        <f t="shared" si="11"/>
        <v>7</v>
      </c>
    </row>
    <row r="221" spans="1:10" ht="16.95" customHeight="1">
      <c r="A221" s="77">
        <v>21</v>
      </c>
      <c r="B221" s="80" t="s">
        <v>111</v>
      </c>
      <c r="C221" s="77" t="s">
        <v>122</v>
      </c>
      <c r="D221" s="78">
        <v>3</v>
      </c>
      <c r="E221" s="79"/>
      <c r="F221" s="79">
        <f t="shared" si="12"/>
        <v>0</v>
      </c>
      <c r="G221" s="2"/>
      <c r="H221" s="38">
        <v>1869</v>
      </c>
      <c r="I221" s="4">
        <f t="shared" si="13"/>
        <v>0</v>
      </c>
      <c r="J221" s="25">
        <f t="shared" si="11"/>
        <v>7</v>
      </c>
    </row>
    <row r="222" spans="1:10" ht="34.950000000000003" customHeight="1">
      <c r="A222" s="75">
        <v>22</v>
      </c>
      <c r="B222" s="80" t="s">
        <v>112</v>
      </c>
      <c r="C222" s="77" t="s">
        <v>48</v>
      </c>
      <c r="D222" s="78">
        <v>1</v>
      </c>
      <c r="E222" s="79"/>
      <c r="F222" s="79">
        <f t="shared" si="12"/>
        <v>0</v>
      </c>
      <c r="G222" s="2"/>
      <c r="H222" s="37">
        <v>82206</v>
      </c>
      <c r="I222" s="4">
        <f t="shared" si="13"/>
        <v>0</v>
      </c>
      <c r="J222" s="25">
        <f t="shared" si="11"/>
        <v>7</v>
      </c>
    </row>
    <row r="223" spans="1:10" ht="16.95" customHeight="1">
      <c r="A223" s="75">
        <v>23</v>
      </c>
      <c r="B223" s="80" t="s">
        <v>113</v>
      </c>
      <c r="C223" s="77" t="s">
        <v>48</v>
      </c>
      <c r="D223" s="78">
        <v>1</v>
      </c>
      <c r="E223" s="79"/>
      <c r="F223" s="79">
        <f t="shared" si="12"/>
        <v>0</v>
      </c>
      <c r="G223" s="2"/>
      <c r="H223" s="37">
        <v>142723</v>
      </c>
      <c r="I223" s="4">
        <f t="shared" si="13"/>
        <v>0</v>
      </c>
      <c r="J223" s="25">
        <f t="shared" si="11"/>
        <v>7</v>
      </c>
    </row>
    <row r="224" spans="1:10" ht="16.95" customHeight="1">
      <c r="A224" s="75">
        <v>24</v>
      </c>
      <c r="B224" s="80" t="s">
        <v>114</v>
      </c>
      <c r="C224" s="77" t="s">
        <v>48</v>
      </c>
      <c r="D224" s="78">
        <v>1</v>
      </c>
      <c r="E224" s="79"/>
      <c r="F224" s="79">
        <f t="shared" si="12"/>
        <v>0</v>
      </c>
      <c r="G224" s="2"/>
      <c r="H224" s="37">
        <v>37290</v>
      </c>
      <c r="I224" s="4">
        <f t="shared" si="13"/>
        <v>0</v>
      </c>
      <c r="J224" s="25">
        <f t="shared" si="11"/>
        <v>7</v>
      </c>
    </row>
    <row r="225" spans="1:10" ht="16.95" customHeight="1">
      <c r="A225" s="75">
        <v>25</v>
      </c>
      <c r="B225" s="80" t="s">
        <v>115</v>
      </c>
      <c r="C225" s="77" t="s">
        <v>48</v>
      </c>
      <c r="D225" s="78">
        <v>1</v>
      </c>
      <c r="E225" s="79"/>
      <c r="F225" s="79">
        <f t="shared" si="12"/>
        <v>0</v>
      </c>
      <c r="G225" s="2"/>
      <c r="H225" s="37">
        <v>99394</v>
      </c>
      <c r="I225" s="4">
        <f t="shared" si="13"/>
        <v>0</v>
      </c>
      <c r="J225" s="25">
        <f t="shared" si="11"/>
        <v>7</v>
      </c>
    </row>
    <row r="226" spans="1:10" ht="34.950000000000003" customHeight="1">
      <c r="A226" s="75">
        <v>26</v>
      </c>
      <c r="B226" s="80" t="s">
        <v>116</v>
      </c>
      <c r="C226" s="77" t="s">
        <v>48</v>
      </c>
      <c r="D226" s="78">
        <v>1</v>
      </c>
      <c r="E226" s="79"/>
      <c r="F226" s="79">
        <f t="shared" si="12"/>
        <v>0</v>
      </c>
      <c r="G226" s="2"/>
      <c r="H226" s="37">
        <v>21334</v>
      </c>
      <c r="I226" s="4">
        <f t="shared" si="13"/>
        <v>0</v>
      </c>
      <c r="J226" s="25">
        <f t="shared" si="11"/>
        <v>7</v>
      </c>
    </row>
    <row r="227" spans="1:10" ht="16.95" customHeight="1">
      <c r="A227" s="75">
        <v>27</v>
      </c>
      <c r="B227" s="80" t="s">
        <v>117</v>
      </c>
      <c r="C227" s="77" t="s">
        <v>48</v>
      </c>
      <c r="D227" s="78">
        <v>1</v>
      </c>
      <c r="E227" s="79"/>
      <c r="F227" s="79">
        <f t="shared" si="12"/>
        <v>0</v>
      </c>
      <c r="G227" s="2"/>
      <c r="H227" s="37">
        <v>29620</v>
      </c>
      <c r="I227" s="4">
        <f t="shared" si="13"/>
        <v>0</v>
      </c>
      <c r="J227" s="25">
        <f t="shared" si="11"/>
        <v>7</v>
      </c>
    </row>
    <row r="228" spans="1:10" ht="16.95" customHeight="1">
      <c r="A228" s="75">
        <v>28</v>
      </c>
      <c r="B228" s="80" t="s">
        <v>118</v>
      </c>
      <c r="C228" s="77" t="s">
        <v>48</v>
      </c>
      <c r="D228" s="78">
        <v>1</v>
      </c>
      <c r="E228" s="79"/>
      <c r="F228" s="79">
        <f t="shared" si="12"/>
        <v>0</v>
      </c>
      <c r="G228" s="2"/>
      <c r="H228" s="37">
        <v>18506</v>
      </c>
      <c r="I228" s="4">
        <f t="shared" si="13"/>
        <v>0</v>
      </c>
      <c r="J228" s="25">
        <f t="shared" si="11"/>
        <v>7</v>
      </c>
    </row>
    <row r="229" spans="1:10" ht="16.95" customHeight="1">
      <c r="A229" s="75">
        <v>29</v>
      </c>
      <c r="B229" s="80" t="s">
        <v>119</v>
      </c>
      <c r="C229" s="77" t="s">
        <v>48</v>
      </c>
      <c r="D229" s="78">
        <v>1</v>
      </c>
      <c r="E229" s="79"/>
      <c r="F229" s="79">
        <f t="shared" si="12"/>
        <v>0</v>
      </c>
      <c r="G229" s="2"/>
      <c r="H229" s="37">
        <v>34381</v>
      </c>
      <c r="I229" s="4">
        <f t="shared" si="13"/>
        <v>0</v>
      </c>
      <c r="J229" s="25">
        <f t="shared" si="11"/>
        <v>7</v>
      </c>
    </row>
    <row r="230" spans="1:10" ht="16.95" customHeight="1">
      <c r="A230" s="75" t="s">
        <v>79</v>
      </c>
      <c r="B230" s="80" t="s">
        <v>80</v>
      </c>
      <c r="C230" s="77" t="s">
        <v>48</v>
      </c>
      <c r="D230" s="78">
        <v>1</v>
      </c>
      <c r="E230" s="79">
        <f t="shared" ref="E230:E233" si="14">1/120</f>
        <v>8.3333333333333332E-3</v>
      </c>
      <c r="F230" s="79">
        <f t="shared" si="12"/>
        <v>3.3333333333333333E-2</v>
      </c>
      <c r="G230" s="2"/>
      <c r="H230" s="37">
        <v>21395</v>
      </c>
      <c r="I230" s="4">
        <f t="shared" si="13"/>
        <v>178.29166666666666</v>
      </c>
      <c r="J230" s="25">
        <f t="shared" si="11"/>
        <v>7</v>
      </c>
    </row>
    <row r="231" spans="1:10" ht="16.95" customHeight="1">
      <c r="A231" s="75" t="s">
        <v>81</v>
      </c>
      <c r="B231" s="80" t="s">
        <v>82</v>
      </c>
      <c r="C231" s="77" t="s">
        <v>48</v>
      </c>
      <c r="D231" s="78">
        <v>1</v>
      </c>
      <c r="E231" s="79">
        <f t="shared" si="14"/>
        <v>8.3333333333333332E-3</v>
      </c>
      <c r="F231" s="79">
        <f t="shared" si="12"/>
        <v>3.3333333333333333E-2</v>
      </c>
      <c r="G231" s="2"/>
      <c r="H231" s="37">
        <v>21395</v>
      </c>
      <c r="I231" s="4">
        <f t="shared" si="13"/>
        <v>178.29166666666666</v>
      </c>
      <c r="J231" s="25">
        <f t="shared" si="11"/>
        <v>7</v>
      </c>
    </row>
    <row r="232" spans="1:10" ht="16.95" customHeight="1">
      <c r="A232" s="75" t="s">
        <v>83</v>
      </c>
      <c r="B232" s="80" t="s">
        <v>84</v>
      </c>
      <c r="C232" s="77" t="s">
        <v>48</v>
      </c>
      <c r="D232" s="78">
        <v>1</v>
      </c>
      <c r="E232" s="79">
        <f t="shared" si="14"/>
        <v>8.3333333333333332E-3</v>
      </c>
      <c r="F232" s="79">
        <f t="shared" si="12"/>
        <v>3.3333333333333333E-2</v>
      </c>
      <c r="G232" s="2"/>
      <c r="H232" s="37">
        <v>149765</v>
      </c>
      <c r="I232" s="4">
        <f t="shared" si="13"/>
        <v>1248.0416666666667</v>
      </c>
      <c r="J232" s="25">
        <f t="shared" si="11"/>
        <v>7</v>
      </c>
    </row>
    <row r="233" spans="1:10" ht="16.95" customHeight="1">
      <c r="A233" s="75" t="s">
        <v>85</v>
      </c>
      <c r="B233" s="80" t="s">
        <v>86</v>
      </c>
      <c r="C233" s="77" t="s">
        <v>48</v>
      </c>
      <c r="D233" s="78">
        <v>1</v>
      </c>
      <c r="E233" s="79">
        <f t="shared" si="14"/>
        <v>8.3333333333333332E-3</v>
      </c>
      <c r="F233" s="79">
        <f t="shared" si="12"/>
        <v>3.3333333333333333E-2</v>
      </c>
      <c r="G233" s="2"/>
      <c r="H233" s="37">
        <v>6996</v>
      </c>
      <c r="I233" s="4">
        <f t="shared" si="13"/>
        <v>58.3</v>
      </c>
      <c r="J233" s="25">
        <f t="shared" si="11"/>
        <v>7</v>
      </c>
    </row>
    <row r="234" spans="1:10" ht="16.95" customHeight="1">
      <c r="A234" s="75" t="s">
        <v>87</v>
      </c>
      <c r="B234" s="80" t="s">
        <v>88</v>
      </c>
      <c r="C234" s="77" t="s">
        <v>48</v>
      </c>
      <c r="D234" s="78">
        <v>1</v>
      </c>
      <c r="E234" s="79">
        <f>1/120</f>
        <v>8.3333333333333332E-3</v>
      </c>
      <c r="F234" s="79">
        <f t="shared" si="12"/>
        <v>3.3333333333333333E-2</v>
      </c>
      <c r="G234" s="2"/>
      <c r="H234" s="37">
        <v>116952</v>
      </c>
      <c r="I234" s="4">
        <f t="shared" si="13"/>
        <v>974.6</v>
      </c>
      <c r="J234" s="25">
        <f t="shared" si="11"/>
        <v>7</v>
      </c>
    </row>
    <row r="235" spans="1:10" ht="16.95" customHeight="1">
      <c r="A235" s="95" t="s">
        <v>23</v>
      </c>
      <c r="B235" s="95"/>
      <c r="C235" s="50"/>
      <c r="D235" s="50"/>
      <c r="E235" s="50"/>
      <c r="F235" s="50"/>
      <c r="G235" s="50"/>
      <c r="H235" s="3" t="s">
        <v>24</v>
      </c>
      <c r="I235" s="5">
        <f>SUM(I200:I234)</f>
        <v>15057.404999999999</v>
      </c>
      <c r="J235" s="25">
        <f t="shared" si="11"/>
        <v>7</v>
      </c>
    </row>
    <row r="236" spans="1:10" ht="16.95" customHeight="1">
      <c r="A236" s="96" t="s">
        <v>25</v>
      </c>
      <c r="B236" s="96"/>
      <c r="C236" s="50"/>
      <c r="D236" s="50"/>
      <c r="E236" s="50"/>
      <c r="F236" s="50"/>
      <c r="G236" s="50"/>
      <c r="J236" s="25">
        <f t="shared" si="11"/>
        <v>7</v>
      </c>
    </row>
    <row r="237" spans="1:10" ht="16.95" customHeight="1">
      <c r="A237" s="96" t="s">
        <v>26</v>
      </c>
      <c r="B237" s="96"/>
      <c r="C237" s="50"/>
      <c r="D237" s="50"/>
      <c r="E237" s="50"/>
      <c r="F237" s="50"/>
      <c r="G237" s="50"/>
      <c r="J237" s="25">
        <f t="shared" si="11"/>
        <v>7</v>
      </c>
    </row>
    <row r="238" spans="1:10" ht="16.95" customHeight="1">
      <c r="A238" s="95" t="s">
        <v>27</v>
      </c>
      <c r="B238" s="95"/>
      <c r="C238" s="95"/>
      <c r="D238" s="95"/>
      <c r="E238" s="95"/>
      <c r="F238" s="95"/>
      <c r="G238" s="95"/>
      <c r="J238" s="25">
        <f t="shared" si="11"/>
        <v>7</v>
      </c>
    </row>
    <row r="239" spans="1:10" ht="16.95" customHeight="1">
      <c r="A239" s="94" t="s">
        <v>28</v>
      </c>
      <c r="B239" s="94"/>
      <c r="C239" s="51" t="s">
        <v>29</v>
      </c>
      <c r="D239" s="51" t="s">
        <v>30</v>
      </c>
      <c r="E239" s="51" t="s">
        <v>18</v>
      </c>
      <c r="F239" s="51" t="s">
        <v>31</v>
      </c>
      <c r="G239" s="51" t="s">
        <v>20</v>
      </c>
      <c r="J239" s="25">
        <f t="shared" si="11"/>
        <v>7</v>
      </c>
    </row>
    <row r="240" spans="1:10" ht="16.95" customHeight="1">
      <c r="A240" s="96"/>
      <c r="B240" s="96"/>
      <c r="C240" s="50"/>
      <c r="D240" s="50"/>
      <c r="E240" s="50"/>
      <c r="F240" s="50"/>
      <c r="G240" s="51"/>
      <c r="J240" s="25">
        <f t="shared" si="11"/>
        <v>7</v>
      </c>
    </row>
    <row r="241" spans="1:10" ht="16.95" customHeight="1">
      <c r="A241" s="97"/>
      <c r="B241" s="97"/>
      <c r="C241" s="50"/>
      <c r="D241" s="50"/>
      <c r="E241" s="50"/>
      <c r="F241" s="51"/>
      <c r="G241" s="51"/>
      <c r="J241" s="25">
        <f t="shared" si="11"/>
        <v>7</v>
      </c>
    </row>
    <row r="242" spans="1:10" ht="16.95" customHeight="1">
      <c r="A242" s="95" t="s">
        <v>32</v>
      </c>
      <c r="B242" s="95"/>
      <c r="C242" s="95"/>
      <c r="D242" s="95"/>
      <c r="E242" s="95"/>
      <c r="F242" s="95"/>
      <c r="G242" s="95"/>
      <c r="J242" s="25">
        <f t="shared" si="11"/>
        <v>8</v>
      </c>
    </row>
    <row r="243" spans="1:10" ht="16.95" customHeight="1">
      <c r="A243" s="51" t="s">
        <v>33</v>
      </c>
      <c r="B243" s="51" t="s">
        <v>34</v>
      </c>
      <c r="C243" s="94" t="s">
        <v>35</v>
      </c>
      <c r="D243" s="94"/>
      <c r="E243" s="51" t="s">
        <v>36</v>
      </c>
      <c r="F243" s="51" t="s">
        <v>37</v>
      </c>
      <c r="G243" s="51" t="s">
        <v>38</v>
      </c>
      <c r="J243" s="25">
        <f t="shared" si="11"/>
        <v>8</v>
      </c>
    </row>
    <row r="244" spans="1:10" ht="16.95" customHeight="1">
      <c r="A244" s="51" t="s">
        <v>39</v>
      </c>
      <c r="B244" s="6">
        <v>1</v>
      </c>
      <c r="C244" s="94">
        <f>B244+C181</f>
        <v>3</v>
      </c>
      <c r="D244" s="94"/>
      <c r="E244" s="51"/>
      <c r="F244" s="24"/>
      <c r="G244" s="24"/>
      <c r="J244" s="25">
        <f t="shared" si="11"/>
        <v>8</v>
      </c>
    </row>
    <row r="245" spans="1:10" ht="16.95" customHeight="1">
      <c r="A245" s="51" t="s">
        <v>40</v>
      </c>
      <c r="B245" s="6">
        <v>1</v>
      </c>
      <c r="C245" s="94">
        <f>B245+C182</f>
        <v>4</v>
      </c>
      <c r="D245" s="94"/>
      <c r="E245" s="51"/>
      <c r="F245" s="24"/>
      <c r="G245" s="24"/>
      <c r="J245" s="25">
        <f t="shared" si="11"/>
        <v>8</v>
      </c>
    </row>
    <row r="246" spans="1:10" ht="36.6" customHeight="1">
      <c r="A246" s="95" t="s">
        <v>41</v>
      </c>
      <c r="B246" s="95"/>
      <c r="C246" s="95"/>
      <c r="D246" s="95"/>
      <c r="E246" s="95"/>
      <c r="F246" s="95"/>
      <c r="G246" s="95"/>
      <c r="J246" s="25">
        <f t="shared" si="11"/>
        <v>8</v>
      </c>
    </row>
    <row r="247" spans="1:10" ht="90" customHeight="1">
      <c r="A247" s="92" t="s">
        <v>42</v>
      </c>
      <c r="B247" s="92"/>
      <c r="C247" s="92"/>
      <c r="D247" s="92"/>
      <c r="E247" s="92"/>
      <c r="F247" s="92"/>
      <c r="G247" s="92"/>
      <c r="J247" s="25">
        <f t="shared" si="11"/>
        <v>8</v>
      </c>
    </row>
    <row r="248" spans="1:10" ht="16.95" customHeight="1">
      <c r="A248" s="95" t="s">
        <v>43</v>
      </c>
      <c r="B248" s="95"/>
      <c r="C248" s="95"/>
      <c r="D248" s="95"/>
      <c r="E248" s="95"/>
      <c r="F248" s="95"/>
      <c r="G248" s="95"/>
      <c r="J248" s="25">
        <f t="shared" si="11"/>
        <v>8</v>
      </c>
    </row>
    <row r="249" spans="1:10" ht="16.95" customHeight="1">
      <c r="A249" s="95" t="s">
        <v>44</v>
      </c>
      <c r="B249" s="95"/>
      <c r="C249" s="95"/>
      <c r="D249" s="95"/>
      <c r="E249" s="95"/>
      <c r="F249" s="95"/>
      <c r="G249" s="95"/>
      <c r="J249" s="25">
        <f t="shared" si="11"/>
        <v>8</v>
      </c>
    </row>
    <row r="250" spans="1:10" ht="16.95" customHeight="1">
      <c r="A250" s="91" t="s">
        <v>125</v>
      </c>
      <c r="B250" s="91"/>
      <c r="C250" s="91"/>
      <c r="D250" s="91"/>
      <c r="E250" s="91"/>
      <c r="F250" s="91"/>
      <c r="G250" s="91"/>
      <c r="J250" s="25">
        <f t="shared" si="11"/>
        <v>8</v>
      </c>
    </row>
    <row r="251" spans="1:10" ht="120.6" customHeight="1">
      <c r="A251" s="92" t="s">
        <v>45</v>
      </c>
      <c r="B251" s="92"/>
      <c r="C251" s="92"/>
      <c r="D251" s="92"/>
      <c r="E251" s="92"/>
      <c r="F251" s="92"/>
      <c r="G251" s="92"/>
      <c r="J251" s="25">
        <f t="shared" si="11"/>
        <v>8</v>
      </c>
    </row>
    <row r="252" spans="1:10" ht="140.4" customHeight="1">
      <c r="A252" s="93" t="s">
        <v>46</v>
      </c>
      <c r="B252" s="93"/>
      <c r="C252" s="93"/>
      <c r="D252" s="93"/>
      <c r="E252" s="93"/>
      <c r="F252" s="93"/>
      <c r="G252" s="93"/>
      <c r="J252" s="25">
        <f t="shared" si="11"/>
        <v>8</v>
      </c>
    </row>
    <row r="253" spans="1:10" ht="37.200000000000003" customHeight="1">
      <c r="A253" s="103" t="s">
        <v>0</v>
      </c>
      <c r="B253" s="103"/>
      <c r="C253" s="103"/>
      <c r="D253" s="103"/>
      <c r="E253" s="103"/>
      <c r="F253" s="103"/>
      <c r="G253" s="103"/>
      <c r="J253" s="25">
        <f t="shared" si="11"/>
        <v>9</v>
      </c>
    </row>
    <row r="254" spans="1:10" ht="16.95" customHeight="1">
      <c r="A254" s="1" t="s">
        <v>1</v>
      </c>
      <c r="B254" s="104">
        <f>B191+1</f>
        <v>5</v>
      </c>
      <c r="C254" s="104"/>
      <c r="D254" s="104"/>
      <c r="E254" s="104"/>
      <c r="F254" s="104"/>
      <c r="G254" s="104"/>
      <c r="J254" s="25">
        <f t="shared" si="11"/>
        <v>9</v>
      </c>
    </row>
    <row r="255" spans="1:10" ht="16.95" customHeight="1">
      <c r="A255" s="1" t="s">
        <v>2</v>
      </c>
      <c r="B255" s="105" t="s">
        <v>63</v>
      </c>
      <c r="C255" s="105"/>
      <c r="D255" s="105"/>
      <c r="E255" s="106">
        <f>E192+1</f>
        <v>46208</v>
      </c>
      <c r="F255" s="106"/>
      <c r="G255" s="106"/>
      <c r="J255" s="25">
        <f t="shared" si="11"/>
        <v>9</v>
      </c>
    </row>
    <row r="256" spans="1:10" ht="16.95" customHeight="1">
      <c r="A256" s="53" t="s">
        <v>3</v>
      </c>
      <c r="B256" s="2" t="s">
        <v>67</v>
      </c>
      <c r="C256" s="98" t="s">
        <v>4</v>
      </c>
      <c r="D256" s="98"/>
      <c r="E256" s="98" t="s">
        <v>47</v>
      </c>
      <c r="F256" s="98"/>
      <c r="G256" s="98"/>
      <c r="J256" s="25">
        <f t="shared" ref="J256:J319" si="15">J193+2</f>
        <v>9</v>
      </c>
    </row>
    <row r="257" spans="1:10" ht="16.95" customHeight="1">
      <c r="A257" s="53" t="s">
        <v>5</v>
      </c>
      <c r="B257" s="54">
        <v>120</v>
      </c>
      <c r="C257" s="98" t="s">
        <v>6</v>
      </c>
      <c r="D257" s="98"/>
      <c r="E257" s="98" t="s">
        <v>123</v>
      </c>
      <c r="F257" s="98"/>
      <c r="G257" s="98"/>
      <c r="J257" s="25">
        <f t="shared" si="15"/>
        <v>9</v>
      </c>
    </row>
    <row r="258" spans="1:10" ht="16.95" customHeight="1">
      <c r="A258" s="53" t="s">
        <v>7</v>
      </c>
      <c r="B258" s="54">
        <f>B254</f>
        <v>5</v>
      </c>
      <c r="C258" s="100" t="s">
        <v>8</v>
      </c>
      <c r="D258" s="100"/>
      <c r="E258" s="101">
        <f>B257-B258</f>
        <v>115</v>
      </c>
      <c r="F258" s="101"/>
      <c r="G258" s="101"/>
      <c r="J258" s="25">
        <f t="shared" si="15"/>
        <v>9</v>
      </c>
    </row>
    <row r="259" spans="1:10" ht="16.95" customHeight="1">
      <c r="A259" s="53" t="s">
        <v>9</v>
      </c>
      <c r="B259" s="55">
        <v>46204</v>
      </c>
      <c r="C259" s="98" t="s">
        <v>10</v>
      </c>
      <c r="D259" s="98"/>
      <c r="E259" s="102">
        <f>B259+B257-1</f>
        <v>46323</v>
      </c>
      <c r="F259" s="102"/>
      <c r="G259" s="102"/>
      <c r="J259" s="25">
        <f t="shared" si="15"/>
        <v>9</v>
      </c>
    </row>
    <row r="260" spans="1:10" ht="16.95" customHeight="1">
      <c r="A260" s="53" t="s">
        <v>11</v>
      </c>
      <c r="B260" s="56">
        <f>HLOOKUP(B254,進度表!$Q$2:$Z$3,2,1)+B197</f>
        <v>1.9900422434853425E-2</v>
      </c>
      <c r="C260" s="98" t="s">
        <v>12</v>
      </c>
      <c r="D260" s="98"/>
      <c r="E260" s="99">
        <f>I298/I260+E197</f>
        <v>2.4818918973941364E-2</v>
      </c>
      <c r="F260" s="99"/>
      <c r="G260" s="99"/>
      <c r="H260" s="3" t="s">
        <v>62</v>
      </c>
      <c r="I260" s="1">
        <v>2456000</v>
      </c>
      <c r="J260" s="25">
        <f t="shared" si="15"/>
        <v>9</v>
      </c>
    </row>
    <row r="261" spans="1:10" ht="16.95" customHeight="1">
      <c r="A261" s="98" t="s">
        <v>13</v>
      </c>
      <c r="B261" s="98"/>
      <c r="C261" s="98"/>
      <c r="D261" s="98"/>
      <c r="E261" s="98"/>
      <c r="F261" s="98"/>
      <c r="G261" s="98"/>
      <c r="J261" s="25">
        <f t="shared" si="15"/>
        <v>9</v>
      </c>
    </row>
    <row r="262" spans="1:10" ht="16.95" customHeight="1">
      <c r="A262" s="52" t="s">
        <v>14</v>
      </c>
      <c r="B262" s="52" t="s">
        <v>15</v>
      </c>
      <c r="C262" s="52" t="s">
        <v>16</v>
      </c>
      <c r="D262" s="52" t="s">
        <v>17</v>
      </c>
      <c r="E262" s="52" t="s">
        <v>18</v>
      </c>
      <c r="F262" s="52" t="s">
        <v>19</v>
      </c>
      <c r="G262" s="52" t="s">
        <v>20</v>
      </c>
      <c r="H262" s="3" t="s">
        <v>21</v>
      </c>
      <c r="I262" s="3" t="s">
        <v>22</v>
      </c>
      <c r="J262" s="25">
        <f t="shared" si="15"/>
        <v>9</v>
      </c>
    </row>
    <row r="263" spans="1:10" ht="16.95" customHeight="1">
      <c r="A263" s="75" t="s">
        <v>65</v>
      </c>
      <c r="B263" s="76" t="s">
        <v>69</v>
      </c>
      <c r="C263" s="77"/>
      <c r="D263" s="78"/>
      <c r="E263" s="79"/>
      <c r="F263" s="79"/>
      <c r="G263" s="2"/>
      <c r="H263" s="37"/>
      <c r="I263" s="4"/>
      <c r="J263" s="25">
        <f t="shared" si="15"/>
        <v>9</v>
      </c>
    </row>
    <row r="264" spans="1:10" ht="34.950000000000003" customHeight="1">
      <c r="A264" s="75">
        <v>1</v>
      </c>
      <c r="B264" s="80" t="s">
        <v>91</v>
      </c>
      <c r="C264" s="77" t="s">
        <v>48</v>
      </c>
      <c r="D264" s="78">
        <v>1</v>
      </c>
      <c r="E264" s="79"/>
      <c r="F264" s="79">
        <f t="shared" ref="F264:F297" si="16">E264+F201</f>
        <v>1</v>
      </c>
      <c r="G264" s="2"/>
      <c r="H264" s="37">
        <v>10508</v>
      </c>
      <c r="I264" s="4">
        <f>H264*E264</f>
        <v>0</v>
      </c>
      <c r="J264" s="25">
        <f t="shared" si="15"/>
        <v>9</v>
      </c>
    </row>
    <row r="265" spans="1:10" ht="34.799999999999997" customHeight="1">
      <c r="A265" s="75">
        <v>2</v>
      </c>
      <c r="B265" s="80" t="s">
        <v>92</v>
      </c>
      <c r="C265" s="77" t="s">
        <v>48</v>
      </c>
      <c r="D265" s="78">
        <v>1</v>
      </c>
      <c r="E265" s="79"/>
      <c r="F265" s="79">
        <f t="shared" si="16"/>
        <v>0</v>
      </c>
      <c r="G265" s="2"/>
      <c r="H265" s="37">
        <v>13223</v>
      </c>
      <c r="I265" s="4">
        <f>H265*E265</f>
        <v>0</v>
      </c>
      <c r="J265" s="25">
        <f t="shared" si="15"/>
        <v>9</v>
      </c>
    </row>
    <row r="266" spans="1:10" ht="53.4" customHeight="1">
      <c r="A266" s="75">
        <v>3</v>
      </c>
      <c r="B266" s="80" t="s">
        <v>93</v>
      </c>
      <c r="C266" s="77" t="s">
        <v>48</v>
      </c>
      <c r="D266" s="78">
        <v>1</v>
      </c>
      <c r="E266" s="79"/>
      <c r="F266" s="79">
        <f t="shared" si="16"/>
        <v>0.12</v>
      </c>
      <c r="G266" s="2"/>
      <c r="H266" s="37">
        <v>310497</v>
      </c>
      <c r="I266" s="4">
        <f t="shared" ref="I266:I297" si="17">H266*E266</f>
        <v>0</v>
      </c>
      <c r="J266" s="25">
        <f t="shared" si="15"/>
        <v>9</v>
      </c>
    </row>
    <row r="267" spans="1:10" ht="16.95" customHeight="1">
      <c r="A267" s="75">
        <v>4</v>
      </c>
      <c r="B267" s="80" t="s">
        <v>94</v>
      </c>
      <c r="C267" s="77" t="s">
        <v>48</v>
      </c>
      <c r="D267" s="78">
        <v>1</v>
      </c>
      <c r="E267" s="79"/>
      <c r="F267" s="79">
        <f t="shared" si="16"/>
        <v>0</v>
      </c>
      <c r="G267" s="2"/>
      <c r="H267" s="37">
        <v>8375</v>
      </c>
      <c r="I267" s="4">
        <f t="shared" si="17"/>
        <v>0</v>
      </c>
      <c r="J267" s="25">
        <f t="shared" si="15"/>
        <v>9</v>
      </c>
    </row>
    <row r="268" spans="1:10" ht="16.95" customHeight="1">
      <c r="A268" s="75">
        <v>5</v>
      </c>
      <c r="B268" s="80" t="s">
        <v>95</v>
      </c>
      <c r="C268" s="77" t="s">
        <v>48</v>
      </c>
      <c r="D268" s="78">
        <v>1</v>
      </c>
      <c r="E268" s="79"/>
      <c r="F268" s="79">
        <f t="shared" si="16"/>
        <v>0</v>
      </c>
      <c r="G268" s="2"/>
      <c r="H268" s="37">
        <v>51618</v>
      </c>
      <c r="I268" s="4">
        <f t="shared" si="17"/>
        <v>0</v>
      </c>
      <c r="J268" s="25">
        <f t="shared" si="15"/>
        <v>9</v>
      </c>
    </row>
    <row r="269" spans="1:10" ht="16.95" customHeight="1">
      <c r="A269" s="75">
        <v>6</v>
      </c>
      <c r="B269" s="80" t="s">
        <v>96</v>
      </c>
      <c r="C269" s="77" t="s">
        <v>50</v>
      </c>
      <c r="D269" s="78">
        <v>11.55</v>
      </c>
      <c r="E269" s="79"/>
      <c r="F269" s="79">
        <f t="shared" si="16"/>
        <v>0</v>
      </c>
      <c r="G269" s="2"/>
      <c r="H269" s="37">
        <v>1188</v>
      </c>
      <c r="I269" s="4">
        <f t="shared" si="17"/>
        <v>0</v>
      </c>
      <c r="J269" s="25">
        <f t="shared" si="15"/>
        <v>9</v>
      </c>
    </row>
    <row r="270" spans="1:10" ht="34.950000000000003" customHeight="1">
      <c r="A270" s="75">
        <v>7</v>
      </c>
      <c r="B270" s="80" t="s">
        <v>97</v>
      </c>
      <c r="C270" s="77" t="s">
        <v>48</v>
      </c>
      <c r="D270" s="78">
        <v>1</v>
      </c>
      <c r="E270" s="79"/>
      <c r="F270" s="79">
        <f t="shared" si="16"/>
        <v>0</v>
      </c>
      <c r="G270" s="2"/>
      <c r="H270" s="37">
        <v>21157</v>
      </c>
      <c r="I270" s="4">
        <f t="shared" si="17"/>
        <v>0</v>
      </c>
      <c r="J270" s="25">
        <f t="shared" si="15"/>
        <v>9</v>
      </c>
    </row>
    <row r="271" spans="1:10" ht="16.95" customHeight="1">
      <c r="A271" s="75">
        <v>8</v>
      </c>
      <c r="B271" s="80" t="s">
        <v>98</v>
      </c>
      <c r="C271" s="77" t="s">
        <v>50</v>
      </c>
      <c r="D271" s="78">
        <v>387</v>
      </c>
      <c r="E271" s="79"/>
      <c r="F271" s="79">
        <f t="shared" si="16"/>
        <v>0</v>
      </c>
      <c r="G271" s="2"/>
      <c r="H271" s="37">
        <v>705</v>
      </c>
      <c r="I271" s="4">
        <f t="shared" si="17"/>
        <v>0</v>
      </c>
      <c r="J271" s="25">
        <f t="shared" si="15"/>
        <v>9</v>
      </c>
    </row>
    <row r="272" spans="1:10" ht="16.95" customHeight="1">
      <c r="A272" s="75">
        <v>9</v>
      </c>
      <c r="B272" s="80" t="s">
        <v>99</v>
      </c>
      <c r="C272" s="77" t="s">
        <v>50</v>
      </c>
      <c r="D272" s="78">
        <v>170</v>
      </c>
      <c r="E272" s="79"/>
      <c r="F272" s="79">
        <f t="shared" si="16"/>
        <v>0</v>
      </c>
      <c r="G272" s="2"/>
      <c r="H272" s="37">
        <v>617</v>
      </c>
      <c r="I272" s="4">
        <f t="shared" si="17"/>
        <v>0</v>
      </c>
      <c r="J272" s="25">
        <f t="shared" si="15"/>
        <v>9</v>
      </c>
    </row>
    <row r="273" spans="1:10" ht="16.95" customHeight="1">
      <c r="A273" s="75">
        <v>10</v>
      </c>
      <c r="B273" s="80" t="s">
        <v>100</v>
      </c>
      <c r="C273" s="77" t="s">
        <v>66</v>
      </c>
      <c r="D273" s="78">
        <v>15</v>
      </c>
      <c r="E273" s="79"/>
      <c r="F273" s="79">
        <f t="shared" si="16"/>
        <v>0</v>
      </c>
      <c r="G273" s="2"/>
      <c r="H273" s="37">
        <v>617</v>
      </c>
      <c r="I273" s="4">
        <f t="shared" si="17"/>
        <v>0</v>
      </c>
      <c r="J273" s="25">
        <f t="shared" si="15"/>
        <v>9</v>
      </c>
    </row>
    <row r="274" spans="1:10" ht="16.95" customHeight="1">
      <c r="A274" s="75">
        <v>11</v>
      </c>
      <c r="B274" s="80" t="s">
        <v>101</v>
      </c>
      <c r="C274" s="77" t="s">
        <v>50</v>
      </c>
      <c r="D274" s="78">
        <v>75</v>
      </c>
      <c r="E274" s="79"/>
      <c r="F274" s="79">
        <f t="shared" si="16"/>
        <v>0</v>
      </c>
      <c r="G274" s="2"/>
      <c r="H274" s="37">
        <v>1146</v>
      </c>
      <c r="I274" s="4">
        <f t="shared" si="17"/>
        <v>0</v>
      </c>
      <c r="J274" s="25">
        <f t="shared" si="15"/>
        <v>9</v>
      </c>
    </row>
    <row r="275" spans="1:10" ht="16.95" customHeight="1">
      <c r="A275" s="75">
        <v>12</v>
      </c>
      <c r="B275" s="80" t="s">
        <v>102</v>
      </c>
      <c r="C275" s="77" t="s">
        <v>50</v>
      </c>
      <c r="D275" s="78">
        <v>5</v>
      </c>
      <c r="E275" s="79"/>
      <c r="F275" s="79">
        <f t="shared" si="16"/>
        <v>0</v>
      </c>
      <c r="G275" s="2"/>
      <c r="H275" s="37">
        <v>1455</v>
      </c>
      <c r="I275" s="4">
        <f t="shared" si="17"/>
        <v>0</v>
      </c>
      <c r="J275" s="25">
        <f t="shared" si="15"/>
        <v>9</v>
      </c>
    </row>
    <row r="276" spans="1:10" ht="16.95" customHeight="1">
      <c r="A276" s="75">
        <v>13</v>
      </c>
      <c r="B276" s="80" t="s">
        <v>103</v>
      </c>
      <c r="C276" s="77" t="s">
        <v>50</v>
      </c>
      <c r="D276" s="78">
        <v>217</v>
      </c>
      <c r="E276" s="79"/>
      <c r="F276" s="79">
        <f t="shared" si="16"/>
        <v>0</v>
      </c>
      <c r="G276" s="2"/>
      <c r="H276" s="37">
        <v>1410</v>
      </c>
      <c r="I276" s="4">
        <f t="shared" si="17"/>
        <v>0</v>
      </c>
      <c r="J276" s="25">
        <f t="shared" si="15"/>
        <v>9</v>
      </c>
    </row>
    <row r="277" spans="1:10" ht="16.95" customHeight="1">
      <c r="A277" s="75">
        <v>14</v>
      </c>
      <c r="B277" s="80" t="s">
        <v>104</v>
      </c>
      <c r="C277" s="77" t="s">
        <v>49</v>
      </c>
      <c r="D277" s="78">
        <v>84</v>
      </c>
      <c r="E277" s="79"/>
      <c r="F277" s="79">
        <f t="shared" si="16"/>
        <v>0</v>
      </c>
      <c r="G277" s="2"/>
      <c r="H277" s="37">
        <v>529</v>
      </c>
      <c r="I277" s="4">
        <f t="shared" si="17"/>
        <v>0</v>
      </c>
      <c r="J277" s="25">
        <f t="shared" si="15"/>
        <v>9</v>
      </c>
    </row>
    <row r="278" spans="1:10" ht="16.95" customHeight="1">
      <c r="A278" s="75">
        <v>15</v>
      </c>
      <c r="B278" s="80" t="s">
        <v>105</v>
      </c>
      <c r="C278" s="77" t="s">
        <v>50</v>
      </c>
      <c r="D278" s="78">
        <v>1</v>
      </c>
      <c r="E278" s="79"/>
      <c r="F278" s="79">
        <f t="shared" si="16"/>
        <v>0</v>
      </c>
      <c r="G278" s="2"/>
      <c r="H278" s="37">
        <v>1146</v>
      </c>
      <c r="I278" s="4">
        <f t="shared" si="17"/>
        <v>0</v>
      </c>
      <c r="J278" s="25">
        <f t="shared" si="15"/>
        <v>9</v>
      </c>
    </row>
    <row r="279" spans="1:10" ht="34.799999999999997" customHeight="1">
      <c r="A279" s="75">
        <v>16</v>
      </c>
      <c r="B279" s="80" t="s">
        <v>106</v>
      </c>
      <c r="C279" s="77" t="s">
        <v>50</v>
      </c>
      <c r="D279" s="78">
        <v>314</v>
      </c>
      <c r="E279" s="79"/>
      <c r="F279" s="79">
        <f t="shared" si="16"/>
        <v>0</v>
      </c>
      <c r="G279" s="2"/>
      <c r="H279" s="37">
        <v>185</v>
      </c>
      <c r="I279" s="4">
        <f t="shared" si="17"/>
        <v>0</v>
      </c>
      <c r="J279" s="25">
        <f t="shared" si="15"/>
        <v>9</v>
      </c>
    </row>
    <row r="280" spans="1:10" ht="16.95" customHeight="1">
      <c r="A280" s="75">
        <v>17</v>
      </c>
      <c r="B280" s="80" t="s">
        <v>107</v>
      </c>
      <c r="C280" s="77" t="s">
        <v>48</v>
      </c>
      <c r="D280" s="78">
        <v>1</v>
      </c>
      <c r="E280" s="79"/>
      <c r="F280" s="79">
        <f t="shared" si="16"/>
        <v>0</v>
      </c>
      <c r="G280" s="2"/>
      <c r="H280" s="37">
        <v>89918</v>
      </c>
      <c r="I280" s="4">
        <f t="shared" si="17"/>
        <v>0</v>
      </c>
      <c r="J280" s="25">
        <f t="shared" si="15"/>
        <v>9</v>
      </c>
    </row>
    <row r="281" spans="1:10" ht="16.95" customHeight="1">
      <c r="A281" s="75">
        <v>18</v>
      </c>
      <c r="B281" s="80" t="s">
        <v>108</v>
      </c>
      <c r="C281" s="77" t="s">
        <v>120</v>
      </c>
      <c r="D281" s="78">
        <v>15</v>
      </c>
      <c r="E281" s="79"/>
      <c r="F281" s="79">
        <f t="shared" si="16"/>
        <v>0</v>
      </c>
      <c r="G281" s="2"/>
      <c r="H281" s="37">
        <v>661</v>
      </c>
      <c r="I281" s="4">
        <f t="shared" si="17"/>
        <v>0</v>
      </c>
      <c r="J281" s="25">
        <f t="shared" si="15"/>
        <v>9</v>
      </c>
    </row>
    <row r="282" spans="1:10" ht="16.95" customHeight="1">
      <c r="A282" s="75">
        <v>19</v>
      </c>
      <c r="B282" s="80" t="s">
        <v>109</v>
      </c>
      <c r="C282" s="77" t="s">
        <v>50</v>
      </c>
      <c r="D282" s="78">
        <v>82</v>
      </c>
      <c r="E282" s="79"/>
      <c r="F282" s="79">
        <f t="shared" si="16"/>
        <v>0</v>
      </c>
      <c r="G282" s="2"/>
      <c r="H282" s="37">
        <v>2909</v>
      </c>
      <c r="I282" s="4">
        <f t="shared" si="17"/>
        <v>0</v>
      </c>
      <c r="J282" s="25">
        <f t="shared" si="15"/>
        <v>9</v>
      </c>
    </row>
    <row r="283" spans="1:10" ht="16.95" customHeight="1">
      <c r="A283" s="75">
        <v>20</v>
      </c>
      <c r="B283" s="80" t="s">
        <v>110</v>
      </c>
      <c r="C283" s="77" t="s">
        <v>121</v>
      </c>
      <c r="D283" s="78">
        <v>12</v>
      </c>
      <c r="E283" s="79"/>
      <c r="F283" s="79">
        <f t="shared" si="16"/>
        <v>0</v>
      </c>
      <c r="G283" s="2"/>
      <c r="H283" s="37">
        <v>882</v>
      </c>
      <c r="I283" s="4">
        <f t="shared" si="17"/>
        <v>0</v>
      </c>
      <c r="J283" s="25">
        <f t="shared" si="15"/>
        <v>9</v>
      </c>
    </row>
    <row r="284" spans="1:10" ht="16.95" customHeight="1">
      <c r="A284" s="77">
        <v>21</v>
      </c>
      <c r="B284" s="80" t="s">
        <v>111</v>
      </c>
      <c r="C284" s="77" t="s">
        <v>122</v>
      </c>
      <c r="D284" s="78">
        <v>3</v>
      </c>
      <c r="E284" s="79"/>
      <c r="F284" s="79">
        <f t="shared" si="16"/>
        <v>0</v>
      </c>
      <c r="G284" s="2"/>
      <c r="H284" s="38">
        <v>1869</v>
      </c>
      <c r="I284" s="4">
        <f t="shared" si="17"/>
        <v>0</v>
      </c>
      <c r="J284" s="25">
        <f t="shared" si="15"/>
        <v>9</v>
      </c>
    </row>
    <row r="285" spans="1:10" ht="34.950000000000003" customHeight="1">
      <c r="A285" s="75">
        <v>22</v>
      </c>
      <c r="B285" s="80" t="s">
        <v>112</v>
      </c>
      <c r="C285" s="77" t="s">
        <v>48</v>
      </c>
      <c r="D285" s="78">
        <v>1</v>
      </c>
      <c r="E285" s="79"/>
      <c r="F285" s="79">
        <f t="shared" si="16"/>
        <v>0</v>
      </c>
      <c r="G285" s="2"/>
      <c r="H285" s="37">
        <v>82206</v>
      </c>
      <c r="I285" s="4">
        <f t="shared" si="17"/>
        <v>0</v>
      </c>
      <c r="J285" s="25">
        <f t="shared" si="15"/>
        <v>9</v>
      </c>
    </row>
    <row r="286" spans="1:10" ht="16.95" customHeight="1">
      <c r="A286" s="75">
        <v>23</v>
      </c>
      <c r="B286" s="80" t="s">
        <v>113</v>
      </c>
      <c r="C286" s="77" t="s">
        <v>48</v>
      </c>
      <c r="D286" s="78">
        <v>1</v>
      </c>
      <c r="E286" s="79"/>
      <c r="F286" s="79">
        <f t="shared" si="16"/>
        <v>0</v>
      </c>
      <c r="G286" s="2"/>
      <c r="H286" s="37">
        <v>142723</v>
      </c>
      <c r="I286" s="4">
        <f t="shared" si="17"/>
        <v>0</v>
      </c>
      <c r="J286" s="25">
        <f t="shared" si="15"/>
        <v>9</v>
      </c>
    </row>
    <row r="287" spans="1:10" ht="16.95" customHeight="1">
      <c r="A287" s="75">
        <v>24</v>
      </c>
      <c r="B287" s="80" t="s">
        <v>114</v>
      </c>
      <c r="C287" s="77" t="s">
        <v>48</v>
      </c>
      <c r="D287" s="78">
        <v>1</v>
      </c>
      <c r="E287" s="79"/>
      <c r="F287" s="79">
        <f t="shared" si="16"/>
        <v>0</v>
      </c>
      <c r="G287" s="2"/>
      <c r="H287" s="37">
        <v>37290</v>
      </c>
      <c r="I287" s="4">
        <f t="shared" si="17"/>
        <v>0</v>
      </c>
      <c r="J287" s="25">
        <f t="shared" si="15"/>
        <v>9</v>
      </c>
    </row>
    <row r="288" spans="1:10" ht="16.95" customHeight="1">
      <c r="A288" s="75">
        <v>25</v>
      </c>
      <c r="B288" s="80" t="s">
        <v>115</v>
      </c>
      <c r="C288" s="77" t="s">
        <v>48</v>
      </c>
      <c r="D288" s="78">
        <v>1</v>
      </c>
      <c r="E288" s="79"/>
      <c r="F288" s="79">
        <f t="shared" si="16"/>
        <v>0</v>
      </c>
      <c r="G288" s="2"/>
      <c r="H288" s="37">
        <v>99394</v>
      </c>
      <c r="I288" s="4">
        <f t="shared" si="17"/>
        <v>0</v>
      </c>
      <c r="J288" s="25">
        <f t="shared" si="15"/>
        <v>9</v>
      </c>
    </row>
    <row r="289" spans="1:10" ht="34.950000000000003" customHeight="1">
      <c r="A289" s="75">
        <v>26</v>
      </c>
      <c r="B289" s="80" t="s">
        <v>116</v>
      </c>
      <c r="C289" s="77" t="s">
        <v>48</v>
      </c>
      <c r="D289" s="78">
        <v>1</v>
      </c>
      <c r="E289" s="79"/>
      <c r="F289" s="79">
        <f t="shared" si="16"/>
        <v>0</v>
      </c>
      <c r="G289" s="2"/>
      <c r="H289" s="37">
        <v>21334</v>
      </c>
      <c r="I289" s="4">
        <f t="shared" si="17"/>
        <v>0</v>
      </c>
      <c r="J289" s="25">
        <f t="shared" si="15"/>
        <v>9</v>
      </c>
    </row>
    <row r="290" spans="1:10" ht="16.95" customHeight="1">
      <c r="A290" s="75">
        <v>27</v>
      </c>
      <c r="B290" s="80" t="s">
        <v>117</v>
      </c>
      <c r="C290" s="77" t="s">
        <v>48</v>
      </c>
      <c r="D290" s="78">
        <v>1</v>
      </c>
      <c r="E290" s="79"/>
      <c r="F290" s="79">
        <f t="shared" si="16"/>
        <v>0</v>
      </c>
      <c r="G290" s="2"/>
      <c r="H290" s="37">
        <v>29620</v>
      </c>
      <c r="I290" s="4">
        <f t="shared" si="17"/>
        <v>0</v>
      </c>
      <c r="J290" s="25">
        <f t="shared" si="15"/>
        <v>9</v>
      </c>
    </row>
    <row r="291" spans="1:10" ht="16.95" customHeight="1">
      <c r="A291" s="75">
        <v>28</v>
      </c>
      <c r="B291" s="80" t="s">
        <v>118</v>
      </c>
      <c r="C291" s="77" t="s">
        <v>48</v>
      </c>
      <c r="D291" s="78">
        <v>1</v>
      </c>
      <c r="E291" s="79"/>
      <c r="F291" s="79">
        <f t="shared" si="16"/>
        <v>0</v>
      </c>
      <c r="G291" s="2"/>
      <c r="H291" s="37">
        <v>18506</v>
      </c>
      <c r="I291" s="4">
        <f t="shared" si="17"/>
        <v>0</v>
      </c>
      <c r="J291" s="25">
        <f t="shared" si="15"/>
        <v>9</v>
      </c>
    </row>
    <row r="292" spans="1:10" ht="16.95" customHeight="1">
      <c r="A292" s="75">
        <v>29</v>
      </c>
      <c r="B292" s="80" t="s">
        <v>119</v>
      </c>
      <c r="C292" s="77" t="s">
        <v>48</v>
      </c>
      <c r="D292" s="78">
        <v>1</v>
      </c>
      <c r="E292" s="79"/>
      <c r="F292" s="79">
        <f t="shared" si="16"/>
        <v>0</v>
      </c>
      <c r="G292" s="2"/>
      <c r="H292" s="37">
        <v>34381</v>
      </c>
      <c r="I292" s="4">
        <f t="shared" si="17"/>
        <v>0</v>
      </c>
      <c r="J292" s="25">
        <f t="shared" si="15"/>
        <v>9</v>
      </c>
    </row>
    <row r="293" spans="1:10" ht="16.95" customHeight="1">
      <c r="A293" s="75" t="s">
        <v>79</v>
      </c>
      <c r="B293" s="80" t="s">
        <v>80</v>
      </c>
      <c r="C293" s="77" t="s">
        <v>48</v>
      </c>
      <c r="D293" s="78">
        <v>1</v>
      </c>
      <c r="E293" s="79">
        <f t="shared" ref="E293:E296" si="18">1/120</f>
        <v>8.3333333333333332E-3</v>
      </c>
      <c r="F293" s="79">
        <f t="shared" si="16"/>
        <v>4.1666666666666664E-2</v>
      </c>
      <c r="G293" s="2"/>
      <c r="H293" s="37">
        <v>21395</v>
      </c>
      <c r="I293" s="4">
        <f t="shared" si="17"/>
        <v>178.29166666666666</v>
      </c>
      <c r="J293" s="25">
        <f t="shared" si="15"/>
        <v>9</v>
      </c>
    </row>
    <row r="294" spans="1:10" ht="16.95" customHeight="1">
      <c r="A294" s="75" t="s">
        <v>81</v>
      </c>
      <c r="B294" s="80" t="s">
        <v>82</v>
      </c>
      <c r="C294" s="77" t="s">
        <v>48</v>
      </c>
      <c r="D294" s="78">
        <v>1</v>
      </c>
      <c r="E294" s="79">
        <f t="shared" si="18"/>
        <v>8.3333333333333332E-3</v>
      </c>
      <c r="F294" s="79">
        <f t="shared" si="16"/>
        <v>4.1666666666666664E-2</v>
      </c>
      <c r="G294" s="2"/>
      <c r="H294" s="37">
        <v>21395</v>
      </c>
      <c r="I294" s="4">
        <f t="shared" si="17"/>
        <v>178.29166666666666</v>
      </c>
      <c r="J294" s="25">
        <f t="shared" si="15"/>
        <v>9</v>
      </c>
    </row>
    <row r="295" spans="1:10" ht="16.95" customHeight="1">
      <c r="A295" s="75" t="s">
        <v>83</v>
      </c>
      <c r="B295" s="80" t="s">
        <v>84</v>
      </c>
      <c r="C295" s="77" t="s">
        <v>48</v>
      </c>
      <c r="D295" s="78">
        <v>1</v>
      </c>
      <c r="E295" s="79">
        <f t="shared" si="18"/>
        <v>8.3333333333333332E-3</v>
      </c>
      <c r="F295" s="79">
        <f t="shared" si="16"/>
        <v>4.1666666666666664E-2</v>
      </c>
      <c r="G295" s="2"/>
      <c r="H295" s="37">
        <v>149765</v>
      </c>
      <c r="I295" s="4">
        <f t="shared" si="17"/>
        <v>1248.0416666666667</v>
      </c>
      <c r="J295" s="25">
        <f t="shared" si="15"/>
        <v>9</v>
      </c>
    </row>
    <row r="296" spans="1:10" ht="16.95" customHeight="1">
      <c r="A296" s="75" t="s">
        <v>85</v>
      </c>
      <c r="B296" s="80" t="s">
        <v>86</v>
      </c>
      <c r="C296" s="77" t="s">
        <v>48</v>
      </c>
      <c r="D296" s="78">
        <v>1</v>
      </c>
      <c r="E296" s="79">
        <f t="shared" si="18"/>
        <v>8.3333333333333332E-3</v>
      </c>
      <c r="F296" s="79">
        <f t="shared" si="16"/>
        <v>4.1666666666666664E-2</v>
      </c>
      <c r="G296" s="2"/>
      <c r="H296" s="37">
        <v>6996</v>
      </c>
      <c r="I296" s="4">
        <f t="shared" si="17"/>
        <v>58.3</v>
      </c>
      <c r="J296" s="25">
        <f t="shared" si="15"/>
        <v>9</v>
      </c>
    </row>
    <row r="297" spans="1:10" ht="16.95" customHeight="1">
      <c r="A297" s="75" t="s">
        <v>87</v>
      </c>
      <c r="B297" s="80" t="s">
        <v>88</v>
      </c>
      <c r="C297" s="77" t="s">
        <v>48</v>
      </c>
      <c r="D297" s="78">
        <v>1</v>
      </c>
      <c r="E297" s="79">
        <f>1/120</f>
        <v>8.3333333333333332E-3</v>
      </c>
      <c r="F297" s="79">
        <f t="shared" si="16"/>
        <v>4.1666666666666664E-2</v>
      </c>
      <c r="G297" s="2"/>
      <c r="H297" s="37">
        <v>116952</v>
      </c>
      <c r="I297" s="4">
        <f t="shared" si="17"/>
        <v>974.6</v>
      </c>
      <c r="J297" s="25">
        <f t="shared" si="15"/>
        <v>9</v>
      </c>
    </row>
    <row r="298" spans="1:10" ht="16.95" customHeight="1">
      <c r="A298" s="95" t="s">
        <v>23</v>
      </c>
      <c r="B298" s="95"/>
      <c r="C298" s="50"/>
      <c r="D298" s="50"/>
      <c r="E298" s="50"/>
      <c r="F298" s="50"/>
      <c r="G298" s="50"/>
      <c r="H298" s="3" t="s">
        <v>24</v>
      </c>
      <c r="I298" s="5">
        <f>SUM(I263:I297)</f>
        <v>2637.5250000000001</v>
      </c>
      <c r="J298" s="25">
        <f t="shared" si="15"/>
        <v>9</v>
      </c>
    </row>
    <row r="299" spans="1:10" ht="16.95" customHeight="1">
      <c r="A299" s="96" t="s">
        <v>25</v>
      </c>
      <c r="B299" s="96"/>
      <c r="C299" s="50"/>
      <c r="D299" s="50"/>
      <c r="E299" s="50"/>
      <c r="F299" s="50"/>
      <c r="G299" s="50"/>
      <c r="J299" s="25">
        <f t="shared" si="15"/>
        <v>9</v>
      </c>
    </row>
    <row r="300" spans="1:10" ht="16.95" customHeight="1">
      <c r="A300" s="96" t="s">
        <v>26</v>
      </c>
      <c r="B300" s="96"/>
      <c r="C300" s="50"/>
      <c r="D300" s="50"/>
      <c r="E300" s="50"/>
      <c r="F300" s="50"/>
      <c r="G300" s="50"/>
      <c r="J300" s="25">
        <f t="shared" si="15"/>
        <v>9</v>
      </c>
    </row>
    <row r="301" spans="1:10" ht="16.95" customHeight="1">
      <c r="A301" s="95" t="s">
        <v>27</v>
      </c>
      <c r="B301" s="95"/>
      <c r="C301" s="95"/>
      <c r="D301" s="95"/>
      <c r="E301" s="95"/>
      <c r="F301" s="95"/>
      <c r="G301" s="95"/>
      <c r="J301" s="25">
        <f t="shared" si="15"/>
        <v>9</v>
      </c>
    </row>
    <row r="302" spans="1:10" ht="16.95" customHeight="1">
      <c r="A302" s="94" t="s">
        <v>28</v>
      </c>
      <c r="B302" s="94"/>
      <c r="C302" s="51" t="s">
        <v>29</v>
      </c>
      <c r="D302" s="51" t="s">
        <v>30</v>
      </c>
      <c r="E302" s="51" t="s">
        <v>18</v>
      </c>
      <c r="F302" s="51" t="s">
        <v>31</v>
      </c>
      <c r="G302" s="51" t="s">
        <v>20</v>
      </c>
      <c r="J302" s="25">
        <f t="shared" si="15"/>
        <v>9</v>
      </c>
    </row>
    <row r="303" spans="1:10" ht="16.95" customHeight="1">
      <c r="A303" s="96"/>
      <c r="B303" s="96"/>
      <c r="C303" s="50"/>
      <c r="D303" s="50"/>
      <c r="E303" s="50"/>
      <c r="F303" s="50"/>
      <c r="G303" s="51"/>
      <c r="J303" s="25">
        <f t="shared" si="15"/>
        <v>9</v>
      </c>
    </row>
    <row r="304" spans="1:10" ht="16.95" customHeight="1">
      <c r="A304" s="97"/>
      <c r="B304" s="97"/>
      <c r="C304" s="50"/>
      <c r="D304" s="50"/>
      <c r="E304" s="50"/>
      <c r="F304" s="51"/>
      <c r="G304" s="51"/>
      <c r="J304" s="25">
        <f t="shared" si="15"/>
        <v>9</v>
      </c>
    </row>
    <row r="305" spans="1:10" ht="16.95" customHeight="1">
      <c r="A305" s="95" t="s">
        <v>32</v>
      </c>
      <c r="B305" s="95"/>
      <c r="C305" s="95"/>
      <c r="D305" s="95"/>
      <c r="E305" s="95"/>
      <c r="F305" s="95"/>
      <c r="G305" s="95"/>
      <c r="J305" s="25">
        <f t="shared" si="15"/>
        <v>10</v>
      </c>
    </row>
    <row r="306" spans="1:10" ht="16.95" customHeight="1">
      <c r="A306" s="51" t="s">
        <v>33</v>
      </c>
      <c r="B306" s="51" t="s">
        <v>34</v>
      </c>
      <c r="C306" s="94" t="s">
        <v>35</v>
      </c>
      <c r="D306" s="94"/>
      <c r="E306" s="51" t="s">
        <v>36</v>
      </c>
      <c r="F306" s="51" t="s">
        <v>37</v>
      </c>
      <c r="G306" s="51" t="s">
        <v>38</v>
      </c>
      <c r="J306" s="25">
        <f t="shared" si="15"/>
        <v>10</v>
      </c>
    </row>
    <row r="307" spans="1:10" ht="16.95" customHeight="1">
      <c r="A307" s="51" t="s">
        <v>39</v>
      </c>
      <c r="B307" s="6"/>
      <c r="C307" s="94">
        <f>B307+C244</f>
        <v>3</v>
      </c>
      <c r="D307" s="94"/>
      <c r="E307" s="51"/>
      <c r="F307" s="24"/>
      <c r="G307" s="24"/>
      <c r="J307" s="25">
        <f t="shared" si="15"/>
        <v>10</v>
      </c>
    </row>
    <row r="308" spans="1:10" ht="16.95" customHeight="1">
      <c r="A308" s="51" t="s">
        <v>40</v>
      </c>
      <c r="B308" s="6"/>
      <c r="C308" s="94">
        <f>B308+C245</f>
        <v>4</v>
      </c>
      <c r="D308" s="94"/>
      <c r="E308" s="51"/>
      <c r="F308" s="24"/>
      <c r="G308" s="24"/>
      <c r="J308" s="25">
        <f t="shared" si="15"/>
        <v>10</v>
      </c>
    </row>
    <row r="309" spans="1:10" ht="36.6" customHeight="1">
      <c r="A309" s="95" t="s">
        <v>41</v>
      </c>
      <c r="B309" s="95"/>
      <c r="C309" s="95"/>
      <c r="D309" s="95"/>
      <c r="E309" s="95"/>
      <c r="F309" s="95"/>
      <c r="G309" s="95"/>
      <c r="J309" s="25">
        <f t="shared" si="15"/>
        <v>10</v>
      </c>
    </row>
    <row r="310" spans="1:10" ht="90" customHeight="1">
      <c r="A310" s="92" t="s">
        <v>42</v>
      </c>
      <c r="B310" s="92"/>
      <c r="C310" s="92"/>
      <c r="D310" s="92"/>
      <c r="E310" s="92"/>
      <c r="F310" s="92"/>
      <c r="G310" s="92"/>
      <c r="J310" s="25">
        <f t="shared" si="15"/>
        <v>10</v>
      </c>
    </row>
    <row r="311" spans="1:10" ht="16.95" customHeight="1">
      <c r="A311" s="95" t="s">
        <v>43</v>
      </c>
      <c r="B311" s="95"/>
      <c r="C311" s="95"/>
      <c r="D311" s="95"/>
      <c r="E311" s="95"/>
      <c r="F311" s="95"/>
      <c r="G311" s="95"/>
      <c r="J311" s="25">
        <f t="shared" si="15"/>
        <v>10</v>
      </c>
    </row>
    <row r="312" spans="1:10" ht="16.95" customHeight="1">
      <c r="A312" s="95" t="s">
        <v>44</v>
      </c>
      <c r="B312" s="95"/>
      <c r="C312" s="95"/>
      <c r="D312" s="95"/>
      <c r="E312" s="95"/>
      <c r="F312" s="95"/>
      <c r="G312" s="95"/>
      <c r="J312" s="25">
        <f t="shared" si="15"/>
        <v>10</v>
      </c>
    </row>
    <row r="313" spans="1:10" ht="16.95" customHeight="1">
      <c r="A313" s="91" t="s">
        <v>126</v>
      </c>
      <c r="B313" s="91"/>
      <c r="C313" s="91"/>
      <c r="D313" s="91"/>
      <c r="E313" s="91"/>
      <c r="F313" s="91"/>
      <c r="G313" s="91"/>
      <c r="J313" s="25">
        <f t="shared" si="15"/>
        <v>10</v>
      </c>
    </row>
    <row r="314" spans="1:10" ht="120.6" customHeight="1">
      <c r="A314" s="92" t="s">
        <v>45</v>
      </c>
      <c r="B314" s="92"/>
      <c r="C314" s="92"/>
      <c r="D314" s="92"/>
      <c r="E314" s="92"/>
      <c r="F314" s="92"/>
      <c r="G314" s="92"/>
      <c r="J314" s="25">
        <f t="shared" si="15"/>
        <v>10</v>
      </c>
    </row>
    <row r="315" spans="1:10" ht="140.4" customHeight="1">
      <c r="A315" s="93" t="s">
        <v>46</v>
      </c>
      <c r="B315" s="93"/>
      <c r="C315" s="93"/>
      <c r="D315" s="93"/>
      <c r="E315" s="93"/>
      <c r="F315" s="93"/>
      <c r="G315" s="93"/>
      <c r="J315" s="25">
        <f t="shared" si="15"/>
        <v>10</v>
      </c>
    </row>
    <row r="316" spans="1:10" ht="37.200000000000003" customHeight="1">
      <c r="A316" s="103" t="s">
        <v>0</v>
      </c>
      <c r="B316" s="103"/>
      <c r="C316" s="103"/>
      <c r="D316" s="103"/>
      <c r="E316" s="103"/>
      <c r="F316" s="103"/>
      <c r="G316" s="103"/>
      <c r="J316" s="25">
        <f t="shared" si="15"/>
        <v>11</v>
      </c>
    </row>
    <row r="317" spans="1:10" ht="16.95" customHeight="1">
      <c r="A317" s="1" t="s">
        <v>1</v>
      </c>
      <c r="B317" s="104">
        <f>B254+1</f>
        <v>6</v>
      </c>
      <c r="C317" s="104"/>
      <c r="D317" s="104"/>
      <c r="E317" s="104"/>
      <c r="F317" s="104"/>
      <c r="G317" s="104"/>
      <c r="J317" s="25">
        <f t="shared" si="15"/>
        <v>11</v>
      </c>
    </row>
    <row r="318" spans="1:10" ht="16.95" customHeight="1">
      <c r="A318" s="1" t="s">
        <v>2</v>
      </c>
      <c r="B318" s="105" t="s">
        <v>63</v>
      </c>
      <c r="C318" s="105"/>
      <c r="D318" s="105"/>
      <c r="E318" s="106">
        <f>E255+1</f>
        <v>46209</v>
      </c>
      <c r="F318" s="106"/>
      <c r="G318" s="106"/>
      <c r="J318" s="25">
        <f t="shared" si="15"/>
        <v>11</v>
      </c>
    </row>
    <row r="319" spans="1:10" ht="16.95" customHeight="1">
      <c r="A319" s="53" t="s">
        <v>3</v>
      </c>
      <c r="B319" s="2" t="s">
        <v>67</v>
      </c>
      <c r="C319" s="98" t="s">
        <v>4</v>
      </c>
      <c r="D319" s="98"/>
      <c r="E319" s="98" t="s">
        <v>47</v>
      </c>
      <c r="F319" s="98"/>
      <c r="G319" s="98"/>
      <c r="J319" s="25">
        <f t="shared" si="15"/>
        <v>11</v>
      </c>
    </row>
    <row r="320" spans="1:10" ht="16.95" customHeight="1">
      <c r="A320" s="53" t="s">
        <v>5</v>
      </c>
      <c r="B320" s="54">
        <v>120</v>
      </c>
      <c r="C320" s="98" t="s">
        <v>6</v>
      </c>
      <c r="D320" s="98"/>
      <c r="E320" s="98" t="s">
        <v>123</v>
      </c>
      <c r="F320" s="98"/>
      <c r="G320" s="98"/>
      <c r="J320" s="25">
        <f t="shared" ref="J320:J367" si="19">J257+2</f>
        <v>11</v>
      </c>
    </row>
    <row r="321" spans="1:10" ht="16.95" customHeight="1">
      <c r="A321" s="53" t="s">
        <v>7</v>
      </c>
      <c r="B321" s="54">
        <f>B317</f>
        <v>6</v>
      </c>
      <c r="C321" s="100" t="s">
        <v>8</v>
      </c>
      <c r="D321" s="100"/>
      <c r="E321" s="101">
        <f>B320-B321</f>
        <v>114</v>
      </c>
      <c r="F321" s="101"/>
      <c r="G321" s="101"/>
      <c r="J321" s="25">
        <f t="shared" si="19"/>
        <v>11</v>
      </c>
    </row>
    <row r="322" spans="1:10" ht="16.95" customHeight="1">
      <c r="A322" s="53" t="s">
        <v>9</v>
      </c>
      <c r="B322" s="55">
        <v>46204</v>
      </c>
      <c r="C322" s="98" t="s">
        <v>10</v>
      </c>
      <c r="D322" s="98"/>
      <c r="E322" s="102">
        <f>B322+B320-1</f>
        <v>46323</v>
      </c>
      <c r="F322" s="102"/>
      <c r="G322" s="102"/>
      <c r="J322" s="25">
        <f t="shared" si="19"/>
        <v>11</v>
      </c>
    </row>
    <row r="323" spans="1:10" ht="16.95" customHeight="1">
      <c r="A323" s="53" t="s">
        <v>11</v>
      </c>
      <c r="B323" s="56">
        <f>HLOOKUP(B317,進度表!$Q$2:$Z$3,2,1)+B260</f>
        <v>2.3880506921824109E-2</v>
      </c>
      <c r="C323" s="98" t="s">
        <v>12</v>
      </c>
      <c r="D323" s="98"/>
      <c r="E323" s="99">
        <f>I361/I323+E260</f>
        <v>3.0949784201954392E-2</v>
      </c>
      <c r="F323" s="99"/>
      <c r="G323" s="99"/>
      <c r="H323" s="3" t="s">
        <v>62</v>
      </c>
      <c r="I323" s="1">
        <v>2456000</v>
      </c>
      <c r="J323" s="25">
        <f t="shared" si="19"/>
        <v>11</v>
      </c>
    </row>
    <row r="324" spans="1:10" ht="16.95" customHeight="1">
      <c r="A324" s="98" t="s">
        <v>13</v>
      </c>
      <c r="B324" s="98"/>
      <c r="C324" s="98"/>
      <c r="D324" s="98"/>
      <c r="E324" s="98"/>
      <c r="F324" s="98"/>
      <c r="G324" s="98"/>
      <c r="J324" s="25">
        <f t="shared" si="19"/>
        <v>11</v>
      </c>
    </row>
    <row r="325" spans="1:10" ht="16.95" customHeight="1">
      <c r="A325" s="52" t="s">
        <v>14</v>
      </c>
      <c r="B325" s="52" t="s">
        <v>15</v>
      </c>
      <c r="C325" s="52" t="s">
        <v>16</v>
      </c>
      <c r="D325" s="52" t="s">
        <v>17</v>
      </c>
      <c r="E325" s="52" t="s">
        <v>18</v>
      </c>
      <c r="F325" s="52" t="s">
        <v>19</v>
      </c>
      <c r="G325" s="52" t="s">
        <v>20</v>
      </c>
      <c r="H325" s="3" t="s">
        <v>21</v>
      </c>
      <c r="I325" s="3" t="s">
        <v>22</v>
      </c>
      <c r="J325" s="25">
        <f t="shared" si="19"/>
        <v>11</v>
      </c>
    </row>
    <row r="326" spans="1:10" ht="16.95" customHeight="1">
      <c r="A326" s="75" t="s">
        <v>65</v>
      </c>
      <c r="B326" s="76" t="s">
        <v>69</v>
      </c>
      <c r="C326" s="77"/>
      <c r="D326" s="78"/>
      <c r="E326" s="79"/>
      <c r="F326" s="79"/>
      <c r="G326" s="2"/>
      <c r="H326" s="37"/>
      <c r="I326" s="4"/>
      <c r="J326" s="25">
        <f t="shared" si="19"/>
        <v>11</v>
      </c>
    </row>
    <row r="327" spans="1:10" ht="34.950000000000003" customHeight="1">
      <c r="A327" s="75">
        <v>1</v>
      </c>
      <c r="B327" s="80" t="s">
        <v>91</v>
      </c>
      <c r="C327" s="77" t="s">
        <v>48</v>
      </c>
      <c r="D327" s="78">
        <v>1</v>
      </c>
      <c r="E327" s="79"/>
      <c r="F327" s="79">
        <f t="shared" ref="F327:F360" si="20">E327+F264</f>
        <v>1</v>
      </c>
      <c r="G327" s="2"/>
      <c r="H327" s="37">
        <v>10508</v>
      </c>
      <c r="I327" s="4">
        <f>H327*E327</f>
        <v>0</v>
      </c>
      <c r="J327" s="25">
        <f t="shared" si="19"/>
        <v>11</v>
      </c>
    </row>
    <row r="328" spans="1:10" ht="34.799999999999997" customHeight="1">
      <c r="A328" s="75">
        <v>2</v>
      </c>
      <c r="B328" s="80" t="s">
        <v>92</v>
      </c>
      <c r="C328" s="77" t="s">
        <v>48</v>
      </c>
      <c r="D328" s="78">
        <v>1</v>
      </c>
      <c r="E328" s="79"/>
      <c r="F328" s="79">
        <f t="shared" si="20"/>
        <v>0</v>
      </c>
      <c r="G328" s="2"/>
      <c r="H328" s="37">
        <v>13223</v>
      </c>
      <c r="I328" s="4">
        <f>H328*E328</f>
        <v>0</v>
      </c>
      <c r="J328" s="25">
        <f t="shared" si="19"/>
        <v>11</v>
      </c>
    </row>
    <row r="329" spans="1:10" ht="53.4" customHeight="1">
      <c r="A329" s="75">
        <v>3</v>
      </c>
      <c r="B329" s="80" t="s">
        <v>93</v>
      </c>
      <c r="C329" s="77" t="s">
        <v>48</v>
      </c>
      <c r="D329" s="78">
        <v>1</v>
      </c>
      <c r="E329" s="79">
        <v>0.04</v>
      </c>
      <c r="F329" s="79">
        <f t="shared" si="20"/>
        <v>0.16</v>
      </c>
      <c r="G329" s="2"/>
      <c r="H329" s="37">
        <v>310497</v>
      </c>
      <c r="I329" s="4">
        <f t="shared" ref="I329:I360" si="21">H329*E329</f>
        <v>12419.880000000001</v>
      </c>
      <c r="J329" s="25">
        <f t="shared" si="19"/>
        <v>11</v>
      </c>
    </row>
    <row r="330" spans="1:10" ht="16.95" customHeight="1">
      <c r="A330" s="75">
        <v>4</v>
      </c>
      <c r="B330" s="80" t="s">
        <v>94</v>
      </c>
      <c r="C330" s="77" t="s">
        <v>48</v>
      </c>
      <c r="D330" s="78">
        <v>1</v>
      </c>
      <c r="E330" s="79"/>
      <c r="F330" s="79">
        <f t="shared" si="20"/>
        <v>0</v>
      </c>
      <c r="G330" s="2"/>
      <c r="H330" s="37">
        <v>8375</v>
      </c>
      <c r="I330" s="4">
        <f t="shared" si="21"/>
        <v>0</v>
      </c>
      <c r="J330" s="25">
        <f t="shared" si="19"/>
        <v>11</v>
      </c>
    </row>
    <row r="331" spans="1:10" ht="16.95" customHeight="1">
      <c r="A331" s="75">
        <v>5</v>
      </c>
      <c r="B331" s="80" t="s">
        <v>95</v>
      </c>
      <c r="C331" s="77" t="s">
        <v>48</v>
      </c>
      <c r="D331" s="78">
        <v>1</v>
      </c>
      <c r="E331" s="79"/>
      <c r="F331" s="79">
        <f t="shared" si="20"/>
        <v>0</v>
      </c>
      <c r="G331" s="2"/>
      <c r="H331" s="37">
        <v>51618</v>
      </c>
      <c r="I331" s="4">
        <f t="shared" si="21"/>
        <v>0</v>
      </c>
      <c r="J331" s="25">
        <f t="shared" si="19"/>
        <v>11</v>
      </c>
    </row>
    <row r="332" spans="1:10" ht="16.95" customHeight="1">
      <c r="A332" s="75">
        <v>6</v>
      </c>
      <c r="B332" s="80" t="s">
        <v>96</v>
      </c>
      <c r="C332" s="77" t="s">
        <v>50</v>
      </c>
      <c r="D332" s="78">
        <v>11.55</v>
      </c>
      <c r="E332" s="79"/>
      <c r="F332" s="79">
        <f t="shared" si="20"/>
        <v>0</v>
      </c>
      <c r="G332" s="2"/>
      <c r="H332" s="37">
        <v>1188</v>
      </c>
      <c r="I332" s="4">
        <f t="shared" si="21"/>
        <v>0</v>
      </c>
      <c r="J332" s="25">
        <f t="shared" si="19"/>
        <v>11</v>
      </c>
    </row>
    <row r="333" spans="1:10" ht="34.950000000000003" customHeight="1">
      <c r="A333" s="75">
        <v>7</v>
      </c>
      <c r="B333" s="80" t="s">
        <v>97</v>
      </c>
      <c r="C333" s="77" t="s">
        <v>48</v>
      </c>
      <c r="D333" s="78">
        <v>1</v>
      </c>
      <c r="E333" s="79"/>
      <c r="F333" s="79">
        <f t="shared" si="20"/>
        <v>0</v>
      </c>
      <c r="G333" s="2"/>
      <c r="H333" s="37">
        <v>21157</v>
      </c>
      <c r="I333" s="4">
        <f t="shared" si="21"/>
        <v>0</v>
      </c>
      <c r="J333" s="25">
        <f t="shared" si="19"/>
        <v>11</v>
      </c>
    </row>
    <row r="334" spans="1:10" ht="16.95" customHeight="1">
      <c r="A334" s="75">
        <v>8</v>
      </c>
      <c r="B334" s="80" t="s">
        <v>98</v>
      </c>
      <c r="C334" s="77" t="s">
        <v>50</v>
      </c>
      <c r="D334" s="78">
        <v>387</v>
      </c>
      <c r="E334" s="79"/>
      <c r="F334" s="79">
        <f t="shared" si="20"/>
        <v>0</v>
      </c>
      <c r="G334" s="2"/>
      <c r="H334" s="37">
        <v>705</v>
      </c>
      <c r="I334" s="4">
        <f t="shared" si="21"/>
        <v>0</v>
      </c>
      <c r="J334" s="25">
        <f t="shared" si="19"/>
        <v>11</v>
      </c>
    </row>
    <row r="335" spans="1:10" ht="16.95" customHeight="1">
      <c r="A335" s="75">
        <v>9</v>
      </c>
      <c r="B335" s="80" t="s">
        <v>99</v>
      </c>
      <c r="C335" s="77" t="s">
        <v>50</v>
      </c>
      <c r="D335" s="78">
        <v>170</v>
      </c>
      <c r="E335" s="79"/>
      <c r="F335" s="79">
        <f t="shared" si="20"/>
        <v>0</v>
      </c>
      <c r="G335" s="2"/>
      <c r="H335" s="37">
        <v>617</v>
      </c>
      <c r="I335" s="4">
        <f t="shared" si="21"/>
        <v>0</v>
      </c>
      <c r="J335" s="25">
        <f t="shared" si="19"/>
        <v>11</v>
      </c>
    </row>
    <row r="336" spans="1:10" ht="16.95" customHeight="1">
      <c r="A336" s="75">
        <v>10</v>
      </c>
      <c r="B336" s="80" t="s">
        <v>100</v>
      </c>
      <c r="C336" s="77" t="s">
        <v>66</v>
      </c>
      <c r="D336" s="78">
        <v>15</v>
      </c>
      <c r="E336" s="79"/>
      <c r="F336" s="79">
        <f t="shared" si="20"/>
        <v>0</v>
      </c>
      <c r="G336" s="2"/>
      <c r="H336" s="37">
        <v>617</v>
      </c>
      <c r="I336" s="4">
        <f t="shared" si="21"/>
        <v>0</v>
      </c>
      <c r="J336" s="25">
        <f t="shared" si="19"/>
        <v>11</v>
      </c>
    </row>
    <row r="337" spans="1:10" ht="16.95" customHeight="1">
      <c r="A337" s="75">
        <v>11</v>
      </c>
      <c r="B337" s="80" t="s">
        <v>101</v>
      </c>
      <c r="C337" s="77" t="s">
        <v>50</v>
      </c>
      <c r="D337" s="78">
        <v>75</v>
      </c>
      <c r="E337" s="79"/>
      <c r="F337" s="79">
        <f t="shared" si="20"/>
        <v>0</v>
      </c>
      <c r="G337" s="2"/>
      <c r="H337" s="37">
        <v>1146</v>
      </c>
      <c r="I337" s="4">
        <f t="shared" si="21"/>
        <v>0</v>
      </c>
      <c r="J337" s="25">
        <f t="shared" si="19"/>
        <v>11</v>
      </c>
    </row>
    <row r="338" spans="1:10" ht="16.95" customHeight="1">
      <c r="A338" s="75">
        <v>12</v>
      </c>
      <c r="B338" s="80" t="s">
        <v>102</v>
      </c>
      <c r="C338" s="77" t="s">
        <v>50</v>
      </c>
      <c r="D338" s="78">
        <v>5</v>
      </c>
      <c r="E338" s="79"/>
      <c r="F338" s="79">
        <f t="shared" si="20"/>
        <v>0</v>
      </c>
      <c r="G338" s="2"/>
      <c r="H338" s="37">
        <v>1455</v>
      </c>
      <c r="I338" s="4">
        <f t="shared" si="21"/>
        <v>0</v>
      </c>
      <c r="J338" s="25">
        <f t="shared" si="19"/>
        <v>11</v>
      </c>
    </row>
    <row r="339" spans="1:10" ht="16.95" customHeight="1">
      <c r="A339" s="75">
        <v>13</v>
      </c>
      <c r="B339" s="80" t="s">
        <v>103</v>
      </c>
      <c r="C339" s="77" t="s">
        <v>50</v>
      </c>
      <c r="D339" s="78">
        <v>217</v>
      </c>
      <c r="E339" s="79"/>
      <c r="F339" s="79">
        <f t="shared" si="20"/>
        <v>0</v>
      </c>
      <c r="G339" s="2"/>
      <c r="H339" s="37">
        <v>1410</v>
      </c>
      <c r="I339" s="4">
        <f t="shared" si="21"/>
        <v>0</v>
      </c>
      <c r="J339" s="25">
        <f t="shared" si="19"/>
        <v>11</v>
      </c>
    </row>
    <row r="340" spans="1:10" ht="16.95" customHeight="1">
      <c r="A340" s="75">
        <v>14</v>
      </c>
      <c r="B340" s="80" t="s">
        <v>104</v>
      </c>
      <c r="C340" s="77" t="s">
        <v>49</v>
      </c>
      <c r="D340" s="78">
        <v>84</v>
      </c>
      <c r="E340" s="79"/>
      <c r="F340" s="79">
        <f t="shared" si="20"/>
        <v>0</v>
      </c>
      <c r="G340" s="2"/>
      <c r="H340" s="37">
        <v>529</v>
      </c>
      <c r="I340" s="4">
        <f t="shared" si="21"/>
        <v>0</v>
      </c>
      <c r="J340" s="25">
        <f t="shared" si="19"/>
        <v>11</v>
      </c>
    </row>
    <row r="341" spans="1:10" ht="16.95" customHeight="1">
      <c r="A341" s="75">
        <v>15</v>
      </c>
      <c r="B341" s="80" t="s">
        <v>105</v>
      </c>
      <c r="C341" s="77" t="s">
        <v>50</v>
      </c>
      <c r="D341" s="78">
        <v>1</v>
      </c>
      <c r="E341" s="79"/>
      <c r="F341" s="79">
        <f t="shared" si="20"/>
        <v>0</v>
      </c>
      <c r="G341" s="2"/>
      <c r="H341" s="37">
        <v>1146</v>
      </c>
      <c r="I341" s="4">
        <f t="shared" si="21"/>
        <v>0</v>
      </c>
      <c r="J341" s="25">
        <f t="shared" si="19"/>
        <v>11</v>
      </c>
    </row>
    <row r="342" spans="1:10" ht="34.799999999999997" customHeight="1">
      <c r="A342" s="75">
        <v>16</v>
      </c>
      <c r="B342" s="80" t="s">
        <v>106</v>
      </c>
      <c r="C342" s="77" t="s">
        <v>50</v>
      </c>
      <c r="D342" s="78">
        <v>314</v>
      </c>
      <c r="E342" s="79"/>
      <c r="F342" s="79">
        <f t="shared" si="20"/>
        <v>0</v>
      </c>
      <c r="G342" s="2"/>
      <c r="H342" s="37">
        <v>185</v>
      </c>
      <c r="I342" s="4">
        <f t="shared" si="21"/>
        <v>0</v>
      </c>
      <c r="J342" s="25">
        <f t="shared" si="19"/>
        <v>11</v>
      </c>
    </row>
    <row r="343" spans="1:10" ht="16.95" customHeight="1">
      <c r="A343" s="75">
        <v>17</v>
      </c>
      <c r="B343" s="80" t="s">
        <v>107</v>
      </c>
      <c r="C343" s="77" t="s">
        <v>48</v>
      </c>
      <c r="D343" s="78">
        <v>1</v>
      </c>
      <c r="E343" s="79"/>
      <c r="F343" s="79">
        <f t="shared" si="20"/>
        <v>0</v>
      </c>
      <c r="G343" s="2"/>
      <c r="H343" s="37">
        <v>89918</v>
      </c>
      <c r="I343" s="4">
        <f t="shared" si="21"/>
        <v>0</v>
      </c>
      <c r="J343" s="25">
        <f t="shared" si="19"/>
        <v>11</v>
      </c>
    </row>
    <row r="344" spans="1:10" ht="16.95" customHeight="1">
      <c r="A344" s="75">
        <v>18</v>
      </c>
      <c r="B344" s="80" t="s">
        <v>108</v>
      </c>
      <c r="C344" s="77" t="s">
        <v>120</v>
      </c>
      <c r="D344" s="78">
        <v>15</v>
      </c>
      <c r="E344" s="79"/>
      <c r="F344" s="79">
        <f t="shared" si="20"/>
        <v>0</v>
      </c>
      <c r="G344" s="2"/>
      <c r="H344" s="37">
        <v>661</v>
      </c>
      <c r="I344" s="4">
        <f t="shared" si="21"/>
        <v>0</v>
      </c>
      <c r="J344" s="25">
        <f t="shared" si="19"/>
        <v>11</v>
      </c>
    </row>
    <row r="345" spans="1:10" ht="16.95" customHeight="1">
      <c r="A345" s="75">
        <v>19</v>
      </c>
      <c r="B345" s="80" t="s">
        <v>109</v>
      </c>
      <c r="C345" s="77" t="s">
        <v>50</v>
      </c>
      <c r="D345" s="78">
        <v>82</v>
      </c>
      <c r="E345" s="79"/>
      <c r="F345" s="79">
        <f t="shared" si="20"/>
        <v>0</v>
      </c>
      <c r="G345" s="2"/>
      <c r="H345" s="37">
        <v>2909</v>
      </c>
      <c r="I345" s="4">
        <f t="shared" si="21"/>
        <v>0</v>
      </c>
      <c r="J345" s="25">
        <f t="shared" si="19"/>
        <v>11</v>
      </c>
    </row>
    <row r="346" spans="1:10" ht="16.95" customHeight="1">
      <c r="A346" s="75">
        <v>20</v>
      </c>
      <c r="B346" s="80" t="s">
        <v>110</v>
      </c>
      <c r="C346" s="77" t="s">
        <v>121</v>
      </c>
      <c r="D346" s="78">
        <v>12</v>
      </c>
      <c r="E346" s="79"/>
      <c r="F346" s="79">
        <f t="shared" si="20"/>
        <v>0</v>
      </c>
      <c r="G346" s="2"/>
      <c r="H346" s="37">
        <v>882</v>
      </c>
      <c r="I346" s="4">
        <f t="shared" si="21"/>
        <v>0</v>
      </c>
      <c r="J346" s="25">
        <f t="shared" si="19"/>
        <v>11</v>
      </c>
    </row>
    <row r="347" spans="1:10" ht="16.95" customHeight="1">
      <c r="A347" s="77">
        <v>21</v>
      </c>
      <c r="B347" s="80" t="s">
        <v>111</v>
      </c>
      <c r="C347" s="77" t="s">
        <v>122</v>
      </c>
      <c r="D347" s="78">
        <v>3</v>
      </c>
      <c r="E347" s="79"/>
      <c r="F347" s="79">
        <f t="shared" si="20"/>
        <v>0</v>
      </c>
      <c r="G347" s="2"/>
      <c r="H347" s="38">
        <v>1869</v>
      </c>
      <c r="I347" s="4">
        <f t="shared" si="21"/>
        <v>0</v>
      </c>
      <c r="J347" s="25">
        <f t="shared" si="19"/>
        <v>11</v>
      </c>
    </row>
    <row r="348" spans="1:10" ht="34.950000000000003" customHeight="1">
      <c r="A348" s="75">
        <v>22</v>
      </c>
      <c r="B348" s="80" t="s">
        <v>112</v>
      </c>
      <c r="C348" s="77" t="s">
        <v>48</v>
      </c>
      <c r="D348" s="78">
        <v>1</v>
      </c>
      <c r="E348" s="79"/>
      <c r="F348" s="79">
        <f t="shared" si="20"/>
        <v>0</v>
      </c>
      <c r="G348" s="2"/>
      <c r="H348" s="37">
        <v>82206</v>
      </c>
      <c r="I348" s="4">
        <f t="shared" si="21"/>
        <v>0</v>
      </c>
      <c r="J348" s="25">
        <f t="shared" si="19"/>
        <v>11</v>
      </c>
    </row>
    <row r="349" spans="1:10" ht="16.95" customHeight="1">
      <c r="A349" s="75">
        <v>23</v>
      </c>
      <c r="B349" s="80" t="s">
        <v>113</v>
      </c>
      <c r="C349" s="77" t="s">
        <v>48</v>
      </c>
      <c r="D349" s="78">
        <v>1</v>
      </c>
      <c r="E349" s="79"/>
      <c r="F349" s="79">
        <f t="shared" si="20"/>
        <v>0</v>
      </c>
      <c r="G349" s="2"/>
      <c r="H349" s="37">
        <v>142723</v>
      </c>
      <c r="I349" s="4">
        <f t="shared" si="21"/>
        <v>0</v>
      </c>
      <c r="J349" s="25">
        <f t="shared" si="19"/>
        <v>11</v>
      </c>
    </row>
    <row r="350" spans="1:10" ht="16.95" customHeight="1">
      <c r="A350" s="75">
        <v>24</v>
      </c>
      <c r="B350" s="80" t="s">
        <v>114</v>
      </c>
      <c r="C350" s="77" t="s">
        <v>48</v>
      </c>
      <c r="D350" s="78">
        <v>1</v>
      </c>
      <c r="E350" s="79"/>
      <c r="F350" s="79">
        <f t="shared" si="20"/>
        <v>0</v>
      </c>
      <c r="G350" s="2"/>
      <c r="H350" s="37">
        <v>37290</v>
      </c>
      <c r="I350" s="4">
        <f t="shared" si="21"/>
        <v>0</v>
      </c>
      <c r="J350" s="25">
        <f t="shared" si="19"/>
        <v>11</v>
      </c>
    </row>
    <row r="351" spans="1:10" ht="16.95" customHeight="1">
      <c r="A351" s="75">
        <v>25</v>
      </c>
      <c r="B351" s="80" t="s">
        <v>115</v>
      </c>
      <c r="C351" s="77" t="s">
        <v>48</v>
      </c>
      <c r="D351" s="78">
        <v>1</v>
      </c>
      <c r="E351" s="79"/>
      <c r="F351" s="79">
        <f t="shared" si="20"/>
        <v>0</v>
      </c>
      <c r="G351" s="2"/>
      <c r="H351" s="37">
        <v>99394</v>
      </c>
      <c r="I351" s="4">
        <f t="shared" si="21"/>
        <v>0</v>
      </c>
      <c r="J351" s="25">
        <f t="shared" si="19"/>
        <v>11</v>
      </c>
    </row>
    <row r="352" spans="1:10" ht="34.950000000000003" customHeight="1">
      <c r="A352" s="75">
        <v>26</v>
      </c>
      <c r="B352" s="80" t="s">
        <v>116</v>
      </c>
      <c r="C352" s="77" t="s">
        <v>48</v>
      </c>
      <c r="D352" s="78">
        <v>1</v>
      </c>
      <c r="E352" s="79"/>
      <c r="F352" s="79">
        <f t="shared" si="20"/>
        <v>0</v>
      </c>
      <c r="G352" s="2"/>
      <c r="H352" s="37">
        <v>21334</v>
      </c>
      <c r="I352" s="4">
        <f t="shared" si="21"/>
        <v>0</v>
      </c>
      <c r="J352" s="25">
        <f t="shared" si="19"/>
        <v>11</v>
      </c>
    </row>
    <row r="353" spans="1:10" ht="16.95" customHeight="1">
      <c r="A353" s="75">
        <v>27</v>
      </c>
      <c r="B353" s="80" t="s">
        <v>117</v>
      </c>
      <c r="C353" s="77" t="s">
        <v>48</v>
      </c>
      <c r="D353" s="78">
        <v>1</v>
      </c>
      <c r="E353" s="79"/>
      <c r="F353" s="79">
        <f t="shared" si="20"/>
        <v>0</v>
      </c>
      <c r="G353" s="2"/>
      <c r="H353" s="37">
        <v>29620</v>
      </c>
      <c r="I353" s="4">
        <f t="shared" si="21"/>
        <v>0</v>
      </c>
      <c r="J353" s="25">
        <f t="shared" si="19"/>
        <v>11</v>
      </c>
    </row>
    <row r="354" spans="1:10" ht="16.95" customHeight="1">
      <c r="A354" s="75">
        <v>28</v>
      </c>
      <c r="B354" s="80" t="s">
        <v>118</v>
      </c>
      <c r="C354" s="77" t="s">
        <v>48</v>
      </c>
      <c r="D354" s="78">
        <v>1</v>
      </c>
      <c r="E354" s="79"/>
      <c r="F354" s="79">
        <f t="shared" si="20"/>
        <v>0</v>
      </c>
      <c r="G354" s="2"/>
      <c r="H354" s="37">
        <v>18506</v>
      </c>
      <c r="I354" s="4">
        <f t="shared" si="21"/>
        <v>0</v>
      </c>
      <c r="J354" s="25">
        <f t="shared" si="19"/>
        <v>11</v>
      </c>
    </row>
    <row r="355" spans="1:10" ht="16.95" customHeight="1">
      <c r="A355" s="75">
        <v>29</v>
      </c>
      <c r="B355" s="80" t="s">
        <v>119</v>
      </c>
      <c r="C355" s="77" t="s">
        <v>48</v>
      </c>
      <c r="D355" s="78">
        <v>1</v>
      </c>
      <c r="E355" s="79"/>
      <c r="F355" s="79">
        <f t="shared" si="20"/>
        <v>0</v>
      </c>
      <c r="G355" s="2"/>
      <c r="H355" s="37">
        <v>34381</v>
      </c>
      <c r="I355" s="4">
        <f t="shared" si="21"/>
        <v>0</v>
      </c>
      <c r="J355" s="25">
        <f t="shared" si="19"/>
        <v>11</v>
      </c>
    </row>
    <row r="356" spans="1:10" ht="16.95" customHeight="1">
      <c r="A356" s="75" t="s">
        <v>79</v>
      </c>
      <c r="B356" s="80" t="s">
        <v>80</v>
      </c>
      <c r="C356" s="77" t="s">
        <v>48</v>
      </c>
      <c r="D356" s="78">
        <v>1</v>
      </c>
      <c r="E356" s="79">
        <f t="shared" ref="E356:E359" si="22">1/120</f>
        <v>8.3333333333333332E-3</v>
      </c>
      <c r="F356" s="79">
        <f t="shared" si="20"/>
        <v>4.9999999999999996E-2</v>
      </c>
      <c r="G356" s="2"/>
      <c r="H356" s="37">
        <v>21395</v>
      </c>
      <c r="I356" s="4">
        <f t="shared" si="21"/>
        <v>178.29166666666666</v>
      </c>
      <c r="J356" s="25">
        <f t="shared" si="19"/>
        <v>11</v>
      </c>
    </row>
    <row r="357" spans="1:10" ht="16.95" customHeight="1">
      <c r="A357" s="75" t="s">
        <v>81</v>
      </c>
      <c r="B357" s="80" t="s">
        <v>82</v>
      </c>
      <c r="C357" s="77" t="s">
        <v>48</v>
      </c>
      <c r="D357" s="78">
        <v>1</v>
      </c>
      <c r="E357" s="79">
        <f t="shared" si="22"/>
        <v>8.3333333333333332E-3</v>
      </c>
      <c r="F357" s="79">
        <f t="shared" si="20"/>
        <v>4.9999999999999996E-2</v>
      </c>
      <c r="G357" s="2"/>
      <c r="H357" s="37">
        <v>21395</v>
      </c>
      <c r="I357" s="4">
        <f t="shared" si="21"/>
        <v>178.29166666666666</v>
      </c>
      <c r="J357" s="25">
        <f t="shared" si="19"/>
        <v>11</v>
      </c>
    </row>
    <row r="358" spans="1:10" ht="16.95" customHeight="1">
      <c r="A358" s="75" t="s">
        <v>83</v>
      </c>
      <c r="B358" s="80" t="s">
        <v>84</v>
      </c>
      <c r="C358" s="77" t="s">
        <v>48</v>
      </c>
      <c r="D358" s="78">
        <v>1</v>
      </c>
      <c r="E358" s="79">
        <f t="shared" si="22"/>
        <v>8.3333333333333332E-3</v>
      </c>
      <c r="F358" s="79">
        <f t="shared" si="20"/>
        <v>4.9999999999999996E-2</v>
      </c>
      <c r="G358" s="2"/>
      <c r="H358" s="37">
        <v>149765</v>
      </c>
      <c r="I358" s="4">
        <f t="shared" si="21"/>
        <v>1248.0416666666667</v>
      </c>
      <c r="J358" s="25">
        <f t="shared" si="19"/>
        <v>11</v>
      </c>
    </row>
    <row r="359" spans="1:10" ht="16.95" customHeight="1">
      <c r="A359" s="75" t="s">
        <v>85</v>
      </c>
      <c r="B359" s="80" t="s">
        <v>86</v>
      </c>
      <c r="C359" s="77" t="s">
        <v>48</v>
      </c>
      <c r="D359" s="78">
        <v>1</v>
      </c>
      <c r="E359" s="79">
        <f t="shared" si="22"/>
        <v>8.3333333333333332E-3</v>
      </c>
      <c r="F359" s="79">
        <f t="shared" si="20"/>
        <v>4.9999999999999996E-2</v>
      </c>
      <c r="G359" s="2"/>
      <c r="H359" s="37">
        <v>6996</v>
      </c>
      <c r="I359" s="4">
        <f t="shared" si="21"/>
        <v>58.3</v>
      </c>
      <c r="J359" s="25">
        <f t="shared" si="19"/>
        <v>11</v>
      </c>
    </row>
    <row r="360" spans="1:10" ht="16.95" customHeight="1">
      <c r="A360" s="75" t="s">
        <v>87</v>
      </c>
      <c r="B360" s="80" t="s">
        <v>88</v>
      </c>
      <c r="C360" s="77" t="s">
        <v>48</v>
      </c>
      <c r="D360" s="78">
        <v>1</v>
      </c>
      <c r="E360" s="79">
        <f>1/120</f>
        <v>8.3333333333333332E-3</v>
      </c>
      <c r="F360" s="79">
        <f t="shared" si="20"/>
        <v>4.9999999999999996E-2</v>
      </c>
      <c r="G360" s="2"/>
      <c r="H360" s="37">
        <v>116952</v>
      </c>
      <c r="I360" s="4">
        <f t="shared" si="21"/>
        <v>974.6</v>
      </c>
      <c r="J360" s="25">
        <f t="shared" si="19"/>
        <v>11</v>
      </c>
    </row>
    <row r="361" spans="1:10" ht="16.95" customHeight="1">
      <c r="A361" s="95" t="s">
        <v>23</v>
      </c>
      <c r="B361" s="95"/>
      <c r="C361" s="50"/>
      <c r="D361" s="50"/>
      <c r="E361" s="50"/>
      <c r="F361" s="50"/>
      <c r="G361" s="50"/>
      <c r="H361" s="3" t="s">
        <v>24</v>
      </c>
      <c r="I361" s="5">
        <f>SUM(I326:I360)</f>
        <v>15057.404999999999</v>
      </c>
      <c r="J361" s="25">
        <f t="shared" si="19"/>
        <v>11</v>
      </c>
    </row>
    <row r="362" spans="1:10" ht="16.95" customHeight="1">
      <c r="A362" s="96" t="s">
        <v>25</v>
      </c>
      <c r="B362" s="96"/>
      <c r="C362" s="50"/>
      <c r="D362" s="50"/>
      <c r="E362" s="50"/>
      <c r="F362" s="50"/>
      <c r="G362" s="50"/>
      <c r="J362" s="25">
        <f t="shared" si="19"/>
        <v>11</v>
      </c>
    </row>
    <row r="363" spans="1:10" ht="16.95" customHeight="1">
      <c r="A363" s="96" t="s">
        <v>26</v>
      </c>
      <c r="B363" s="96"/>
      <c r="C363" s="50"/>
      <c r="D363" s="50"/>
      <c r="E363" s="50"/>
      <c r="F363" s="50"/>
      <c r="G363" s="50"/>
      <c r="J363" s="25">
        <f t="shared" si="19"/>
        <v>11</v>
      </c>
    </row>
    <row r="364" spans="1:10" ht="16.95" customHeight="1">
      <c r="A364" s="95" t="s">
        <v>27</v>
      </c>
      <c r="B364" s="95"/>
      <c r="C364" s="95"/>
      <c r="D364" s="95"/>
      <c r="E364" s="95"/>
      <c r="F364" s="95"/>
      <c r="G364" s="95"/>
      <c r="J364" s="25">
        <f t="shared" si="19"/>
        <v>11</v>
      </c>
    </row>
    <row r="365" spans="1:10" ht="16.95" customHeight="1">
      <c r="A365" s="94" t="s">
        <v>28</v>
      </c>
      <c r="B365" s="94"/>
      <c r="C365" s="51" t="s">
        <v>29</v>
      </c>
      <c r="D365" s="51" t="s">
        <v>30</v>
      </c>
      <c r="E365" s="51" t="s">
        <v>18</v>
      </c>
      <c r="F365" s="51" t="s">
        <v>31</v>
      </c>
      <c r="G365" s="51" t="s">
        <v>20</v>
      </c>
      <c r="J365" s="25">
        <f t="shared" si="19"/>
        <v>11</v>
      </c>
    </row>
    <row r="366" spans="1:10" ht="16.95" customHeight="1">
      <c r="A366" s="96"/>
      <c r="B366" s="96"/>
      <c r="C366" s="50"/>
      <c r="D366" s="50"/>
      <c r="E366" s="50"/>
      <c r="F366" s="50"/>
      <c r="G366" s="51"/>
      <c r="J366" s="25">
        <f t="shared" si="19"/>
        <v>11</v>
      </c>
    </row>
    <row r="367" spans="1:10" ht="16.95" customHeight="1">
      <c r="A367" s="97"/>
      <c r="B367" s="97"/>
      <c r="C367" s="50"/>
      <c r="D367" s="50"/>
      <c r="E367" s="50"/>
      <c r="F367" s="51"/>
      <c r="G367" s="51"/>
      <c r="J367" s="25">
        <f t="shared" si="19"/>
        <v>11</v>
      </c>
    </row>
    <row r="368" spans="1:10" ht="16.95" customHeight="1">
      <c r="A368" s="95" t="s">
        <v>32</v>
      </c>
      <c r="B368" s="95"/>
      <c r="C368" s="95"/>
      <c r="D368" s="95"/>
      <c r="E368" s="95"/>
      <c r="F368" s="95"/>
      <c r="G368" s="95"/>
      <c r="J368" s="25">
        <f t="shared" ref="J368:J378" si="23">J305+2</f>
        <v>12</v>
      </c>
    </row>
    <row r="369" spans="1:10" ht="16.95" customHeight="1">
      <c r="A369" s="51" t="s">
        <v>33</v>
      </c>
      <c r="B369" s="51" t="s">
        <v>34</v>
      </c>
      <c r="C369" s="94" t="s">
        <v>35</v>
      </c>
      <c r="D369" s="94"/>
      <c r="E369" s="51" t="s">
        <v>36</v>
      </c>
      <c r="F369" s="51" t="s">
        <v>37</v>
      </c>
      <c r="G369" s="51" t="s">
        <v>38</v>
      </c>
      <c r="J369" s="25">
        <f t="shared" si="23"/>
        <v>12</v>
      </c>
    </row>
    <row r="370" spans="1:10" ht="16.95" customHeight="1">
      <c r="A370" s="51" t="s">
        <v>39</v>
      </c>
      <c r="B370" s="6">
        <v>1</v>
      </c>
      <c r="C370" s="94">
        <f>B370+C307</f>
        <v>4</v>
      </c>
      <c r="D370" s="94"/>
      <c r="E370" s="51"/>
      <c r="F370" s="24"/>
      <c r="G370" s="24"/>
      <c r="J370" s="25">
        <f t="shared" si="23"/>
        <v>12</v>
      </c>
    </row>
    <row r="371" spans="1:10" ht="16.95" customHeight="1">
      <c r="A371" s="51" t="s">
        <v>40</v>
      </c>
      <c r="B371" s="6">
        <v>1</v>
      </c>
      <c r="C371" s="94">
        <f>B371+C308</f>
        <v>5</v>
      </c>
      <c r="D371" s="94"/>
      <c r="E371" s="51"/>
      <c r="F371" s="24"/>
      <c r="G371" s="24"/>
      <c r="J371" s="25">
        <f t="shared" si="23"/>
        <v>12</v>
      </c>
    </row>
    <row r="372" spans="1:10" ht="36.6" customHeight="1">
      <c r="A372" s="95" t="s">
        <v>41</v>
      </c>
      <c r="B372" s="95"/>
      <c r="C372" s="95"/>
      <c r="D372" s="95"/>
      <c r="E372" s="95"/>
      <c r="F372" s="95"/>
      <c r="G372" s="95"/>
      <c r="J372" s="25">
        <f t="shared" si="23"/>
        <v>12</v>
      </c>
    </row>
    <row r="373" spans="1:10" ht="90" customHeight="1">
      <c r="A373" s="92" t="s">
        <v>42</v>
      </c>
      <c r="B373" s="92"/>
      <c r="C373" s="92"/>
      <c r="D373" s="92"/>
      <c r="E373" s="92"/>
      <c r="F373" s="92"/>
      <c r="G373" s="92"/>
      <c r="J373" s="25">
        <f t="shared" si="23"/>
        <v>12</v>
      </c>
    </row>
    <row r="374" spans="1:10" ht="16.95" customHeight="1">
      <c r="A374" s="95" t="s">
        <v>43</v>
      </c>
      <c r="B374" s="95"/>
      <c r="C374" s="95"/>
      <c r="D374" s="95"/>
      <c r="E374" s="95"/>
      <c r="F374" s="95"/>
      <c r="G374" s="95"/>
      <c r="J374" s="25">
        <f t="shared" si="23"/>
        <v>12</v>
      </c>
    </row>
    <row r="375" spans="1:10" ht="16.95" customHeight="1">
      <c r="A375" s="95" t="s">
        <v>44</v>
      </c>
      <c r="B375" s="95"/>
      <c r="C375" s="95"/>
      <c r="D375" s="95"/>
      <c r="E375" s="95"/>
      <c r="F375" s="95"/>
      <c r="G375" s="95"/>
      <c r="J375" s="25">
        <f t="shared" si="23"/>
        <v>12</v>
      </c>
    </row>
    <row r="376" spans="1:10" ht="16.95" customHeight="1">
      <c r="A376" s="91" t="s">
        <v>125</v>
      </c>
      <c r="B376" s="91"/>
      <c r="C376" s="91"/>
      <c r="D376" s="91"/>
      <c r="E376" s="91"/>
      <c r="F376" s="91"/>
      <c r="G376" s="91"/>
      <c r="J376" s="25">
        <f t="shared" si="23"/>
        <v>12</v>
      </c>
    </row>
    <row r="377" spans="1:10" ht="120.6" customHeight="1">
      <c r="A377" s="92" t="s">
        <v>45</v>
      </c>
      <c r="B377" s="92"/>
      <c r="C377" s="92"/>
      <c r="D377" s="92"/>
      <c r="E377" s="92"/>
      <c r="F377" s="92"/>
      <c r="G377" s="92"/>
      <c r="J377" s="25">
        <f t="shared" si="23"/>
        <v>12</v>
      </c>
    </row>
    <row r="378" spans="1:10" ht="140.4" customHeight="1">
      <c r="A378" s="93" t="s">
        <v>46</v>
      </c>
      <c r="B378" s="93"/>
      <c r="C378" s="93"/>
      <c r="D378" s="93"/>
      <c r="E378" s="93"/>
      <c r="F378" s="93"/>
      <c r="G378" s="93"/>
      <c r="J378" s="25">
        <f t="shared" si="23"/>
        <v>12</v>
      </c>
    </row>
    <row r="379" spans="1:10" ht="37.200000000000003" customHeight="1">
      <c r="A379" s="103" t="s">
        <v>0</v>
      </c>
      <c r="B379" s="103"/>
      <c r="C379" s="103"/>
      <c r="D379" s="103"/>
      <c r="E379" s="103"/>
      <c r="F379" s="103"/>
      <c r="G379" s="103"/>
      <c r="J379" s="25">
        <f t="shared" ref="J379:J442" si="24">J316+2</f>
        <v>13</v>
      </c>
    </row>
    <row r="380" spans="1:10" ht="16.95" customHeight="1">
      <c r="A380" s="1" t="s">
        <v>1</v>
      </c>
      <c r="B380" s="104">
        <f>B317+1</f>
        <v>7</v>
      </c>
      <c r="C380" s="104"/>
      <c r="D380" s="104"/>
      <c r="E380" s="104"/>
      <c r="F380" s="104"/>
      <c r="G380" s="104"/>
      <c r="J380" s="25">
        <f t="shared" si="24"/>
        <v>13</v>
      </c>
    </row>
    <row r="381" spans="1:10" ht="16.95" customHeight="1">
      <c r="A381" s="1" t="s">
        <v>2</v>
      </c>
      <c r="B381" s="105" t="s">
        <v>63</v>
      </c>
      <c r="C381" s="105"/>
      <c r="D381" s="105"/>
      <c r="E381" s="106">
        <f>E318+1</f>
        <v>46210</v>
      </c>
      <c r="F381" s="106"/>
      <c r="G381" s="106"/>
      <c r="J381" s="25">
        <f t="shared" si="24"/>
        <v>13</v>
      </c>
    </row>
    <row r="382" spans="1:10" ht="16.95" customHeight="1">
      <c r="A382" s="53" t="s">
        <v>3</v>
      </c>
      <c r="B382" s="2" t="s">
        <v>67</v>
      </c>
      <c r="C382" s="98" t="s">
        <v>4</v>
      </c>
      <c r="D382" s="98"/>
      <c r="E382" s="98" t="s">
        <v>47</v>
      </c>
      <c r="F382" s="98"/>
      <c r="G382" s="98"/>
      <c r="J382" s="25">
        <f t="shared" si="24"/>
        <v>13</v>
      </c>
    </row>
    <row r="383" spans="1:10" ht="16.95" customHeight="1">
      <c r="A383" s="53" t="s">
        <v>5</v>
      </c>
      <c r="B383" s="54">
        <v>120</v>
      </c>
      <c r="C383" s="98" t="s">
        <v>6</v>
      </c>
      <c r="D383" s="98"/>
      <c r="E383" s="98" t="s">
        <v>123</v>
      </c>
      <c r="F383" s="98"/>
      <c r="G383" s="98"/>
      <c r="J383" s="25">
        <f t="shared" si="24"/>
        <v>13</v>
      </c>
    </row>
    <row r="384" spans="1:10" ht="16.95" customHeight="1">
      <c r="A384" s="53" t="s">
        <v>7</v>
      </c>
      <c r="B384" s="54">
        <f>B380</f>
        <v>7</v>
      </c>
      <c r="C384" s="100" t="s">
        <v>8</v>
      </c>
      <c r="D384" s="100"/>
      <c r="E384" s="101">
        <f>B383-B384</f>
        <v>113</v>
      </c>
      <c r="F384" s="101"/>
      <c r="G384" s="101"/>
      <c r="J384" s="25">
        <f t="shared" si="24"/>
        <v>13</v>
      </c>
    </row>
    <row r="385" spans="1:10" ht="16.95" customHeight="1">
      <c r="A385" s="53" t="s">
        <v>9</v>
      </c>
      <c r="B385" s="55">
        <v>46204</v>
      </c>
      <c r="C385" s="98" t="s">
        <v>10</v>
      </c>
      <c r="D385" s="98"/>
      <c r="E385" s="102">
        <f>B385+B383-1</f>
        <v>46323</v>
      </c>
      <c r="F385" s="102"/>
      <c r="G385" s="102"/>
      <c r="J385" s="25">
        <f t="shared" si="24"/>
        <v>13</v>
      </c>
    </row>
    <row r="386" spans="1:10" ht="16.95" customHeight="1">
      <c r="A386" s="53" t="s">
        <v>11</v>
      </c>
      <c r="B386" s="56">
        <f>HLOOKUP(B380,進度表!$Q$2:$Z$3,2,1)+B323</f>
        <v>2.7860591408794794E-2</v>
      </c>
      <c r="C386" s="98" t="s">
        <v>12</v>
      </c>
      <c r="D386" s="98"/>
      <c r="E386" s="99">
        <f>I424/I386+E323</f>
        <v>3.7080649429967423E-2</v>
      </c>
      <c r="F386" s="99"/>
      <c r="G386" s="99"/>
      <c r="H386" s="3" t="s">
        <v>62</v>
      </c>
      <c r="I386" s="1">
        <v>2456000</v>
      </c>
      <c r="J386" s="25">
        <f t="shared" si="24"/>
        <v>13</v>
      </c>
    </row>
    <row r="387" spans="1:10" ht="16.95" customHeight="1">
      <c r="A387" s="98" t="s">
        <v>13</v>
      </c>
      <c r="B387" s="98"/>
      <c r="C387" s="98"/>
      <c r="D387" s="98"/>
      <c r="E387" s="98"/>
      <c r="F387" s="98"/>
      <c r="G387" s="98"/>
      <c r="J387" s="25">
        <f t="shared" si="24"/>
        <v>13</v>
      </c>
    </row>
    <row r="388" spans="1:10" ht="16.95" customHeight="1">
      <c r="A388" s="52" t="s">
        <v>14</v>
      </c>
      <c r="B388" s="52" t="s">
        <v>15</v>
      </c>
      <c r="C388" s="52" t="s">
        <v>16</v>
      </c>
      <c r="D388" s="52" t="s">
        <v>17</v>
      </c>
      <c r="E388" s="52" t="s">
        <v>18</v>
      </c>
      <c r="F388" s="52" t="s">
        <v>19</v>
      </c>
      <c r="G388" s="52" t="s">
        <v>20</v>
      </c>
      <c r="H388" s="3" t="s">
        <v>21</v>
      </c>
      <c r="I388" s="3" t="s">
        <v>22</v>
      </c>
      <c r="J388" s="25">
        <f t="shared" si="24"/>
        <v>13</v>
      </c>
    </row>
    <row r="389" spans="1:10" ht="16.95" customHeight="1">
      <c r="A389" s="75" t="s">
        <v>65</v>
      </c>
      <c r="B389" s="76" t="s">
        <v>69</v>
      </c>
      <c r="C389" s="77"/>
      <c r="D389" s="78"/>
      <c r="E389" s="79"/>
      <c r="F389" s="79"/>
      <c r="G389" s="2"/>
      <c r="H389" s="37"/>
      <c r="I389" s="4"/>
      <c r="J389" s="25">
        <f t="shared" si="24"/>
        <v>13</v>
      </c>
    </row>
    <row r="390" spans="1:10" ht="34.950000000000003" customHeight="1">
      <c r="A390" s="75">
        <v>1</v>
      </c>
      <c r="B390" s="80" t="s">
        <v>91</v>
      </c>
      <c r="C390" s="77" t="s">
        <v>48</v>
      </c>
      <c r="D390" s="78">
        <v>1</v>
      </c>
      <c r="E390" s="79"/>
      <c r="F390" s="79">
        <f t="shared" ref="F390:F423" si="25">E390+F327</f>
        <v>1</v>
      </c>
      <c r="G390" s="2"/>
      <c r="H390" s="37">
        <v>10508</v>
      </c>
      <c r="I390" s="4">
        <f>H390*E390</f>
        <v>0</v>
      </c>
      <c r="J390" s="25">
        <f t="shared" si="24"/>
        <v>13</v>
      </c>
    </row>
    <row r="391" spans="1:10" ht="34.799999999999997" customHeight="1">
      <c r="A391" s="75">
        <v>2</v>
      </c>
      <c r="B391" s="80" t="s">
        <v>92</v>
      </c>
      <c r="C391" s="77" t="s">
        <v>48</v>
      </c>
      <c r="D391" s="78">
        <v>1</v>
      </c>
      <c r="E391" s="79"/>
      <c r="F391" s="79">
        <f t="shared" si="25"/>
        <v>0</v>
      </c>
      <c r="G391" s="2"/>
      <c r="H391" s="37">
        <v>13223</v>
      </c>
      <c r="I391" s="4">
        <f>H391*E391</f>
        <v>0</v>
      </c>
      <c r="J391" s="25">
        <f t="shared" si="24"/>
        <v>13</v>
      </c>
    </row>
    <row r="392" spans="1:10" ht="53.4" customHeight="1">
      <c r="A392" s="75">
        <v>3</v>
      </c>
      <c r="B392" s="80" t="s">
        <v>93</v>
      </c>
      <c r="C392" s="77" t="s">
        <v>48</v>
      </c>
      <c r="D392" s="78">
        <v>1</v>
      </c>
      <c r="E392" s="79">
        <v>0.04</v>
      </c>
      <c r="F392" s="79">
        <f t="shared" si="25"/>
        <v>0.2</v>
      </c>
      <c r="G392" s="2"/>
      <c r="H392" s="37">
        <v>310497</v>
      </c>
      <c r="I392" s="4">
        <f t="shared" ref="I392:I423" si="26">H392*E392</f>
        <v>12419.880000000001</v>
      </c>
      <c r="J392" s="25">
        <f t="shared" si="24"/>
        <v>13</v>
      </c>
    </row>
    <row r="393" spans="1:10" ht="16.95" customHeight="1">
      <c r="A393" s="75">
        <v>4</v>
      </c>
      <c r="B393" s="80" t="s">
        <v>94</v>
      </c>
      <c r="C393" s="77" t="s">
        <v>48</v>
      </c>
      <c r="D393" s="78">
        <v>1</v>
      </c>
      <c r="E393" s="79"/>
      <c r="F393" s="79">
        <f t="shared" si="25"/>
        <v>0</v>
      </c>
      <c r="G393" s="2"/>
      <c r="H393" s="37">
        <v>8375</v>
      </c>
      <c r="I393" s="4">
        <f t="shared" si="26"/>
        <v>0</v>
      </c>
      <c r="J393" s="25">
        <f t="shared" si="24"/>
        <v>13</v>
      </c>
    </row>
    <row r="394" spans="1:10" ht="16.95" customHeight="1">
      <c r="A394" s="75">
        <v>5</v>
      </c>
      <c r="B394" s="80" t="s">
        <v>95</v>
      </c>
      <c r="C394" s="77" t="s">
        <v>48</v>
      </c>
      <c r="D394" s="78">
        <v>1</v>
      </c>
      <c r="E394" s="79"/>
      <c r="F394" s="79">
        <f t="shared" si="25"/>
        <v>0</v>
      </c>
      <c r="G394" s="2"/>
      <c r="H394" s="37">
        <v>51618</v>
      </c>
      <c r="I394" s="4">
        <f t="shared" si="26"/>
        <v>0</v>
      </c>
      <c r="J394" s="25">
        <f t="shared" si="24"/>
        <v>13</v>
      </c>
    </row>
    <row r="395" spans="1:10" ht="16.95" customHeight="1">
      <c r="A395" s="75">
        <v>6</v>
      </c>
      <c r="B395" s="80" t="s">
        <v>96</v>
      </c>
      <c r="C395" s="77" t="s">
        <v>50</v>
      </c>
      <c r="D395" s="78">
        <v>11.55</v>
      </c>
      <c r="E395" s="79"/>
      <c r="F395" s="79">
        <f t="shared" si="25"/>
        <v>0</v>
      </c>
      <c r="G395" s="2"/>
      <c r="H395" s="37">
        <v>1188</v>
      </c>
      <c r="I395" s="4">
        <f t="shared" si="26"/>
        <v>0</v>
      </c>
      <c r="J395" s="25">
        <f t="shared" si="24"/>
        <v>13</v>
      </c>
    </row>
    <row r="396" spans="1:10" ht="34.950000000000003" customHeight="1">
      <c r="A396" s="75">
        <v>7</v>
      </c>
      <c r="B396" s="80" t="s">
        <v>97</v>
      </c>
      <c r="C396" s="77" t="s">
        <v>48</v>
      </c>
      <c r="D396" s="78">
        <v>1</v>
      </c>
      <c r="E396" s="79"/>
      <c r="F396" s="79">
        <f t="shared" si="25"/>
        <v>0</v>
      </c>
      <c r="G396" s="2"/>
      <c r="H396" s="37">
        <v>21157</v>
      </c>
      <c r="I396" s="4">
        <f t="shared" si="26"/>
        <v>0</v>
      </c>
      <c r="J396" s="25">
        <f t="shared" si="24"/>
        <v>13</v>
      </c>
    </row>
    <row r="397" spans="1:10" ht="16.95" customHeight="1">
      <c r="A397" s="75">
        <v>8</v>
      </c>
      <c r="B397" s="80" t="s">
        <v>98</v>
      </c>
      <c r="C397" s="77" t="s">
        <v>50</v>
      </c>
      <c r="D397" s="78">
        <v>387</v>
      </c>
      <c r="E397" s="79"/>
      <c r="F397" s="79">
        <f t="shared" si="25"/>
        <v>0</v>
      </c>
      <c r="G397" s="2"/>
      <c r="H397" s="37">
        <v>705</v>
      </c>
      <c r="I397" s="4">
        <f t="shared" si="26"/>
        <v>0</v>
      </c>
      <c r="J397" s="25">
        <f t="shared" si="24"/>
        <v>13</v>
      </c>
    </row>
    <row r="398" spans="1:10" ht="16.95" customHeight="1">
      <c r="A398" s="75">
        <v>9</v>
      </c>
      <c r="B398" s="80" t="s">
        <v>99</v>
      </c>
      <c r="C398" s="77" t="s">
        <v>50</v>
      </c>
      <c r="D398" s="78">
        <v>170</v>
      </c>
      <c r="E398" s="79"/>
      <c r="F398" s="79">
        <f t="shared" si="25"/>
        <v>0</v>
      </c>
      <c r="G398" s="2"/>
      <c r="H398" s="37">
        <v>617</v>
      </c>
      <c r="I398" s="4">
        <f t="shared" si="26"/>
        <v>0</v>
      </c>
      <c r="J398" s="25">
        <f t="shared" si="24"/>
        <v>13</v>
      </c>
    </row>
    <row r="399" spans="1:10" ht="16.95" customHeight="1">
      <c r="A399" s="75">
        <v>10</v>
      </c>
      <c r="B399" s="80" t="s">
        <v>100</v>
      </c>
      <c r="C399" s="77" t="s">
        <v>66</v>
      </c>
      <c r="D399" s="78">
        <v>15</v>
      </c>
      <c r="E399" s="79"/>
      <c r="F399" s="79">
        <f t="shared" si="25"/>
        <v>0</v>
      </c>
      <c r="G399" s="2"/>
      <c r="H399" s="37">
        <v>617</v>
      </c>
      <c r="I399" s="4">
        <f t="shared" si="26"/>
        <v>0</v>
      </c>
      <c r="J399" s="25">
        <f t="shared" si="24"/>
        <v>13</v>
      </c>
    </row>
    <row r="400" spans="1:10" ht="16.95" customHeight="1">
      <c r="A400" s="75">
        <v>11</v>
      </c>
      <c r="B400" s="80" t="s">
        <v>101</v>
      </c>
      <c r="C400" s="77" t="s">
        <v>50</v>
      </c>
      <c r="D400" s="78">
        <v>75</v>
      </c>
      <c r="E400" s="79"/>
      <c r="F400" s="79">
        <f t="shared" si="25"/>
        <v>0</v>
      </c>
      <c r="G400" s="2"/>
      <c r="H400" s="37">
        <v>1146</v>
      </c>
      <c r="I400" s="4">
        <f t="shared" si="26"/>
        <v>0</v>
      </c>
      <c r="J400" s="25">
        <f t="shared" si="24"/>
        <v>13</v>
      </c>
    </row>
    <row r="401" spans="1:10" ht="16.95" customHeight="1">
      <c r="A401" s="75">
        <v>12</v>
      </c>
      <c r="B401" s="80" t="s">
        <v>102</v>
      </c>
      <c r="C401" s="77" t="s">
        <v>50</v>
      </c>
      <c r="D401" s="78">
        <v>5</v>
      </c>
      <c r="E401" s="79"/>
      <c r="F401" s="79">
        <f t="shared" si="25"/>
        <v>0</v>
      </c>
      <c r="G401" s="2"/>
      <c r="H401" s="37">
        <v>1455</v>
      </c>
      <c r="I401" s="4">
        <f t="shared" si="26"/>
        <v>0</v>
      </c>
      <c r="J401" s="25">
        <f t="shared" si="24"/>
        <v>13</v>
      </c>
    </row>
    <row r="402" spans="1:10" ht="16.95" customHeight="1">
      <c r="A402" s="75">
        <v>13</v>
      </c>
      <c r="B402" s="80" t="s">
        <v>103</v>
      </c>
      <c r="C402" s="77" t="s">
        <v>50</v>
      </c>
      <c r="D402" s="78">
        <v>217</v>
      </c>
      <c r="E402" s="79"/>
      <c r="F402" s="79">
        <f t="shared" si="25"/>
        <v>0</v>
      </c>
      <c r="G402" s="2"/>
      <c r="H402" s="37">
        <v>1410</v>
      </c>
      <c r="I402" s="4">
        <f t="shared" si="26"/>
        <v>0</v>
      </c>
      <c r="J402" s="25">
        <f t="shared" si="24"/>
        <v>13</v>
      </c>
    </row>
    <row r="403" spans="1:10" ht="16.95" customHeight="1">
      <c r="A403" s="75">
        <v>14</v>
      </c>
      <c r="B403" s="80" t="s">
        <v>104</v>
      </c>
      <c r="C403" s="77" t="s">
        <v>49</v>
      </c>
      <c r="D403" s="78">
        <v>84</v>
      </c>
      <c r="E403" s="79"/>
      <c r="F403" s="79">
        <f t="shared" si="25"/>
        <v>0</v>
      </c>
      <c r="G403" s="2"/>
      <c r="H403" s="37">
        <v>529</v>
      </c>
      <c r="I403" s="4">
        <f t="shared" si="26"/>
        <v>0</v>
      </c>
      <c r="J403" s="25">
        <f t="shared" si="24"/>
        <v>13</v>
      </c>
    </row>
    <row r="404" spans="1:10" ht="16.95" customHeight="1">
      <c r="A404" s="75">
        <v>15</v>
      </c>
      <c r="B404" s="80" t="s">
        <v>105</v>
      </c>
      <c r="C404" s="77" t="s">
        <v>50</v>
      </c>
      <c r="D404" s="78">
        <v>1</v>
      </c>
      <c r="E404" s="79"/>
      <c r="F404" s="79">
        <f t="shared" si="25"/>
        <v>0</v>
      </c>
      <c r="G404" s="2"/>
      <c r="H404" s="37">
        <v>1146</v>
      </c>
      <c r="I404" s="4">
        <f t="shared" si="26"/>
        <v>0</v>
      </c>
      <c r="J404" s="25">
        <f t="shared" si="24"/>
        <v>13</v>
      </c>
    </row>
    <row r="405" spans="1:10" ht="34.799999999999997" customHeight="1">
      <c r="A405" s="75">
        <v>16</v>
      </c>
      <c r="B405" s="80" t="s">
        <v>106</v>
      </c>
      <c r="C405" s="77" t="s">
        <v>50</v>
      </c>
      <c r="D405" s="78">
        <v>314</v>
      </c>
      <c r="E405" s="79"/>
      <c r="F405" s="79">
        <f t="shared" si="25"/>
        <v>0</v>
      </c>
      <c r="G405" s="2"/>
      <c r="H405" s="37">
        <v>185</v>
      </c>
      <c r="I405" s="4">
        <f t="shared" si="26"/>
        <v>0</v>
      </c>
      <c r="J405" s="25">
        <f t="shared" si="24"/>
        <v>13</v>
      </c>
    </row>
    <row r="406" spans="1:10" ht="16.95" customHeight="1">
      <c r="A406" s="75">
        <v>17</v>
      </c>
      <c r="B406" s="80" t="s">
        <v>107</v>
      </c>
      <c r="C406" s="77" t="s">
        <v>48</v>
      </c>
      <c r="D406" s="78">
        <v>1</v>
      </c>
      <c r="E406" s="79"/>
      <c r="F406" s="79">
        <f t="shared" si="25"/>
        <v>0</v>
      </c>
      <c r="G406" s="2"/>
      <c r="H406" s="37">
        <v>89918</v>
      </c>
      <c r="I406" s="4">
        <f t="shared" si="26"/>
        <v>0</v>
      </c>
      <c r="J406" s="25">
        <f t="shared" si="24"/>
        <v>13</v>
      </c>
    </row>
    <row r="407" spans="1:10" ht="16.95" customHeight="1">
      <c r="A407" s="75">
        <v>18</v>
      </c>
      <c r="B407" s="80" t="s">
        <v>108</v>
      </c>
      <c r="C407" s="77" t="s">
        <v>120</v>
      </c>
      <c r="D407" s="78">
        <v>15</v>
      </c>
      <c r="E407" s="79"/>
      <c r="F407" s="79">
        <f t="shared" si="25"/>
        <v>0</v>
      </c>
      <c r="G407" s="2"/>
      <c r="H407" s="37">
        <v>661</v>
      </c>
      <c r="I407" s="4">
        <f t="shared" si="26"/>
        <v>0</v>
      </c>
      <c r="J407" s="25">
        <f t="shared" si="24"/>
        <v>13</v>
      </c>
    </row>
    <row r="408" spans="1:10" ht="16.95" customHeight="1">
      <c r="A408" s="75">
        <v>19</v>
      </c>
      <c r="B408" s="80" t="s">
        <v>109</v>
      </c>
      <c r="C408" s="77" t="s">
        <v>50</v>
      </c>
      <c r="D408" s="78">
        <v>82</v>
      </c>
      <c r="E408" s="79"/>
      <c r="F408" s="79">
        <f t="shared" si="25"/>
        <v>0</v>
      </c>
      <c r="G408" s="2"/>
      <c r="H408" s="37">
        <v>2909</v>
      </c>
      <c r="I408" s="4">
        <f t="shared" si="26"/>
        <v>0</v>
      </c>
      <c r="J408" s="25">
        <f t="shared" si="24"/>
        <v>13</v>
      </c>
    </row>
    <row r="409" spans="1:10" ht="16.95" customHeight="1">
      <c r="A409" s="75">
        <v>20</v>
      </c>
      <c r="B409" s="80" t="s">
        <v>110</v>
      </c>
      <c r="C409" s="77" t="s">
        <v>121</v>
      </c>
      <c r="D409" s="78">
        <v>12</v>
      </c>
      <c r="E409" s="79"/>
      <c r="F409" s="79">
        <f t="shared" si="25"/>
        <v>0</v>
      </c>
      <c r="G409" s="2"/>
      <c r="H409" s="37">
        <v>882</v>
      </c>
      <c r="I409" s="4">
        <f t="shared" si="26"/>
        <v>0</v>
      </c>
      <c r="J409" s="25">
        <f t="shared" si="24"/>
        <v>13</v>
      </c>
    </row>
    <row r="410" spans="1:10" ht="16.95" customHeight="1">
      <c r="A410" s="77">
        <v>21</v>
      </c>
      <c r="B410" s="80" t="s">
        <v>111</v>
      </c>
      <c r="C410" s="77" t="s">
        <v>122</v>
      </c>
      <c r="D410" s="78">
        <v>3</v>
      </c>
      <c r="E410" s="79"/>
      <c r="F410" s="79">
        <f t="shared" si="25"/>
        <v>0</v>
      </c>
      <c r="G410" s="2"/>
      <c r="H410" s="38">
        <v>1869</v>
      </c>
      <c r="I410" s="4">
        <f t="shared" si="26"/>
        <v>0</v>
      </c>
      <c r="J410" s="25">
        <f t="shared" si="24"/>
        <v>13</v>
      </c>
    </row>
    <row r="411" spans="1:10" ht="34.950000000000003" customHeight="1">
      <c r="A411" s="75">
        <v>22</v>
      </c>
      <c r="B411" s="80" t="s">
        <v>112</v>
      </c>
      <c r="C411" s="77" t="s">
        <v>48</v>
      </c>
      <c r="D411" s="78">
        <v>1</v>
      </c>
      <c r="E411" s="79"/>
      <c r="F411" s="79">
        <f t="shared" si="25"/>
        <v>0</v>
      </c>
      <c r="G411" s="2"/>
      <c r="H411" s="37">
        <v>82206</v>
      </c>
      <c r="I411" s="4">
        <f t="shared" si="26"/>
        <v>0</v>
      </c>
      <c r="J411" s="25">
        <f t="shared" si="24"/>
        <v>13</v>
      </c>
    </row>
    <row r="412" spans="1:10" ht="16.95" customHeight="1">
      <c r="A412" s="75">
        <v>23</v>
      </c>
      <c r="B412" s="80" t="s">
        <v>113</v>
      </c>
      <c r="C412" s="77" t="s">
        <v>48</v>
      </c>
      <c r="D412" s="78">
        <v>1</v>
      </c>
      <c r="E412" s="79"/>
      <c r="F412" s="79">
        <f t="shared" si="25"/>
        <v>0</v>
      </c>
      <c r="G412" s="2"/>
      <c r="H412" s="37">
        <v>142723</v>
      </c>
      <c r="I412" s="4">
        <f t="shared" si="26"/>
        <v>0</v>
      </c>
      <c r="J412" s="25">
        <f t="shared" si="24"/>
        <v>13</v>
      </c>
    </row>
    <row r="413" spans="1:10" ht="16.95" customHeight="1">
      <c r="A413" s="75">
        <v>24</v>
      </c>
      <c r="B413" s="80" t="s">
        <v>114</v>
      </c>
      <c r="C413" s="77" t="s">
        <v>48</v>
      </c>
      <c r="D413" s="78">
        <v>1</v>
      </c>
      <c r="E413" s="79"/>
      <c r="F413" s="79">
        <f t="shared" si="25"/>
        <v>0</v>
      </c>
      <c r="G413" s="2"/>
      <c r="H413" s="37">
        <v>37290</v>
      </c>
      <c r="I413" s="4">
        <f t="shared" si="26"/>
        <v>0</v>
      </c>
      <c r="J413" s="25">
        <f t="shared" si="24"/>
        <v>13</v>
      </c>
    </row>
    <row r="414" spans="1:10" ht="16.95" customHeight="1">
      <c r="A414" s="75">
        <v>25</v>
      </c>
      <c r="B414" s="80" t="s">
        <v>115</v>
      </c>
      <c r="C414" s="77" t="s">
        <v>48</v>
      </c>
      <c r="D414" s="78">
        <v>1</v>
      </c>
      <c r="E414" s="79"/>
      <c r="F414" s="79">
        <f t="shared" si="25"/>
        <v>0</v>
      </c>
      <c r="G414" s="2"/>
      <c r="H414" s="37">
        <v>99394</v>
      </c>
      <c r="I414" s="4">
        <f t="shared" si="26"/>
        <v>0</v>
      </c>
      <c r="J414" s="25">
        <f t="shared" si="24"/>
        <v>13</v>
      </c>
    </row>
    <row r="415" spans="1:10" ht="34.950000000000003" customHeight="1">
      <c r="A415" s="75">
        <v>26</v>
      </c>
      <c r="B415" s="80" t="s">
        <v>116</v>
      </c>
      <c r="C415" s="77" t="s">
        <v>48</v>
      </c>
      <c r="D415" s="78">
        <v>1</v>
      </c>
      <c r="E415" s="79"/>
      <c r="F415" s="79">
        <f t="shared" si="25"/>
        <v>0</v>
      </c>
      <c r="G415" s="2"/>
      <c r="H415" s="37">
        <v>21334</v>
      </c>
      <c r="I415" s="4">
        <f t="shared" si="26"/>
        <v>0</v>
      </c>
      <c r="J415" s="25">
        <f t="shared" si="24"/>
        <v>13</v>
      </c>
    </row>
    <row r="416" spans="1:10" ht="16.95" customHeight="1">
      <c r="A416" s="75">
        <v>27</v>
      </c>
      <c r="B416" s="80" t="s">
        <v>117</v>
      </c>
      <c r="C416" s="77" t="s">
        <v>48</v>
      </c>
      <c r="D416" s="78">
        <v>1</v>
      </c>
      <c r="E416" s="79"/>
      <c r="F416" s="79">
        <f t="shared" si="25"/>
        <v>0</v>
      </c>
      <c r="G416" s="2"/>
      <c r="H416" s="37">
        <v>29620</v>
      </c>
      <c r="I416" s="4">
        <f t="shared" si="26"/>
        <v>0</v>
      </c>
      <c r="J416" s="25">
        <f t="shared" si="24"/>
        <v>13</v>
      </c>
    </row>
    <row r="417" spans="1:10" ht="16.95" customHeight="1">
      <c r="A417" s="75">
        <v>28</v>
      </c>
      <c r="B417" s="80" t="s">
        <v>118</v>
      </c>
      <c r="C417" s="77" t="s">
        <v>48</v>
      </c>
      <c r="D417" s="78">
        <v>1</v>
      </c>
      <c r="E417" s="79"/>
      <c r="F417" s="79">
        <f t="shared" si="25"/>
        <v>0</v>
      </c>
      <c r="G417" s="2"/>
      <c r="H417" s="37">
        <v>18506</v>
      </c>
      <c r="I417" s="4">
        <f t="shared" si="26"/>
        <v>0</v>
      </c>
      <c r="J417" s="25">
        <f t="shared" si="24"/>
        <v>13</v>
      </c>
    </row>
    <row r="418" spans="1:10" ht="16.95" customHeight="1">
      <c r="A418" s="75">
        <v>29</v>
      </c>
      <c r="B418" s="80" t="s">
        <v>119</v>
      </c>
      <c r="C418" s="77" t="s">
        <v>48</v>
      </c>
      <c r="D418" s="78">
        <v>1</v>
      </c>
      <c r="E418" s="79"/>
      <c r="F418" s="79">
        <f t="shared" si="25"/>
        <v>0</v>
      </c>
      <c r="G418" s="2"/>
      <c r="H418" s="37">
        <v>34381</v>
      </c>
      <c r="I418" s="4">
        <f t="shared" si="26"/>
        <v>0</v>
      </c>
      <c r="J418" s="25">
        <f t="shared" si="24"/>
        <v>13</v>
      </c>
    </row>
    <row r="419" spans="1:10" ht="16.95" customHeight="1">
      <c r="A419" s="75" t="s">
        <v>79</v>
      </c>
      <c r="B419" s="80" t="s">
        <v>80</v>
      </c>
      <c r="C419" s="77" t="s">
        <v>48</v>
      </c>
      <c r="D419" s="78">
        <v>1</v>
      </c>
      <c r="E419" s="79">
        <f t="shared" ref="E419:E422" si="27">1/120</f>
        <v>8.3333333333333332E-3</v>
      </c>
      <c r="F419" s="79">
        <f t="shared" si="25"/>
        <v>5.8333333333333327E-2</v>
      </c>
      <c r="G419" s="2"/>
      <c r="H419" s="37">
        <v>21395</v>
      </c>
      <c r="I419" s="4">
        <f t="shared" si="26"/>
        <v>178.29166666666666</v>
      </c>
      <c r="J419" s="25">
        <f t="shared" si="24"/>
        <v>13</v>
      </c>
    </row>
    <row r="420" spans="1:10" ht="16.95" customHeight="1">
      <c r="A420" s="75" t="s">
        <v>81</v>
      </c>
      <c r="B420" s="80" t="s">
        <v>82</v>
      </c>
      <c r="C420" s="77" t="s">
        <v>48</v>
      </c>
      <c r="D420" s="78">
        <v>1</v>
      </c>
      <c r="E420" s="79">
        <f t="shared" si="27"/>
        <v>8.3333333333333332E-3</v>
      </c>
      <c r="F420" s="79">
        <f t="shared" si="25"/>
        <v>5.8333333333333327E-2</v>
      </c>
      <c r="G420" s="2"/>
      <c r="H420" s="37">
        <v>21395</v>
      </c>
      <c r="I420" s="4">
        <f t="shared" si="26"/>
        <v>178.29166666666666</v>
      </c>
      <c r="J420" s="25">
        <f t="shared" si="24"/>
        <v>13</v>
      </c>
    </row>
    <row r="421" spans="1:10" ht="16.95" customHeight="1">
      <c r="A421" s="75" t="s">
        <v>83</v>
      </c>
      <c r="B421" s="80" t="s">
        <v>84</v>
      </c>
      <c r="C421" s="77" t="s">
        <v>48</v>
      </c>
      <c r="D421" s="78">
        <v>1</v>
      </c>
      <c r="E421" s="79">
        <f t="shared" si="27"/>
        <v>8.3333333333333332E-3</v>
      </c>
      <c r="F421" s="79">
        <f t="shared" si="25"/>
        <v>5.8333333333333327E-2</v>
      </c>
      <c r="G421" s="2"/>
      <c r="H421" s="37">
        <v>149765</v>
      </c>
      <c r="I421" s="4">
        <f t="shared" si="26"/>
        <v>1248.0416666666667</v>
      </c>
      <c r="J421" s="25">
        <f t="shared" si="24"/>
        <v>13</v>
      </c>
    </row>
    <row r="422" spans="1:10" ht="16.95" customHeight="1">
      <c r="A422" s="75" t="s">
        <v>85</v>
      </c>
      <c r="B422" s="80" t="s">
        <v>86</v>
      </c>
      <c r="C422" s="77" t="s">
        <v>48</v>
      </c>
      <c r="D422" s="78">
        <v>1</v>
      </c>
      <c r="E422" s="79">
        <f t="shared" si="27"/>
        <v>8.3333333333333332E-3</v>
      </c>
      <c r="F422" s="79">
        <f t="shared" si="25"/>
        <v>5.8333333333333327E-2</v>
      </c>
      <c r="G422" s="2"/>
      <c r="H422" s="37">
        <v>6996</v>
      </c>
      <c r="I422" s="4">
        <f t="shared" si="26"/>
        <v>58.3</v>
      </c>
      <c r="J422" s="25">
        <f t="shared" si="24"/>
        <v>13</v>
      </c>
    </row>
    <row r="423" spans="1:10" ht="16.95" customHeight="1">
      <c r="A423" s="75" t="s">
        <v>87</v>
      </c>
      <c r="B423" s="80" t="s">
        <v>88</v>
      </c>
      <c r="C423" s="77" t="s">
        <v>48</v>
      </c>
      <c r="D423" s="78">
        <v>1</v>
      </c>
      <c r="E423" s="79">
        <f>1/120</f>
        <v>8.3333333333333332E-3</v>
      </c>
      <c r="F423" s="79">
        <f t="shared" si="25"/>
        <v>5.8333333333333327E-2</v>
      </c>
      <c r="G423" s="2"/>
      <c r="H423" s="37">
        <v>116952</v>
      </c>
      <c r="I423" s="4">
        <f t="shared" si="26"/>
        <v>974.6</v>
      </c>
      <c r="J423" s="25">
        <f t="shared" si="24"/>
        <v>13</v>
      </c>
    </row>
    <row r="424" spans="1:10" ht="16.95" customHeight="1">
      <c r="A424" s="95" t="s">
        <v>23</v>
      </c>
      <c r="B424" s="95"/>
      <c r="C424" s="50"/>
      <c r="D424" s="50"/>
      <c r="E424" s="50"/>
      <c r="F424" s="50"/>
      <c r="G424" s="50"/>
      <c r="H424" s="3" t="s">
        <v>24</v>
      </c>
      <c r="I424" s="5">
        <f>SUM(I389:I423)</f>
        <v>15057.404999999999</v>
      </c>
      <c r="J424" s="25">
        <f t="shared" si="24"/>
        <v>13</v>
      </c>
    </row>
    <row r="425" spans="1:10" ht="16.95" customHeight="1">
      <c r="A425" s="96" t="s">
        <v>25</v>
      </c>
      <c r="B425" s="96"/>
      <c r="C425" s="50"/>
      <c r="D425" s="50"/>
      <c r="E425" s="50"/>
      <c r="F425" s="50"/>
      <c r="G425" s="50"/>
      <c r="J425" s="25">
        <f t="shared" si="24"/>
        <v>13</v>
      </c>
    </row>
    <row r="426" spans="1:10" ht="16.95" customHeight="1">
      <c r="A426" s="96" t="s">
        <v>26</v>
      </c>
      <c r="B426" s="96"/>
      <c r="C426" s="50"/>
      <c r="D426" s="50"/>
      <c r="E426" s="50"/>
      <c r="F426" s="50"/>
      <c r="G426" s="50"/>
      <c r="J426" s="25">
        <f t="shared" si="24"/>
        <v>13</v>
      </c>
    </row>
    <row r="427" spans="1:10" ht="16.95" customHeight="1">
      <c r="A427" s="95" t="s">
        <v>27</v>
      </c>
      <c r="B427" s="95"/>
      <c r="C427" s="95"/>
      <c r="D427" s="95"/>
      <c r="E427" s="95"/>
      <c r="F427" s="95"/>
      <c r="G427" s="95"/>
      <c r="J427" s="25">
        <f t="shared" si="24"/>
        <v>13</v>
      </c>
    </row>
    <row r="428" spans="1:10" ht="16.95" customHeight="1">
      <c r="A428" s="94" t="s">
        <v>28</v>
      </c>
      <c r="B428" s="94"/>
      <c r="C428" s="51" t="s">
        <v>29</v>
      </c>
      <c r="D428" s="51" t="s">
        <v>30</v>
      </c>
      <c r="E428" s="51" t="s">
        <v>18</v>
      </c>
      <c r="F428" s="51" t="s">
        <v>31</v>
      </c>
      <c r="G428" s="51" t="s">
        <v>20</v>
      </c>
      <c r="J428" s="25">
        <f t="shared" si="24"/>
        <v>13</v>
      </c>
    </row>
    <row r="429" spans="1:10" ht="16.95" customHeight="1">
      <c r="A429" s="96"/>
      <c r="B429" s="96"/>
      <c r="C429" s="50"/>
      <c r="D429" s="50"/>
      <c r="E429" s="50"/>
      <c r="F429" s="50"/>
      <c r="G429" s="51"/>
      <c r="J429" s="25">
        <f t="shared" si="24"/>
        <v>13</v>
      </c>
    </row>
    <row r="430" spans="1:10" ht="16.95" customHeight="1">
      <c r="A430" s="97"/>
      <c r="B430" s="97"/>
      <c r="C430" s="50"/>
      <c r="D430" s="50"/>
      <c r="E430" s="50"/>
      <c r="F430" s="51"/>
      <c r="G430" s="51"/>
      <c r="J430" s="25">
        <f t="shared" si="24"/>
        <v>13</v>
      </c>
    </row>
    <row r="431" spans="1:10" ht="16.95" customHeight="1">
      <c r="A431" s="95" t="s">
        <v>32</v>
      </c>
      <c r="B431" s="95"/>
      <c r="C431" s="95"/>
      <c r="D431" s="95"/>
      <c r="E431" s="95"/>
      <c r="F431" s="95"/>
      <c r="G431" s="95"/>
      <c r="J431" s="25">
        <f t="shared" si="24"/>
        <v>14</v>
      </c>
    </row>
    <row r="432" spans="1:10" ht="16.95" customHeight="1">
      <c r="A432" s="51" t="s">
        <v>33</v>
      </c>
      <c r="B432" s="51" t="s">
        <v>34</v>
      </c>
      <c r="C432" s="94" t="s">
        <v>35</v>
      </c>
      <c r="D432" s="94"/>
      <c r="E432" s="51" t="s">
        <v>36</v>
      </c>
      <c r="F432" s="51" t="s">
        <v>37</v>
      </c>
      <c r="G432" s="51" t="s">
        <v>38</v>
      </c>
      <c r="J432" s="25">
        <f t="shared" si="24"/>
        <v>14</v>
      </c>
    </row>
    <row r="433" spans="1:10" ht="16.95" customHeight="1">
      <c r="A433" s="51" t="s">
        <v>39</v>
      </c>
      <c r="B433" s="6">
        <v>1</v>
      </c>
      <c r="C433" s="94">
        <f>B433+C370</f>
        <v>5</v>
      </c>
      <c r="D433" s="94"/>
      <c r="E433" s="51"/>
      <c r="F433" s="24"/>
      <c r="G433" s="24"/>
      <c r="J433" s="25">
        <f t="shared" si="24"/>
        <v>14</v>
      </c>
    </row>
    <row r="434" spans="1:10" ht="16.95" customHeight="1">
      <c r="A434" s="51" t="s">
        <v>40</v>
      </c>
      <c r="B434" s="6">
        <v>1</v>
      </c>
      <c r="C434" s="94">
        <f>B434+C371</f>
        <v>6</v>
      </c>
      <c r="D434" s="94"/>
      <c r="E434" s="51"/>
      <c r="F434" s="24"/>
      <c r="G434" s="24"/>
      <c r="J434" s="25">
        <f t="shared" si="24"/>
        <v>14</v>
      </c>
    </row>
    <row r="435" spans="1:10" ht="36.6" customHeight="1">
      <c r="A435" s="95" t="s">
        <v>41</v>
      </c>
      <c r="B435" s="95"/>
      <c r="C435" s="95"/>
      <c r="D435" s="95"/>
      <c r="E435" s="95"/>
      <c r="F435" s="95"/>
      <c r="G435" s="95"/>
      <c r="J435" s="25">
        <f t="shared" si="24"/>
        <v>14</v>
      </c>
    </row>
    <row r="436" spans="1:10" ht="90" customHeight="1">
      <c r="A436" s="92" t="s">
        <v>42</v>
      </c>
      <c r="B436" s="92"/>
      <c r="C436" s="92"/>
      <c r="D436" s="92"/>
      <c r="E436" s="92"/>
      <c r="F436" s="92"/>
      <c r="G436" s="92"/>
      <c r="J436" s="25">
        <f t="shared" si="24"/>
        <v>14</v>
      </c>
    </row>
    <row r="437" spans="1:10" ht="16.95" customHeight="1">
      <c r="A437" s="95" t="s">
        <v>43</v>
      </c>
      <c r="B437" s="95"/>
      <c r="C437" s="95"/>
      <c r="D437" s="95"/>
      <c r="E437" s="95"/>
      <c r="F437" s="95"/>
      <c r="G437" s="95"/>
      <c r="J437" s="25">
        <f t="shared" si="24"/>
        <v>14</v>
      </c>
    </row>
    <row r="438" spans="1:10" ht="16.95" customHeight="1">
      <c r="A438" s="95" t="s">
        <v>44</v>
      </c>
      <c r="B438" s="95"/>
      <c r="C438" s="95"/>
      <c r="D438" s="95"/>
      <c r="E438" s="95"/>
      <c r="F438" s="95"/>
      <c r="G438" s="95"/>
      <c r="J438" s="25">
        <f t="shared" si="24"/>
        <v>14</v>
      </c>
    </row>
    <row r="439" spans="1:10" ht="16.95" customHeight="1">
      <c r="A439" s="91" t="s">
        <v>125</v>
      </c>
      <c r="B439" s="91"/>
      <c r="C439" s="91"/>
      <c r="D439" s="91"/>
      <c r="E439" s="91"/>
      <c r="F439" s="91"/>
      <c r="G439" s="91"/>
      <c r="J439" s="25">
        <f t="shared" si="24"/>
        <v>14</v>
      </c>
    </row>
    <row r="440" spans="1:10" ht="120.6" customHeight="1">
      <c r="A440" s="92" t="s">
        <v>45</v>
      </c>
      <c r="B440" s="92"/>
      <c r="C440" s="92"/>
      <c r="D440" s="92"/>
      <c r="E440" s="92"/>
      <c r="F440" s="92"/>
      <c r="G440" s="92"/>
      <c r="J440" s="25">
        <f t="shared" si="24"/>
        <v>14</v>
      </c>
    </row>
    <row r="441" spans="1:10" ht="140.4" customHeight="1">
      <c r="A441" s="93" t="s">
        <v>46</v>
      </c>
      <c r="B441" s="93"/>
      <c r="C441" s="93"/>
      <c r="D441" s="93"/>
      <c r="E441" s="93"/>
      <c r="F441" s="93"/>
      <c r="G441" s="93"/>
      <c r="J441" s="25">
        <f t="shared" si="24"/>
        <v>14</v>
      </c>
    </row>
    <row r="442" spans="1:10" ht="37.200000000000003" customHeight="1">
      <c r="A442" s="103" t="s">
        <v>0</v>
      </c>
      <c r="B442" s="103"/>
      <c r="C442" s="103"/>
      <c r="D442" s="103"/>
      <c r="E442" s="103"/>
      <c r="F442" s="103"/>
      <c r="G442" s="103"/>
      <c r="J442" s="25">
        <f t="shared" si="24"/>
        <v>15</v>
      </c>
    </row>
    <row r="443" spans="1:10" ht="16.95" customHeight="1">
      <c r="A443" s="1" t="s">
        <v>1</v>
      </c>
      <c r="B443" s="104">
        <f>B380+1</f>
        <v>8</v>
      </c>
      <c r="C443" s="104"/>
      <c r="D443" s="104"/>
      <c r="E443" s="104"/>
      <c r="F443" s="104"/>
      <c r="G443" s="104"/>
      <c r="J443" s="25">
        <f t="shared" ref="J443:J506" si="28">J380+2</f>
        <v>15</v>
      </c>
    </row>
    <row r="444" spans="1:10" ht="16.95" customHeight="1">
      <c r="A444" s="1" t="s">
        <v>2</v>
      </c>
      <c r="B444" s="105" t="s">
        <v>63</v>
      </c>
      <c r="C444" s="105"/>
      <c r="D444" s="105"/>
      <c r="E444" s="106">
        <f>E381+1</f>
        <v>46211</v>
      </c>
      <c r="F444" s="106"/>
      <c r="G444" s="106"/>
      <c r="J444" s="25">
        <f t="shared" si="28"/>
        <v>15</v>
      </c>
    </row>
    <row r="445" spans="1:10" ht="16.95" customHeight="1">
      <c r="A445" s="53" t="s">
        <v>3</v>
      </c>
      <c r="B445" s="2" t="s">
        <v>67</v>
      </c>
      <c r="C445" s="98" t="s">
        <v>4</v>
      </c>
      <c r="D445" s="98"/>
      <c r="E445" s="98" t="s">
        <v>47</v>
      </c>
      <c r="F445" s="98"/>
      <c r="G445" s="98"/>
      <c r="J445" s="25">
        <f t="shared" si="28"/>
        <v>15</v>
      </c>
    </row>
    <row r="446" spans="1:10" ht="16.95" customHeight="1">
      <c r="A446" s="53" t="s">
        <v>5</v>
      </c>
      <c r="B446" s="54">
        <v>120</v>
      </c>
      <c r="C446" s="98" t="s">
        <v>6</v>
      </c>
      <c r="D446" s="98"/>
      <c r="E446" s="98" t="s">
        <v>123</v>
      </c>
      <c r="F446" s="98"/>
      <c r="G446" s="98"/>
      <c r="J446" s="25">
        <f t="shared" si="28"/>
        <v>15</v>
      </c>
    </row>
    <row r="447" spans="1:10" ht="16.95" customHeight="1">
      <c r="A447" s="53" t="s">
        <v>7</v>
      </c>
      <c r="B447" s="54">
        <f>B443</f>
        <v>8</v>
      </c>
      <c r="C447" s="100" t="s">
        <v>8</v>
      </c>
      <c r="D447" s="100"/>
      <c r="E447" s="101">
        <f>B446-B447</f>
        <v>112</v>
      </c>
      <c r="F447" s="101"/>
      <c r="G447" s="101"/>
      <c r="J447" s="25">
        <f t="shared" si="28"/>
        <v>15</v>
      </c>
    </row>
    <row r="448" spans="1:10" ht="16.95" customHeight="1">
      <c r="A448" s="53" t="s">
        <v>9</v>
      </c>
      <c r="B448" s="55">
        <v>46204</v>
      </c>
      <c r="C448" s="98" t="s">
        <v>10</v>
      </c>
      <c r="D448" s="98"/>
      <c r="E448" s="102">
        <f>B448+B446-1</f>
        <v>46323</v>
      </c>
      <c r="F448" s="102"/>
      <c r="G448" s="102"/>
      <c r="J448" s="25">
        <f t="shared" si="28"/>
        <v>15</v>
      </c>
    </row>
    <row r="449" spans="1:10" ht="16.95" customHeight="1">
      <c r="A449" s="53" t="s">
        <v>11</v>
      </c>
      <c r="B449" s="56">
        <f>HLOOKUP(B443,進度表!$Q$2:$Z$3,2,1)+B386</f>
        <v>3.1840675895765481E-2</v>
      </c>
      <c r="C449" s="98" t="s">
        <v>12</v>
      </c>
      <c r="D449" s="98"/>
      <c r="E449" s="99">
        <f>I487/I449+E386</f>
        <v>4.3211514657980454E-2</v>
      </c>
      <c r="F449" s="99"/>
      <c r="G449" s="99"/>
      <c r="H449" s="3" t="s">
        <v>62</v>
      </c>
      <c r="I449" s="1">
        <v>2456000</v>
      </c>
      <c r="J449" s="25">
        <f t="shared" si="28"/>
        <v>15</v>
      </c>
    </row>
    <row r="450" spans="1:10" ht="16.95" customHeight="1">
      <c r="A450" s="98" t="s">
        <v>13</v>
      </c>
      <c r="B450" s="98"/>
      <c r="C450" s="98"/>
      <c r="D450" s="98"/>
      <c r="E450" s="98"/>
      <c r="F450" s="98"/>
      <c r="G450" s="98"/>
      <c r="J450" s="25">
        <f t="shared" si="28"/>
        <v>15</v>
      </c>
    </row>
    <row r="451" spans="1:10" ht="16.95" customHeight="1">
      <c r="A451" s="52" t="s">
        <v>14</v>
      </c>
      <c r="B451" s="52" t="s">
        <v>15</v>
      </c>
      <c r="C451" s="52" t="s">
        <v>16</v>
      </c>
      <c r="D451" s="52" t="s">
        <v>17</v>
      </c>
      <c r="E451" s="52" t="s">
        <v>18</v>
      </c>
      <c r="F451" s="52" t="s">
        <v>19</v>
      </c>
      <c r="G451" s="52" t="s">
        <v>20</v>
      </c>
      <c r="H451" s="3" t="s">
        <v>21</v>
      </c>
      <c r="I451" s="3" t="s">
        <v>22</v>
      </c>
      <c r="J451" s="25">
        <f t="shared" si="28"/>
        <v>15</v>
      </c>
    </row>
    <row r="452" spans="1:10" ht="16.95" customHeight="1">
      <c r="A452" s="75" t="s">
        <v>65</v>
      </c>
      <c r="B452" s="76" t="s">
        <v>69</v>
      </c>
      <c r="C452" s="77"/>
      <c r="D452" s="78"/>
      <c r="E452" s="79"/>
      <c r="F452" s="79"/>
      <c r="G452" s="2"/>
      <c r="H452" s="37"/>
      <c r="I452" s="4"/>
      <c r="J452" s="25">
        <f t="shared" si="28"/>
        <v>15</v>
      </c>
    </row>
    <row r="453" spans="1:10" ht="34.950000000000003" customHeight="1">
      <c r="A453" s="75">
        <v>1</v>
      </c>
      <c r="B453" s="80" t="s">
        <v>91</v>
      </c>
      <c r="C453" s="77" t="s">
        <v>48</v>
      </c>
      <c r="D453" s="78">
        <v>1</v>
      </c>
      <c r="E453" s="79"/>
      <c r="F453" s="79">
        <f t="shared" ref="F453:F486" si="29">E453+F390</f>
        <v>1</v>
      </c>
      <c r="G453" s="2"/>
      <c r="H453" s="37">
        <v>10508</v>
      </c>
      <c r="I453" s="4">
        <f>H453*E453</f>
        <v>0</v>
      </c>
      <c r="J453" s="25">
        <f t="shared" si="28"/>
        <v>15</v>
      </c>
    </row>
    <row r="454" spans="1:10" ht="34.799999999999997" customHeight="1">
      <c r="A454" s="75">
        <v>2</v>
      </c>
      <c r="B454" s="80" t="s">
        <v>92</v>
      </c>
      <c r="C454" s="77" t="s">
        <v>48</v>
      </c>
      <c r="D454" s="78">
        <v>1</v>
      </c>
      <c r="E454" s="79"/>
      <c r="F454" s="79">
        <f t="shared" si="29"/>
        <v>0</v>
      </c>
      <c r="G454" s="2"/>
      <c r="H454" s="37">
        <v>13223</v>
      </c>
      <c r="I454" s="4">
        <f>H454*E454</f>
        <v>0</v>
      </c>
      <c r="J454" s="25">
        <f t="shared" si="28"/>
        <v>15</v>
      </c>
    </row>
    <row r="455" spans="1:10" ht="53.4" customHeight="1">
      <c r="A455" s="75">
        <v>3</v>
      </c>
      <c r="B455" s="80" t="s">
        <v>93</v>
      </c>
      <c r="C455" s="77" t="s">
        <v>48</v>
      </c>
      <c r="D455" s="78">
        <v>1</v>
      </c>
      <c r="E455" s="79">
        <v>0.04</v>
      </c>
      <c r="F455" s="79">
        <f t="shared" si="29"/>
        <v>0.24000000000000002</v>
      </c>
      <c r="G455" s="2"/>
      <c r="H455" s="37">
        <v>310497</v>
      </c>
      <c r="I455" s="4">
        <f t="shared" ref="I455:I486" si="30">H455*E455</f>
        <v>12419.880000000001</v>
      </c>
      <c r="J455" s="25">
        <f t="shared" si="28"/>
        <v>15</v>
      </c>
    </row>
    <row r="456" spans="1:10" ht="16.95" customHeight="1">
      <c r="A456" s="75">
        <v>4</v>
      </c>
      <c r="B456" s="80" t="s">
        <v>94</v>
      </c>
      <c r="C456" s="77" t="s">
        <v>48</v>
      </c>
      <c r="D456" s="78">
        <v>1</v>
      </c>
      <c r="E456" s="79"/>
      <c r="F456" s="79">
        <f t="shared" si="29"/>
        <v>0</v>
      </c>
      <c r="G456" s="2"/>
      <c r="H456" s="37">
        <v>8375</v>
      </c>
      <c r="I456" s="4">
        <f t="shared" si="30"/>
        <v>0</v>
      </c>
      <c r="J456" s="25">
        <f t="shared" si="28"/>
        <v>15</v>
      </c>
    </row>
    <row r="457" spans="1:10" ht="16.95" customHeight="1">
      <c r="A457" s="75">
        <v>5</v>
      </c>
      <c r="B457" s="80" t="s">
        <v>95</v>
      </c>
      <c r="C457" s="77" t="s">
        <v>48</v>
      </c>
      <c r="D457" s="78">
        <v>1</v>
      </c>
      <c r="E457" s="79"/>
      <c r="F457" s="79">
        <f t="shared" si="29"/>
        <v>0</v>
      </c>
      <c r="G457" s="2"/>
      <c r="H457" s="37">
        <v>51618</v>
      </c>
      <c r="I457" s="4">
        <f t="shared" si="30"/>
        <v>0</v>
      </c>
      <c r="J457" s="25">
        <f t="shared" si="28"/>
        <v>15</v>
      </c>
    </row>
    <row r="458" spans="1:10" ht="16.95" customHeight="1">
      <c r="A458" s="75">
        <v>6</v>
      </c>
      <c r="B458" s="80" t="s">
        <v>96</v>
      </c>
      <c r="C458" s="77" t="s">
        <v>50</v>
      </c>
      <c r="D458" s="78">
        <v>11.55</v>
      </c>
      <c r="E458" s="79"/>
      <c r="F458" s="79">
        <f t="shared" si="29"/>
        <v>0</v>
      </c>
      <c r="G458" s="2"/>
      <c r="H458" s="37">
        <v>1188</v>
      </c>
      <c r="I458" s="4">
        <f t="shared" si="30"/>
        <v>0</v>
      </c>
      <c r="J458" s="25">
        <f t="shared" si="28"/>
        <v>15</v>
      </c>
    </row>
    <row r="459" spans="1:10" ht="34.950000000000003" customHeight="1">
      <c r="A459" s="75">
        <v>7</v>
      </c>
      <c r="B459" s="80" t="s">
        <v>97</v>
      </c>
      <c r="C459" s="77" t="s">
        <v>48</v>
      </c>
      <c r="D459" s="78">
        <v>1</v>
      </c>
      <c r="E459" s="79"/>
      <c r="F459" s="79">
        <f t="shared" si="29"/>
        <v>0</v>
      </c>
      <c r="G459" s="2"/>
      <c r="H459" s="37">
        <v>21157</v>
      </c>
      <c r="I459" s="4">
        <f t="shared" si="30"/>
        <v>0</v>
      </c>
      <c r="J459" s="25">
        <f t="shared" si="28"/>
        <v>15</v>
      </c>
    </row>
    <row r="460" spans="1:10" ht="16.95" customHeight="1">
      <c r="A460" s="75">
        <v>8</v>
      </c>
      <c r="B460" s="80" t="s">
        <v>98</v>
      </c>
      <c r="C460" s="77" t="s">
        <v>50</v>
      </c>
      <c r="D460" s="78">
        <v>387</v>
      </c>
      <c r="E460" s="79"/>
      <c r="F460" s="79">
        <f t="shared" si="29"/>
        <v>0</v>
      </c>
      <c r="G460" s="2"/>
      <c r="H460" s="37">
        <v>705</v>
      </c>
      <c r="I460" s="4">
        <f t="shared" si="30"/>
        <v>0</v>
      </c>
      <c r="J460" s="25">
        <f t="shared" si="28"/>
        <v>15</v>
      </c>
    </row>
    <row r="461" spans="1:10" ht="16.95" customHeight="1">
      <c r="A461" s="75">
        <v>9</v>
      </c>
      <c r="B461" s="80" t="s">
        <v>99</v>
      </c>
      <c r="C461" s="77" t="s">
        <v>50</v>
      </c>
      <c r="D461" s="78">
        <v>170</v>
      </c>
      <c r="E461" s="79"/>
      <c r="F461" s="79">
        <f t="shared" si="29"/>
        <v>0</v>
      </c>
      <c r="G461" s="2"/>
      <c r="H461" s="37">
        <v>617</v>
      </c>
      <c r="I461" s="4">
        <f t="shared" si="30"/>
        <v>0</v>
      </c>
      <c r="J461" s="25">
        <f t="shared" si="28"/>
        <v>15</v>
      </c>
    </row>
    <row r="462" spans="1:10" ht="16.95" customHeight="1">
      <c r="A462" s="75">
        <v>10</v>
      </c>
      <c r="B462" s="80" t="s">
        <v>100</v>
      </c>
      <c r="C462" s="77" t="s">
        <v>66</v>
      </c>
      <c r="D462" s="78">
        <v>15</v>
      </c>
      <c r="E462" s="79"/>
      <c r="F462" s="79">
        <f t="shared" si="29"/>
        <v>0</v>
      </c>
      <c r="G462" s="2"/>
      <c r="H462" s="37">
        <v>617</v>
      </c>
      <c r="I462" s="4">
        <f t="shared" si="30"/>
        <v>0</v>
      </c>
      <c r="J462" s="25">
        <f t="shared" si="28"/>
        <v>15</v>
      </c>
    </row>
    <row r="463" spans="1:10" ht="16.95" customHeight="1">
      <c r="A463" s="75">
        <v>11</v>
      </c>
      <c r="B463" s="80" t="s">
        <v>101</v>
      </c>
      <c r="C463" s="77" t="s">
        <v>50</v>
      </c>
      <c r="D463" s="78">
        <v>75</v>
      </c>
      <c r="E463" s="79"/>
      <c r="F463" s="79">
        <f t="shared" si="29"/>
        <v>0</v>
      </c>
      <c r="G463" s="2"/>
      <c r="H463" s="37">
        <v>1146</v>
      </c>
      <c r="I463" s="4">
        <f t="shared" si="30"/>
        <v>0</v>
      </c>
      <c r="J463" s="25">
        <f t="shared" si="28"/>
        <v>15</v>
      </c>
    </row>
    <row r="464" spans="1:10" ht="16.95" customHeight="1">
      <c r="A464" s="75">
        <v>12</v>
      </c>
      <c r="B464" s="80" t="s">
        <v>102</v>
      </c>
      <c r="C464" s="77" t="s">
        <v>50</v>
      </c>
      <c r="D464" s="78">
        <v>5</v>
      </c>
      <c r="E464" s="79"/>
      <c r="F464" s="79">
        <f t="shared" si="29"/>
        <v>0</v>
      </c>
      <c r="G464" s="2"/>
      <c r="H464" s="37">
        <v>1455</v>
      </c>
      <c r="I464" s="4">
        <f t="shared" si="30"/>
        <v>0</v>
      </c>
      <c r="J464" s="25">
        <f t="shared" si="28"/>
        <v>15</v>
      </c>
    </row>
    <row r="465" spans="1:10" ht="16.95" customHeight="1">
      <c r="A465" s="75">
        <v>13</v>
      </c>
      <c r="B465" s="80" t="s">
        <v>103</v>
      </c>
      <c r="C465" s="77" t="s">
        <v>50</v>
      </c>
      <c r="D465" s="78">
        <v>217</v>
      </c>
      <c r="E465" s="79"/>
      <c r="F465" s="79">
        <f t="shared" si="29"/>
        <v>0</v>
      </c>
      <c r="G465" s="2"/>
      <c r="H465" s="37">
        <v>1410</v>
      </c>
      <c r="I465" s="4">
        <f t="shared" si="30"/>
        <v>0</v>
      </c>
      <c r="J465" s="25">
        <f t="shared" si="28"/>
        <v>15</v>
      </c>
    </row>
    <row r="466" spans="1:10" ht="16.95" customHeight="1">
      <c r="A466" s="75">
        <v>14</v>
      </c>
      <c r="B466" s="80" t="s">
        <v>104</v>
      </c>
      <c r="C466" s="77" t="s">
        <v>49</v>
      </c>
      <c r="D466" s="78">
        <v>84</v>
      </c>
      <c r="E466" s="79"/>
      <c r="F466" s="79">
        <f t="shared" si="29"/>
        <v>0</v>
      </c>
      <c r="G466" s="2"/>
      <c r="H466" s="37">
        <v>529</v>
      </c>
      <c r="I466" s="4">
        <f t="shared" si="30"/>
        <v>0</v>
      </c>
      <c r="J466" s="25">
        <f t="shared" si="28"/>
        <v>15</v>
      </c>
    </row>
    <row r="467" spans="1:10" ht="16.95" customHeight="1">
      <c r="A467" s="75">
        <v>15</v>
      </c>
      <c r="B467" s="80" t="s">
        <v>105</v>
      </c>
      <c r="C467" s="77" t="s">
        <v>50</v>
      </c>
      <c r="D467" s="78">
        <v>1</v>
      </c>
      <c r="E467" s="79"/>
      <c r="F467" s="79">
        <f t="shared" si="29"/>
        <v>0</v>
      </c>
      <c r="G467" s="2"/>
      <c r="H467" s="37">
        <v>1146</v>
      </c>
      <c r="I467" s="4">
        <f t="shared" si="30"/>
        <v>0</v>
      </c>
      <c r="J467" s="25">
        <f t="shared" si="28"/>
        <v>15</v>
      </c>
    </row>
    <row r="468" spans="1:10" ht="34.799999999999997" customHeight="1">
      <c r="A468" s="75">
        <v>16</v>
      </c>
      <c r="B468" s="80" t="s">
        <v>106</v>
      </c>
      <c r="C468" s="77" t="s">
        <v>50</v>
      </c>
      <c r="D468" s="78">
        <v>314</v>
      </c>
      <c r="E468" s="79"/>
      <c r="F468" s="79">
        <f t="shared" si="29"/>
        <v>0</v>
      </c>
      <c r="G468" s="2"/>
      <c r="H468" s="37">
        <v>185</v>
      </c>
      <c r="I468" s="4">
        <f t="shared" si="30"/>
        <v>0</v>
      </c>
      <c r="J468" s="25">
        <f t="shared" si="28"/>
        <v>15</v>
      </c>
    </row>
    <row r="469" spans="1:10" ht="16.95" customHeight="1">
      <c r="A469" s="75">
        <v>17</v>
      </c>
      <c r="B469" s="80" t="s">
        <v>107</v>
      </c>
      <c r="C469" s="77" t="s">
        <v>48</v>
      </c>
      <c r="D469" s="78">
        <v>1</v>
      </c>
      <c r="E469" s="79"/>
      <c r="F469" s="79">
        <f t="shared" si="29"/>
        <v>0</v>
      </c>
      <c r="G469" s="2"/>
      <c r="H469" s="37">
        <v>89918</v>
      </c>
      <c r="I469" s="4">
        <f t="shared" si="30"/>
        <v>0</v>
      </c>
      <c r="J469" s="25">
        <f t="shared" si="28"/>
        <v>15</v>
      </c>
    </row>
    <row r="470" spans="1:10" ht="16.95" customHeight="1">
      <c r="A470" s="75">
        <v>18</v>
      </c>
      <c r="B470" s="80" t="s">
        <v>108</v>
      </c>
      <c r="C470" s="77" t="s">
        <v>120</v>
      </c>
      <c r="D470" s="78">
        <v>15</v>
      </c>
      <c r="E470" s="79"/>
      <c r="F470" s="79">
        <f t="shared" si="29"/>
        <v>0</v>
      </c>
      <c r="G470" s="2"/>
      <c r="H470" s="37">
        <v>661</v>
      </c>
      <c r="I470" s="4">
        <f t="shared" si="30"/>
        <v>0</v>
      </c>
      <c r="J470" s="25">
        <f t="shared" si="28"/>
        <v>15</v>
      </c>
    </row>
    <row r="471" spans="1:10" ht="16.95" customHeight="1">
      <c r="A471" s="75">
        <v>19</v>
      </c>
      <c r="B471" s="80" t="s">
        <v>109</v>
      </c>
      <c r="C471" s="77" t="s">
        <v>50</v>
      </c>
      <c r="D471" s="78">
        <v>82</v>
      </c>
      <c r="E471" s="79"/>
      <c r="F471" s="79">
        <f t="shared" si="29"/>
        <v>0</v>
      </c>
      <c r="G471" s="2"/>
      <c r="H471" s="37">
        <v>2909</v>
      </c>
      <c r="I471" s="4">
        <f t="shared" si="30"/>
        <v>0</v>
      </c>
      <c r="J471" s="25">
        <f t="shared" si="28"/>
        <v>15</v>
      </c>
    </row>
    <row r="472" spans="1:10" ht="16.95" customHeight="1">
      <c r="A472" s="75">
        <v>20</v>
      </c>
      <c r="B472" s="80" t="s">
        <v>110</v>
      </c>
      <c r="C472" s="77" t="s">
        <v>121</v>
      </c>
      <c r="D472" s="78">
        <v>12</v>
      </c>
      <c r="E472" s="79"/>
      <c r="F472" s="79">
        <f t="shared" si="29"/>
        <v>0</v>
      </c>
      <c r="G472" s="2"/>
      <c r="H472" s="37">
        <v>882</v>
      </c>
      <c r="I472" s="4">
        <f t="shared" si="30"/>
        <v>0</v>
      </c>
      <c r="J472" s="25">
        <f t="shared" si="28"/>
        <v>15</v>
      </c>
    </row>
    <row r="473" spans="1:10" ht="16.95" customHeight="1">
      <c r="A473" s="77">
        <v>21</v>
      </c>
      <c r="B473" s="80" t="s">
        <v>111</v>
      </c>
      <c r="C473" s="77" t="s">
        <v>122</v>
      </c>
      <c r="D473" s="78">
        <v>3</v>
      </c>
      <c r="E473" s="79"/>
      <c r="F473" s="79">
        <f t="shared" si="29"/>
        <v>0</v>
      </c>
      <c r="G473" s="2"/>
      <c r="H473" s="38">
        <v>1869</v>
      </c>
      <c r="I473" s="4">
        <f t="shared" si="30"/>
        <v>0</v>
      </c>
      <c r="J473" s="25">
        <f t="shared" si="28"/>
        <v>15</v>
      </c>
    </row>
    <row r="474" spans="1:10" ht="34.950000000000003" customHeight="1">
      <c r="A474" s="75">
        <v>22</v>
      </c>
      <c r="B474" s="80" t="s">
        <v>112</v>
      </c>
      <c r="C474" s="77" t="s">
        <v>48</v>
      </c>
      <c r="D474" s="78">
        <v>1</v>
      </c>
      <c r="E474" s="79"/>
      <c r="F474" s="79">
        <f t="shared" si="29"/>
        <v>0</v>
      </c>
      <c r="G474" s="2"/>
      <c r="H474" s="37">
        <v>82206</v>
      </c>
      <c r="I474" s="4">
        <f t="shared" si="30"/>
        <v>0</v>
      </c>
      <c r="J474" s="25">
        <f t="shared" si="28"/>
        <v>15</v>
      </c>
    </row>
    <row r="475" spans="1:10" ht="16.95" customHeight="1">
      <c r="A475" s="75">
        <v>23</v>
      </c>
      <c r="B475" s="80" t="s">
        <v>113</v>
      </c>
      <c r="C475" s="77" t="s">
        <v>48</v>
      </c>
      <c r="D475" s="78">
        <v>1</v>
      </c>
      <c r="E475" s="79"/>
      <c r="F475" s="79">
        <f t="shared" si="29"/>
        <v>0</v>
      </c>
      <c r="G475" s="2"/>
      <c r="H475" s="37">
        <v>142723</v>
      </c>
      <c r="I475" s="4">
        <f t="shared" si="30"/>
        <v>0</v>
      </c>
      <c r="J475" s="25">
        <f t="shared" si="28"/>
        <v>15</v>
      </c>
    </row>
    <row r="476" spans="1:10" ht="16.95" customHeight="1">
      <c r="A476" s="75">
        <v>24</v>
      </c>
      <c r="B476" s="80" t="s">
        <v>114</v>
      </c>
      <c r="C476" s="77" t="s">
        <v>48</v>
      </c>
      <c r="D476" s="78">
        <v>1</v>
      </c>
      <c r="E476" s="79"/>
      <c r="F476" s="79">
        <f t="shared" si="29"/>
        <v>0</v>
      </c>
      <c r="G476" s="2"/>
      <c r="H476" s="37">
        <v>37290</v>
      </c>
      <c r="I476" s="4">
        <f t="shared" si="30"/>
        <v>0</v>
      </c>
      <c r="J476" s="25">
        <f t="shared" si="28"/>
        <v>15</v>
      </c>
    </row>
    <row r="477" spans="1:10" ht="16.95" customHeight="1">
      <c r="A477" s="75">
        <v>25</v>
      </c>
      <c r="B477" s="80" t="s">
        <v>115</v>
      </c>
      <c r="C477" s="77" t="s">
        <v>48</v>
      </c>
      <c r="D477" s="78">
        <v>1</v>
      </c>
      <c r="E477" s="79"/>
      <c r="F477" s="79">
        <f t="shared" si="29"/>
        <v>0</v>
      </c>
      <c r="G477" s="2"/>
      <c r="H477" s="37">
        <v>99394</v>
      </c>
      <c r="I477" s="4">
        <f t="shared" si="30"/>
        <v>0</v>
      </c>
      <c r="J477" s="25">
        <f t="shared" si="28"/>
        <v>15</v>
      </c>
    </row>
    <row r="478" spans="1:10" ht="34.950000000000003" customHeight="1">
      <c r="A478" s="75">
        <v>26</v>
      </c>
      <c r="B478" s="80" t="s">
        <v>116</v>
      </c>
      <c r="C478" s="77" t="s">
        <v>48</v>
      </c>
      <c r="D478" s="78">
        <v>1</v>
      </c>
      <c r="E478" s="79"/>
      <c r="F478" s="79">
        <f t="shared" si="29"/>
        <v>0</v>
      </c>
      <c r="G478" s="2"/>
      <c r="H478" s="37">
        <v>21334</v>
      </c>
      <c r="I478" s="4">
        <f t="shared" si="30"/>
        <v>0</v>
      </c>
      <c r="J478" s="25">
        <f t="shared" si="28"/>
        <v>15</v>
      </c>
    </row>
    <row r="479" spans="1:10" ht="16.95" customHeight="1">
      <c r="A479" s="75">
        <v>27</v>
      </c>
      <c r="B479" s="80" t="s">
        <v>117</v>
      </c>
      <c r="C479" s="77" t="s">
        <v>48</v>
      </c>
      <c r="D479" s="78">
        <v>1</v>
      </c>
      <c r="E479" s="79"/>
      <c r="F479" s="79">
        <f t="shared" si="29"/>
        <v>0</v>
      </c>
      <c r="G479" s="2"/>
      <c r="H479" s="37">
        <v>29620</v>
      </c>
      <c r="I479" s="4">
        <f t="shared" si="30"/>
        <v>0</v>
      </c>
      <c r="J479" s="25">
        <f t="shared" si="28"/>
        <v>15</v>
      </c>
    </row>
    <row r="480" spans="1:10" ht="16.95" customHeight="1">
      <c r="A480" s="75">
        <v>28</v>
      </c>
      <c r="B480" s="80" t="s">
        <v>118</v>
      </c>
      <c r="C480" s="77" t="s">
        <v>48</v>
      </c>
      <c r="D480" s="78">
        <v>1</v>
      </c>
      <c r="E480" s="79"/>
      <c r="F480" s="79">
        <f t="shared" si="29"/>
        <v>0</v>
      </c>
      <c r="G480" s="2"/>
      <c r="H480" s="37">
        <v>18506</v>
      </c>
      <c r="I480" s="4">
        <f t="shared" si="30"/>
        <v>0</v>
      </c>
      <c r="J480" s="25">
        <f t="shared" si="28"/>
        <v>15</v>
      </c>
    </row>
    <row r="481" spans="1:10" ht="16.95" customHeight="1">
      <c r="A481" s="75">
        <v>29</v>
      </c>
      <c r="B481" s="80" t="s">
        <v>119</v>
      </c>
      <c r="C481" s="77" t="s">
        <v>48</v>
      </c>
      <c r="D481" s="78">
        <v>1</v>
      </c>
      <c r="E481" s="79"/>
      <c r="F481" s="79">
        <f t="shared" si="29"/>
        <v>0</v>
      </c>
      <c r="G481" s="2"/>
      <c r="H481" s="37">
        <v>34381</v>
      </c>
      <c r="I481" s="4">
        <f t="shared" si="30"/>
        <v>0</v>
      </c>
      <c r="J481" s="25">
        <f t="shared" si="28"/>
        <v>15</v>
      </c>
    </row>
    <row r="482" spans="1:10" ht="16.95" customHeight="1">
      <c r="A482" s="75" t="s">
        <v>79</v>
      </c>
      <c r="B482" s="80" t="s">
        <v>80</v>
      </c>
      <c r="C482" s="77" t="s">
        <v>48</v>
      </c>
      <c r="D482" s="78">
        <v>1</v>
      </c>
      <c r="E482" s="79">
        <f t="shared" ref="E482:E485" si="31">1/120</f>
        <v>8.3333333333333332E-3</v>
      </c>
      <c r="F482" s="79">
        <f t="shared" si="29"/>
        <v>6.6666666666666666E-2</v>
      </c>
      <c r="G482" s="2"/>
      <c r="H482" s="37">
        <v>21395</v>
      </c>
      <c r="I482" s="4">
        <f t="shared" si="30"/>
        <v>178.29166666666666</v>
      </c>
      <c r="J482" s="25">
        <f t="shared" si="28"/>
        <v>15</v>
      </c>
    </row>
    <row r="483" spans="1:10" ht="16.95" customHeight="1">
      <c r="A483" s="75" t="s">
        <v>81</v>
      </c>
      <c r="B483" s="80" t="s">
        <v>82</v>
      </c>
      <c r="C483" s="77" t="s">
        <v>48</v>
      </c>
      <c r="D483" s="78">
        <v>1</v>
      </c>
      <c r="E483" s="79">
        <f t="shared" si="31"/>
        <v>8.3333333333333332E-3</v>
      </c>
      <c r="F483" s="79">
        <f t="shared" si="29"/>
        <v>6.6666666666666666E-2</v>
      </c>
      <c r="G483" s="2"/>
      <c r="H483" s="37">
        <v>21395</v>
      </c>
      <c r="I483" s="4">
        <f t="shared" si="30"/>
        <v>178.29166666666666</v>
      </c>
      <c r="J483" s="25">
        <f t="shared" si="28"/>
        <v>15</v>
      </c>
    </row>
    <row r="484" spans="1:10" ht="16.95" customHeight="1">
      <c r="A484" s="75" t="s">
        <v>83</v>
      </c>
      <c r="B484" s="80" t="s">
        <v>84</v>
      </c>
      <c r="C484" s="77" t="s">
        <v>48</v>
      </c>
      <c r="D484" s="78">
        <v>1</v>
      </c>
      <c r="E484" s="79">
        <f t="shared" si="31"/>
        <v>8.3333333333333332E-3</v>
      </c>
      <c r="F484" s="79">
        <f t="shared" si="29"/>
        <v>6.6666666666666666E-2</v>
      </c>
      <c r="G484" s="2"/>
      <c r="H484" s="37">
        <v>149765</v>
      </c>
      <c r="I484" s="4">
        <f t="shared" si="30"/>
        <v>1248.0416666666667</v>
      </c>
      <c r="J484" s="25">
        <f t="shared" si="28"/>
        <v>15</v>
      </c>
    </row>
    <row r="485" spans="1:10" ht="16.95" customHeight="1">
      <c r="A485" s="75" t="s">
        <v>85</v>
      </c>
      <c r="B485" s="80" t="s">
        <v>86</v>
      </c>
      <c r="C485" s="77" t="s">
        <v>48</v>
      </c>
      <c r="D485" s="78">
        <v>1</v>
      </c>
      <c r="E485" s="79">
        <f t="shared" si="31"/>
        <v>8.3333333333333332E-3</v>
      </c>
      <c r="F485" s="79">
        <f t="shared" si="29"/>
        <v>6.6666666666666666E-2</v>
      </c>
      <c r="G485" s="2"/>
      <c r="H485" s="37">
        <v>6996</v>
      </c>
      <c r="I485" s="4">
        <f t="shared" si="30"/>
        <v>58.3</v>
      </c>
      <c r="J485" s="25">
        <f t="shared" si="28"/>
        <v>15</v>
      </c>
    </row>
    <row r="486" spans="1:10" ht="16.95" customHeight="1">
      <c r="A486" s="75" t="s">
        <v>87</v>
      </c>
      <c r="B486" s="80" t="s">
        <v>88</v>
      </c>
      <c r="C486" s="77" t="s">
        <v>48</v>
      </c>
      <c r="D486" s="78">
        <v>1</v>
      </c>
      <c r="E486" s="79">
        <f>1/120</f>
        <v>8.3333333333333332E-3</v>
      </c>
      <c r="F486" s="79">
        <f t="shared" si="29"/>
        <v>6.6666666666666666E-2</v>
      </c>
      <c r="G486" s="2"/>
      <c r="H486" s="37">
        <v>116952</v>
      </c>
      <c r="I486" s="4">
        <f t="shared" si="30"/>
        <v>974.6</v>
      </c>
      <c r="J486" s="25">
        <f t="shared" si="28"/>
        <v>15</v>
      </c>
    </row>
    <row r="487" spans="1:10" ht="16.95" customHeight="1">
      <c r="A487" s="95" t="s">
        <v>23</v>
      </c>
      <c r="B487" s="95"/>
      <c r="C487" s="50"/>
      <c r="D487" s="50"/>
      <c r="E487" s="50"/>
      <c r="F487" s="50"/>
      <c r="G487" s="50"/>
      <c r="H487" s="3" t="s">
        <v>24</v>
      </c>
      <c r="I487" s="5">
        <f>SUM(I452:I486)</f>
        <v>15057.404999999999</v>
      </c>
      <c r="J487" s="25">
        <f t="shared" si="28"/>
        <v>15</v>
      </c>
    </row>
    <row r="488" spans="1:10" ht="16.95" customHeight="1">
      <c r="A488" s="96" t="s">
        <v>25</v>
      </c>
      <c r="B488" s="96"/>
      <c r="C488" s="50"/>
      <c r="D488" s="50"/>
      <c r="E488" s="50"/>
      <c r="F488" s="50"/>
      <c r="G488" s="50"/>
      <c r="J488" s="25">
        <f t="shared" si="28"/>
        <v>15</v>
      </c>
    </row>
    <row r="489" spans="1:10" ht="16.95" customHeight="1">
      <c r="A489" s="96" t="s">
        <v>26</v>
      </c>
      <c r="B489" s="96"/>
      <c r="C489" s="50"/>
      <c r="D489" s="50"/>
      <c r="E489" s="50"/>
      <c r="F489" s="50"/>
      <c r="G489" s="50"/>
      <c r="J489" s="25">
        <f t="shared" si="28"/>
        <v>15</v>
      </c>
    </row>
    <row r="490" spans="1:10" ht="16.95" customHeight="1">
      <c r="A490" s="95" t="s">
        <v>27</v>
      </c>
      <c r="B490" s="95"/>
      <c r="C490" s="95"/>
      <c r="D490" s="95"/>
      <c r="E490" s="95"/>
      <c r="F490" s="95"/>
      <c r="G490" s="95"/>
      <c r="J490" s="25">
        <f t="shared" si="28"/>
        <v>15</v>
      </c>
    </row>
    <row r="491" spans="1:10" ht="16.95" customHeight="1">
      <c r="A491" s="94" t="s">
        <v>28</v>
      </c>
      <c r="B491" s="94"/>
      <c r="C491" s="51" t="s">
        <v>29</v>
      </c>
      <c r="D491" s="51" t="s">
        <v>30</v>
      </c>
      <c r="E491" s="51" t="s">
        <v>18</v>
      </c>
      <c r="F491" s="51" t="s">
        <v>31</v>
      </c>
      <c r="G491" s="51" t="s">
        <v>20</v>
      </c>
      <c r="J491" s="25">
        <f t="shared" si="28"/>
        <v>15</v>
      </c>
    </row>
    <row r="492" spans="1:10" ht="16.95" customHeight="1">
      <c r="A492" s="96"/>
      <c r="B492" s="96"/>
      <c r="C492" s="50"/>
      <c r="D492" s="50"/>
      <c r="E492" s="50"/>
      <c r="F492" s="50"/>
      <c r="G492" s="51"/>
      <c r="J492" s="25">
        <f t="shared" si="28"/>
        <v>15</v>
      </c>
    </row>
    <row r="493" spans="1:10" ht="16.95" customHeight="1">
      <c r="A493" s="97"/>
      <c r="B493" s="97"/>
      <c r="C493" s="50"/>
      <c r="D493" s="50"/>
      <c r="E493" s="50"/>
      <c r="F493" s="51"/>
      <c r="G493" s="51"/>
      <c r="J493" s="25">
        <f t="shared" si="28"/>
        <v>15</v>
      </c>
    </row>
    <row r="494" spans="1:10" ht="16.95" customHeight="1">
      <c r="A494" s="95" t="s">
        <v>32</v>
      </c>
      <c r="B494" s="95"/>
      <c r="C494" s="95"/>
      <c r="D494" s="95"/>
      <c r="E494" s="95"/>
      <c r="F494" s="95"/>
      <c r="G494" s="95"/>
      <c r="J494" s="25">
        <f t="shared" si="28"/>
        <v>16</v>
      </c>
    </row>
    <row r="495" spans="1:10" ht="16.95" customHeight="1">
      <c r="A495" s="51" t="s">
        <v>33</v>
      </c>
      <c r="B495" s="51" t="s">
        <v>34</v>
      </c>
      <c r="C495" s="94" t="s">
        <v>35</v>
      </c>
      <c r="D495" s="94"/>
      <c r="E495" s="51" t="s">
        <v>36</v>
      </c>
      <c r="F495" s="51" t="s">
        <v>37</v>
      </c>
      <c r="G495" s="51" t="s">
        <v>38</v>
      </c>
      <c r="J495" s="25">
        <f t="shared" si="28"/>
        <v>16</v>
      </c>
    </row>
    <row r="496" spans="1:10" ht="16.95" customHeight="1">
      <c r="A496" s="51" t="s">
        <v>39</v>
      </c>
      <c r="B496" s="6">
        <v>1</v>
      </c>
      <c r="C496" s="94">
        <f>B496+C433</f>
        <v>6</v>
      </c>
      <c r="D496" s="94"/>
      <c r="E496" s="51"/>
      <c r="F496" s="24"/>
      <c r="G496" s="24"/>
      <c r="J496" s="25">
        <f t="shared" si="28"/>
        <v>16</v>
      </c>
    </row>
    <row r="497" spans="1:10" ht="16.95" customHeight="1">
      <c r="A497" s="51" t="s">
        <v>40</v>
      </c>
      <c r="B497" s="6">
        <v>1</v>
      </c>
      <c r="C497" s="94">
        <f>B497+C434</f>
        <v>7</v>
      </c>
      <c r="D497" s="94"/>
      <c r="E497" s="51"/>
      <c r="F497" s="24"/>
      <c r="G497" s="24"/>
      <c r="J497" s="25">
        <f t="shared" si="28"/>
        <v>16</v>
      </c>
    </row>
    <row r="498" spans="1:10" ht="36.6" customHeight="1">
      <c r="A498" s="95" t="s">
        <v>41</v>
      </c>
      <c r="B498" s="95"/>
      <c r="C498" s="95"/>
      <c r="D498" s="95"/>
      <c r="E498" s="95"/>
      <c r="F498" s="95"/>
      <c r="G498" s="95"/>
      <c r="J498" s="25">
        <f t="shared" si="28"/>
        <v>16</v>
      </c>
    </row>
    <row r="499" spans="1:10" ht="90" customHeight="1">
      <c r="A499" s="92" t="s">
        <v>42</v>
      </c>
      <c r="B499" s="92"/>
      <c r="C499" s="92"/>
      <c r="D499" s="92"/>
      <c r="E499" s="92"/>
      <c r="F499" s="92"/>
      <c r="G499" s="92"/>
      <c r="J499" s="25">
        <f t="shared" si="28"/>
        <v>16</v>
      </c>
    </row>
    <row r="500" spans="1:10" ht="16.95" customHeight="1">
      <c r="A500" s="95" t="s">
        <v>43</v>
      </c>
      <c r="B500" s="95"/>
      <c r="C500" s="95"/>
      <c r="D500" s="95"/>
      <c r="E500" s="95"/>
      <c r="F500" s="95"/>
      <c r="G500" s="95"/>
      <c r="J500" s="25">
        <f t="shared" si="28"/>
        <v>16</v>
      </c>
    </row>
    <row r="501" spans="1:10" ht="16.95" customHeight="1">
      <c r="A501" s="95" t="s">
        <v>44</v>
      </c>
      <c r="B501" s="95"/>
      <c r="C501" s="95"/>
      <c r="D501" s="95"/>
      <c r="E501" s="95"/>
      <c r="F501" s="95"/>
      <c r="G501" s="95"/>
      <c r="J501" s="25">
        <f t="shared" si="28"/>
        <v>16</v>
      </c>
    </row>
    <row r="502" spans="1:10" ht="16.95" customHeight="1">
      <c r="A502" s="91" t="s">
        <v>125</v>
      </c>
      <c r="B502" s="91"/>
      <c r="C502" s="91"/>
      <c r="D502" s="91"/>
      <c r="E502" s="91"/>
      <c r="F502" s="91"/>
      <c r="G502" s="91"/>
      <c r="J502" s="25">
        <f t="shared" si="28"/>
        <v>16</v>
      </c>
    </row>
    <row r="503" spans="1:10" ht="120.6" customHeight="1">
      <c r="A503" s="92" t="s">
        <v>45</v>
      </c>
      <c r="B503" s="92"/>
      <c r="C503" s="92"/>
      <c r="D503" s="92"/>
      <c r="E503" s="92"/>
      <c r="F503" s="92"/>
      <c r="G503" s="92"/>
      <c r="J503" s="25">
        <f t="shared" si="28"/>
        <v>16</v>
      </c>
    </row>
    <row r="504" spans="1:10" ht="140.4" customHeight="1">
      <c r="A504" s="93" t="s">
        <v>46</v>
      </c>
      <c r="B504" s="93"/>
      <c r="C504" s="93"/>
      <c r="D504" s="93"/>
      <c r="E504" s="93"/>
      <c r="F504" s="93"/>
      <c r="G504" s="93"/>
      <c r="J504" s="25">
        <f t="shared" si="28"/>
        <v>16</v>
      </c>
    </row>
    <row r="505" spans="1:10" ht="37.200000000000003" customHeight="1">
      <c r="A505" s="103" t="s">
        <v>0</v>
      </c>
      <c r="B505" s="103"/>
      <c r="C505" s="103"/>
      <c r="D505" s="103"/>
      <c r="E505" s="103"/>
      <c r="F505" s="103"/>
      <c r="G505" s="103"/>
      <c r="J505" s="25">
        <f t="shared" si="28"/>
        <v>17</v>
      </c>
    </row>
    <row r="506" spans="1:10" ht="16.95" customHeight="1">
      <c r="A506" s="1" t="s">
        <v>1</v>
      </c>
      <c r="B506" s="104">
        <f>B443+1</f>
        <v>9</v>
      </c>
      <c r="C506" s="104"/>
      <c r="D506" s="104"/>
      <c r="E506" s="104"/>
      <c r="F506" s="104"/>
      <c r="G506" s="104"/>
      <c r="J506" s="25">
        <f t="shared" si="28"/>
        <v>17</v>
      </c>
    </row>
    <row r="507" spans="1:10" ht="16.95" customHeight="1">
      <c r="A507" s="1" t="s">
        <v>2</v>
      </c>
      <c r="B507" s="105" t="s">
        <v>63</v>
      </c>
      <c r="C507" s="105"/>
      <c r="D507" s="105"/>
      <c r="E507" s="106">
        <f>E444+1</f>
        <v>46212</v>
      </c>
      <c r="F507" s="106"/>
      <c r="G507" s="106"/>
      <c r="J507" s="25">
        <f t="shared" ref="J507:J570" si="32">J444+2</f>
        <v>17</v>
      </c>
    </row>
    <row r="508" spans="1:10" ht="16.95" customHeight="1">
      <c r="A508" s="53" t="s">
        <v>3</v>
      </c>
      <c r="B508" s="2" t="s">
        <v>67</v>
      </c>
      <c r="C508" s="98" t="s">
        <v>4</v>
      </c>
      <c r="D508" s="98"/>
      <c r="E508" s="98" t="s">
        <v>47</v>
      </c>
      <c r="F508" s="98"/>
      <c r="G508" s="98"/>
      <c r="J508" s="25">
        <f t="shared" si="32"/>
        <v>17</v>
      </c>
    </row>
    <row r="509" spans="1:10" ht="16.95" customHeight="1">
      <c r="A509" s="53" t="s">
        <v>5</v>
      </c>
      <c r="B509" s="54">
        <v>120</v>
      </c>
      <c r="C509" s="98" t="s">
        <v>6</v>
      </c>
      <c r="D509" s="98"/>
      <c r="E509" s="98" t="s">
        <v>123</v>
      </c>
      <c r="F509" s="98"/>
      <c r="G509" s="98"/>
      <c r="J509" s="25">
        <f t="shared" si="32"/>
        <v>17</v>
      </c>
    </row>
    <row r="510" spans="1:10" ht="16.95" customHeight="1">
      <c r="A510" s="53" t="s">
        <v>7</v>
      </c>
      <c r="B510" s="54">
        <f>B506</f>
        <v>9</v>
      </c>
      <c r="C510" s="100" t="s">
        <v>8</v>
      </c>
      <c r="D510" s="100"/>
      <c r="E510" s="101">
        <f>B509-B510</f>
        <v>111</v>
      </c>
      <c r="F510" s="101"/>
      <c r="G510" s="101"/>
      <c r="J510" s="25">
        <f t="shared" si="32"/>
        <v>17</v>
      </c>
    </row>
    <row r="511" spans="1:10" ht="16.95" customHeight="1">
      <c r="A511" s="53" t="s">
        <v>9</v>
      </c>
      <c r="B511" s="55">
        <v>46204</v>
      </c>
      <c r="C511" s="98" t="s">
        <v>10</v>
      </c>
      <c r="D511" s="98"/>
      <c r="E511" s="102">
        <f>B511+B509-1</f>
        <v>46323</v>
      </c>
      <c r="F511" s="102"/>
      <c r="G511" s="102"/>
      <c r="J511" s="25">
        <f t="shared" si="32"/>
        <v>17</v>
      </c>
    </row>
    <row r="512" spans="1:10" ht="16.95" customHeight="1">
      <c r="A512" s="53" t="s">
        <v>11</v>
      </c>
      <c r="B512" s="56">
        <f>HLOOKUP(B506,進度表!$Q$2:$Z$3,2,1)+B449</f>
        <v>3.5820760382736169E-2</v>
      </c>
      <c r="C512" s="98" t="s">
        <v>12</v>
      </c>
      <c r="D512" s="98"/>
      <c r="E512" s="99">
        <f>I550/I512+E449</f>
        <v>4.9342379885993486E-2</v>
      </c>
      <c r="F512" s="99"/>
      <c r="G512" s="99"/>
      <c r="H512" s="3" t="s">
        <v>62</v>
      </c>
      <c r="I512" s="1">
        <v>2456000</v>
      </c>
      <c r="J512" s="25">
        <f t="shared" si="32"/>
        <v>17</v>
      </c>
    </row>
    <row r="513" spans="1:10" ht="16.95" customHeight="1">
      <c r="A513" s="98" t="s">
        <v>13</v>
      </c>
      <c r="B513" s="98"/>
      <c r="C513" s="98"/>
      <c r="D513" s="98"/>
      <c r="E513" s="98"/>
      <c r="F513" s="98"/>
      <c r="G513" s="98"/>
      <c r="J513" s="25">
        <f t="shared" si="32"/>
        <v>17</v>
      </c>
    </row>
    <row r="514" spans="1:10" ht="16.95" customHeight="1">
      <c r="A514" s="52" t="s">
        <v>14</v>
      </c>
      <c r="B514" s="52" t="s">
        <v>15</v>
      </c>
      <c r="C514" s="52" t="s">
        <v>16</v>
      </c>
      <c r="D514" s="52" t="s">
        <v>17</v>
      </c>
      <c r="E514" s="52" t="s">
        <v>18</v>
      </c>
      <c r="F514" s="52" t="s">
        <v>19</v>
      </c>
      <c r="G514" s="52" t="s">
        <v>20</v>
      </c>
      <c r="H514" s="3" t="s">
        <v>21</v>
      </c>
      <c r="I514" s="3" t="s">
        <v>22</v>
      </c>
      <c r="J514" s="25">
        <f t="shared" si="32"/>
        <v>17</v>
      </c>
    </row>
    <row r="515" spans="1:10" ht="16.95" customHeight="1">
      <c r="A515" s="75" t="s">
        <v>65</v>
      </c>
      <c r="B515" s="76" t="s">
        <v>69</v>
      </c>
      <c r="C515" s="77"/>
      <c r="D515" s="78"/>
      <c r="E515" s="79"/>
      <c r="F515" s="79"/>
      <c r="G515" s="2"/>
      <c r="H515" s="37"/>
      <c r="I515" s="4"/>
      <c r="J515" s="25">
        <f t="shared" si="32"/>
        <v>17</v>
      </c>
    </row>
    <row r="516" spans="1:10" ht="34.950000000000003" customHeight="1">
      <c r="A516" s="75">
        <v>1</v>
      </c>
      <c r="B516" s="80" t="s">
        <v>91</v>
      </c>
      <c r="C516" s="77" t="s">
        <v>48</v>
      </c>
      <c r="D516" s="78">
        <v>1</v>
      </c>
      <c r="E516" s="79"/>
      <c r="F516" s="79">
        <f t="shared" ref="F516:F549" si="33">E516+F453</f>
        <v>1</v>
      </c>
      <c r="G516" s="2"/>
      <c r="H516" s="37">
        <v>10508</v>
      </c>
      <c r="I516" s="4">
        <f>H516*E516</f>
        <v>0</v>
      </c>
      <c r="J516" s="25">
        <f t="shared" si="32"/>
        <v>17</v>
      </c>
    </row>
    <row r="517" spans="1:10" ht="34.799999999999997" customHeight="1">
      <c r="A517" s="75">
        <v>2</v>
      </c>
      <c r="B517" s="80" t="s">
        <v>92</v>
      </c>
      <c r="C517" s="77" t="s">
        <v>48</v>
      </c>
      <c r="D517" s="78">
        <v>1</v>
      </c>
      <c r="E517" s="79"/>
      <c r="F517" s="79">
        <f t="shared" si="33"/>
        <v>0</v>
      </c>
      <c r="G517" s="2"/>
      <c r="H517" s="37">
        <v>13223</v>
      </c>
      <c r="I517" s="4">
        <f>H517*E517</f>
        <v>0</v>
      </c>
      <c r="J517" s="25">
        <f t="shared" si="32"/>
        <v>17</v>
      </c>
    </row>
    <row r="518" spans="1:10" ht="53.4" customHeight="1">
      <c r="A518" s="75">
        <v>3</v>
      </c>
      <c r="B518" s="80" t="s">
        <v>93</v>
      </c>
      <c r="C518" s="77" t="s">
        <v>48</v>
      </c>
      <c r="D518" s="78">
        <v>1</v>
      </c>
      <c r="E518" s="79">
        <v>0.04</v>
      </c>
      <c r="F518" s="79">
        <f t="shared" si="33"/>
        <v>0.28000000000000003</v>
      </c>
      <c r="G518" s="2"/>
      <c r="H518" s="37">
        <v>310497</v>
      </c>
      <c r="I518" s="4">
        <f t="shared" ref="I518:I549" si="34">H518*E518</f>
        <v>12419.880000000001</v>
      </c>
      <c r="J518" s="25">
        <f t="shared" si="32"/>
        <v>17</v>
      </c>
    </row>
    <row r="519" spans="1:10" ht="16.95" customHeight="1">
      <c r="A519" s="75">
        <v>4</v>
      </c>
      <c r="B519" s="80" t="s">
        <v>94</v>
      </c>
      <c r="C519" s="77" t="s">
        <v>48</v>
      </c>
      <c r="D519" s="78">
        <v>1</v>
      </c>
      <c r="E519" s="79"/>
      <c r="F519" s="79">
        <f t="shared" si="33"/>
        <v>0</v>
      </c>
      <c r="G519" s="2"/>
      <c r="H519" s="37">
        <v>8375</v>
      </c>
      <c r="I519" s="4">
        <f t="shared" si="34"/>
        <v>0</v>
      </c>
      <c r="J519" s="25">
        <f t="shared" si="32"/>
        <v>17</v>
      </c>
    </row>
    <row r="520" spans="1:10" ht="16.95" customHeight="1">
      <c r="A520" s="75">
        <v>5</v>
      </c>
      <c r="B520" s="80" t="s">
        <v>95</v>
      </c>
      <c r="C520" s="77" t="s">
        <v>48</v>
      </c>
      <c r="D520" s="78">
        <v>1</v>
      </c>
      <c r="E520" s="79"/>
      <c r="F520" s="79">
        <f t="shared" si="33"/>
        <v>0</v>
      </c>
      <c r="G520" s="2"/>
      <c r="H520" s="37">
        <v>51618</v>
      </c>
      <c r="I520" s="4">
        <f t="shared" si="34"/>
        <v>0</v>
      </c>
      <c r="J520" s="25">
        <f t="shared" si="32"/>
        <v>17</v>
      </c>
    </row>
    <row r="521" spans="1:10" ht="16.95" customHeight="1">
      <c r="A521" s="75">
        <v>6</v>
      </c>
      <c r="B521" s="80" t="s">
        <v>96</v>
      </c>
      <c r="C521" s="77" t="s">
        <v>50</v>
      </c>
      <c r="D521" s="78">
        <v>11.55</v>
      </c>
      <c r="E521" s="79"/>
      <c r="F521" s="79">
        <f t="shared" si="33"/>
        <v>0</v>
      </c>
      <c r="G521" s="2"/>
      <c r="H521" s="37">
        <v>1188</v>
      </c>
      <c r="I521" s="4">
        <f t="shared" si="34"/>
        <v>0</v>
      </c>
      <c r="J521" s="25">
        <f t="shared" si="32"/>
        <v>17</v>
      </c>
    </row>
    <row r="522" spans="1:10" ht="34.950000000000003" customHeight="1">
      <c r="A522" s="75">
        <v>7</v>
      </c>
      <c r="B522" s="80" t="s">
        <v>97</v>
      </c>
      <c r="C522" s="77" t="s">
        <v>48</v>
      </c>
      <c r="D522" s="78">
        <v>1</v>
      </c>
      <c r="E522" s="79"/>
      <c r="F522" s="79">
        <f t="shared" si="33"/>
        <v>0</v>
      </c>
      <c r="G522" s="2"/>
      <c r="H522" s="37">
        <v>21157</v>
      </c>
      <c r="I522" s="4">
        <f t="shared" si="34"/>
        <v>0</v>
      </c>
      <c r="J522" s="25">
        <f t="shared" si="32"/>
        <v>17</v>
      </c>
    </row>
    <row r="523" spans="1:10" ht="16.95" customHeight="1">
      <c r="A523" s="75">
        <v>8</v>
      </c>
      <c r="B523" s="80" t="s">
        <v>98</v>
      </c>
      <c r="C523" s="77" t="s">
        <v>50</v>
      </c>
      <c r="D523" s="78">
        <v>387</v>
      </c>
      <c r="E523" s="79"/>
      <c r="F523" s="79">
        <f t="shared" si="33"/>
        <v>0</v>
      </c>
      <c r="G523" s="2"/>
      <c r="H523" s="37">
        <v>705</v>
      </c>
      <c r="I523" s="4">
        <f t="shared" si="34"/>
        <v>0</v>
      </c>
      <c r="J523" s="25">
        <f t="shared" si="32"/>
        <v>17</v>
      </c>
    </row>
    <row r="524" spans="1:10" ht="16.95" customHeight="1">
      <c r="A524" s="75">
        <v>9</v>
      </c>
      <c r="B524" s="80" t="s">
        <v>99</v>
      </c>
      <c r="C524" s="77" t="s">
        <v>50</v>
      </c>
      <c r="D524" s="78">
        <v>170</v>
      </c>
      <c r="E524" s="79"/>
      <c r="F524" s="79">
        <f t="shared" si="33"/>
        <v>0</v>
      </c>
      <c r="G524" s="2"/>
      <c r="H524" s="37">
        <v>617</v>
      </c>
      <c r="I524" s="4">
        <f t="shared" si="34"/>
        <v>0</v>
      </c>
      <c r="J524" s="25">
        <f t="shared" si="32"/>
        <v>17</v>
      </c>
    </row>
    <row r="525" spans="1:10" ht="16.95" customHeight="1">
      <c r="A525" s="75">
        <v>10</v>
      </c>
      <c r="B525" s="80" t="s">
        <v>100</v>
      </c>
      <c r="C525" s="77" t="s">
        <v>66</v>
      </c>
      <c r="D525" s="78">
        <v>15</v>
      </c>
      <c r="E525" s="79"/>
      <c r="F525" s="79">
        <f t="shared" si="33"/>
        <v>0</v>
      </c>
      <c r="G525" s="2"/>
      <c r="H525" s="37">
        <v>617</v>
      </c>
      <c r="I525" s="4">
        <f t="shared" si="34"/>
        <v>0</v>
      </c>
      <c r="J525" s="25">
        <f t="shared" si="32"/>
        <v>17</v>
      </c>
    </row>
    <row r="526" spans="1:10" ht="16.95" customHeight="1">
      <c r="A526" s="75">
        <v>11</v>
      </c>
      <c r="B526" s="80" t="s">
        <v>101</v>
      </c>
      <c r="C526" s="77" t="s">
        <v>50</v>
      </c>
      <c r="D526" s="78">
        <v>75</v>
      </c>
      <c r="E526" s="79"/>
      <c r="F526" s="79">
        <f t="shared" si="33"/>
        <v>0</v>
      </c>
      <c r="G526" s="2"/>
      <c r="H526" s="37">
        <v>1146</v>
      </c>
      <c r="I526" s="4">
        <f t="shared" si="34"/>
        <v>0</v>
      </c>
      <c r="J526" s="25">
        <f t="shared" si="32"/>
        <v>17</v>
      </c>
    </row>
    <row r="527" spans="1:10" ht="16.95" customHeight="1">
      <c r="A527" s="75">
        <v>12</v>
      </c>
      <c r="B527" s="80" t="s">
        <v>102</v>
      </c>
      <c r="C527" s="77" t="s">
        <v>50</v>
      </c>
      <c r="D527" s="78">
        <v>5</v>
      </c>
      <c r="E527" s="79"/>
      <c r="F527" s="79">
        <f t="shared" si="33"/>
        <v>0</v>
      </c>
      <c r="G527" s="2"/>
      <c r="H527" s="37">
        <v>1455</v>
      </c>
      <c r="I527" s="4">
        <f t="shared" si="34"/>
        <v>0</v>
      </c>
      <c r="J527" s="25">
        <f t="shared" si="32"/>
        <v>17</v>
      </c>
    </row>
    <row r="528" spans="1:10" ht="16.95" customHeight="1">
      <c r="A528" s="75">
        <v>13</v>
      </c>
      <c r="B528" s="80" t="s">
        <v>103</v>
      </c>
      <c r="C528" s="77" t="s">
        <v>50</v>
      </c>
      <c r="D528" s="78">
        <v>217</v>
      </c>
      <c r="E528" s="79"/>
      <c r="F528" s="79">
        <f t="shared" si="33"/>
        <v>0</v>
      </c>
      <c r="G528" s="2"/>
      <c r="H528" s="37">
        <v>1410</v>
      </c>
      <c r="I528" s="4">
        <f t="shared" si="34"/>
        <v>0</v>
      </c>
      <c r="J528" s="25">
        <f t="shared" si="32"/>
        <v>17</v>
      </c>
    </row>
    <row r="529" spans="1:10" ht="16.95" customHeight="1">
      <c r="A529" s="75">
        <v>14</v>
      </c>
      <c r="B529" s="80" t="s">
        <v>104</v>
      </c>
      <c r="C529" s="77" t="s">
        <v>49</v>
      </c>
      <c r="D529" s="78">
        <v>84</v>
      </c>
      <c r="E529" s="79"/>
      <c r="F529" s="79">
        <f t="shared" si="33"/>
        <v>0</v>
      </c>
      <c r="G529" s="2"/>
      <c r="H529" s="37">
        <v>529</v>
      </c>
      <c r="I529" s="4">
        <f t="shared" si="34"/>
        <v>0</v>
      </c>
      <c r="J529" s="25">
        <f t="shared" si="32"/>
        <v>17</v>
      </c>
    </row>
    <row r="530" spans="1:10" ht="16.95" customHeight="1">
      <c r="A530" s="75">
        <v>15</v>
      </c>
      <c r="B530" s="80" t="s">
        <v>105</v>
      </c>
      <c r="C530" s="77" t="s">
        <v>50</v>
      </c>
      <c r="D530" s="78">
        <v>1</v>
      </c>
      <c r="E530" s="79"/>
      <c r="F530" s="79">
        <f t="shared" si="33"/>
        <v>0</v>
      </c>
      <c r="G530" s="2"/>
      <c r="H530" s="37">
        <v>1146</v>
      </c>
      <c r="I530" s="4">
        <f t="shared" si="34"/>
        <v>0</v>
      </c>
      <c r="J530" s="25">
        <f t="shared" si="32"/>
        <v>17</v>
      </c>
    </row>
    <row r="531" spans="1:10" ht="34.799999999999997" customHeight="1">
      <c r="A531" s="75">
        <v>16</v>
      </c>
      <c r="B531" s="80" t="s">
        <v>106</v>
      </c>
      <c r="C531" s="77" t="s">
        <v>50</v>
      </c>
      <c r="D531" s="78">
        <v>314</v>
      </c>
      <c r="E531" s="79"/>
      <c r="F531" s="79">
        <f t="shared" si="33"/>
        <v>0</v>
      </c>
      <c r="G531" s="2"/>
      <c r="H531" s="37">
        <v>185</v>
      </c>
      <c r="I531" s="4">
        <f t="shared" si="34"/>
        <v>0</v>
      </c>
      <c r="J531" s="25">
        <f t="shared" si="32"/>
        <v>17</v>
      </c>
    </row>
    <row r="532" spans="1:10" ht="16.95" customHeight="1">
      <c r="A532" s="75">
        <v>17</v>
      </c>
      <c r="B532" s="80" t="s">
        <v>107</v>
      </c>
      <c r="C532" s="77" t="s">
        <v>48</v>
      </c>
      <c r="D532" s="78">
        <v>1</v>
      </c>
      <c r="E532" s="79"/>
      <c r="F532" s="79">
        <f t="shared" si="33"/>
        <v>0</v>
      </c>
      <c r="G532" s="2"/>
      <c r="H532" s="37">
        <v>89918</v>
      </c>
      <c r="I532" s="4">
        <f t="shared" si="34"/>
        <v>0</v>
      </c>
      <c r="J532" s="25">
        <f t="shared" si="32"/>
        <v>17</v>
      </c>
    </row>
    <row r="533" spans="1:10" ht="16.95" customHeight="1">
      <c r="A533" s="75">
        <v>18</v>
      </c>
      <c r="B533" s="80" t="s">
        <v>108</v>
      </c>
      <c r="C533" s="77" t="s">
        <v>120</v>
      </c>
      <c r="D533" s="78">
        <v>15</v>
      </c>
      <c r="E533" s="79"/>
      <c r="F533" s="79">
        <f t="shared" si="33"/>
        <v>0</v>
      </c>
      <c r="G533" s="2"/>
      <c r="H533" s="37">
        <v>661</v>
      </c>
      <c r="I533" s="4">
        <f t="shared" si="34"/>
        <v>0</v>
      </c>
      <c r="J533" s="25">
        <f t="shared" si="32"/>
        <v>17</v>
      </c>
    </row>
    <row r="534" spans="1:10" ht="16.95" customHeight="1">
      <c r="A534" s="75">
        <v>19</v>
      </c>
      <c r="B534" s="80" t="s">
        <v>109</v>
      </c>
      <c r="C534" s="77" t="s">
        <v>50</v>
      </c>
      <c r="D534" s="78">
        <v>82</v>
      </c>
      <c r="E534" s="79"/>
      <c r="F534" s="79">
        <f t="shared" si="33"/>
        <v>0</v>
      </c>
      <c r="G534" s="2"/>
      <c r="H534" s="37">
        <v>2909</v>
      </c>
      <c r="I534" s="4">
        <f t="shared" si="34"/>
        <v>0</v>
      </c>
      <c r="J534" s="25">
        <f t="shared" si="32"/>
        <v>17</v>
      </c>
    </row>
    <row r="535" spans="1:10" ht="16.95" customHeight="1">
      <c r="A535" s="75">
        <v>20</v>
      </c>
      <c r="B535" s="80" t="s">
        <v>110</v>
      </c>
      <c r="C535" s="77" t="s">
        <v>121</v>
      </c>
      <c r="D535" s="78">
        <v>12</v>
      </c>
      <c r="E535" s="79"/>
      <c r="F535" s="79">
        <f t="shared" si="33"/>
        <v>0</v>
      </c>
      <c r="G535" s="2"/>
      <c r="H535" s="37">
        <v>882</v>
      </c>
      <c r="I535" s="4">
        <f t="shared" si="34"/>
        <v>0</v>
      </c>
      <c r="J535" s="25">
        <f t="shared" si="32"/>
        <v>17</v>
      </c>
    </row>
    <row r="536" spans="1:10" ht="16.95" customHeight="1">
      <c r="A536" s="77">
        <v>21</v>
      </c>
      <c r="B536" s="80" t="s">
        <v>111</v>
      </c>
      <c r="C536" s="77" t="s">
        <v>122</v>
      </c>
      <c r="D536" s="78">
        <v>3</v>
      </c>
      <c r="E536" s="79"/>
      <c r="F536" s="79">
        <f t="shared" si="33"/>
        <v>0</v>
      </c>
      <c r="G536" s="2"/>
      <c r="H536" s="38">
        <v>1869</v>
      </c>
      <c r="I536" s="4">
        <f t="shared" si="34"/>
        <v>0</v>
      </c>
      <c r="J536" s="25">
        <f t="shared" si="32"/>
        <v>17</v>
      </c>
    </row>
    <row r="537" spans="1:10" ht="34.950000000000003" customHeight="1">
      <c r="A537" s="75">
        <v>22</v>
      </c>
      <c r="B537" s="80" t="s">
        <v>112</v>
      </c>
      <c r="C537" s="77" t="s">
        <v>48</v>
      </c>
      <c r="D537" s="78">
        <v>1</v>
      </c>
      <c r="E537" s="79"/>
      <c r="F537" s="79">
        <f t="shared" si="33"/>
        <v>0</v>
      </c>
      <c r="G537" s="2"/>
      <c r="H537" s="37">
        <v>82206</v>
      </c>
      <c r="I537" s="4">
        <f t="shared" si="34"/>
        <v>0</v>
      </c>
      <c r="J537" s="25">
        <f t="shared" si="32"/>
        <v>17</v>
      </c>
    </row>
    <row r="538" spans="1:10" ht="16.95" customHeight="1">
      <c r="A538" s="75">
        <v>23</v>
      </c>
      <c r="B538" s="80" t="s">
        <v>113</v>
      </c>
      <c r="C538" s="77" t="s">
        <v>48</v>
      </c>
      <c r="D538" s="78">
        <v>1</v>
      </c>
      <c r="E538" s="79"/>
      <c r="F538" s="79">
        <f t="shared" si="33"/>
        <v>0</v>
      </c>
      <c r="G538" s="2"/>
      <c r="H538" s="37">
        <v>142723</v>
      </c>
      <c r="I538" s="4">
        <f t="shared" si="34"/>
        <v>0</v>
      </c>
      <c r="J538" s="25">
        <f t="shared" si="32"/>
        <v>17</v>
      </c>
    </row>
    <row r="539" spans="1:10" ht="16.95" customHeight="1">
      <c r="A539" s="75">
        <v>24</v>
      </c>
      <c r="B539" s="80" t="s">
        <v>114</v>
      </c>
      <c r="C539" s="77" t="s">
        <v>48</v>
      </c>
      <c r="D539" s="78">
        <v>1</v>
      </c>
      <c r="E539" s="79"/>
      <c r="F539" s="79">
        <f t="shared" si="33"/>
        <v>0</v>
      </c>
      <c r="G539" s="2"/>
      <c r="H539" s="37">
        <v>37290</v>
      </c>
      <c r="I539" s="4">
        <f t="shared" si="34"/>
        <v>0</v>
      </c>
      <c r="J539" s="25">
        <f t="shared" si="32"/>
        <v>17</v>
      </c>
    </row>
    <row r="540" spans="1:10" ht="16.95" customHeight="1">
      <c r="A540" s="75">
        <v>25</v>
      </c>
      <c r="B540" s="80" t="s">
        <v>115</v>
      </c>
      <c r="C540" s="77" t="s">
        <v>48</v>
      </c>
      <c r="D540" s="78">
        <v>1</v>
      </c>
      <c r="E540" s="79"/>
      <c r="F540" s="79">
        <f t="shared" si="33"/>
        <v>0</v>
      </c>
      <c r="G540" s="2"/>
      <c r="H540" s="37">
        <v>99394</v>
      </c>
      <c r="I540" s="4">
        <f t="shared" si="34"/>
        <v>0</v>
      </c>
      <c r="J540" s="25">
        <f t="shared" si="32"/>
        <v>17</v>
      </c>
    </row>
    <row r="541" spans="1:10" ht="34.950000000000003" customHeight="1">
      <c r="A541" s="75">
        <v>26</v>
      </c>
      <c r="B541" s="80" t="s">
        <v>116</v>
      </c>
      <c r="C541" s="77" t="s">
        <v>48</v>
      </c>
      <c r="D541" s="78">
        <v>1</v>
      </c>
      <c r="E541" s="79"/>
      <c r="F541" s="79">
        <f t="shared" si="33"/>
        <v>0</v>
      </c>
      <c r="G541" s="2"/>
      <c r="H541" s="37">
        <v>21334</v>
      </c>
      <c r="I541" s="4">
        <f t="shared" si="34"/>
        <v>0</v>
      </c>
      <c r="J541" s="25">
        <f t="shared" si="32"/>
        <v>17</v>
      </c>
    </row>
    <row r="542" spans="1:10" ht="16.95" customHeight="1">
      <c r="A542" s="75">
        <v>27</v>
      </c>
      <c r="B542" s="80" t="s">
        <v>117</v>
      </c>
      <c r="C542" s="77" t="s">
        <v>48</v>
      </c>
      <c r="D542" s="78">
        <v>1</v>
      </c>
      <c r="E542" s="79"/>
      <c r="F542" s="79">
        <f t="shared" si="33"/>
        <v>0</v>
      </c>
      <c r="G542" s="2"/>
      <c r="H542" s="37">
        <v>29620</v>
      </c>
      <c r="I542" s="4">
        <f t="shared" si="34"/>
        <v>0</v>
      </c>
      <c r="J542" s="25">
        <f t="shared" si="32"/>
        <v>17</v>
      </c>
    </row>
    <row r="543" spans="1:10" ht="16.95" customHeight="1">
      <c r="A543" s="75">
        <v>28</v>
      </c>
      <c r="B543" s="80" t="s">
        <v>118</v>
      </c>
      <c r="C543" s="77" t="s">
        <v>48</v>
      </c>
      <c r="D543" s="78">
        <v>1</v>
      </c>
      <c r="E543" s="79"/>
      <c r="F543" s="79">
        <f t="shared" si="33"/>
        <v>0</v>
      </c>
      <c r="G543" s="2"/>
      <c r="H543" s="37">
        <v>18506</v>
      </c>
      <c r="I543" s="4">
        <f t="shared" si="34"/>
        <v>0</v>
      </c>
      <c r="J543" s="25">
        <f t="shared" si="32"/>
        <v>17</v>
      </c>
    </row>
    <row r="544" spans="1:10" ht="16.95" customHeight="1">
      <c r="A544" s="75">
        <v>29</v>
      </c>
      <c r="B544" s="80" t="s">
        <v>119</v>
      </c>
      <c r="C544" s="77" t="s">
        <v>48</v>
      </c>
      <c r="D544" s="78">
        <v>1</v>
      </c>
      <c r="E544" s="79"/>
      <c r="F544" s="79">
        <f t="shared" si="33"/>
        <v>0</v>
      </c>
      <c r="G544" s="2"/>
      <c r="H544" s="37">
        <v>34381</v>
      </c>
      <c r="I544" s="4">
        <f t="shared" si="34"/>
        <v>0</v>
      </c>
      <c r="J544" s="25">
        <f t="shared" si="32"/>
        <v>17</v>
      </c>
    </row>
    <row r="545" spans="1:10" ht="16.95" customHeight="1">
      <c r="A545" s="75" t="s">
        <v>79</v>
      </c>
      <c r="B545" s="80" t="s">
        <v>80</v>
      </c>
      <c r="C545" s="77" t="s">
        <v>48</v>
      </c>
      <c r="D545" s="78">
        <v>1</v>
      </c>
      <c r="E545" s="79">
        <f t="shared" ref="E545:E548" si="35">1/120</f>
        <v>8.3333333333333332E-3</v>
      </c>
      <c r="F545" s="79">
        <f t="shared" si="33"/>
        <v>7.4999999999999997E-2</v>
      </c>
      <c r="G545" s="2"/>
      <c r="H545" s="37">
        <v>21395</v>
      </c>
      <c r="I545" s="4">
        <f t="shared" si="34"/>
        <v>178.29166666666666</v>
      </c>
      <c r="J545" s="25">
        <f t="shared" si="32"/>
        <v>17</v>
      </c>
    </row>
    <row r="546" spans="1:10" ht="16.95" customHeight="1">
      <c r="A546" s="75" t="s">
        <v>81</v>
      </c>
      <c r="B546" s="80" t="s">
        <v>82</v>
      </c>
      <c r="C546" s="77" t="s">
        <v>48</v>
      </c>
      <c r="D546" s="78">
        <v>1</v>
      </c>
      <c r="E546" s="79">
        <f t="shared" si="35"/>
        <v>8.3333333333333332E-3</v>
      </c>
      <c r="F546" s="79">
        <f t="shared" si="33"/>
        <v>7.4999999999999997E-2</v>
      </c>
      <c r="G546" s="2"/>
      <c r="H546" s="37">
        <v>21395</v>
      </c>
      <c r="I546" s="4">
        <f t="shared" si="34"/>
        <v>178.29166666666666</v>
      </c>
      <c r="J546" s="25">
        <f t="shared" si="32"/>
        <v>17</v>
      </c>
    </row>
    <row r="547" spans="1:10" ht="16.95" customHeight="1">
      <c r="A547" s="75" t="s">
        <v>83</v>
      </c>
      <c r="B547" s="80" t="s">
        <v>84</v>
      </c>
      <c r="C547" s="77" t="s">
        <v>48</v>
      </c>
      <c r="D547" s="78">
        <v>1</v>
      </c>
      <c r="E547" s="79">
        <f t="shared" si="35"/>
        <v>8.3333333333333332E-3</v>
      </c>
      <c r="F547" s="79">
        <f t="shared" si="33"/>
        <v>7.4999999999999997E-2</v>
      </c>
      <c r="G547" s="2"/>
      <c r="H547" s="37">
        <v>149765</v>
      </c>
      <c r="I547" s="4">
        <f t="shared" si="34"/>
        <v>1248.0416666666667</v>
      </c>
      <c r="J547" s="25">
        <f t="shared" si="32"/>
        <v>17</v>
      </c>
    </row>
    <row r="548" spans="1:10" ht="16.95" customHeight="1">
      <c r="A548" s="75" t="s">
        <v>85</v>
      </c>
      <c r="B548" s="80" t="s">
        <v>86</v>
      </c>
      <c r="C548" s="77" t="s">
        <v>48</v>
      </c>
      <c r="D548" s="78">
        <v>1</v>
      </c>
      <c r="E548" s="79">
        <f t="shared" si="35"/>
        <v>8.3333333333333332E-3</v>
      </c>
      <c r="F548" s="79">
        <f t="shared" si="33"/>
        <v>7.4999999999999997E-2</v>
      </c>
      <c r="G548" s="2"/>
      <c r="H548" s="37">
        <v>6996</v>
      </c>
      <c r="I548" s="4">
        <f t="shared" si="34"/>
        <v>58.3</v>
      </c>
      <c r="J548" s="25">
        <f t="shared" si="32"/>
        <v>17</v>
      </c>
    </row>
    <row r="549" spans="1:10" ht="16.95" customHeight="1">
      <c r="A549" s="75" t="s">
        <v>87</v>
      </c>
      <c r="B549" s="80" t="s">
        <v>88</v>
      </c>
      <c r="C549" s="77" t="s">
        <v>48</v>
      </c>
      <c r="D549" s="78">
        <v>1</v>
      </c>
      <c r="E549" s="79">
        <f>1/120</f>
        <v>8.3333333333333332E-3</v>
      </c>
      <c r="F549" s="79">
        <f t="shared" si="33"/>
        <v>7.4999999999999997E-2</v>
      </c>
      <c r="G549" s="2"/>
      <c r="H549" s="37">
        <v>116952</v>
      </c>
      <c r="I549" s="4">
        <f t="shared" si="34"/>
        <v>974.6</v>
      </c>
      <c r="J549" s="25">
        <f t="shared" si="32"/>
        <v>17</v>
      </c>
    </row>
    <row r="550" spans="1:10" ht="16.95" customHeight="1">
      <c r="A550" s="95" t="s">
        <v>23</v>
      </c>
      <c r="B550" s="95"/>
      <c r="C550" s="50"/>
      <c r="D550" s="50"/>
      <c r="E550" s="50"/>
      <c r="F550" s="50"/>
      <c r="G550" s="50"/>
      <c r="H550" s="3" t="s">
        <v>24</v>
      </c>
      <c r="I550" s="5">
        <f>SUM(I515:I549)</f>
        <v>15057.404999999999</v>
      </c>
      <c r="J550" s="25">
        <f t="shared" si="32"/>
        <v>17</v>
      </c>
    </row>
    <row r="551" spans="1:10" ht="16.95" customHeight="1">
      <c r="A551" s="96" t="s">
        <v>25</v>
      </c>
      <c r="B551" s="96"/>
      <c r="C551" s="50"/>
      <c r="D551" s="50"/>
      <c r="E551" s="50"/>
      <c r="F551" s="50"/>
      <c r="G551" s="50"/>
      <c r="J551" s="25">
        <f t="shared" si="32"/>
        <v>17</v>
      </c>
    </row>
    <row r="552" spans="1:10" ht="16.95" customHeight="1">
      <c r="A552" s="96" t="s">
        <v>26</v>
      </c>
      <c r="B552" s="96"/>
      <c r="C552" s="50"/>
      <c r="D552" s="50"/>
      <c r="E552" s="50"/>
      <c r="F552" s="50"/>
      <c r="G552" s="50"/>
      <c r="J552" s="25">
        <f t="shared" si="32"/>
        <v>17</v>
      </c>
    </row>
    <row r="553" spans="1:10" ht="16.95" customHeight="1">
      <c r="A553" s="95" t="s">
        <v>27</v>
      </c>
      <c r="B553" s="95"/>
      <c r="C553" s="95"/>
      <c r="D553" s="95"/>
      <c r="E553" s="95"/>
      <c r="F553" s="95"/>
      <c r="G553" s="95"/>
      <c r="J553" s="25">
        <f t="shared" si="32"/>
        <v>17</v>
      </c>
    </row>
    <row r="554" spans="1:10" ht="16.95" customHeight="1">
      <c r="A554" s="94" t="s">
        <v>28</v>
      </c>
      <c r="B554" s="94"/>
      <c r="C554" s="51" t="s">
        <v>29</v>
      </c>
      <c r="D554" s="51" t="s">
        <v>30</v>
      </c>
      <c r="E554" s="51" t="s">
        <v>18</v>
      </c>
      <c r="F554" s="51" t="s">
        <v>31</v>
      </c>
      <c r="G554" s="51" t="s">
        <v>20</v>
      </c>
      <c r="J554" s="25">
        <f t="shared" si="32"/>
        <v>17</v>
      </c>
    </row>
    <row r="555" spans="1:10" ht="16.95" customHeight="1">
      <c r="A555" s="96"/>
      <c r="B555" s="96"/>
      <c r="C555" s="50"/>
      <c r="D555" s="50"/>
      <c r="E555" s="50"/>
      <c r="F555" s="50"/>
      <c r="G555" s="51"/>
      <c r="J555" s="25">
        <f t="shared" si="32"/>
        <v>17</v>
      </c>
    </row>
    <row r="556" spans="1:10" ht="16.95" customHeight="1">
      <c r="A556" s="97"/>
      <c r="B556" s="97"/>
      <c r="C556" s="50"/>
      <c r="D556" s="50"/>
      <c r="E556" s="50"/>
      <c r="F556" s="51"/>
      <c r="G556" s="51"/>
      <c r="J556" s="25">
        <f t="shared" si="32"/>
        <v>17</v>
      </c>
    </row>
    <row r="557" spans="1:10" ht="16.95" customHeight="1">
      <c r="A557" s="95" t="s">
        <v>32</v>
      </c>
      <c r="B557" s="95"/>
      <c r="C557" s="95"/>
      <c r="D557" s="95"/>
      <c r="E557" s="95"/>
      <c r="F557" s="95"/>
      <c r="G557" s="95"/>
      <c r="J557" s="25">
        <f t="shared" si="32"/>
        <v>18</v>
      </c>
    </row>
    <row r="558" spans="1:10" ht="16.95" customHeight="1">
      <c r="A558" s="51" t="s">
        <v>33</v>
      </c>
      <c r="B558" s="51" t="s">
        <v>34</v>
      </c>
      <c r="C558" s="94" t="s">
        <v>35</v>
      </c>
      <c r="D558" s="94"/>
      <c r="E558" s="51" t="s">
        <v>36</v>
      </c>
      <c r="F558" s="51" t="s">
        <v>37</v>
      </c>
      <c r="G558" s="51" t="s">
        <v>38</v>
      </c>
      <c r="J558" s="25">
        <f t="shared" si="32"/>
        <v>18</v>
      </c>
    </row>
    <row r="559" spans="1:10" ht="16.95" customHeight="1">
      <c r="A559" s="51" t="s">
        <v>39</v>
      </c>
      <c r="B559" s="6">
        <v>1</v>
      </c>
      <c r="C559" s="94">
        <f>B559+C496</f>
        <v>7</v>
      </c>
      <c r="D559" s="94"/>
      <c r="E559" s="51"/>
      <c r="F559" s="24"/>
      <c r="G559" s="24"/>
      <c r="J559" s="25">
        <f t="shared" si="32"/>
        <v>18</v>
      </c>
    </row>
    <row r="560" spans="1:10" ht="16.95" customHeight="1">
      <c r="A560" s="51" t="s">
        <v>40</v>
      </c>
      <c r="B560" s="6">
        <v>1</v>
      </c>
      <c r="C560" s="94">
        <f>B560+C497</f>
        <v>8</v>
      </c>
      <c r="D560" s="94"/>
      <c r="E560" s="51"/>
      <c r="F560" s="24"/>
      <c r="G560" s="24"/>
      <c r="J560" s="25">
        <f t="shared" si="32"/>
        <v>18</v>
      </c>
    </row>
    <row r="561" spans="1:10" ht="36.6" customHeight="1">
      <c r="A561" s="95" t="s">
        <v>41</v>
      </c>
      <c r="B561" s="95"/>
      <c r="C561" s="95"/>
      <c r="D561" s="95"/>
      <c r="E561" s="95"/>
      <c r="F561" s="95"/>
      <c r="G561" s="95"/>
      <c r="J561" s="25">
        <f t="shared" si="32"/>
        <v>18</v>
      </c>
    </row>
    <row r="562" spans="1:10" ht="90" customHeight="1">
      <c r="A562" s="92" t="s">
        <v>42</v>
      </c>
      <c r="B562" s="92"/>
      <c r="C562" s="92"/>
      <c r="D562" s="92"/>
      <c r="E562" s="92"/>
      <c r="F562" s="92"/>
      <c r="G562" s="92"/>
      <c r="J562" s="25">
        <f t="shared" si="32"/>
        <v>18</v>
      </c>
    </row>
    <row r="563" spans="1:10" ht="16.95" customHeight="1">
      <c r="A563" s="95" t="s">
        <v>43</v>
      </c>
      <c r="B563" s="95"/>
      <c r="C563" s="95"/>
      <c r="D563" s="95"/>
      <c r="E563" s="95"/>
      <c r="F563" s="95"/>
      <c r="G563" s="95"/>
      <c r="J563" s="25">
        <f t="shared" si="32"/>
        <v>18</v>
      </c>
    </row>
    <row r="564" spans="1:10" ht="16.95" customHeight="1">
      <c r="A564" s="95" t="s">
        <v>44</v>
      </c>
      <c r="B564" s="95"/>
      <c r="C564" s="95"/>
      <c r="D564" s="95"/>
      <c r="E564" s="95"/>
      <c r="F564" s="95"/>
      <c r="G564" s="95"/>
      <c r="J564" s="25">
        <f t="shared" si="32"/>
        <v>18</v>
      </c>
    </row>
    <row r="565" spans="1:10" ht="16.95" customHeight="1">
      <c r="A565" s="91" t="s">
        <v>125</v>
      </c>
      <c r="B565" s="91"/>
      <c r="C565" s="91"/>
      <c r="D565" s="91"/>
      <c r="E565" s="91"/>
      <c r="F565" s="91"/>
      <c r="G565" s="91"/>
      <c r="J565" s="25">
        <f t="shared" si="32"/>
        <v>18</v>
      </c>
    </row>
    <row r="566" spans="1:10" ht="120.6" customHeight="1">
      <c r="A566" s="92" t="s">
        <v>45</v>
      </c>
      <c r="B566" s="92"/>
      <c r="C566" s="92"/>
      <c r="D566" s="92"/>
      <c r="E566" s="92"/>
      <c r="F566" s="92"/>
      <c r="G566" s="92"/>
      <c r="J566" s="25">
        <f t="shared" si="32"/>
        <v>18</v>
      </c>
    </row>
    <row r="567" spans="1:10" ht="140.4" customHeight="1">
      <c r="A567" s="93" t="s">
        <v>46</v>
      </c>
      <c r="B567" s="93"/>
      <c r="C567" s="93"/>
      <c r="D567" s="93"/>
      <c r="E567" s="93"/>
      <c r="F567" s="93"/>
      <c r="G567" s="93"/>
      <c r="J567" s="25">
        <f t="shared" si="32"/>
        <v>18</v>
      </c>
    </row>
    <row r="568" spans="1:10" ht="37.200000000000003" customHeight="1">
      <c r="A568" s="103" t="s">
        <v>0</v>
      </c>
      <c r="B568" s="103"/>
      <c r="C568" s="103"/>
      <c r="D568" s="103"/>
      <c r="E568" s="103"/>
      <c r="F568" s="103"/>
      <c r="G568" s="103"/>
      <c r="J568" s="25">
        <f t="shared" si="32"/>
        <v>19</v>
      </c>
    </row>
    <row r="569" spans="1:10" ht="16.95" customHeight="1">
      <c r="A569" s="1" t="s">
        <v>1</v>
      </c>
      <c r="B569" s="104">
        <f>B506+1</f>
        <v>10</v>
      </c>
      <c r="C569" s="104"/>
      <c r="D569" s="104"/>
      <c r="E569" s="104"/>
      <c r="F569" s="104"/>
      <c r="G569" s="104"/>
      <c r="J569" s="25">
        <f t="shared" si="32"/>
        <v>19</v>
      </c>
    </row>
    <row r="570" spans="1:10" ht="16.95" customHeight="1">
      <c r="A570" s="1" t="s">
        <v>2</v>
      </c>
      <c r="B570" s="105" t="s">
        <v>63</v>
      </c>
      <c r="C570" s="105"/>
      <c r="D570" s="105"/>
      <c r="E570" s="106">
        <f>E507+1</f>
        <v>46213</v>
      </c>
      <c r="F570" s="106"/>
      <c r="G570" s="106"/>
      <c r="J570" s="25">
        <f t="shared" si="32"/>
        <v>19</v>
      </c>
    </row>
    <row r="571" spans="1:10" ht="16.95" customHeight="1">
      <c r="A571" s="53" t="s">
        <v>3</v>
      </c>
      <c r="B571" s="2" t="s">
        <v>67</v>
      </c>
      <c r="C571" s="98" t="s">
        <v>4</v>
      </c>
      <c r="D571" s="98"/>
      <c r="E571" s="98" t="s">
        <v>47</v>
      </c>
      <c r="F571" s="98"/>
      <c r="G571" s="98"/>
      <c r="J571" s="25">
        <f t="shared" ref="J571:J634" si="36">J508+2</f>
        <v>19</v>
      </c>
    </row>
    <row r="572" spans="1:10" ht="16.95" customHeight="1">
      <c r="A572" s="53" t="s">
        <v>5</v>
      </c>
      <c r="B572" s="54">
        <v>120</v>
      </c>
      <c r="C572" s="98" t="s">
        <v>6</v>
      </c>
      <c r="D572" s="98"/>
      <c r="E572" s="98" t="s">
        <v>123</v>
      </c>
      <c r="F572" s="98"/>
      <c r="G572" s="98"/>
      <c r="J572" s="25">
        <f t="shared" si="36"/>
        <v>19</v>
      </c>
    </row>
    <row r="573" spans="1:10" ht="16.95" customHeight="1">
      <c r="A573" s="53" t="s">
        <v>7</v>
      </c>
      <c r="B573" s="54">
        <f>B569</f>
        <v>10</v>
      </c>
      <c r="C573" s="100" t="s">
        <v>8</v>
      </c>
      <c r="D573" s="100"/>
      <c r="E573" s="101">
        <f>B572-B573</f>
        <v>110</v>
      </c>
      <c r="F573" s="101"/>
      <c r="G573" s="101"/>
      <c r="J573" s="25">
        <f t="shared" si="36"/>
        <v>19</v>
      </c>
    </row>
    <row r="574" spans="1:10" ht="16.95" customHeight="1">
      <c r="A574" s="53" t="s">
        <v>9</v>
      </c>
      <c r="B574" s="55">
        <v>46204</v>
      </c>
      <c r="C574" s="98" t="s">
        <v>10</v>
      </c>
      <c r="D574" s="98"/>
      <c r="E574" s="102">
        <f>B574+B572-1</f>
        <v>46323</v>
      </c>
      <c r="F574" s="102"/>
      <c r="G574" s="102"/>
      <c r="J574" s="25">
        <f t="shared" si="36"/>
        <v>19</v>
      </c>
    </row>
    <row r="575" spans="1:10" ht="16.95" customHeight="1">
      <c r="A575" s="53" t="s">
        <v>11</v>
      </c>
      <c r="B575" s="56">
        <f>HLOOKUP(B569,進度表!$Q$2:$Z$3,2,1)+B512</f>
        <v>3.9800844869706857E-2</v>
      </c>
      <c r="C575" s="98" t="s">
        <v>12</v>
      </c>
      <c r="D575" s="98"/>
      <c r="E575" s="99">
        <f>I613/I575+E512</f>
        <v>5.5473245114006517E-2</v>
      </c>
      <c r="F575" s="99"/>
      <c r="G575" s="99"/>
      <c r="H575" s="3" t="s">
        <v>62</v>
      </c>
      <c r="I575" s="1">
        <v>2456000</v>
      </c>
      <c r="J575" s="25">
        <f t="shared" si="36"/>
        <v>19</v>
      </c>
    </row>
    <row r="576" spans="1:10" ht="16.95" customHeight="1">
      <c r="A576" s="98" t="s">
        <v>13</v>
      </c>
      <c r="B576" s="98"/>
      <c r="C576" s="98"/>
      <c r="D576" s="98"/>
      <c r="E576" s="98"/>
      <c r="F576" s="98"/>
      <c r="G576" s="98"/>
      <c r="J576" s="25">
        <f t="shared" si="36"/>
        <v>19</v>
      </c>
    </row>
    <row r="577" spans="1:10" ht="16.95" customHeight="1">
      <c r="A577" s="52" t="s">
        <v>14</v>
      </c>
      <c r="B577" s="52" t="s">
        <v>15</v>
      </c>
      <c r="C577" s="52" t="s">
        <v>16</v>
      </c>
      <c r="D577" s="52" t="s">
        <v>17</v>
      </c>
      <c r="E577" s="52" t="s">
        <v>18</v>
      </c>
      <c r="F577" s="52" t="s">
        <v>19</v>
      </c>
      <c r="G577" s="52" t="s">
        <v>20</v>
      </c>
      <c r="H577" s="3" t="s">
        <v>21</v>
      </c>
      <c r="I577" s="3" t="s">
        <v>22</v>
      </c>
      <c r="J577" s="25">
        <f t="shared" si="36"/>
        <v>19</v>
      </c>
    </row>
    <row r="578" spans="1:10" ht="16.95" customHeight="1">
      <c r="A578" s="75" t="s">
        <v>65</v>
      </c>
      <c r="B578" s="76" t="s">
        <v>69</v>
      </c>
      <c r="C578" s="77"/>
      <c r="D578" s="78"/>
      <c r="E578" s="79"/>
      <c r="F578" s="79"/>
      <c r="G578" s="2"/>
      <c r="H578" s="37"/>
      <c r="I578" s="4"/>
      <c r="J578" s="25">
        <f t="shared" si="36"/>
        <v>19</v>
      </c>
    </row>
    <row r="579" spans="1:10" ht="34.950000000000003" customHeight="1">
      <c r="A579" s="75">
        <v>1</v>
      </c>
      <c r="B579" s="80" t="s">
        <v>91</v>
      </c>
      <c r="C579" s="77" t="s">
        <v>48</v>
      </c>
      <c r="D579" s="78">
        <v>1</v>
      </c>
      <c r="E579" s="79"/>
      <c r="F579" s="79">
        <f t="shared" ref="F579:F612" si="37">E579+F516</f>
        <v>1</v>
      </c>
      <c r="G579" s="2"/>
      <c r="H579" s="37">
        <v>10508</v>
      </c>
      <c r="I579" s="4">
        <f>H579*E579</f>
        <v>0</v>
      </c>
      <c r="J579" s="25">
        <f t="shared" si="36"/>
        <v>19</v>
      </c>
    </row>
    <row r="580" spans="1:10" ht="34.799999999999997" customHeight="1">
      <c r="A580" s="75">
        <v>2</v>
      </c>
      <c r="B580" s="80" t="s">
        <v>92</v>
      </c>
      <c r="C580" s="77" t="s">
        <v>48</v>
      </c>
      <c r="D580" s="78">
        <v>1</v>
      </c>
      <c r="E580" s="79"/>
      <c r="F580" s="79">
        <f t="shared" si="37"/>
        <v>0</v>
      </c>
      <c r="G580" s="2"/>
      <c r="H580" s="37">
        <v>13223</v>
      </c>
      <c r="I580" s="4">
        <f>H580*E580</f>
        <v>0</v>
      </c>
      <c r="J580" s="25">
        <f t="shared" si="36"/>
        <v>19</v>
      </c>
    </row>
    <row r="581" spans="1:10" ht="53.4" customHeight="1">
      <c r="A581" s="75">
        <v>3</v>
      </c>
      <c r="B581" s="80" t="s">
        <v>93</v>
      </c>
      <c r="C581" s="77" t="s">
        <v>48</v>
      </c>
      <c r="D581" s="78">
        <v>1</v>
      </c>
      <c r="E581" s="79">
        <v>0.04</v>
      </c>
      <c r="F581" s="79">
        <f t="shared" si="37"/>
        <v>0.32</v>
      </c>
      <c r="G581" s="2"/>
      <c r="H581" s="37">
        <v>310497</v>
      </c>
      <c r="I581" s="4">
        <f t="shared" ref="I581:I612" si="38">H581*E581</f>
        <v>12419.880000000001</v>
      </c>
      <c r="J581" s="25">
        <f t="shared" si="36"/>
        <v>19</v>
      </c>
    </row>
    <row r="582" spans="1:10" ht="16.95" customHeight="1">
      <c r="A582" s="75">
        <v>4</v>
      </c>
      <c r="B582" s="80" t="s">
        <v>94</v>
      </c>
      <c r="C582" s="77" t="s">
        <v>48</v>
      </c>
      <c r="D582" s="78">
        <v>1</v>
      </c>
      <c r="E582" s="79"/>
      <c r="F582" s="79">
        <f t="shared" si="37"/>
        <v>0</v>
      </c>
      <c r="G582" s="2"/>
      <c r="H582" s="37">
        <v>8375</v>
      </c>
      <c r="I582" s="4">
        <f t="shared" si="38"/>
        <v>0</v>
      </c>
      <c r="J582" s="25">
        <f t="shared" si="36"/>
        <v>19</v>
      </c>
    </row>
    <row r="583" spans="1:10" ht="16.95" customHeight="1">
      <c r="A583" s="75">
        <v>5</v>
      </c>
      <c r="B583" s="80" t="s">
        <v>95</v>
      </c>
      <c r="C583" s="77" t="s">
        <v>48</v>
      </c>
      <c r="D583" s="78">
        <v>1</v>
      </c>
      <c r="E583" s="79"/>
      <c r="F583" s="79">
        <f t="shared" si="37"/>
        <v>0</v>
      </c>
      <c r="G583" s="2"/>
      <c r="H583" s="37">
        <v>51618</v>
      </c>
      <c r="I583" s="4">
        <f t="shared" si="38"/>
        <v>0</v>
      </c>
      <c r="J583" s="25">
        <f t="shared" si="36"/>
        <v>19</v>
      </c>
    </row>
    <row r="584" spans="1:10" ht="16.95" customHeight="1">
      <c r="A584" s="75">
        <v>6</v>
      </c>
      <c r="B584" s="80" t="s">
        <v>96</v>
      </c>
      <c r="C584" s="77" t="s">
        <v>50</v>
      </c>
      <c r="D584" s="78">
        <v>11.55</v>
      </c>
      <c r="E584" s="79"/>
      <c r="F584" s="79">
        <f t="shared" si="37"/>
        <v>0</v>
      </c>
      <c r="G584" s="2"/>
      <c r="H584" s="37">
        <v>1188</v>
      </c>
      <c r="I584" s="4">
        <f t="shared" si="38"/>
        <v>0</v>
      </c>
      <c r="J584" s="25">
        <f t="shared" si="36"/>
        <v>19</v>
      </c>
    </row>
    <row r="585" spans="1:10" ht="34.950000000000003" customHeight="1">
      <c r="A585" s="75">
        <v>7</v>
      </c>
      <c r="B585" s="80" t="s">
        <v>97</v>
      </c>
      <c r="C585" s="77" t="s">
        <v>48</v>
      </c>
      <c r="D585" s="78">
        <v>1</v>
      </c>
      <c r="E585" s="79"/>
      <c r="F585" s="79">
        <f t="shared" si="37"/>
        <v>0</v>
      </c>
      <c r="G585" s="2"/>
      <c r="H585" s="37">
        <v>21157</v>
      </c>
      <c r="I585" s="4">
        <f t="shared" si="38"/>
        <v>0</v>
      </c>
      <c r="J585" s="25">
        <f t="shared" si="36"/>
        <v>19</v>
      </c>
    </row>
    <row r="586" spans="1:10" ht="16.95" customHeight="1">
      <c r="A586" s="75">
        <v>8</v>
      </c>
      <c r="B586" s="80" t="s">
        <v>98</v>
      </c>
      <c r="C586" s="77" t="s">
        <v>50</v>
      </c>
      <c r="D586" s="78">
        <v>387</v>
      </c>
      <c r="E586" s="79"/>
      <c r="F586" s="79">
        <f t="shared" si="37"/>
        <v>0</v>
      </c>
      <c r="G586" s="2"/>
      <c r="H586" s="37">
        <v>705</v>
      </c>
      <c r="I586" s="4">
        <f t="shared" si="38"/>
        <v>0</v>
      </c>
      <c r="J586" s="25">
        <f t="shared" si="36"/>
        <v>19</v>
      </c>
    </row>
    <row r="587" spans="1:10" ht="16.95" customHeight="1">
      <c r="A587" s="75">
        <v>9</v>
      </c>
      <c r="B587" s="80" t="s">
        <v>99</v>
      </c>
      <c r="C587" s="77" t="s">
        <v>50</v>
      </c>
      <c r="D587" s="78">
        <v>170</v>
      </c>
      <c r="E587" s="79"/>
      <c r="F587" s="79">
        <f t="shared" si="37"/>
        <v>0</v>
      </c>
      <c r="G587" s="2"/>
      <c r="H587" s="37">
        <v>617</v>
      </c>
      <c r="I587" s="4">
        <f t="shared" si="38"/>
        <v>0</v>
      </c>
      <c r="J587" s="25">
        <f t="shared" si="36"/>
        <v>19</v>
      </c>
    </row>
    <row r="588" spans="1:10" ht="16.95" customHeight="1">
      <c r="A588" s="75">
        <v>10</v>
      </c>
      <c r="B588" s="80" t="s">
        <v>100</v>
      </c>
      <c r="C588" s="77" t="s">
        <v>66</v>
      </c>
      <c r="D588" s="78">
        <v>15</v>
      </c>
      <c r="E588" s="79"/>
      <c r="F588" s="79">
        <f t="shared" si="37"/>
        <v>0</v>
      </c>
      <c r="G588" s="2"/>
      <c r="H588" s="37">
        <v>617</v>
      </c>
      <c r="I588" s="4">
        <f t="shared" si="38"/>
        <v>0</v>
      </c>
      <c r="J588" s="25">
        <f t="shared" si="36"/>
        <v>19</v>
      </c>
    </row>
    <row r="589" spans="1:10" ht="16.95" customHeight="1">
      <c r="A589" s="75">
        <v>11</v>
      </c>
      <c r="B589" s="80" t="s">
        <v>101</v>
      </c>
      <c r="C589" s="77" t="s">
        <v>50</v>
      </c>
      <c r="D589" s="78">
        <v>75</v>
      </c>
      <c r="E589" s="79"/>
      <c r="F589" s="79">
        <f t="shared" si="37"/>
        <v>0</v>
      </c>
      <c r="G589" s="2"/>
      <c r="H589" s="37">
        <v>1146</v>
      </c>
      <c r="I589" s="4">
        <f t="shared" si="38"/>
        <v>0</v>
      </c>
      <c r="J589" s="25">
        <f t="shared" si="36"/>
        <v>19</v>
      </c>
    </row>
    <row r="590" spans="1:10" ht="16.95" customHeight="1">
      <c r="A590" s="75">
        <v>12</v>
      </c>
      <c r="B590" s="80" t="s">
        <v>102</v>
      </c>
      <c r="C590" s="77" t="s">
        <v>50</v>
      </c>
      <c r="D590" s="78">
        <v>5</v>
      </c>
      <c r="E590" s="79"/>
      <c r="F590" s="79">
        <f t="shared" si="37"/>
        <v>0</v>
      </c>
      <c r="G590" s="2"/>
      <c r="H590" s="37">
        <v>1455</v>
      </c>
      <c r="I590" s="4">
        <f t="shared" si="38"/>
        <v>0</v>
      </c>
      <c r="J590" s="25">
        <f t="shared" si="36"/>
        <v>19</v>
      </c>
    </row>
    <row r="591" spans="1:10" ht="16.95" customHeight="1">
      <c r="A591" s="75">
        <v>13</v>
      </c>
      <c r="B591" s="80" t="s">
        <v>103</v>
      </c>
      <c r="C591" s="77" t="s">
        <v>50</v>
      </c>
      <c r="D591" s="78">
        <v>217</v>
      </c>
      <c r="E591" s="79"/>
      <c r="F591" s="79">
        <f t="shared" si="37"/>
        <v>0</v>
      </c>
      <c r="G591" s="2"/>
      <c r="H591" s="37">
        <v>1410</v>
      </c>
      <c r="I591" s="4">
        <f t="shared" si="38"/>
        <v>0</v>
      </c>
      <c r="J591" s="25">
        <f t="shared" si="36"/>
        <v>19</v>
      </c>
    </row>
    <row r="592" spans="1:10" ht="16.95" customHeight="1">
      <c r="A592" s="75">
        <v>14</v>
      </c>
      <c r="B592" s="80" t="s">
        <v>104</v>
      </c>
      <c r="C592" s="77" t="s">
        <v>49</v>
      </c>
      <c r="D592" s="78">
        <v>84</v>
      </c>
      <c r="E592" s="79"/>
      <c r="F592" s="79">
        <f t="shared" si="37"/>
        <v>0</v>
      </c>
      <c r="G592" s="2"/>
      <c r="H592" s="37">
        <v>529</v>
      </c>
      <c r="I592" s="4">
        <f t="shared" si="38"/>
        <v>0</v>
      </c>
      <c r="J592" s="25">
        <f t="shared" si="36"/>
        <v>19</v>
      </c>
    </row>
    <row r="593" spans="1:10" ht="16.95" customHeight="1">
      <c r="A593" s="75">
        <v>15</v>
      </c>
      <c r="B593" s="80" t="s">
        <v>105</v>
      </c>
      <c r="C593" s="77" t="s">
        <v>50</v>
      </c>
      <c r="D593" s="78">
        <v>1</v>
      </c>
      <c r="E593" s="79"/>
      <c r="F593" s="79">
        <f t="shared" si="37"/>
        <v>0</v>
      </c>
      <c r="G593" s="2"/>
      <c r="H593" s="37">
        <v>1146</v>
      </c>
      <c r="I593" s="4">
        <f t="shared" si="38"/>
        <v>0</v>
      </c>
      <c r="J593" s="25">
        <f t="shared" si="36"/>
        <v>19</v>
      </c>
    </row>
    <row r="594" spans="1:10" ht="34.799999999999997" customHeight="1">
      <c r="A594" s="75">
        <v>16</v>
      </c>
      <c r="B594" s="80" t="s">
        <v>106</v>
      </c>
      <c r="C594" s="77" t="s">
        <v>50</v>
      </c>
      <c r="D594" s="78">
        <v>314</v>
      </c>
      <c r="E594" s="79"/>
      <c r="F594" s="79">
        <f t="shared" si="37"/>
        <v>0</v>
      </c>
      <c r="G594" s="2"/>
      <c r="H594" s="37">
        <v>185</v>
      </c>
      <c r="I594" s="4">
        <f t="shared" si="38"/>
        <v>0</v>
      </c>
      <c r="J594" s="25">
        <f t="shared" si="36"/>
        <v>19</v>
      </c>
    </row>
    <row r="595" spans="1:10" ht="16.95" customHeight="1">
      <c r="A595" s="75">
        <v>17</v>
      </c>
      <c r="B595" s="80" t="s">
        <v>107</v>
      </c>
      <c r="C595" s="77" t="s">
        <v>48</v>
      </c>
      <c r="D595" s="78">
        <v>1</v>
      </c>
      <c r="E595" s="79"/>
      <c r="F595" s="79">
        <f t="shared" si="37"/>
        <v>0</v>
      </c>
      <c r="G595" s="2"/>
      <c r="H595" s="37">
        <v>89918</v>
      </c>
      <c r="I595" s="4">
        <f t="shared" si="38"/>
        <v>0</v>
      </c>
      <c r="J595" s="25">
        <f t="shared" si="36"/>
        <v>19</v>
      </c>
    </row>
    <row r="596" spans="1:10" ht="16.95" customHeight="1">
      <c r="A596" s="75">
        <v>18</v>
      </c>
      <c r="B596" s="80" t="s">
        <v>108</v>
      </c>
      <c r="C596" s="77" t="s">
        <v>120</v>
      </c>
      <c r="D596" s="78">
        <v>15</v>
      </c>
      <c r="E596" s="79"/>
      <c r="F596" s="79">
        <f t="shared" si="37"/>
        <v>0</v>
      </c>
      <c r="G596" s="2"/>
      <c r="H596" s="37">
        <v>661</v>
      </c>
      <c r="I596" s="4">
        <f t="shared" si="38"/>
        <v>0</v>
      </c>
      <c r="J596" s="25">
        <f t="shared" si="36"/>
        <v>19</v>
      </c>
    </row>
    <row r="597" spans="1:10" ht="16.95" customHeight="1">
      <c r="A597" s="75">
        <v>19</v>
      </c>
      <c r="B597" s="80" t="s">
        <v>109</v>
      </c>
      <c r="C597" s="77" t="s">
        <v>50</v>
      </c>
      <c r="D597" s="78">
        <v>82</v>
      </c>
      <c r="E597" s="79"/>
      <c r="F597" s="79">
        <f t="shared" si="37"/>
        <v>0</v>
      </c>
      <c r="G597" s="2"/>
      <c r="H597" s="37">
        <v>2909</v>
      </c>
      <c r="I597" s="4">
        <f t="shared" si="38"/>
        <v>0</v>
      </c>
      <c r="J597" s="25">
        <f t="shared" si="36"/>
        <v>19</v>
      </c>
    </row>
    <row r="598" spans="1:10" ht="16.95" customHeight="1">
      <c r="A598" s="75">
        <v>20</v>
      </c>
      <c r="B598" s="80" t="s">
        <v>110</v>
      </c>
      <c r="C598" s="77" t="s">
        <v>121</v>
      </c>
      <c r="D598" s="78">
        <v>12</v>
      </c>
      <c r="E598" s="79"/>
      <c r="F598" s="79">
        <f t="shared" si="37"/>
        <v>0</v>
      </c>
      <c r="G598" s="2"/>
      <c r="H598" s="37">
        <v>882</v>
      </c>
      <c r="I598" s="4">
        <f t="shared" si="38"/>
        <v>0</v>
      </c>
      <c r="J598" s="25">
        <f t="shared" si="36"/>
        <v>19</v>
      </c>
    </row>
    <row r="599" spans="1:10" ht="16.95" customHeight="1">
      <c r="A599" s="77">
        <v>21</v>
      </c>
      <c r="B599" s="80" t="s">
        <v>111</v>
      </c>
      <c r="C599" s="77" t="s">
        <v>122</v>
      </c>
      <c r="D599" s="78">
        <v>3</v>
      </c>
      <c r="E599" s="79"/>
      <c r="F599" s="79">
        <f t="shared" si="37"/>
        <v>0</v>
      </c>
      <c r="G599" s="2"/>
      <c r="H599" s="38">
        <v>1869</v>
      </c>
      <c r="I599" s="4">
        <f t="shared" si="38"/>
        <v>0</v>
      </c>
      <c r="J599" s="25">
        <f t="shared" si="36"/>
        <v>19</v>
      </c>
    </row>
    <row r="600" spans="1:10" ht="34.950000000000003" customHeight="1">
      <c r="A600" s="75">
        <v>22</v>
      </c>
      <c r="B600" s="80" t="s">
        <v>112</v>
      </c>
      <c r="C600" s="77" t="s">
        <v>48</v>
      </c>
      <c r="D600" s="78">
        <v>1</v>
      </c>
      <c r="E600" s="79"/>
      <c r="F600" s="79">
        <f t="shared" si="37"/>
        <v>0</v>
      </c>
      <c r="G600" s="2"/>
      <c r="H600" s="37">
        <v>82206</v>
      </c>
      <c r="I600" s="4">
        <f t="shared" si="38"/>
        <v>0</v>
      </c>
      <c r="J600" s="25">
        <f t="shared" si="36"/>
        <v>19</v>
      </c>
    </row>
    <row r="601" spans="1:10" ht="16.95" customHeight="1">
      <c r="A601" s="75">
        <v>23</v>
      </c>
      <c r="B601" s="80" t="s">
        <v>113</v>
      </c>
      <c r="C601" s="77" t="s">
        <v>48</v>
      </c>
      <c r="D601" s="78">
        <v>1</v>
      </c>
      <c r="E601" s="79"/>
      <c r="F601" s="79">
        <f t="shared" si="37"/>
        <v>0</v>
      </c>
      <c r="G601" s="2"/>
      <c r="H601" s="37">
        <v>142723</v>
      </c>
      <c r="I601" s="4">
        <f t="shared" si="38"/>
        <v>0</v>
      </c>
      <c r="J601" s="25">
        <f t="shared" si="36"/>
        <v>19</v>
      </c>
    </row>
    <row r="602" spans="1:10" ht="16.95" customHeight="1">
      <c r="A602" s="75">
        <v>24</v>
      </c>
      <c r="B602" s="80" t="s">
        <v>114</v>
      </c>
      <c r="C602" s="77" t="s">
        <v>48</v>
      </c>
      <c r="D602" s="78">
        <v>1</v>
      </c>
      <c r="E602" s="79"/>
      <c r="F602" s="79">
        <f t="shared" si="37"/>
        <v>0</v>
      </c>
      <c r="G602" s="2"/>
      <c r="H602" s="37">
        <v>37290</v>
      </c>
      <c r="I602" s="4">
        <f t="shared" si="38"/>
        <v>0</v>
      </c>
      <c r="J602" s="25">
        <f t="shared" si="36"/>
        <v>19</v>
      </c>
    </row>
    <row r="603" spans="1:10" ht="16.95" customHeight="1">
      <c r="A603" s="75">
        <v>25</v>
      </c>
      <c r="B603" s="80" t="s">
        <v>115</v>
      </c>
      <c r="C603" s="77" t="s">
        <v>48</v>
      </c>
      <c r="D603" s="78">
        <v>1</v>
      </c>
      <c r="E603" s="79"/>
      <c r="F603" s="79">
        <f t="shared" si="37"/>
        <v>0</v>
      </c>
      <c r="G603" s="2"/>
      <c r="H603" s="37">
        <v>99394</v>
      </c>
      <c r="I603" s="4">
        <f t="shared" si="38"/>
        <v>0</v>
      </c>
      <c r="J603" s="25">
        <f t="shared" si="36"/>
        <v>19</v>
      </c>
    </row>
    <row r="604" spans="1:10" ht="34.950000000000003" customHeight="1">
      <c r="A604" s="75">
        <v>26</v>
      </c>
      <c r="B604" s="80" t="s">
        <v>116</v>
      </c>
      <c r="C604" s="77" t="s">
        <v>48</v>
      </c>
      <c r="D604" s="78">
        <v>1</v>
      </c>
      <c r="E604" s="79"/>
      <c r="F604" s="79">
        <f t="shared" si="37"/>
        <v>0</v>
      </c>
      <c r="G604" s="2"/>
      <c r="H604" s="37">
        <v>21334</v>
      </c>
      <c r="I604" s="4">
        <f t="shared" si="38"/>
        <v>0</v>
      </c>
      <c r="J604" s="25">
        <f t="shared" si="36"/>
        <v>19</v>
      </c>
    </row>
    <row r="605" spans="1:10" ht="16.95" customHeight="1">
      <c r="A605" s="75">
        <v>27</v>
      </c>
      <c r="B605" s="80" t="s">
        <v>117</v>
      </c>
      <c r="C605" s="77" t="s">
        <v>48</v>
      </c>
      <c r="D605" s="78">
        <v>1</v>
      </c>
      <c r="E605" s="79"/>
      <c r="F605" s="79">
        <f t="shared" si="37"/>
        <v>0</v>
      </c>
      <c r="G605" s="2"/>
      <c r="H605" s="37">
        <v>29620</v>
      </c>
      <c r="I605" s="4">
        <f t="shared" si="38"/>
        <v>0</v>
      </c>
      <c r="J605" s="25">
        <f t="shared" si="36"/>
        <v>19</v>
      </c>
    </row>
    <row r="606" spans="1:10" ht="16.95" customHeight="1">
      <c r="A606" s="75">
        <v>28</v>
      </c>
      <c r="B606" s="80" t="s">
        <v>118</v>
      </c>
      <c r="C606" s="77" t="s">
        <v>48</v>
      </c>
      <c r="D606" s="78">
        <v>1</v>
      </c>
      <c r="E606" s="79"/>
      <c r="F606" s="79">
        <f t="shared" si="37"/>
        <v>0</v>
      </c>
      <c r="G606" s="2"/>
      <c r="H606" s="37">
        <v>18506</v>
      </c>
      <c r="I606" s="4">
        <f t="shared" si="38"/>
        <v>0</v>
      </c>
      <c r="J606" s="25">
        <f t="shared" si="36"/>
        <v>19</v>
      </c>
    </row>
    <row r="607" spans="1:10" ht="16.95" customHeight="1">
      <c r="A607" s="75">
        <v>29</v>
      </c>
      <c r="B607" s="80" t="s">
        <v>119</v>
      </c>
      <c r="C607" s="77" t="s">
        <v>48</v>
      </c>
      <c r="D607" s="78">
        <v>1</v>
      </c>
      <c r="E607" s="79"/>
      <c r="F607" s="79">
        <f t="shared" si="37"/>
        <v>0</v>
      </c>
      <c r="G607" s="2"/>
      <c r="H607" s="37">
        <v>34381</v>
      </c>
      <c r="I607" s="4">
        <f t="shared" si="38"/>
        <v>0</v>
      </c>
      <c r="J607" s="25">
        <f t="shared" si="36"/>
        <v>19</v>
      </c>
    </row>
    <row r="608" spans="1:10" ht="16.95" customHeight="1">
      <c r="A608" s="75" t="s">
        <v>79</v>
      </c>
      <c r="B608" s="80" t="s">
        <v>80</v>
      </c>
      <c r="C608" s="77" t="s">
        <v>48</v>
      </c>
      <c r="D608" s="78">
        <v>1</v>
      </c>
      <c r="E608" s="79">
        <f t="shared" ref="E608:E611" si="39">1/120</f>
        <v>8.3333333333333332E-3</v>
      </c>
      <c r="F608" s="79">
        <f t="shared" si="37"/>
        <v>8.3333333333333329E-2</v>
      </c>
      <c r="G608" s="2"/>
      <c r="H608" s="37">
        <v>21395</v>
      </c>
      <c r="I608" s="4">
        <f t="shared" si="38"/>
        <v>178.29166666666666</v>
      </c>
      <c r="J608" s="25">
        <f t="shared" si="36"/>
        <v>19</v>
      </c>
    </row>
    <row r="609" spans="1:10" ht="16.95" customHeight="1">
      <c r="A609" s="75" t="s">
        <v>81</v>
      </c>
      <c r="B609" s="80" t="s">
        <v>82</v>
      </c>
      <c r="C609" s="77" t="s">
        <v>48</v>
      </c>
      <c r="D609" s="78">
        <v>1</v>
      </c>
      <c r="E609" s="79">
        <f t="shared" si="39"/>
        <v>8.3333333333333332E-3</v>
      </c>
      <c r="F609" s="79">
        <f t="shared" si="37"/>
        <v>8.3333333333333329E-2</v>
      </c>
      <c r="G609" s="2"/>
      <c r="H609" s="37">
        <v>21395</v>
      </c>
      <c r="I609" s="4">
        <f t="shared" si="38"/>
        <v>178.29166666666666</v>
      </c>
      <c r="J609" s="25">
        <f t="shared" si="36"/>
        <v>19</v>
      </c>
    </row>
    <row r="610" spans="1:10" ht="16.95" customHeight="1">
      <c r="A610" s="75" t="s">
        <v>83</v>
      </c>
      <c r="B610" s="80" t="s">
        <v>84</v>
      </c>
      <c r="C610" s="77" t="s">
        <v>48</v>
      </c>
      <c r="D610" s="78">
        <v>1</v>
      </c>
      <c r="E610" s="79">
        <f t="shared" si="39"/>
        <v>8.3333333333333332E-3</v>
      </c>
      <c r="F610" s="79">
        <f t="shared" si="37"/>
        <v>8.3333333333333329E-2</v>
      </c>
      <c r="G610" s="2"/>
      <c r="H610" s="37">
        <v>149765</v>
      </c>
      <c r="I610" s="4">
        <f t="shared" si="38"/>
        <v>1248.0416666666667</v>
      </c>
      <c r="J610" s="25">
        <f t="shared" si="36"/>
        <v>19</v>
      </c>
    </row>
    <row r="611" spans="1:10" ht="16.95" customHeight="1">
      <c r="A611" s="75" t="s">
        <v>85</v>
      </c>
      <c r="B611" s="80" t="s">
        <v>86</v>
      </c>
      <c r="C611" s="77" t="s">
        <v>48</v>
      </c>
      <c r="D611" s="78">
        <v>1</v>
      </c>
      <c r="E611" s="79">
        <f t="shared" si="39"/>
        <v>8.3333333333333332E-3</v>
      </c>
      <c r="F611" s="79">
        <f t="shared" si="37"/>
        <v>8.3333333333333329E-2</v>
      </c>
      <c r="G611" s="2"/>
      <c r="H611" s="37">
        <v>6996</v>
      </c>
      <c r="I611" s="4">
        <f t="shared" si="38"/>
        <v>58.3</v>
      </c>
      <c r="J611" s="25">
        <f t="shared" si="36"/>
        <v>19</v>
      </c>
    </row>
    <row r="612" spans="1:10" ht="16.95" customHeight="1">
      <c r="A612" s="75" t="s">
        <v>87</v>
      </c>
      <c r="B612" s="80" t="s">
        <v>88</v>
      </c>
      <c r="C612" s="77" t="s">
        <v>48</v>
      </c>
      <c r="D612" s="78">
        <v>1</v>
      </c>
      <c r="E612" s="79">
        <f>1/120</f>
        <v>8.3333333333333332E-3</v>
      </c>
      <c r="F612" s="79">
        <f t="shared" si="37"/>
        <v>8.3333333333333329E-2</v>
      </c>
      <c r="G612" s="2"/>
      <c r="H612" s="37">
        <v>116952</v>
      </c>
      <c r="I612" s="4">
        <f t="shared" si="38"/>
        <v>974.6</v>
      </c>
      <c r="J612" s="25">
        <f t="shared" si="36"/>
        <v>19</v>
      </c>
    </row>
    <row r="613" spans="1:10" ht="16.95" customHeight="1">
      <c r="A613" s="95" t="s">
        <v>23</v>
      </c>
      <c r="B613" s="95"/>
      <c r="C613" s="50"/>
      <c r="D613" s="50"/>
      <c r="E613" s="50"/>
      <c r="F613" s="50"/>
      <c r="G613" s="50"/>
      <c r="H613" s="3" t="s">
        <v>24</v>
      </c>
      <c r="I613" s="5">
        <f>SUM(I578:I612)</f>
        <v>15057.404999999999</v>
      </c>
      <c r="J613" s="25">
        <f t="shared" si="36"/>
        <v>19</v>
      </c>
    </row>
    <row r="614" spans="1:10" ht="16.95" customHeight="1">
      <c r="A614" s="96" t="s">
        <v>25</v>
      </c>
      <c r="B614" s="96"/>
      <c r="C614" s="50"/>
      <c r="D614" s="50"/>
      <c r="E614" s="50"/>
      <c r="F614" s="50"/>
      <c r="G614" s="50"/>
      <c r="J614" s="25">
        <f t="shared" si="36"/>
        <v>19</v>
      </c>
    </row>
    <row r="615" spans="1:10" ht="16.95" customHeight="1">
      <c r="A615" s="96" t="s">
        <v>26</v>
      </c>
      <c r="B615" s="96"/>
      <c r="C615" s="50"/>
      <c r="D615" s="50"/>
      <c r="E615" s="50"/>
      <c r="F615" s="50"/>
      <c r="G615" s="50"/>
      <c r="J615" s="25">
        <f t="shared" si="36"/>
        <v>19</v>
      </c>
    </row>
    <row r="616" spans="1:10" ht="16.95" customHeight="1">
      <c r="A616" s="95" t="s">
        <v>27</v>
      </c>
      <c r="B616" s="95"/>
      <c r="C616" s="95"/>
      <c r="D616" s="95"/>
      <c r="E616" s="95"/>
      <c r="F616" s="95"/>
      <c r="G616" s="95"/>
      <c r="J616" s="25">
        <f t="shared" si="36"/>
        <v>19</v>
      </c>
    </row>
    <row r="617" spans="1:10" ht="16.95" customHeight="1">
      <c r="A617" s="94" t="s">
        <v>28</v>
      </c>
      <c r="B617" s="94"/>
      <c r="C617" s="51" t="s">
        <v>29</v>
      </c>
      <c r="D617" s="51" t="s">
        <v>30</v>
      </c>
      <c r="E617" s="51" t="s">
        <v>18</v>
      </c>
      <c r="F617" s="51" t="s">
        <v>31</v>
      </c>
      <c r="G617" s="51" t="s">
        <v>20</v>
      </c>
      <c r="J617" s="25">
        <f t="shared" si="36"/>
        <v>19</v>
      </c>
    </row>
    <row r="618" spans="1:10" ht="16.95" customHeight="1">
      <c r="A618" s="96"/>
      <c r="B618" s="96"/>
      <c r="C618" s="50"/>
      <c r="D618" s="50"/>
      <c r="E618" s="50"/>
      <c r="F618" s="50"/>
      <c r="G618" s="51"/>
      <c r="J618" s="25">
        <f t="shared" si="36"/>
        <v>19</v>
      </c>
    </row>
    <row r="619" spans="1:10" ht="16.95" customHeight="1">
      <c r="A619" s="97"/>
      <c r="B619" s="97"/>
      <c r="C619" s="50"/>
      <c r="D619" s="50"/>
      <c r="E619" s="50"/>
      <c r="F619" s="51"/>
      <c r="G619" s="51"/>
      <c r="J619" s="25">
        <f t="shared" si="36"/>
        <v>19</v>
      </c>
    </row>
    <row r="620" spans="1:10" ht="16.95" customHeight="1">
      <c r="A620" s="95" t="s">
        <v>32</v>
      </c>
      <c r="B620" s="95"/>
      <c r="C620" s="95"/>
      <c r="D620" s="95"/>
      <c r="E620" s="95"/>
      <c r="F620" s="95"/>
      <c r="G620" s="95"/>
      <c r="J620" s="25">
        <f t="shared" si="36"/>
        <v>20</v>
      </c>
    </row>
    <row r="621" spans="1:10" ht="16.95" customHeight="1">
      <c r="A621" s="51" t="s">
        <v>33</v>
      </c>
      <c r="B621" s="51" t="s">
        <v>34</v>
      </c>
      <c r="C621" s="94" t="s">
        <v>35</v>
      </c>
      <c r="D621" s="94"/>
      <c r="E621" s="51" t="s">
        <v>36</v>
      </c>
      <c r="F621" s="51" t="s">
        <v>37</v>
      </c>
      <c r="G621" s="51" t="s">
        <v>38</v>
      </c>
      <c r="J621" s="25">
        <f t="shared" si="36"/>
        <v>20</v>
      </c>
    </row>
    <row r="622" spans="1:10" ht="16.95" customHeight="1">
      <c r="A622" s="51" t="s">
        <v>39</v>
      </c>
      <c r="B622" s="6">
        <v>1</v>
      </c>
      <c r="C622" s="94">
        <f>B622+C559</f>
        <v>8</v>
      </c>
      <c r="D622" s="94"/>
      <c r="E622" s="51"/>
      <c r="F622" s="24"/>
      <c r="G622" s="24"/>
      <c r="J622" s="25">
        <f t="shared" si="36"/>
        <v>20</v>
      </c>
    </row>
    <row r="623" spans="1:10" ht="16.95" customHeight="1">
      <c r="A623" s="51" t="s">
        <v>40</v>
      </c>
      <c r="B623" s="6">
        <v>1</v>
      </c>
      <c r="C623" s="94">
        <f>B623+C560</f>
        <v>9</v>
      </c>
      <c r="D623" s="94"/>
      <c r="E623" s="51"/>
      <c r="F623" s="24"/>
      <c r="G623" s="24"/>
      <c r="J623" s="25">
        <f t="shared" si="36"/>
        <v>20</v>
      </c>
    </row>
    <row r="624" spans="1:10" ht="36.6" customHeight="1">
      <c r="A624" s="95" t="s">
        <v>41</v>
      </c>
      <c r="B624" s="95"/>
      <c r="C624" s="95"/>
      <c r="D624" s="95"/>
      <c r="E624" s="95"/>
      <c r="F624" s="95"/>
      <c r="G624" s="95"/>
      <c r="J624" s="25">
        <f t="shared" si="36"/>
        <v>20</v>
      </c>
    </row>
    <row r="625" spans="1:10" ht="90" customHeight="1">
      <c r="A625" s="92" t="s">
        <v>42</v>
      </c>
      <c r="B625" s="92"/>
      <c r="C625" s="92"/>
      <c r="D625" s="92"/>
      <c r="E625" s="92"/>
      <c r="F625" s="92"/>
      <c r="G625" s="92"/>
      <c r="J625" s="25">
        <f t="shared" si="36"/>
        <v>20</v>
      </c>
    </row>
    <row r="626" spans="1:10" ht="16.95" customHeight="1">
      <c r="A626" s="95" t="s">
        <v>43</v>
      </c>
      <c r="B626" s="95"/>
      <c r="C626" s="95"/>
      <c r="D626" s="95"/>
      <c r="E626" s="95"/>
      <c r="F626" s="95"/>
      <c r="G626" s="95"/>
      <c r="J626" s="25">
        <f t="shared" si="36"/>
        <v>20</v>
      </c>
    </row>
    <row r="627" spans="1:10" ht="16.95" customHeight="1">
      <c r="A627" s="95" t="s">
        <v>44</v>
      </c>
      <c r="B627" s="95"/>
      <c r="C627" s="95"/>
      <c r="D627" s="95"/>
      <c r="E627" s="95"/>
      <c r="F627" s="95"/>
      <c r="G627" s="95"/>
      <c r="J627" s="25">
        <f t="shared" si="36"/>
        <v>20</v>
      </c>
    </row>
    <row r="628" spans="1:10" ht="16.95" customHeight="1">
      <c r="A628" s="91" t="s">
        <v>125</v>
      </c>
      <c r="B628" s="91"/>
      <c r="C628" s="91"/>
      <c r="D628" s="91"/>
      <c r="E628" s="91"/>
      <c r="F628" s="91"/>
      <c r="G628" s="91"/>
      <c r="J628" s="25">
        <f t="shared" si="36"/>
        <v>20</v>
      </c>
    </row>
    <row r="629" spans="1:10" ht="120.6" customHeight="1">
      <c r="A629" s="92" t="s">
        <v>45</v>
      </c>
      <c r="B629" s="92"/>
      <c r="C629" s="92"/>
      <c r="D629" s="92"/>
      <c r="E629" s="92"/>
      <c r="F629" s="92"/>
      <c r="G629" s="92"/>
      <c r="J629" s="25">
        <f t="shared" si="36"/>
        <v>20</v>
      </c>
    </row>
    <row r="630" spans="1:10" ht="140.4" customHeight="1">
      <c r="A630" s="93" t="s">
        <v>46</v>
      </c>
      <c r="B630" s="93"/>
      <c r="C630" s="93"/>
      <c r="D630" s="93"/>
      <c r="E630" s="93"/>
      <c r="F630" s="93"/>
      <c r="G630" s="93"/>
      <c r="J630" s="25">
        <f t="shared" si="36"/>
        <v>20</v>
      </c>
    </row>
    <row r="631" spans="1:10" ht="37.200000000000003" customHeight="1">
      <c r="A631" s="103" t="s">
        <v>0</v>
      </c>
      <c r="B631" s="103"/>
      <c r="C631" s="103"/>
      <c r="D631" s="103"/>
      <c r="E631" s="103"/>
      <c r="F631" s="103"/>
      <c r="G631" s="103"/>
      <c r="J631" s="25">
        <f t="shared" si="36"/>
        <v>21</v>
      </c>
    </row>
    <row r="632" spans="1:10" ht="16.95" customHeight="1">
      <c r="A632" s="1" t="s">
        <v>1</v>
      </c>
      <c r="B632" s="104">
        <f>B569+1</f>
        <v>11</v>
      </c>
      <c r="C632" s="104"/>
      <c r="D632" s="104"/>
      <c r="E632" s="104"/>
      <c r="F632" s="104"/>
      <c r="G632" s="104"/>
      <c r="J632" s="25">
        <f t="shared" si="36"/>
        <v>21</v>
      </c>
    </row>
    <row r="633" spans="1:10" ht="16.95" customHeight="1">
      <c r="A633" s="1" t="s">
        <v>2</v>
      </c>
      <c r="B633" s="105" t="s">
        <v>63</v>
      </c>
      <c r="C633" s="105"/>
      <c r="D633" s="105"/>
      <c r="E633" s="106">
        <f>E570+1</f>
        <v>46214</v>
      </c>
      <c r="F633" s="106"/>
      <c r="G633" s="106"/>
      <c r="J633" s="25">
        <f t="shared" si="36"/>
        <v>21</v>
      </c>
    </row>
    <row r="634" spans="1:10" ht="16.95" customHeight="1">
      <c r="A634" s="53" t="s">
        <v>3</v>
      </c>
      <c r="B634" s="2" t="s">
        <v>67</v>
      </c>
      <c r="C634" s="98" t="s">
        <v>4</v>
      </c>
      <c r="D634" s="98"/>
      <c r="E634" s="98" t="s">
        <v>47</v>
      </c>
      <c r="F634" s="98"/>
      <c r="G634" s="98"/>
      <c r="J634" s="25">
        <f t="shared" si="36"/>
        <v>21</v>
      </c>
    </row>
    <row r="635" spans="1:10" ht="16.95" customHeight="1">
      <c r="A635" s="53" t="s">
        <v>5</v>
      </c>
      <c r="B635" s="54">
        <v>120</v>
      </c>
      <c r="C635" s="98" t="s">
        <v>6</v>
      </c>
      <c r="D635" s="98"/>
      <c r="E635" s="98" t="s">
        <v>123</v>
      </c>
      <c r="F635" s="98"/>
      <c r="G635" s="98"/>
      <c r="J635" s="25">
        <f t="shared" ref="J635:J698" si="40">J572+2</f>
        <v>21</v>
      </c>
    </row>
    <row r="636" spans="1:10" ht="16.95" customHeight="1">
      <c r="A636" s="53" t="s">
        <v>7</v>
      </c>
      <c r="B636" s="54">
        <f>B632</f>
        <v>11</v>
      </c>
      <c r="C636" s="100" t="s">
        <v>8</v>
      </c>
      <c r="D636" s="100"/>
      <c r="E636" s="101">
        <f>B635-B636</f>
        <v>109</v>
      </c>
      <c r="F636" s="101"/>
      <c r="G636" s="101"/>
      <c r="J636" s="25">
        <f t="shared" si="40"/>
        <v>21</v>
      </c>
    </row>
    <row r="637" spans="1:10" ht="16.95" customHeight="1">
      <c r="A637" s="53" t="s">
        <v>9</v>
      </c>
      <c r="B637" s="55">
        <v>46204</v>
      </c>
      <c r="C637" s="98" t="s">
        <v>10</v>
      </c>
      <c r="D637" s="98"/>
      <c r="E637" s="102">
        <f>B637+B635-1</f>
        <v>46323</v>
      </c>
      <c r="F637" s="102"/>
      <c r="G637" s="102"/>
      <c r="J637" s="25">
        <f t="shared" si="40"/>
        <v>21</v>
      </c>
    </row>
    <row r="638" spans="1:10" ht="16.95" customHeight="1">
      <c r="A638" s="53" t="s">
        <v>11</v>
      </c>
      <c r="B638" s="56">
        <f>HLOOKUP(B632,進度表!$Q$2:$Z$3,2,1)+B575</f>
        <v>4.3780929356677545E-2</v>
      </c>
      <c r="C638" s="98" t="s">
        <v>12</v>
      </c>
      <c r="D638" s="98"/>
      <c r="E638" s="99">
        <f>I676/I638+E575</f>
        <v>5.5473245114006517E-2</v>
      </c>
      <c r="F638" s="99"/>
      <c r="G638" s="99"/>
      <c r="H638" s="3" t="s">
        <v>62</v>
      </c>
      <c r="I638" s="1">
        <v>2456000</v>
      </c>
      <c r="J638" s="25">
        <f t="shared" si="40"/>
        <v>21</v>
      </c>
    </row>
    <row r="639" spans="1:10" ht="16.95" customHeight="1">
      <c r="A639" s="98" t="s">
        <v>13</v>
      </c>
      <c r="B639" s="98"/>
      <c r="C639" s="98"/>
      <c r="D639" s="98"/>
      <c r="E639" s="98"/>
      <c r="F639" s="98"/>
      <c r="G639" s="98"/>
      <c r="J639" s="25">
        <f t="shared" si="40"/>
        <v>21</v>
      </c>
    </row>
    <row r="640" spans="1:10" ht="16.95" customHeight="1">
      <c r="A640" s="52" t="s">
        <v>14</v>
      </c>
      <c r="B640" s="52" t="s">
        <v>15</v>
      </c>
      <c r="C640" s="52" t="s">
        <v>16</v>
      </c>
      <c r="D640" s="52" t="s">
        <v>17</v>
      </c>
      <c r="E640" s="52" t="s">
        <v>18</v>
      </c>
      <c r="F640" s="52" t="s">
        <v>19</v>
      </c>
      <c r="G640" s="52" t="s">
        <v>20</v>
      </c>
      <c r="H640" s="3" t="s">
        <v>21</v>
      </c>
      <c r="I640" s="3" t="s">
        <v>22</v>
      </c>
      <c r="J640" s="25">
        <f t="shared" si="40"/>
        <v>21</v>
      </c>
    </row>
    <row r="641" spans="1:10" ht="16.95" customHeight="1">
      <c r="A641" s="75" t="s">
        <v>65</v>
      </c>
      <c r="B641" s="76" t="s">
        <v>69</v>
      </c>
      <c r="C641" s="77"/>
      <c r="D641" s="78"/>
      <c r="E641" s="79"/>
      <c r="F641" s="79"/>
      <c r="G641" s="2"/>
      <c r="H641" s="37"/>
      <c r="I641" s="4"/>
      <c r="J641" s="25">
        <f t="shared" si="40"/>
        <v>21</v>
      </c>
    </row>
    <row r="642" spans="1:10" ht="34.950000000000003" customHeight="1">
      <c r="A642" s="75">
        <v>1</v>
      </c>
      <c r="B642" s="80" t="s">
        <v>91</v>
      </c>
      <c r="C642" s="77" t="s">
        <v>48</v>
      </c>
      <c r="D642" s="78">
        <v>1</v>
      </c>
      <c r="E642" s="79"/>
      <c r="F642" s="79">
        <f t="shared" ref="F642:F675" si="41">E642+F579</f>
        <v>1</v>
      </c>
      <c r="G642" s="2"/>
      <c r="H642" s="37">
        <v>10508</v>
      </c>
      <c r="I642" s="4">
        <f>H642*E642</f>
        <v>0</v>
      </c>
      <c r="J642" s="25">
        <f t="shared" si="40"/>
        <v>21</v>
      </c>
    </row>
    <row r="643" spans="1:10" ht="34.799999999999997" customHeight="1">
      <c r="A643" s="75">
        <v>2</v>
      </c>
      <c r="B643" s="80" t="s">
        <v>92</v>
      </c>
      <c r="C643" s="77" t="s">
        <v>48</v>
      </c>
      <c r="D643" s="78">
        <v>1</v>
      </c>
      <c r="E643" s="79"/>
      <c r="F643" s="79">
        <f t="shared" si="41"/>
        <v>0</v>
      </c>
      <c r="G643" s="2"/>
      <c r="H643" s="37">
        <v>13223</v>
      </c>
      <c r="I643" s="4">
        <f>H643*E643</f>
        <v>0</v>
      </c>
      <c r="J643" s="25">
        <f t="shared" si="40"/>
        <v>21</v>
      </c>
    </row>
    <row r="644" spans="1:10" ht="53.4" customHeight="1">
      <c r="A644" s="75">
        <v>3</v>
      </c>
      <c r="B644" s="80" t="s">
        <v>93</v>
      </c>
      <c r="C644" s="77" t="s">
        <v>48</v>
      </c>
      <c r="D644" s="78">
        <v>1</v>
      </c>
      <c r="E644" s="79"/>
      <c r="F644" s="79">
        <f t="shared" si="41"/>
        <v>0.32</v>
      </c>
      <c r="G644" s="2"/>
      <c r="H644" s="37">
        <v>310497</v>
      </c>
      <c r="I644" s="4">
        <f t="shared" ref="I644:I675" si="42">H644*E644</f>
        <v>0</v>
      </c>
      <c r="J644" s="25">
        <f t="shared" si="40"/>
        <v>21</v>
      </c>
    </row>
    <row r="645" spans="1:10" ht="16.95" customHeight="1">
      <c r="A645" s="75">
        <v>4</v>
      </c>
      <c r="B645" s="80" t="s">
        <v>94</v>
      </c>
      <c r="C645" s="77" t="s">
        <v>48</v>
      </c>
      <c r="D645" s="78">
        <v>1</v>
      </c>
      <c r="E645" s="79"/>
      <c r="F645" s="79">
        <f t="shared" si="41"/>
        <v>0</v>
      </c>
      <c r="G645" s="2"/>
      <c r="H645" s="37">
        <v>8375</v>
      </c>
      <c r="I645" s="4">
        <f t="shared" si="42"/>
        <v>0</v>
      </c>
      <c r="J645" s="25">
        <f t="shared" si="40"/>
        <v>21</v>
      </c>
    </row>
    <row r="646" spans="1:10" ht="16.95" customHeight="1">
      <c r="A646" s="75">
        <v>5</v>
      </c>
      <c r="B646" s="80" t="s">
        <v>95</v>
      </c>
      <c r="C646" s="77" t="s">
        <v>48</v>
      </c>
      <c r="D646" s="78">
        <v>1</v>
      </c>
      <c r="E646" s="79"/>
      <c r="F646" s="79">
        <f t="shared" si="41"/>
        <v>0</v>
      </c>
      <c r="G646" s="2"/>
      <c r="H646" s="37">
        <v>51618</v>
      </c>
      <c r="I646" s="4">
        <f t="shared" si="42"/>
        <v>0</v>
      </c>
      <c r="J646" s="25">
        <f t="shared" si="40"/>
        <v>21</v>
      </c>
    </row>
    <row r="647" spans="1:10" ht="16.95" customHeight="1">
      <c r="A647" s="75">
        <v>6</v>
      </c>
      <c r="B647" s="80" t="s">
        <v>96</v>
      </c>
      <c r="C647" s="77" t="s">
        <v>50</v>
      </c>
      <c r="D647" s="78">
        <v>11.55</v>
      </c>
      <c r="E647" s="79"/>
      <c r="F647" s="79">
        <f t="shared" si="41"/>
        <v>0</v>
      </c>
      <c r="G647" s="2"/>
      <c r="H647" s="37">
        <v>1188</v>
      </c>
      <c r="I647" s="4">
        <f t="shared" si="42"/>
        <v>0</v>
      </c>
      <c r="J647" s="25">
        <f t="shared" si="40"/>
        <v>21</v>
      </c>
    </row>
    <row r="648" spans="1:10" ht="34.950000000000003" customHeight="1">
      <c r="A648" s="75">
        <v>7</v>
      </c>
      <c r="B648" s="80" t="s">
        <v>97</v>
      </c>
      <c r="C648" s="77" t="s">
        <v>48</v>
      </c>
      <c r="D648" s="78">
        <v>1</v>
      </c>
      <c r="E648" s="79"/>
      <c r="F648" s="79">
        <f t="shared" si="41"/>
        <v>0</v>
      </c>
      <c r="G648" s="2"/>
      <c r="H648" s="37">
        <v>21157</v>
      </c>
      <c r="I648" s="4">
        <f t="shared" si="42"/>
        <v>0</v>
      </c>
      <c r="J648" s="25">
        <f t="shared" si="40"/>
        <v>21</v>
      </c>
    </row>
    <row r="649" spans="1:10" ht="16.95" customHeight="1">
      <c r="A649" s="75">
        <v>8</v>
      </c>
      <c r="B649" s="80" t="s">
        <v>98</v>
      </c>
      <c r="C649" s="77" t="s">
        <v>50</v>
      </c>
      <c r="D649" s="78">
        <v>387</v>
      </c>
      <c r="E649" s="79"/>
      <c r="F649" s="79">
        <f t="shared" si="41"/>
        <v>0</v>
      </c>
      <c r="G649" s="2"/>
      <c r="H649" s="37">
        <v>705</v>
      </c>
      <c r="I649" s="4">
        <f t="shared" si="42"/>
        <v>0</v>
      </c>
      <c r="J649" s="25">
        <f t="shared" si="40"/>
        <v>21</v>
      </c>
    </row>
    <row r="650" spans="1:10" ht="16.95" customHeight="1">
      <c r="A650" s="75">
        <v>9</v>
      </c>
      <c r="B650" s="80" t="s">
        <v>99</v>
      </c>
      <c r="C650" s="77" t="s">
        <v>50</v>
      </c>
      <c r="D650" s="78">
        <v>170</v>
      </c>
      <c r="E650" s="79"/>
      <c r="F650" s="79">
        <f t="shared" si="41"/>
        <v>0</v>
      </c>
      <c r="G650" s="2"/>
      <c r="H650" s="37">
        <v>617</v>
      </c>
      <c r="I650" s="4">
        <f t="shared" si="42"/>
        <v>0</v>
      </c>
      <c r="J650" s="25">
        <f t="shared" si="40"/>
        <v>21</v>
      </c>
    </row>
    <row r="651" spans="1:10" ht="16.95" customHeight="1">
      <c r="A651" s="75">
        <v>10</v>
      </c>
      <c r="B651" s="80" t="s">
        <v>100</v>
      </c>
      <c r="C651" s="77" t="s">
        <v>66</v>
      </c>
      <c r="D651" s="78">
        <v>15</v>
      </c>
      <c r="E651" s="79"/>
      <c r="F651" s="79">
        <f t="shared" si="41"/>
        <v>0</v>
      </c>
      <c r="G651" s="2"/>
      <c r="H651" s="37">
        <v>617</v>
      </c>
      <c r="I651" s="4">
        <f t="shared" si="42"/>
        <v>0</v>
      </c>
      <c r="J651" s="25">
        <f t="shared" si="40"/>
        <v>21</v>
      </c>
    </row>
    <row r="652" spans="1:10" ht="16.95" customHeight="1">
      <c r="A652" s="75">
        <v>11</v>
      </c>
      <c r="B652" s="80" t="s">
        <v>101</v>
      </c>
      <c r="C652" s="77" t="s">
        <v>50</v>
      </c>
      <c r="D652" s="78">
        <v>75</v>
      </c>
      <c r="E652" s="79"/>
      <c r="F652" s="79">
        <f t="shared" si="41"/>
        <v>0</v>
      </c>
      <c r="G652" s="2"/>
      <c r="H652" s="37">
        <v>1146</v>
      </c>
      <c r="I652" s="4">
        <f t="shared" si="42"/>
        <v>0</v>
      </c>
      <c r="J652" s="25">
        <f t="shared" si="40"/>
        <v>21</v>
      </c>
    </row>
    <row r="653" spans="1:10" ht="16.95" customHeight="1">
      <c r="A653" s="75">
        <v>12</v>
      </c>
      <c r="B653" s="80" t="s">
        <v>102</v>
      </c>
      <c r="C653" s="77" t="s">
        <v>50</v>
      </c>
      <c r="D653" s="78">
        <v>5</v>
      </c>
      <c r="E653" s="79"/>
      <c r="F653" s="79">
        <f t="shared" si="41"/>
        <v>0</v>
      </c>
      <c r="G653" s="2"/>
      <c r="H653" s="37">
        <v>1455</v>
      </c>
      <c r="I653" s="4">
        <f t="shared" si="42"/>
        <v>0</v>
      </c>
      <c r="J653" s="25">
        <f t="shared" si="40"/>
        <v>21</v>
      </c>
    </row>
    <row r="654" spans="1:10" ht="16.95" customHeight="1">
      <c r="A654" s="75">
        <v>13</v>
      </c>
      <c r="B654" s="80" t="s">
        <v>103</v>
      </c>
      <c r="C654" s="77" t="s">
        <v>50</v>
      </c>
      <c r="D654" s="78">
        <v>217</v>
      </c>
      <c r="E654" s="79"/>
      <c r="F654" s="79">
        <f t="shared" si="41"/>
        <v>0</v>
      </c>
      <c r="G654" s="2"/>
      <c r="H654" s="37">
        <v>1410</v>
      </c>
      <c r="I654" s="4">
        <f t="shared" si="42"/>
        <v>0</v>
      </c>
      <c r="J654" s="25">
        <f t="shared" si="40"/>
        <v>21</v>
      </c>
    </row>
    <row r="655" spans="1:10" ht="16.95" customHeight="1">
      <c r="A655" s="75">
        <v>14</v>
      </c>
      <c r="B655" s="80" t="s">
        <v>104</v>
      </c>
      <c r="C655" s="77" t="s">
        <v>49</v>
      </c>
      <c r="D655" s="78">
        <v>84</v>
      </c>
      <c r="E655" s="79"/>
      <c r="F655" s="79">
        <f t="shared" si="41"/>
        <v>0</v>
      </c>
      <c r="G655" s="2"/>
      <c r="H655" s="37">
        <v>529</v>
      </c>
      <c r="I655" s="4">
        <f t="shared" si="42"/>
        <v>0</v>
      </c>
      <c r="J655" s="25">
        <f t="shared" si="40"/>
        <v>21</v>
      </c>
    </row>
    <row r="656" spans="1:10" ht="16.95" customHeight="1">
      <c r="A656" s="75">
        <v>15</v>
      </c>
      <c r="B656" s="80" t="s">
        <v>105</v>
      </c>
      <c r="C656" s="77" t="s">
        <v>50</v>
      </c>
      <c r="D656" s="78">
        <v>1</v>
      </c>
      <c r="E656" s="79"/>
      <c r="F656" s="79">
        <f t="shared" si="41"/>
        <v>0</v>
      </c>
      <c r="G656" s="2"/>
      <c r="H656" s="37">
        <v>1146</v>
      </c>
      <c r="I656" s="4">
        <f t="shared" si="42"/>
        <v>0</v>
      </c>
      <c r="J656" s="25">
        <f t="shared" si="40"/>
        <v>21</v>
      </c>
    </row>
    <row r="657" spans="1:10" ht="34.799999999999997" customHeight="1">
      <c r="A657" s="75">
        <v>16</v>
      </c>
      <c r="B657" s="80" t="s">
        <v>106</v>
      </c>
      <c r="C657" s="77" t="s">
        <v>50</v>
      </c>
      <c r="D657" s="78">
        <v>314</v>
      </c>
      <c r="E657" s="79"/>
      <c r="F657" s="79">
        <f t="shared" si="41"/>
        <v>0</v>
      </c>
      <c r="G657" s="2"/>
      <c r="H657" s="37">
        <v>185</v>
      </c>
      <c r="I657" s="4">
        <f t="shared" si="42"/>
        <v>0</v>
      </c>
      <c r="J657" s="25">
        <f t="shared" si="40"/>
        <v>21</v>
      </c>
    </row>
    <row r="658" spans="1:10" ht="16.95" customHeight="1">
      <c r="A658" s="75">
        <v>17</v>
      </c>
      <c r="B658" s="80" t="s">
        <v>107</v>
      </c>
      <c r="C658" s="77" t="s">
        <v>48</v>
      </c>
      <c r="D658" s="78">
        <v>1</v>
      </c>
      <c r="E658" s="79"/>
      <c r="F658" s="79">
        <f t="shared" si="41"/>
        <v>0</v>
      </c>
      <c r="G658" s="2"/>
      <c r="H658" s="37">
        <v>89918</v>
      </c>
      <c r="I658" s="4">
        <f t="shared" si="42"/>
        <v>0</v>
      </c>
      <c r="J658" s="25">
        <f t="shared" si="40"/>
        <v>21</v>
      </c>
    </row>
    <row r="659" spans="1:10" ht="16.95" customHeight="1">
      <c r="A659" s="75">
        <v>18</v>
      </c>
      <c r="B659" s="80" t="s">
        <v>108</v>
      </c>
      <c r="C659" s="77" t="s">
        <v>120</v>
      </c>
      <c r="D659" s="78">
        <v>15</v>
      </c>
      <c r="E659" s="79"/>
      <c r="F659" s="79">
        <f t="shared" si="41"/>
        <v>0</v>
      </c>
      <c r="G659" s="2"/>
      <c r="H659" s="37">
        <v>661</v>
      </c>
      <c r="I659" s="4">
        <f t="shared" si="42"/>
        <v>0</v>
      </c>
      <c r="J659" s="25">
        <f t="shared" si="40"/>
        <v>21</v>
      </c>
    </row>
    <row r="660" spans="1:10" ht="16.95" customHeight="1">
      <c r="A660" s="75">
        <v>19</v>
      </c>
      <c r="B660" s="80" t="s">
        <v>109</v>
      </c>
      <c r="C660" s="77" t="s">
        <v>50</v>
      </c>
      <c r="D660" s="78">
        <v>82</v>
      </c>
      <c r="E660" s="79"/>
      <c r="F660" s="79">
        <f t="shared" si="41"/>
        <v>0</v>
      </c>
      <c r="G660" s="2"/>
      <c r="H660" s="37">
        <v>2909</v>
      </c>
      <c r="I660" s="4">
        <f t="shared" si="42"/>
        <v>0</v>
      </c>
      <c r="J660" s="25">
        <f t="shared" si="40"/>
        <v>21</v>
      </c>
    </row>
    <row r="661" spans="1:10" ht="16.95" customHeight="1">
      <c r="A661" s="75">
        <v>20</v>
      </c>
      <c r="B661" s="80" t="s">
        <v>110</v>
      </c>
      <c r="C661" s="77" t="s">
        <v>121</v>
      </c>
      <c r="D661" s="78">
        <v>12</v>
      </c>
      <c r="E661" s="79"/>
      <c r="F661" s="79">
        <f t="shared" si="41"/>
        <v>0</v>
      </c>
      <c r="G661" s="2"/>
      <c r="H661" s="37">
        <v>882</v>
      </c>
      <c r="I661" s="4">
        <f t="shared" si="42"/>
        <v>0</v>
      </c>
      <c r="J661" s="25">
        <f t="shared" si="40"/>
        <v>21</v>
      </c>
    </row>
    <row r="662" spans="1:10" ht="16.95" customHeight="1">
      <c r="A662" s="77">
        <v>21</v>
      </c>
      <c r="B662" s="80" t="s">
        <v>111</v>
      </c>
      <c r="C662" s="77" t="s">
        <v>122</v>
      </c>
      <c r="D662" s="78">
        <v>3</v>
      </c>
      <c r="E662" s="79"/>
      <c r="F662" s="79">
        <f t="shared" si="41"/>
        <v>0</v>
      </c>
      <c r="G662" s="2"/>
      <c r="H662" s="38">
        <v>1869</v>
      </c>
      <c r="I662" s="4">
        <f t="shared" si="42"/>
        <v>0</v>
      </c>
      <c r="J662" s="25">
        <f t="shared" si="40"/>
        <v>21</v>
      </c>
    </row>
    <row r="663" spans="1:10" ht="34.950000000000003" customHeight="1">
      <c r="A663" s="75">
        <v>22</v>
      </c>
      <c r="B663" s="80" t="s">
        <v>112</v>
      </c>
      <c r="C663" s="77" t="s">
        <v>48</v>
      </c>
      <c r="D663" s="78">
        <v>1</v>
      </c>
      <c r="E663" s="79"/>
      <c r="F663" s="79">
        <f t="shared" si="41"/>
        <v>0</v>
      </c>
      <c r="G663" s="2"/>
      <c r="H663" s="37">
        <v>82206</v>
      </c>
      <c r="I663" s="4">
        <f t="shared" si="42"/>
        <v>0</v>
      </c>
      <c r="J663" s="25">
        <f t="shared" si="40"/>
        <v>21</v>
      </c>
    </row>
    <row r="664" spans="1:10" ht="16.95" customHeight="1">
      <c r="A664" s="75">
        <v>23</v>
      </c>
      <c r="B664" s="80" t="s">
        <v>113</v>
      </c>
      <c r="C664" s="77" t="s">
        <v>48</v>
      </c>
      <c r="D664" s="78">
        <v>1</v>
      </c>
      <c r="E664" s="79"/>
      <c r="F664" s="79">
        <f t="shared" si="41"/>
        <v>0</v>
      </c>
      <c r="G664" s="2"/>
      <c r="H664" s="37">
        <v>142723</v>
      </c>
      <c r="I664" s="4">
        <f t="shared" si="42"/>
        <v>0</v>
      </c>
      <c r="J664" s="25">
        <f t="shared" si="40"/>
        <v>21</v>
      </c>
    </row>
    <row r="665" spans="1:10" ht="16.95" customHeight="1">
      <c r="A665" s="75">
        <v>24</v>
      </c>
      <c r="B665" s="80" t="s">
        <v>114</v>
      </c>
      <c r="C665" s="77" t="s">
        <v>48</v>
      </c>
      <c r="D665" s="78">
        <v>1</v>
      </c>
      <c r="E665" s="79"/>
      <c r="F665" s="79">
        <f t="shared" si="41"/>
        <v>0</v>
      </c>
      <c r="G665" s="2"/>
      <c r="H665" s="37">
        <v>37290</v>
      </c>
      <c r="I665" s="4">
        <f t="shared" si="42"/>
        <v>0</v>
      </c>
      <c r="J665" s="25">
        <f t="shared" si="40"/>
        <v>21</v>
      </c>
    </row>
    <row r="666" spans="1:10" ht="16.95" customHeight="1">
      <c r="A666" s="75">
        <v>25</v>
      </c>
      <c r="B666" s="80" t="s">
        <v>115</v>
      </c>
      <c r="C666" s="77" t="s">
        <v>48</v>
      </c>
      <c r="D666" s="78">
        <v>1</v>
      </c>
      <c r="E666" s="79"/>
      <c r="F666" s="79">
        <f t="shared" si="41"/>
        <v>0</v>
      </c>
      <c r="G666" s="2"/>
      <c r="H666" s="37">
        <v>99394</v>
      </c>
      <c r="I666" s="4">
        <f t="shared" si="42"/>
        <v>0</v>
      </c>
      <c r="J666" s="25">
        <f t="shared" si="40"/>
        <v>21</v>
      </c>
    </row>
    <row r="667" spans="1:10" ht="34.950000000000003" customHeight="1">
      <c r="A667" s="75">
        <v>26</v>
      </c>
      <c r="B667" s="80" t="s">
        <v>116</v>
      </c>
      <c r="C667" s="77" t="s">
        <v>48</v>
      </c>
      <c r="D667" s="78">
        <v>1</v>
      </c>
      <c r="E667" s="79"/>
      <c r="F667" s="79">
        <f t="shared" si="41"/>
        <v>0</v>
      </c>
      <c r="G667" s="2"/>
      <c r="H667" s="37">
        <v>21334</v>
      </c>
      <c r="I667" s="4">
        <f t="shared" si="42"/>
        <v>0</v>
      </c>
      <c r="J667" s="25">
        <f t="shared" si="40"/>
        <v>21</v>
      </c>
    </row>
    <row r="668" spans="1:10" ht="16.95" customHeight="1">
      <c r="A668" s="75">
        <v>27</v>
      </c>
      <c r="B668" s="80" t="s">
        <v>117</v>
      </c>
      <c r="C668" s="77" t="s">
        <v>48</v>
      </c>
      <c r="D668" s="78">
        <v>1</v>
      </c>
      <c r="E668" s="79"/>
      <c r="F668" s="79">
        <f t="shared" si="41"/>
        <v>0</v>
      </c>
      <c r="G668" s="2"/>
      <c r="H668" s="37">
        <v>29620</v>
      </c>
      <c r="I668" s="4">
        <f t="shared" si="42"/>
        <v>0</v>
      </c>
      <c r="J668" s="25">
        <f t="shared" si="40"/>
        <v>21</v>
      </c>
    </row>
    <row r="669" spans="1:10" ht="16.95" customHeight="1">
      <c r="A669" s="75">
        <v>28</v>
      </c>
      <c r="B669" s="80" t="s">
        <v>118</v>
      </c>
      <c r="C669" s="77" t="s">
        <v>48</v>
      </c>
      <c r="D669" s="78">
        <v>1</v>
      </c>
      <c r="E669" s="79"/>
      <c r="F669" s="79">
        <f t="shared" si="41"/>
        <v>0</v>
      </c>
      <c r="G669" s="2"/>
      <c r="H669" s="37">
        <v>18506</v>
      </c>
      <c r="I669" s="4">
        <f t="shared" si="42"/>
        <v>0</v>
      </c>
      <c r="J669" s="25">
        <f t="shared" si="40"/>
        <v>21</v>
      </c>
    </row>
    <row r="670" spans="1:10" ht="16.95" customHeight="1">
      <c r="A670" s="75">
        <v>29</v>
      </c>
      <c r="B670" s="80" t="s">
        <v>119</v>
      </c>
      <c r="C670" s="77" t="s">
        <v>48</v>
      </c>
      <c r="D670" s="78">
        <v>1</v>
      </c>
      <c r="E670" s="79"/>
      <c r="F670" s="79">
        <f t="shared" si="41"/>
        <v>0</v>
      </c>
      <c r="G670" s="2"/>
      <c r="H670" s="37">
        <v>34381</v>
      </c>
      <c r="I670" s="4">
        <f t="shared" si="42"/>
        <v>0</v>
      </c>
      <c r="J670" s="25">
        <f t="shared" si="40"/>
        <v>21</v>
      </c>
    </row>
    <row r="671" spans="1:10" ht="16.95" customHeight="1">
      <c r="A671" s="75" t="s">
        <v>79</v>
      </c>
      <c r="B671" s="80" t="s">
        <v>80</v>
      </c>
      <c r="C671" s="77" t="s">
        <v>48</v>
      </c>
      <c r="D671" s="78">
        <v>1</v>
      </c>
      <c r="E671" s="79"/>
      <c r="F671" s="79">
        <f t="shared" si="41"/>
        <v>8.3333333333333329E-2</v>
      </c>
      <c r="G671" s="2"/>
      <c r="H671" s="37">
        <v>21395</v>
      </c>
      <c r="I671" s="4">
        <f t="shared" si="42"/>
        <v>0</v>
      </c>
      <c r="J671" s="25">
        <f t="shared" si="40"/>
        <v>21</v>
      </c>
    </row>
    <row r="672" spans="1:10" ht="16.95" customHeight="1">
      <c r="A672" s="75" t="s">
        <v>81</v>
      </c>
      <c r="B672" s="80" t="s">
        <v>82</v>
      </c>
      <c r="C672" s="77" t="s">
        <v>48</v>
      </c>
      <c r="D672" s="78">
        <v>1</v>
      </c>
      <c r="E672" s="79"/>
      <c r="F672" s="79">
        <f t="shared" si="41"/>
        <v>8.3333333333333329E-2</v>
      </c>
      <c r="G672" s="2"/>
      <c r="H672" s="37">
        <v>21395</v>
      </c>
      <c r="I672" s="4">
        <f t="shared" si="42"/>
        <v>0</v>
      </c>
      <c r="J672" s="25">
        <f t="shared" si="40"/>
        <v>21</v>
      </c>
    </row>
    <row r="673" spans="1:10" ht="16.95" customHeight="1">
      <c r="A673" s="75" t="s">
        <v>83</v>
      </c>
      <c r="B673" s="80" t="s">
        <v>84</v>
      </c>
      <c r="C673" s="77" t="s">
        <v>48</v>
      </c>
      <c r="D673" s="78">
        <v>1</v>
      </c>
      <c r="E673" s="79"/>
      <c r="F673" s="79">
        <f t="shared" si="41"/>
        <v>8.3333333333333329E-2</v>
      </c>
      <c r="G673" s="2"/>
      <c r="H673" s="37">
        <v>149765</v>
      </c>
      <c r="I673" s="4">
        <f t="shared" si="42"/>
        <v>0</v>
      </c>
      <c r="J673" s="25">
        <f t="shared" si="40"/>
        <v>21</v>
      </c>
    </row>
    <row r="674" spans="1:10" ht="16.95" customHeight="1">
      <c r="A674" s="75" t="s">
        <v>85</v>
      </c>
      <c r="B674" s="80" t="s">
        <v>86</v>
      </c>
      <c r="C674" s="77" t="s">
        <v>48</v>
      </c>
      <c r="D674" s="78">
        <v>1</v>
      </c>
      <c r="E674" s="79"/>
      <c r="F674" s="79">
        <f t="shared" si="41"/>
        <v>8.3333333333333329E-2</v>
      </c>
      <c r="G674" s="2"/>
      <c r="H674" s="37">
        <v>6996</v>
      </c>
      <c r="I674" s="4">
        <f t="shared" si="42"/>
        <v>0</v>
      </c>
      <c r="J674" s="25">
        <f t="shared" si="40"/>
        <v>21</v>
      </c>
    </row>
    <row r="675" spans="1:10" ht="16.95" customHeight="1">
      <c r="A675" s="75" t="s">
        <v>87</v>
      </c>
      <c r="B675" s="80" t="s">
        <v>88</v>
      </c>
      <c r="C675" s="77" t="s">
        <v>48</v>
      </c>
      <c r="D675" s="78">
        <v>1</v>
      </c>
      <c r="E675" s="79"/>
      <c r="F675" s="79">
        <f t="shared" si="41"/>
        <v>8.3333333333333329E-2</v>
      </c>
      <c r="G675" s="2"/>
      <c r="H675" s="37">
        <v>116952</v>
      </c>
      <c r="I675" s="4">
        <f t="shared" si="42"/>
        <v>0</v>
      </c>
      <c r="J675" s="25">
        <f t="shared" si="40"/>
        <v>21</v>
      </c>
    </row>
    <row r="676" spans="1:10" ht="16.95" customHeight="1">
      <c r="A676" s="95" t="s">
        <v>23</v>
      </c>
      <c r="B676" s="95"/>
      <c r="C676" s="50"/>
      <c r="D676" s="50"/>
      <c r="E676" s="50"/>
      <c r="F676" s="50"/>
      <c r="G676" s="50"/>
      <c r="H676" s="3" t="s">
        <v>24</v>
      </c>
      <c r="I676" s="5">
        <f>SUM(I641:I675)</f>
        <v>0</v>
      </c>
      <c r="J676" s="25">
        <f t="shared" si="40"/>
        <v>21</v>
      </c>
    </row>
    <row r="677" spans="1:10" ht="16.95" customHeight="1">
      <c r="A677" s="96" t="s">
        <v>25</v>
      </c>
      <c r="B677" s="96"/>
      <c r="C677" s="50"/>
      <c r="D677" s="50"/>
      <c r="E677" s="50"/>
      <c r="F677" s="50"/>
      <c r="G677" s="50"/>
      <c r="J677" s="25">
        <f t="shared" si="40"/>
        <v>21</v>
      </c>
    </row>
    <row r="678" spans="1:10" ht="16.95" customHeight="1">
      <c r="A678" s="96" t="s">
        <v>26</v>
      </c>
      <c r="B678" s="96"/>
      <c r="C678" s="50"/>
      <c r="D678" s="50"/>
      <c r="E678" s="50"/>
      <c r="F678" s="50"/>
      <c r="G678" s="50"/>
      <c r="J678" s="25">
        <f t="shared" si="40"/>
        <v>21</v>
      </c>
    </row>
    <row r="679" spans="1:10" ht="16.95" customHeight="1">
      <c r="A679" s="95" t="s">
        <v>27</v>
      </c>
      <c r="B679" s="95"/>
      <c r="C679" s="95"/>
      <c r="D679" s="95"/>
      <c r="E679" s="95"/>
      <c r="F679" s="95"/>
      <c r="G679" s="95"/>
      <c r="J679" s="25">
        <f t="shared" si="40"/>
        <v>21</v>
      </c>
    </row>
    <row r="680" spans="1:10" ht="16.95" customHeight="1">
      <c r="A680" s="94" t="s">
        <v>28</v>
      </c>
      <c r="B680" s="94"/>
      <c r="C680" s="51" t="s">
        <v>29</v>
      </c>
      <c r="D680" s="51" t="s">
        <v>30</v>
      </c>
      <c r="E680" s="51" t="s">
        <v>18</v>
      </c>
      <c r="F680" s="51" t="s">
        <v>31</v>
      </c>
      <c r="G680" s="51" t="s">
        <v>20</v>
      </c>
      <c r="J680" s="25">
        <f t="shared" si="40"/>
        <v>21</v>
      </c>
    </row>
    <row r="681" spans="1:10" ht="16.95" customHeight="1">
      <c r="A681" s="96"/>
      <c r="B681" s="96"/>
      <c r="C681" s="50"/>
      <c r="D681" s="50"/>
      <c r="E681" s="50"/>
      <c r="F681" s="50"/>
      <c r="G681" s="51"/>
      <c r="J681" s="25">
        <f t="shared" si="40"/>
        <v>21</v>
      </c>
    </row>
    <row r="682" spans="1:10" ht="16.95" customHeight="1">
      <c r="A682" s="97"/>
      <c r="B682" s="97"/>
      <c r="C682" s="50"/>
      <c r="D682" s="50"/>
      <c r="E682" s="50"/>
      <c r="F682" s="51"/>
      <c r="G682" s="51"/>
      <c r="J682" s="25">
        <f t="shared" si="40"/>
        <v>21</v>
      </c>
    </row>
    <row r="683" spans="1:10" ht="16.95" customHeight="1">
      <c r="A683" s="95" t="s">
        <v>32</v>
      </c>
      <c r="B683" s="95"/>
      <c r="C683" s="95"/>
      <c r="D683" s="95"/>
      <c r="E683" s="95"/>
      <c r="F683" s="95"/>
      <c r="G683" s="95"/>
      <c r="J683" s="25">
        <f t="shared" si="40"/>
        <v>22</v>
      </c>
    </row>
    <row r="684" spans="1:10" ht="16.95" customHeight="1">
      <c r="A684" s="51" t="s">
        <v>33</v>
      </c>
      <c r="B684" s="51" t="s">
        <v>34</v>
      </c>
      <c r="C684" s="94" t="s">
        <v>35</v>
      </c>
      <c r="D684" s="94"/>
      <c r="E684" s="51" t="s">
        <v>36</v>
      </c>
      <c r="F684" s="51" t="s">
        <v>37</v>
      </c>
      <c r="G684" s="51" t="s">
        <v>38</v>
      </c>
      <c r="J684" s="25">
        <f t="shared" si="40"/>
        <v>22</v>
      </c>
    </row>
    <row r="685" spans="1:10" ht="16.95" customHeight="1">
      <c r="A685" s="51" t="s">
        <v>39</v>
      </c>
      <c r="B685" s="6"/>
      <c r="C685" s="94">
        <f>B685+C622</f>
        <v>8</v>
      </c>
      <c r="D685" s="94"/>
      <c r="E685" s="51"/>
      <c r="F685" s="24"/>
      <c r="G685" s="24"/>
      <c r="J685" s="25">
        <f t="shared" si="40"/>
        <v>22</v>
      </c>
    </row>
    <row r="686" spans="1:10" ht="16.95" customHeight="1">
      <c r="A686" s="51" t="s">
        <v>40</v>
      </c>
      <c r="B686" s="6"/>
      <c r="C686" s="94">
        <f>B686+C623</f>
        <v>9</v>
      </c>
      <c r="D686" s="94"/>
      <c r="E686" s="51"/>
      <c r="F686" s="24"/>
      <c r="G686" s="24"/>
      <c r="J686" s="25">
        <f t="shared" si="40"/>
        <v>22</v>
      </c>
    </row>
    <row r="687" spans="1:10" ht="36.6" customHeight="1">
      <c r="A687" s="95" t="s">
        <v>41</v>
      </c>
      <c r="B687" s="95"/>
      <c r="C687" s="95"/>
      <c r="D687" s="95"/>
      <c r="E687" s="95"/>
      <c r="F687" s="95"/>
      <c r="G687" s="95"/>
      <c r="J687" s="25">
        <f t="shared" si="40"/>
        <v>22</v>
      </c>
    </row>
    <row r="688" spans="1:10" ht="90" customHeight="1">
      <c r="A688" s="92" t="s">
        <v>42</v>
      </c>
      <c r="B688" s="92"/>
      <c r="C688" s="92"/>
      <c r="D688" s="92"/>
      <c r="E688" s="92"/>
      <c r="F688" s="92"/>
      <c r="G688" s="92"/>
      <c r="J688" s="25">
        <f t="shared" si="40"/>
        <v>22</v>
      </c>
    </row>
    <row r="689" spans="1:10" ht="16.95" customHeight="1">
      <c r="A689" s="95" t="s">
        <v>43</v>
      </c>
      <c r="B689" s="95"/>
      <c r="C689" s="95"/>
      <c r="D689" s="95"/>
      <c r="E689" s="95"/>
      <c r="F689" s="95"/>
      <c r="G689" s="95"/>
      <c r="J689" s="25">
        <f t="shared" si="40"/>
        <v>22</v>
      </c>
    </row>
    <row r="690" spans="1:10" ht="16.95" customHeight="1">
      <c r="A690" s="95" t="s">
        <v>44</v>
      </c>
      <c r="B690" s="95"/>
      <c r="C690" s="95"/>
      <c r="D690" s="95"/>
      <c r="E690" s="95"/>
      <c r="F690" s="95"/>
      <c r="G690" s="95"/>
      <c r="J690" s="25">
        <f t="shared" si="40"/>
        <v>22</v>
      </c>
    </row>
    <row r="691" spans="1:10" ht="16.95" customHeight="1">
      <c r="A691" s="91" t="s">
        <v>126</v>
      </c>
      <c r="B691" s="91"/>
      <c r="C691" s="91"/>
      <c r="D691" s="91"/>
      <c r="E691" s="91"/>
      <c r="F691" s="91"/>
      <c r="G691" s="91"/>
      <c r="J691" s="25">
        <f t="shared" si="40"/>
        <v>22</v>
      </c>
    </row>
    <row r="692" spans="1:10" ht="120.6" customHeight="1">
      <c r="A692" s="92" t="s">
        <v>45</v>
      </c>
      <c r="B692" s="92"/>
      <c r="C692" s="92"/>
      <c r="D692" s="92"/>
      <c r="E692" s="92"/>
      <c r="F692" s="92"/>
      <c r="G692" s="92"/>
      <c r="J692" s="25">
        <f t="shared" si="40"/>
        <v>22</v>
      </c>
    </row>
    <row r="693" spans="1:10" ht="140.4" customHeight="1">
      <c r="A693" s="93" t="s">
        <v>46</v>
      </c>
      <c r="B693" s="93"/>
      <c r="C693" s="93"/>
      <c r="D693" s="93"/>
      <c r="E693" s="93"/>
      <c r="F693" s="93"/>
      <c r="G693" s="93"/>
      <c r="J693" s="25">
        <f t="shared" si="40"/>
        <v>22</v>
      </c>
    </row>
    <row r="694" spans="1:10" ht="37.200000000000003" customHeight="1">
      <c r="A694" s="103" t="s">
        <v>0</v>
      </c>
      <c r="B694" s="103"/>
      <c r="C694" s="103"/>
      <c r="D694" s="103"/>
      <c r="E694" s="103"/>
      <c r="F694" s="103"/>
      <c r="G694" s="103"/>
      <c r="J694" s="25">
        <f t="shared" si="40"/>
        <v>23</v>
      </c>
    </row>
    <row r="695" spans="1:10" ht="16.95" customHeight="1">
      <c r="A695" s="1" t="s">
        <v>1</v>
      </c>
      <c r="B695" s="104">
        <f>B632+1</f>
        <v>12</v>
      </c>
      <c r="C695" s="104"/>
      <c r="D695" s="104"/>
      <c r="E695" s="104"/>
      <c r="F695" s="104"/>
      <c r="G695" s="104"/>
      <c r="J695" s="25">
        <f t="shared" si="40"/>
        <v>23</v>
      </c>
    </row>
    <row r="696" spans="1:10" ht="16.95" customHeight="1">
      <c r="A696" s="1" t="s">
        <v>2</v>
      </c>
      <c r="B696" s="105" t="s">
        <v>63</v>
      </c>
      <c r="C696" s="105"/>
      <c r="D696" s="105"/>
      <c r="E696" s="106">
        <f>E633+1</f>
        <v>46215</v>
      </c>
      <c r="F696" s="106"/>
      <c r="G696" s="106"/>
      <c r="J696" s="25">
        <f t="shared" si="40"/>
        <v>23</v>
      </c>
    </row>
    <row r="697" spans="1:10" ht="16.95" customHeight="1">
      <c r="A697" s="53" t="s">
        <v>3</v>
      </c>
      <c r="B697" s="2" t="s">
        <v>67</v>
      </c>
      <c r="C697" s="98" t="s">
        <v>4</v>
      </c>
      <c r="D697" s="98"/>
      <c r="E697" s="98" t="s">
        <v>47</v>
      </c>
      <c r="F697" s="98"/>
      <c r="G697" s="98"/>
      <c r="J697" s="25">
        <f t="shared" si="40"/>
        <v>23</v>
      </c>
    </row>
    <row r="698" spans="1:10" ht="16.95" customHeight="1">
      <c r="A698" s="53" t="s">
        <v>5</v>
      </c>
      <c r="B698" s="54">
        <v>120</v>
      </c>
      <c r="C698" s="98" t="s">
        <v>6</v>
      </c>
      <c r="D698" s="98"/>
      <c r="E698" s="98" t="s">
        <v>123</v>
      </c>
      <c r="F698" s="98"/>
      <c r="G698" s="98"/>
      <c r="J698" s="25">
        <f t="shared" si="40"/>
        <v>23</v>
      </c>
    </row>
    <row r="699" spans="1:10" ht="16.95" customHeight="1">
      <c r="A699" s="53" t="s">
        <v>7</v>
      </c>
      <c r="B699" s="54">
        <f>B695</f>
        <v>12</v>
      </c>
      <c r="C699" s="100" t="s">
        <v>8</v>
      </c>
      <c r="D699" s="100"/>
      <c r="E699" s="101">
        <f>B698-B699</f>
        <v>108</v>
      </c>
      <c r="F699" s="101"/>
      <c r="G699" s="101"/>
      <c r="J699" s="25">
        <f t="shared" ref="J699:J762" si="43">J636+2</f>
        <v>23</v>
      </c>
    </row>
    <row r="700" spans="1:10" ht="16.95" customHeight="1">
      <c r="A700" s="53" t="s">
        <v>9</v>
      </c>
      <c r="B700" s="55">
        <v>46204</v>
      </c>
      <c r="C700" s="98" t="s">
        <v>10</v>
      </c>
      <c r="D700" s="98"/>
      <c r="E700" s="102">
        <f>B700+B698-1</f>
        <v>46323</v>
      </c>
      <c r="F700" s="102"/>
      <c r="G700" s="102"/>
      <c r="J700" s="25">
        <f t="shared" si="43"/>
        <v>23</v>
      </c>
    </row>
    <row r="701" spans="1:10" ht="16.95" customHeight="1">
      <c r="A701" s="53" t="s">
        <v>11</v>
      </c>
      <c r="B701" s="56">
        <f>HLOOKUP(B695,進度表!$Q$2:$Z$3,2,1)+B638</f>
        <v>4.7761013843648233E-2</v>
      </c>
      <c r="C701" s="98" t="s">
        <v>12</v>
      </c>
      <c r="D701" s="98"/>
      <c r="E701" s="99">
        <f>I739/I701+E638</f>
        <v>5.6547155944625407E-2</v>
      </c>
      <c r="F701" s="99"/>
      <c r="G701" s="99"/>
      <c r="H701" s="3" t="s">
        <v>62</v>
      </c>
      <c r="I701" s="1">
        <v>2456000</v>
      </c>
      <c r="J701" s="25">
        <f t="shared" si="43"/>
        <v>23</v>
      </c>
    </row>
    <row r="702" spans="1:10" ht="16.95" customHeight="1">
      <c r="A702" s="98" t="s">
        <v>13</v>
      </c>
      <c r="B702" s="98"/>
      <c r="C702" s="98"/>
      <c r="D702" s="98"/>
      <c r="E702" s="98"/>
      <c r="F702" s="98"/>
      <c r="G702" s="98"/>
      <c r="J702" s="25">
        <f t="shared" si="43"/>
        <v>23</v>
      </c>
    </row>
    <row r="703" spans="1:10" ht="16.95" customHeight="1">
      <c r="A703" s="52" t="s">
        <v>14</v>
      </c>
      <c r="B703" s="52" t="s">
        <v>15</v>
      </c>
      <c r="C703" s="52" t="s">
        <v>16</v>
      </c>
      <c r="D703" s="52" t="s">
        <v>17</v>
      </c>
      <c r="E703" s="52" t="s">
        <v>18</v>
      </c>
      <c r="F703" s="52" t="s">
        <v>19</v>
      </c>
      <c r="G703" s="52" t="s">
        <v>20</v>
      </c>
      <c r="H703" s="3" t="s">
        <v>21</v>
      </c>
      <c r="I703" s="3" t="s">
        <v>22</v>
      </c>
      <c r="J703" s="25">
        <f t="shared" si="43"/>
        <v>23</v>
      </c>
    </row>
    <row r="704" spans="1:10" ht="16.95" customHeight="1">
      <c r="A704" s="75" t="s">
        <v>65</v>
      </c>
      <c r="B704" s="76" t="s">
        <v>69</v>
      </c>
      <c r="C704" s="77"/>
      <c r="D704" s="78"/>
      <c r="E704" s="79"/>
      <c r="F704" s="79"/>
      <c r="G704" s="2"/>
      <c r="H704" s="37"/>
      <c r="I704" s="4"/>
      <c r="J704" s="25">
        <f t="shared" si="43"/>
        <v>23</v>
      </c>
    </row>
    <row r="705" spans="1:10" ht="34.950000000000003" customHeight="1">
      <c r="A705" s="75">
        <v>1</v>
      </c>
      <c r="B705" s="80" t="s">
        <v>91</v>
      </c>
      <c r="C705" s="77" t="s">
        <v>48</v>
      </c>
      <c r="D705" s="78">
        <v>1</v>
      </c>
      <c r="E705" s="79"/>
      <c r="F705" s="79">
        <f t="shared" ref="F705:F738" si="44">E705+F642</f>
        <v>1</v>
      </c>
      <c r="G705" s="2"/>
      <c r="H705" s="37">
        <v>10508</v>
      </c>
      <c r="I705" s="4">
        <f>H705*E705</f>
        <v>0</v>
      </c>
      <c r="J705" s="25">
        <f t="shared" si="43"/>
        <v>23</v>
      </c>
    </row>
    <row r="706" spans="1:10" ht="34.799999999999997" customHeight="1">
      <c r="A706" s="75">
        <v>2</v>
      </c>
      <c r="B706" s="80" t="s">
        <v>92</v>
      </c>
      <c r="C706" s="77" t="s">
        <v>48</v>
      </c>
      <c r="D706" s="78">
        <v>1</v>
      </c>
      <c r="E706" s="79"/>
      <c r="F706" s="79">
        <f t="shared" si="44"/>
        <v>0</v>
      </c>
      <c r="G706" s="2"/>
      <c r="H706" s="37">
        <v>13223</v>
      </c>
      <c r="I706" s="4">
        <f>H706*E706</f>
        <v>0</v>
      </c>
      <c r="J706" s="25">
        <f t="shared" si="43"/>
        <v>23</v>
      </c>
    </row>
    <row r="707" spans="1:10" ht="53.4" customHeight="1">
      <c r="A707" s="75">
        <v>3</v>
      </c>
      <c r="B707" s="80" t="s">
        <v>93</v>
      </c>
      <c r="C707" s="77" t="s">
        <v>48</v>
      </c>
      <c r="D707" s="78">
        <v>1</v>
      </c>
      <c r="E707" s="79"/>
      <c r="F707" s="79">
        <f t="shared" si="44"/>
        <v>0.32</v>
      </c>
      <c r="G707" s="2"/>
      <c r="H707" s="37">
        <v>310497</v>
      </c>
      <c r="I707" s="4">
        <f t="shared" ref="I707:I738" si="45">H707*E707</f>
        <v>0</v>
      </c>
      <c r="J707" s="25">
        <f t="shared" si="43"/>
        <v>23</v>
      </c>
    </row>
    <row r="708" spans="1:10" ht="16.95" customHeight="1">
      <c r="A708" s="75">
        <v>4</v>
      </c>
      <c r="B708" s="80" t="s">
        <v>94</v>
      </c>
      <c r="C708" s="77" t="s">
        <v>48</v>
      </c>
      <c r="D708" s="78">
        <v>1</v>
      </c>
      <c r="E708" s="79"/>
      <c r="F708" s="79">
        <f t="shared" si="44"/>
        <v>0</v>
      </c>
      <c r="G708" s="2"/>
      <c r="H708" s="37">
        <v>8375</v>
      </c>
      <c r="I708" s="4">
        <f t="shared" si="45"/>
        <v>0</v>
      </c>
      <c r="J708" s="25">
        <f t="shared" si="43"/>
        <v>23</v>
      </c>
    </row>
    <row r="709" spans="1:10" ht="16.95" customHeight="1">
      <c r="A709" s="75">
        <v>5</v>
      </c>
      <c r="B709" s="80" t="s">
        <v>95</v>
      </c>
      <c r="C709" s="77" t="s">
        <v>48</v>
      </c>
      <c r="D709" s="78">
        <v>1</v>
      </c>
      <c r="E709" s="79"/>
      <c r="F709" s="79">
        <f t="shared" si="44"/>
        <v>0</v>
      </c>
      <c r="G709" s="2"/>
      <c r="H709" s="37">
        <v>51618</v>
      </c>
      <c r="I709" s="4">
        <f t="shared" si="45"/>
        <v>0</v>
      </c>
      <c r="J709" s="25">
        <f t="shared" si="43"/>
        <v>23</v>
      </c>
    </row>
    <row r="710" spans="1:10" ht="16.95" customHeight="1">
      <c r="A710" s="75">
        <v>6</v>
      </c>
      <c r="B710" s="80" t="s">
        <v>96</v>
      </c>
      <c r="C710" s="77" t="s">
        <v>50</v>
      </c>
      <c r="D710" s="78">
        <v>11.55</v>
      </c>
      <c r="E710" s="79"/>
      <c r="F710" s="79">
        <f t="shared" si="44"/>
        <v>0</v>
      </c>
      <c r="G710" s="2"/>
      <c r="H710" s="37">
        <v>1188</v>
      </c>
      <c r="I710" s="4">
        <f t="shared" si="45"/>
        <v>0</v>
      </c>
      <c r="J710" s="25">
        <f t="shared" si="43"/>
        <v>23</v>
      </c>
    </row>
    <row r="711" spans="1:10" ht="34.950000000000003" customHeight="1">
      <c r="A711" s="75">
        <v>7</v>
      </c>
      <c r="B711" s="80" t="s">
        <v>97</v>
      </c>
      <c r="C711" s="77" t="s">
        <v>48</v>
      </c>
      <c r="D711" s="78">
        <v>1</v>
      </c>
      <c r="E711" s="79"/>
      <c r="F711" s="79">
        <f t="shared" si="44"/>
        <v>0</v>
      </c>
      <c r="G711" s="2"/>
      <c r="H711" s="37">
        <v>21157</v>
      </c>
      <c r="I711" s="4">
        <f t="shared" si="45"/>
        <v>0</v>
      </c>
      <c r="J711" s="25">
        <f t="shared" si="43"/>
        <v>23</v>
      </c>
    </row>
    <row r="712" spans="1:10" ht="16.95" customHeight="1">
      <c r="A712" s="75">
        <v>8</v>
      </c>
      <c r="B712" s="80" t="s">
        <v>98</v>
      </c>
      <c r="C712" s="77" t="s">
        <v>50</v>
      </c>
      <c r="D712" s="78">
        <v>387</v>
      </c>
      <c r="E712" s="79"/>
      <c r="F712" s="79">
        <f t="shared" si="44"/>
        <v>0</v>
      </c>
      <c r="G712" s="2"/>
      <c r="H712" s="37">
        <v>705</v>
      </c>
      <c r="I712" s="4">
        <f t="shared" si="45"/>
        <v>0</v>
      </c>
      <c r="J712" s="25">
        <f t="shared" si="43"/>
        <v>23</v>
      </c>
    </row>
    <row r="713" spans="1:10" ht="16.95" customHeight="1">
      <c r="A713" s="75">
        <v>9</v>
      </c>
      <c r="B713" s="80" t="s">
        <v>99</v>
      </c>
      <c r="C713" s="77" t="s">
        <v>50</v>
      </c>
      <c r="D713" s="78">
        <v>170</v>
      </c>
      <c r="E713" s="79"/>
      <c r="F713" s="79">
        <f t="shared" si="44"/>
        <v>0</v>
      </c>
      <c r="G713" s="2"/>
      <c r="H713" s="37">
        <v>617</v>
      </c>
      <c r="I713" s="4">
        <f t="shared" si="45"/>
        <v>0</v>
      </c>
      <c r="J713" s="25">
        <f t="shared" si="43"/>
        <v>23</v>
      </c>
    </row>
    <row r="714" spans="1:10" ht="16.95" customHeight="1">
      <c r="A714" s="75">
        <v>10</v>
      </c>
      <c r="B714" s="80" t="s">
        <v>100</v>
      </c>
      <c r="C714" s="77" t="s">
        <v>66</v>
      </c>
      <c r="D714" s="78">
        <v>15</v>
      </c>
      <c r="E714" s="79"/>
      <c r="F714" s="79">
        <f t="shared" si="44"/>
        <v>0</v>
      </c>
      <c r="G714" s="2"/>
      <c r="H714" s="37">
        <v>617</v>
      </c>
      <c r="I714" s="4">
        <f t="shared" si="45"/>
        <v>0</v>
      </c>
      <c r="J714" s="25">
        <f t="shared" si="43"/>
        <v>23</v>
      </c>
    </row>
    <row r="715" spans="1:10" ht="16.95" customHeight="1">
      <c r="A715" s="75">
        <v>11</v>
      </c>
      <c r="B715" s="80" t="s">
        <v>101</v>
      </c>
      <c r="C715" s="77" t="s">
        <v>50</v>
      </c>
      <c r="D715" s="78">
        <v>75</v>
      </c>
      <c r="E715" s="79"/>
      <c r="F715" s="79">
        <f t="shared" si="44"/>
        <v>0</v>
      </c>
      <c r="G715" s="2"/>
      <c r="H715" s="37">
        <v>1146</v>
      </c>
      <c r="I715" s="4">
        <f t="shared" si="45"/>
        <v>0</v>
      </c>
      <c r="J715" s="25">
        <f t="shared" si="43"/>
        <v>23</v>
      </c>
    </row>
    <row r="716" spans="1:10" ht="16.95" customHeight="1">
      <c r="A716" s="75">
        <v>12</v>
      </c>
      <c r="B716" s="80" t="s">
        <v>102</v>
      </c>
      <c r="C716" s="77" t="s">
        <v>50</v>
      </c>
      <c r="D716" s="78">
        <v>5</v>
      </c>
      <c r="E716" s="79"/>
      <c r="F716" s="79">
        <f t="shared" si="44"/>
        <v>0</v>
      </c>
      <c r="G716" s="2"/>
      <c r="H716" s="37">
        <v>1455</v>
      </c>
      <c r="I716" s="4">
        <f t="shared" si="45"/>
        <v>0</v>
      </c>
      <c r="J716" s="25">
        <f t="shared" si="43"/>
        <v>23</v>
      </c>
    </row>
    <row r="717" spans="1:10" ht="16.95" customHeight="1">
      <c r="A717" s="75">
        <v>13</v>
      </c>
      <c r="B717" s="80" t="s">
        <v>103</v>
      </c>
      <c r="C717" s="77" t="s">
        <v>50</v>
      </c>
      <c r="D717" s="78">
        <v>217</v>
      </c>
      <c r="E717" s="79"/>
      <c r="F717" s="79">
        <f t="shared" si="44"/>
        <v>0</v>
      </c>
      <c r="G717" s="2"/>
      <c r="H717" s="37">
        <v>1410</v>
      </c>
      <c r="I717" s="4">
        <f t="shared" si="45"/>
        <v>0</v>
      </c>
      <c r="J717" s="25">
        <f t="shared" si="43"/>
        <v>23</v>
      </c>
    </row>
    <row r="718" spans="1:10" ht="16.95" customHeight="1">
      <c r="A718" s="75">
        <v>14</v>
      </c>
      <c r="B718" s="80" t="s">
        <v>104</v>
      </c>
      <c r="C718" s="77" t="s">
        <v>49</v>
      </c>
      <c r="D718" s="78">
        <v>84</v>
      </c>
      <c r="E718" s="79"/>
      <c r="F718" s="79">
        <f t="shared" si="44"/>
        <v>0</v>
      </c>
      <c r="G718" s="2"/>
      <c r="H718" s="37">
        <v>529</v>
      </c>
      <c r="I718" s="4">
        <f t="shared" si="45"/>
        <v>0</v>
      </c>
      <c r="J718" s="25">
        <f t="shared" si="43"/>
        <v>23</v>
      </c>
    </row>
    <row r="719" spans="1:10" ht="16.95" customHeight="1">
      <c r="A719" s="75">
        <v>15</v>
      </c>
      <c r="B719" s="80" t="s">
        <v>105</v>
      </c>
      <c r="C719" s="77" t="s">
        <v>50</v>
      </c>
      <c r="D719" s="78">
        <v>1</v>
      </c>
      <c r="E719" s="79"/>
      <c r="F719" s="79">
        <f t="shared" si="44"/>
        <v>0</v>
      </c>
      <c r="G719" s="2"/>
      <c r="H719" s="37">
        <v>1146</v>
      </c>
      <c r="I719" s="4">
        <f t="shared" si="45"/>
        <v>0</v>
      </c>
      <c r="J719" s="25">
        <f t="shared" si="43"/>
        <v>23</v>
      </c>
    </row>
    <row r="720" spans="1:10" ht="34.799999999999997" customHeight="1">
      <c r="A720" s="75">
        <v>16</v>
      </c>
      <c r="B720" s="80" t="s">
        <v>106</v>
      </c>
      <c r="C720" s="77" t="s">
        <v>50</v>
      </c>
      <c r="D720" s="78">
        <v>314</v>
      </c>
      <c r="E720" s="79"/>
      <c r="F720" s="79">
        <f t="shared" si="44"/>
        <v>0</v>
      </c>
      <c r="G720" s="2"/>
      <c r="H720" s="37">
        <v>185</v>
      </c>
      <c r="I720" s="4">
        <f t="shared" si="45"/>
        <v>0</v>
      </c>
      <c r="J720" s="25">
        <f t="shared" si="43"/>
        <v>23</v>
      </c>
    </row>
    <row r="721" spans="1:10" ht="16.95" customHeight="1">
      <c r="A721" s="75">
        <v>17</v>
      </c>
      <c r="B721" s="80" t="s">
        <v>107</v>
      </c>
      <c r="C721" s="77" t="s">
        <v>48</v>
      </c>
      <c r="D721" s="78">
        <v>1</v>
      </c>
      <c r="E721" s="79"/>
      <c r="F721" s="79">
        <f t="shared" si="44"/>
        <v>0</v>
      </c>
      <c r="G721" s="2"/>
      <c r="H721" s="37">
        <v>89918</v>
      </c>
      <c r="I721" s="4">
        <f t="shared" si="45"/>
        <v>0</v>
      </c>
      <c r="J721" s="25">
        <f t="shared" si="43"/>
        <v>23</v>
      </c>
    </row>
    <row r="722" spans="1:10" ht="16.95" customHeight="1">
      <c r="A722" s="75">
        <v>18</v>
      </c>
      <c r="B722" s="80" t="s">
        <v>108</v>
      </c>
      <c r="C722" s="77" t="s">
        <v>120</v>
      </c>
      <c r="D722" s="78">
        <v>15</v>
      </c>
      <c r="E722" s="79"/>
      <c r="F722" s="79">
        <f t="shared" si="44"/>
        <v>0</v>
      </c>
      <c r="G722" s="2"/>
      <c r="H722" s="37">
        <v>661</v>
      </c>
      <c r="I722" s="4">
        <f t="shared" si="45"/>
        <v>0</v>
      </c>
      <c r="J722" s="25">
        <f t="shared" si="43"/>
        <v>23</v>
      </c>
    </row>
    <row r="723" spans="1:10" ht="16.95" customHeight="1">
      <c r="A723" s="75">
        <v>19</v>
      </c>
      <c r="B723" s="80" t="s">
        <v>109</v>
      </c>
      <c r="C723" s="77" t="s">
        <v>50</v>
      </c>
      <c r="D723" s="78">
        <v>82</v>
      </c>
      <c r="E723" s="79"/>
      <c r="F723" s="79">
        <f t="shared" si="44"/>
        <v>0</v>
      </c>
      <c r="G723" s="2"/>
      <c r="H723" s="37">
        <v>2909</v>
      </c>
      <c r="I723" s="4">
        <f t="shared" si="45"/>
        <v>0</v>
      </c>
      <c r="J723" s="25">
        <f t="shared" si="43"/>
        <v>23</v>
      </c>
    </row>
    <row r="724" spans="1:10" ht="16.95" customHeight="1">
      <c r="A724" s="75">
        <v>20</v>
      </c>
      <c r="B724" s="80" t="s">
        <v>110</v>
      </c>
      <c r="C724" s="77" t="s">
        <v>121</v>
      </c>
      <c r="D724" s="78">
        <v>12</v>
      </c>
      <c r="E724" s="79"/>
      <c r="F724" s="79">
        <f t="shared" si="44"/>
        <v>0</v>
      </c>
      <c r="G724" s="2"/>
      <c r="H724" s="37">
        <v>882</v>
      </c>
      <c r="I724" s="4">
        <f t="shared" si="45"/>
        <v>0</v>
      </c>
      <c r="J724" s="25">
        <f t="shared" si="43"/>
        <v>23</v>
      </c>
    </row>
    <row r="725" spans="1:10" ht="16.95" customHeight="1">
      <c r="A725" s="77">
        <v>21</v>
      </c>
      <c r="B725" s="80" t="s">
        <v>111</v>
      </c>
      <c r="C725" s="77" t="s">
        <v>122</v>
      </c>
      <c r="D725" s="78">
        <v>3</v>
      </c>
      <c r="E725" s="79"/>
      <c r="F725" s="79">
        <f t="shared" si="44"/>
        <v>0</v>
      </c>
      <c r="G725" s="2"/>
      <c r="H725" s="38">
        <v>1869</v>
      </c>
      <c r="I725" s="4">
        <f t="shared" si="45"/>
        <v>0</v>
      </c>
      <c r="J725" s="25">
        <f t="shared" si="43"/>
        <v>23</v>
      </c>
    </row>
    <row r="726" spans="1:10" ht="34.950000000000003" customHeight="1">
      <c r="A726" s="75">
        <v>22</v>
      </c>
      <c r="B726" s="80" t="s">
        <v>112</v>
      </c>
      <c r="C726" s="77" t="s">
        <v>48</v>
      </c>
      <c r="D726" s="78">
        <v>1</v>
      </c>
      <c r="E726" s="79"/>
      <c r="F726" s="79">
        <f t="shared" si="44"/>
        <v>0</v>
      </c>
      <c r="G726" s="2"/>
      <c r="H726" s="37">
        <v>82206</v>
      </c>
      <c r="I726" s="4">
        <f t="shared" si="45"/>
        <v>0</v>
      </c>
      <c r="J726" s="25">
        <f t="shared" si="43"/>
        <v>23</v>
      </c>
    </row>
    <row r="727" spans="1:10" ht="16.95" customHeight="1">
      <c r="A727" s="75">
        <v>23</v>
      </c>
      <c r="B727" s="80" t="s">
        <v>113</v>
      </c>
      <c r="C727" s="77" t="s">
        <v>48</v>
      </c>
      <c r="D727" s="78">
        <v>1</v>
      </c>
      <c r="E727" s="79"/>
      <c r="F727" s="79">
        <f t="shared" si="44"/>
        <v>0</v>
      </c>
      <c r="G727" s="2"/>
      <c r="H727" s="37">
        <v>142723</v>
      </c>
      <c r="I727" s="4">
        <f t="shared" si="45"/>
        <v>0</v>
      </c>
      <c r="J727" s="25">
        <f t="shared" si="43"/>
        <v>23</v>
      </c>
    </row>
    <row r="728" spans="1:10" ht="16.95" customHeight="1">
      <c r="A728" s="75">
        <v>24</v>
      </c>
      <c r="B728" s="80" t="s">
        <v>114</v>
      </c>
      <c r="C728" s="77" t="s">
        <v>48</v>
      </c>
      <c r="D728" s="78">
        <v>1</v>
      </c>
      <c r="E728" s="79"/>
      <c r="F728" s="79">
        <f t="shared" si="44"/>
        <v>0</v>
      </c>
      <c r="G728" s="2"/>
      <c r="H728" s="37">
        <v>37290</v>
      </c>
      <c r="I728" s="4">
        <f t="shared" si="45"/>
        <v>0</v>
      </c>
      <c r="J728" s="25">
        <f t="shared" si="43"/>
        <v>23</v>
      </c>
    </row>
    <row r="729" spans="1:10" ht="16.95" customHeight="1">
      <c r="A729" s="75">
        <v>25</v>
      </c>
      <c r="B729" s="80" t="s">
        <v>115</v>
      </c>
      <c r="C729" s="77" t="s">
        <v>48</v>
      </c>
      <c r="D729" s="78">
        <v>1</v>
      </c>
      <c r="E729" s="79"/>
      <c r="F729" s="79">
        <f t="shared" si="44"/>
        <v>0</v>
      </c>
      <c r="G729" s="2"/>
      <c r="H729" s="37">
        <v>99394</v>
      </c>
      <c r="I729" s="4">
        <f t="shared" si="45"/>
        <v>0</v>
      </c>
      <c r="J729" s="25">
        <f t="shared" si="43"/>
        <v>23</v>
      </c>
    </row>
    <row r="730" spans="1:10" ht="34.950000000000003" customHeight="1">
      <c r="A730" s="75">
        <v>26</v>
      </c>
      <c r="B730" s="80" t="s">
        <v>116</v>
      </c>
      <c r="C730" s="77" t="s">
        <v>48</v>
      </c>
      <c r="D730" s="78">
        <v>1</v>
      </c>
      <c r="E730" s="79"/>
      <c r="F730" s="79">
        <f t="shared" si="44"/>
        <v>0</v>
      </c>
      <c r="G730" s="2"/>
      <c r="H730" s="37">
        <v>21334</v>
      </c>
      <c r="I730" s="4">
        <f t="shared" si="45"/>
        <v>0</v>
      </c>
      <c r="J730" s="25">
        <f t="shared" si="43"/>
        <v>23</v>
      </c>
    </row>
    <row r="731" spans="1:10" ht="16.95" customHeight="1">
      <c r="A731" s="75">
        <v>27</v>
      </c>
      <c r="B731" s="80" t="s">
        <v>117</v>
      </c>
      <c r="C731" s="77" t="s">
        <v>48</v>
      </c>
      <c r="D731" s="78">
        <v>1</v>
      </c>
      <c r="E731" s="79"/>
      <c r="F731" s="79">
        <f t="shared" si="44"/>
        <v>0</v>
      </c>
      <c r="G731" s="2"/>
      <c r="H731" s="37">
        <v>29620</v>
      </c>
      <c r="I731" s="4">
        <f t="shared" si="45"/>
        <v>0</v>
      </c>
      <c r="J731" s="25">
        <f t="shared" si="43"/>
        <v>23</v>
      </c>
    </row>
    <row r="732" spans="1:10" ht="16.95" customHeight="1">
      <c r="A732" s="75">
        <v>28</v>
      </c>
      <c r="B732" s="80" t="s">
        <v>118</v>
      </c>
      <c r="C732" s="77" t="s">
        <v>48</v>
      </c>
      <c r="D732" s="78">
        <v>1</v>
      </c>
      <c r="E732" s="79"/>
      <c r="F732" s="79">
        <f t="shared" si="44"/>
        <v>0</v>
      </c>
      <c r="G732" s="2"/>
      <c r="H732" s="37">
        <v>18506</v>
      </c>
      <c r="I732" s="4">
        <f t="shared" si="45"/>
        <v>0</v>
      </c>
      <c r="J732" s="25">
        <f t="shared" si="43"/>
        <v>23</v>
      </c>
    </row>
    <row r="733" spans="1:10" ht="16.95" customHeight="1">
      <c r="A733" s="75">
        <v>29</v>
      </c>
      <c r="B733" s="80" t="s">
        <v>119</v>
      </c>
      <c r="C733" s="77" t="s">
        <v>48</v>
      </c>
      <c r="D733" s="78">
        <v>1</v>
      </c>
      <c r="E733" s="79"/>
      <c r="F733" s="79">
        <f t="shared" si="44"/>
        <v>0</v>
      </c>
      <c r="G733" s="2"/>
      <c r="H733" s="37">
        <v>34381</v>
      </c>
      <c r="I733" s="4">
        <f t="shared" si="45"/>
        <v>0</v>
      </c>
      <c r="J733" s="25">
        <f t="shared" si="43"/>
        <v>23</v>
      </c>
    </row>
    <row r="734" spans="1:10" ht="16.95" customHeight="1">
      <c r="A734" s="75" t="s">
        <v>79</v>
      </c>
      <c r="B734" s="80" t="s">
        <v>80</v>
      </c>
      <c r="C734" s="77" t="s">
        <v>48</v>
      </c>
      <c r="D734" s="78">
        <v>1</v>
      </c>
      <c r="E734" s="79">
        <f t="shared" ref="E734:E737" si="46">1/120</f>
        <v>8.3333333333333332E-3</v>
      </c>
      <c r="F734" s="79">
        <f t="shared" si="44"/>
        <v>9.166666666666666E-2</v>
      </c>
      <c r="G734" s="2"/>
      <c r="H734" s="37">
        <v>21395</v>
      </c>
      <c r="I734" s="4">
        <f t="shared" si="45"/>
        <v>178.29166666666666</v>
      </c>
      <c r="J734" s="25">
        <f t="shared" si="43"/>
        <v>23</v>
      </c>
    </row>
    <row r="735" spans="1:10" ht="16.95" customHeight="1">
      <c r="A735" s="75" t="s">
        <v>81</v>
      </c>
      <c r="B735" s="80" t="s">
        <v>82</v>
      </c>
      <c r="C735" s="77" t="s">
        <v>48</v>
      </c>
      <c r="D735" s="78">
        <v>1</v>
      </c>
      <c r="E735" s="79">
        <f t="shared" si="46"/>
        <v>8.3333333333333332E-3</v>
      </c>
      <c r="F735" s="79">
        <f t="shared" si="44"/>
        <v>9.166666666666666E-2</v>
      </c>
      <c r="G735" s="2"/>
      <c r="H735" s="37">
        <v>21395</v>
      </c>
      <c r="I735" s="4">
        <f t="shared" si="45"/>
        <v>178.29166666666666</v>
      </c>
      <c r="J735" s="25">
        <f t="shared" si="43"/>
        <v>23</v>
      </c>
    </row>
    <row r="736" spans="1:10" ht="16.95" customHeight="1">
      <c r="A736" s="75" t="s">
        <v>83</v>
      </c>
      <c r="B736" s="80" t="s">
        <v>84</v>
      </c>
      <c r="C736" s="77" t="s">
        <v>48</v>
      </c>
      <c r="D736" s="78">
        <v>1</v>
      </c>
      <c r="E736" s="79">
        <f t="shared" si="46"/>
        <v>8.3333333333333332E-3</v>
      </c>
      <c r="F736" s="79">
        <f t="shared" si="44"/>
        <v>9.166666666666666E-2</v>
      </c>
      <c r="G736" s="2"/>
      <c r="H736" s="37">
        <v>149765</v>
      </c>
      <c r="I736" s="4">
        <f t="shared" si="45"/>
        <v>1248.0416666666667</v>
      </c>
      <c r="J736" s="25">
        <f t="shared" si="43"/>
        <v>23</v>
      </c>
    </row>
    <row r="737" spans="1:10" ht="16.95" customHeight="1">
      <c r="A737" s="75" t="s">
        <v>85</v>
      </c>
      <c r="B737" s="80" t="s">
        <v>86</v>
      </c>
      <c r="C737" s="77" t="s">
        <v>48</v>
      </c>
      <c r="D737" s="78">
        <v>1</v>
      </c>
      <c r="E737" s="79">
        <f t="shared" si="46"/>
        <v>8.3333333333333332E-3</v>
      </c>
      <c r="F737" s="79">
        <f t="shared" si="44"/>
        <v>9.166666666666666E-2</v>
      </c>
      <c r="G737" s="2"/>
      <c r="H737" s="37">
        <v>6996</v>
      </c>
      <c r="I737" s="4">
        <f t="shared" si="45"/>
        <v>58.3</v>
      </c>
      <c r="J737" s="25">
        <f t="shared" si="43"/>
        <v>23</v>
      </c>
    </row>
    <row r="738" spans="1:10" ht="16.95" customHeight="1">
      <c r="A738" s="75" t="s">
        <v>87</v>
      </c>
      <c r="B738" s="80" t="s">
        <v>88</v>
      </c>
      <c r="C738" s="77" t="s">
        <v>48</v>
      </c>
      <c r="D738" s="78">
        <v>1</v>
      </c>
      <c r="E738" s="79">
        <f>1/120</f>
        <v>8.3333333333333332E-3</v>
      </c>
      <c r="F738" s="79">
        <f t="shared" si="44"/>
        <v>9.166666666666666E-2</v>
      </c>
      <c r="G738" s="2"/>
      <c r="H738" s="37">
        <v>116952</v>
      </c>
      <c r="I738" s="4">
        <f t="shared" si="45"/>
        <v>974.6</v>
      </c>
      <c r="J738" s="25">
        <f t="shared" si="43"/>
        <v>23</v>
      </c>
    </row>
    <row r="739" spans="1:10" ht="16.95" customHeight="1">
      <c r="A739" s="95" t="s">
        <v>23</v>
      </c>
      <c r="B739" s="95"/>
      <c r="C739" s="50"/>
      <c r="D739" s="50"/>
      <c r="E739" s="50"/>
      <c r="F739" s="50"/>
      <c r="G739" s="50"/>
      <c r="H739" s="3" t="s">
        <v>24</v>
      </c>
      <c r="I739" s="5">
        <f>SUM(I704:I738)</f>
        <v>2637.5250000000001</v>
      </c>
      <c r="J739" s="25">
        <f t="shared" si="43"/>
        <v>23</v>
      </c>
    </row>
    <row r="740" spans="1:10" ht="16.95" customHeight="1">
      <c r="A740" s="96" t="s">
        <v>25</v>
      </c>
      <c r="B740" s="96"/>
      <c r="C740" s="50"/>
      <c r="D740" s="50"/>
      <c r="E740" s="50"/>
      <c r="F740" s="50"/>
      <c r="G740" s="50"/>
      <c r="J740" s="25">
        <f t="shared" si="43"/>
        <v>23</v>
      </c>
    </row>
    <row r="741" spans="1:10" ht="16.95" customHeight="1">
      <c r="A741" s="96" t="s">
        <v>26</v>
      </c>
      <c r="B741" s="96"/>
      <c r="C741" s="50"/>
      <c r="D741" s="50"/>
      <c r="E741" s="50"/>
      <c r="F741" s="50"/>
      <c r="G741" s="50"/>
      <c r="J741" s="25">
        <f t="shared" si="43"/>
        <v>23</v>
      </c>
    </row>
    <row r="742" spans="1:10" ht="16.95" customHeight="1">
      <c r="A742" s="95" t="s">
        <v>27</v>
      </c>
      <c r="B742" s="95"/>
      <c r="C742" s="95"/>
      <c r="D742" s="95"/>
      <c r="E742" s="95"/>
      <c r="F742" s="95"/>
      <c r="G742" s="95"/>
      <c r="J742" s="25">
        <f t="shared" si="43"/>
        <v>23</v>
      </c>
    </row>
    <row r="743" spans="1:10" ht="16.95" customHeight="1">
      <c r="A743" s="94" t="s">
        <v>28</v>
      </c>
      <c r="B743" s="94"/>
      <c r="C743" s="51" t="s">
        <v>29</v>
      </c>
      <c r="D743" s="51" t="s">
        <v>30</v>
      </c>
      <c r="E743" s="51" t="s">
        <v>18</v>
      </c>
      <c r="F743" s="51" t="s">
        <v>31</v>
      </c>
      <c r="G743" s="51" t="s">
        <v>20</v>
      </c>
      <c r="J743" s="25">
        <f t="shared" si="43"/>
        <v>23</v>
      </c>
    </row>
    <row r="744" spans="1:10" ht="16.95" customHeight="1">
      <c r="A744" s="96"/>
      <c r="B744" s="96"/>
      <c r="C744" s="50"/>
      <c r="D744" s="50"/>
      <c r="E744" s="50"/>
      <c r="F744" s="50"/>
      <c r="G744" s="51"/>
      <c r="J744" s="25">
        <f t="shared" si="43"/>
        <v>23</v>
      </c>
    </row>
    <row r="745" spans="1:10" ht="16.95" customHeight="1">
      <c r="A745" s="97"/>
      <c r="B745" s="97"/>
      <c r="C745" s="50"/>
      <c r="D745" s="50"/>
      <c r="E745" s="50"/>
      <c r="F745" s="51"/>
      <c r="G745" s="51"/>
      <c r="J745" s="25">
        <f t="shared" si="43"/>
        <v>23</v>
      </c>
    </row>
    <row r="746" spans="1:10" ht="16.95" customHeight="1">
      <c r="A746" s="95" t="s">
        <v>32</v>
      </c>
      <c r="B746" s="95"/>
      <c r="C746" s="95"/>
      <c r="D746" s="95"/>
      <c r="E746" s="95"/>
      <c r="F746" s="95"/>
      <c r="G746" s="95"/>
      <c r="J746" s="25">
        <f t="shared" si="43"/>
        <v>24</v>
      </c>
    </row>
    <row r="747" spans="1:10" ht="16.95" customHeight="1">
      <c r="A747" s="51" t="s">
        <v>33</v>
      </c>
      <c r="B747" s="51" t="s">
        <v>34</v>
      </c>
      <c r="C747" s="94" t="s">
        <v>35</v>
      </c>
      <c r="D747" s="94"/>
      <c r="E747" s="51" t="s">
        <v>36</v>
      </c>
      <c r="F747" s="51" t="s">
        <v>37</v>
      </c>
      <c r="G747" s="51" t="s">
        <v>38</v>
      </c>
      <c r="J747" s="25">
        <f t="shared" si="43"/>
        <v>24</v>
      </c>
    </row>
    <row r="748" spans="1:10" ht="16.95" customHeight="1">
      <c r="A748" s="51" t="s">
        <v>39</v>
      </c>
      <c r="B748" s="6"/>
      <c r="C748" s="94">
        <f>B748+C685</f>
        <v>8</v>
      </c>
      <c r="D748" s="94"/>
      <c r="E748" s="51"/>
      <c r="F748" s="24"/>
      <c r="G748" s="24"/>
      <c r="J748" s="25">
        <f t="shared" si="43"/>
        <v>24</v>
      </c>
    </row>
    <row r="749" spans="1:10" ht="16.95" customHeight="1">
      <c r="A749" s="51" t="s">
        <v>40</v>
      </c>
      <c r="B749" s="6"/>
      <c r="C749" s="94">
        <f>B749+C686</f>
        <v>9</v>
      </c>
      <c r="D749" s="94"/>
      <c r="E749" s="51"/>
      <c r="F749" s="24"/>
      <c r="G749" s="24"/>
      <c r="J749" s="25">
        <f t="shared" si="43"/>
        <v>24</v>
      </c>
    </row>
    <row r="750" spans="1:10" ht="36.6" customHeight="1">
      <c r="A750" s="95" t="s">
        <v>41</v>
      </c>
      <c r="B750" s="95"/>
      <c r="C750" s="95"/>
      <c r="D750" s="95"/>
      <c r="E750" s="95"/>
      <c r="F750" s="95"/>
      <c r="G750" s="95"/>
      <c r="J750" s="25">
        <f t="shared" si="43"/>
        <v>24</v>
      </c>
    </row>
    <row r="751" spans="1:10" ht="90" customHeight="1">
      <c r="A751" s="92" t="s">
        <v>42</v>
      </c>
      <c r="B751" s="92"/>
      <c r="C751" s="92"/>
      <c r="D751" s="92"/>
      <c r="E751" s="92"/>
      <c r="F751" s="92"/>
      <c r="G751" s="92"/>
      <c r="J751" s="25">
        <f t="shared" si="43"/>
        <v>24</v>
      </c>
    </row>
    <row r="752" spans="1:10" ht="16.95" customHeight="1">
      <c r="A752" s="95" t="s">
        <v>43</v>
      </c>
      <c r="B752" s="95"/>
      <c r="C752" s="95"/>
      <c r="D752" s="95"/>
      <c r="E752" s="95"/>
      <c r="F752" s="95"/>
      <c r="G752" s="95"/>
      <c r="J752" s="25">
        <f t="shared" si="43"/>
        <v>24</v>
      </c>
    </row>
    <row r="753" spans="1:10" ht="16.95" customHeight="1">
      <c r="A753" s="95" t="s">
        <v>44</v>
      </c>
      <c r="B753" s="95"/>
      <c r="C753" s="95"/>
      <c r="D753" s="95"/>
      <c r="E753" s="95"/>
      <c r="F753" s="95"/>
      <c r="G753" s="95"/>
      <c r="J753" s="25">
        <f t="shared" si="43"/>
        <v>24</v>
      </c>
    </row>
    <row r="754" spans="1:10" ht="16.95" customHeight="1">
      <c r="A754" s="91" t="s">
        <v>126</v>
      </c>
      <c r="B754" s="91"/>
      <c r="C754" s="91"/>
      <c r="D754" s="91"/>
      <c r="E754" s="91"/>
      <c r="F754" s="91"/>
      <c r="G754" s="91"/>
      <c r="J754" s="25">
        <f t="shared" si="43"/>
        <v>24</v>
      </c>
    </row>
    <row r="755" spans="1:10" ht="120.6" customHeight="1">
      <c r="A755" s="92" t="s">
        <v>45</v>
      </c>
      <c r="B755" s="92"/>
      <c r="C755" s="92"/>
      <c r="D755" s="92"/>
      <c r="E755" s="92"/>
      <c r="F755" s="92"/>
      <c r="G755" s="92"/>
      <c r="J755" s="25">
        <f t="shared" si="43"/>
        <v>24</v>
      </c>
    </row>
    <row r="756" spans="1:10" ht="140.4" customHeight="1">
      <c r="A756" s="93" t="s">
        <v>46</v>
      </c>
      <c r="B756" s="93"/>
      <c r="C756" s="93"/>
      <c r="D756" s="93"/>
      <c r="E756" s="93"/>
      <c r="F756" s="93"/>
      <c r="G756" s="93"/>
      <c r="J756" s="25">
        <f t="shared" si="43"/>
        <v>24</v>
      </c>
    </row>
    <row r="757" spans="1:10" ht="37.200000000000003" customHeight="1">
      <c r="A757" s="103" t="s">
        <v>0</v>
      </c>
      <c r="B757" s="103"/>
      <c r="C757" s="103"/>
      <c r="D757" s="103"/>
      <c r="E757" s="103"/>
      <c r="F757" s="103"/>
      <c r="G757" s="103"/>
      <c r="J757" s="25">
        <f t="shared" si="43"/>
        <v>25</v>
      </c>
    </row>
    <row r="758" spans="1:10" ht="16.95" customHeight="1">
      <c r="A758" s="1" t="s">
        <v>1</v>
      </c>
      <c r="B758" s="104">
        <f>B695+1</f>
        <v>13</v>
      </c>
      <c r="C758" s="104"/>
      <c r="D758" s="104"/>
      <c r="E758" s="104"/>
      <c r="F758" s="104"/>
      <c r="G758" s="104"/>
      <c r="J758" s="25">
        <f t="shared" si="43"/>
        <v>25</v>
      </c>
    </row>
    <row r="759" spans="1:10" ht="16.95" customHeight="1">
      <c r="A759" s="1" t="s">
        <v>2</v>
      </c>
      <c r="B759" s="105" t="s">
        <v>63</v>
      </c>
      <c r="C759" s="105"/>
      <c r="D759" s="105"/>
      <c r="E759" s="106">
        <f>E696+1</f>
        <v>46216</v>
      </c>
      <c r="F759" s="106"/>
      <c r="G759" s="106"/>
      <c r="J759" s="25">
        <f t="shared" si="43"/>
        <v>25</v>
      </c>
    </row>
    <row r="760" spans="1:10" ht="16.95" customHeight="1">
      <c r="A760" s="53" t="s">
        <v>3</v>
      </c>
      <c r="B760" s="2" t="s">
        <v>67</v>
      </c>
      <c r="C760" s="98" t="s">
        <v>4</v>
      </c>
      <c r="D760" s="98"/>
      <c r="E760" s="98" t="s">
        <v>47</v>
      </c>
      <c r="F760" s="98"/>
      <c r="G760" s="98"/>
      <c r="J760" s="25">
        <f t="shared" si="43"/>
        <v>25</v>
      </c>
    </row>
    <row r="761" spans="1:10" ht="16.95" customHeight="1">
      <c r="A761" s="53" t="s">
        <v>5</v>
      </c>
      <c r="B761" s="54">
        <v>120</v>
      </c>
      <c r="C761" s="98" t="s">
        <v>6</v>
      </c>
      <c r="D761" s="98"/>
      <c r="E761" s="98" t="s">
        <v>123</v>
      </c>
      <c r="F761" s="98"/>
      <c r="G761" s="98"/>
      <c r="J761" s="25">
        <f t="shared" si="43"/>
        <v>25</v>
      </c>
    </row>
    <row r="762" spans="1:10" ht="16.95" customHeight="1">
      <c r="A762" s="53" t="s">
        <v>7</v>
      </c>
      <c r="B762" s="54">
        <f>B758</f>
        <v>13</v>
      </c>
      <c r="C762" s="100" t="s">
        <v>8</v>
      </c>
      <c r="D762" s="100"/>
      <c r="E762" s="101">
        <f>B761-B762</f>
        <v>107</v>
      </c>
      <c r="F762" s="101"/>
      <c r="G762" s="101"/>
      <c r="J762" s="25">
        <f t="shared" si="43"/>
        <v>25</v>
      </c>
    </row>
    <row r="763" spans="1:10" ht="16.95" customHeight="1">
      <c r="A763" s="53" t="s">
        <v>9</v>
      </c>
      <c r="B763" s="55">
        <v>46204</v>
      </c>
      <c r="C763" s="98" t="s">
        <v>10</v>
      </c>
      <c r="D763" s="98"/>
      <c r="E763" s="102">
        <f>B763+B761-1</f>
        <v>46323</v>
      </c>
      <c r="F763" s="102"/>
      <c r="G763" s="102"/>
      <c r="J763" s="25">
        <f t="shared" ref="J763:J826" si="47">J700+2</f>
        <v>25</v>
      </c>
    </row>
    <row r="764" spans="1:10" ht="16.95" customHeight="1">
      <c r="A764" s="53" t="s">
        <v>11</v>
      </c>
      <c r="B764" s="56">
        <f>HLOOKUP(B758,進度表!$Q$2:$Z$3,2,1)+B701</f>
        <v>5.2324906691096656E-2</v>
      </c>
      <c r="C764" s="98" t="s">
        <v>12</v>
      </c>
      <c r="D764" s="98"/>
      <c r="E764" s="99">
        <f>I802/I764+E701</f>
        <v>6.2678021172638432E-2</v>
      </c>
      <c r="F764" s="99"/>
      <c r="G764" s="99"/>
      <c r="H764" s="3" t="s">
        <v>62</v>
      </c>
      <c r="I764" s="1">
        <v>2456000</v>
      </c>
      <c r="J764" s="25">
        <f t="shared" si="47"/>
        <v>25</v>
      </c>
    </row>
    <row r="765" spans="1:10" ht="16.95" customHeight="1">
      <c r="A765" s="98" t="s">
        <v>13</v>
      </c>
      <c r="B765" s="98"/>
      <c r="C765" s="98"/>
      <c r="D765" s="98"/>
      <c r="E765" s="98"/>
      <c r="F765" s="98"/>
      <c r="G765" s="98"/>
      <c r="J765" s="25">
        <f t="shared" si="47"/>
        <v>25</v>
      </c>
    </row>
    <row r="766" spans="1:10" ht="16.95" customHeight="1">
      <c r="A766" s="52" t="s">
        <v>14</v>
      </c>
      <c r="B766" s="52" t="s">
        <v>15</v>
      </c>
      <c r="C766" s="52" t="s">
        <v>16</v>
      </c>
      <c r="D766" s="52" t="s">
        <v>17</v>
      </c>
      <c r="E766" s="52" t="s">
        <v>18</v>
      </c>
      <c r="F766" s="52" t="s">
        <v>19</v>
      </c>
      <c r="G766" s="52" t="s">
        <v>20</v>
      </c>
      <c r="H766" s="3" t="s">
        <v>21</v>
      </c>
      <c r="I766" s="3" t="s">
        <v>22</v>
      </c>
      <c r="J766" s="25">
        <f t="shared" si="47"/>
        <v>25</v>
      </c>
    </row>
    <row r="767" spans="1:10" ht="16.95" customHeight="1">
      <c r="A767" s="75" t="s">
        <v>65</v>
      </c>
      <c r="B767" s="76" t="s">
        <v>69</v>
      </c>
      <c r="C767" s="77"/>
      <c r="D767" s="78"/>
      <c r="E767" s="79"/>
      <c r="F767" s="79"/>
      <c r="G767" s="2"/>
      <c r="H767" s="37"/>
      <c r="I767" s="4"/>
      <c r="J767" s="25">
        <f t="shared" si="47"/>
        <v>25</v>
      </c>
    </row>
    <row r="768" spans="1:10" ht="34.950000000000003" customHeight="1">
      <c r="A768" s="75">
        <v>1</v>
      </c>
      <c r="B768" s="80" t="s">
        <v>91</v>
      </c>
      <c r="C768" s="77" t="s">
        <v>48</v>
      </c>
      <c r="D768" s="78">
        <v>1</v>
      </c>
      <c r="E768" s="79"/>
      <c r="F768" s="79">
        <f t="shared" ref="F768:F801" si="48">E768+F705</f>
        <v>1</v>
      </c>
      <c r="G768" s="2"/>
      <c r="H768" s="37">
        <v>10508</v>
      </c>
      <c r="I768" s="4">
        <f>H768*E768</f>
        <v>0</v>
      </c>
      <c r="J768" s="25">
        <f t="shared" si="47"/>
        <v>25</v>
      </c>
    </row>
    <row r="769" spans="1:10" ht="34.799999999999997" customHeight="1">
      <c r="A769" s="75">
        <v>2</v>
      </c>
      <c r="B769" s="80" t="s">
        <v>92</v>
      </c>
      <c r="C769" s="77" t="s">
        <v>48</v>
      </c>
      <c r="D769" s="78">
        <v>1</v>
      </c>
      <c r="E769" s="79"/>
      <c r="F769" s="79">
        <f t="shared" si="48"/>
        <v>0</v>
      </c>
      <c r="G769" s="2"/>
      <c r="H769" s="37">
        <v>13223</v>
      </c>
      <c r="I769" s="4">
        <f>H769*E769</f>
        <v>0</v>
      </c>
      <c r="J769" s="25">
        <f t="shared" si="47"/>
        <v>25</v>
      </c>
    </row>
    <row r="770" spans="1:10" ht="53.4" customHeight="1">
      <c r="A770" s="75">
        <v>3</v>
      </c>
      <c r="B770" s="80" t="s">
        <v>93</v>
      </c>
      <c r="C770" s="77" t="s">
        <v>48</v>
      </c>
      <c r="D770" s="78">
        <v>1</v>
      </c>
      <c r="E770" s="79">
        <v>0.04</v>
      </c>
      <c r="F770" s="79">
        <f t="shared" si="48"/>
        <v>0.36</v>
      </c>
      <c r="G770" s="2"/>
      <c r="H770" s="37">
        <v>310497</v>
      </c>
      <c r="I770" s="4">
        <f t="shared" ref="I770:I801" si="49">H770*E770</f>
        <v>12419.880000000001</v>
      </c>
      <c r="J770" s="25">
        <f t="shared" si="47"/>
        <v>25</v>
      </c>
    </row>
    <row r="771" spans="1:10" ht="16.95" customHeight="1">
      <c r="A771" s="75">
        <v>4</v>
      </c>
      <c r="B771" s="80" t="s">
        <v>94</v>
      </c>
      <c r="C771" s="77" t="s">
        <v>48</v>
      </c>
      <c r="D771" s="78">
        <v>1</v>
      </c>
      <c r="E771" s="79"/>
      <c r="F771" s="79">
        <f t="shared" si="48"/>
        <v>0</v>
      </c>
      <c r="G771" s="2"/>
      <c r="H771" s="37">
        <v>8375</v>
      </c>
      <c r="I771" s="4">
        <f t="shared" si="49"/>
        <v>0</v>
      </c>
      <c r="J771" s="25">
        <f t="shared" si="47"/>
        <v>25</v>
      </c>
    </row>
    <row r="772" spans="1:10" ht="16.95" customHeight="1">
      <c r="A772" s="75">
        <v>5</v>
      </c>
      <c r="B772" s="80" t="s">
        <v>95</v>
      </c>
      <c r="C772" s="77" t="s">
        <v>48</v>
      </c>
      <c r="D772" s="78">
        <v>1</v>
      </c>
      <c r="E772" s="79"/>
      <c r="F772" s="79">
        <f t="shared" si="48"/>
        <v>0</v>
      </c>
      <c r="G772" s="2"/>
      <c r="H772" s="37">
        <v>51618</v>
      </c>
      <c r="I772" s="4">
        <f t="shared" si="49"/>
        <v>0</v>
      </c>
      <c r="J772" s="25">
        <f t="shared" si="47"/>
        <v>25</v>
      </c>
    </row>
    <row r="773" spans="1:10" ht="16.95" customHeight="1">
      <c r="A773" s="75">
        <v>6</v>
      </c>
      <c r="B773" s="80" t="s">
        <v>96</v>
      </c>
      <c r="C773" s="77" t="s">
        <v>50</v>
      </c>
      <c r="D773" s="78">
        <v>11.55</v>
      </c>
      <c r="E773" s="79"/>
      <c r="F773" s="79">
        <f t="shared" si="48"/>
        <v>0</v>
      </c>
      <c r="G773" s="2"/>
      <c r="H773" s="37">
        <v>1188</v>
      </c>
      <c r="I773" s="4">
        <f t="shared" si="49"/>
        <v>0</v>
      </c>
      <c r="J773" s="25">
        <f t="shared" si="47"/>
        <v>25</v>
      </c>
    </row>
    <row r="774" spans="1:10" ht="34.950000000000003" customHeight="1">
      <c r="A774" s="75">
        <v>7</v>
      </c>
      <c r="B774" s="80" t="s">
        <v>97</v>
      </c>
      <c r="C774" s="77" t="s">
        <v>48</v>
      </c>
      <c r="D774" s="78">
        <v>1</v>
      </c>
      <c r="E774" s="79"/>
      <c r="F774" s="79">
        <f t="shared" si="48"/>
        <v>0</v>
      </c>
      <c r="G774" s="2"/>
      <c r="H774" s="37">
        <v>21157</v>
      </c>
      <c r="I774" s="4">
        <f t="shared" si="49"/>
        <v>0</v>
      </c>
      <c r="J774" s="25">
        <f t="shared" si="47"/>
        <v>25</v>
      </c>
    </row>
    <row r="775" spans="1:10" ht="16.95" customHeight="1">
      <c r="A775" s="75">
        <v>8</v>
      </c>
      <c r="B775" s="80" t="s">
        <v>98</v>
      </c>
      <c r="C775" s="77" t="s">
        <v>50</v>
      </c>
      <c r="D775" s="78">
        <v>387</v>
      </c>
      <c r="E775" s="79"/>
      <c r="F775" s="79">
        <f t="shared" si="48"/>
        <v>0</v>
      </c>
      <c r="G775" s="2"/>
      <c r="H775" s="37">
        <v>705</v>
      </c>
      <c r="I775" s="4">
        <f t="shared" si="49"/>
        <v>0</v>
      </c>
      <c r="J775" s="25">
        <f t="shared" si="47"/>
        <v>25</v>
      </c>
    </row>
    <row r="776" spans="1:10" ht="16.95" customHeight="1">
      <c r="A776" s="75">
        <v>9</v>
      </c>
      <c r="B776" s="80" t="s">
        <v>99</v>
      </c>
      <c r="C776" s="77" t="s">
        <v>50</v>
      </c>
      <c r="D776" s="78">
        <v>170</v>
      </c>
      <c r="E776" s="79"/>
      <c r="F776" s="79">
        <f t="shared" si="48"/>
        <v>0</v>
      </c>
      <c r="G776" s="2"/>
      <c r="H776" s="37">
        <v>617</v>
      </c>
      <c r="I776" s="4">
        <f t="shared" si="49"/>
        <v>0</v>
      </c>
      <c r="J776" s="25">
        <f t="shared" si="47"/>
        <v>25</v>
      </c>
    </row>
    <row r="777" spans="1:10" ht="16.95" customHeight="1">
      <c r="A777" s="75">
        <v>10</v>
      </c>
      <c r="B777" s="80" t="s">
        <v>100</v>
      </c>
      <c r="C777" s="77" t="s">
        <v>66</v>
      </c>
      <c r="D777" s="78">
        <v>15</v>
      </c>
      <c r="E777" s="79"/>
      <c r="F777" s="79">
        <f t="shared" si="48"/>
        <v>0</v>
      </c>
      <c r="G777" s="2"/>
      <c r="H777" s="37">
        <v>617</v>
      </c>
      <c r="I777" s="4">
        <f t="shared" si="49"/>
        <v>0</v>
      </c>
      <c r="J777" s="25">
        <f t="shared" si="47"/>
        <v>25</v>
      </c>
    </row>
    <row r="778" spans="1:10" ht="16.95" customHeight="1">
      <c r="A778" s="75">
        <v>11</v>
      </c>
      <c r="B778" s="80" t="s">
        <v>101</v>
      </c>
      <c r="C778" s="77" t="s">
        <v>50</v>
      </c>
      <c r="D778" s="78">
        <v>75</v>
      </c>
      <c r="E778" s="79"/>
      <c r="F778" s="79">
        <f t="shared" si="48"/>
        <v>0</v>
      </c>
      <c r="G778" s="2"/>
      <c r="H778" s="37">
        <v>1146</v>
      </c>
      <c r="I778" s="4">
        <f t="shared" si="49"/>
        <v>0</v>
      </c>
      <c r="J778" s="25">
        <f t="shared" si="47"/>
        <v>25</v>
      </c>
    </row>
    <row r="779" spans="1:10" ht="16.95" customHeight="1">
      <c r="A779" s="75">
        <v>12</v>
      </c>
      <c r="B779" s="80" t="s">
        <v>102</v>
      </c>
      <c r="C779" s="77" t="s">
        <v>50</v>
      </c>
      <c r="D779" s="78">
        <v>5</v>
      </c>
      <c r="E779" s="79"/>
      <c r="F779" s="79">
        <f t="shared" si="48"/>
        <v>0</v>
      </c>
      <c r="G779" s="2"/>
      <c r="H779" s="37">
        <v>1455</v>
      </c>
      <c r="I779" s="4">
        <f t="shared" si="49"/>
        <v>0</v>
      </c>
      <c r="J779" s="25">
        <f t="shared" si="47"/>
        <v>25</v>
      </c>
    </row>
    <row r="780" spans="1:10" ht="16.95" customHeight="1">
      <c r="A780" s="75">
        <v>13</v>
      </c>
      <c r="B780" s="80" t="s">
        <v>103</v>
      </c>
      <c r="C780" s="77" t="s">
        <v>50</v>
      </c>
      <c r="D780" s="78">
        <v>217</v>
      </c>
      <c r="E780" s="79"/>
      <c r="F780" s="79">
        <f t="shared" si="48"/>
        <v>0</v>
      </c>
      <c r="G780" s="2"/>
      <c r="H780" s="37">
        <v>1410</v>
      </c>
      <c r="I780" s="4">
        <f t="shared" si="49"/>
        <v>0</v>
      </c>
      <c r="J780" s="25">
        <f t="shared" si="47"/>
        <v>25</v>
      </c>
    </row>
    <row r="781" spans="1:10" ht="16.95" customHeight="1">
      <c r="A781" s="75">
        <v>14</v>
      </c>
      <c r="B781" s="80" t="s">
        <v>104</v>
      </c>
      <c r="C781" s="77" t="s">
        <v>49</v>
      </c>
      <c r="D781" s="78">
        <v>84</v>
      </c>
      <c r="E781" s="79"/>
      <c r="F781" s="79">
        <f t="shared" si="48"/>
        <v>0</v>
      </c>
      <c r="G781" s="2"/>
      <c r="H781" s="37">
        <v>529</v>
      </c>
      <c r="I781" s="4">
        <f t="shared" si="49"/>
        <v>0</v>
      </c>
      <c r="J781" s="25">
        <f t="shared" si="47"/>
        <v>25</v>
      </c>
    </row>
    <row r="782" spans="1:10" ht="16.95" customHeight="1">
      <c r="A782" s="75">
        <v>15</v>
      </c>
      <c r="B782" s="80" t="s">
        <v>105</v>
      </c>
      <c r="C782" s="77" t="s">
        <v>50</v>
      </c>
      <c r="D782" s="78">
        <v>1</v>
      </c>
      <c r="E782" s="79"/>
      <c r="F782" s="79">
        <f t="shared" si="48"/>
        <v>0</v>
      </c>
      <c r="G782" s="2"/>
      <c r="H782" s="37">
        <v>1146</v>
      </c>
      <c r="I782" s="4">
        <f t="shared" si="49"/>
        <v>0</v>
      </c>
      <c r="J782" s="25">
        <f t="shared" si="47"/>
        <v>25</v>
      </c>
    </row>
    <row r="783" spans="1:10" ht="34.799999999999997" customHeight="1">
      <c r="A783" s="75">
        <v>16</v>
      </c>
      <c r="B783" s="80" t="s">
        <v>106</v>
      </c>
      <c r="C783" s="77" t="s">
        <v>50</v>
      </c>
      <c r="D783" s="78">
        <v>314</v>
      </c>
      <c r="E783" s="79"/>
      <c r="F783" s="79">
        <f t="shared" si="48"/>
        <v>0</v>
      </c>
      <c r="G783" s="2"/>
      <c r="H783" s="37">
        <v>185</v>
      </c>
      <c r="I783" s="4">
        <f t="shared" si="49"/>
        <v>0</v>
      </c>
      <c r="J783" s="25">
        <f t="shared" si="47"/>
        <v>25</v>
      </c>
    </row>
    <row r="784" spans="1:10" ht="16.95" customHeight="1">
      <c r="A784" s="75">
        <v>17</v>
      </c>
      <c r="B784" s="80" t="s">
        <v>107</v>
      </c>
      <c r="C784" s="77" t="s">
        <v>48</v>
      </c>
      <c r="D784" s="78">
        <v>1</v>
      </c>
      <c r="E784" s="79"/>
      <c r="F784" s="79">
        <f t="shared" si="48"/>
        <v>0</v>
      </c>
      <c r="G784" s="2"/>
      <c r="H784" s="37">
        <v>89918</v>
      </c>
      <c r="I784" s="4">
        <f t="shared" si="49"/>
        <v>0</v>
      </c>
      <c r="J784" s="25">
        <f t="shared" si="47"/>
        <v>25</v>
      </c>
    </row>
    <row r="785" spans="1:10" ht="16.95" customHeight="1">
      <c r="A785" s="75">
        <v>18</v>
      </c>
      <c r="B785" s="80" t="s">
        <v>108</v>
      </c>
      <c r="C785" s="77" t="s">
        <v>120</v>
      </c>
      <c r="D785" s="78">
        <v>15</v>
      </c>
      <c r="E785" s="79"/>
      <c r="F785" s="79">
        <f t="shared" si="48"/>
        <v>0</v>
      </c>
      <c r="G785" s="2"/>
      <c r="H785" s="37">
        <v>661</v>
      </c>
      <c r="I785" s="4">
        <f t="shared" si="49"/>
        <v>0</v>
      </c>
      <c r="J785" s="25">
        <f t="shared" si="47"/>
        <v>25</v>
      </c>
    </row>
    <row r="786" spans="1:10" ht="16.95" customHeight="1">
      <c r="A786" s="75">
        <v>19</v>
      </c>
      <c r="B786" s="80" t="s">
        <v>109</v>
      </c>
      <c r="C786" s="77" t="s">
        <v>50</v>
      </c>
      <c r="D786" s="78">
        <v>82</v>
      </c>
      <c r="E786" s="79"/>
      <c r="F786" s="79">
        <f t="shared" si="48"/>
        <v>0</v>
      </c>
      <c r="G786" s="2"/>
      <c r="H786" s="37">
        <v>2909</v>
      </c>
      <c r="I786" s="4">
        <f t="shared" si="49"/>
        <v>0</v>
      </c>
      <c r="J786" s="25">
        <f t="shared" si="47"/>
        <v>25</v>
      </c>
    </row>
    <row r="787" spans="1:10" ht="16.95" customHeight="1">
      <c r="A787" s="75">
        <v>20</v>
      </c>
      <c r="B787" s="80" t="s">
        <v>110</v>
      </c>
      <c r="C787" s="77" t="s">
        <v>121</v>
      </c>
      <c r="D787" s="78">
        <v>12</v>
      </c>
      <c r="E787" s="79"/>
      <c r="F787" s="79">
        <f t="shared" si="48"/>
        <v>0</v>
      </c>
      <c r="G787" s="2"/>
      <c r="H787" s="37">
        <v>882</v>
      </c>
      <c r="I787" s="4">
        <f t="shared" si="49"/>
        <v>0</v>
      </c>
      <c r="J787" s="25">
        <f t="shared" si="47"/>
        <v>25</v>
      </c>
    </row>
    <row r="788" spans="1:10" ht="16.95" customHeight="1">
      <c r="A788" s="77">
        <v>21</v>
      </c>
      <c r="B788" s="80" t="s">
        <v>111</v>
      </c>
      <c r="C788" s="77" t="s">
        <v>122</v>
      </c>
      <c r="D788" s="78">
        <v>3</v>
      </c>
      <c r="E788" s="79"/>
      <c r="F788" s="79">
        <f t="shared" si="48"/>
        <v>0</v>
      </c>
      <c r="G788" s="2"/>
      <c r="H788" s="38">
        <v>1869</v>
      </c>
      <c r="I788" s="4">
        <f t="shared" si="49"/>
        <v>0</v>
      </c>
      <c r="J788" s="25">
        <f t="shared" si="47"/>
        <v>25</v>
      </c>
    </row>
    <row r="789" spans="1:10" ht="34.950000000000003" customHeight="1">
      <c r="A789" s="75">
        <v>22</v>
      </c>
      <c r="B789" s="80" t="s">
        <v>112</v>
      </c>
      <c r="C789" s="77" t="s">
        <v>48</v>
      </c>
      <c r="D789" s="78">
        <v>1</v>
      </c>
      <c r="E789" s="79"/>
      <c r="F789" s="79">
        <f t="shared" si="48"/>
        <v>0</v>
      </c>
      <c r="G789" s="2"/>
      <c r="H789" s="37">
        <v>82206</v>
      </c>
      <c r="I789" s="4">
        <f t="shared" si="49"/>
        <v>0</v>
      </c>
      <c r="J789" s="25">
        <f t="shared" si="47"/>
        <v>25</v>
      </c>
    </row>
    <row r="790" spans="1:10" ht="16.95" customHeight="1">
      <c r="A790" s="75">
        <v>23</v>
      </c>
      <c r="B790" s="80" t="s">
        <v>113</v>
      </c>
      <c r="C790" s="77" t="s">
        <v>48</v>
      </c>
      <c r="D790" s="78">
        <v>1</v>
      </c>
      <c r="E790" s="79"/>
      <c r="F790" s="79">
        <f t="shared" si="48"/>
        <v>0</v>
      </c>
      <c r="G790" s="2"/>
      <c r="H790" s="37">
        <v>142723</v>
      </c>
      <c r="I790" s="4">
        <f t="shared" si="49"/>
        <v>0</v>
      </c>
      <c r="J790" s="25">
        <f t="shared" si="47"/>
        <v>25</v>
      </c>
    </row>
    <row r="791" spans="1:10" ht="16.95" customHeight="1">
      <c r="A791" s="75">
        <v>24</v>
      </c>
      <c r="B791" s="80" t="s">
        <v>114</v>
      </c>
      <c r="C791" s="77" t="s">
        <v>48</v>
      </c>
      <c r="D791" s="78">
        <v>1</v>
      </c>
      <c r="E791" s="79"/>
      <c r="F791" s="79">
        <f t="shared" si="48"/>
        <v>0</v>
      </c>
      <c r="G791" s="2"/>
      <c r="H791" s="37">
        <v>37290</v>
      </c>
      <c r="I791" s="4">
        <f t="shared" si="49"/>
        <v>0</v>
      </c>
      <c r="J791" s="25">
        <f t="shared" si="47"/>
        <v>25</v>
      </c>
    </row>
    <row r="792" spans="1:10" ht="16.95" customHeight="1">
      <c r="A792" s="75">
        <v>25</v>
      </c>
      <c r="B792" s="80" t="s">
        <v>115</v>
      </c>
      <c r="C792" s="77" t="s">
        <v>48</v>
      </c>
      <c r="D792" s="78">
        <v>1</v>
      </c>
      <c r="E792" s="79"/>
      <c r="F792" s="79">
        <f t="shared" si="48"/>
        <v>0</v>
      </c>
      <c r="G792" s="2"/>
      <c r="H792" s="37">
        <v>99394</v>
      </c>
      <c r="I792" s="4">
        <f t="shared" si="49"/>
        <v>0</v>
      </c>
      <c r="J792" s="25">
        <f t="shared" si="47"/>
        <v>25</v>
      </c>
    </row>
    <row r="793" spans="1:10" ht="34.950000000000003" customHeight="1">
      <c r="A793" s="75">
        <v>26</v>
      </c>
      <c r="B793" s="80" t="s">
        <v>116</v>
      </c>
      <c r="C793" s="77" t="s">
        <v>48</v>
      </c>
      <c r="D793" s="78">
        <v>1</v>
      </c>
      <c r="E793" s="79"/>
      <c r="F793" s="79">
        <f t="shared" si="48"/>
        <v>0</v>
      </c>
      <c r="G793" s="2"/>
      <c r="H793" s="37">
        <v>21334</v>
      </c>
      <c r="I793" s="4">
        <f t="shared" si="49"/>
        <v>0</v>
      </c>
      <c r="J793" s="25">
        <f t="shared" si="47"/>
        <v>25</v>
      </c>
    </row>
    <row r="794" spans="1:10" ht="16.95" customHeight="1">
      <c r="A794" s="75">
        <v>27</v>
      </c>
      <c r="B794" s="80" t="s">
        <v>117</v>
      </c>
      <c r="C794" s="77" t="s">
        <v>48</v>
      </c>
      <c r="D794" s="78">
        <v>1</v>
      </c>
      <c r="E794" s="79"/>
      <c r="F794" s="79">
        <f t="shared" si="48"/>
        <v>0</v>
      </c>
      <c r="G794" s="2"/>
      <c r="H794" s="37">
        <v>29620</v>
      </c>
      <c r="I794" s="4">
        <f t="shared" si="49"/>
        <v>0</v>
      </c>
      <c r="J794" s="25">
        <f t="shared" si="47"/>
        <v>25</v>
      </c>
    </row>
    <row r="795" spans="1:10" ht="16.95" customHeight="1">
      <c r="A795" s="75">
        <v>28</v>
      </c>
      <c r="B795" s="80" t="s">
        <v>118</v>
      </c>
      <c r="C795" s="77" t="s">
        <v>48</v>
      </c>
      <c r="D795" s="78">
        <v>1</v>
      </c>
      <c r="E795" s="79"/>
      <c r="F795" s="79">
        <f t="shared" si="48"/>
        <v>0</v>
      </c>
      <c r="G795" s="2"/>
      <c r="H795" s="37">
        <v>18506</v>
      </c>
      <c r="I795" s="4">
        <f t="shared" si="49"/>
        <v>0</v>
      </c>
      <c r="J795" s="25">
        <f t="shared" si="47"/>
        <v>25</v>
      </c>
    </row>
    <row r="796" spans="1:10" ht="16.95" customHeight="1">
      <c r="A796" s="75">
        <v>29</v>
      </c>
      <c r="B796" s="80" t="s">
        <v>119</v>
      </c>
      <c r="C796" s="77" t="s">
        <v>48</v>
      </c>
      <c r="D796" s="78">
        <v>1</v>
      </c>
      <c r="E796" s="79"/>
      <c r="F796" s="79">
        <f t="shared" si="48"/>
        <v>0</v>
      </c>
      <c r="G796" s="2"/>
      <c r="H796" s="37">
        <v>34381</v>
      </c>
      <c r="I796" s="4">
        <f t="shared" si="49"/>
        <v>0</v>
      </c>
      <c r="J796" s="25">
        <f t="shared" si="47"/>
        <v>25</v>
      </c>
    </row>
    <row r="797" spans="1:10" ht="16.95" customHeight="1">
      <c r="A797" s="75" t="s">
        <v>79</v>
      </c>
      <c r="B797" s="80" t="s">
        <v>80</v>
      </c>
      <c r="C797" s="77" t="s">
        <v>48</v>
      </c>
      <c r="D797" s="78">
        <v>1</v>
      </c>
      <c r="E797" s="79">
        <f t="shared" ref="E797:E800" si="50">1/120</f>
        <v>8.3333333333333332E-3</v>
      </c>
      <c r="F797" s="79">
        <f t="shared" si="48"/>
        <v>9.9999999999999992E-2</v>
      </c>
      <c r="G797" s="2"/>
      <c r="H797" s="37">
        <v>21395</v>
      </c>
      <c r="I797" s="4">
        <f t="shared" si="49"/>
        <v>178.29166666666666</v>
      </c>
      <c r="J797" s="25">
        <f t="shared" si="47"/>
        <v>25</v>
      </c>
    </row>
    <row r="798" spans="1:10" ht="16.95" customHeight="1">
      <c r="A798" s="75" t="s">
        <v>81</v>
      </c>
      <c r="B798" s="80" t="s">
        <v>82</v>
      </c>
      <c r="C798" s="77" t="s">
        <v>48</v>
      </c>
      <c r="D798" s="78">
        <v>1</v>
      </c>
      <c r="E798" s="79">
        <f t="shared" si="50"/>
        <v>8.3333333333333332E-3</v>
      </c>
      <c r="F798" s="79">
        <f t="shared" si="48"/>
        <v>9.9999999999999992E-2</v>
      </c>
      <c r="G798" s="2"/>
      <c r="H798" s="37">
        <v>21395</v>
      </c>
      <c r="I798" s="4">
        <f t="shared" si="49"/>
        <v>178.29166666666666</v>
      </c>
      <c r="J798" s="25">
        <f t="shared" si="47"/>
        <v>25</v>
      </c>
    </row>
    <row r="799" spans="1:10" ht="16.95" customHeight="1">
      <c r="A799" s="75" t="s">
        <v>83</v>
      </c>
      <c r="B799" s="80" t="s">
        <v>84</v>
      </c>
      <c r="C799" s="77" t="s">
        <v>48</v>
      </c>
      <c r="D799" s="78">
        <v>1</v>
      </c>
      <c r="E799" s="79">
        <f t="shared" si="50"/>
        <v>8.3333333333333332E-3</v>
      </c>
      <c r="F799" s="79">
        <f t="shared" si="48"/>
        <v>9.9999999999999992E-2</v>
      </c>
      <c r="G799" s="2"/>
      <c r="H799" s="37">
        <v>149765</v>
      </c>
      <c r="I799" s="4">
        <f t="shared" si="49"/>
        <v>1248.0416666666667</v>
      </c>
      <c r="J799" s="25">
        <f t="shared" si="47"/>
        <v>25</v>
      </c>
    </row>
    <row r="800" spans="1:10" ht="16.95" customHeight="1">
      <c r="A800" s="75" t="s">
        <v>85</v>
      </c>
      <c r="B800" s="80" t="s">
        <v>86</v>
      </c>
      <c r="C800" s="77" t="s">
        <v>48</v>
      </c>
      <c r="D800" s="78">
        <v>1</v>
      </c>
      <c r="E800" s="79">
        <f t="shared" si="50"/>
        <v>8.3333333333333332E-3</v>
      </c>
      <c r="F800" s="79">
        <f t="shared" si="48"/>
        <v>9.9999999999999992E-2</v>
      </c>
      <c r="G800" s="2"/>
      <c r="H800" s="37">
        <v>6996</v>
      </c>
      <c r="I800" s="4">
        <f t="shared" si="49"/>
        <v>58.3</v>
      </c>
      <c r="J800" s="25">
        <f t="shared" si="47"/>
        <v>25</v>
      </c>
    </row>
    <row r="801" spans="1:10" ht="16.95" customHeight="1">
      <c r="A801" s="75" t="s">
        <v>87</v>
      </c>
      <c r="B801" s="80" t="s">
        <v>88</v>
      </c>
      <c r="C801" s="77" t="s">
        <v>48</v>
      </c>
      <c r="D801" s="78">
        <v>1</v>
      </c>
      <c r="E801" s="79">
        <f>1/120</f>
        <v>8.3333333333333332E-3</v>
      </c>
      <c r="F801" s="79">
        <f t="shared" si="48"/>
        <v>9.9999999999999992E-2</v>
      </c>
      <c r="G801" s="2"/>
      <c r="H801" s="37">
        <v>116952</v>
      </c>
      <c r="I801" s="4">
        <f t="shared" si="49"/>
        <v>974.6</v>
      </c>
      <c r="J801" s="25">
        <f t="shared" si="47"/>
        <v>25</v>
      </c>
    </row>
    <row r="802" spans="1:10" ht="16.95" customHeight="1">
      <c r="A802" s="95" t="s">
        <v>23</v>
      </c>
      <c r="B802" s="95"/>
      <c r="C802" s="50"/>
      <c r="D802" s="50"/>
      <c r="E802" s="50"/>
      <c r="F802" s="50"/>
      <c r="G802" s="50"/>
      <c r="H802" s="3" t="s">
        <v>24</v>
      </c>
      <c r="I802" s="5">
        <f>SUM(I767:I801)</f>
        <v>15057.404999999999</v>
      </c>
      <c r="J802" s="25">
        <f t="shared" si="47"/>
        <v>25</v>
      </c>
    </row>
    <row r="803" spans="1:10" ht="16.95" customHeight="1">
      <c r="A803" s="96" t="s">
        <v>25</v>
      </c>
      <c r="B803" s="96"/>
      <c r="C803" s="50"/>
      <c r="D803" s="50"/>
      <c r="E803" s="50"/>
      <c r="F803" s="50"/>
      <c r="G803" s="50"/>
      <c r="J803" s="25">
        <f t="shared" si="47"/>
        <v>25</v>
      </c>
    </row>
    <row r="804" spans="1:10" ht="16.95" customHeight="1">
      <c r="A804" s="96" t="s">
        <v>26</v>
      </c>
      <c r="B804" s="96"/>
      <c r="C804" s="50"/>
      <c r="D804" s="50"/>
      <c r="E804" s="50"/>
      <c r="F804" s="50"/>
      <c r="G804" s="50"/>
      <c r="J804" s="25">
        <f t="shared" si="47"/>
        <v>25</v>
      </c>
    </row>
    <row r="805" spans="1:10" ht="16.95" customHeight="1">
      <c r="A805" s="95" t="s">
        <v>27</v>
      </c>
      <c r="B805" s="95"/>
      <c r="C805" s="95"/>
      <c r="D805" s="95"/>
      <c r="E805" s="95"/>
      <c r="F805" s="95"/>
      <c r="G805" s="95"/>
      <c r="J805" s="25">
        <f t="shared" si="47"/>
        <v>25</v>
      </c>
    </row>
    <row r="806" spans="1:10" ht="16.95" customHeight="1">
      <c r="A806" s="94" t="s">
        <v>28</v>
      </c>
      <c r="B806" s="94"/>
      <c r="C806" s="51" t="s">
        <v>29</v>
      </c>
      <c r="D806" s="51" t="s">
        <v>30</v>
      </c>
      <c r="E806" s="51" t="s">
        <v>18</v>
      </c>
      <c r="F806" s="51" t="s">
        <v>31</v>
      </c>
      <c r="G806" s="51" t="s">
        <v>20</v>
      </c>
      <c r="J806" s="25">
        <f t="shared" si="47"/>
        <v>25</v>
      </c>
    </row>
    <row r="807" spans="1:10" ht="16.95" customHeight="1">
      <c r="A807" s="96"/>
      <c r="B807" s="96"/>
      <c r="C807" s="50"/>
      <c r="D807" s="50"/>
      <c r="E807" s="50"/>
      <c r="F807" s="50"/>
      <c r="G807" s="51"/>
      <c r="J807" s="25">
        <f t="shared" si="47"/>
        <v>25</v>
      </c>
    </row>
    <row r="808" spans="1:10" ht="16.95" customHeight="1">
      <c r="A808" s="97"/>
      <c r="B808" s="97"/>
      <c r="C808" s="50"/>
      <c r="D808" s="50"/>
      <c r="E808" s="50"/>
      <c r="F808" s="51"/>
      <c r="G808" s="51"/>
      <c r="J808" s="25">
        <f t="shared" si="47"/>
        <v>25</v>
      </c>
    </row>
    <row r="809" spans="1:10" ht="16.95" customHeight="1">
      <c r="A809" s="95" t="s">
        <v>32</v>
      </c>
      <c r="B809" s="95"/>
      <c r="C809" s="95"/>
      <c r="D809" s="95"/>
      <c r="E809" s="95"/>
      <c r="F809" s="95"/>
      <c r="G809" s="95"/>
      <c r="J809" s="25">
        <f t="shared" si="47"/>
        <v>26</v>
      </c>
    </row>
    <row r="810" spans="1:10" ht="16.95" customHeight="1">
      <c r="A810" s="51" t="s">
        <v>33</v>
      </c>
      <c r="B810" s="51" t="s">
        <v>34</v>
      </c>
      <c r="C810" s="94" t="s">
        <v>35</v>
      </c>
      <c r="D810" s="94"/>
      <c r="E810" s="51" t="s">
        <v>36</v>
      </c>
      <c r="F810" s="51" t="s">
        <v>37</v>
      </c>
      <c r="G810" s="51" t="s">
        <v>38</v>
      </c>
      <c r="J810" s="25">
        <f t="shared" si="47"/>
        <v>26</v>
      </c>
    </row>
    <row r="811" spans="1:10" ht="16.95" customHeight="1">
      <c r="A811" s="51" t="s">
        <v>39</v>
      </c>
      <c r="B811" s="6">
        <v>1</v>
      </c>
      <c r="C811" s="94">
        <f>B811+C748</f>
        <v>9</v>
      </c>
      <c r="D811" s="94"/>
      <c r="E811" s="51"/>
      <c r="F811" s="24"/>
      <c r="G811" s="24"/>
      <c r="J811" s="25">
        <f t="shared" si="47"/>
        <v>26</v>
      </c>
    </row>
    <row r="812" spans="1:10" ht="16.95" customHeight="1">
      <c r="A812" s="51" t="s">
        <v>40</v>
      </c>
      <c r="B812" s="6">
        <v>1</v>
      </c>
      <c r="C812" s="94">
        <f>B812+C749</f>
        <v>10</v>
      </c>
      <c r="D812" s="94"/>
      <c r="E812" s="51"/>
      <c r="F812" s="24"/>
      <c r="G812" s="24"/>
      <c r="J812" s="25">
        <f t="shared" si="47"/>
        <v>26</v>
      </c>
    </row>
    <row r="813" spans="1:10" ht="36.6" customHeight="1">
      <c r="A813" s="95" t="s">
        <v>41</v>
      </c>
      <c r="B813" s="95"/>
      <c r="C813" s="95"/>
      <c r="D813" s="95"/>
      <c r="E813" s="95"/>
      <c r="F813" s="95"/>
      <c r="G813" s="95"/>
      <c r="J813" s="25">
        <f t="shared" si="47"/>
        <v>26</v>
      </c>
    </row>
    <row r="814" spans="1:10" ht="90" customHeight="1">
      <c r="A814" s="92" t="s">
        <v>42</v>
      </c>
      <c r="B814" s="92"/>
      <c r="C814" s="92"/>
      <c r="D814" s="92"/>
      <c r="E814" s="92"/>
      <c r="F814" s="92"/>
      <c r="G814" s="92"/>
      <c r="J814" s="25">
        <f t="shared" si="47"/>
        <v>26</v>
      </c>
    </row>
    <row r="815" spans="1:10" ht="16.95" customHeight="1">
      <c r="A815" s="95" t="s">
        <v>43</v>
      </c>
      <c r="B815" s="95"/>
      <c r="C815" s="95"/>
      <c r="D815" s="95"/>
      <c r="E815" s="95"/>
      <c r="F815" s="95"/>
      <c r="G815" s="95"/>
      <c r="J815" s="25">
        <f t="shared" si="47"/>
        <v>26</v>
      </c>
    </row>
    <row r="816" spans="1:10" ht="16.95" customHeight="1">
      <c r="A816" s="95" t="s">
        <v>44</v>
      </c>
      <c r="B816" s="95"/>
      <c r="C816" s="95"/>
      <c r="D816" s="95"/>
      <c r="E816" s="95"/>
      <c r="F816" s="95"/>
      <c r="G816" s="95"/>
      <c r="J816" s="25">
        <f t="shared" si="47"/>
        <v>26</v>
      </c>
    </row>
    <row r="817" spans="1:10" ht="16.95" customHeight="1">
      <c r="A817" s="91" t="s">
        <v>125</v>
      </c>
      <c r="B817" s="91"/>
      <c r="C817" s="91"/>
      <c r="D817" s="91"/>
      <c r="E817" s="91"/>
      <c r="F817" s="91"/>
      <c r="G817" s="91"/>
      <c r="J817" s="25">
        <f t="shared" si="47"/>
        <v>26</v>
      </c>
    </row>
    <row r="818" spans="1:10" ht="120.6" customHeight="1">
      <c r="A818" s="92" t="s">
        <v>45</v>
      </c>
      <c r="B818" s="92"/>
      <c r="C818" s="92"/>
      <c r="D818" s="92"/>
      <c r="E818" s="92"/>
      <c r="F818" s="92"/>
      <c r="G818" s="92"/>
      <c r="J818" s="25">
        <f t="shared" si="47"/>
        <v>26</v>
      </c>
    </row>
    <row r="819" spans="1:10" ht="140.4" customHeight="1">
      <c r="A819" s="93" t="s">
        <v>46</v>
      </c>
      <c r="B819" s="93"/>
      <c r="C819" s="93"/>
      <c r="D819" s="93"/>
      <c r="E819" s="93"/>
      <c r="F819" s="93"/>
      <c r="G819" s="93"/>
      <c r="J819" s="25">
        <f t="shared" si="47"/>
        <v>26</v>
      </c>
    </row>
    <row r="820" spans="1:10" ht="37.200000000000003" customHeight="1">
      <c r="A820" s="103" t="s">
        <v>0</v>
      </c>
      <c r="B820" s="103"/>
      <c r="C820" s="103"/>
      <c r="D820" s="103"/>
      <c r="E820" s="103"/>
      <c r="F820" s="103"/>
      <c r="G820" s="103"/>
      <c r="J820" s="25">
        <f t="shared" si="47"/>
        <v>27</v>
      </c>
    </row>
    <row r="821" spans="1:10" ht="16.95" customHeight="1">
      <c r="A821" s="1" t="s">
        <v>1</v>
      </c>
      <c r="B821" s="104">
        <f>B758+1</f>
        <v>14</v>
      </c>
      <c r="C821" s="104"/>
      <c r="D821" s="104"/>
      <c r="E821" s="104"/>
      <c r="F821" s="104"/>
      <c r="G821" s="104"/>
      <c r="J821" s="25">
        <f t="shared" si="47"/>
        <v>27</v>
      </c>
    </row>
    <row r="822" spans="1:10" ht="16.95" customHeight="1">
      <c r="A822" s="1" t="s">
        <v>2</v>
      </c>
      <c r="B822" s="105" t="s">
        <v>63</v>
      </c>
      <c r="C822" s="105"/>
      <c r="D822" s="105"/>
      <c r="E822" s="106">
        <f>E759+1</f>
        <v>46217</v>
      </c>
      <c r="F822" s="106"/>
      <c r="G822" s="106"/>
      <c r="J822" s="25">
        <f t="shared" si="47"/>
        <v>27</v>
      </c>
    </row>
    <row r="823" spans="1:10" ht="16.95" customHeight="1">
      <c r="A823" s="53" t="s">
        <v>3</v>
      </c>
      <c r="B823" s="2" t="s">
        <v>67</v>
      </c>
      <c r="C823" s="98" t="s">
        <v>4</v>
      </c>
      <c r="D823" s="98"/>
      <c r="E823" s="98" t="s">
        <v>47</v>
      </c>
      <c r="F823" s="98"/>
      <c r="G823" s="98"/>
      <c r="J823" s="25">
        <f t="shared" si="47"/>
        <v>27</v>
      </c>
    </row>
    <row r="824" spans="1:10" ht="16.95" customHeight="1">
      <c r="A824" s="53" t="s">
        <v>5</v>
      </c>
      <c r="B824" s="54">
        <v>120</v>
      </c>
      <c r="C824" s="98" t="s">
        <v>6</v>
      </c>
      <c r="D824" s="98"/>
      <c r="E824" s="98" t="s">
        <v>123</v>
      </c>
      <c r="F824" s="98"/>
      <c r="G824" s="98"/>
      <c r="J824" s="25">
        <f t="shared" si="47"/>
        <v>27</v>
      </c>
    </row>
    <row r="825" spans="1:10" ht="16.95" customHeight="1">
      <c r="A825" s="53" t="s">
        <v>7</v>
      </c>
      <c r="B825" s="54">
        <f>B821</f>
        <v>14</v>
      </c>
      <c r="C825" s="100" t="s">
        <v>8</v>
      </c>
      <c r="D825" s="100"/>
      <c r="E825" s="101">
        <f>B824-B825</f>
        <v>106</v>
      </c>
      <c r="F825" s="101"/>
      <c r="G825" s="101"/>
      <c r="J825" s="25">
        <f t="shared" si="47"/>
        <v>27</v>
      </c>
    </row>
    <row r="826" spans="1:10" ht="16.95" customHeight="1">
      <c r="A826" s="53" t="s">
        <v>9</v>
      </c>
      <c r="B826" s="55">
        <v>46204</v>
      </c>
      <c r="C826" s="98" t="s">
        <v>10</v>
      </c>
      <c r="D826" s="98"/>
      <c r="E826" s="102">
        <f>B826+B824-1</f>
        <v>46323</v>
      </c>
      <c r="F826" s="102"/>
      <c r="G826" s="102"/>
      <c r="J826" s="25">
        <f t="shared" si="47"/>
        <v>27</v>
      </c>
    </row>
    <row r="827" spans="1:10" ht="16.95" customHeight="1">
      <c r="A827" s="53" t="s">
        <v>11</v>
      </c>
      <c r="B827" s="56">
        <f>HLOOKUP(B821,進度表!$Q$2:$Z$3,2,1)+B764</f>
        <v>5.688879953854508E-2</v>
      </c>
      <c r="C827" s="98" t="s">
        <v>12</v>
      </c>
      <c r="D827" s="98"/>
      <c r="E827" s="99">
        <f>I865/I827+E764</f>
        <v>6.8808886400651456E-2</v>
      </c>
      <c r="F827" s="99"/>
      <c r="G827" s="99"/>
      <c r="H827" s="3" t="s">
        <v>62</v>
      </c>
      <c r="I827" s="1">
        <v>2456000</v>
      </c>
      <c r="J827" s="25">
        <f t="shared" ref="J827:J890" si="51">J764+2</f>
        <v>27</v>
      </c>
    </row>
    <row r="828" spans="1:10" ht="16.95" customHeight="1">
      <c r="A828" s="98" t="s">
        <v>13</v>
      </c>
      <c r="B828" s="98"/>
      <c r="C828" s="98"/>
      <c r="D828" s="98"/>
      <c r="E828" s="98"/>
      <c r="F828" s="98"/>
      <c r="G828" s="98"/>
      <c r="J828" s="25">
        <f t="shared" si="51"/>
        <v>27</v>
      </c>
    </row>
    <row r="829" spans="1:10" ht="16.95" customHeight="1">
      <c r="A829" s="52" t="s">
        <v>14</v>
      </c>
      <c r="B829" s="52" t="s">
        <v>15</v>
      </c>
      <c r="C829" s="52" t="s">
        <v>16</v>
      </c>
      <c r="D829" s="52" t="s">
        <v>17</v>
      </c>
      <c r="E829" s="52" t="s">
        <v>18</v>
      </c>
      <c r="F829" s="52" t="s">
        <v>19</v>
      </c>
      <c r="G829" s="52" t="s">
        <v>20</v>
      </c>
      <c r="H829" s="3" t="s">
        <v>21</v>
      </c>
      <c r="I829" s="3" t="s">
        <v>22</v>
      </c>
      <c r="J829" s="25">
        <f t="shared" si="51"/>
        <v>27</v>
      </c>
    </row>
    <row r="830" spans="1:10" ht="16.95" customHeight="1">
      <c r="A830" s="75" t="s">
        <v>65</v>
      </c>
      <c r="B830" s="76" t="s">
        <v>69</v>
      </c>
      <c r="C830" s="77"/>
      <c r="D830" s="78"/>
      <c r="E830" s="79"/>
      <c r="F830" s="79"/>
      <c r="G830" s="2"/>
      <c r="H830" s="37"/>
      <c r="I830" s="4"/>
      <c r="J830" s="25">
        <f t="shared" si="51"/>
        <v>27</v>
      </c>
    </row>
    <row r="831" spans="1:10" ht="34.950000000000003" customHeight="1">
      <c r="A831" s="75">
        <v>1</v>
      </c>
      <c r="B831" s="80" t="s">
        <v>91</v>
      </c>
      <c r="C831" s="77" t="s">
        <v>48</v>
      </c>
      <c r="D831" s="78">
        <v>1</v>
      </c>
      <c r="E831" s="79"/>
      <c r="F831" s="79">
        <f t="shared" ref="F831:F864" si="52">E831+F768</f>
        <v>1</v>
      </c>
      <c r="G831" s="2"/>
      <c r="H831" s="37">
        <v>10508</v>
      </c>
      <c r="I831" s="4">
        <f>H831*E831</f>
        <v>0</v>
      </c>
      <c r="J831" s="25">
        <f t="shared" si="51"/>
        <v>27</v>
      </c>
    </row>
    <row r="832" spans="1:10" ht="34.799999999999997" customHeight="1">
      <c r="A832" s="75">
        <v>2</v>
      </c>
      <c r="B832" s="80" t="s">
        <v>92</v>
      </c>
      <c r="C832" s="77" t="s">
        <v>48</v>
      </c>
      <c r="D832" s="78">
        <v>1</v>
      </c>
      <c r="E832" s="79"/>
      <c r="F832" s="79">
        <f t="shared" si="52"/>
        <v>0</v>
      </c>
      <c r="G832" s="2"/>
      <c r="H832" s="37">
        <v>13223</v>
      </c>
      <c r="I832" s="4">
        <f>H832*E832</f>
        <v>0</v>
      </c>
      <c r="J832" s="25">
        <f t="shared" si="51"/>
        <v>27</v>
      </c>
    </row>
    <row r="833" spans="1:10" ht="53.4" customHeight="1">
      <c r="A833" s="75">
        <v>3</v>
      </c>
      <c r="B833" s="80" t="s">
        <v>93</v>
      </c>
      <c r="C833" s="77" t="s">
        <v>48</v>
      </c>
      <c r="D833" s="78">
        <v>1</v>
      </c>
      <c r="E833" s="79">
        <v>0.04</v>
      </c>
      <c r="F833" s="79">
        <f t="shared" si="52"/>
        <v>0.39999999999999997</v>
      </c>
      <c r="G833" s="2"/>
      <c r="H833" s="37">
        <v>310497</v>
      </c>
      <c r="I833" s="4">
        <f t="shared" ref="I833:I864" si="53">H833*E833</f>
        <v>12419.880000000001</v>
      </c>
      <c r="J833" s="25">
        <f t="shared" si="51"/>
        <v>27</v>
      </c>
    </row>
    <row r="834" spans="1:10" ht="16.95" customHeight="1">
      <c r="A834" s="75">
        <v>4</v>
      </c>
      <c r="B834" s="80" t="s">
        <v>94</v>
      </c>
      <c r="C834" s="77" t="s">
        <v>48</v>
      </c>
      <c r="D834" s="78">
        <v>1</v>
      </c>
      <c r="E834" s="79"/>
      <c r="F834" s="79">
        <f t="shared" si="52"/>
        <v>0</v>
      </c>
      <c r="G834" s="2"/>
      <c r="H834" s="37">
        <v>8375</v>
      </c>
      <c r="I834" s="4">
        <f t="shared" si="53"/>
        <v>0</v>
      </c>
      <c r="J834" s="25">
        <f t="shared" si="51"/>
        <v>27</v>
      </c>
    </row>
    <row r="835" spans="1:10" ht="16.95" customHeight="1">
      <c r="A835" s="75">
        <v>5</v>
      </c>
      <c r="B835" s="80" t="s">
        <v>95</v>
      </c>
      <c r="C835" s="77" t="s">
        <v>48</v>
      </c>
      <c r="D835" s="78">
        <v>1</v>
      </c>
      <c r="E835" s="79"/>
      <c r="F835" s="79">
        <f t="shared" si="52"/>
        <v>0</v>
      </c>
      <c r="G835" s="2"/>
      <c r="H835" s="37">
        <v>51618</v>
      </c>
      <c r="I835" s="4">
        <f t="shared" si="53"/>
        <v>0</v>
      </c>
      <c r="J835" s="25">
        <f t="shared" si="51"/>
        <v>27</v>
      </c>
    </row>
    <row r="836" spans="1:10" ht="16.95" customHeight="1">
      <c r="A836" s="75">
        <v>6</v>
      </c>
      <c r="B836" s="80" t="s">
        <v>96</v>
      </c>
      <c r="C836" s="77" t="s">
        <v>50</v>
      </c>
      <c r="D836" s="78">
        <v>11.55</v>
      </c>
      <c r="E836" s="79"/>
      <c r="F836" s="79">
        <f t="shared" si="52"/>
        <v>0</v>
      </c>
      <c r="G836" s="2"/>
      <c r="H836" s="37">
        <v>1188</v>
      </c>
      <c r="I836" s="4">
        <f t="shared" si="53"/>
        <v>0</v>
      </c>
      <c r="J836" s="25">
        <f t="shared" si="51"/>
        <v>27</v>
      </c>
    </row>
    <row r="837" spans="1:10" ht="34.950000000000003" customHeight="1">
      <c r="A837" s="75">
        <v>7</v>
      </c>
      <c r="B837" s="80" t="s">
        <v>97</v>
      </c>
      <c r="C837" s="77" t="s">
        <v>48</v>
      </c>
      <c r="D837" s="78">
        <v>1</v>
      </c>
      <c r="E837" s="79"/>
      <c r="F837" s="79">
        <f t="shared" si="52"/>
        <v>0</v>
      </c>
      <c r="G837" s="2"/>
      <c r="H837" s="37">
        <v>21157</v>
      </c>
      <c r="I837" s="4">
        <f t="shared" si="53"/>
        <v>0</v>
      </c>
      <c r="J837" s="25">
        <f t="shared" si="51"/>
        <v>27</v>
      </c>
    </row>
    <row r="838" spans="1:10" ht="16.95" customHeight="1">
      <c r="A838" s="75">
        <v>8</v>
      </c>
      <c r="B838" s="80" t="s">
        <v>98</v>
      </c>
      <c r="C838" s="77" t="s">
        <v>50</v>
      </c>
      <c r="D838" s="78">
        <v>387</v>
      </c>
      <c r="E838" s="79"/>
      <c r="F838" s="79">
        <f t="shared" si="52"/>
        <v>0</v>
      </c>
      <c r="G838" s="2"/>
      <c r="H838" s="37">
        <v>705</v>
      </c>
      <c r="I838" s="4">
        <f t="shared" si="53"/>
        <v>0</v>
      </c>
      <c r="J838" s="25">
        <f t="shared" si="51"/>
        <v>27</v>
      </c>
    </row>
    <row r="839" spans="1:10" ht="16.95" customHeight="1">
      <c r="A839" s="75">
        <v>9</v>
      </c>
      <c r="B839" s="80" t="s">
        <v>99</v>
      </c>
      <c r="C839" s="77" t="s">
        <v>50</v>
      </c>
      <c r="D839" s="78">
        <v>170</v>
      </c>
      <c r="E839" s="79"/>
      <c r="F839" s="79">
        <f t="shared" si="52"/>
        <v>0</v>
      </c>
      <c r="G839" s="2"/>
      <c r="H839" s="37">
        <v>617</v>
      </c>
      <c r="I839" s="4">
        <f t="shared" si="53"/>
        <v>0</v>
      </c>
      <c r="J839" s="25">
        <f t="shared" si="51"/>
        <v>27</v>
      </c>
    </row>
    <row r="840" spans="1:10" ht="16.95" customHeight="1">
      <c r="A840" s="75">
        <v>10</v>
      </c>
      <c r="B840" s="80" t="s">
        <v>100</v>
      </c>
      <c r="C840" s="77" t="s">
        <v>66</v>
      </c>
      <c r="D840" s="78">
        <v>15</v>
      </c>
      <c r="E840" s="79"/>
      <c r="F840" s="79">
        <f t="shared" si="52"/>
        <v>0</v>
      </c>
      <c r="G840" s="2"/>
      <c r="H840" s="37">
        <v>617</v>
      </c>
      <c r="I840" s="4">
        <f t="shared" si="53"/>
        <v>0</v>
      </c>
      <c r="J840" s="25">
        <f t="shared" si="51"/>
        <v>27</v>
      </c>
    </row>
    <row r="841" spans="1:10" ht="16.95" customHeight="1">
      <c r="A841" s="75">
        <v>11</v>
      </c>
      <c r="B841" s="80" t="s">
        <v>101</v>
      </c>
      <c r="C841" s="77" t="s">
        <v>50</v>
      </c>
      <c r="D841" s="78">
        <v>75</v>
      </c>
      <c r="E841" s="79"/>
      <c r="F841" s="79">
        <f t="shared" si="52"/>
        <v>0</v>
      </c>
      <c r="G841" s="2"/>
      <c r="H841" s="37">
        <v>1146</v>
      </c>
      <c r="I841" s="4">
        <f t="shared" si="53"/>
        <v>0</v>
      </c>
      <c r="J841" s="25">
        <f t="shared" si="51"/>
        <v>27</v>
      </c>
    </row>
    <row r="842" spans="1:10" ht="16.95" customHeight="1">
      <c r="A842" s="75">
        <v>12</v>
      </c>
      <c r="B842" s="80" t="s">
        <v>102</v>
      </c>
      <c r="C842" s="77" t="s">
        <v>50</v>
      </c>
      <c r="D842" s="78">
        <v>5</v>
      </c>
      <c r="E842" s="79"/>
      <c r="F842" s="79">
        <f t="shared" si="52"/>
        <v>0</v>
      </c>
      <c r="G842" s="2"/>
      <c r="H842" s="37">
        <v>1455</v>
      </c>
      <c r="I842" s="4">
        <f t="shared" si="53"/>
        <v>0</v>
      </c>
      <c r="J842" s="25">
        <f t="shared" si="51"/>
        <v>27</v>
      </c>
    </row>
    <row r="843" spans="1:10" ht="16.95" customHeight="1">
      <c r="A843" s="75">
        <v>13</v>
      </c>
      <c r="B843" s="80" t="s">
        <v>103</v>
      </c>
      <c r="C843" s="77" t="s">
        <v>50</v>
      </c>
      <c r="D843" s="78">
        <v>217</v>
      </c>
      <c r="E843" s="79"/>
      <c r="F843" s="79">
        <f t="shared" si="52"/>
        <v>0</v>
      </c>
      <c r="G843" s="2"/>
      <c r="H843" s="37">
        <v>1410</v>
      </c>
      <c r="I843" s="4">
        <f t="shared" si="53"/>
        <v>0</v>
      </c>
      <c r="J843" s="25">
        <f t="shared" si="51"/>
        <v>27</v>
      </c>
    </row>
    <row r="844" spans="1:10" ht="16.95" customHeight="1">
      <c r="A844" s="75">
        <v>14</v>
      </c>
      <c r="B844" s="80" t="s">
        <v>104</v>
      </c>
      <c r="C844" s="77" t="s">
        <v>49</v>
      </c>
      <c r="D844" s="78">
        <v>84</v>
      </c>
      <c r="E844" s="79"/>
      <c r="F844" s="79">
        <f t="shared" si="52"/>
        <v>0</v>
      </c>
      <c r="G844" s="2"/>
      <c r="H844" s="37">
        <v>529</v>
      </c>
      <c r="I844" s="4">
        <f t="shared" si="53"/>
        <v>0</v>
      </c>
      <c r="J844" s="25">
        <f t="shared" si="51"/>
        <v>27</v>
      </c>
    </row>
    <row r="845" spans="1:10" ht="16.95" customHeight="1">
      <c r="A845" s="75">
        <v>15</v>
      </c>
      <c r="B845" s="80" t="s">
        <v>105</v>
      </c>
      <c r="C845" s="77" t="s">
        <v>50</v>
      </c>
      <c r="D845" s="78">
        <v>1</v>
      </c>
      <c r="E845" s="79"/>
      <c r="F845" s="79">
        <f t="shared" si="52"/>
        <v>0</v>
      </c>
      <c r="G845" s="2"/>
      <c r="H845" s="37">
        <v>1146</v>
      </c>
      <c r="I845" s="4">
        <f t="shared" si="53"/>
        <v>0</v>
      </c>
      <c r="J845" s="25">
        <f t="shared" si="51"/>
        <v>27</v>
      </c>
    </row>
    <row r="846" spans="1:10" ht="34.799999999999997" customHeight="1">
      <c r="A846" s="75">
        <v>16</v>
      </c>
      <c r="B846" s="80" t="s">
        <v>106</v>
      </c>
      <c r="C846" s="77" t="s">
        <v>50</v>
      </c>
      <c r="D846" s="78">
        <v>314</v>
      </c>
      <c r="E846" s="79"/>
      <c r="F846" s="79">
        <f t="shared" si="52"/>
        <v>0</v>
      </c>
      <c r="G846" s="2"/>
      <c r="H846" s="37">
        <v>185</v>
      </c>
      <c r="I846" s="4">
        <f t="shared" si="53"/>
        <v>0</v>
      </c>
      <c r="J846" s="25">
        <f t="shared" si="51"/>
        <v>27</v>
      </c>
    </row>
    <row r="847" spans="1:10" ht="16.95" customHeight="1">
      <c r="A847" s="75">
        <v>17</v>
      </c>
      <c r="B847" s="80" t="s">
        <v>107</v>
      </c>
      <c r="C847" s="77" t="s">
        <v>48</v>
      </c>
      <c r="D847" s="78">
        <v>1</v>
      </c>
      <c r="E847" s="79"/>
      <c r="F847" s="79">
        <f t="shared" si="52"/>
        <v>0</v>
      </c>
      <c r="G847" s="2"/>
      <c r="H847" s="37">
        <v>89918</v>
      </c>
      <c r="I847" s="4">
        <f t="shared" si="53"/>
        <v>0</v>
      </c>
      <c r="J847" s="25">
        <f t="shared" si="51"/>
        <v>27</v>
      </c>
    </row>
    <row r="848" spans="1:10" ht="16.95" customHeight="1">
      <c r="A848" s="75">
        <v>18</v>
      </c>
      <c r="B848" s="80" t="s">
        <v>108</v>
      </c>
      <c r="C848" s="77" t="s">
        <v>120</v>
      </c>
      <c r="D848" s="78">
        <v>15</v>
      </c>
      <c r="E848" s="79"/>
      <c r="F848" s="79">
        <f t="shared" si="52"/>
        <v>0</v>
      </c>
      <c r="G848" s="2"/>
      <c r="H848" s="37">
        <v>661</v>
      </c>
      <c r="I848" s="4">
        <f t="shared" si="53"/>
        <v>0</v>
      </c>
      <c r="J848" s="25">
        <f t="shared" si="51"/>
        <v>27</v>
      </c>
    </row>
    <row r="849" spans="1:10" ht="16.95" customHeight="1">
      <c r="A849" s="75">
        <v>19</v>
      </c>
      <c r="B849" s="80" t="s">
        <v>109</v>
      </c>
      <c r="C849" s="77" t="s">
        <v>50</v>
      </c>
      <c r="D849" s="78">
        <v>82</v>
      </c>
      <c r="E849" s="79"/>
      <c r="F849" s="79">
        <f t="shared" si="52"/>
        <v>0</v>
      </c>
      <c r="G849" s="2"/>
      <c r="H849" s="37">
        <v>2909</v>
      </c>
      <c r="I849" s="4">
        <f t="shared" si="53"/>
        <v>0</v>
      </c>
      <c r="J849" s="25">
        <f t="shared" si="51"/>
        <v>27</v>
      </c>
    </row>
    <row r="850" spans="1:10" ht="16.95" customHeight="1">
      <c r="A850" s="75">
        <v>20</v>
      </c>
      <c r="B850" s="80" t="s">
        <v>110</v>
      </c>
      <c r="C850" s="77" t="s">
        <v>121</v>
      </c>
      <c r="D850" s="78">
        <v>12</v>
      </c>
      <c r="E850" s="79"/>
      <c r="F850" s="79">
        <f t="shared" si="52"/>
        <v>0</v>
      </c>
      <c r="G850" s="2"/>
      <c r="H850" s="37">
        <v>882</v>
      </c>
      <c r="I850" s="4">
        <f t="shared" si="53"/>
        <v>0</v>
      </c>
      <c r="J850" s="25">
        <f t="shared" si="51"/>
        <v>27</v>
      </c>
    </row>
    <row r="851" spans="1:10" ht="16.95" customHeight="1">
      <c r="A851" s="77">
        <v>21</v>
      </c>
      <c r="B851" s="80" t="s">
        <v>111</v>
      </c>
      <c r="C851" s="77" t="s">
        <v>122</v>
      </c>
      <c r="D851" s="78">
        <v>3</v>
      </c>
      <c r="E851" s="79"/>
      <c r="F851" s="79">
        <f t="shared" si="52"/>
        <v>0</v>
      </c>
      <c r="G851" s="2"/>
      <c r="H851" s="38">
        <v>1869</v>
      </c>
      <c r="I851" s="4">
        <f t="shared" si="53"/>
        <v>0</v>
      </c>
      <c r="J851" s="25">
        <f t="shared" si="51"/>
        <v>27</v>
      </c>
    </row>
    <row r="852" spans="1:10" ht="34.950000000000003" customHeight="1">
      <c r="A852" s="75">
        <v>22</v>
      </c>
      <c r="B852" s="80" t="s">
        <v>112</v>
      </c>
      <c r="C852" s="77" t="s">
        <v>48</v>
      </c>
      <c r="D852" s="78">
        <v>1</v>
      </c>
      <c r="E852" s="79"/>
      <c r="F852" s="79">
        <f t="shared" si="52"/>
        <v>0</v>
      </c>
      <c r="G852" s="2"/>
      <c r="H852" s="37">
        <v>82206</v>
      </c>
      <c r="I852" s="4">
        <f t="shared" si="53"/>
        <v>0</v>
      </c>
      <c r="J852" s="25">
        <f t="shared" si="51"/>
        <v>27</v>
      </c>
    </row>
    <row r="853" spans="1:10" ht="16.95" customHeight="1">
      <c r="A853" s="75">
        <v>23</v>
      </c>
      <c r="B853" s="80" t="s">
        <v>113</v>
      </c>
      <c r="C853" s="77" t="s">
        <v>48</v>
      </c>
      <c r="D853" s="78">
        <v>1</v>
      </c>
      <c r="E853" s="79"/>
      <c r="F853" s="79">
        <f t="shared" si="52"/>
        <v>0</v>
      </c>
      <c r="G853" s="2"/>
      <c r="H853" s="37">
        <v>142723</v>
      </c>
      <c r="I853" s="4">
        <f t="shared" si="53"/>
        <v>0</v>
      </c>
      <c r="J853" s="25">
        <f t="shared" si="51"/>
        <v>27</v>
      </c>
    </row>
    <row r="854" spans="1:10" ht="16.95" customHeight="1">
      <c r="A854" s="75">
        <v>24</v>
      </c>
      <c r="B854" s="80" t="s">
        <v>114</v>
      </c>
      <c r="C854" s="77" t="s">
        <v>48</v>
      </c>
      <c r="D854" s="78">
        <v>1</v>
      </c>
      <c r="E854" s="79"/>
      <c r="F854" s="79">
        <f t="shared" si="52"/>
        <v>0</v>
      </c>
      <c r="G854" s="2"/>
      <c r="H854" s="37">
        <v>37290</v>
      </c>
      <c r="I854" s="4">
        <f t="shared" si="53"/>
        <v>0</v>
      </c>
      <c r="J854" s="25">
        <f t="shared" si="51"/>
        <v>27</v>
      </c>
    </row>
    <row r="855" spans="1:10" ht="16.95" customHeight="1">
      <c r="A855" s="75">
        <v>25</v>
      </c>
      <c r="B855" s="80" t="s">
        <v>115</v>
      </c>
      <c r="C855" s="77" t="s">
        <v>48</v>
      </c>
      <c r="D855" s="78">
        <v>1</v>
      </c>
      <c r="E855" s="79"/>
      <c r="F855" s="79">
        <f t="shared" si="52"/>
        <v>0</v>
      </c>
      <c r="G855" s="2"/>
      <c r="H855" s="37">
        <v>99394</v>
      </c>
      <c r="I855" s="4">
        <f t="shared" si="53"/>
        <v>0</v>
      </c>
      <c r="J855" s="25">
        <f t="shared" si="51"/>
        <v>27</v>
      </c>
    </row>
    <row r="856" spans="1:10" ht="34.950000000000003" customHeight="1">
      <c r="A856" s="75">
        <v>26</v>
      </c>
      <c r="B856" s="80" t="s">
        <v>116</v>
      </c>
      <c r="C856" s="77" t="s">
        <v>48</v>
      </c>
      <c r="D856" s="78">
        <v>1</v>
      </c>
      <c r="E856" s="79"/>
      <c r="F856" s="79">
        <f t="shared" si="52"/>
        <v>0</v>
      </c>
      <c r="G856" s="2"/>
      <c r="H856" s="37">
        <v>21334</v>
      </c>
      <c r="I856" s="4">
        <f t="shared" si="53"/>
        <v>0</v>
      </c>
      <c r="J856" s="25">
        <f t="shared" si="51"/>
        <v>27</v>
      </c>
    </row>
    <row r="857" spans="1:10" ht="16.95" customHeight="1">
      <c r="A857" s="75">
        <v>27</v>
      </c>
      <c r="B857" s="80" t="s">
        <v>117</v>
      </c>
      <c r="C857" s="77" t="s">
        <v>48</v>
      </c>
      <c r="D857" s="78">
        <v>1</v>
      </c>
      <c r="E857" s="79"/>
      <c r="F857" s="79">
        <f t="shared" si="52"/>
        <v>0</v>
      </c>
      <c r="G857" s="2"/>
      <c r="H857" s="37">
        <v>29620</v>
      </c>
      <c r="I857" s="4">
        <f t="shared" si="53"/>
        <v>0</v>
      </c>
      <c r="J857" s="25">
        <f t="shared" si="51"/>
        <v>27</v>
      </c>
    </row>
    <row r="858" spans="1:10" ht="16.95" customHeight="1">
      <c r="A858" s="75">
        <v>28</v>
      </c>
      <c r="B858" s="80" t="s">
        <v>118</v>
      </c>
      <c r="C858" s="77" t="s">
        <v>48</v>
      </c>
      <c r="D858" s="78">
        <v>1</v>
      </c>
      <c r="E858" s="79"/>
      <c r="F858" s="79">
        <f t="shared" si="52"/>
        <v>0</v>
      </c>
      <c r="G858" s="2"/>
      <c r="H858" s="37">
        <v>18506</v>
      </c>
      <c r="I858" s="4">
        <f t="shared" si="53"/>
        <v>0</v>
      </c>
      <c r="J858" s="25">
        <f t="shared" si="51"/>
        <v>27</v>
      </c>
    </row>
    <row r="859" spans="1:10" ht="16.95" customHeight="1">
      <c r="A859" s="75">
        <v>29</v>
      </c>
      <c r="B859" s="80" t="s">
        <v>119</v>
      </c>
      <c r="C859" s="77" t="s">
        <v>48</v>
      </c>
      <c r="D859" s="78">
        <v>1</v>
      </c>
      <c r="E859" s="79"/>
      <c r="F859" s="79">
        <f t="shared" si="52"/>
        <v>0</v>
      </c>
      <c r="G859" s="2"/>
      <c r="H859" s="37">
        <v>34381</v>
      </c>
      <c r="I859" s="4">
        <f t="shared" si="53"/>
        <v>0</v>
      </c>
      <c r="J859" s="25">
        <f t="shared" si="51"/>
        <v>27</v>
      </c>
    </row>
    <row r="860" spans="1:10" ht="16.95" customHeight="1">
      <c r="A860" s="75" t="s">
        <v>79</v>
      </c>
      <c r="B860" s="80" t="s">
        <v>80</v>
      </c>
      <c r="C860" s="77" t="s">
        <v>48</v>
      </c>
      <c r="D860" s="78">
        <v>1</v>
      </c>
      <c r="E860" s="79">
        <f t="shared" ref="E860:E863" si="54">1/120</f>
        <v>8.3333333333333332E-3</v>
      </c>
      <c r="F860" s="79">
        <f t="shared" si="52"/>
        <v>0.10833333333333332</v>
      </c>
      <c r="G860" s="2"/>
      <c r="H860" s="37">
        <v>21395</v>
      </c>
      <c r="I860" s="4">
        <f t="shared" si="53"/>
        <v>178.29166666666666</v>
      </c>
      <c r="J860" s="25">
        <f t="shared" si="51"/>
        <v>27</v>
      </c>
    </row>
    <row r="861" spans="1:10" ht="16.95" customHeight="1">
      <c r="A861" s="75" t="s">
        <v>81</v>
      </c>
      <c r="B861" s="80" t="s">
        <v>82</v>
      </c>
      <c r="C861" s="77" t="s">
        <v>48</v>
      </c>
      <c r="D861" s="78">
        <v>1</v>
      </c>
      <c r="E861" s="79">
        <f t="shared" si="54"/>
        <v>8.3333333333333332E-3</v>
      </c>
      <c r="F861" s="79">
        <f t="shared" si="52"/>
        <v>0.10833333333333332</v>
      </c>
      <c r="G861" s="2"/>
      <c r="H861" s="37">
        <v>21395</v>
      </c>
      <c r="I861" s="4">
        <f t="shared" si="53"/>
        <v>178.29166666666666</v>
      </c>
      <c r="J861" s="25">
        <f t="shared" si="51"/>
        <v>27</v>
      </c>
    </row>
    <row r="862" spans="1:10" ht="16.95" customHeight="1">
      <c r="A862" s="75" t="s">
        <v>83</v>
      </c>
      <c r="B862" s="80" t="s">
        <v>84</v>
      </c>
      <c r="C862" s="77" t="s">
        <v>48</v>
      </c>
      <c r="D862" s="78">
        <v>1</v>
      </c>
      <c r="E862" s="79">
        <f t="shared" si="54"/>
        <v>8.3333333333333332E-3</v>
      </c>
      <c r="F862" s="79">
        <f t="shared" si="52"/>
        <v>0.10833333333333332</v>
      </c>
      <c r="G862" s="2"/>
      <c r="H862" s="37">
        <v>149765</v>
      </c>
      <c r="I862" s="4">
        <f t="shared" si="53"/>
        <v>1248.0416666666667</v>
      </c>
      <c r="J862" s="25">
        <f t="shared" si="51"/>
        <v>27</v>
      </c>
    </row>
    <row r="863" spans="1:10" ht="16.95" customHeight="1">
      <c r="A863" s="75" t="s">
        <v>85</v>
      </c>
      <c r="B863" s="80" t="s">
        <v>86</v>
      </c>
      <c r="C863" s="77" t="s">
        <v>48</v>
      </c>
      <c r="D863" s="78">
        <v>1</v>
      </c>
      <c r="E863" s="79">
        <f t="shared" si="54"/>
        <v>8.3333333333333332E-3</v>
      </c>
      <c r="F863" s="79">
        <f t="shared" si="52"/>
        <v>0.10833333333333332</v>
      </c>
      <c r="G863" s="2"/>
      <c r="H863" s="37">
        <v>6996</v>
      </c>
      <c r="I863" s="4">
        <f t="shared" si="53"/>
        <v>58.3</v>
      </c>
      <c r="J863" s="25">
        <f t="shared" si="51"/>
        <v>27</v>
      </c>
    </row>
    <row r="864" spans="1:10" ht="16.95" customHeight="1">
      <c r="A864" s="75" t="s">
        <v>87</v>
      </c>
      <c r="B864" s="80" t="s">
        <v>88</v>
      </c>
      <c r="C864" s="77" t="s">
        <v>48</v>
      </c>
      <c r="D864" s="78">
        <v>1</v>
      </c>
      <c r="E864" s="79">
        <f>1/120</f>
        <v>8.3333333333333332E-3</v>
      </c>
      <c r="F864" s="79">
        <f t="shared" si="52"/>
        <v>0.10833333333333332</v>
      </c>
      <c r="G864" s="2"/>
      <c r="H864" s="37">
        <v>116952</v>
      </c>
      <c r="I864" s="4">
        <f t="shared" si="53"/>
        <v>974.6</v>
      </c>
      <c r="J864" s="25">
        <f t="shared" si="51"/>
        <v>27</v>
      </c>
    </row>
    <row r="865" spans="1:10" ht="16.95" customHeight="1">
      <c r="A865" s="95" t="s">
        <v>23</v>
      </c>
      <c r="B865" s="95"/>
      <c r="C865" s="50"/>
      <c r="D865" s="50"/>
      <c r="E865" s="50"/>
      <c r="F865" s="50"/>
      <c r="G865" s="50"/>
      <c r="H865" s="3" t="s">
        <v>24</v>
      </c>
      <c r="I865" s="5">
        <f>SUM(I830:I864)</f>
        <v>15057.404999999999</v>
      </c>
      <c r="J865" s="25">
        <f t="shared" si="51"/>
        <v>27</v>
      </c>
    </row>
    <row r="866" spans="1:10" ht="16.95" customHeight="1">
      <c r="A866" s="96" t="s">
        <v>25</v>
      </c>
      <c r="B866" s="96"/>
      <c r="C866" s="50"/>
      <c r="D866" s="50"/>
      <c r="E866" s="50"/>
      <c r="F866" s="50"/>
      <c r="G866" s="50"/>
      <c r="J866" s="25">
        <f t="shared" si="51"/>
        <v>27</v>
      </c>
    </row>
    <row r="867" spans="1:10" ht="16.95" customHeight="1">
      <c r="A867" s="96" t="s">
        <v>26</v>
      </c>
      <c r="B867" s="96"/>
      <c r="C867" s="50"/>
      <c r="D867" s="50"/>
      <c r="E867" s="50"/>
      <c r="F867" s="50"/>
      <c r="G867" s="50"/>
      <c r="J867" s="25">
        <f t="shared" si="51"/>
        <v>27</v>
      </c>
    </row>
    <row r="868" spans="1:10" ht="16.95" customHeight="1">
      <c r="A868" s="95" t="s">
        <v>27</v>
      </c>
      <c r="B868" s="95"/>
      <c r="C868" s="95"/>
      <c r="D868" s="95"/>
      <c r="E868" s="95"/>
      <c r="F868" s="95"/>
      <c r="G868" s="95"/>
      <c r="J868" s="25">
        <f t="shared" si="51"/>
        <v>27</v>
      </c>
    </row>
    <row r="869" spans="1:10" ht="16.95" customHeight="1">
      <c r="A869" s="94" t="s">
        <v>28</v>
      </c>
      <c r="B869" s="94"/>
      <c r="C869" s="51" t="s">
        <v>29</v>
      </c>
      <c r="D869" s="51" t="s">
        <v>30</v>
      </c>
      <c r="E869" s="51" t="s">
        <v>18</v>
      </c>
      <c r="F869" s="51" t="s">
        <v>31</v>
      </c>
      <c r="G869" s="51" t="s">
        <v>20</v>
      </c>
      <c r="J869" s="25">
        <f t="shared" si="51"/>
        <v>27</v>
      </c>
    </row>
    <row r="870" spans="1:10" ht="16.95" customHeight="1">
      <c r="A870" s="96"/>
      <c r="B870" s="96"/>
      <c r="C870" s="50"/>
      <c r="D870" s="50"/>
      <c r="E870" s="50"/>
      <c r="F870" s="50"/>
      <c r="G870" s="51"/>
      <c r="J870" s="25">
        <f t="shared" si="51"/>
        <v>27</v>
      </c>
    </row>
    <row r="871" spans="1:10" ht="16.95" customHeight="1">
      <c r="A871" s="97"/>
      <c r="B871" s="97"/>
      <c r="C871" s="50"/>
      <c r="D871" s="50"/>
      <c r="E871" s="50"/>
      <c r="F871" s="51"/>
      <c r="G871" s="51"/>
      <c r="J871" s="25">
        <f t="shared" si="51"/>
        <v>27</v>
      </c>
    </row>
    <row r="872" spans="1:10" ht="16.95" customHeight="1">
      <c r="A872" s="95" t="s">
        <v>32</v>
      </c>
      <c r="B872" s="95"/>
      <c r="C872" s="95"/>
      <c r="D872" s="95"/>
      <c r="E872" s="95"/>
      <c r="F872" s="95"/>
      <c r="G872" s="95"/>
      <c r="J872" s="25">
        <f t="shared" si="51"/>
        <v>28</v>
      </c>
    </row>
    <row r="873" spans="1:10" ht="16.95" customHeight="1">
      <c r="A873" s="51" t="s">
        <v>33</v>
      </c>
      <c r="B873" s="51" t="s">
        <v>34</v>
      </c>
      <c r="C873" s="94" t="s">
        <v>35</v>
      </c>
      <c r="D873" s="94"/>
      <c r="E873" s="51" t="s">
        <v>36</v>
      </c>
      <c r="F873" s="51" t="s">
        <v>37</v>
      </c>
      <c r="G873" s="51" t="s">
        <v>38</v>
      </c>
      <c r="J873" s="25">
        <f t="shared" si="51"/>
        <v>28</v>
      </c>
    </row>
    <row r="874" spans="1:10" ht="16.95" customHeight="1">
      <c r="A874" s="51" t="s">
        <v>39</v>
      </c>
      <c r="B874" s="6">
        <v>1</v>
      </c>
      <c r="C874" s="94">
        <f>B874+C811</f>
        <v>10</v>
      </c>
      <c r="D874" s="94"/>
      <c r="E874" s="51"/>
      <c r="F874" s="24"/>
      <c r="G874" s="24"/>
      <c r="J874" s="25">
        <f t="shared" si="51"/>
        <v>28</v>
      </c>
    </row>
    <row r="875" spans="1:10" ht="16.95" customHeight="1">
      <c r="A875" s="51" t="s">
        <v>40</v>
      </c>
      <c r="B875" s="6">
        <v>1</v>
      </c>
      <c r="C875" s="94">
        <f>B875+C812</f>
        <v>11</v>
      </c>
      <c r="D875" s="94"/>
      <c r="E875" s="51"/>
      <c r="F875" s="24"/>
      <c r="G875" s="24"/>
      <c r="J875" s="25">
        <f t="shared" si="51"/>
        <v>28</v>
      </c>
    </row>
    <row r="876" spans="1:10" ht="36.6" customHeight="1">
      <c r="A876" s="95" t="s">
        <v>41</v>
      </c>
      <c r="B876" s="95"/>
      <c r="C876" s="95"/>
      <c r="D876" s="95"/>
      <c r="E876" s="95"/>
      <c r="F876" s="95"/>
      <c r="G876" s="95"/>
      <c r="J876" s="25">
        <f t="shared" si="51"/>
        <v>28</v>
      </c>
    </row>
    <row r="877" spans="1:10" ht="90" customHeight="1">
      <c r="A877" s="92" t="s">
        <v>42</v>
      </c>
      <c r="B877" s="92"/>
      <c r="C877" s="92"/>
      <c r="D877" s="92"/>
      <c r="E877" s="92"/>
      <c r="F877" s="92"/>
      <c r="G877" s="92"/>
      <c r="J877" s="25">
        <f t="shared" si="51"/>
        <v>28</v>
      </c>
    </row>
    <row r="878" spans="1:10" ht="16.95" customHeight="1">
      <c r="A878" s="95" t="s">
        <v>43</v>
      </c>
      <c r="B878" s="95"/>
      <c r="C878" s="95"/>
      <c r="D878" s="95"/>
      <c r="E878" s="95"/>
      <c r="F878" s="95"/>
      <c r="G878" s="95"/>
      <c r="J878" s="25">
        <f t="shared" si="51"/>
        <v>28</v>
      </c>
    </row>
    <row r="879" spans="1:10" ht="16.95" customHeight="1">
      <c r="A879" s="95" t="s">
        <v>44</v>
      </c>
      <c r="B879" s="95"/>
      <c r="C879" s="95"/>
      <c r="D879" s="95"/>
      <c r="E879" s="95"/>
      <c r="F879" s="95"/>
      <c r="G879" s="95"/>
      <c r="J879" s="25">
        <f t="shared" si="51"/>
        <v>28</v>
      </c>
    </row>
    <row r="880" spans="1:10" ht="16.95" customHeight="1">
      <c r="A880" s="91" t="s">
        <v>125</v>
      </c>
      <c r="B880" s="91"/>
      <c r="C880" s="91"/>
      <c r="D880" s="91"/>
      <c r="E880" s="91"/>
      <c r="F880" s="91"/>
      <c r="G880" s="91"/>
      <c r="J880" s="25">
        <f t="shared" si="51"/>
        <v>28</v>
      </c>
    </row>
    <row r="881" spans="1:10" ht="120.6" customHeight="1">
      <c r="A881" s="92" t="s">
        <v>45</v>
      </c>
      <c r="B881" s="92"/>
      <c r="C881" s="92"/>
      <c r="D881" s="92"/>
      <c r="E881" s="92"/>
      <c r="F881" s="92"/>
      <c r="G881" s="92"/>
      <c r="J881" s="25">
        <f t="shared" si="51"/>
        <v>28</v>
      </c>
    </row>
    <row r="882" spans="1:10" ht="140.4" customHeight="1">
      <c r="A882" s="93" t="s">
        <v>46</v>
      </c>
      <c r="B882" s="93"/>
      <c r="C882" s="93"/>
      <c r="D882" s="93"/>
      <c r="E882" s="93"/>
      <c r="F882" s="93"/>
      <c r="G882" s="93"/>
      <c r="J882" s="25">
        <f t="shared" si="51"/>
        <v>28</v>
      </c>
    </row>
    <row r="883" spans="1:10" ht="37.200000000000003" customHeight="1">
      <c r="A883" s="103" t="s">
        <v>0</v>
      </c>
      <c r="B883" s="103"/>
      <c r="C883" s="103"/>
      <c r="D883" s="103"/>
      <c r="E883" s="103"/>
      <c r="F883" s="103"/>
      <c r="G883" s="103"/>
      <c r="J883" s="25">
        <f t="shared" si="51"/>
        <v>29</v>
      </c>
    </row>
    <row r="884" spans="1:10" ht="16.95" customHeight="1">
      <c r="A884" s="1" t="s">
        <v>1</v>
      </c>
      <c r="B884" s="104">
        <f>B821+1</f>
        <v>15</v>
      </c>
      <c r="C884" s="104"/>
      <c r="D884" s="104"/>
      <c r="E884" s="104"/>
      <c r="F884" s="104"/>
      <c r="G884" s="104"/>
      <c r="J884" s="25">
        <f t="shared" si="51"/>
        <v>29</v>
      </c>
    </row>
    <row r="885" spans="1:10" ht="16.95" customHeight="1">
      <c r="A885" s="1" t="s">
        <v>2</v>
      </c>
      <c r="B885" s="105" t="s">
        <v>63</v>
      </c>
      <c r="C885" s="105"/>
      <c r="D885" s="105"/>
      <c r="E885" s="106">
        <f>E822+1</f>
        <v>46218</v>
      </c>
      <c r="F885" s="106"/>
      <c r="G885" s="106"/>
      <c r="J885" s="25">
        <f t="shared" si="51"/>
        <v>29</v>
      </c>
    </row>
    <row r="886" spans="1:10" ht="16.95" customHeight="1">
      <c r="A886" s="53" t="s">
        <v>3</v>
      </c>
      <c r="B886" s="2" t="s">
        <v>67</v>
      </c>
      <c r="C886" s="98" t="s">
        <v>4</v>
      </c>
      <c r="D886" s="98"/>
      <c r="E886" s="98" t="s">
        <v>47</v>
      </c>
      <c r="F886" s="98"/>
      <c r="G886" s="98"/>
      <c r="J886" s="25">
        <f t="shared" si="51"/>
        <v>29</v>
      </c>
    </row>
    <row r="887" spans="1:10" ht="16.95" customHeight="1">
      <c r="A887" s="53" t="s">
        <v>5</v>
      </c>
      <c r="B887" s="54">
        <v>120</v>
      </c>
      <c r="C887" s="98" t="s">
        <v>6</v>
      </c>
      <c r="D887" s="98"/>
      <c r="E887" s="98" t="s">
        <v>123</v>
      </c>
      <c r="F887" s="98"/>
      <c r="G887" s="98"/>
      <c r="J887" s="25">
        <f t="shared" si="51"/>
        <v>29</v>
      </c>
    </row>
    <row r="888" spans="1:10" ht="16.95" customHeight="1">
      <c r="A888" s="53" t="s">
        <v>7</v>
      </c>
      <c r="B888" s="54">
        <f>B884</f>
        <v>15</v>
      </c>
      <c r="C888" s="100" t="s">
        <v>8</v>
      </c>
      <c r="D888" s="100"/>
      <c r="E888" s="101">
        <f>B887-B888</f>
        <v>105</v>
      </c>
      <c r="F888" s="101"/>
      <c r="G888" s="101"/>
      <c r="J888" s="25">
        <f t="shared" si="51"/>
        <v>29</v>
      </c>
    </row>
    <row r="889" spans="1:10" ht="16.95" customHeight="1">
      <c r="A889" s="53" t="s">
        <v>9</v>
      </c>
      <c r="B889" s="55">
        <v>46204</v>
      </c>
      <c r="C889" s="98" t="s">
        <v>10</v>
      </c>
      <c r="D889" s="98"/>
      <c r="E889" s="102">
        <f>B889+B887-1</f>
        <v>46323</v>
      </c>
      <c r="F889" s="102"/>
      <c r="G889" s="102"/>
      <c r="J889" s="25">
        <f t="shared" si="51"/>
        <v>29</v>
      </c>
    </row>
    <row r="890" spans="1:10" ht="16.95" customHeight="1">
      <c r="A890" s="53" t="s">
        <v>11</v>
      </c>
      <c r="B890" s="56">
        <f>HLOOKUP(B884,進度表!$Q$2:$Z$3,2,1)+B827</f>
        <v>6.1452692385993504E-2</v>
      </c>
      <c r="C890" s="98" t="s">
        <v>12</v>
      </c>
      <c r="D890" s="98"/>
      <c r="E890" s="99">
        <f>I928/I890+E827</f>
        <v>6.9882797231270347E-2</v>
      </c>
      <c r="F890" s="99"/>
      <c r="G890" s="99"/>
      <c r="H890" s="3" t="s">
        <v>62</v>
      </c>
      <c r="I890" s="1">
        <v>2456000</v>
      </c>
      <c r="J890" s="25">
        <f t="shared" si="51"/>
        <v>29</v>
      </c>
    </row>
    <row r="891" spans="1:10" ht="16.95" customHeight="1">
      <c r="A891" s="98" t="s">
        <v>13</v>
      </c>
      <c r="B891" s="98"/>
      <c r="C891" s="98"/>
      <c r="D891" s="98"/>
      <c r="E891" s="98"/>
      <c r="F891" s="98"/>
      <c r="G891" s="98"/>
      <c r="J891" s="25">
        <f t="shared" ref="J891:J954" si="55">J828+2</f>
        <v>29</v>
      </c>
    </row>
    <row r="892" spans="1:10" ht="16.95" customHeight="1">
      <c r="A892" s="52" t="s">
        <v>14</v>
      </c>
      <c r="B892" s="52" t="s">
        <v>15</v>
      </c>
      <c r="C892" s="52" t="s">
        <v>16</v>
      </c>
      <c r="D892" s="52" t="s">
        <v>17</v>
      </c>
      <c r="E892" s="52" t="s">
        <v>18</v>
      </c>
      <c r="F892" s="52" t="s">
        <v>19</v>
      </c>
      <c r="G892" s="52" t="s">
        <v>20</v>
      </c>
      <c r="H892" s="3" t="s">
        <v>21</v>
      </c>
      <c r="I892" s="3" t="s">
        <v>22</v>
      </c>
      <c r="J892" s="25">
        <f t="shared" si="55"/>
        <v>29</v>
      </c>
    </row>
    <row r="893" spans="1:10" ht="16.95" customHeight="1">
      <c r="A893" s="75" t="s">
        <v>65</v>
      </c>
      <c r="B893" s="76" t="s">
        <v>69</v>
      </c>
      <c r="C893" s="77"/>
      <c r="D893" s="78"/>
      <c r="E893" s="79"/>
      <c r="F893" s="79"/>
      <c r="G893" s="2"/>
      <c r="H893" s="37"/>
      <c r="I893" s="4"/>
      <c r="J893" s="25">
        <f t="shared" si="55"/>
        <v>29</v>
      </c>
    </row>
    <row r="894" spans="1:10" ht="34.950000000000003" customHeight="1">
      <c r="A894" s="75">
        <v>1</v>
      </c>
      <c r="B894" s="80" t="s">
        <v>91</v>
      </c>
      <c r="C894" s="77" t="s">
        <v>48</v>
      </c>
      <c r="D894" s="78">
        <v>1</v>
      </c>
      <c r="E894" s="79"/>
      <c r="F894" s="79">
        <f t="shared" ref="F894:F927" si="56">E894+F831</f>
        <v>1</v>
      </c>
      <c r="G894" s="2"/>
      <c r="H894" s="37">
        <v>10508</v>
      </c>
      <c r="I894" s="4">
        <f>H894*E894</f>
        <v>0</v>
      </c>
      <c r="J894" s="25">
        <f t="shared" si="55"/>
        <v>29</v>
      </c>
    </row>
    <row r="895" spans="1:10" ht="34.799999999999997" customHeight="1">
      <c r="A895" s="75">
        <v>2</v>
      </c>
      <c r="B895" s="80" t="s">
        <v>92</v>
      </c>
      <c r="C895" s="77" t="s">
        <v>48</v>
      </c>
      <c r="D895" s="78">
        <v>1</v>
      </c>
      <c r="E895" s="79"/>
      <c r="F895" s="79">
        <f t="shared" si="56"/>
        <v>0</v>
      </c>
      <c r="G895" s="2"/>
      <c r="H895" s="37">
        <v>13223</v>
      </c>
      <c r="I895" s="4">
        <f>H895*E895</f>
        <v>0</v>
      </c>
      <c r="J895" s="25">
        <f t="shared" si="55"/>
        <v>29</v>
      </c>
    </row>
    <row r="896" spans="1:10" ht="53.4" customHeight="1">
      <c r="A896" s="75">
        <v>3</v>
      </c>
      <c r="B896" s="80" t="s">
        <v>93</v>
      </c>
      <c r="C896" s="77" t="s">
        <v>48</v>
      </c>
      <c r="D896" s="78">
        <v>1</v>
      </c>
      <c r="E896" s="79"/>
      <c r="F896" s="79">
        <f t="shared" si="56"/>
        <v>0.39999999999999997</v>
      </c>
      <c r="G896" s="2"/>
      <c r="H896" s="37">
        <v>310497</v>
      </c>
      <c r="I896" s="4">
        <f t="shared" ref="I896:I927" si="57">H896*E896</f>
        <v>0</v>
      </c>
      <c r="J896" s="25">
        <f t="shared" si="55"/>
        <v>29</v>
      </c>
    </row>
    <row r="897" spans="1:10" ht="16.95" customHeight="1">
      <c r="A897" s="75">
        <v>4</v>
      </c>
      <c r="B897" s="80" t="s">
        <v>94</v>
      </c>
      <c r="C897" s="77" t="s">
        <v>48</v>
      </c>
      <c r="D897" s="78">
        <v>1</v>
      </c>
      <c r="E897" s="79"/>
      <c r="F897" s="79">
        <f t="shared" si="56"/>
        <v>0</v>
      </c>
      <c r="G897" s="2"/>
      <c r="H897" s="37">
        <v>8375</v>
      </c>
      <c r="I897" s="4">
        <f t="shared" si="57"/>
        <v>0</v>
      </c>
      <c r="J897" s="25">
        <f t="shared" si="55"/>
        <v>29</v>
      </c>
    </row>
    <row r="898" spans="1:10" ht="16.95" customHeight="1">
      <c r="A898" s="75">
        <v>5</v>
      </c>
      <c r="B898" s="80" t="s">
        <v>95</v>
      </c>
      <c r="C898" s="77" t="s">
        <v>48</v>
      </c>
      <c r="D898" s="78">
        <v>1</v>
      </c>
      <c r="E898" s="79"/>
      <c r="F898" s="79">
        <f t="shared" si="56"/>
        <v>0</v>
      </c>
      <c r="G898" s="2"/>
      <c r="H898" s="37">
        <v>51618</v>
      </c>
      <c r="I898" s="4">
        <f t="shared" si="57"/>
        <v>0</v>
      </c>
      <c r="J898" s="25">
        <f t="shared" si="55"/>
        <v>29</v>
      </c>
    </row>
    <row r="899" spans="1:10" ht="16.95" customHeight="1">
      <c r="A899" s="75">
        <v>6</v>
      </c>
      <c r="B899" s="80" t="s">
        <v>96</v>
      </c>
      <c r="C899" s="77" t="s">
        <v>50</v>
      </c>
      <c r="D899" s="78">
        <v>11.55</v>
      </c>
      <c r="E899" s="79"/>
      <c r="F899" s="79">
        <f t="shared" si="56"/>
        <v>0</v>
      </c>
      <c r="G899" s="2"/>
      <c r="H899" s="37">
        <v>1188</v>
      </c>
      <c r="I899" s="4">
        <f t="shared" si="57"/>
        <v>0</v>
      </c>
      <c r="J899" s="25">
        <f t="shared" si="55"/>
        <v>29</v>
      </c>
    </row>
    <row r="900" spans="1:10" ht="34.950000000000003" customHeight="1">
      <c r="A900" s="75">
        <v>7</v>
      </c>
      <c r="B900" s="80" t="s">
        <v>97</v>
      </c>
      <c r="C900" s="77" t="s">
        <v>48</v>
      </c>
      <c r="D900" s="78">
        <v>1</v>
      </c>
      <c r="E900" s="79"/>
      <c r="F900" s="79">
        <f t="shared" si="56"/>
        <v>0</v>
      </c>
      <c r="G900" s="2"/>
      <c r="H900" s="37">
        <v>21157</v>
      </c>
      <c r="I900" s="4">
        <f t="shared" si="57"/>
        <v>0</v>
      </c>
      <c r="J900" s="25">
        <f t="shared" si="55"/>
        <v>29</v>
      </c>
    </row>
    <row r="901" spans="1:10" ht="16.95" customHeight="1">
      <c r="A901" s="75">
        <v>8</v>
      </c>
      <c r="B901" s="80" t="s">
        <v>98</v>
      </c>
      <c r="C901" s="77" t="s">
        <v>50</v>
      </c>
      <c r="D901" s="78">
        <v>387</v>
      </c>
      <c r="E901" s="79"/>
      <c r="F901" s="79">
        <f t="shared" si="56"/>
        <v>0</v>
      </c>
      <c r="G901" s="2"/>
      <c r="H901" s="37">
        <v>705</v>
      </c>
      <c r="I901" s="4">
        <f t="shared" si="57"/>
        <v>0</v>
      </c>
      <c r="J901" s="25">
        <f t="shared" si="55"/>
        <v>29</v>
      </c>
    </row>
    <row r="902" spans="1:10" ht="16.95" customHeight="1">
      <c r="A902" s="75">
        <v>9</v>
      </c>
      <c r="B902" s="80" t="s">
        <v>99</v>
      </c>
      <c r="C902" s="77" t="s">
        <v>50</v>
      </c>
      <c r="D902" s="78">
        <v>170</v>
      </c>
      <c r="E902" s="79"/>
      <c r="F902" s="79">
        <f t="shared" si="56"/>
        <v>0</v>
      </c>
      <c r="G902" s="2"/>
      <c r="H902" s="37">
        <v>617</v>
      </c>
      <c r="I902" s="4">
        <f t="shared" si="57"/>
        <v>0</v>
      </c>
      <c r="J902" s="25">
        <f t="shared" si="55"/>
        <v>29</v>
      </c>
    </row>
    <row r="903" spans="1:10" ht="16.95" customHeight="1">
      <c r="A903" s="75">
        <v>10</v>
      </c>
      <c r="B903" s="80" t="s">
        <v>100</v>
      </c>
      <c r="C903" s="77" t="s">
        <v>66</v>
      </c>
      <c r="D903" s="78">
        <v>15</v>
      </c>
      <c r="E903" s="79"/>
      <c r="F903" s="79">
        <f t="shared" si="56"/>
        <v>0</v>
      </c>
      <c r="G903" s="2"/>
      <c r="H903" s="37">
        <v>617</v>
      </c>
      <c r="I903" s="4">
        <f t="shared" si="57"/>
        <v>0</v>
      </c>
      <c r="J903" s="25">
        <f t="shared" si="55"/>
        <v>29</v>
      </c>
    </row>
    <row r="904" spans="1:10" ht="16.95" customHeight="1">
      <c r="A904" s="75">
        <v>11</v>
      </c>
      <c r="B904" s="80" t="s">
        <v>101</v>
      </c>
      <c r="C904" s="77" t="s">
        <v>50</v>
      </c>
      <c r="D904" s="78">
        <v>75</v>
      </c>
      <c r="E904" s="79"/>
      <c r="F904" s="79">
        <f t="shared" si="56"/>
        <v>0</v>
      </c>
      <c r="G904" s="2"/>
      <c r="H904" s="37">
        <v>1146</v>
      </c>
      <c r="I904" s="4">
        <f t="shared" si="57"/>
        <v>0</v>
      </c>
      <c r="J904" s="25">
        <f t="shared" si="55"/>
        <v>29</v>
      </c>
    </row>
    <row r="905" spans="1:10" ht="16.95" customHeight="1">
      <c r="A905" s="75">
        <v>12</v>
      </c>
      <c r="B905" s="80" t="s">
        <v>102</v>
      </c>
      <c r="C905" s="77" t="s">
        <v>50</v>
      </c>
      <c r="D905" s="78">
        <v>5</v>
      </c>
      <c r="E905" s="79"/>
      <c r="F905" s="79">
        <f t="shared" si="56"/>
        <v>0</v>
      </c>
      <c r="G905" s="2"/>
      <c r="H905" s="37">
        <v>1455</v>
      </c>
      <c r="I905" s="4">
        <f t="shared" si="57"/>
        <v>0</v>
      </c>
      <c r="J905" s="25">
        <f t="shared" si="55"/>
        <v>29</v>
      </c>
    </row>
    <row r="906" spans="1:10" ht="16.95" customHeight="1">
      <c r="A906" s="75">
        <v>13</v>
      </c>
      <c r="B906" s="80" t="s">
        <v>103</v>
      </c>
      <c r="C906" s="77" t="s">
        <v>50</v>
      </c>
      <c r="D906" s="78">
        <v>217</v>
      </c>
      <c r="E906" s="79"/>
      <c r="F906" s="79">
        <f t="shared" si="56"/>
        <v>0</v>
      </c>
      <c r="G906" s="2"/>
      <c r="H906" s="37">
        <v>1410</v>
      </c>
      <c r="I906" s="4">
        <f t="shared" si="57"/>
        <v>0</v>
      </c>
      <c r="J906" s="25">
        <f t="shared" si="55"/>
        <v>29</v>
      </c>
    </row>
    <row r="907" spans="1:10" ht="16.95" customHeight="1">
      <c r="A907" s="75">
        <v>14</v>
      </c>
      <c r="B907" s="80" t="s">
        <v>104</v>
      </c>
      <c r="C907" s="77" t="s">
        <v>49</v>
      </c>
      <c r="D907" s="78">
        <v>84</v>
      </c>
      <c r="E907" s="79"/>
      <c r="F907" s="79">
        <f t="shared" si="56"/>
        <v>0</v>
      </c>
      <c r="G907" s="2"/>
      <c r="H907" s="37">
        <v>529</v>
      </c>
      <c r="I907" s="4">
        <f t="shared" si="57"/>
        <v>0</v>
      </c>
      <c r="J907" s="25">
        <f t="shared" si="55"/>
        <v>29</v>
      </c>
    </row>
    <row r="908" spans="1:10" ht="16.95" customHeight="1">
      <c r="A908" s="75">
        <v>15</v>
      </c>
      <c r="B908" s="80" t="s">
        <v>105</v>
      </c>
      <c r="C908" s="77" t="s">
        <v>50</v>
      </c>
      <c r="D908" s="78">
        <v>1</v>
      </c>
      <c r="E908" s="79"/>
      <c r="F908" s="79">
        <f t="shared" si="56"/>
        <v>0</v>
      </c>
      <c r="G908" s="2"/>
      <c r="H908" s="37">
        <v>1146</v>
      </c>
      <c r="I908" s="4">
        <f t="shared" si="57"/>
        <v>0</v>
      </c>
      <c r="J908" s="25">
        <f t="shared" si="55"/>
        <v>29</v>
      </c>
    </row>
    <row r="909" spans="1:10" ht="34.799999999999997" customHeight="1">
      <c r="A909" s="75">
        <v>16</v>
      </c>
      <c r="B909" s="80" t="s">
        <v>106</v>
      </c>
      <c r="C909" s="77" t="s">
        <v>50</v>
      </c>
      <c r="D909" s="78">
        <v>314</v>
      </c>
      <c r="E909" s="79"/>
      <c r="F909" s="79">
        <f t="shared" si="56"/>
        <v>0</v>
      </c>
      <c r="G909" s="2"/>
      <c r="H909" s="37">
        <v>185</v>
      </c>
      <c r="I909" s="4">
        <f t="shared" si="57"/>
        <v>0</v>
      </c>
      <c r="J909" s="25">
        <f t="shared" si="55"/>
        <v>29</v>
      </c>
    </row>
    <row r="910" spans="1:10" ht="16.95" customHeight="1">
      <c r="A910" s="75">
        <v>17</v>
      </c>
      <c r="B910" s="80" t="s">
        <v>107</v>
      </c>
      <c r="C910" s="77" t="s">
        <v>48</v>
      </c>
      <c r="D910" s="78">
        <v>1</v>
      </c>
      <c r="E910" s="79"/>
      <c r="F910" s="79">
        <f t="shared" si="56"/>
        <v>0</v>
      </c>
      <c r="G910" s="2"/>
      <c r="H910" s="37">
        <v>89918</v>
      </c>
      <c r="I910" s="4">
        <f t="shared" si="57"/>
        <v>0</v>
      </c>
      <c r="J910" s="25">
        <f t="shared" si="55"/>
        <v>29</v>
      </c>
    </row>
    <row r="911" spans="1:10" ht="16.95" customHeight="1">
      <c r="A911" s="75">
        <v>18</v>
      </c>
      <c r="B911" s="80" t="s">
        <v>108</v>
      </c>
      <c r="C911" s="77" t="s">
        <v>120</v>
      </c>
      <c r="D911" s="78">
        <v>15</v>
      </c>
      <c r="E911" s="79"/>
      <c r="F911" s="79">
        <f t="shared" si="56"/>
        <v>0</v>
      </c>
      <c r="G911" s="2"/>
      <c r="H911" s="37">
        <v>661</v>
      </c>
      <c r="I911" s="4">
        <f t="shared" si="57"/>
        <v>0</v>
      </c>
      <c r="J911" s="25">
        <f t="shared" si="55"/>
        <v>29</v>
      </c>
    </row>
    <row r="912" spans="1:10" ht="16.95" customHeight="1">
      <c r="A912" s="75">
        <v>19</v>
      </c>
      <c r="B912" s="80" t="s">
        <v>109</v>
      </c>
      <c r="C912" s="77" t="s">
        <v>50</v>
      </c>
      <c r="D912" s="78">
        <v>82</v>
      </c>
      <c r="E912" s="79"/>
      <c r="F912" s="79">
        <f t="shared" si="56"/>
        <v>0</v>
      </c>
      <c r="G912" s="2"/>
      <c r="H912" s="37">
        <v>2909</v>
      </c>
      <c r="I912" s="4">
        <f t="shared" si="57"/>
        <v>0</v>
      </c>
      <c r="J912" s="25">
        <f t="shared" si="55"/>
        <v>29</v>
      </c>
    </row>
    <row r="913" spans="1:10" ht="16.95" customHeight="1">
      <c r="A913" s="75">
        <v>20</v>
      </c>
      <c r="B913" s="80" t="s">
        <v>110</v>
      </c>
      <c r="C913" s="77" t="s">
        <v>121</v>
      </c>
      <c r="D913" s="78">
        <v>12</v>
      </c>
      <c r="E913" s="79"/>
      <c r="F913" s="79">
        <f t="shared" si="56"/>
        <v>0</v>
      </c>
      <c r="G913" s="2"/>
      <c r="H913" s="37">
        <v>882</v>
      </c>
      <c r="I913" s="4">
        <f t="shared" si="57"/>
        <v>0</v>
      </c>
      <c r="J913" s="25">
        <f t="shared" si="55"/>
        <v>29</v>
      </c>
    </row>
    <row r="914" spans="1:10" ht="16.95" customHeight="1">
      <c r="A914" s="77">
        <v>21</v>
      </c>
      <c r="B914" s="80" t="s">
        <v>111</v>
      </c>
      <c r="C914" s="77" t="s">
        <v>122</v>
      </c>
      <c r="D914" s="78">
        <v>3</v>
      </c>
      <c r="E914" s="79"/>
      <c r="F914" s="79">
        <f t="shared" si="56"/>
        <v>0</v>
      </c>
      <c r="G914" s="2"/>
      <c r="H914" s="38">
        <v>1869</v>
      </c>
      <c r="I914" s="4">
        <f t="shared" si="57"/>
        <v>0</v>
      </c>
      <c r="J914" s="25">
        <f t="shared" si="55"/>
        <v>29</v>
      </c>
    </row>
    <row r="915" spans="1:10" ht="34.950000000000003" customHeight="1">
      <c r="A915" s="75">
        <v>22</v>
      </c>
      <c r="B915" s="80" t="s">
        <v>112</v>
      </c>
      <c r="C915" s="77" t="s">
        <v>48</v>
      </c>
      <c r="D915" s="78">
        <v>1</v>
      </c>
      <c r="E915" s="79"/>
      <c r="F915" s="79">
        <f t="shared" si="56"/>
        <v>0</v>
      </c>
      <c r="G915" s="2"/>
      <c r="H915" s="37">
        <v>82206</v>
      </c>
      <c r="I915" s="4">
        <f t="shared" si="57"/>
        <v>0</v>
      </c>
      <c r="J915" s="25">
        <f t="shared" si="55"/>
        <v>29</v>
      </c>
    </row>
    <row r="916" spans="1:10" ht="16.95" customHeight="1">
      <c r="A916" s="75">
        <v>23</v>
      </c>
      <c r="B916" s="80" t="s">
        <v>113</v>
      </c>
      <c r="C916" s="77" t="s">
        <v>48</v>
      </c>
      <c r="D916" s="78">
        <v>1</v>
      </c>
      <c r="E916" s="79"/>
      <c r="F916" s="79">
        <f t="shared" si="56"/>
        <v>0</v>
      </c>
      <c r="G916" s="2"/>
      <c r="H916" s="37">
        <v>142723</v>
      </c>
      <c r="I916" s="4">
        <f t="shared" si="57"/>
        <v>0</v>
      </c>
      <c r="J916" s="25">
        <f t="shared" si="55"/>
        <v>29</v>
      </c>
    </row>
    <row r="917" spans="1:10" ht="16.95" customHeight="1">
      <c r="A917" s="75">
        <v>24</v>
      </c>
      <c r="B917" s="80" t="s">
        <v>114</v>
      </c>
      <c r="C917" s="77" t="s">
        <v>48</v>
      </c>
      <c r="D917" s="78">
        <v>1</v>
      </c>
      <c r="E917" s="79"/>
      <c r="F917" s="79">
        <f t="shared" si="56"/>
        <v>0</v>
      </c>
      <c r="G917" s="2"/>
      <c r="H917" s="37">
        <v>37290</v>
      </c>
      <c r="I917" s="4">
        <f t="shared" si="57"/>
        <v>0</v>
      </c>
      <c r="J917" s="25">
        <f t="shared" si="55"/>
        <v>29</v>
      </c>
    </row>
    <row r="918" spans="1:10" ht="16.95" customHeight="1">
      <c r="A918" s="75">
        <v>25</v>
      </c>
      <c r="B918" s="80" t="s">
        <v>115</v>
      </c>
      <c r="C918" s="77" t="s">
        <v>48</v>
      </c>
      <c r="D918" s="78">
        <v>1</v>
      </c>
      <c r="E918" s="79"/>
      <c r="F918" s="79">
        <f t="shared" si="56"/>
        <v>0</v>
      </c>
      <c r="G918" s="2"/>
      <c r="H918" s="37">
        <v>99394</v>
      </c>
      <c r="I918" s="4">
        <f t="shared" si="57"/>
        <v>0</v>
      </c>
      <c r="J918" s="25">
        <f t="shared" si="55"/>
        <v>29</v>
      </c>
    </row>
    <row r="919" spans="1:10" ht="34.950000000000003" customHeight="1">
      <c r="A919" s="75">
        <v>26</v>
      </c>
      <c r="B919" s="80" t="s">
        <v>116</v>
      </c>
      <c r="C919" s="77" t="s">
        <v>48</v>
      </c>
      <c r="D919" s="78">
        <v>1</v>
      </c>
      <c r="E919" s="79"/>
      <c r="F919" s="79">
        <f t="shared" si="56"/>
        <v>0</v>
      </c>
      <c r="G919" s="2"/>
      <c r="H919" s="37">
        <v>21334</v>
      </c>
      <c r="I919" s="4">
        <f t="shared" si="57"/>
        <v>0</v>
      </c>
      <c r="J919" s="25">
        <f t="shared" si="55"/>
        <v>29</v>
      </c>
    </row>
    <row r="920" spans="1:10" ht="16.95" customHeight="1">
      <c r="A920" s="75">
        <v>27</v>
      </c>
      <c r="B920" s="80" t="s">
        <v>117</v>
      </c>
      <c r="C920" s="77" t="s">
        <v>48</v>
      </c>
      <c r="D920" s="78">
        <v>1</v>
      </c>
      <c r="E920" s="79"/>
      <c r="F920" s="79">
        <f t="shared" si="56"/>
        <v>0</v>
      </c>
      <c r="G920" s="2"/>
      <c r="H920" s="37">
        <v>29620</v>
      </c>
      <c r="I920" s="4">
        <f t="shared" si="57"/>
        <v>0</v>
      </c>
      <c r="J920" s="25">
        <f t="shared" si="55"/>
        <v>29</v>
      </c>
    </row>
    <row r="921" spans="1:10" ht="16.95" customHeight="1">
      <c r="A921" s="75">
        <v>28</v>
      </c>
      <c r="B921" s="80" t="s">
        <v>118</v>
      </c>
      <c r="C921" s="77" t="s">
        <v>48</v>
      </c>
      <c r="D921" s="78">
        <v>1</v>
      </c>
      <c r="E921" s="79"/>
      <c r="F921" s="79">
        <f t="shared" si="56"/>
        <v>0</v>
      </c>
      <c r="G921" s="2"/>
      <c r="H921" s="37">
        <v>18506</v>
      </c>
      <c r="I921" s="4">
        <f t="shared" si="57"/>
        <v>0</v>
      </c>
      <c r="J921" s="25">
        <f t="shared" si="55"/>
        <v>29</v>
      </c>
    </row>
    <row r="922" spans="1:10" ht="16.95" customHeight="1">
      <c r="A922" s="75">
        <v>29</v>
      </c>
      <c r="B922" s="80" t="s">
        <v>119</v>
      </c>
      <c r="C922" s="77" t="s">
        <v>48</v>
      </c>
      <c r="D922" s="78">
        <v>1</v>
      </c>
      <c r="E922" s="79"/>
      <c r="F922" s="79">
        <f t="shared" si="56"/>
        <v>0</v>
      </c>
      <c r="G922" s="2"/>
      <c r="H922" s="37">
        <v>34381</v>
      </c>
      <c r="I922" s="4">
        <f t="shared" si="57"/>
        <v>0</v>
      </c>
      <c r="J922" s="25">
        <f t="shared" si="55"/>
        <v>29</v>
      </c>
    </row>
    <row r="923" spans="1:10" ht="16.95" customHeight="1">
      <c r="A923" s="75" t="s">
        <v>79</v>
      </c>
      <c r="B923" s="80" t="s">
        <v>80</v>
      </c>
      <c r="C923" s="77" t="s">
        <v>48</v>
      </c>
      <c r="D923" s="78">
        <v>1</v>
      </c>
      <c r="E923" s="79">
        <f t="shared" ref="E923:E926" si="58">1/120</f>
        <v>8.3333333333333332E-3</v>
      </c>
      <c r="F923" s="79">
        <f t="shared" si="56"/>
        <v>0.11666666666666665</v>
      </c>
      <c r="G923" s="2"/>
      <c r="H923" s="37">
        <v>21395</v>
      </c>
      <c r="I923" s="4">
        <f t="shared" si="57"/>
        <v>178.29166666666666</v>
      </c>
      <c r="J923" s="25">
        <f t="shared" si="55"/>
        <v>29</v>
      </c>
    </row>
    <row r="924" spans="1:10" ht="16.95" customHeight="1">
      <c r="A924" s="75" t="s">
        <v>81</v>
      </c>
      <c r="B924" s="80" t="s">
        <v>82</v>
      </c>
      <c r="C924" s="77" t="s">
        <v>48</v>
      </c>
      <c r="D924" s="78">
        <v>1</v>
      </c>
      <c r="E924" s="79">
        <f t="shared" si="58"/>
        <v>8.3333333333333332E-3</v>
      </c>
      <c r="F924" s="79">
        <f t="shared" si="56"/>
        <v>0.11666666666666665</v>
      </c>
      <c r="G924" s="2"/>
      <c r="H924" s="37">
        <v>21395</v>
      </c>
      <c r="I924" s="4">
        <f t="shared" si="57"/>
        <v>178.29166666666666</v>
      </c>
      <c r="J924" s="25">
        <f t="shared" si="55"/>
        <v>29</v>
      </c>
    </row>
    <row r="925" spans="1:10" ht="16.95" customHeight="1">
      <c r="A925" s="75" t="s">
        <v>83</v>
      </c>
      <c r="B925" s="80" t="s">
        <v>84</v>
      </c>
      <c r="C925" s="77" t="s">
        <v>48</v>
      </c>
      <c r="D925" s="78">
        <v>1</v>
      </c>
      <c r="E925" s="79">
        <f t="shared" si="58"/>
        <v>8.3333333333333332E-3</v>
      </c>
      <c r="F925" s="79">
        <f t="shared" si="56"/>
        <v>0.11666666666666665</v>
      </c>
      <c r="G925" s="2"/>
      <c r="H925" s="37">
        <v>149765</v>
      </c>
      <c r="I925" s="4">
        <f t="shared" si="57"/>
        <v>1248.0416666666667</v>
      </c>
      <c r="J925" s="25">
        <f t="shared" si="55"/>
        <v>29</v>
      </c>
    </row>
    <row r="926" spans="1:10" ht="16.95" customHeight="1">
      <c r="A926" s="75" t="s">
        <v>85</v>
      </c>
      <c r="B926" s="80" t="s">
        <v>86</v>
      </c>
      <c r="C926" s="77" t="s">
        <v>48</v>
      </c>
      <c r="D926" s="78">
        <v>1</v>
      </c>
      <c r="E926" s="79">
        <f t="shared" si="58"/>
        <v>8.3333333333333332E-3</v>
      </c>
      <c r="F926" s="79">
        <f t="shared" si="56"/>
        <v>0.11666666666666665</v>
      </c>
      <c r="G926" s="2"/>
      <c r="H926" s="37">
        <v>6996</v>
      </c>
      <c r="I926" s="4">
        <f t="shared" si="57"/>
        <v>58.3</v>
      </c>
      <c r="J926" s="25">
        <f t="shared" si="55"/>
        <v>29</v>
      </c>
    </row>
    <row r="927" spans="1:10" ht="16.95" customHeight="1">
      <c r="A927" s="75" t="s">
        <v>87</v>
      </c>
      <c r="B927" s="80" t="s">
        <v>88</v>
      </c>
      <c r="C927" s="77" t="s">
        <v>48</v>
      </c>
      <c r="D927" s="78">
        <v>1</v>
      </c>
      <c r="E927" s="79">
        <f>1/120</f>
        <v>8.3333333333333332E-3</v>
      </c>
      <c r="F927" s="79">
        <f t="shared" si="56"/>
        <v>0.11666666666666665</v>
      </c>
      <c r="G927" s="2"/>
      <c r="H927" s="37">
        <v>116952</v>
      </c>
      <c r="I927" s="4">
        <f t="shared" si="57"/>
        <v>974.6</v>
      </c>
      <c r="J927" s="25">
        <f t="shared" si="55"/>
        <v>29</v>
      </c>
    </row>
    <row r="928" spans="1:10" ht="16.95" customHeight="1">
      <c r="A928" s="95" t="s">
        <v>23</v>
      </c>
      <c r="B928" s="95"/>
      <c r="C928" s="50"/>
      <c r="D928" s="50"/>
      <c r="E928" s="50"/>
      <c r="F928" s="50"/>
      <c r="G928" s="50"/>
      <c r="H928" s="3" t="s">
        <v>24</v>
      </c>
      <c r="I928" s="5">
        <f>SUM(I893:I927)</f>
        <v>2637.5250000000001</v>
      </c>
      <c r="J928" s="25">
        <f t="shared" si="55"/>
        <v>29</v>
      </c>
    </row>
    <row r="929" spans="1:10" ht="16.95" customHeight="1">
      <c r="A929" s="96" t="s">
        <v>25</v>
      </c>
      <c r="B929" s="96"/>
      <c r="C929" s="50"/>
      <c r="D929" s="50"/>
      <c r="E929" s="50"/>
      <c r="F929" s="50"/>
      <c r="G929" s="50"/>
      <c r="J929" s="25">
        <f t="shared" si="55"/>
        <v>29</v>
      </c>
    </row>
    <row r="930" spans="1:10" ht="16.95" customHeight="1">
      <c r="A930" s="96" t="s">
        <v>26</v>
      </c>
      <c r="B930" s="96"/>
      <c r="C930" s="50"/>
      <c r="D930" s="50"/>
      <c r="E930" s="50"/>
      <c r="F930" s="50"/>
      <c r="G930" s="50"/>
      <c r="J930" s="25">
        <f t="shared" si="55"/>
        <v>29</v>
      </c>
    </row>
    <row r="931" spans="1:10" ht="16.95" customHeight="1">
      <c r="A931" s="95" t="s">
        <v>27</v>
      </c>
      <c r="B931" s="95"/>
      <c r="C931" s="95"/>
      <c r="D931" s="95"/>
      <c r="E931" s="95"/>
      <c r="F931" s="95"/>
      <c r="G931" s="95"/>
      <c r="J931" s="25">
        <f t="shared" si="55"/>
        <v>29</v>
      </c>
    </row>
    <row r="932" spans="1:10" ht="16.95" customHeight="1">
      <c r="A932" s="94" t="s">
        <v>28</v>
      </c>
      <c r="B932" s="94"/>
      <c r="C932" s="51" t="s">
        <v>29</v>
      </c>
      <c r="D932" s="51" t="s">
        <v>30</v>
      </c>
      <c r="E932" s="51" t="s">
        <v>18</v>
      </c>
      <c r="F932" s="51" t="s">
        <v>31</v>
      </c>
      <c r="G932" s="51" t="s">
        <v>20</v>
      </c>
      <c r="J932" s="25">
        <f t="shared" si="55"/>
        <v>29</v>
      </c>
    </row>
    <row r="933" spans="1:10" ht="16.95" customHeight="1">
      <c r="A933" s="96"/>
      <c r="B933" s="96"/>
      <c r="C933" s="50"/>
      <c r="D933" s="50"/>
      <c r="E933" s="50"/>
      <c r="F933" s="50"/>
      <c r="G933" s="51"/>
      <c r="J933" s="25">
        <f t="shared" si="55"/>
        <v>29</v>
      </c>
    </row>
    <row r="934" spans="1:10" ht="16.95" customHeight="1">
      <c r="A934" s="97"/>
      <c r="B934" s="97"/>
      <c r="C934" s="50"/>
      <c r="D934" s="50"/>
      <c r="E934" s="50"/>
      <c r="F934" s="51"/>
      <c r="G934" s="51"/>
      <c r="J934" s="25">
        <f t="shared" si="55"/>
        <v>29</v>
      </c>
    </row>
    <row r="935" spans="1:10" ht="16.95" customHeight="1">
      <c r="A935" s="95" t="s">
        <v>32</v>
      </c>
      <c r="B935" s="95"/>
      <c r="C935" s="95"/>
      <c r="D935" s="95"/>
      <c r="E935" s="95"/>
      <c r="F935" s="95"/>
      <c r="G935" s="95"/>
      <c r="J935" s="25">
        <f t="shared" si="55"/>
        <v>30</v>
      </c>
    </row>
    <row r="936" spans="1:10" ht="16.95" customHeight="1">
      <c r="A936" s="51" t="s">
        <v>33</v>
      </c>
      <c r="B936" s="51" t="s">
        <v>34</v>
      </c>
      <c r="C936" s="94" t="s">
        <v>35</v>
      </c>
      <c r="D936" s="94"/>
      <c r="E936" s="51" t="s">
        <v>36</v>
      </c>
      <c r="F936" s="51" t="s">
        <v>37</v>
      </c>
      <c r="G936" s="51" t="s">
        <v>38</v>
      </c>
      <c r="J936" s="25">
        <f t="shared" si="55"/>
        <v>30</v>
      </c>
    </row>
    <row r="937" spans="1:10" ht="16.95" customHeight="1">
      <c r="A937" s="51" t="s">
        <v>39</v>
      </c>
      <c r="B937" s="6"/>
      <c r="C937" s="94">
        <f>B937+C874</f>
        <v>10</v>
      </c>
      <c r="D937" s="94"/>
      <c r="E937" s="51"/>
      <c r="F937" s="24"/>
      <c r="G937" s="24"/>
      <c r="J937" s="25">
        <f t="shared" si="55"/>
        <v>30</v>
      </c>
    </row>
    <row r="938" spans="1:10" ht="16.95" customHeight="1">
      <c r="A938" s="51" t="s">
        <v>40</v>
      </c>
      <c r="B938" s="6"/>
      <c r="C938" s="94">
        <f>B938+C875</f>
        <v>11</v>
      </c>
      <c r="D938" s="94"/>
      <c r="E938" s="51"/>
      <c r="F938" s="24"/>
      <c r="G938" s="24"/>
      <c r="J938" s="25">
        <f t="shared" si="55"/>
        <v>30</v>
      </c>
    </row>
    <row r="939" spans="1:10" ht="36.6" customHeight="1">
      <c r="A939" s="95" t="s">
        <v>41</v>
      </c>
      <c r="B939" s="95"/>
      <c r="C939" s="95"/>
      <c r="D939" s="95"/>
      <c r="E939" s="95"/>
      <c r="F939" s="95"/>
      <c r="G939" s="95"/>
      <c r="J939" s="25">
        <f t="shared" si="55"/>
        <v>30</v>
      </c>
    </row>
    <row r="940" spans="1:10" ht="90" customHeight="1">
      <c r="A940" s="92" t="s">
        <v>42</v>
      </c>
      <c r="B940" s="92"/>
      <c r="C940" s="92"/>
      <c r="D940" s="92"/>
      <c r="E940" s="92"/>
      <c r="F940" s="92"/>
      <c r="G940" s="92"/>
      <c r="J940" s="25">
        <f t="shared" si="55"/>
        <v>30</v>
      </c>
    </row>
    <row r="941" spans="1:10" ht="16.95" customHeight="1">
      <c r="A941" s="95" t="s">
        <v>43</v>
      </c>
      <c r="B941" s="95"/>
      <c r="C941" s="95"/>
      <c r="D941" s="95"/>
      <c r="E941" s="95"/>
      <c r="F941" s="95"/>
      <c r="G941" s="95"/>
      <c r="J941" s="25">
        <f t="shared" si="55"/>
        <v>30</v>
      </c>
    </row>
    <row r="942" spans="1:10" ht="16.95" customHeight="1">
      <c r="A942" s="95" t="s">
        <v>44</v>
      </c>
      <c r="B942" s="95"/>
      <c r="C942" s="95"/>
      <c r="D942" s="95"/>
      <c r="E942" s="95"/>
      <c r="F942" s="95"/>
      <c r="G942" s="95"/>
      <c r="J942" s="25">
        <f t="shared" si="55"/>
        <v>30</v>
      </c>
    </row>
    <row r="943" spans="1:10" ht="16.95" customHeight="1">
      <c r="A943" s="91" t="s">
        <v>126</v>
      </c>
      <c r="B943" s="91"/>
      <c r="C943" s="91"/>
      <c r="D943" s="91"/>
      <c r="E943" s="91"/>
      <c r="F943" s="91"/>
      <c r="G943" s="91"/>
      <c r="J943" s="25">
        <f t="shared" si="55"/>
        <v>30</v>
      </c>
    </row>
    <row r="944" spans="1:10" ht="120.6" customHeight="1">
      <c r="A944" s="92" t="s">
        <v>45</v>
      </c>
      <c r="B944" s="92"/>
      <c r="C944" s="92"/>
      <c r="D944" s="92"/>
      <c r="E944" s="92"/>
      <c r="F944" s="92"/>
      <c r="G944" s="92"/>
      <c r="J944" s="25">
        <f t="shared" si="55"/>
        <v>30</v>
      </c>
    </row>
    <row r="945" spans="1:10" ht="140.4" customHeight="1">
      <c r="A945" s="93" t="s">
        <v>46</v>
      </c>
      <c r="B945" s="93"/>
      <c r="C945" s="93"/>
      <c r="D945" s="93"/>
      <c r="E945" s="93"/>
      <c r="F945" s="93"/>
      <c r="G945" s="93"/>
      <c r="J945" s="25">
        <f t="shared" si="55"/>
        <v>30</v>
      </c>
    </row>
    <row r="946" spans="1:10" ht="37.200000000000003" customHeight="1">
      <c r="A946" s="103" t="s">
        <v>0</v>
      </c>
      <c r="B946" s="103"/>
      <c r="C946" s="103"/>
      <c r="D946" s="103"/>
      <c r="E946" s="103"/>
      <c r="F946" s="103"/>
      <c r="G946" s="103"/>
      <c r="J946" s="25">
        <f t="shared" si="55"/>
        <v>31</v>
      </c>
    </row>
    <row r="947" spans="1:10" ht="16.95" customHeight="1">
      <c r="A947" s="1" t="s">
        <v>1</v>
      </c>
      <c r="B947" s="104">
        <f>B884+1</f>
        <v>16</v>
      </c>
      <c r="C947" s="104"/>
      <c r="D947" s="104"/>
      <c r="E947" s="104"/>
      <c r="F947" s="104"/>
      <c r="G947" s="104"/>
      <c r="J947" s="25">
        <f t="shared" si="55"/>
        <v>31</v>
      </c>
    </row>
    <row r="948" spans="1:10" ht="16.95" customHeight="1">
      <c r="A948" s="1" t="s">
        <v>2</v>
      </c>
      <c r="B948" s="105" t="s">
        <v>63</v>
      </c>
      <c r="C948" s="105"/>
      <c r="D948" s="105"/>
      <c r="E948" s="106">
        <f>E885+1</f>
        <v>46219</v>
      </c>
      <c r="F948" s="106"/>
      <c r="G948" s="106"/>
      <c r="J948" s="25">
        <f t="shared" si="55"/>
        <v>31</v>
      </c>
    </row>
    <row r="949" spans="1:10" ht="16.95" customHeight="1">
      <c r="A949" s="53" t="s">
        <v>3</v>
      </c>
      <c r="B949" s="2" t="s">
        <v>67</v>
      </c>
      <c r="C949" s="98" t="s">
        <v>4</v>
      </c>
      <c r="D949" s="98"/>
      <c r="E949" s="98" t="s">
        <v>47</v>
      </c>
      <c r="F949" s="98"/>
      <c r="G949" s="98"/>
      <c r="J949" s="25">
        <f t="shared" si="55"/>
        <v>31</v>
      </c>
    </row>
    <row r="950" spans="1:10" ht="16.95" customHeight="1">
      <c r="A950" s="53" t="s">
        <v>5</v>
      </c>
      <c r="B950" s="54">
        <v>120</v>
      </c>
      <c r="C950" s="98" t="s">
        <v>6</v>
      </c>
      <c r="D950" s="98"/>
      <c r="E950" s="98" t="s">
        <v>123</v>
      </c>
      <c r="F950" s="98"/>
      <c r="G950" s="98"/>
      <c r="J950" s="25">
        <f t="shared" si="55"/>
        <v>31</v>
      </c>
    </row>
    <row r="951" spans="1:10" ht="16.95" customHeight="1">
      <c r="A951" s="53" t="s">
        <v>7</v>
      </c>
      <c r="B951" s="54">
        <f>B947</f>
        <v>16</v>
      </c>
      <c r="C951" s="100" t="s">
        <v>8</v>
      </c>
      <c r="D951" s="100"/>
      <c r="E951" s="101">
        <f>B950-B951</f>
        <v>104</v>
      </c>
      <c r="F951" s="101"/>
      <c r="G951" s="101"/>
      <c r="J951" s="25">
        <f t="shared" si="55"/>
        <v>31</v>
      </c>
    </row>
    <row r="952" spans="1:10" ht="16.95" customHeight="1">
      <c r="A952" s="53" t="s">
        <v>9</v>
      </c>
      <c r="B952" s="55">
        <v>46204</v>
      </c>
      <c r="C952" s="98" t="s">
        <v>10</v>
      </c>
      <c r="D952" s="98"/>
      <c r="E952" s="102">
        <f>B952+B950-1</f>
        <v>46323</v>
      </c>
      <c r="F952" s="102"/>
      <c r="G952" s="102"/>
      <c r="J952" s="25">
        <f t="shared" si="55"/>
        <v>31</v>
      </c>
    </row>
    <row r="953" spans="1:10" ht="16.95" customHeight="1">
      <c r="A953" s="53" t="s">
        <v>11</v>
      </c>
      <c r="B953" s="56">
        <f>HLOOKUP(B947,進度表!$Q$2:$Z$3,2,1)+B890</f>
        <v>6.6016585233441935E-2</v>
      </c>
      <c r="C953" s="98" t="s">
        <v>12</v>
      </c>
      <c r="D953" s="98"/>
      <c r="E953" s="99">
        <f>I991/I953+E890</f>
        <v>7.6013662459283371E-2</v>
      </c>
      <c r="F953" s="99"/>
      <c r="G953" s="99"/>
      <c r="H953" s="3" t="s">
        <v>62</v>
      </c>
      <c r="I953" s="1">
        <v>2456000</v>
      </c>
      <c r="J953" s="25">
        <f t="shared" si="55"/>
        <v>31</v>
      </c>
    </row>
    <row r="954" spans="1:10" ht="16.95" customHeight="1">
      <c r="A954" s="98" t="s">
        <v>13</v>
      </c>
      <c r="B954" s="98"/>
      <c r="C954" s="98"/>
      <c r="D954" s="98"/>
      <c r="E954" s="98"/>
      <c r="F954" s="98"/>
      <c r="G954" s="98"/>
      <c r="J954" s="25">
        <f t="shared" si="55"/>
        <v>31</v>
      </c>
    </row>
    <row r="955" spans="1:10" ht="16.95" customHeight="1">
      <c r="A955" s="52" t="s">
        <v>14</v>
      </c>
      <c r="B955" s="52" t="s">
        <v>15</v>
      </c>
      <c r="C955" s="52" t="s">
        <v>16</v>
      </c>
      <c r="D955" s="52" t="s">
        <v>17</v>
      </c>
      <c r="E955" s="52" t="s">
        <v>18</v>
      </c>
      <c r="F955" s="52" t="s">
        <v>19</v>
      </c>
      <c r="G955" s="52" t="s">
        <v>20</v>
      </c>
      <c r="H955" s="3" t="s">
        <v>21</v>
      </c>
      <c r="I955" s="3" t="s">
        <v>22</v>
      </c>
      <c r="J955" s="25">
        <f t="shared" ref="J955:J1018" si="59">J892+2</f>
        <v>31</v>
      </c>
    </row>
    <row r="956" spans="1:10" ht="16.95" customHeight="1">
      <c r="A956" s="75" t="s">
        <v>65</v>
      </c>
      <c r="B956" s="76" t="s">
        <v>69</v>
      </c>
      <c r="C956" s="77"/>
      <c r="D956" s="78"/>
      <c r="E956" s="79"/>
      <c r="F956" s="79"/>
      <c r="G956" s="2"/>
      <c r="H956" s="37"/>
      <c r="I956" s="4"/>
      <c r="J956" s="25">
        <f t="shared" si="59"/>
        <v>31</v>
      </c>
    </row>
    <row r="957" spans="1:10" ht="34.950000000000003" customHeight="1">
      <c r="A957" s="75">
        <v>1</v>
      </c>
      <c r="B957" s="80" t="s">
        <v>91</v>
      </c>
      <c r="C957" s="77" t="s">
        <v>48</v>
      </c>
      <c r="D957" s="78">
        <v>1</v>
      </c>
      <c r="E957" s="79"/>
      <c r="F957" s="79">
        <f t="shared" ref="F957:F990" si="60">E957+F894</f>
        <v>1</v>
      </c>
      <c r="G957" s="2"/>
      <c r="H957" s="37">
        <v>10508</v>
      </c>
      <c r="I957" s="4">
        <f>H957*E957</f>
        <v>0</v>
      </c>
      <c r="J957" s="25">
        <f t="shared" si="59"/>
        <v>31</v>
      </c>
    </row>
    <row r="958" spans="1:10" ht="34.799999999999997" customHeight="1">
      <c r="A958" s="75">
        <v>2</v>
      </c>
      <c r="B958" s="80" t="s">
        <v>92</v>
      </c>
      <c r="C958" s="77" t="s">
        <v>48</v>
      </c>
      <c r="D958" s="78">
        <v>1</v>
      </c>
      <c r="E958" s="79"/>
      <c r="F958" s="79">
        <f t="shared" si="60"/>
        <v>0</v>
      </c>
      <c r="G958" s="2"/>
      <c r="H958" s="37">
        <v>13223</v>
      </c>
      <c r="I958" s="4">
        <f>H958*E958</f>
        <v>0</v>
      </c>
      <c r="J958" s="25">
        <f t="shared" si="59"/>
        <v>31</v>
      </c>
    </row>
    <row r="959" spans="1:10" ht="53.4" customHeight="1">
      <c r="A959" s="75">
        <v>3</v>
      </c>
      <c r="B959" s="80" t="s">
        <v>93</v>
      </c>
      <c r="C959" s="77" t="s">
        <v>48</v>
      </c>
      <c r="D959" s="78">
        <v>1</v>
      </c>
      <c r="E959" s="79">
        <v>0.04</v>
      </c>
      <c r="F959" s="79">
        <f t="shared" si="60"/>
        <v>0.43999999999999995</v>
      </c>
      <c r="G959" s="2"/>
      <c r="H959" s="37">
        <v>310497</v>
      </c>
      <c r="I959" s="4">
        <f t="shared" ref="I959:I990" si="61">H959*E959</f>
        <v>12419.880000000001</v>
      </c>
      <c r="J959" s="25">
        <f t="shared" si="59"/>
        <v>31</v>
      </c>
    </row>
    <row r="960" spans="1:10" ht="16.95" customHeight="1">
      <c r="A960" s="75">
        <v>4</v>
      </c>
      <c r="B960" s="80" t="s">
        <v>94</v>
      </c>
      <c r="C960" s="77" t="s">
        <v>48</v>
      </c>
      <c r="D960" s="78">
        <v>1</v>
      </c>
      <c r="E960" s="79"/>
      <c r="F960" s="79">
        <f t="shared" si="60"/>
        <v>0</v>
      </c>
      <c r="G960" s="2"/>
      <c r="H960" s="37">
        <v>8375</v>
      </c>
      <c r="I960" s="4">
        <f t="shared" si="61"/>
        <v>0</v>
      </c>
      <c r="J960" s="25">
        <f t="shared" si="59"/>
        <v>31</v>
      </c>
    </row>
    <row r="961" spans="1:10" ht="16.95" customHeight="1">
      <c r="A961" s="75">
        <v>5</v>
      </c>
      <c r="B961" s="80" t="s">
        <v>95</v>
      </c>
      <c r="C961" s="77" t="s">
        <v>48</v>
      </c>
      <c r="D961" s="78">
        <v>1</v>
      </c>
      <c r="E961" s="79"/>
      <c r="F961" s="79">
        <f t="shared" si="60"/>
        <v>0</v>
      </c>
      <c r="G961" s="2"/>
      <c r="H961" s="37">
        <v>51618</v>
      </c>
      <c r="I961" s="4">
        <f t="shared" si="61"/>
        <v>0</v>
      </c>
      <c r="J961" s="25">
        <f t="shared" si="59"/>
        <v>31</v>
      </c>
    </row>
    <row r="962" spans="1:10" ht="16.95" customHeight="1">
      <c r="A962" s="75">
        <v>6</v>
      </c>
      <c r="B962" s="80" t="s">
        <v>96</v>
      </c>
      <c r="C962" s="77" t="s">
        <v>50</v>
      </c>
      <c r="D962" s="78">
        <v>11.55</v>
      </c>
      <c r="E962" s="79"/>
      <c r="F962" s="79">
        <f t="shared" si="60"/>
        <v>0</v>
      </c>
      <c r="G962" s="2"/>
      <c r="H962" s="37">
        <v>1188</v>
      </c>
      <c r="I962" s="4">
        <f t="shared" si="61"/>
        <v>0</v>
      </c>
      <c r="J962" s="25">
        <f t="shared" si="59"/>
        <v>31</v>
      </c>
    </row>
    <row r="963" spans="1:10" ht="34.950000000000003" customHeight="1">
      <c r="A963" s="75">
        <v>7</v>
      </c>
      <c r="B963" s="80" t="s">
        <v>97</v>
      </c>
      <c r="C963" s="77" t="s">
        <v>48</v>
      </c>
      <c r="D963" s="78">
        <v>1</v>
      </c>
      <c r="E963" s="79"/>
      <c r="F963" s="79">
        <f t="shared" si="60"/>
        <v>0</v>
      </c>
      <c r="G963" s="2"/>
      <c r="H963" s="37">
        <v>21157</v>
      </c>
      <c r="I963" s="4">
        <f t="shared" si="61"/>
        <v>0</v>
      </c>
      <c r="J963" s="25">
        <f t="shared" si="59"/>
        <v>31</v>
      </c>
    </row>
    <row r="964" spans="1:10" ht="16.95" customHeight="1">
      <c r="A964" s="75">
        <v>8</v>
      </c>
      <c r="B964" s="80" t="s">
        <v>98</v>
      </c>
      <c r="C964" s="77" t="s">
        <v>50</v>
      </c>
      <c r="D964" s="78">
        <v>387</v>
      </c>
      <c r="E964" s="79"/>
      <c r="F964" s="79">
        <f t="shared" si="60"/>
        <v>0</v>
      </c>
      <c r="G964" s="2"/>
      <c r="H964" s="37">
        <v>705</v>
      </c>
      <c r="I964" s="4">
        <f t="shared" si="61"/>
        <v>0</v>
      </c>
      <c r="J964" s="25">
        <f t="shared" si="59"/>
        <v>31</v>
      </c>
    </row>
    <row r="965" spans="1:10" ht="16.95" customHeight="1">
      <c r="A965" s="75">
        <v>9</v>
      </c>
      <c r="B965" s="80" t="s">
        <v>99</v>
      </c>
      <c r="C965" s="77" t="s">
        <v>50</v>
      </c>
      <c r="D965" s="78">
        <v>170</v>
      </c>
      <c r="E965" s="79"/>
      <c r="F965" s="79">
        <f t="shared" si="60"/>
        <v>0</v>
      </c>
      <c r="G965" s="2"/>
      <c r="H965" s="37">
        <v>617</v>
      </c>
      <c r="I965" s="4">
        <f t="shared" si="61"/>
        <v>0</v>
      </c>
      <c r="J965" s="25">
        <f t="shared" si="59"/>
        <v>31</v>
      </c>
    </row>
    <row r="966" spans="1:10" ht="16.95" customHeight="1">
      <c r="A966" s="75">
        <v>10</v>
      </c>
      <c r="B966" s="80" t="s">
        <v>100</v>
      </c>
      <c r="C966" s="77" t="s">
        <v>66</v>
      </c>
      <c r="D966" s="78">
        <v>15</v>
      </c>
      <c r="E966" s="79"/>
      <c r="F966" s="79">
        <f t="shared" si="60"/>
        <v>0</v>
      </c>
      <c r="G966" s="2"/>
      <c r="H966" s="37">
        <v>617</v>
      </c>
      <c r="I966" s="4">
        <f t="shared" si="61"/>
        <v>0</v>
      </c>
      <c r="J966" s="25">
        <f t="shared" si="59"/>
        <v>31</v>
      </c>
    </row>
    <row r="967" spans="1:10" ht="16.95" customHeight="1">
      <c r="A967" s="75">
        <v>11</v>
      </c>
      <c r="B967" s="80" t="s">
        <v>101</v>
      </c>
      <c r="C967" s="77" t="s">
        <v>50</v>
      </c>
      <c r="D967" s="78">
        <v>75</v>
      </c>
      <c r="E967" s="79"/>
      <c r="F967" s="79">
        <f t="shared" si="60"/>
        <v>0</v>
      </c>
      <c r="G967" s="2"/>
      <c r="H967" s="37">
        <v>1146</v>
      </c>
      <c r="I967" s="4">
        <f t="shared" si="61"/>
        <v>0</v>
      </c>
      <c r="J967" s="25">
        <f t="shared" si="59"/>
        <v>31</v>
      </c>
    </row>
    <row r="968" spans="1:10" ht="16.95" customHeight="1">
      <c r="A968" s="75">
        <v>12</v>
      </c>
      <c r="B968" s="80" t="s">
        <v>102</v>
      </c>
      <c r="C968" s="77" t="s">
        <v>50</v>
      </c>
      <c r="D968" s="78">
        <v>5</v>
      </c>
      <c r="E968" s="79"/>
      <c r="F968" s="79">
        <f t="shared" si="60"/>
        <v>0</v>
      </c>
      <c r="G968" s="2"/>
      <c r="H968" s="37">
        <v>1455</v>
      </c>
      <c r="I968" s="4">
        <f t="shared" si="61"/>
        <v>0</v>
      </c>
      <c r="J968" s="25">
        <f t="shared" si="59"/>
        <v>31</v>
      </c>
    </row>
    <row r="969" spans="1:10" ht="16.95" customHeight="1">
      <c r="A969" s="75">
        <v>13</v>
      </c>
      <c r="B969" s="80" t="s">
        <v>103</v>
      </c>
      <c r="C969" s="77" t="s">
        <v>50</v>
      </c>
      <c r="D969" s="78">
        <v>217</v>
      </c>
      <c r="E969" s="79"/>
      <c r="F969" s="79">
        <f t="shared" si="60"/>
        <v>0</v>
      </c>
      <c r="G969" s="2"/>
      <c r="H969" s="37">
        <v>1410</v>
      </c>
      <c r="I969" s="4">
        <f t="shared" si="61"/>
        <v>0</v>
      </c>
      <c r="J969" s="25">
        <f t="shared" si="59"/>
        <v>31</v>
      </c>
    </row>
    <row r="970" spans="1:10" ht="16.95" customHeight="1">
      <c r="A970" s="75">
        <v>14</v>
      </c>
      <c r="B970" s="80" t="s">
        <v>104</v>
      </c>
      <c r="C970" s="77" t="s">
        <v>49</v>
      </c>
      <c r="D970" s="78">
        <v>84</v>
      </c>
      <c r="E970" s="79"/>
      <c r="F970" s="79">
        <f t="shared" si="60"/>
        <v>0</v>
      </c>
      <c r="G970" s="2"/>
      <c r="H970" s="37">
        <v>529</v>
      </c>
      <c r="I970" s="4">
        <f t="shared" si="61"/>
        <v>0</v>
      </c>
      <c r="J970" s="25">
        <f t="shared" si="59"/>
        <v>31</v>
      </c>
    </row>
    <row r="971" spans="1:10" ht="16.95" customHeight="1">
      <c r="A971" s="75">
        <v>15</v>
      </c>
      <c r="B971" s="80" t="s">
        <v>105</v>
      </c>
      <c r="C971" s="77" t="s">
        <v>50</v>
      </c>
      <c r="D971" s="78">
        <v>1</v>
      </c>
      <c r="E971" s="79"/>
      <c r="F971" s="79">
        <f t="shared" si="60"/>
        <v>0</v>
      </c>
      <c r="G971" s="2"/>
      <c r="H971" s="37">
        <v>1146</v>
      </c>
      <c r="I971" s="4">
        <f t="shared" si="61"/>
        <v>0</v>
      </c>
      <c r="J971" s="25">
        <f t="shared" si="59"/>
        <v>31</v>
      </c>
    </row>
    <row r="972" spans="1:10" ht="34.799999999999997" customHeight="1">
      <c r="A972" s="75">
        <v>16</v>
      </c>
      <c r="B972" s="80" t="s">
        <v>106</v>
      </c>
      <c r="C972" s="77" t="s">
        <v>50</v>
      </c>
      <c r="D972" s="78">
        <v>314</v>
      </c>
      <c r="E972" s="79"/>
      <c r="F972" s="79">
        <f t="shared" si="60"/>
        <v>0</v>
      </c>
      <c r="G972" s="2"/>
      <c r="H972" s="37">
        <v>185</v>
      </c>
      <c r="I972" s="4">
        <f t="shared" si="61"/>
        <v>0</v>
      </c>
      <c r="J972" s="25">
        <f t="shared" si="59"/>
        <v>31</v>
      </c>
    </row>
    <row r="973" spans="1:10" ht="16.95" customHeight="1">
      <c r="A973" s="75">
        <v>17</v>
      </c>
      <c r="B973" s="80" t="s">
        <v>107</v>
      </c>
      <c r="C973" s="77" t="s">
        <v>48</v>
      </c>
      <c r="D973" s="78">
        <v>1</v>
      </c>
      <c r="E973" s="79"/>
      <c r="F973" s="79">
        <f t="shared" si="60"/>
        <v>0</v>
      </c>
      <c r="G973" s="2"/>
      <c r="H973" s="37">
        <v>89918</v>
      </c>
      <c r="I973" s="4">
        <f t="shared" si="61"/>
        <v>0</v>
      </c>
      <c r="J973" s="25">
        <f t="shared" si="59"/>
        <v>31</v>
      </c>
    </row>
    <row r="974" spans="1:10" ht="16.95" customHeight="1">
      <c r="A974" s="75">
        <v>18</v>
      </c>
      <c r="B974" s="80" t="s">
        <v>108</v>
      </c>
      <c r="C974" s="77" t="s">
        <v>120</v>
      </c>
      <c r="D974" s="78">
        <v>15</v>
      </c>
      <c r="E974" s="79"/>
      <c r="F974" s="79">
        <f t="shared" si="60"/>
        <v>0</v>
      </c>
      <c r="G974" s="2"/>
      <c r="H974" s="37">
        <v>661</v>
      </c>
      <c r="I974" s="4">
        <f t="shared" si="61"/>
        <v>0</v>
      </c>
      <c r="J974" s="25">
        <f t="shared" si="59"/>
        <v>31</v>
      </c>
    </row>
    <row r="975" spans="1:10" ht="16.95" customHeight="1">
      <c r="A975" s="75">
        <v>19</v>
      </c>
      <c r="B975" s="80" t="s">
        <v>109</v>
      </c>
      <c r="C975" s="77" t="s">
        <v>50</v>
      </c>
      <c r="D975" s="78">
        <v>82</v>
      </c>
      <c r="E975" s="79"/>
      <c r="F975" s="79">
        <f t="shared" si="60"/>
        <v>0</v>
      </c>
      <c r="G975" s="2"/>
      <c r="H975" s="37">
        <v>2909</v>
      </c>
      <c r="I975" s="4">
        <f t="shared" si="61"/>
        <v>0</v>
      </c>
      <c r="J975" s="25">
        <f t="shared" si="59"/>
        <v>31</v>
      </c>
    </row>
    <row r="976" spans="1:10" ht="16.95" customHeight="1">
      <c r="A976" s="75">
        <v>20</v>
      </c>
      <c r="B976" s="80" t="s">
        <v>110</v>
      </c>
      <c r="C976" s="77" t="s">
        <v>121</v>
      </c>
      <c r="D976" s="78">
        <v>12</v>
      </c>
      <c r="E976" s="79"/>
      <c r="F976" s="79">
        <f t="shared" si="60"/>
        <v>0</v>
      </c>
      <c r="G976" s="2"/>
      <c r="H976" s="37">
        <v>882</v>
      </c>
      <c r="I976" s="4">
        <f t="shared" si="61"/>
        <v>0</v>
      </c>
      <c r="J976" s="25">
        <f t="shared" si="59"/>
        <v>31</v>
      </c>
    </row>
    <row r="977" spans="1:10" ht="16.95" customHeight="1">
      <c r="A977" s="77">
        <v>21</v>
      </c>
      <c r="B977" s="80" t="s">
        <v>111</v>
      </c>
      <c r="C977" s="77" t="s">
        <v>122</v>
      </c>
      <c r="D977" s="78">
        <v>3</v>
      </c>
      <c r="E977" s="79"/>
      <c r="F977" s="79">
        <f t="shared" si="60"/>
        <v>0</v>
      </c>
      <c r="G977" s="2"/>
      <c r="H977" s="38">
        <v>1869</v>
      </c>
      <c r="I977" s="4">
        <f t="shared" si="61"/>
        <v>0</v>
      </c>
      <c r="J977" s="25">
        <f t="shared" si="59"/>
        <v>31</v>
      </c>
    </row>
    <row r="978" spans="1:10" ht="34.950000000000003" customHeight="1">
      <c r="A978" s="75">
        <v>22</v>
      </c>
      <c r="B978" s="80" t="s">
        <v>112</v>
      </c>
      <c r="C978" s="77" t="s">
        <v>48</v>
      </c>
      <c r="D978" s="78">
        <v>1</v>
      </c>
      <c r="E978" s="79"/>
      <c r="F978" s="79">
        <f t="shared" si="60"/>
        <v>0</v>
      </c>
      <c r="G978" s="2"/>
      <c r="H978" s="37">
        <v>82206</v>
      </c>
      <c r="I978" s="4">
        <f t="shared" si="61"/>
        <v>0</v>
      </c>
      <c r="J978" s="25">
        <f t="shared" si="59"/>
        <v>31</v>
      </c>
    </row>
    <row r="979" spans="1:10" ht="16.95" customHeight="1">
      <c r="A979" s="75">
        <v>23</v>
      </c>
      <c r="B979" s="80" t="s">
        <v>113</v>
      </c>
      <c r="C979" s="77" t="s">
        <v>48</v>
      </c>
      <c r="D979" s="78">
        <v>1</v>
      </c>
      <c r="E979" s="79"/>
      <c r="F979" s="79">
        <f t="shared" si="60"/>
        <v>0</v>
      </c>
      <c r="G979" s="2"/>
      <c r="H979" s="37">
        <v>142723</v>
      </c>
      <c r="I979" s="4">
        <f t="shared" si="61"/>
        <v>0</v>
      </c>
      <c r="J979" s="25">
        <f t="shared" si="59"/>
        <v>31</v>
      </c>
    </row>
    <row r="980" spans="1:10" ht="16.95" customHeight="1">
      <c r="A980" s="75">
        <v>24</v>
      </c>
      <c r="B980" s="80" t="s">
        <v>114</v>
      </c>
      <c r="C980" s="77" t="s">
        <v>48</v>
      </c>
      <c r="D980" s="78">
        <v>1</v>
      </c>
      <c r="E980" s="79"/>
      <c r="F980" s="79">
        <f t="shared" si="60"/>
        <v>0</v>
      </c>
      <c r="G980" s="2"/>
      <c r="H980" s="37">
        <v>37290</v>
      </c>
      <c r="I980" s="4">
        <f t="shared" si="61"/>
        <v>0</v>
      </c>
      <c r="J980" s="25">
        <f t="shared" si="59"/>
        <v>31</v>
      </c>
    </row>
    <row r="981" spans="1:10" ht="16.95" customHeight="1">
      <c r="A981" s="75">
        <v>25</v>
      </c>
      <c r="B981" s="80" t="s">
        <v>115</v>
      </c>
      <c r="C981" s="77" t="s">
        <v>48</v>
      </c>
      <c r="D981" s="78">
        <v>1</v>
      </c>
      <c r="E981" s="79"/>
      <c r="F981" s="79">
        <f t="shared" si="60"/>
        <v>0</v>
      </c>
      <c r="G981" s="2"/>
      <c r="H981" s="37">
        <v>99394</v>
      </c>
      <c r="I981" s="4">
        <f t="shared" si="61"/>
        <v>0</v>
      </c>
      <c r="J981" s="25">
        <f t="shared" si="59"/>
        <v>31</v>
      </c>
    </row>
    <row r="982" spans="1:10" ht="34.950000000000003" customHeight="1">
      <c r="A982" s="75">
        <v>26</v>
      </c>
      <c r="B982" s="80" t="s">
        <v>116</v>
      </c>
      <c r="C982" s="77" t="s">
        <v>48</v>
      </c>
      <c r="D982" s="78">
        <v>1</v>
      </c>
      <c r="E982" s="79"/>
      <c r="F982" s="79">
        <f t="shared" si="60"/>
        <v>0</v>
      </c>
      <c r="G982" s="2"/>
      <c r="H982" s="37">
        <v>21334</v>
      </c>
      <c r="I982" s="4">
        <f t="shared" si="61"/>
        <v>0</v>
      </c>
      <c r="J982" s="25">
        <f t="shared" si="59"/>
        <v>31</v>
      </c>
    </row>
    <row r="983" spans="1:10" ht="16.95" customHeight="1">
      <c r="A983" s="75">
        <v>27</v>
      </c>
      <c r="B983" s="80" t="s">
        <v>117</v>
      </c>
      <c r="C983" s="77" t="s">
        <v>48</v>
      </c>
      <c r="D983" s="78">
        <v>1</v>
      </c>
      <c r="E983" s="79"/>
      <c r="F983" s="79">
        <f t="shared" si="60"/>
        <v>0</v>
      </c>
      <c r="G983" s="2"/>
      <c r="H983" s="37">
        <v>29620</v>
      </c>
      <c r="I983" s="4">
        <f t="shared" si="61"/>
        <v>0</v>
      </c>
      <c r="J983" s="25">
        <f t="shared" si="59"/>
        <v>31</v>
      </c>
    </row>
    <row r="984" spans="1:10" ht="16.95" customHeight="1">
      <c r="A984" s="75">
        <v>28</v>
      </c>
      <c r="B984" s="80" t="s">
        <v>118</v>
      </c>
      <c r="C984" s="77" t="s">
        <v>48</v>
      </c>
      <c r="D984" s="78">
        <v>1</v>
      </c>
      <c r="E984" s="79"/>
      <c r="F984" s="79">
        <f t="shared" si="60"/>
        <v>0</v>
      </c>
      <c r="G984" s="2"/>
      <c r="H984" s="37">
        <v>18506</v>
      </c>
      <c r="I984" s="4">
        <f t="shared" si="61"/>
        <v>0</v>
      </c>
      <c r="J984" s="25">
        <f t="shared" si="59"/>
        <v>31</v>
      </c>
    </row>
    <row r="985" spans="1:10" ht="16.95" customHeight="1">
      <c r="A985" s="75">
        <v>29</v>
      </c>
      <c r="B985" s="80" t="s">
        <v>119</v>
      </c>
      <c r="C985" s="77" t="s">
        <v>48</v>
      </c>
      <c r="D985" s="78">
        <v>1</v>
      </c>
      <c r="E985" s="79"/>
      <c r="F985" s="79">
        <f t="shared" si="60"/>
        <v>0</v>
      </c>
      <c r="G985" s="2"/>
      <c r="H985" s="37">
        <v>34381</v>
      </c>
      <c r="I985" s="4">
        <f t="shared" si="61"/>
        <v>0</v>
      </c>
      <c r="J985" s="25">
        <f t="shared" si="59"/>
        <v>31</v>
      </c>
    </row>
    <row r="986" spans="1:10" ht="16.95" customHeight="1">
      <c r="A986" s="75" t="s">
        <v>79</v>
      </c>
      <c r="B986" s="80" t="s">
        <v>80</v>
      </c>
      <c r="C986" s="77" t="s">
        <v>48</v>
      </c>
      <c r="D986" s="78">
        <v>1</v>
      </c>
      <c r="E986" s="79">
        <f t="shared" ref="E986:E989" si="62">1/120</f>
        <v>8.3333333333333332E-3</v>
      </c>
      <c r="F986" s="79">
        <f t="shared" si="60"/>
        <v>0.12499999999999999</v>
      </c>
      <c r="G986" s="2"/>
      <c r="H986" s="37">
        <v>21395</v>
      </c>
      <c r="I986" s="4">
        <f t="shared" si="61"/>
        <v>178.29166666666666</v>
      </c>
      <c r="J986" s="25">
        <f t="shared" si="59"/>
        <v>31</v>
      </c>
    </row>
    <row r="987" spans="1:10" ht="16.95" customHeight="1">
      <c r="A987" s="75" t="s">
        <v>81</v>
      </c>
      <c r="B987" s="80" t="s">
        <v>82</v>
      </c>
      <c r="C987" s="77" t="s">
        <v>48</v>
      </c>
      <c r="D987" s="78">
        <v>1</v>
      </c>
      <c r="E987" s="79">
        <f t="shared" si="62"/>
        <v>8.3333333333333332E-3</v>
      </c>
      <c r="F987" s="79">
        <f t="shared" si="60"/>
        <v>0.12499999999999999</v>
      </c>
      <c r="G987" s="2"/>
      <c r="H987" s="37">
        <v>21395</v>
      </c>
      <c r="I987" s="4">
        <f t="shared" si="61"/>
        <v>178.29166666666666</v>
      </c>
      <c r="J987" s="25">
        <f t="shared" si="59"/>
        <v>31</v>
      </c>
    </row>
    <row r="988" spans="1:10" ht="16.95" customHeight="1">
      <c r="A988" s="75" t="s">
        <v>83</v>
      </c>
      <c r="B988" s="80" t="s">
        <v>84</v>
      </c>
      <c r="C988" s="77" t="s">
        <v>48</v>
      </c>
      <c r="D988" s="78">
        <v>1</v>
      </c>
      <c r="E988" s="79">
        <f t="shared" si="62"/>
        <v>8.3333333333333332E-3</v>
      </c>
      <c r="F988" s="79">
        <f t="shared" si="60"/>
        <v>0.12499999999999999</v>
      </c>
      <c r="G988" s="2"/>
      <c r="H988" s="37">
        <v>149765</v>
      </c>
      <c r="I988" s="4">
        <f t="shared" si="61"/>
        <v>1248.0416666666667</v>
      </c>
      <c r="J988" s="25">
        <f t="shared" si="59"/>
        <v>31</v>
      </c>
    </row>
    <row r="989" spans="1:10" ht="16.95" customHeight="1">
      <c r="A989" s="75" t="s">
        <v>85</v>
      </c>
      <c r="B989" s="80" t="s">
        <v>86</v>
      </c>
      <c r="C989" s="77" t="s">
        <v>48</v>
      </c>
      <c r="D989" s="78">
        <v>1</v>
      </c>
      <c r="E989" s="79">
        <f t="shared" si="62"/>
        <v>8.3333333333333332E-3</v>
      </c>
      <c r="F989" s="79">
        <f t="shared" si="60"/>
        <v>0.12499999999999999</v>
      </c>
      <c r="G989" s="2"/>
      <c r="H989" s="37">
        <v>6996</v>
      </c>
      <c r="I989" s="4">
        <f t="shared" si="61"/>
        <v>58.3</v>
      </c>
      <c r="J989" s="25">
        <f t="shared" si="59"/>
        <v>31</v>
      </c>
    </row>
    <row r="990" spans="1:10" ht="16.95" customHeight="1">
      <c r="A990" s="75" t="s">
        <v>87</v>
      </c>
      <c r="B990" s="80" t="s">
        <v>88</v>
      </c>
      <c r="C990" s="77" t="s">
        <v>48</v>
      </c>
      <c r="D990" s="78">
        <v>1</v>
      </c>
      <c r="E990" s="79">
        <f>1/120</f>
        <v>8.3333333333333332E-3</v>
      </c>
      <c r="F990" s="79">
        <f t="shared" si="60"/>
        <v>0.12499999999999999</v>
      </c>
      <c r="G990" s="2"/>
      <c r="H990" s="37">
        <v>116952</v>
      </c>
      <c r="I990" s="4">
        <f t="shared" si="61"/>
        <v>974.6</v>
      </c>
      <c r="J990" s="25">
        <f t="shared" si="59"/>
        <v>31</v>
      </c>
    </row>
    <row r="991" spans="1:10" ht="16.95" customHeight="1">
      <c r="A991" s="95" t="s">
        <v>23</v>
      </c>
      <c r="B991" s="95"/>
      <c r="C991" s="50"/>
      <c r="D991" s="50"/>
      <c r="E991" s="50"/>
      <c r="F991" s="50"/>
      <c r="G991" s="50"/>
      <c r="H991" s="3" t="s">
        <v>24</v>
      </c>
      <c r="I991" s="5">
        <f>SUM(I956:I990)</f>
        <v>15057.404999999999</v>
      </c>
      <c r="J991" s="25">
        <f t="shared" si="59"/>
        <v>31</v>
      </c>
    </row>
    <row r="992" spans="1:10" ht="16.95" customHeight="1">
      <c r="A992" s="96" t="s">
        <v>25</v>
      </c>
      <c r="B992" s="96"/>
      <c r="C992" s="50"/>
      <c r="D992" s="50"/>
      <c r="E992" s="50"/>
      <c r="F992" s="50"/>
      <c r="G992" s="50"/>
      <c r="J992" s="25">
        <f t="shared" si="59"/>
        <v>31</v>
      </c>
    </row>
    <row r="993" spans="1:10" ht="16.95" customHeight="1">
      <c r="A993" s="96" t="s">
        <v>26</v>
      </c>
      <c r="B993" s="96"/>
      <c r="C993" s="50"/>
      <c r="D993" s="50"/>
      <c r="E993" s="50"/>
      <c r="F993" s="50"/>
      <c r="G993" s="50"/>
      <c r="J993" s="25">
        <f t="shared" si="59"/>
        <v>31</v>
      </c>
    </row>
    <row r="994" spans="1:10" ht="16.95" customHeight="1">
      <c r="A994" s="95" t="s">
        <v>27</v>
      </c>
      <c r="B994" s="95"/>
      <c r="C994" s="95"/>
      <c r="D994" s="95"/>
      <c r="E994" s="95"/>
      <c r="F994" s="95"/>
      <c r="G994" s="95"/>
      <c r="J994" s="25">
        <f t="shared" si="59"/>
        <v>31</v>
      </c>
    </row>
    <row r="995" spans="1:10" ht="16.95" customHeight="1">
      <c r="A995" s="94" t="s">
        <v>28</v>
      </c>
      <c r="B995" s="94"/>
      <c r="C995" s="51" t="s">
        <v>29</v>
      </c>
      <c r="D995" s="51" t="s">
        <v>30</v>
      </c>
      <c r="E995" s="51" t="s">
        <v>18</v>
      </c>
      <c r="F995" s="51" t="s">
        <v>31</v>
      </c>
      <c r="G995" s="51" t="s">
        <v>20</v>
      </c>
      <c r="J995" s="25">
        <f t="shared" si="59"/>
        <v>31</v>
      </c>
    </row>
    <row r="996" spans="1:10" ht="16.95" customHeight="1">
      <c r="A996" s="96"/>
      <c r="B996" s="96"/>
      <c r="C996" s="50"/>
      <c r="D996" s="50"/>
      <c r="E996" s="50"/>
      <c r="F996" s="50"/>
      <c r="G996" s="51"/>
      <c r="J996" s="25">
        <f t="shared" si="59"/>
        <v>31</v>
      </c>
    </row>
    <row r="997" spans="1:10" ht="16.95" customHeight="1">
      <c r="A997" s="97"/>
      <c r="B997" s="97"/>
      <c r="C997" s="50"/>
      <c r="D997" s="50"/>
      <c r="E997" s="50"/>
      <c r="F997" s="51"/>
      <c r="G997" s="51"/>
      <c r="J997" s="25">
        <f t="shared" si="59"/>
        <v>31</v>
      </c>
    </row>
    <row r="998" spans="1:10" ht="16.95" customHeight="1">
      <c r="A998" s="95" t="s">
        <v>32</v>
      </c>
      <c r="B998" s="95"/>
      <c r="C998" s="95"/>
      <c r="D998" s="95"/>
      <c r="E998" s="95"/>
      <c r="F998" s="95"/>
      <c r="G998" s="95"/>
      <c r="J998" s="25">
        <f t="shared" si="59"/>
        <v>32</v>
      </c>
    </row>
    <row r="999" spans="1:10" ht="16.95" customHeight="1">
      <c r="A999" s="51" t="s">
        <v>33</v>
      </c>
      <c r="B999" s="51" t="s">
        <v>34</v>
      </c>
      <c r="C999" s="94" t="s">
        <v>35</v>
      </c>
      <c r="D999" s="94"/>
      <c r="E999" s="51" t="s">
        <v>36</v>
      </c>
      <c r="F999" s="51" t="s">
        <v>37</v>
      </c>
      <c r="G999" s="51" t="s">
        <v>38</v>
      </c>
      <c r="J999" s="25">
        <f t="shared" si="59"/>
        <v>32</v>
      </c>
    </row>
    <row r="1000" spans="1:10" ht="16.95" customHeight="1">
      <c r="A1000" s="51" t="s">
        <v>39</v>
      </c>
      <c r="B1000" s="6">
        <v>1</v>
      </c>
      <c r="C1000" s="94">
        <f>B1000+C937</f>
        <v>11</v>
      </c>
      <c r="D1000" s="94"/>
      <c r="E1000" s="51"/>
      <c r="F1000" s="24"/>
      <c r="G1000" s="24"/>
      <c r="J1000" s="25">
        <f t="shared" si="59"/>
        <v>32</v>
      </c>
    </row>
    <row r="1001" spans="1:10" ht="16.95" customHeight="1">
      <c r="A1001" s="51" t="s">
        <v>40</v>
      </c>
      <c r="B1001" s="6">
        <v>1</v>
      </c>
      <c r="C1001" s="94">
        <f>B1001+C938</f>
        <v>12</v>
      </c>
      <c r="D1001" s="94"/>
      <c r="E1001" s="51"/>
      <c r="F1001" s="24"/>
      <c r="G1001" s="24"/>
      <c r="J1001" s="25">
        <f t="shared" si="59"/>
        <v>32</v>
      </c>
    </row>
    <row r="1002" spans="1:10" ht="36.6" customHeight="1">
      <c r="A1002" s="95" t="s">
        <v>41</v>
      </c>
      <c r="B1002" s="95"/>
      <c r="C1002" s="95"/>
      <c r="D1002" s="95"/>
      <c r="E1002" s="95"/>
      <c r="F1002" s="95"/>
      <c r="G1002" s="95"/>
      <c r="J1002" s="25">
        <f t="shared" si="59"/>
        <v>32</v>
      </c>
    </row>
    <row r="1003" spans="1:10" ht="90" customHeight="1">
      <c r="A1003" s="92" t="s">
        <v>42</v>
      </c>
      <c r="B1003" s="92"/>
      <c r="C1003" s="92"/>
      <c r="D1003" s="92"/>
      <c r="E1003" s="92"/>
      <c r="F1003" s="92"/>
      <c r="G1003" s="92"/>
      <c r="J1003" s="25">
        <f t="shared" si="59"/>
        <v>32</v>
      </c>
    </row>
    <row r="1004" spans="1:10" ht="16.95" customHeight="1">
      <c r="A1004" s="95" t="s">
        <v>43</v>
      </c>
      <c r="B1004" s="95"/>
      <c r="C1004" s="95"/>
      <c r="D1004" s="95"/>
      <c r="E1004" s="95"/>
      <c r="F1004" s="95"/>
      <c r="G1004" s="95"/>
      <c r="J1004" s="25">
        <f t="shared" si="59"/>
        <v>32</v>
      </c>
    </row>
    <row r="1005" spans="1:10" ht="16.95" customHeight="1">
      <c r="A1005" s="95" t="s">
        <v>44</v>
      </c>
      <c r="B1005" s="95"/>
      <c r="C1005" s="95"/>
      <c r="D1005" s="95"/>
      <c r="E1005" s="95"/>
      <c r="F1005" s="95"/>
      <c r="G1005" s="95"/>
      <c r="J1005" s="25">
        <f t="shared" si="59"/>
        <v>32</v>
      </c>
    </row>
    <row r="1006" spans="1:10" ht="16.95" customHeight="1">
      <c r="A1006" s="91" t="s">
        <v>125</v>
      </c>
      <c r="B1006" s="91"/>
      <c r="C1006" s="91"/>
      <c r="D1006" s="91"/>
      <c r="E1006" s="91"/>
      <c r="F1006" s="91"/>
      <c r="G1006" s="91"/>
      <c r="J1006" s="25">
        <f t="shared" si="59"/>
        <v>32</v>
      </c>
    </row>
    <row r="1007" spans="1:10" ht="120.6" customHeight="1">
      <c r="A1007" s="92" t="s">
        <v>45</v>
      </c>
      <c r="B1007" s="92"/>
      <c r="C1007" s="92"/>
      <c r="D1007" s="92"/>
      <c r="E1007" s="92"/>
      <c r="F1007" s="92"/>
      <c r="G1007" s="92"/>
      <c r="J1007" s="25">
        <f t="shared" si="59"/>
        <v>32</v>
      </c>
    </row>
    <row r="1008" spans="1:10" ht="140.4" customHeight="1">
      <c r="A1008" s="93" t="s">
        <v>46</v>
      </c>
      <c r="B1008" s="93"/>
      <c r="C1008" s="93"/>
      <c r="D1008" s="93"/>
      <c r="E1008" s="93"/>
      <c r="F1008" s="93"/>
      <c r="G1008" s="93"/>
      <c r="J1008" s="25">
        <f t="shared" si="59"/>
        <v>32</v>
      </c>
    </row>
    <row r="1009" spans="1:10" ht="37.200000000000003" customHeight="1">
      <c r="A1009" s="103" t="s">
        <v>0</v>
      </c>
      <c r="B1009" s="103"/>
      <c r="C1009" s="103"/>
      <c r="D1009" s="103"/>
      <c r="E1009" s="103"/>
      <c r="F1009" s="103"/>
      <c r="G1009" s="103"/>
      <c r="J1009" s="25">
        <f t="shared" si="59"/>
        <v>33</v>
      </c>
    </row>
    <row r="1010" spans="1:10" ht="16.95" customHeight="1">
      <c r="A1010" s="1" t="s">
        <v>1</v>
      </c>
      <c r="B1010" s="104">
        <f>B947+1</f>
        <v>17</v>
      </c>
      <c r="C1010" s="104"/>
      <c r="D1010" s="104"/>
      <c r="E1010" s="104"/>
      <c r="F1010" s="104"/>
      <c r="G1010" s="104"/>
      <c r="J1010" s="25">
        <f t="shared" si="59"/>
        <v>33</v>
      </c>
    </row>
    <row r="1011" spans="1:10" ht="16.95" customHeight="1">
      <c r="A1011" s="1" t="s">
        <v>2</v>
      </c>
      <c r="B1011" s="105" t="s">
        <v>63</v>
      </c>
      <c r="C1011" s="105"/>
      <c r="D1011" s="105"/>
      <c r="E1011" s="106">
        <f>E948+1</f>
        <v>46220</v>
      </c>
      <c r="F1011" s="106"/>
      <c r="G1011" s="106"/>
      <c r="J1011" s="25">
        <f t="shared" si="59"/>
        <v>33</v>
      </c>
    </row>
    <row r="1012" spans="1:10" ht="16.95" customHeight="1">
      <c r="A1012" s="53" t="s">
        <v>3</v>
      </c>
      <c r="B1012" s="2" t="s">
        <v>67</v>
      </c>
      <c r="C1012" s="98" t="s">
        <v>4</v>
      </c>
      <c r="D1012" s="98"/>
      <c r="E1012" s="98" t="s">
        <v>47</v>
      </c>
      <c r="F1012" s="98"/>
      <c r="G1012" s="98"/>
      <c r="J1012" s="25">
        <f t="shared" si="59"/>
        <v>33</v>
      </c>
    </row>
    <row r="1013" spans="1:10" ht="16.95" customHeight="1">
      <c r="A1013" s="53" t="s">
        <v>5</v>
      </c>
      <c r="B1013" s="54">
        <v>120</v>
      </c>
      <c r="C1013" s="98" t="s">
        <v>6</v>
      </c>
      <c r="D1013" s="98"/>
      <c r="E1013" s="98">
        <v>1</v>
      </c>
      <c r="F1013" s="98"/>
      <c r="G1013" s="98"/>
      <c r="J1013" s="25">
        <f t="shared" si="59"/>
        <v>33</v>
      </c>
    </row>
    <row r="1014" spans="1:10" ht="16.95" customHeight="1">
      <c r="A1014" s="53" t="s">
        <v>7</v>
      </c>
      <c r="B1014" s="54">
        <f>B1010</f>
        <v>17</v>
      </c>
      <c r="C1014" s="100" t="s">
        <v>8</v>
      </c>
      <c r="D1014" s="100"/>
      <c r="E1014" s="101">
        <f>B1013-B1014+1</f>
        <v>104</v>
      </c>
      <c r="F1014" s="101"/>
      <c r="G1014" s="101"/>
      <c r="J1014" s="25">
        <f t="shared" si="59"/>
        <v>33</v>
      </c>
    </row>
    <row r="1015" spans="1:10" ht="16.95" customHeight="1">
      <c r="A1015" s="53" t="s">
        <v>9</v>
      </c>
      <c r="B1015" s="55">
        <v>46204</v>
      </c>
      <c r="C1015" s="98" t="s">
        <v>10</v>
      </c>
      <c r="D1015" s="98"/>
      <c r="E1015" s="102">
        <f>B1015+B1013-1</f>
        <v>46323</v>
      </c>
      <c r="F1015" s="102"/>
      <c r="G1015" s="102"/>
      <c r="J1015" s="25">
        <f t="shared" si="59"/>
        <v>33</v>
      </c>
    </row>
    <row r="1016" spans="1:10" ht="16.95" customHeight="1">
      <c r="A1016" s="53" t="s">
        <v>11</v>
      </c>
      <c r="B1016" s="56">
        <f>HLOOKUP(B1010,進度表!$Q$2:$Z$3,2,1)+B953</f>
        <v>7.0580478080890366E-2</v>
      </c>
      <c r="C1016" s="98" t="s">
        <v>12</v>
      </c>
      <c r="D1016" s="98"/>
      <c r="E1016" s="99">
        <f>I1054/I1016+E953</f>
        <v>7.7087573289902261E-2</v>
      </c>
      <c r="F1016" s="99"/>
      <c r="G1016" s="99"/>
      <c r="H1016" s="3" t="s">
        <v>62</v>
      </c>
      <c r="I1016" s="1">
        <v>2456000</v>
      </c>
      <c r="J1016" s="25">
        <f t="shared" si="59"/>
        <v>33</v>
      </c>
    </row>
    <row r="1017" spans="1:10" ht="16.95" customHeight="1">
      <c r="A1017" s="98" t="s">
        <v>13</v>
      </c>
      <c r="B1017" s="98"/>
      <c r="C1017" s="98"/>
      <c r="D1017" s="98"/>
      <c r="E1017" s="98"/>
      <c r="F1017" s="98"/>
      <c r="G1017" s="98"/>
      <c r="J1017" s="25">
        <f t="shared" si="59"/>
        <v>33</v>
      </c>
    </row>
    <row r="1018" spans="1:10" ht="16.95" customHeight="1">
      <c r="A1018" s="52" t="s">
        <v>14</v>
      </c>
      <c r="B1018" s="52" t="s">
        <v>15</v>
      </c>
      <c r="C1018" s="52" t="s">
        <v>16</v>
      </c>
      <c r="D1018" s="52" t="s">
        <v>17</v>
      </c>
      <c r="E1018" s="52" t="s">
        <v>18</v>
      </c>
      <c r="F1018" s="52" t="s">
        <v>19</v>
      </c>
      <c r="G1018" s="52" t="s">
        <v>20</v>
      </c>
      <c r="H1018" s="3" t="s">
        <v>21</v>
      </c>
      <c r="I1018" s="3" t="s">
        <v>22</v>
      </c>
      <c r="J1018" s="25">
        <f t="shared" si="59"/>
        <v>33</v>
      </c>
    </row>
    <row r="1019" spans="1:10" ht="16.95" customHeight="1">
      <c r="A1019" s="75" t="s">
        <v>65</v>
      </c>
      <c r="B1019" s="76" t="s">
        <v>69</v>
      </c>
      <c r="C1019" s="77"/>
      <c r="D1019" s="78"/>
      <c r="E1019" s="79"/>
      <c r="F1019" s="79"/>
      <c r="G1019" s="2"/>
      <c r="H1019" s="37"/>
      <c r="I1019" s="4"/>
      <c r="J1019" s="25">
        <f t="shared" ref="J1019:J1082" si="63">J956+2</f>
        <v>33</v>
      </c>
    </row>
    <row r="1020" spans="1:10" ht="34.950000000000003" customHeight="1">
      <c r="A1020" s="75">
        <v>1</v>
      </c>
      <c r="B1020" s="80" t="s">
        <v>91</v>
      </c>
      <c r="C1020" s="77" t="s">
        <v>48</v>
      </c>
      <c r="D1020" s="78">
        <v>1</v>
      </c>
      <c r="E1020" s="79"/>
      <c r="F1020" s="79">
        <f t="shared" ref="F1020:F1053" si="64">E1020+F957</f>
        <v>1</v>
      </c>
      <c r="G1020" s="2"/>
      <c r="H1020" s="37">
        <v>10508</v>
      </c>
      <c r="I1020" s="4">
        <f>H1020*E1020</f>
        <v>0</v>
      </c>
      <c r="J1020" s="25">
        <f t="shared" si="63"/>
        <v>33</v>
      </c>
    </row>
    <row r="1021" spans="1:10" ht="34.799999999999997" customHeight="1">
      <c r="A1021" s="75">
        <v>2</v>
      </c>
      <c r="B1021" s="80" t="s">
        <v>92</v>
      </c>
      <c r="C1021" s="77" t="s">
        <v>48</v>
      </c>
      <c r="D1021" s="78">
        <v>1</v>
      </c>
      <c r="E1021" s="79"/>
      <c r="F1021" s="79">
        <f t="shared" si="64"/>
        <v>0</v>
      </c>
      <c r="G1021" s="2"/>
      <c r="H1021" s="37">
        <v>13223</v>
      </c>
      <c r="I1021" s="4">
        <f>H1021*E1021</f>
        <v>0</v>
      </c>
      <c r="J1021" s="25">
        <f t="shared" si="63"/>
        <v>33</v>
      </c>
    </row>
    <row r="1022" spans="1:10" ht="53.4" customHeight="1">
      <c r="A1022" s="75">
        <v>3</v>
      </c>
      <c r="B1022" s="80" t="s">
        <v>93</v>
      </c>
      <c r="C1022" s="77" t="s">
        <v>48</v>
      </c>
      <c r="D1022" s="78">
        <v>1</v>
      </c>
      <c r="E1022" s="79"/>
      <c r="F1022" s="79">
        <f t="shared" si="64"/>
        <v>0.43999999999999995</v>
      </c>
      <c r="G1022" s="2"/>
      <c r="H1022" s="37">
        <v>310497</v>
      </c>
      <c r="I1022" s="4">
        <f t="shared" ref="I1022:I1053" si="65">H1022*E1022</f>
        <v>0</v>
      </c>
      <c r="J1022" s="25">
        <f t="shared" si="63"/>
        <v>33</v>
      </c>
    </row>
    <row r="1023" spans="1:10" ht="16.95" customHeight="1">
      <c r="A1023" s="75">
        <v>4</v>
      </c>
      <c r="B1023" s="80" t="s">
        <v>94</v>
      </c>
      <c r="C1023" s="77" t="s">
        <v>48</v>
      </c>
      <c r="D1023" s="78">
        <v>1</v>
      </c>
      <c r="E1023" s="79"/>
      <c r="F1023" s="79">
        <f t="shared" si="64"/>
        <v>0</v>
      </c>
      <c r="G1023" s="2"/>
      <c r="H1023" s="37">
        <v>8375</v>
      </c>
      <c r="I1023" s="4">
        <f t="shared" si="65"/>
        <v>0</v>
      </c>
      <c r="J1023" s="25">
        <f t="shared" si="63"/>
        <v>33</v>
      </c>
    </row>
    <row r="1024" spans="1:10" ht="16.95" customHeight="1">
      <c r="A1024" s="75">
        <v>5</v>
      </c>
      <c r="B1024" s="80" t="s">
        <v>95</v>
      </c>
      <c r="C1024" s="77" t="s">
        <v>48</v>
      </c>
      <c r="D1024" s="78">
        <v>1</v>
      </c>
      <c r="E1024" s="79"/>
      <c r="F1024" s="79">
        <f t="shared" si="64"/>
        <v>0</v>
      </c>
      <c r="G1024" s="2"/>
      <c r="H1024" s="37">
        <v>51618</v>
      </c>
      <c r="I1024" s="4">
        <f t="shared" si="65"/>
        <v>0</v>
      </c>
      <c r="J1024" s="25">
        <f t="shared" si="63"/>
        <v>33</v>
      </c>
    </row>
    <row r="1025" spans="1:10" ht="16.95" customHeight="1">
      <c r="A1025" s="75">
        <v>6</v>
      </c>
      <c r="B1025" s="80" t="s">
        <v>96</v>
      </c>
      <c r="C1025" s="77" t="s">
        <v>50</v>
      </c>
      <c r="D1025" s="78">
        <v>11.55</v>
      </c>
      <c r="E1025" s="79"/>
      <c r="F1025" s="79">
        <f t="shared" si="64"/>
        <v>0</v>
      </c>
      <c r="G1025" s="2"/>
      <c r="H1025" s="37">
        <v>1188</v>
      </c>
      <c r="I1025" s="4">
        <f t="shared" si="65"/>
        <v>0</v>
      </c>
      <c r="J1025" s="25">
        <f t="shared" si="63"/>
        <v>33</v>
      </c>
    </row>
    <row r="1026" spans="1:10" ht="34.950000000000003" customHeight="1">
      <c r="A1026" s="75">
        <v>7</v>
      </c>
      <c r="B1026" s="80" t="s">
        <v>97</v>
      </c>
      <c r="C1026" s="77" t="s">
        <v>48</v>
      </c>
      <c r="D1026" s="78">
        <v>1</v>
      </c>
      <c r="E1026" s="79"/>
      <c r="F1026" s="79">
        <f t="shared" si="64"/>
        <v>0</v>
      </c>
      <c r="G1026" s="2"/>
      <c r="H1026" s="37">
        <v>21157</v>
      </c>
      <c r="I1026" s="4">
        <f t="shared" si="65"/>
        <v>0</v>
      </c>
      <c r="J1026" s="25">
        <f t="shared" si="63"/>
        <v>33</v>
      </c>
    </row>
    <row r="1027" spans="1:10" ht="16.95" customHeight="1">
      <c r="A1027" s="75">
        <v>8</v>
      </c>
      <c r="B1027" s="80" t="s">
        <v>98</v>
      </c>
      <c r="C1027" s="77" t="s">
        <v>50</v>
      </c>
      <c r="D1027" s="78">
        <v>387</v>
      </c>
      <c r="E1027" s="79"/>
      <c r="F1027" s="79">
        <f t="shared" si="64"/>
        <v>0</v>
      </c>
      <c r="G1027" s="2"/>
      <c r="H1027" s="37">
        <v>705</v>
      </c>
      <c r="I1027" s="4">
        <f t="shared" si="65"/>
        <v>0</v>
      </c>
      <c r="J1027" s="25">
        <f t="shared" si="63"/>
        <v>33</v>
      </c>
    </row>
    <row r="1028" spans="1:10" ht="16.95" customHeight="1">
      <c r="A1028" s="75">
        <v>9</v>
      </c>
      <c r="B1028" s="80" t="s">
        <v>99</v>
      </c>
      <c r="C1028" s="77" t="s">
        <v>50</v>
      </c>
      <c r="D1028" s="78">
        <v>170</v>
      </c>
      <c r="E1028" s="79"/>
      <c r="F1028" s="79">
        <f t="shared" si="64"/>
        <v>0</v>
      </c>
      <c r="G1028" s="2"/>
      <c r="H1028" s="37">
        <v>617</v>
      </c>
      <c r="I1028" s="4">
        <f t="shared" si="65"/>
        <v>0</v>
      </c>
      <c r="J1028" s="25">
        <f t="shared" si="63"/>
        <v>33</v>
      </c>
    </row>
    <row r="1029" spans="1:10" ht="16.95" customHeight="1">
      <c r="A1029" s="75">
        <v>10</v>
      </c>
      <c r="B1029" s="80" t="s">
        <v>100</v>
      </c>
      <c r="C1029" s="77" t="s">
        <v>66</v>
      </c>
      <c r="D1029" s="78">
        <v>15</v>
      </c>
      <c r="E1029" s="79"/>
      <c r="F1029" s="79">
        <f t="shared" si="64"/>
        <v>0</v>
      </c>
      <c r="G1029" s="2"/>
      <c r="H1029" s="37">
        <v>617</v>
      </c>
      <c r="I1029" s="4">
        <f t="shared" si="65"/>
        <v>0</v>
      </c>
      <c r="J1029" s="25">
        <f t="shared" si="63"/>
        <v>33</v>
      </c>
    </row>
    <row r="1030" spans="1:10" ht="16.95" customHeight="1">
      <c r="A1030" s="75">
        <v>11</v>
      </c>
      <c r="B1030" s="80" t="s">
        <v>101</v>
      </c>
      <c r="C1030" s="77" t="s">
        <v>50</v>
      </c>
      <c r="D1030" s="78">
        <v>75</v>
      </c>
      <c r="E1030" s="79"/>
      <c r="F1030" s="79">
        <f t="shared" si="64"/>
        <v>0</v>
      </c>
      <c r="G1030" s="2"/>
      <c r="H1030" s="37">
        <v>1146</v>
      </c>
      <c r="I1030" s="4">
        <f t="shared" si="65"/>
        <v>0</v>
      </c>
      <c r="J1030" s="25">
        <f t="shared" si="63"/>
        <v>33</v>
      </c>
    </row>
    <row r="1031" spans="1:10" ht="16.95" customHeight="1">
      <c r="A1031" s="75">
        <v>12</v>
      </c>
      <c r="B1031" s="80" t="s">
        <v>102</v>
      </c>
      <c r="C1031" s="77" t="s">
        <v>50</v>
      </c>
      <c r="D1031" s="78">
        <v>5</v>
      </c>
      <c r="E1031" s="79"/>
      <c r="F1031" s="79">
        <f t="shared" si="64"/>
        <v>0</v>
      </c>
      <c r="G1031" s="2"/>
      <c r="H1031" s="37">
        <v>1455</v>
      </c>
      <c r="I1031" s="4">
        <f t="shared" si="65"/>
        <v>0</v>
      </c>
      <c r="J1031" s="25">
        <f t="shared" si="63"/>
        <v>33</v>
      </c>
    </row>
    <row r="1032" spans="1:10" ht="16.95" customHeight="1">
      <c r="A1032" s="75">
        <v>13</v>
      </c>
      <c r="B1032" s="80" t="s">
        <v>103</v>
      </c>
      <c r="C1032" s="77" t="s">
        <v>50</v>
      </c>
      <c r="D1032" s="78">
        <v>217</v>
      </c>
      <c r="E1032" s="79"/>
      <c r="F1032" s="79">
        <f t="shared" si="64"/>
        <v>0</v>
      </c>
      <c r="G1032" s="2"/>
      <c r="H1032" s="37">
        <v>1410</v>
      </c>
      <c r="I1032" s="4">
        <f t="shared" si="65"/>
        <v>0</v>
      </c>
      <c r="J1032" s="25">
        <f t="shared" si="63"/>
        <v>33</v>
      </c>
    </row>
    <row r="1033" spans="1:10" ht="16.95" customHeight="1">
      <c r="A1033" s="75">
        <v>14</v>
      </c>
      <c r="B1033" s="80" t="s">
        <v>104</v>
      </c>
      <c r="C1033" s="77" t="s">
        <v>49</v>
      </c>
      <c r="D1033" s="78">
        <v>84</v>
      </c>
      <c r="E1033" s="79"/>
      <c r="F1033" s="79">
        <f t="shared" si="64"/>
        <v>0</v>
      </c>
      <c r="G1033" s="2"/>
      <c r="H1033" s="37">
        <v>529</v>
      </c>
      <c r="I1033" s="4">
        <f t="shared" si="65"/>
        <v>0</v>
      </c>
      <c r="J1033" s="25">
        <f t="shared" si="63"/>
        <v>33</v>
      </c>
    </row>
    <row r="1034" spans="1:10" ht="16.95" customHeight="1">
      <c r="A1034" s="75">
        <v>15</v>
      </c>
      <c r="B1034" s="80" t="s">
        <v>105</v>
      </c>
      <c r="C1034" s="77" t="s">
        <v>50</v>
      </c>
      <c r="D1034" s="78">
        <v>1</v>
      </c>
      <c r="E1034" s="79"/>
      <c r="F1034" s="79">
        <f t="shared" si="64"/>
        <v>0</v>
      </c>
      <c r="G1034" s="2"/>
      <c r="H1034" s="37">
        <v>1146</v>
      </c>
      <c r="I1034" s="4">
        <f t="shared" si="65"/>
        <v>0</v>
      </c>
      <c r="J1034" s="25">
        <f t="shared" si="63"/>
        <v>33</v>
      </c>
    </row>
    <row r="1035" spans="1:10" ht="34.799999999999997" customHeight="1">
      <c r="A1035" s="75">
        <v>16</v>
      </c>
      <c r="B1035" s="80" t="s">
        <v>106</v>
      </c>
      <c r="C1035" s="77" t="s">
        <v>50</v>
      </c>
      <c r="D1035" s="78">
        <v>314</v>
      </c>
      <c r="E1035" s="79"/>
      <c r="F1035" s="79">
        <f t="shared" si="64"/>
        <v>0</v>
      </c>
      <c r="G1035" s="2"/>
      <c r="H1035" s="37">
        <v>185</v>
      </c>
      <c r="I1035" s="4">
        <f t="shared" si="65"/>
        <v>0</v>
      </c>
      <c r="J1035" s="25">
        <f t="shared" si="63"/>
        <v>33</v>
      </c>
    </row>
    <row r="1036" spans="1:10" ht="16.95" customHeight="1">
      <c r="A1036" s="75">
        <v>17</v>
      </c>
      <c r="B1036" s="80" t="s">
        <v>107</v>
      </c>
      <c r="C1036" s="77" t="s">
        <v>48</v>
      </c>
      <c r="D1036" s="78">
        <v>1</v>
      </c>
      <c r="E1036" s="79"/>
      <c r="F1036" s="79">
        <f t="shared" si="64"/>
        <v>0</v>
      </c>
      <c r="G1036" s="2"/>
      <c r="H1036" s="37">
        <v>89918</v>
      </c>
      <c r="I1036" s="4">
        <f t="shared" si="65"/>
        <v>0</v>
      </c>
      <c r="J1036" s="25">
        <f t="shared" si="63"/>
        <v>33</v>
      </c>
    </row>
    <row r="1037" spans="1:10" ht="16.95" customHeight="1">
      <c r="A1037" s="75">
        <v>18</v>
      </c>
      <c r="B1037" s="80" t="s">
        <v>108</v>
      </c>
      <c r="C1037" s="77" t="s">
        <v>120</v>
      </c>
      <c r="D1037" s="78">
        <v>15</v>
      </c>
      <c r="E1037" s="79"/>
      <c r="F1037" s="79">
        <f t="shared" si="64"/>
        <v>0</v>
      </c>
      <c r="G1037" s="2"/>
      <c r="H1037" s="37">
        <v>661</v>
      </c>
      <c r="I1037" s="4">
        <f t="shared" si="65"/>
        <v>0</v>
      </c>
      <c r="J1037" s="25">
        <f t="shared" si="63"/>
        <v>33</v>
      </c>
    </row>
    <row r="1038" spans="1:10" ht="16.95" customHeight="1">
      <c r="A1038" s="75">
        <v>19</v>
      </c>
      <c r="B1038" s="80" t="s">
        <v>109</v>
      </c>
      <c r="C1038" s="77" t="s">
        <v>50</v>
      </c>
      <c r="D1038" s="78">
        <v>82</v>
      </c>
      <c r="E1038" s="79"/>
      <c r="F1038" s="79">
        <f t="shared" si="64"/>
        <v>0</v>
      </c>
      <c r="G1038" s="2"/>
      <c r="H1038" s="37">
        <v>2909</v>
      </c>
      <c r="I1038" s="4">
        <f t="shared" si="65"/>
        <v>0</v>
      </c>
      <c r="J1038" s="25">
        <f t="shared" si="63"/>
        <v>33</v>
      </c>
    </row>
    <row r="1039" spans="1:10" ht="16.95" customHeight="1">
      <c r="A1039" s="75">
        <v>20</v>
      </c>
      <c r="B1039" s="80" t="s">
        <v>110</v>
      </c>
      <c r="C1039" s="77" t="s">
        <v>121</v>
      </c>
      <c r="D1039" s="78">
        <v>12</v>
      </c>
      <c r="E1039" s="79"/>
      <c r="F1039" s="79">
        <f t="shared" si="64"/>
        <v>0</v>
      </c>
      <c r="G1039" s="2"/>
      <c r="H1039" s="37">
        <v>882</v>
      </c>
      <c r="I1039" s="4">
        <f t="shared" si="65"/>
        <v>0</v>
      </c>
      <c r="J1039" s="25">
        <f t="shared" si="63"/>
        <v>33</v>
      </c>
    </row>
    <row r="1040" spans="1:10" ht="16.95" customHeight="1">
      <c r="A1040" s="77">
        <v>21</v>
      </c>
      <c r="B1040" s="80" t="s">
        <v>111</v>
      </c>
      <c r="C1040" s="77" t="s">
        <v>122</v>
      </c>
      <c r="D1040" s="78">
        <v>3</v>
      </c>
      <c r="E1040" s="79"/>
      <c r="F1040" s="79">
        <f t="shared" si="64"/>
        <v>0</v>
      </c>
      <c r="G1040" s="2"/>
      <c r="H1040" s="38">
        <v>1869</v>
      </c>
      <c r="I1040" s="4">
        <f t="shared" si="65"/>
        <v>0</v>
      </c>
      <c r="J1040" s="25">
        <f t="shared" si="63"/>
        <v>33</v>
      </c>
    </row>
    <row r="1041" spans="1:10" ht="34.950000000000003" customHeight="1">
      <c r="A1041" s="75">
        <v>22</v>
      </c>
      <c r="B1041" s="80" t="s">
        <v>112</v>
      </c>
      <c r="C1041" s="77" t="s">
        <v>48</v>
      </c>
      <c r="D1041" s="78">
        <v>1</v>
      </c>
      <c r="E1041" s="79"/>
      <c r="F1041" s="79">
        <f t="shared" si="64"/>
        <v>0</v>
      </c>
      <c r="G1041" s="2"/>
      <c r="H1041" s="37">
        <v>82206</v>
      </c>
      <c r="I1041" s="4">
        <f t="shared" si="65"/>
        <v>0</v>
      </c>
      <c r="J1041" s="25">
        <f t="shared" si="63"/>
        <v>33</v>
      </c>
    </row>
    <row r="1042" spans="1:10" ht="16.95" customHeight="1">
      <c r="A1042" s="75">
        <v>23</v>
      </c>
      <c r="B1042" s="80" t="s">
        <v>113</v>
      </c>
      <c r="C1042" s="77" t="s">
        <v>48</v>
      </c>
      <c r="D1042" s="78">
        <v>1</v>
      </c>
      <c r="E1042" s="79"/>
      <c r="F1042" s="79">
        <f t="shared" si="64"/>
        <v>0</v>
      </c>
      <c r="G1042" s="2"/>
      <c r="H1042" s="37">
        <v>142723</v>
      </c>
      <c r="I1042" s="4">
        <f t="shared" si="65"/>
        <v>0</v>
      </c>
      <c r="J1042" s="25">
        <f t="shared" si="63"/>
        <v>33</v>
      </c>
    </row>
    <row r="1043" spans="1:10" ht="16.95" customHeight="1">
      <c r="A1043" s="75">
        <v>24</v>
      </c>
      <c r="B1043" s="80" t="s">
        <v>114</v>
      </c>
      <c r="C1043" s="77" t="s">
        <v>48</v>
      </c>
      <c r="D1043" s="78">
        <v>1</v>
      </c>
      <c r="E1043" s="79"/>
      <c r="F1043" s="79">
        <f t="shared" si="64"/>
        <v>0</v>
      </c>
      <c r="G1043" s="2"/>
      <c r="H1043" s="37">
        <v>37290</v>
      </c>
      <c r="I1043" s="4">
        <f t="shared" si="65"/>
        <v>0</v>
      </c>
      <c r="J1043" s="25">
        <f t="shared" si="63"/>
        <v>33</v>
      </c>
    </row>
    <row r="1044" spans="1:10" ht="16.95" customHeight="1">
      <c r="A1044" s="75">
        <v>25</v>
      </c>
      <c r="B1044" s="80" t="s">
        <v>115</v>
      </c>
      <c r="C1044" s="77" t="s">
        <v>48</v>
      </c>
      <c r="D1044" s="78">
        <v>1</v>
      </c>
      <c r="E1044" s="79"/>
      <c r="F1044" s="79">
        <f t="shared" si="64"/>
        <v>0</v>
      </c>
      <c r="G1044" s="2"/>
      <c r="H1044" s="37">
        <v>99394</v>
      </c>
      <c r="I1044" s="4">
        <f t="shared" si="65"/>
        <v>0</v>
      </c>
      <c r="J1044" s="25">
        <f t="shared" si="63"/>
        <v>33</v>
      </c>
    </row>
    <row r="1045" spans="1:10" ht="34.950000000000003" customHeight="1">
      <c r="A1045" s="75">
        <v>26</v>
      </c>
      <c r="B1045" s="80" t="s">
        <v>116</v>
      </c>
      <c r="C1045" s="77" t="s">
        <v>48</v>
      </c>
      <c r="D1045" s="78">
        <v>1</v>
      </c>
      <c r="E1045" s="79"/>
      <c r="F1045" s="79">
        <f t="shared" si="64"/>
        <v>0</v>
      </c>
      <c r="G1045" s="2"/>
      <c r="H1045" s="37">
        <v>21334</v>
      </c>
      <c r="I1045" s="4">
        <f t="shared" si="65"/>
        <v>0</v>
      </c>
      <c r="J1045" s="25">
        <f t="shared" si="63"/>
        <v>33</v>
      </c>
    </row>
    <row r="1046" spans="1:10" ht="16.95" customHeight="1">
      <c r="A1046" s="75">
        <v>27</v>
      </c>
      <c r="B1046" s="80" t="s">
        <v>117</v>
      </c>
      <c r="C1046" s="77" t="s">
        <v>48</v>
      </c>
      <c r="D1046" s="78">
        <v>1</v>
      </c>
      <c r="E1046" s="79"/>
      <c r="F1046" s="79">
        <f t="shared" si="64"/>
        <v>0</v>
      </c>
      <c r="G1046" s="2"/>
      <c r="H1046" s="37">
        <v>29620</v>
      </c>
      <c r="I1046" s="4">
        <f t="shared" si="65"/>
        <v>0</v>
      </c>
      <c r="J1046" s="25">
        <f t="shared" si="63"/>
        <v>33</v>
      </c>
    </row>
    <row r="1047" spans="1:10" ht="16.95" customHeight="1">
      <c r="A1047" s="75">
        <v>28</v>
      </c>
      <c r="B1047" s="80" t="s">
        <v>118</v>
      </c>
      <c r="C1047" s="77" t="s">
        <v>48</v>
      </c>
      <c r="D1047" s="78">
        <v>1</v>
      </c>
      <c r="E1047" s="79"/>
      <c r="F1047" s="79">
        <f t="shared" si="64"/>
        <v>0</v>
      </c>
      <c r="G1047" s="2"/>
      <c r="H1047" s="37">
        <v>18506</v>
      </c>
      <c r="I1047" s="4">
        <f t="shared" si="65"/>
        <v>0</v>
      </c>
      <c r="J1047" s="25">
        <f t="shared" si="63"/>
        <v>33</v>
      </c>
    </row>
    <row r="1048" spans="1:10" ht="16.95" customHeight="1">
      <c r="A1048" s="75">
        <v>29</v>
      </c>
      <c r="B1048" s="80" t="s">
        <v>119</v>
      </c>
      <c r="C1048" s="77" t="s">
        <v>48</v>
      </c>
      <c r="D1048" s="78">
        <v>1</v>
      </c>
      <c r="E1048" s="79"/>
      <c r="F1048" s="79">
        <f t="shared" si="64"/>
        <v>0</v>
      </c>
      <c r="G1048" s="2"/>
      <c r="H1048" s="37">
        <v>34381</v>
      </c>
      <c r="I1048" s="4">
        <f t="shared" si="65"/>
        <v>0</v>
      </c>
      <c r="J1048" s="25">
        <f t="shared" si="63"/>
        <v>33</v>
      </c>
    </row>
    <row r="1049" spans="1:10" ht="16.95" customHeight="1">
      <c r="A1049" s="75" t="s">
        <v>79</v>
      </c>
      <c r="B1049" s="80" t="s">
        <v>80</v>
      </c>
      <c r="C1049" s="77" t="s">
        <v>48</v>
      </c>
      <c r="D1049" s="78">
        <v>1</v>
      </c>
      <c r="E1049" s="79">
        <f t="shared" ref="E1049:E1052" si="66">1/120</f>
        <v>8.3333333333333332E-3</v>
      </c>
      <c r="F1049" s="79">
        <f t="shared" si="64"/>
        <v>0.13333333333333333</v>
      </c>
      <c r="G1049" s="2"/>
      <c r="H1049" s="37">
        <v>21395</v>
      </c>
      <c r="I1049" s="4">
        <f t="shared" si="65"/>
        <v>178.29166666666666</v>
      </c>
      <c r="J1049" s="25">
        <f t="shared" si="63"/>
        <v>33</v>
      </c>
    </row>
    <row r="1050" spans="1:10" ht="16.95" customHeight="1">
      <c r="A1050" s="75" t="s">
        <v>81</v>
      </c>
      <c r="B1050" s="80" t="s">
        <v>82</v>
      </c>
      <c r="C1050" s="77" t="s">
        <v>48</v>
      </c>
      <c r="D1050" s="78">
        <v>1</v>
      </c>
      <c r="E1050" s="79">
        <f t="shared" si="66"/>
        <v>8.3333333333333332E-3</v>
      </c>
      <c r="F1050" s="79">
        <f t="shared" si="64"/>
        <v>0.13333333333333333</v>
      </c>
      <c r="G1050" s="2"/>
      <c r="H1050" s="37">
        <v>21395</v>
      </c>
      <c r="I1050" s="4">
        <f t="shared" si="65"/>
        <v>178.29166666666666</v>
      </c>
      <c r="J1050" s="25">
        <f t="shared" si="63"/>
        <v>33</v>
      </c>
    </row>
    <row r="1051" spans="1:10" ht="16.95" customHeight="1">
      <c r="A1051" s="75" t="s">
        <v>83</v>
      </c>
      <c r="B1051" s="80" t="s">
        <v>84</v>
      </c>
      <c r="C1051" s="77" t="s">
        <v>48</v>
      </c>
      <c r="D1051" s="78">
        <v>1</v>
      </c>
      <c r="E1051" s="79">
        <f t="shared" si="66"/>
        <v>8.3333333333333332E-3</v>
      </c>
      <c r="F1051" s="79">
        <f t="shared" si="64"/>
        <v>0.13333333333333333</v>
      </c>
      <c r="G1051" s="2"/>
      <c r="H1051" s="37">
        <v>149765</v>
      </c>
      <c r="I1051" s="4">
        <f t="shared" si="65"/>
        <v>1248.0416666666667</v>
      </c>
      <c r="J1051" s="25">
        <f t="shared" si="63"/>
        <v>33</v>
      </c>
    </row>
    <row r="1052" spans="1:10" ht="16.95" customHeight="1">
      <c r="A1052" s="75" t="s">
        <v>85</v>
      </c>
      <c r="B1052" s="80" t="s">
        <v>86</v>
      </c>
      <c r="C1052" s="77" t="s">
        <v>48</v>
      </c>
      <c r="D1052" s="78">
        <v>1</v>
      </c>
      <c r="E1052" s="79">
        <f t="shared" si="66"/>
        <v>8.3333333333333332E-3</v>
      </c>
      <c r="F1052" s="79">
        <f t="shared" si="64"/>
        <v>0.13333333333333333</v>
      </c>
      <c r="G1052" s="2"/>
      <c r="H1052" s="37">
        <v>6996</v>
      </c>
      <c r="I1052" s="4">
        <f t="shared" si="65"/>
        <v>58.3</v>
      </c>
      <c r="J1052" s="25">
        <f t="shared" si="63"/>
        <v>33</v>
      </c>
    </row>
    <row r="1053" spans="1:10" ht="16.95" customHeight="1">
      <c r="A1053" s="75" t="s">
        <v>87</v>
      </c>
      <c r="B1053" s="80" t="s">
        <v>88</v>
      </c>
      <c r="C1053" s="77" t="s">
        <v>48</v>
      </c>
      <c r="D1053" s="78">
        <v>1</v>
      </c>
      <c r="E1053" s="79">
        <f>1/120</f>
        <v>8.3333333333333332E-3</v>
      </c>
      <c r="F1053" s="79">
        <f t="shared" si="64"/>
        <v>0.13333333333333333</v>
      </c>
      <c r="G1053" s="2"/>
      <c r="H1053" s="37">
        <v>116952</v>
      </c>
      <c r="I1053" s="4">
        <f t="shared" si="65"/>
        <v>974.6</v>
      </c>
      <c r="J1053" s="25">
        <f t="shared" si="63"/>
        <v>33</v>
      </c>
    </row>
    <row r="1054" spans="1:10" ht="16.95" customHeight="1">
      <c r="A1054" s="95" t="s">
        <v>23</v>
      </c>
      <c r="B1054" s="95"/>
      <c r="C1054" s="50"/>
      <c r="D1054" s="50"/>
      <c r="E1054" s="50"/>
      <c r="F1054" s="50"/>
      <c r="G1054" s="50"/>
      <c r="H1054" s="3" t="s">
        <v>24</v>
      </c>
      <c r="I1054" s="5">
        <f>SUM(I1019:I1053)</f>
        <v>2637.5250000000001</v>
      </c>
      <c r="J1054" s="25">
        <f t="shared" si="63"/>
        <v>33</v>
      </c>
    </row>
    <row r="1055" spans="1:10" ht="16.95" customHeight="1">
      <c r="A1055" s="96" t="s">
        <v>25</v>
      </c>
      <c r="B1055" s="96"/>
      <c r="C1055" s="50"/>
      <c r="D1055" s="50"/>
      <c r="E1055" s="50"/>
      <c r="F1055" s="50"/>
      <c r="G1055" s="50"/>
      <c r="J1055" s="25">
        <f t="shared" si="63"/>
        <v>33</v>
      </c>
    </row>
    <row r="1056" spans="1:10" ht="16.95" customHeight="1">
      <c r="A1056" s="96" t="s">
        <v>26</v>
      </c>
      <c r="B1056" s="96"/>
      <c r="C1056" s="50"/>
      <c r="D1056" s="50"/>
      <c r="E1056" s="50"/>
      <c r="F1056" s="50"/>
      <c r="G1056" s="50"/>
      <c r="J1056" s="25">
        <f t="shared" si="63"/>
        <v>33</v>
      </c>
    </row>
    <row r="1057" spans="1:10" ht="16.95" customHeight="1">
      <c r="A1057" s="95" t="s">
        <v>27</v>
      </c>
      <c r="B1057" s="95"/>
      <c r="C1057" s="95"/>
      <c r="D1057" s="95"/>
      <c r="E1057" s="95"/>
      <c r="F1057" s="95"/>
      <c r="G1057" s="95"/>
      <c r="J1057" s="25">
        <f t="shared" si="63"/>
        <v>33</v>
      </c>
    </row>
    <row r="1058" spans="1:10" ht="16.95" customHeight="1">
      <c r="A1058" s="94" t="s">
        <v>28</v>
      </c>
      <c r="B1058" s="94"/>
      <c r="C1058" s="51" t="s">
        <v>29</v>
      </c>
      <c r="D1058" s="51" t="s">
        <v>30</v>
      </c>
      <c r="E1058" s="51" t="s">
        <v>18</v>
      </c>
      <c r="F1058" s="51" t="s">
        <v>31</v>
      </c>
      <c r="G1058" s="51" t="s">
        <v>20</v>
      </c>
      <c r="J1058" s="25">
        <f t="shared" si="63"/>
        <v>33</v>
      </c>
    </row>
    <row r="1059" spans="1:10" ht="16.95" customHeight="1">
      <c r="A1059" s="96"/>
      <c r="B1059" s="96"/>
      <c r="C1059" s="50"/>
      <c r="D1059" s="50"/>
      <c r="E1059" s="50"/>
      <c r="F1059" s="50"/>
      <c r="G1059" s="51"/>
      <c r="J1059" s="25">
        <f t="shared" si="63"/>
        <v>33</v>
      </c>
    </row>
    <row r="1060" spans="1:10" ht="16.95" customHeight="1">
      <c r="A1060" s="97"/>
      <c r="B1060" s="97"/>
      <c r="C1060" s="50"/>
      <c r="D1060" s="50"/>
      <c r="E1060" s="50"/>
      <c r="F1060" s="51"/>
      <c r="G1060" s="51"/>
      <c r="J1060" s="25">
        <f t="shared" si="63"/>
        <v>33</v>
      </c>
    </row>
    <row r="1061" spans="1:10" ht="16.95" customHeight="1">
      <c r="A1061" s="95" t="s">
        <v>32</v>
      </c>
      <c r="B1061" s="95"/>
      <c r="C1061" s="95"/>
      <c r="D1061" s="95"/>
      <c r="E1061" s="95"/>
      <c r="F1061" s="95"/>
      <c r="G1061" s="95"/>
      <c r="J1061" s="25">
        <f t="shared" si="63"/>
        <v>34</v>
      </c>
    </row>
    <row r="1062" spans="1:10" ht="16.95" customHeight="1">
      <c r="A1062" s="51" t="s">
        <v>33</v>
      </c>
      <c r="B1062" s="51" t="s">
        <v>34</v>
      </c>
      <c r="C1062" s="94" t="s">
        <v>35</v>
      </c>
      <c r="D1062" s="94"/>
      <c r="E1062" s="51" t="s">
        <v>36</v>
      </c>
      <c r="F1062" s="51" t="s">
        <v>37</v>
      </c>
      <c r="G1062" s="51" t="s">
        <v>38</v>
      </c>
      <c r="J1062" s="25">
        <f t="shared" si="63"/>
        <v>34</v>
      </c>
    </row>
    <row r="1063" spans="1:10" ht="16.95" customHeight="1">
      <c r="A1063" s="51" t="s">
        <v>39</v>
      </c>
      <c r="B1063" s="6"/>
      <c r="C1063" s="94">
        <f>B1063+C1000</f>
        <v>11</v>
      </c>
      <c r="D1063" s="94"/>
      <c r="E1063" s="51"/>
      <c r="F1063" s="24"/>
      <c r="G1063" s="24"/>
      <c r="J1063" s="25">
        <f t="shared" si="63"/>
        <v>34</v>
      </c>
    </row>
    <row r="1064" spans="1:10" ht="16.95" customHeight="1">
      <c r="A1064" s="51" t="s">
        <v>40</v>
      </c>
      <c r="B1064" s="6"/>
      <c r="C1064" s="94">
        <f>B1064+C1001</f>
        <v>12</v>
      </c>
      <c r="D1064" s="94"/>
      <c r="E1064" s="51"/>
      <c r="F1064" s="24"/>
      <c r="G1064" s="24"/>
      <c r="J1064" s="25">
        <f t="shared" si="63"/>
        <v>34</v>
      </c>
    </row>
    <row r="1065" spans="1:10" ht="36.6" customHeight="1">
      <c r="A1065" s="95" t="s">
        <v>41</v>
      </c>
      <c r="B1065" s="95"/>
      <c r="C1065" s="95"/>
      <c r="D1065" s="95"/>
      <c r="E1065" s="95"/>
      <c r="F1065" s="95"/>
      <c r="G1065" s="95"/>
      <c r="J1065" s="25">
        <f t="shared" si="63"/>
        <v>34</v>
      </c>
    </row>
    <row r="1066" spans="1:10" ht="90" customHeight="1">
      <c r="A1066" s="92" t="s">
        <v>42</v>
      </c>
      <c r="B1066" s="92"/>
      <c r="C1066" s="92"/>
      <c r="D1066" s="92"/>
      <c r="E1066" s="92"/>
      <c r="F1066" s="92"/>
      <c r="G1066" s="92"/>
      <c r="J1066" s="25">
        <f t="shared" si="63"/>
        <v>34</v>
      </c>
    </row>
    <row r="1067" spans="1:10" ht="16.95" customHeight="1">
      <c r="A1067" s="95" t="s">
        <v>43</v>
      </c>
      <c r="B1067" s="95"/>
      <c r="C1067" s="95"/>
      <c r="D1067" s="95"/>
      <c r="E1067" s="95"/>
      <c r="F1067" s="95"/>
      <c r="G1067" s="95"/>
      <c r="J1067" s="25">
        <f t="shared" si="63"/>
        <v>34</v>
      </c>
    </row>
    <row r="1068" spans="1:10" ht="16.95" customHeight="1">
      <c r="A1068" s="95" t="s">
        <v>44</v>
      </c>
      <c r="B1068" s="95"/>
      <c r="C1068" s="95"/>
      <c r="D1068" s="95"/>
      <c r="E1068" s="95"/>
      <c r="F1068" s="95"/>
      <c r="G1068" s="95"/>
      <c r="J1068" s="25">
        <f t="shared" si="63"/>
        <v>34</v>
      </c>
    </row>
    <row r="1069" spans="1:10" ht="16.95" customHeight="1">
      <c r="A1069" s="91" t="s">
        <v>126</v>
      </c>
      <c r="B1069" s="91"/>
      <c r="C1069" s="91"/>
      <c r="D1069" s="91"/>
      <c r="E1069" s="91"/>
      <c r="F1069" s="91"/>
      <c r="G1069" s="91"/>
      <c r="J1069" s="25">
        <f t="shared" si="63"/>
        <v>34</v>
      </c>
    </row>
    <row r="1070" spans="1:10" ht="120.6" customHeight="1">
      <c r="A1070" s="92" t="s">
        <v>45</v>
      </c>
      <c r="B1070" s="92"/>
      <c r="C1070" s="92"/>
      <c r="D1070" s="92"/>
      <c r="E1070" s="92"/>
      <c r="F1070" s="92"/>
      <c r="G1070" s="92"/>
      <c r="J1070" s="25">
        <f t="shared" si="63"/>
        <v>34</v>
      </c>
    </row>
    <row r="1071" spans="1:10" ht="140.4" customHeight="1">
      <c r="A1071" s="93" t="s">
        <v>46</v>
      </c>
      <c r="B1071" s="93"/>
      <c r="C1071" s="93"/>
      <c r="D1071" s="93"/>
      <c r="E1071" s="93"/>
      <c r="F1071" s="93"/>
      <c r="G1071" s="93"/>
      <c r="J1071" s="25">
        <f t="shared" si="63"/>
        <v>34</v>
      </c>
    </row>
    <row r="1072" spans="1:10" ht="37.200000000000003" customHeight="1">
      <c r="A1072" s="103" t="s">
        <v>0</v>
      </c>
      <c r="B1072" s="103"/>
      <c r="C1072" s="103"/>
      <c r="D1072" s="103"/>
      <c r="E1072" s="103"/>
      <c r="F1072" s="103"/>
      <c r="G1072" s="103"/>
      <c r="J1072" s="25">
        <f t="shared" si="63"/>
        <v>35</v>
      </c>
    </row>
    <row r="1073" spans="1:10" ht="16.95" customHeight="1">
      <c r="A1073" s="1" t="s">
        <v>1</v>
      </c>
      <c r="B1073" s="104">
        <f>B1010+1</f>
        <v>18</v>
      </c>
      <c r="C1073" s="104"/>
      <c r="D1073" s="104"/>
      <c r="E1073" s="104"/>
      <c r="F1073" s="104"/>
      <c r="G1073" s="104"/>
      <c r="J1073" s="25">
        <f t="shared" si="63"/>
        <v>35</v>
      </c>
    </row>
    <row r="1074" spans="1:10" ht="16.95" customHeight="1">
      <c r="A1074" s="1" t="s">
        <v>2</v>
      </c>
      <c r="B1074" s="105" t="s">
        <v>63</v>
      </c>
      <c r="C1074" s="105"/>
      <c r="D1074" s="105"/>
      <c r="E1074" s="106">
        <f>E1011+1</f>
        <v>46221</v>
      </c>
      <c r="F1074" s="106"/>
      <c r="G1074" s="106"/>
      <c r="J1074" s="25">
        <f t="shared" si="63"/>
        <v>35</v>
      </c>
    </row>
    <row r="1075" spans="1:10" ht="16.95" customHeight="1">
      <c r="A1075" s="53" t="s">
        <v>3</v>
      </c>
      <c r="B1075" s="2" t="s">
        <v>67</v>
      </c>
      <c r="C1075" s="98" t="s">
        <v>4</v>
      </c>
      <c r="D1075" s="98"/>
      <c r="E1075" s="98" t="s">
        <v>47</v>
      </c>
      <c r="F1075" s="98"/>
      <c r="G1075" s="98"/>
      <c r="J1075" s="25">
        <f t="shared" si="63"/>
        <v>35</v>
      </c>
    </row>
    <row r="1076" spans="1:10" ht="16.95" customHeight="1">
      <c r="A1076" s="53" t="s">
        <v>5</v>
      </c>
      <c r="B1076" s="54">
        <v>120</v>
      </c>
      <c r="C1076" s="98" t="s">
        <v>6</v>
      </c>
      <c r="D1076" s="98"/>
      <c r="E1076" s="98">
        <v>1</v>
      </c>
      <c r="F1076" s="98"/>
      <c r="G1076" s="98"/>
      <c r="J1076" s="25">
        <f t="shared" si="63"/>
        <v>35</v>
      </c>
    </row>
    <row r="1077" spans="1:10" ht="16.95" customHeight="1">
      <c r="A1077" s="53" t="s">
        <v>7</v>
      </c>
      <c r="B1077" s="54">
        <f>B1073</f>
        <v>18</v>
      </c>
      <c r="C1077" s="100" t="s">
        <v>8</v>
      </c>
      <c r="D1077" s="100"/>
      <c r="E1077" s="101">
        <f>B1076-B1077+1</f>
        <v>103</v>
      </c>
      <c r="F1077" s="101"/>
      <c r="G1077" s="101"/>
      <c r="J1077" s="25">
        <f t="shared" si="63"/>
        <v>35</v>
      </c>
    </row>
    <row r="1078" spans="1:10" ht="16.95" customHeight="1">
      <c r="A1078" s="53" t="s">
        <v>9</v>
      </c>
      <c r="B1078" s="55">
        <v>46204</v>
      </c>
      <c r="C1078" s="98" t="s">
        <v>10</v>
      </c>
      <c r="D1078" s="98"/>
      <c r="E1078" s="102">
        <f>B1078+B1076-1</f>
        <v>46323</v>
      </c>
      <c r="F1078" s="102"/>
      <c r="G1078" s="102"/>
      <c r="J1078" s="25">
        <f t="shared" si="63"/>
        <v>35</v>
      </c>
    </row>
    <row r="1079" spans="1:10" ht="16.95" customHeight="1">
      <c r="A1079" s="53" t="s">
        <v>11</v>
      </c>
      <c r="B1079" s="56">
        <f>HLOOKUP(B1073,進度表!$Q$2:$Z$3,2,1)+B1016</f>
        <v>7.5144370928338797E-2</v>
      </c>
      <c r="C1079" s="98" t="s">
        <v>12</v>
      </c>
      <c r="D1079" s="98"/>
      <c r="E1079" s="99">
        <f>I1117/I1079+E1016</f>
        <v>8.3218438517915286E-2</v>
      </c>
      <c r="F1079" s="99"/>
      <c r="G1079" s="99"/>
      <c r="H1079" s="3" t="s">
        <v>62</v>
      </c>
      <c r="I1079" s="1">
        <v>2456000</v>
      </c>
      <c r="J1079" s="25">
        <f t="shared" si="63"/>
        <v>35</v>
      </c>
    </row>
    <row r="1080" spans="1:10" ht="16.95" customHeight="1">
      <c r="A1080" s="98" t="s">
        <v>13</v>
      </c>
      <c r="B1080" s="98"/>
      <c r="C1080" s="98"/>
      <c r="D1080" s="98"/>
      <c r="E1080" s="98"/>
      <c r="F1080" s="98"/>
      <c r="G1080" s="98"/>
      <c r="J1080" s="25">
        <f t="shared" si="63"/>
        <v>35</v>
      </c>
    </row>
    <row r="1081" spans="1:10" ht="16.95" customHeight="1">
      <c r="A1081" s="52" t="s">
        <v>14</v>
      </c>
      <c r="B1081" s="52" t="s">
        <v>15</v>
      </c>
      <c r="C1081" s="52" t="s">
        <v>16</v>
      </c>
      <c r="D1081" s="52" t="s">
        <v>17</v>
      </c>
      <c r="E1081" s="52" t="s">
        <v>18</v>
      </c>
      <c r="F1081" s="52" t="s">
        <v>19</v>
      </c>
      <c r="G1081" s="52" t="s">
        <v>20</v>
      </c>
      <c r="H1081" s="3" t="s">
        <v>21</v>
      </c>
      <c r="I1081" s="3" t="s">
        <v>22</v>
      </c>
      <c r="J1081" s="25">
        <f t="shared" si="63"/>
        <v>35</v>
      </c>
    </row>
    <row r="1082" spans="1:10" ht="16.95" customHeight="1">
      <c r="A1082" s="75" t="s">
        <v>65</v>
      </c>
      <c r="B1082" s="76" t="s">
        <v>69</v>
      </c>
      <c r="C1082" s="77"/>
      <c r="D1082" s="78"/>
      <c r="E1082" s="79"/>
      <c r="F1082" s="79"/>
      <c r="G1082" s="2"/>
      <c r="H1082" s="37"/>
      <c r="I1082" s="4"/>
      <c r="J1082" s="25">
        <f t="shared" si="63"/>
        <v>35</v>
      </c>
    </row>
    <row r="1083" spans="1:10" ht="34.950000000000003" customHeight="1">
      <c r="A1083" s="75">
        <v>1</v>
      </c>
      <c r="B1083" s="80" t="s">
        <v>91</v>
      </c>
      <c r="C1083" s="77" t="s">
        <v>48</v>
      </c>
      <c r="D1083" s="78">
        <v>1</v>
      </c>
      <c r="E1083" s="79"/>
      <c r="F1083" s="79">
        <f t="shared" ref="F1083:F1116" si="67">E1083+F1020</f>
        <v>1</v>
      </c>
      <c r="G1083" s="2"/>
      <c r="H1083" s="37">
        <v>10508</v>
      </c>
      <c r="I1083" s="4">
        <f>H1083*E1083</f>
        <v>0</v>
      </c>
      <c r="J1083" s="25">
        <f t="shared" ref="J1083:J1146" si="68">J1020+2</f>
        <v>35</v>
      </c>
    </row>
    <row r="1084" spans="1:10" ht="34.799999999999997" customHeight="1">
      <c r="A1084" s="75">
        <v>2</v>
      </c>
      <c r="B1084" s="80" t="s">
        <v>92</v>
      </c>
      <c r="C1084" s="77" t="s">
        <v>48</v>
      </c>
      <c r="D1084" s="78">
        <v>1</v>
      </c>
      <c r="E1084" s="79"/>
      <c r="F1084" s="79">
        <f t="shared" si="67"/>
        <v>0</v>
      </c>
      <c r="G1084" s="2"/>
      <c r="H1084" s="37">
        <v>13223</v>
      </c>
      <c r="I1084" s="4">
        <f>H1084*E1084</f>
        <v>0</v>
      </c>
      <c r="J1084" s="25">
        <f t="shared" si="68"/>
        <v>35</v>
      </c>
    </row>
    <row r="1085" spans="1:10" ht="53.4" customHeight="1">
      <c r="A1085" s="75">
        <v>3</v>
      </c>
      <c r="B1085" s="80" t="s">
        <v>93</v>
      </c>
      <c r="C1085" s="77" t="s">
        <v>48</v>
      </c>
      <c r="D1085" s="78">
        <v>1</v>
      </c>
      <c r="E1085" s="79">
        <v>0.04</v>
      </c>
      <c r="F1085" s="79">
        <f t="shared" si="67"/>
        <v>0.47999999999999993</v>
      </c>
      <c r="G1085" s="2"/>
      <c r="H1085" s="37">
        <v>310497</v>
      </c>
      <c r="I1085" s="4">
        <f t="shared" ref="I1085:I1116" si="69">H1085*E1085</f>
        <v>12419.880000000001</v>
      </c>
      <c r="J1085" s="25">
        <f t="shared" si="68"/>
        <v>35</v>
      </c>
    </row>
    <row r="1086" spans="1:10" ht="16.95" customHeight="1">
      <c r="A1086" s="75">
        <v>4</v>
      </c>
      <c r="B1086" s="80" t="s">
        <v>94</v>
      </c>
      <c r="C1086" s="77" t="s">
        <v>48</v>
      </c>
      <c r="D1086" s="78">
        <v>1</v>
      </c>
      <c r="E1086" s="79"/>
      <c r="F1086" s="79">
        <f t="shared" si="67"/>
        <v>0</v>
      </c>
      <c r="G1086" s="2"/>
      <c r="H1086" s="37">
        <v>8375</v>
      </c>
      <c r="I1086" s="4">
        <f t="shared" si="69"/>
        <v>0</v>
      </c>
      <c r="J1086" s="25">
        <f t="shared" si="68"/>
        <v>35</v>
      </c>
    </row>
    <row r="1087" spans="1:10" ht="16.95" customHeight="1">
      <c r="A1087" s="75">
        <v>5</v>
      </c>
      <c r="B1087" s="80" t="s">
        <v>95</v>
      </c>
      <c r="C1087" s="77" t="s">
        <v>48</v>
      </c>
      <c r="D1087" s="78">
        <v>1</v>
      </c>
      <c r="E1087" s="79"/>
      <c r="F1087" s="79">
        <f t="shared" si="67"/>
        <v>0</v>
      </c>
      <c r="G1087" s="2"/>
      <c r="H1087" s="37">
        <v>51618</v>
      </c>
      <c r="I1087" s="4">
        <f t="shared" si="69"/>
        <v>0</v>
      </c>
      <c r="J1087" s="25">
        <f t="shared" si="68"/>
        <v>35</v>
      </c>
    </row>
    <row r="1088" spans="1:10" ht="16.95" customHeight="1">
      <c r="A1088" s="75">
        <v>6</v>
      </c>
      <c r="B1088" s="80" t="s">
        <v>96</v>
      </c>
      <c r="C1088" s="77" t="s">
        <v>50</v>
      </c>
      <c r="D1088" s="78">
        <v>11.55</v>
      </c>
      <c r="E1088" s="79"/>
      <c r="F1088" s="79">
        <f t="shared" si="67"/>
        <v>0</v>
      </c>
      <c r="G1088" s="2"/>
      <c r="H1088" s="37">
        <v>1188</v>
      </c>
      <c r="I1088" s="4">
        <f t="shared" si="69"/>
        <v>0</v>
      </c>
      <c r="J1088" s="25">
        <f t="shared" si="68"/>
        <v>35</v>
      </c>
    </row>
    <row r="1089" spans="1:10" ht="34.950000000000003" customHeight="1">
      <c r="A1089" s="75">
        <v>7</v>
      </c>
      <c r="B1089" s="80" t="s">
        <v>97</v>
      </c>
      <c r="C1089" s="77" t="s">
        <v>48</v>
      </c>
      <c r="D1089" s="78">
        <v>1</v>
      </c>
      <c r="E1089" s="79"/>
      <c r="F1089" s="79">
        <f t="shared" si="67"/>
        <v>0</v>
      </c>
      <c r="G1089" s="2"/>
      <c r="H1089" s="37">
        <v>21157</v>
      </c>
      <c r="I1089" s="4">
        <f t="shared" si="69"/>
        <v>0</v>
      </c>
      <c r="J1089" s="25">
        <f t="shared" si="68"/>
        <v>35</v>
      </c>
    </row>
    <row r="1090" spans="1:10" ht="16.95" customHeight="1">
      <c r="A1090" s="75">
        <v>8</v>
      </c>
      <c r="B1090" s="80" t="s">
        <v>98</v>
      </c>
      <c r="C1090" s="77" t="s">
        <v>50</v>
      </c>
      <c r="D1090" s="78">
        <v>387</v>
      </c>
      <c r="E1090" s="79"/>
      <c r="F1090" s="79">
        <f t="shared" si="67"/>
        <v>0</v>
      </c>
      <c r="G1090" s="2"/>
      <c r="H1090" s="37">
        <v>705</v>
      </c>
      <c r="I1090" s="4">
        <f t="shared" si="69"/>
        <v>0</v>
      </c>
      <c r="J1090" s="25">
        <f t="shared" si="68"/>
        <v>35</v>
      </c>
    </row>
    <row r="1091" spans="1:10" ht="16.95" customHeight="1">
      <c r="A1091" s="75">
        <v>9</v>
      </c>
      <c r="B1091" s="80" t="s">
        <v>99</v>
      </c>
      <c r="C1091" s="77" t="s">
        <v>50</v>
      </c>
      <c r="D1091" s="78">
        <v>170</v>
      </c>
      <c r="E1091" s="79"/>
      <c r="F1091" s="79">
        <f t="shared" si="67"/>
        <v>0</v>
      </c>
      <c r="G1091" s="2"/>
      <c r="H1091" s="37">
        <v>617</v>
      </c>
      <c r="I1091" s="4">
        <f t="shared" si="69"/>
        <v>0</v>
      </c>
      <c r="J1091" s="25">
        <f t="shared" si="68"/>
        <v>35</v>
      </c>
    </row>
    <row r="1092" spans="1:10" ht="16.95" customHeight="1">
      <c r="A1092" s="75">
        <v>10</v>
      </c>
      <c r="B1092" s="80" t="s">
        <v>100</v>
      </c>
      <c r="C1092" s="77" t="s">
        <v>66</v>
      </c>
      <c r="D1092" s="78">
        <v>15</v>
      </c>
      <c r="E1092" s="79"/>
      <c r="F1092" s="79">
        <f t="shared" si="67"/>
        <v>0</v>
      </c>
      <c r="G1092" s="2"/>
      <c r="H1092" s="37">
        <v>617</v>
      </c>
      <c r="I1092" s="4">
        <f t="shared" si="69"/>
        <v>0</v>
      </c>
      <c r="J1092" s="25">
        <f t="shared" si="68"/>
        <v>35</v>
      </c>
    </row>
    <row r="1093" spans="1:10" ht="16.95" customHeight="1">
      <c r="A1093" s="75">
        <v>11</v>
      </c>
      <c r="B1093" s="80" t="s">
        <v>101</v>
      </c>
      <c r="C1093" s="77" t="s">
        <v>50</v>
      </c>
      <c r="D1093" s="78">
        <v>75</v>
      </c>
      <c r="E1093" s="79"/>
      <c r="F1093" s="79">
        <f t="shared" si="67"/>
        <v>0</v>
      </c>
      <c r="G1093" s="2"/>
      <c r="H1093" s="37">
        <v>1146</v>
      </c>
      <c r="I1093" s="4">
        <f t="shared" si="69"/>
        <v>0</v>
      </c>
      <c r="J1093" s="25">
        <f t="shared" si="68"/>
        <v>35</v>
      </c>
    </row>
    <row r="1094" spans="1:10" ht="16.95" customHeight="1">
      <c r="A1094" s="75">
        <v>12</v>
      </c>
      <c r="B1094" s="80" t="s">
        <v>102</v>
      </c>
      <c r="C1094" s="77" t="s">
        <v>50</v>
      </c>
      <c r="D1094" s="78">
        <v>5</v>
      </c>
      <c r="E1094" s="79"/>
      <c r="F1094" s="79">
        <f t="shared" si="67"/>
        <v>0</v>
      </c>
      <c r="G1094" s="2"/>
      <c r="H1094" s="37">
        <v>1455</v>
      </c>
      <c r="I1094" s="4">
        <f t="shared" si="69"/>
        <v>0</v>
      </c>
      <c r="J1094" s="25">
        <f t="shared" si="68"/>
        <v>35</v>
      </c>
    </row>
    <row r="1095" spans="1:10" ht="16.95" customHeight="1">
      <c r="A1095" s="75">
        <v>13</v>
      </c>
      <c r="B1095" s="80" t="s">
        <v>103</v>
      </c>
      <c r="C1095" s="77" t="s">
        <v>50</v>
      </c>
      <c r="D1095" s="78">
        <v>217</v>
      </c>
      <c r="E1095" s="79"/>
      <c r="F1095" s="79">
        <f t="shared" si="67"/>
        <v>0</v>
      </c>
      <c r="G1095" s="2"/>
      <c r="H1095" s="37">
        <v>1410</v>
      </c>
      <c r="I1095" s="4">
        <f t="shared" si="69"/>
        <v>0</v>
      </c>
      <c r="J1095" s="25">
        <f t="shared" si="68"/>
        <v>35</v>
      </c>
    </row>
    <row r="1096" spans="1:10" ht="16.95" customHeight="1">
      <c r="A1096" s="75">
        <v>14</v>
      </c>
      <c r="B1096" s="80" t="s">
        <v>104</v>
      </c>
      <c r="C1096" s="77" t="s">
        <v>49</v>
      </c>
      <c r="D1096" s="78">
        <v>84</v>
      </c>
      <c r="E1096" s="79"/>
      <c r="F1096" s="79">
        <f t="shared" si="67"/>
        <v>0</v>
      </c>
      <c r="G1096" s="2"/>
      <c r="H1096" s="37">
        <v>529</v>
      </c>
      <c r="I1096" s="4">
        <f t="shared" si="69"/>
        <v>0</v>
      </c>
      <c r="J1096" s="25">
        <f t="shared" si="68"/>
        <v>35</v>
      </c>
    </row>
    <row r="1097" spans="1:10" ht="16.95" customHeight="1">
      <c r="A1097" s="75">
        <v>15</v>
      </c>
      <c r="B1097" s="80" t="s">
        <v>105</v>
      </c>
      <c r="C1097" s="77" t="s">
        <v>50</v>
      </c>
      <c r="D1097" s="78">
        <v>1</v>
      </c>
      <c r="E1097" s="79"/>
      <c r="F1097" s="79">
        <f t="shared" si="67"/>
        <v>0</v>
      </c>
      <c r="G1097" s="2"/>
      <c r="H1097" s="37">
        <v>1146</v>
      </c>
      <c r="I1097" s="4">
        <f t="shared" si="69"/>
        <v>0</v>
      </c>
      <c r="J1097" s="25">
        <f t="shared" si="68"/>
        <v>35</v>
      </c>
    </row>
    <row r="1098" spans="1:10" ht="34.799999999999997" customHeight="1">
      <c r="A1098" s="75">
        <v>16</v>
      </c>
      <c r="B1098" s="80" t="s">
        <v>106</v>
      </c>
      <c r="C1098" s="77" t="s">
        <v>50</v>
      </c>
      <c r="D1098" s="78">
        <v>314</v>
      </c>
      <c r="E1098" s="79"/>
      <c r="F1098" s="79">
        <f t="shared" si="67"/>
        <v>0</v>
      </c>
      <c r="G1098" s="2"/>
      <c r="H1098" s="37">
        <v>185</v>
      </c>
      <c r="I1098" s="4">
        <f t="shared" si="69"/>
        <v>0</v>
      </c>
      <c r="J1098" s="25">
        <f t="shared" si="68"/>
        <v>35</v>
      </c>
    </row>
    <row r="1099" spans="1:10" ht="16.95" customHeight="1">
      <c r="A1099" s="75">
        <v>17</v>
      </c>
      <c r="B1099" s="80" t="s">
        <v>107</v>
      </c>
      <c r="C1099" s="77" t="s">
        <v>48</v>
      </c>
      <c r="D1099" s="78">
        <v>1</v>
      </c>
      <c r="E1099" s="79"/>
      <c r="F1099" s="79">
        <f t="shared" si="67"/>
        <v>0</v>
      </c>
      <c r="G1099" s="2"/>
      <c r="H1099" s="37">
        <v>89918</v>
      </c>
      <c r="I1099" s="4">
        <f t="shared" si="69"/>
        <v>0</v>
      </c>
      <c r="J1099" s="25">
        <f t="shared" si="68"/>
        <v>35</v>
      </c>
    </row>
    <row r="1100" spans="1:10" ht="16.95" customHeight="1">
      <c r="A1100" s="75">
        <v>18</v>
      </c>
      <c r="B1100" s="80" t="s">
        <v>108</v>
      </c>
      <c r="C1100" s="77" t="s">
        <v>120</v>
      </c>
      <c r="D1100" s="78">
        <v>15</v>
      </c>
      <c r="E1100" s="79"/>
      <c r="F1100" s="79">
        <f t="shared" si="67"/>
        <v>0</v>
      </c>
      <c r="G1100" s="2"/>
      <c r="H1100" s="37">
        <v>661</v>
      </c>
      <c r="I1100" s="4">
        <f t="shared" si="69"/>
        <v>0</v>
      </c>
      <c r="J1100" s="25">
        <f t="shared" si="68"/>
        <v>35</v>
      </c>
    </row>
    <row r="1101" spans="1:10" ht="16.95" customHeight="1">
      <c r="A1101" s="75">
        <v>19</v>
      </c>
      <c r="B1101" s="80" t="s">
        <v>109</v>
      </c>
      <c r="C1101" s="77" t="s">
        <v>50</v>
      </c>
      <c r="D1101" s="78">
        <v>82</v>
      </c>
      <c r="E1101" s="79"/>
      <c r="F1101" s="79">
        <f t="shared" si="67"/>
        <v>0</v>
      </c>
      <c r="G1101" s="2"/>
      <c r="H1101" s="37">
        <v>2909</v>
      </c>
      <c r="I1101" s="4">
        <f t="shared" si="69"/>
        <v>0</v>
      </c>
      <c r="J1101" s="25">
        <f t="shared" si="68"/>
        <v>35</v>
      </c>
    </row>
    <row r="1102" spans="1:10" ht="16.95" customHeight="1">
      <c r="A1102" s="75">
        <v>20</v>
      </c>
      <c r="B1102" s="80" t="s">
        <v>110</v>
      </c>
      <c r="C1102" s="77" t="s">
        <v>121</v>
      </c>
      <c r="D1102" s="78">
        <v>12</v>
      </c>
      <c r="E1102" s="79"/>
      <c r="F1102" s="79">
        <f t="shared" si="67"/>
        <v>0</v>
      </c>
      <c r="G1102" s="2"/>
      <c r="H1102" s="37">
        <v>882</v>
      </c>
      <c r="I1102" s="4">
        <f t="shared" si="69"/>
        <v>0</v>
      </c>
      <c r="J1102" s="25">
        <f t="shared" si="68"/>
        <v>35</v>
      </c>
    </row>
    <row r="1103" spans="1:10" ht="16.95" customHeight="1">
      <c r="A1103" s="77">
        <v>21</v>
      </c>
      <c r="B1103" s="80" t="s">
        <v>111</v>
      </c>
      <c r="C1103" s="77" t="s">
        <v>122</v>
      </c>
      <c r="D1103" s="78">
        <v>3</v>
      </c>
      <c r="E1103" s="79"/>
      <c r="F1103" s="79">
        <f t="shared" si="67"/>
        <v>0</v>
      </c>
      <c r="G1103" s="2"/>
      <c r="H1103" s="38">
        <v>1869</v>
      </c>
      <c r="I1103" s="4">
        <f t="shared" si="69"/>
        <v>0</v>
      </c>
      <c r="J1103" s="25">
        <f t="shared" si="68"/>
        <v>35</v>
      </c>
    </row>
    <row r="1104" spans="1:10" ht="34.950000000000003" customHeight="1">
      <c r="A1104" s="75">
        <v>22</v>
      </c>
      <c r="B1104" s="80" t="s">
        <v>112</v>
      </c>
      <c r="C1104" s="77" t="s">
        <v>48</v>
      </c>
      <c r="D1104" s="78">
        <v>1</v>
      </c>
      <c r="E1104" s="79"/>
      <c r="F1104" s="79">
        <f t="shared" si="67"/>
        <v>0</v>
      </c>
      <c r="G1104" s="2"/>
      <c r="H1104" s="37">
        <v>82206</v>
      </c>
      <c r="I1104" s="4">
        <f t="shared" si="69"/>
        <v>0</v>
      </c>
      <c r="J1104" s="25">
        <f t="shared" si="68"/>
        <v>35</v>
      </c>
    </row>
    <row r="1105" spans="1:10" ht="16.95" customHeight="1">
      <c r="A1105" s="75">
        <v>23</v>
      </c>
      <c r="B1105" s="80" t="s">
        <v>113</v>
      </c>
      <c r="C1105" s="77" t="s">
        <v>48</v>
      </c>
      <c r="D1105" s="78">
        <v>1</v>
      </c>
      <c r="E1105" s="79"/>
      <c r="F1105" s="79">
        <f t="shared" si="67"/>
        <v>0</v>
      </c>
      <c r="G1105" s="2"/>
      <c r="H1105" s="37">
        <v>142723</v>
      </c>
      <c r="I1105" s="4">
        <f t="shared" si="69"/>
        <v>0</v>
      </c>
      <c r="J1105" s="25">
        <f t="shared" si="68"/>
        <v>35</v>
      </c>
    </row>
    <row r="1106" spans="1:10" ht="16.95" customHeight="1">
      <c r="A1106" s="75">
        <v>24</v>
      </c>
      <c r="B1106" s="80" t="s">
        <v>114</v>
      </c>
      <c r="C1106" s="77" t="s">
        <v>48</v>
      </c>
      <c r="D1106" s="78">
        <v>1</v>
      </c>
      <c r="E1106" s="79"/>
      <c r="F1106" s="79">
        <f t="shared" si="67"/>
        <v>0</v>
      </c>
      <c r="G1106" s="2"/>
      <c r="H1106" s="37">
        <v>37290</v>
      </c>
      <c r="I1106" s="4">
        <f t="shared" si="69"/>
        <v>0</v>
      </c>
      <c r="J1106" s="25">
        <f t="shared" si="68"/>
        <v>35</v>
      </c>
    </row>
    <row r="1107" spans="1:10" ht="16.95" customHeight="1">
      <c r="A1107" s="75">
        <v>25</v>
      </c>
      <c r="B1107" s="80" t="s">
        <v>115</v>
      </c>
      <c r="C1107" s="77" t="s">
        <v>48</v>
      </c>
      <c r="D1107" s="78">
        <v>1</v>
      </c>
      <c r="E1107" s="79"/>
      <c r="F1107" s="79">
        <f t="shared" si="67"/>
        <v>0</v>
      </c>
      <c r="G1107" s="2"/>
      <c r="H1107" s="37">
        <v>99394</v>
      </c>
      <c r="I1107" s="4">
        <f t="shared" si="69"/>
        <v>0</v>
      </c>
      <c r="J1107" s="25">
        <f t="shared" si="68"/>
        <v>35</v>
      </c>
    </row>
    <row r="1108" spans="1:10" ht="34.950000000000003" customHeight="1">
      <c r="A1108" s="75">
        <v>26</v>
      </c>
      <c r="B1108" s="80" t="s">
        <v>116</v>
      </c>
      <c r="C1108" s="77" t="s">
        <v>48</v>
      </c>
      <c r="D1108" s="78">
        <v>1</v>
      </c>
      <c r="E1108" s="79"/>
      <c r="F1108" s="79">
        <f t="shared" si="67"/>
        <v>0</v>
      </c>
      <c r="G1108" s="2"/>
      <c r="H1108" s="37">
        <v>21334</v>
      </c>
      <c r="I1108" s="4">
        <f t="shared" si="69"/>
        <v>0</v>
      </c>
      <c r="J1108" s="25">
        <f t="shared" si="68"/>
        <v>35</v>
      </c>
    </row>
    <row r="1109" spans="1:10" ht="16.95" customHeight="1">
      <c r="A1109" s="75">
        <v>27</v>
      </c>
      <c r="B1109" s="80" t="s">
        <v>117</v>
      </c>
      <c r="C1109" s="77" t="s">
        <v>48</v>
      </c>
      <c r="D1109" s="78">
        <v>1</v>
      </c>
      <c r="E1109" s="79"/>
      <c r="F1109" s="79">
        <f t="shared" si="67"/>
        <v>0</v>
      </c>
      <c r="G1109" s="2"/>
      <c r="H1109" s="37">
        <v>29620</v>
      </c>
      <c r="I1109" s="4">
        <f t="shared" si="69"/>
        <v>0</v>
      </c>
      <c r="J1109" s="25">
        <f t="shared" si="68"/>
        <v>35</v>
      </c>
    </row>
    <row r="1110" spans="1:10" ht="16.95" customHeight="1">
      <c r="A1110" s="75">
        <v>28</v>
      </c>
      <c r="B1110" s="80" t="s">
        <v>118</v>
      </c>
      <c r="C1110" s="77" t="s">
        <v>48</v>
      </c>
      <c r="D1110" s="78">
        <v>1</v>
      </c>
      <c r="E1110" s="79"/>
      <c r="F1110" s="79">
        <f t="shared" si="67"/>
        <v>0</v>
      </c>
      <c r="G1110" s="2"/>
      <c r="H1110" s="37">
        <v>18506</v>
      </c>
      <c r="I1110" s="4">
        <f t="shared" si="69"/>
        <v>0</v>
      </c>
      <c r="J1110" s="25">
        <f t="shared" si="68"/>
        <v>35</v>
      </c>
    </row>
    <row r="1111" spans="1:10" ht="16.95" customHeight="1">
      <c r="A1111" s="75">
        <v>29</v>
      </c>
      <c r="B1111" s="80" t="s">
        <v>119</v>
      </c>
      <c r="C1111" s="77" t="s">
        <v>48</v>
      </c>
      <c r="D1111" s="78">
        <v>1</v>
      </c>
      <c r="E1111" s="79"/>
      <c r="F1111" s="79">
        <f t="shared" si="67"/>
        <v>0</v>
      </c>
      <c r="G1111" s="2"/>
      <c r="H1111" s="37">
        <v>34381</v>
      </c>
      <c r="I1111" s="4">
        <f t="shared" si="69"/>
        <v>0</v>
      </c>
      <c r="J1111" s="25">
        <f t="shared" si="68"/>
        <v>35</v>
      </c>
    </row>
    <row r="1112" spans="1:10" ht="16.95" customHeight="1">
      <c r="A1112" s="75" t="s">
        <v>79</v>
      </c>
      <c r="B1112" s="80" t="s">
        <v>80</v>
      </c>
      <c r="C1112" s="77" t="s">
        <v>48</v>
      </c>
      <c r="D1112" s="78">
        <v>1</v>
      </c>
      <c r="E1112" s="79">
        <f t="shared" ref="E1112:E1115" si="70">1/120</f>
        <v>8.3333333333333332E-3</v>
      </c>
      <c r="F1112" s="79">
        <f t="shared" si="67"/>
        <v>0.14166666666666666</v>
      </c>
      <c r="G1112" s="2"/>
      <c r="H1112" s="37">
        <v>21395</v>
      </c>
      <c r="I1112" s="4">
        <f t="shared" si="69"/>
        <v>178.29166666666666</v>
      </c>
      <c r="J1112" s="25">
        <f t="shared" si="68"/>
        <v>35</v>
      </c>
    </row>
    <row r="1113" spans="1:10" ht="16.95" customHeight="1">
      <c r="A1113" s="75" t="s">
        <v>81</v>
      </c>
      <c r="B1113" s="80" t="s">
        <v>82</v>
      </c>
      <c r="C1113" s="77" t="s">
        <v>48</v>
      </c>
      <c r="D1113" s="78">
        <v>1</v>
      </c>
      <c r="E1113" s="79">
        <f t="shared" si="70"/>
        <v>8.3333333333333332E-3</v>
      </c>
      <c r="F1113" s="79">
        <f t="shared" si="67"/>
        <v>0.14166666666666666</v>
      </c>
      <c r="G1113" s="2"/>
      <c r="H1113" s="37">
        <v>21395</v>
      </c>
      <c r="I1113" s="4">
        <f t="shared" si="69"/>
        <v>178.29166666666666</v>
      </c>
      <c r="J1113" s="25">
        <f t="shared" si="68"/>
        <v>35</v>
      </c>
    </row>
    <row r="1114" spans="1:10" ht="16.95" customHeight="1">
      <c r="A1114" s="75" t="s">
        <v>83</v>
      </c>
      <c r="B1114" s="80" t="s">
        <v>84</v>
      </c>
      <c r="C1114" s="77" t="s">
        <v>48</v>
      </c>
      <c r="D1114" s="78">
        <v>1</v>
      </c>
      <c r="E1114" s="79">
        <f t="shared" si="70"/>
        <v>8.3333333333333332E-3</v>
      </c>
      <c r="F1114" s="79">
        <f t="shared" si="67"/>
        <v>0.14166666666666666</v>
      </c>
      <c r="G1114" s="2"/>
      <c r="H1114" s="37">
        <v>149765</v>
      </c>
      <c r="I1114" s="4">
        <f t="shared" si="69"/>
        <v>1248.0416666666667</v>
      </c>
      <c r="J1114" s="25">
        <f t="shared" si="68"/>
        <v>35</v>
      </c>
    </row>
    <row r="1115" spans="1:10" ht="16.95" customHeight="1">
      <c r="A1115" s="75" t="s">
        <v>85</v>
      </c>
      <c r="B1115" s="80" t="s">
        <v>86</v>
      </c>
      <c r="C1115" s="77" t="s">
        <v>48</v>
      </c>
      <c r="D1115" s="78">
        <v>1</v>
      </c>
      <c r="E1115" s="79">
        <f t="shared" si="70"/>
        <v>8.3333333333333332E-3</v>
      </c>
      <c r="F1115" s="79">
        <f t="shared" si="67"/>
        <v>0.14166666666666666</v>
      </c>
      <c r="G1115" s="2"/>
      <c r="H1115" s="37">
        <v>6996</v>
      </c>
      <c r="I1115" s="4">
        <f t="shared" si="69"/>
        <v>58.3</v>
      </c>
      <c r="J1115" s="25">
        <f t="shared" si="68"/>
        <v>35</v>
      </c>
    </row>
    <row r="1116" spans="1:10" ht="16.95" customHeight="1">
      <c r="A1116" s="75" t="s">
        <v>87</v>
      </c>
      <c r="B1116" s="80" t="s">
        <v>88</v>
      </c>
      <c r="C1116" s="77" t="s">
        <v>48</v>
      </c>
      <c r="D1116" s="78">
        <v>1</v>
      </c>
      <c r="E1116" s="79">
        <f>1/120</f>
        <v>8.3333333333333332E-3</v>
      </c>
      <c r="F1116" s="79">
        <f t="shared" si="67"/>
        <v>0.14166666666666666</v>
      </c>
      <c r="G1116" s="2"/>
      <c r="H1116" s="37">
        <v>116952</v>
      </c>
      <c r="I1116" s="4">
        <f t="shared" si="69"/>
        <v>974.6</v>
      </c>
      <c r="J1116" s="25">
        <f t="shared" si="68"/>
        <v>35</v>
      </c>
    </row>
    <row r="1117" spans="1:10" ht="16.95" customHeight="1">
      <c r="A1117" s="95" t="s">
        <v>23</v>
      </c>
      <c r="B1117" s="95"/>
      <c r="C1117" s="50"/>
      <c r="D1117" s="50"/>
      <c r="E1117" s="50"/>
      <c r="F1117" s="50"/>
      <c r="G1117" s="50"/>
      <c r="H1117" s="3" t="s">
        <v>24</v>
      </c>
      <c r="I1117" s="5">
        <f>SUM(I1082:I1116)</f>
        <v>15057.404999999999</v>
      </c>
      <c r="J1117" s="25">
        <f t="shared" si="68"/>
        <v>35</v>
      </c>
    </row>
    <row r="1118" spans="1:10" ht="16.95" customHeight="1">
      <c r="A1118" s="96" t="s">
        <v>25</v>
      </c>
      <c r="B1118" s="96"/>
      <c r="C1118" s="50"/>
      <c r="D1118" s="50"/>
      <c r="E1118" s="50"/>
      <c r="F1118" s="50"/>
      <c r="G1118" s="50"/>
      <c r="J1118" s="25">
        <f t="shared" si="68"/>
        <v>35</v>
      </c>
    </row>
    <row r="1119" spans="1:10" ht="16.95" customHeight="1">
      <c r="A1119" s="96" t="s">
        <v>26</v>
      </c>
      <c r="B1119" s="96"/>
      <c r="C1119" s="50"/>
      <c r="D1119" s="50"/>
      <c r="E1119" s="50"/>
      <c r="F1119" s="50"/>
      <c r="G1119" s="50"/>
      <c r="J1119" s="25">
        <f t="shared" si="68"/>
        <v>35</v>
      </c>
    </row>
    <row r="1120" spans="1:10" ht="16.95" customHeight="1">
      <c r="A1120" s="95" t="s">
        <v>27</v>
      </c>
      <c r="B1120" s="95"/>
      <c r="C1120" s="95"/>
      <c r="D1120" s="95"/>
      <c r="E1120" s="95"/>
      <c r="F1120" s="95"/>
      <c r="G1120" s="95"/>
      <c r="J1120" s="25">
        <f t="shared" si="68"/>
        <v>35</v>
      </c>
    </row>
    <row r="1121" spans="1:10" ht="16.95" customHeight="1">
      <c r="A1121" s="94" t="s">
        <v>28</v>
      </c>
      <c r="B1121" s="94"/>
      <c r="C1121" s="51" t="s">
        <v>29</v>
      </c>
      <c r="D1121" s="51" t="s">
        <v>30</v>
      </c>
      <c r="E1121" s="51" t="s">
        <v>18</v>
      </c>
      <c r="F1121" s="51" t="s">
        <v>31</v>
      </c>
      <c r="G1121" s="51" t="s">
        <v>20</v>
      </c>
      <c r="J1121" s="25">
        <f t="shared" si="68"/>
        <v>35</v>
      </c>
    </row>
    <row r="1122" spans="1:10" ht="16.95" customHeight="1">
      <c r="A1122" s="96"/>
      <c r="B1122" s="96"/>
      <c r="C1122" s="50"/>
      <c r="D1122" s="50"/>
      <c r="E1122" s="50"/>
      <c r="F1122" s="50"/>
      <c r="G1122" s="51"/>
      <c r="J1122" s="25">
        <f t="shared" si="68"/>
        <v>35</v>
      </c>
    </row>
    <row r="1123" spans="1:10" ht="16.95" customHeight="1">
      <c r="A1123" s="97"/>
      <c r="B1123" s="97"/>
      <c r="C1123" s="50"/>
      <c r="D1123" s="50"/>
      <c r="E1123" s="50"/>
      <c r="F1123" s="51"/>
      <c r="G1123" s="51"/>
      <c r="J1123" s="25">
        <f t="shared" si="68"/>
        <v>35</v>
      </c>
    </row>
    <row r="1124" spans="1:10" ht="16.95" customHeight="1">
      <c r="A1124" s="95" t="s">
        <v>32</v>
      </c>
      <c r="B1124" s="95"/>
      <c r="C1124" s="95"/>
      <c r="D1124" s="95"/>
      <c r="E1124" s="95"/>
      <c r="F1124" s="95"/>
      <c r="G1124" s="95"/>
      <c r="J1124" s="25">
        <f t="shared" si="68"/>
        <v>36</v>
      </c>
    </row>
    <row r="1125" spans="1:10" ht="16.95" customHeight="1">
      <c r="A1125" s="51" t="s">
        <v>33</v>
      </c>
      <c r="B1125" s="51" t="s">
        <v>34</v>
      </c>
      <c r="C1125" s="94" t="s">
        <v>35</v>
      </c>
      <c r="D1125" s="94"/>
      <c r="E1125" s="51" t="s">
        <v>36</v>
      </c>
      <c r="F1125" s="51" t="s">
        <v>37</v>
      </c>
      <c r="G1125" s="51" t="s">
        <v>38</v>
      </c>
      <c r="J1125" s="25">
        <f t="shared" si="68"/>
        <v>36</v>
      </c>
    </row>
    <row r="1126" spans="1:10" ht="16.95" customHeight="1">
      <c r="A1126" s="51" t="s">
        <v>39</v>
      </c>
      <c r="B1126" s="6">
        <v>1</v>
      </c>
      <c r="C1126" s="94">
        <f>B1126+C1063</f>
        <v>12</v>
      </c>
      <c r="D1126" s="94"/>
      <c r="E1126" s="51"/>
      <c r="F1126" s="24"/>
      <c r="G1126" s="24"/>
      <c r="J1126" s="25">
        <f t="shared" si="68"/>
        <v>36</v>
      </c>
    </row>
    <row r="1127" spans="1:10" ht="16.95" customHeight="1">
      <c r="A1127" s="51" t="s">
        <v>40</v>
      </c>
      <c r="B1127" s="6">
        <v>1</v>
      </c>
      <c r="C1127" s="94">
        <f>B1127+C1064</f>
        <v>13</v>
      </c>
      <c r="D1127" s="94"/>
      <c r="E1127" s="51"/>
      <c r="F1127" s="24"/>
      <c r="G1127" s="24"/>
      <c r="J1127" s="25">
        <f t="shared" si="68"/>
        <v>36</v>
      </c>
    </row>
    <row r="1128" spans="1:10" ht="36.6" customHeight="1">
      <c r="A1128" s="95" t="s">
        <v>41</v>
      </c>
      <c r="B1128" s="95"/>
      <c r="C1128" s="95"/>
      <c r="D1128" s="95"/>
      <c r="E1128" s="95"/>
      <c r="F1128" s="95"/>
      <c r="G1128" s="95"/>
      <c r="J1128" s="25">
        <f t="shared" si="68"/>
        <v>36</v>
      </c>
    </row>
    <row r="1129" spans="1:10" ht="90" customHeight="1">
      <c r="A1129" s="92" t="s">
        <v>42</v>
      </c>
      <c r="B1129" s="92"/>
      <c r="C1129" s="92"/>
      <c r="D1129" s="92"/>
      <c r="E1129" s="92"/>
      <c r="F1129" s="92"/>
      <c r="G1129" s="92"/>
      <c r="J1129" s="25">
        <f t="shared" si="68"/>
        <v>36</v>
      </c>
    </row>
    <row r="1130" spans="1:10" ht="16.95" customHeight="1">
      <c r="A1130" s="95" t="s">
        <v>43</v>
      </c>
      <c r="B1130" s="95"/>
      <c r="C1130" s="95"/>
      <c r="D1130" s="95"/>
      <c r="E1130" s="95"/>
      <c r="F1130" s="95"/>
      <c r="G1130" s="95"/>
      <c r="J1130" s="25">
        <f t="shared" si="68"/>
        <v>36</v>
      </c>
    </row>
    <row r="1131" spans="1:10" ht="16.95" customHeight="1">
      <c r="A1131" s="95" t="s">
        <v>44</v>
      </c>
      <c r="B1131" s="95"/>
      <c r="C1131" s="95"/>
      <c r="D1131" s="95"/>
      <c r="E1131" s="95"/>
      <c r="F1131" s="95"/>
      <c r="G1131" s="95"/>
      <c r="J1131" s="25">
        <f t="shared" si="68"/>
        <v>36</v>
      </c>
    </row>
    <row r="1132" spans="1:10" ht="16.95" customHeight="1">
      <c r="A1132" s="91" t="s">
        <v>125</v>
      </c>
      <c r="B1132" s="91"/>
      <c r="C1132" s="91"/>
      <c r="D1132" s="91"/>
      <c r="E1132" s="91"/>
      <c r="F1132" s="91"/>
      <c r="G1132" s="91"/>
      <c r="J1132" s="25">
        <f t="shared" si="68"/>
        <v>36</v>
      </c>
    </row>
    <row r="1133" spans="1:10" ht="120.6" customHeight="1">
      <c r="A1133" s="92" t="s">
        <v>45</v>
      </c>
      <c r="B1133" s="92"/>
      <c r="C1133" s="92"/>
      <c r="D1133" s="92"/>
      <c r="E1133" s="92"/>
      <c r="F1133" s="92"/>
      <c r="G1133" s="92"/>
      <c r="J1133" s="25">
        <f t="shared" si="68"/>
        <v>36</v>
      </c>
    </row>
    <row r="1134" spans="1:10" ht="140.4" customHeight="1">
      <c r="A1134" s="93" t="s">
        <v>46</v>
      </c>
      <c r="B1134" s="93"/>
      <c r="C1134" s="93"/>
      <c r="D1134" s="93"/>
      <c r="E1134" s="93"/>
      <c r="F1134" s="93"/>
      <c r="G1134" s="93"/>
      <c r="J1134" s="25">
        <f t="shared" si="68"/>
        <v>36</v>
      </c>
    </row>
    <row r="1135" spans="1:10" ht="37.200000000000003" customHeight="1">
      <c r="A1135" s="103" t="s">
        <v>0</v>
      </c>
      <c r="B1135" s="103"/>
      <c r="C1135" s="103"/>
      <c r="D1135" s="103"/>
      <c r="E1135" s="103"/>
      <c r="F1135" s="103"/>
      <c r="G1135" s="103"/>
      <c r="J1135" s="25">
        <f t="shared" si="68"/>
        <v>37</v>
      </c>
    </row>
    <row r="1136" spans="1:10" ht="16.95" customHeight="1">
      <c r="A1136" s="1" t="s">
        <v>1</v>
      </c>
      <c r="B1136" s="104">
        <f>B1073+1</f>
        <v>19</v>
      </c>
      <c r="C1136" s="104"/>
      <c r="D1136" s="104"/>
      <c r="E1136" s="104"/>
      <c r="F1136" s="104"/>
      <c r="G1136" s="104"/>
      <c r="J1136" s="25">
        <f t="shared" si="68"/>
        <v>37</v>
      </c>
    </row>
    <row r="1137" spans="1:10" ht="16.95" customHeight="1">
      <c r="A1137" s="1" t="s">
        <v>2</v>
      </c>
      <c r="B1137" s="105" t="s">
        <v>63</v>
      </c>
      <c r="C1137" s="105"/>
      <c r="D1137" s="105"/>
      <c r="E1137" s="106">
        <f>E1074+1</f>
        <v>46222</v>
      </c>
      <c r="F1137" s="106"/>
      <c r="G1137" s="106"/>
      <c r="J1137" s="25">
        <f t="shared" si="68"/>
        <v>37</v>
      </c>
    </row>
    <row r="1138" spans="1:10" ht="16.95" customHeight="1">
      <c r="A1138" s="53" t="s">
        <v>3</v>
      </c>
      <c r="B1138" s="2" t="s">
        <v>67</v>
      </c>
      <c r="C1138" s="98" t="s">
        <v>4</v>
      </c>
      <c r="D1138" s="98"/>
      <c r="E1138" s="98" t="s">
        <v>47</v>
      </c>
      <c r="F1138" s="98"/>
      <c r="G1138" s="98"/>
      <c r="J1138" s="25">
        <f t="shared" si="68"/>
        <v>37</v>
      </c>
    </row>
    <row r="1139" spans="1:10" ht="16.95" customHeight="1">
      <c r="A1139" s="53" t="s">
        <v>5</v>
      </c>
      <c r="B1139" s="54">
        <v>120</v>
      </c>
      <c r="C1139" s="98" t="s">
        <v>6</v>
      </c>
      <c r="D1139" s="98"/>
      <c r="E1139" s="98">
        <v>1</v>
      </c>
      <c r="F1139" s="98"/>
      <c r="G1139" s="98"/>
      <c r="J1139" s="25">
        <f t="shared" si="68"/>
        <v>37</v>
      </c>
    </row>
    <row r="1140" spans="1:10" ht="16.95" customHeight="1">
      <c r="A1140" s="53" t="s">
        <v>7</v>
      </c>
      <c r="B1140" s="54">
        <f>B1136</f>
        <v>19</v>
      </c>
      <c r="C1140" s="100" t="s">
        <v>8</v>
      </c>
      <c r="D1140" s="100"/>
      <c r="E1140" s="101">
        <f>B1139-B1140+1</f>
        <v>102</v>
      </c>
      <c r="F1140" s="101"/>
      <c r="G1140" s="101"/>
      <c r="J1140" s="25">
        <f t="shared" si="68"/>
        <v>37</v>
      </c>
    </row>
    <row r="1141" spans="1:10" ht="16.95" customHeight="1">
      <c r="A1141" s="53" t="s">
        <v>9</v>
      </c>
      <c r="B1141" s="55">
        <v>46204</v>
      </c>
      <c r="C1141" s="98" t="s">
        <v>10</v>
      </c>
      <c r="D1141" s="98"/>
      <c r="E1141" s="102">
        <f>B1141+B1139-1</f>
        <v>46323</v>
      </c>
      <c r="F1141" s="102"/>
      <c r="G1141" s="102"/>
      <c r="J1141" s="25">
        <f t="shared" si="68"/>
        <v>37</v>
      </c>
    </row>
    <row r="1142" spans="1:10" ht="16.95" customHeight="1">
      <c r="A1142" s="53" t="s">
        <v>11</v>
      </c>
      <c r="B1142" s="56">
        <f>HLOOKUP(B1136,進度表!$Q$2:$Z$3,2,1)+B1079</f>
        <v>7.9708263775787228E-2</v>
      </c>
      <c r="C1142" s="98" t="s">
        <v>12</v>
      </c>
      <c r="D1142" s="98"/>
      <c r="E1142" s="99">
        <f>I1180/I1142+E1079</f>
        <v>8.4292349348534176E-2</v>
      </c>
      <c r="F1142" s="99"/>
      <c r="G1142" s="99"/>
      <c r="H1142" s="3" t="s">
        <v>62</v>
      </c>
      <c r="I1142" s="1">
        <v>2456000</v>
      </c>
      <c r="J1142" s="25">
        <f t="shared" si="68"/>
        <v>37</v>
      </c>
    </row>
    <row r="1143" spans="1:10" ht="16.95" customHeight="1">
      <c r="A1143" s="98" t="s">
        <v>13</v>
      </c>
      <c r="B1143" s="98"/>
      <c r="C1143" s="98"/>
      <c r="D1143" s="98"/>
      <c r="E1143" s="98"/>
      <c r="F1143" s="98"/>
      <c r="G1143" s="98"/>
      <c r="J1143" s="25">
        <f t="shared" si="68"/>
        <v>37</v>
      </c>
    </row>
    <row r="1144" spans="1:10" ht="16.95" customHeight="1">
      <c r="A1144" s="52" t="s">
        <v>14</v>
      </c>
      <c r="B1144" s="52" t="s">
        <v>15</v>
      </c>
      <c r="C1144" s="52" t="s">
        <v>16</v>
      </c>
      <c r="D1144" s="52" t="s">
        <v>17</v>
      </c>
      <c r="E1144" s="52" t="s">
        <v>18</v>
      </c>
      <c r="F1144" s="52" t="s">
        <v>19</v>
      </c>
      <c r="G1144" s="52" t="s">
        <v>20</v>
      </c>
      <c r="H1144" s="3" t="s">
        <v>21</v>
      </c>
      <c r="I1144" s="3" t="s">
        <v>22</v>
      </c>
      <c r="J1144" s="25">
        <f t="shared" si="68"/>
        <v>37</v>
      </c>
    </row>
    <row r="1145" spans="1:10" ht="16.95" customHeight="1">
      <c r="A1145" s="75" t="s">
        <v>65</v>
      </c>
      <c r="B1145" s="76" t="s">
        <v>69</v>
      </c>
      <c r="C1145" s="77"/>
      <c r="D1145" s="78"/>
      <c r="E1145" s="79"/>
      <c r="F1145" s="79"/>
      <c r="G1145" s="2"/>
      <c r="H1145" s="37"/>
      <c r="I1145" s="4"/>
      <c r="J1145" s="25">
        <f t="shared" si="68"/>
        <v>37</v>
      </c>
    </row>
    <row r="1146" spans="1:10" ht="34.950000000000003" customHeight="1">
      <c r="A1146" s="75">
        <v>1</v>
      </c>
      <c r="B1146" s="80" t="s">
        <v>91</v>
      </c>
      <c r="C1146" s="77" t="s">
        <v>48</v>
      </c>
      <c r="D1146" s="78">
        <v>1</v>
      </c>
      <c r="E1146" s="79"/>
      <c r="F1146" s="79">
        <f t="shared" ref="F1146:F1179" si="71">E1146+F1083</f>
        <v>1</v>
      </c>
      <c r="G1146" s="2"/>
      <c r="H1146" s="37">
        <v>10508</v>
      </c>
      <c r="I1146" s="4">
        <f>H1146*E1146</f>
        <v>0</v>
      </c>
      <c r="J1146" s="25">
        <f t="shared" si="68"/>
        <v>37</v>
      </c>
    </row>
    <row r="1147" spans="1:10" ht="34.799999999999997" customHeight="1">
      <c r="A1147" s="75">
        <v>2</v>
      </c>
      <c r="B1147" s="80" t="s">
        <v>92</v>
      </c>
      <c r="C1147" s="77" t="s">
        <v>48</v>
      </c>
      <c r="D1147" s="78">
        <v>1</v>
      </c>
      <c r="E1147" s="79"/>
      <c r="F1147" s="79">
        <f t="shared" si="71"/>
        <v>0</v>
      </c>
      <c r="G1147" s="2"/>
      <c r="H1147" s="37">
        <v>13223</v>
      </c>
      <c r="I1147" s="4">
        <f>H1147*E1147</f>
        <v>0</v>
      </c>
      <c r="J1147" s="25">
        <f t="shared" ref="J1147:J1210" si="72">J1084+2</f>
        <v>37</v>
      </c>
    </row>
    <row r="1148" spans="1:10" ht="53.4" customHeight="1">
      <c r="A1148" s="75">
        <v>3</v>
      </c>
      <c r="B1148" s="80" t="s">
        <v>93</v>
      </c>
      <c r="C1148" s="77" t="s">
        <v>48</v>
      </c>
      <c r="D1148" s="78">
        <v>1</v>
      </c>
      <c r="E1148" s="79"/>
      <c r="F1148" s="79">
        <f t="shared" si="71"/>
        <v>0.47999999999999993</v>
      </c>
      <c r="G1148" s="2"/>
      <c r="H1148" s="37">
        <v>310497</v>
      </c>
      <c r="I1148" s="4">
        <f t="shared" ref="I1148:I1179" si="73">H1148*E1148</f>
        <v>0</v>
      </c>
      <c r="J1148" s="25">
        <f t="shared" si="72"/>
        <v>37</v>
      </c>
    </row>
    <row r="1149" spans="1:10" ht="16.95" customHeight="1">
      <c r="A1149" s="75">
        <v>4</v>
      </c>
      <c r="B1149" s="80" t="s">
        <v>94</v>
      </c>
      <c r="C1149" s="77" t="s">
        <v>48</v>
      </c>
      <c r="D1149" s="78">
        <v>1</v>
      </c>
      <c r="E1149" s="79"/>
      <c r="F1149" s="79">
        <f t="shared" si="71"/>
        <v>0</v>
      </c>
      <c r="G1149" s="2"/>
      <c r="H1149" s="37">
        <v>8375</v>
      </c>
      <c r="I1149" s="4">
        <f t="shared" si="73"/>
        <v>0</v>
      </c>
      <c r="J1149" s="25">
        <f t="shared" si="72"/>
        <v>37</v>
      </c>
    </row>
    <row r="1150" spans="1:10" ht="16.95" customHeight="1">
      <c r="A1150" s="75">
        <v>5</v>
      </c>
      <c r="B1150" s="80" t="s">
        <v>95</v>
      </c>
      <c r="C1150" s="77" t="s">
        <v>48</v>
      </c>
      <c r="D1150" s="78">
        <v>1</v>
      </c>
      <c r="E1150" s="79"/>
      <c r="F1150" s="79">
        <f t="shared" si="71"/>
        <v>0</v>
      </c>
      <c r="G1150" s="2"/>
      <c r="H1150" s="37">
        <v>51618</v>
      </c>
      <c r="I1150" s="4">
        <f t="shared" si="73"/>
        <v>0</v>
      </c>
      <c r="J1150" s="25">
        <f t="shared" si="72"/>
        <v>37</v>
      </c>
    </row>
    <row r="1151" spans="1:10" ht="16.95" customHeight="1">
      <c r="A1151" s="75">
        <v>6</v>
      </c>
      <c r="B1151" s="80" t="s">
        <v>96</v>
      </c>
      <c r="C1151" s="77" t="s">
        <v>50</v>
      </c>
      <c r="D1151" s="78">
        <v>11.55</v>
      </c>
      <c r="E1151" s="79"/>
      <c r="F1151" s="79">
        <f t="shared" si="71"/>
        <v>0</v>
      </c>
      <c r="G1151" s="2"/>
      <c r="H1151" s="37">
        <v>1188</v>
      </c>
      <c r="I1151" s="4">
        <f t="shared" si="73"/>
        <v>0</v>
      </c>
      <c r="J1151" s="25">
        <f t="shared" si="72"/>
        <v>37</v>
      </c>
    </row>
    <row r="1152" spans="1:10" ht="34.950000000000003" customHeight="1">
      <c r="A1152" s="75">
        <v>7</v>
      </c>
      <c r="B1152" s="80" t="s">
        <v>97</v>
      </c>
      <c r="C1152" s="77" t="s">
        <v>48</v>
      </c>
      <c r="D1152" s="78">
        <v>1</v>
      </c>
      <c r="E1152" s="79"/>
      <c r="F1152" s="79">
        <f t="shared" si="71"/>
        <v>0</v>
      </c>
      <c r="G1152" s="2"/>
      <c r="H1152" s="37">
        <v>21157</v>
      </c>
      <c r="I1152" s="4">
        <f t="shared" si="73"/>
        <v>0</v>
      </c>
      <c r="J1152" s="25">
        <f t="shared" si="72"/>
        <v>37</v>
      </c>
    </row>
    <row r="1153" spans="1:10" ht="16.95" customHeight="1">
      <c r="A1153" s="75">
        <v>8</v>
      </c>
      <c r="B1153" s="80" t="s">
        <v>98</v>
      </c>
      <c r="C1153" s="77" t="s">
        <v>50</v>
      </c>
      <c r="D1153" s="78">
        <v>387</v>
      </c>
      <c r="E1153" s="79"/>
      <c r="F1153" s="79">
        <f t="shared" si="71"/>
        <v>0</v>
      </c>
      <c r="G1153" s="2"/>
      <c r="H1153" s="37">
        <v>705</v>
      </c>
      <c r="I1153" s="4">
        <f t="shared" si="73"/>
        <v>0</v>
      </c>
      <c r="J1153" s="25">
        <f t="shared" si="72"/>
        <v>37</v>
      </c>
    </row>
    <row r="1154" spans="1:10" ht="16.95" customHeight="1">
      <c r="A1154" s="75">
        <v>9</v>
      </c>
      <c r="B1154" s="80" t="s">
        <v>99</v>
      </c>
      <c r="C1154" s="77" t="s">
        <v>50</v>
      </c>
      <c r="D1154" s="78">
        <v>170</v>
      </c>
      <c r="E1154" s="79"/>
      <c r="F1154" s="79">
        <f t="shared" si="71"/>
        <v>0</v>
      </c>
      <c r="G1154" s="2"/>
      <c r="H1154" s="37">
        <v>617</v>
      </c>
      <c r="I1154" s="4">
        <f t="shared" si="73"/>
        <v>0</v>
      </c>
      <c r="J1154" s="25">
        <f t="shared" si="72"/>
        <v>37</v>
      </c>
    </row>
    <row r="1155" spans="1:10" ht="16.95" customHeight="1">
      <c r="A1155" s="75">
        <v>10</v>
      </c>
      <c r="B1155" s="80" t="s">
        <v>100</v>
      </c>
      <c r="C1155" s="77" t="s">
        <v>66</v>
      </c>
      <c r="D1155" s="78">
        <v>15</v>
      </c>
      <c r="E1155" s="79"/>
      <c r="F1155" s="79">
        <f t="shared" si="71"/>
        <v>0</v>
      </c>
      <c r="G1155" s="2"/>
      <c r="H1155" s="37">
        <v>617</v>
      </c>
      <c r="I1155" s="4">
        <f t="shared" si="73"/>
        <v>0</v>
      </c>
      <c r="J1155" s="25">
        <f t="shared" si="72"/>
        <v>37</v>
      </c>
    </row>
    <row r="1156" spans="1:10" ht="16.95" customHeight="1">
      <c r="A1156" s="75">
        <v>11</v>
      </c>
      <c r="B1156" s="80" t="s">
        <v>101</v>
      </c>
      <c r="C1156" s="77" t="s">
        <v>50</v>
      </c>
      <c r="D1156" s="78">
        <v>75</v>
      </c>
      <c r="E1156" s="79"/>
      <c r="F1156" s="79">
        <f t="shared" si="71"/>
        <v>0</v>
      </c>
      <c r="G1156" s="2"/>
      <c r="H1156" s="37">
        <v>1146</v>
      </c>
      <c r="I1156" s="4">
        <f t="shared" si="73"/>
        <v>0</v>
      </c>
      <c r="J1156" s="25">
        <f t="shared" si="72"/>
        <v>37</v>
      </c>
    </row>
    <row r="1157" spans="1:10" ht="16.95" customHeight="1">
      <c r="A1157" s="75">
        <v>12</v>
      </c>
      <c r="B1157" s="80" t="s">
        <v>102</v>
      </c>
      <c r="C1157" s="77" t="s">
        <v>50</v>
      </c>
      <c r="D1157" s="78">
        <v>5</v>
      </c>
      <c r="E1157" s="79"/>
      <c r="F1157" s="79">
        <f t="shared" si="71"/>
        <v>0</v>
      </c>
      <c r="G1157" s="2"/>
      <c r="H1157" s="37">
        <v>1455</v>
      </c>
      <c r="I1157" s="4">
        <f t="shared" si="73"/>
        <v>0</v>
      </c>
      <c r="J1157" s="25">
        <f t="shared" si="72"/>
        <v>37</v>
      </c>
    </row>
    <row r="1158" spans="1:10" ht="16.95" customHeight="1">
      <c r="A1158" s="75">
        <v>13</v>
      </c>
      <c r="B1158" s="80" t="s">
        <v>103</v>
      </c>
      <c r="C1158" s="77" t="s">
        <v>50</v>
      </c>
      <c r="D1158" s="78">
        <v>217</v>
      </c>
      <c r="E1158" s="79"/>
      <c r="F1158" s="79">
        <f t="shared" si="71"/>
        <v>0</v>
      </c>
      <c r="G1158" s="2"/>
      <c r="H1158" s="37">
        <v>1410</v>
      </c>
      <c r="I1158" s="4">
        <f t="shared" si="73"/>
        <v>0</v>
      </c>
      <c r="J1158" s="25">
        <f t="shared" si="72"/>
        <v>37</v>
      </c>
    </row>
    <row r="1159" spans="1:10" ht="16.95" customHeight="1">
      <c r="A1159" s="75">
        <v>14</v>
      </c>
      <c r="B1159" s="80" t="s">
        <v>104</v>
      </c>
      <c r="C1159" s="77" t="s">
        <v>49</v>
      </c>
      <c r="D1159" s="78">
        <v>84</v>
      </c>
      <c r="E1159" s="79"/>
      <c r="F1159" s="79">
        <f t="shared" si="71"/>
        <v>0</v>
      </c>
      <c r="G1159" s="2"/>
      <c r="H1159" s="37">
        <v>529</v>
      </c>
      <c r="I1159" s="4">
        <f t="shared" si="73"/>
        <v>0</v>
      </c>
      <c r="J1159" s="25">
        <f t="shared" si="72"/>
        <v>37</v>
      </c>
    </row>
    <row r="1160" spans="1:10" ht="16.95" customHeight="1">
      <c r="A1160" s="75">
        <v>15</v>
      </c>
      <c r="B1160" s="80" t="s">
        <v>105</v>
      </c>
      <c r="C1160" s="77" t="s">
        <v>50</v>
      </c>
      <c r="D1160" s="78">
        <v>1</v>
      </c>
      <c r="E1160" s="79"/>
      <c r="F1160" s="79">
        <f t="shared" si="71"/>
        <v>0</v>
      </c>
      <c r="G1160" s="2"/>
      <c r="H1160" s="37">
        <v>1146</v>
      </c>
      <c r="I1160" s="4">
        <f t="shared" si="73"/>
        <v>0</v>
      </c>
      <c r="J1160" s="25">
        <f t="shared" si="72"/>
        <v>37</v>
      </c>
    </row>
    <row r="1161" spans="1:10" ht="34.799999999999997" customHeight="1">
      <c r="A1161" s="75">
        <v>16</v>
      </c>
      <c r="B1161" s="80" t="s">
        <v>106</v>
      </c>
      <c r="C1161" s="77" t="s">
        <v>50</v>
      </c>
      <c r="D1161" s="78">
        <v>314</v>
      </c>
      <c r="E1161" s="79"/>
      <c r="F1161" s="79">
        <f t="shared" si="71"/>
        <v>0</v>
      </c>
      <c r="G1161" s="2"/>
      <c r="H1161" s="37">
        <v>185</v>
      </c>
      <c r="I1161" s="4">
        <f t="shared" si="73"/>
        <v>0</v>
      </c>
      <c r="J1161" s="25">
        <f t="shared" si="72"/>
        <v>37</v>
      </c>
    </row>
    <row r="1162" spans="1:10" ht="16.95" customHeight="1">
      <c r="A1162" s="75">
        <v>17</v>
      </c>
      <c r="B1162" s="80" t="s">
        <v>107</v>
      </c>
      <c r="C1162" s="77" t="s">
        <v>48</v>
      </c>
      <c r="D1162" s="78">
        <v>1</v>
      </c>
      <c r="E1162" s="79"/>
      <c r="F1162" s="79">
        <f t="shared" si="71"/>
        <v>0</v>
      </c>
      <c r="G1162" s="2"/>
      <c r="H1162" s="37">
        <v>89918</v>
      </c>
      <c r="I1162" s="4">
        <f t="shared" si="73"/>
        <v>0</v>
      </c>
      <c r="J1162" s="25">
        <f t="shared" si="72"/>
        <v>37</v>
      </c>
    </row>
    <row r="1163" spans="1:10" ht="16.95" customHeight="1">
      <c r="A1163" s="75">
        <v>18</v>
      </c>
      <c r="B1163" s="80" t="s">
        <v>108</v>
      </c>
      <c r="C1163" s="77" t="s">
        <v>120</v>
      </c>
      <c r="D1163" s="78">
        <v>15</v>
      </c>
      <c r="E1163" s="79"/>
      <c r="F1163" s="79">
        <f t="shared" si="71"/>
        <v>0</v>
      </c>
      <c r="G1163" s="2"/>
      <c r="H1163" s="37">
        <v>661</v>
      </c>
      <c r="I1163" s="4">
        <f t="shared" si="73"/>
        <v>0</v>
      </c>
      <c r="J1163" s="25">
        <f t="shared" si="72"/>
        <v>37</v>
      </c>
    </row>
    <row r="1164" spans="1:10" ht="16.95" customHeight="1">
      <c r="A1164" s="75">
        <v>19</v>
      </c>
      <c r="B1164" s="80" t="s">
        <v>109</v>
      </c>
      <c r="C1164" s="77" t="s">
        <v>50</v>
      </c>
      <c r="D1164" s="78">
        <v>82</v>
      </c>
      <c r="E1164" s="79"/>
      <c r="F1164" s="79">
        <f t="shared" si="71"/>
        <v>0</v>
      </c>
      <c r="G1164" s="2"/>
      <c r="H1164" s="37">
        <v>2909</v>
      </c>
      <c r="I1164" s="4">
        <f t="shared" si="73"/>
        <v>0</v>
      </c>
      <c r="J1164" s="25">
        <f t="shared" si="72"/>
        <v>37</v>
      </c>
    </row>
    <row r="1165" spans="1:10" ht="16.95" customHeight="1">
      <c r="A1165" s="75">
        <v>20</v>
      </c>
      <c r="B1165" s="80" t="s">
        <v>110</v>
      </c>
      <c r="C1165" s="77" t="s">
        <v>121</v>
      </c>
      <c r="D1165" s="78">
        <v>12</v>
      </c>
      <c r="E1165" s="79"/>
      <c r="F1165" s="79">
        <f t="shared" si="71"/>
        <v>0</v>
      </c>
      <c r="G1165" s="2"/>
      <c r="H1165" s="37">
        <v>882</v>
      </c>
      <c r="I1165" s="4">
        <f t="shared" si="73"/>
        <v>0</v>
      </c>
      <c r="J1165" s="25">
        <f t="shared" si="72"/>
        <v>37</v>
      </c>
    </row>
    <row r="1166" spans="1:10" ht="16.95" customHeight="1">
      <c r="A1166" s="77">
        <v>21</v>
      </c>
      <c r="B1166" s="80" t="s">
        <v>111</v>
      </c>
      <c r="C1166" s="77" t="s">
        <v>122</v>
      </c>
      <c r="D1166" s="78">
        <v>3</v>
      </c>
      <c r="E1166" s="79"/>
      <c r="F1166" s="79">
        <f t="shared" si="71"/>
        <v>0</v>
      </c>
      <c r="G1166" s="2"/>
      <c r="H1166" s="38">
        <v>1869</v>
      </c>
      <c r="I1166" s="4">
        <f t="shared" si="73"/>
        <v>0</v>
      </c>
      <c r="J1166" s="25">
        <f t="shared" si="72"/>
        <v>37</v>
      </c>
    </row>
    <row r="1167" spans="1:10" ht="34.950000000000003" customHeight="1">
      <c r="A1167" s="75">
        <v>22</v>
      </c>
      <c r="B1167" s="80" t="s">
        <v>112</v>
      </c>
      <c r="C1167" s="77" t="s">
        <v>48</v>
      </c>
      <c r="D1167" s="78">
        <v>1</v>
      </c>
      <c r="E1167" s="79"/>
      <c r="F1167" s="79">
        <f t="shared" si="71"/>
        <v>0</v>
      </c>
      <c r="G1167" s="2"/>
      <c r="H1167" s="37">
        <v>82206</v>
      </c>
      <c r="I1167" s="4">
        <f t="shared" si="73"/>
        <v>0</v>
      </c>
      <c r="J1167" s="25">
        <f t="shared" si="72"/>
        <v>37</v>
      </c>
    </row>
    <row r="1168" spans="1:10" ht="16.95" customHeight="1">
      <c r="A1168" s="75">
        <v>23</v>
      </c>
      <c r="B1168" s="80" t="s">
        <v>113</v>
      </c>
      <c r="C1168" s="77" t="s">
        <v>48</v>
      </c>
      <c r="D1168" s="78">
        <v>1</v>
      </c>
      <c r="E1168" s="79"/>
      <c r="F1168" s="79">
        <f t="shared" si="71"/>
        <v>0</v>
      </c>
      <c r="G1168" s="2"/>
      <c r="H1168" s="37">
        <v>142723</v>
      </c>
      <c r="I1168" s="4">
        <f t="shared" si="73"/>
        <v>0</v>
      </c>
      <c r="J1168" s="25">
        <f t="shared" si="72"/>
        <v>37</v>
      </c>
    </row>
    <row r="1169" spans="1:10" ht="16.95" customHeight="1">
      <c r="A1169" s="75">
        <v>24</v>
      </c>
      <c r="B1169" s="80" t="s">
        <v>114</v>
      </c>
      <c r="C1169" s="77" t="s">
        <v>48</v>
      </c>
      <c r="D1169" s="78">
        <v>1</v>
      </c>
      <c r="E1169" s="79"/>
      <c r="F1169" s="79">
        <f t="shared" si="71"/>
        <v>0</v>
      </c>
      <c r="G1169" s="2"/>
      <c r="H1169" s="37">
        <v>37290</v>
      </c>
      <c r="I1169" s="4">
        <f t="shared" si="73"/>
        <v>0</v>
      </c>
      <c r="J1169" s="25">
        <f t="shared" si="72"/>
        <v>37</v>
      </c>
    </row>
    <row r="1170" spans="1:10" ht="16.95" customHeight="1">
      <c r="A1170" s="75">
        <v>25</v>
      </c>
      <c r="B1170" s="80" t="s">
        <v>115</v>
      </c>
      <c r="C1170" s="77" t="s">
        <v>48</v>
      </c>
      <c r="D1170" s="78">
        <v>1</v>
      </c>
      <c r="E1170" s="79"/>
      <c r="F1170" s="79">
        <f t="shared" si="71"/>
        <v>0</v>
      </c>
      <c r="G1170" s="2"/>
      <c r="H1170" s="37">
        <v>99394</v>
      </c>
      <c r="I1170" s="4">
        <f t="shared" si="73"/>
        <v>0</v>
      </c>
      <c r="J1170" s="25">
        <f t="shared" si="72"/>
        <v>37</v>
      </c>
    </row>
    <row r="1171" spans="1:10" ht="34.950000000000003" customHeight="1">
      <c r="A1171" s="75">
        <v>26</v>
      </c>
      <c r="B1171" s="80" t="s">
        <v>116</v>
      </c>
      <c r="C1171" s="77" t="s">
        <v>48</v>
      </c>
      <c r="D1171" s="78">
        <v>1</v>
      </c>
      <c r="E1171" s="79"/>
      <c r="F1171" s="79">
        <f t="shared" si="71"/>
        <v>0</v>
      </c>
      <c r="G1171" s="2"/>
      <c r="H1171" s="37">
        <v>21334</v>
      </c>
      <c r="I1171" s="4">
        <f t="shared" si="73"/>
        <v>0</v>
      </c>
      <c r="J1171" s="25">
        <f t="shared" si="72"/>
        <v>37</v>
      </c>
    </row>
    <row r="1172" spans="1:10" ht="16.95" customHeight="1">
      <c r="A1172" s="75">
        <v>27</v>
      </c>
      <c r="B1172" s="80" t="s">
        <v>117</v>
      </c>
      <c r="C1172" s="77" t="s">
        <v>48</v>
      </c>
      <c r="D1172" s="78">
        <v>1</v>
      </c>
      <c r="E1172" s="79"/>
      <c r="F1172" s="79">
        <f t="shared" si="71"/>
        <v>0</v>
      </c>
      <c r="G1172" s="2"/>
      <c r="H1172" s="37">
        <v>29620</v>
      </c>
      <c r="I1172" s="4">
        <f t="shared" si="73"/>
        <v>0</v>
      </c>
      <c r="J1172" s="25">
        <f t="shared" si="72"/>
        <v>37</v>
      </c>
    </row>
    <row r="1173" spans="1:10" ht="16.95" customHeight="1">
      <c r="A1173" s="75">
        <v>28</v>
      </c>
      <c r="B1173" s="80" t="s">
        <v>118</v>
      </c>
      <c r="C1173" s="77" t="s">
        <v>48</v>
      </c>
      <c r="D1173" s="78">
        <v>1</v>
      </c>
      <c r="E1173" s="79"/>
      <c r="F1173" s="79">
        <f t="shared" si="71"/>
        <v>0</v>
      </c>
      <c r="G1173" s="2"/>
      <c r="H1173" s="37">
        <v>18506</v>
      </c>
      <c r="I1173" s="4">
        <f t="shared" si="73"/>
        <v>0</v>
      </c>
      <c r="J1173" s="25">
        <f t="shared" si="72"/>
        <v>37</v>
      </c>
    </row>
    <row r="1174" spans="1:10" ht="16.95" customHeight="1">
      <c r="A1174" s="75">
        <v>29</v>
      </c>
      <c r="B1174" s="80" t="s">
        <v>119</v>
      </c>
      <c r="C1174" s="77" t="s">
        <v>48</v>
      </c>
      <c r="D1174" s="78">
        <v>1</v>
      </c>
      <c r="E1174" s="79"/>
      <c r="F1174" s="79">
        <f t="shared" si="71"/>
        <v>0</v>
      </c>
      <c r="G1174" s="2"/>
      <c r="H1174" s="37">
        <v>34381</v>
      </c>
      <c r="I1174" s="4">
        <f t="shared" si="73"/>
        <v>0</v>
      </c>
      <c r="J1174" s="25">
        <f t="shared" si="72"/>
        <v>37</v>
      </c>
    </row>
    <row r="1175" spans="1:10" ht="16.95" customHeight="1">
      <c r="A1175" s="75" t="s">
        <v>79</v>
      </c>
      <c r="B1175" s="80" t="s">
        <v>80</v>
      </c>
      <c r="C1175" s="77" t="s">
        <v>48</v>
      </c>
      <c r="D1175" s="78">
        <v>1</v>
      </c>
      <c r="E1175" s="79">
        <f t="shared" ref="E1175:E1178" si="74">1/120</f>
        <v>8.3333333333333332E-3</v>
      </c>
      <c r="F1175" s="79">
        <f t="shared" si="71"/>
        <v>0.15</v>
      </c>
      <c r="G1175" s="2"/>
      <c r="H1175" s="37">
        <v>21395</v>
      </c>
      <c r="I1175" s="4">
        <f t="shared" si="73"/>
        <v>178.29166666666666</v>
      </c>
      <c r="J1175" s="25">
        <f t="shared" si="72"/>
        <v>37</v>
      </c>
    </row>
    <row r="1176" spans="1:10" ht="16.95" customHeight="1">
      <c r="A1176" s="75" t="s">
        <v>81</v>
      </c>
      <c r="B1176" s="80" t="s">
        <v>82</v>
      </c>
      <c r="C1176" s="77" t="s">
        <v>48</v>
      </c>
      <c r="D1176" s="78">
        <v>1</v>
      </c>
      <c r="E1176" s="79">
        <f t="shared" si="74"/>
        <v>8.3333333333333332E-3</v>
      </c>
      <c r="F1176" s="79">
        <f t="shared" si="71"/>
        <v>0.15</v>
      </c>
      <c r="G1176" s="2"/>
      <c r="H1176" s="37">
        <v>21395</v>
      </c>
      <c r="I1176" s="4">
        <f t="shared" si="73"/>
        <v>178.29166666666666</v>
      </c>
      <c r="J1176" s="25">
        <f t="shared" si="72"/>
        <v>37</v>
      </c>
    </row>
    <row r="1177" spans="1:10" ht="16.95" customHeight="1">
      <c r="A1177" s="75" t="s">
        <v>83</v>
      </c>
      <c r="B1177" s="80" t="s">
        <v>84</v>
      </c>
      <c r="C1177" s="77" t="s">
        <v>48</v>
      </c>
      <c r="D1177" s="78">
        <v>1</v>
      </c>
      <c r="E1177" s="79">
        <f t="shared" si="74"/>
        <v>8.3333333333333332E-3</v>
      </c>
      <c r="F1177" s="79">
        <f t="shared" si="71"/>
        <v>0.15</v>
      </c>
      <c r="G1177" s="2"/>
      <c r="H1177" s="37">
        <v>149765</v>
      </c>
      <c r="I1177" s="4">
        <f t="shared" si="73"/>
        <v>1248.0416666666667</v>
      </c>
      <c r="J1177" s="25">
        <f t="shared" si="72"/>
        <v>37</v>
      </c>
    </row>
    <row r="1178" spans="1:10" ht="16.95" customHeight="1">
      <c r="A1178" s="75" t="s">
        <v>85</v>
      </c>
      <c r="B1178" s="80" t="s">
        <v>86</v>
      </c>
      <c r="C1178" s="77" t="s">
        <v>48</v>
      </c>
      <c r="D1178" s="78">
        <v>1</v>
      </c>
      <c r="E1178" s="79">
        <f t="shared" si="74"/>
        <v>8.3333333333333332E-3</v>
      </c>
      <c r="F1178" s="79">
        <f t="shared" si="71"/>
        <v>0.15</v>
      </c>
      <c r="G1178" s="2"/>
      <c r="H1178" s="37">
        <v>6996</v>
      </c>
      <c r="I1178" s="4">
        <f t="shared" si="73"/>
        <v>58.3</v>
      </c>
      <c r="J1178" s="25">
        <f t="shared" si="72"/>
        <v>37</v>
      </c>
    </row>
    <row r="1179" spans="1:10" ht="16.95" customHeight="1">
      <c r="A1179" s="75" t="s">
        <v>87</v>
      </c>
      <c r="B1179" s="80" t="s">
        <v>88</v>
      </c>
      <c r="C1179" s="77" t="s">
        <v>48</v>
      </c>
      <c r="D1179" s="78">
        <v>1</v>
      </c>
      <c r="E1179" s="79">
        <f>1/120</f>
        <v>8.3333333333333332E-3</v>
      </c>
      <c r="F1179" s="79">
        <f t="shared" si="71"/>
        <v>0.15</v>
      </c>
      <c r="G1179" s="2"/>
      <c r="H1179" s="37">
        <v>116952</v>
      </c>
      <c r="I1179" s="4">
        <f t="shared" si="73"/>
        <v>974.6</v>
      </c>
      <c r="J1179" s="25">
        <f t="shared" si="72"/>
        <v>37</v>
      </c>
    </row>
    <row r="1180" spans="1:10" ht="16.95" customHeight="1">
      <c r="A1180" s="95" t="s">
        <v>23</v>
      </c>
      <c r="B1180" s="95"/>
      <c r="C1180" s="50"/>
      <c r="D1180" s="50"/>
      <c r="E1180" s="50"/>
      <c r="F1180" s="50"/>
      <c r="G1180" s="50"/>
      <c r="H1180" s="3" t="s">
        <v>24</v>
      </c>
      <c r="I1180" s="5">
        <f>SUM(I1145:I1179)</f>
        <v>2637.5250000000001</v>
      </c>
      <c r="J1180" s="25">
        <f t="shared" si="72"/>
        <v>37</v>
      </c>
    </row>
    <row r="1181" spans="1:10" ht="16.95" customHeight="1">
      <c r="A1181" s="96" t="s">
        <v>25</v>
      </c>
      <c r="B1181" s="96"/>
      <c r="C1181" s="50"/>
      <c r="D1181" s="50"/>
      <c r="E1181" s="50"/>
      <c r="F1181" s="50"/>
      <c r="G1181" s="50"/>
      <c r="J1181" s="25">
        <f t="shared" si="72"/>
        <v>37</v>
      </c>
    </row>
    <row r="1182" spans="1:10" ht="16.95" customHeight="1">
      <c r="A1182" s="96" t="s">
        <v>26</v>
      </c>
      <c r="B1182" s="96"/>
      <c r="C1182" s="50"/>
      <c r="D1182" s="50"/>
      <c r="E1182" s="50"/>
      <c r="F1182" s="50"/>
      <c r="G1182" s="50"/>
      <c r="J1182" s="25">
        <f t="shared" si="72"/>
        <v>37</v>
      </c>
    </row>
    <row r="1183" spans="1:10" ht="16.95" customHeight="1">
      <c r="A1183" s="95" t="s">
        <v>27</v>
      </c>
      <c r="B1183" s="95"/>
      <c r="C1183" s="95"/>
      <c r="D1183" s="95"/>
      <c r="E1183" s="95"/>
      <c r="F1183" s="95"/>
      <c r="G1183" s="95"/>
      <c r="J1183" s="25">
        <f t="shared" si="72"/>
        <v>37</v>
      </c>
    </row>
    <row r="1184" spans="1:10" ht="16.95" customHeight="1">
      <c r="A1184" s="94" t="s">
        <v>28</v>
      </c>
      <c r="B1184" s="94"/>
      <c r="C1184" s="51" t="s">
        <v>29</v>
      </c>
      <c r="D1184" s="51" t="s">
        <v>30</v>
      </c>
      <c r="E1184" s="51" t="s">
        <v>18</v>
      </c>
      <c r="F1184" s="51" t="s">
        <v>31</v>
      </c>
      <c r="G1184" s="51" t="s">
        <v>20</v>
      </c>
      <c r="J1184" s="25">
        <f t="shared" si="72"/>
        <v>37</v>
      </c>
    </row>
    <row r="1185" spans="1:10" ht="16.95" customHeight="1">
      <c r="A1185" s="96"/>
      <c r="B1185" s="96"/>
      <c r="C1185" s="50"/>
      <c r="D1185" s="50"/>
      <c r="E1185" s="50"/>
      <c r="F1185" s="50"/>
      <c r="G1185" s="51"/>
      <c r="J1185" s="25">
        <f t="shared" si="72"/>
        <v>37</v>
      </c>
    </row>
    <row r="1186" spans="1:10" ht="16.95" customHeight="1">
      <c r="A1186" s="97"/>
      <c r="B1186" s="97"/>
      <c r="C1186" s="50"/>
      <c r="D1186" s="50"/>
      <c r="E1186" s="50"/>
      <c r="F1186" s="51"/>
      <c r="G1186" s="51"/>
      <c r="J1186" s="25">
        <f t="shared" si="72"/>
        <v>37</v>
      </c>
    </row>
    <row r="1187" spans="1:10" ht="16.95" customHeight="1">
      <c r="A1187" s="95" t="s">
        <v>32</v>
      </c>
      <c r="B1187" s="95"/>
      <c r="C1187" s="95"/>
      <c r="D1187" s="95"/>
      <c r="E1187" s="95"/>
      <c r="F1187" s="95"/>
      <c r="G1187" s="95"/>
      <c r="J1187" s="25">
        <f t="shared" si="72"/>
        <v>38</v>
      </c>
    </row>
    <row r="1188" spans="1:10" ht="16.95" customHeight="1">
      <c r="A1188" s="51" t="s">
        <v>33</v>
      </c>
      <c r="B1188" s="51" t="s">
        <v>34</v>
      </c>
      <c r="C1188" s="94" t="s">
        <v>35</v>
      </c>
      <c r="D1188" s="94"/>
      <c r="E1188" s="51" t="s">
        <v>36</v>
      </c>
      <c r="F1188" s="51" t="s">
        <v>37</v>
      </c>
      <c r="G1188" s="51" t="s">
        <v>38</v>
      </c>
      <c r="J1188" s="25">
        <f t="shared" si="72"/>
        <v>38</v>
      </c>
    </row>
    <row r="1189" spans="1:10" ht="16.95" customHeight="1">
      <c r="A1189" s="51" t="s">
        <v>39</v>
      </c>
      <c r="B1189" s="6"/>
      <c r="C1189" s="94">
        <f>B1189+C1126</f>
        <v>12</v>
      </c>
      <c r="D1189" s="94"/>
      <c r="E1189" s="51"/>
      <c r="F1189" s="24"/>
      <c r="G1189" s="24"/>
      <c r="J1189" s="25">
        <f t="shared" si="72"/>
        <v>38</v>
      </c>
    </row>
    <row r="1190" spans="1:10" ht="16.95" customHeight="1">
      <c r="A1190" s="51" t="s">
        <v>40</v>
      </c>
      <c r="B1190" s="6"/>
      <c r="C1190" s="94">
        <f>B1190+C1127</f>
        <v>13</v>
      </c>
      <c r="D1190" s="94"/>
      <c r="E1190" s="51"/>
      <c r="F1190" s="24"/>
      <c r="G1190" s="24"/>
      <c r="J1190" s="25">
        <f t="shared" si="72"/>
        <v>38</v>
      </c>
    </row>
    <row r="1191" spans="1:10" ht="36.6" customHeight="1">
      <c r="A1191" s="95" t="s">
        <v>41</v>
      </c>
      <c r="B1191" s="95"/>
      <c r="C1191" s="95"/>
      <c r="D1191" s="95"/>
      <c r="E1191" s="95"/>
      <c r="F1191" s="95"/>
      <c r="G1191" s="95"/>
      <c r="J1191" s="25">
        <f t="shared" si="72"/>
        <v>38</v>
      </c>
    </row>
    <row r="1192" spans="1:10" ht="90" customHeight="1">
      <c r="A1192" s="92" t="s">
        <v>42</v>
      </c>
      <c r="B1192" s="92"/>
      <c r="C1192" s="92"/>
      <c r="D1192" s="92"/>
      <c r="E1192" s="92"/>
      <c r="F1192" s="92"/>
      <c r="G1192" s="92"/>
      <c r="J1192" s="25">
        <f t="shared" si="72"/>
        <v>38</v>
      </c>
    </row>
    <row r="1193" spans="1:10" ht="16.95" customHeight="1">
      <c r="A1193" s="95" t="s">
        <v>43</v>
      </c>
      <c r="B1193" s="95"/>
      <c r="C1193" s="95"/>
      <c r="D1193" s="95"/>
      <c r="E1193" s="95"/>
      <c r="F1193" s="95"/>
      <c r="G1193" s="95"/>
      <c r="J1193" s="25">
        <f t="shared" si="72"/>
        <v>38</v>
      </c>
    </row>
    <row r="1194" spans="1:10" ht="16.95" customHeight="1">
      <c r="A1194" s="95" t="s">
        <v>44</v>
      </c>
      <c r="B1194" s="95"/>
      <c r="C1194" s="95"/>
      <c r="D1194" s="95"/>
      <c r="E1194" s="95"/>
      <c r="F1194" s="95"/>
      <c r="G1194" s="95"/>
      <c r="J1194" s="25">
        <f t="shared" si="72"/>
        <v>38</v>
      </c>
    </row>
    <row r="1195" spans="1:10" ht="16.95" customHeight="1">
      <c r="A1195" s="91" t="s">
        <v>126</v>
      </c>
      <c r="B1195" s="91"/>
      <c r="C1195" s="91"/>
      <c r="D1195" s="91"/>
      <c r="E1195" s="91"/>
      <c r="F1195" s="91"/>
      <c r="G1195" s="91"/>
      <c r="J1195" s="25">
        <f t="shared" si="72"/>
        <v>38</v>
      </c>
    </row>
    <row r="1196" spans="1:10" ht="120.6" customHeight="1">
      <c r="A1196" s="92" t="s">
        <v>45</v>
      </c>
      <c r="B1196" s="92"/>
      <c r="C1196" s="92"/>
      <c r="D1196" s="92"/>
      <c r="E1196" s="92"/>
      <c r="F1196" s="92"/>
      <c r="G1196" s="92"/>
      <c r="J1196" s="25">
        <f t="shared" si="72"/>
        <v>38</v>
      </c>
    </row>
    <row r="1197" spans="1:10" ht="140.4" customHeight="1">
      <c r="A1197" s="93" t="s">
        <v>46</v>
      </c>
      <c r="B1197" s="93"/>
      <c r="C1197" s="93"/>
      <c r="D1197" s="93"/>
      <c r="E1197" s="93"/>
      <c r="F1197" s="93"/>
      <c r="G1197" s="93"/>
      <c r="J1197" s="25">
        <f t="shared" si="72"/>
        <v>38</v>
      </c>
    </row>
    <row r="1198" spans="1:10" ht="37.200000000000003" customHeight="1">
      <c r="A1198" s="103" t="s">
        <v>0</v>
      </c>
      <c r="B1198" s="103"/>
      <c r="C1198" s="103"/>
      <c r="D1198" s="103"/>
      <c r="E1198" s="103"/>
      <c r="F1198" s="103"/>
      <c r="G1198" s="103"/>
      <c r="J1198" s="25">
        <f t="shared" si="72"/>
        <v>39</v>
      </c>
    </row>
    <row r="1199" spans="1:10" ht="16.95" customHeight="1">
      <c r="A1199" s="1" t="s">
        <v>1</v>
      </c>
      <c r="B1199" s="104">
        <f>B1136+1</f>
        <v>20</v>
      </c>
      <c r="C1199" s="104"/>
      <c r="D1199" s="104"/>
      <c r="E1199" s="104"/>
      <c r="F1199" s="104"/>
      <c r="G1199" s="104"/>
      <c r="J1199" s="25">
        <f t="shared" si="72"/>
        <v>39</v>
      </c>
    </row>
    <row r="1200" spans="1:10" ht="16.95" customHeight="1">
      <c r="A1200" s="1" t="s">
        <v>2</v>
      </c>
      <c r="B1200" s="105" t="s">
        <v>63</v>
      </c>
      <c r="C1200" s="105"/>
      <c r="D1200" s="105"/>
      <c r="E1200" s="106">
        <f>E1137+1</f>
        <v>46223</v>
      </c>
      <c r="F1200" s="106"/>
      <c r="G1200" s="106"/>
      <c r="J1200" s="25">
        <f t="shared" si="72"/>
        <v>39</v>
      </c>
    </row>
    <row r="1201" spans="1:10" ht="16.95" customHeight="1">
      <c r="A1201" s="53" t="s">
        <v>3</v>
      </c>
      <c r="B1201" s="2" t="s">
        <v>67</v>
      </c>
      <c r="C1201" s="98" t="s">
        <v>4</v>
      </c>
      <c r="D1201" s="98"/>
      <c r="E1201" s="98" t="s">
        <v>47</v>
      </c>
      <c r="F1201" s="98"/>
      <c r="G1201" s="98"/>
      <c r="J1201" s="25">
        <f t="shared" si="72"/>
        <v>39</v>
      </c>
    </row>
    <row r="1202" spans="1:10" ht="16.95" customHeight="1">
      <c r="A1202" s="53" t="s">
        <v>5</v>
      </c>
      <c r="B1202" s="54">
        <v>120</v>
      </c>
      <c r="C1202" s="98" t="s">
        <v>6</v>
      </c>
      <c r="D1202" s="98"/>
      <c r="E1202" s="98">
        <v>1</v>
      </c>
      <c r="F1202" s="98"/>
      <c r="G1202" s="98"/>
      <c r="J1202" s="25">
        <f t="shared" si="72"/>
        <v>39</v>
      </c>
    </row>
    <row r="1203" spans="1:10" ht="16.95" customHeight="1">
      <c r="A1203" s="53" t="s">
        <v>7</v>
      </c>
      <c r="B1203" s="54">
        <f>B1199</f>
        <v>20</v>
      </c>
      <c r="C1203" s="100" t="s">
        <v>8</v>
      </c>
      <c r="D1203" s="100"/>
      <c r="E1203" s="101">
        <f>B1202-B1203+1</f>
        <v>101</v>
      </c>
      <c r="F1203" s="101"/>
      <c r="G1203" s="101"/>
      <c r="J1203" s="25">
        <f t="shared" si="72"/>
        <v>39</v>
      </c>
    </row>
    <row r="1204" spans="1:10" ht="16.95" customHeight="1">
      <c r="A1204" s="53" t="s">
        <v>9</v>
      </c>
      <c r="B1204" s="55">
        <v>46204</v>
      </c>
      <c r="C1204" s="98" t="s">
        <v>10</v>
      </c>
      <c r="D1204" s="98"/>
      <c r="E1204" s="102">
        <f>B1204+B1202-1</f>
        <v>46323</v>
      </c>
      <c r="F1204" s="102"/>
      <c r="G1204" s="102"/>
      <c r="J1204" s="25">
        <f t="shared" si="72"/>
        <v>39</v>
      </c>
    </row>
    <row r="1205" spans="1:10" ht="16.95" customHeight="1">
      <c r="A1205" s="53" t="s">
        <v>11</v>
      </c>
      <c r="B1205" s="56">
        <f>HLOOKUP(B1199,進度表!$Q$2:$Z$3,2,1)+B1142</f>
        <v>8.4272156623235658E-2</v>
      </c>
      <c r="C1205" s="98" t="s">
        <v>12</v>
      </c>
      <c r="D1205" s="98"/>
      <c r="E1205" s="99">
        <f>I1243/I1205+E1142</f>
        <v>9.0423214576547201E-2</v>
      </c>
      <c r="F1205" s="99"/>
      <c r="G1205" s="99"/>
      <c r="H1205" s="3" t="s">
        <v>62</v>
      </c>
      <c r="I1205" s="1">
        <v>2456000</v>
      </c>
      <c r="J1205" s="25">
        <f t="shared" si="72"/>
        <v>39</v>
      </c>
    </row>
    <row r="1206" spans="1:10" ht="16.95" customHeight="1">
      <c r="A1206" s="98" t="s">
        <v>13</v>
      </c>
      <c r="B1206" s="98"/>
      <c r="C1206" s="98"/>
      <c r="D1206" s="98"/>
      <c r="E1206" s="98"/>
      <c r="F1206" s="98"/>
      <c r="G1206" s="98"/>
      <c r="J1206" s="25">
        <f t="shared" si="72"/>
        <v>39</v>
      </c>
    </row>
    <row r="1207" spans="1:10" ht="16.95" customHeight="1">
      <c r="A1207" s="52" t="s">
        <v>14</v>
      </c>
      <c r="B1207" s="52" t="s">
        <v>15</v>
      </c>
      <c r="C1207" s="52" t="s">
        <v>16</v>
      </c>
      <c r="D1207" s="52" t="s">
        <v>17</v>
      </c>
      <c r="E1207" s="52" t="s">
        <v>18</v>
      </c>
      <c r="F1207" s="52" t="s">
        <v>19</v>
      </c>
      <c r="G1207" s="52" t="s">
        <v>20</v>
      </c>
      <c r="H1207" s="3" t="s">
        <v>21</v>
      </c>
      <c r="I1207" s="3" t="s">
        <v>22</v>
      </c>
      <c r="J1207" s="25">
        <f t="shared" si="72"/>
        <v>39</v>
      </c>
    </row>
    <row r="1208" spans="1:10" ht="16.95" customHeight="1">
      <c r="A1208" s="75" t="s">
        <v>65</v>
      </c>
      <c r="B1208" s="76" t="s">
        <v>69</v>
      </c>
      <c r="C1208" s="77"/>
      <c r="D1208" s="78"/>
      <c r="E1208" s="79"/>
      <c r="F1208" s="79"/>
      <c r="G1208" s="2"/>
      <c r="H1208" s="37"/>
      <c r="I1208" s="4"/>
      <c r="J1208" s="25">
        <f t="shared" si="72"/>
        <v>39</v>
      </c>
    </row>
    <row r="1209" spans="1:10" ht="34.950000000000003" customHeight="1">
      <c r="A1209" s="75">
        <v>1</v>
      </c>
      <c r="B1209" s="80" t="s">
        <v>91</v>
      </c>
      <c r="C1209" s="77" t="s">
        <v>48</v>
      </c>
      <c r="D1209" s="78">
        <v>1</v>
      </c>
      <c r="E1209" s="79"/>
      <c r="F1209" s="79">
        <f t="shared" ref="F1209:F1242" si="75">E1209+F1146</f>
        <v>1</v>
      </c>
      <c r="G1209" s="2"/>
      <c r="H1209" s="37">
        <v>10508</v>
      </c>
      <c r="I1209" s="4">
        <f>H1209*E1209</f>
        <v>0</v>
      </c>
      <c r="J1209" s="25">
        <f t="shared" si="72"/>
        <v>39</v>
      </c>
    </row>
    <row r="1210" spans="1:10" ht="34.799999999999997" customHeight="1">
      <c r="A1210" s="75">
        <v>2</v>
      </c>
      <c r="B1210" s="80" t="s">
        <v>92</v>
      </c>
      <c r="C1210" s="77" t="s">
        <v>48</v>
      </c>
      <c r="D1210" s="78">
        <v>1</v>
      </c>
      <c r="E1210" s="79"/>
      <c r="F1210" s="79">
        <f t="shared" si="75"/>
        <v>0</v>
      </c>
      <c r="G1210" s="2"/>
      <c r="H1210" s="37">
        <v>13223</v>
      </c>
      <c r="I1210" s="4">
        <f>H1210*E1210</f>
        <v>0</v>
      </c>
      <c r="J1210" s="25">
        <f t="shared" si="72"/>
        <v>39</v>
      </c>
    </row>
    <row r="1211" spans="1:10" ht="53.4" customHeight="1">
      <c r="A1211" s="75">
        <v>3</v>
      </c>
      <c r="B1211" s="80" t="s">
        <v>93</v>
      </c>
      <c r="C1211" s="77" t="s">
        <v>48</v>
      </c>
      <c r="D1211" s="78">
        <v>1</v>
      </c>
      <c r="E1211" s="79">
        <v>0.04</v>
      </c>
      <c r="F1211" s="79">
        <f t="shared" si="75"/>
        <v>0.51999999999999991</v>
      </c>
      <c r="G1211" s="2"/>
      <c r="H1211" s="37">
        <v>310497</v>
      </c>
      <c r="I1211" s="4">
        <f t="shared" ref="I1211:I1242" si="76">H1211*E1211</f>
        <v>12419.880000000001</v>
      </c>
      <c r="J1211" s="25">
        <f t="shared" ref="J1211:J1274" si="77">J1148+2</f>
        <v>39</v>
      </c>
    </row>
    <row r="1212" spans="1:10" ht="16.95" customHeight="1">
      <c r="A1212" s="75">
        <v>4</v>
      </c>
      <c r="B1212" s="80" t="s">
        <v>94</v>
      </c>
      <c r="C1212" s="77" t="s">
        <v>48</v>
      </c>
      <c r="D1212" s="78">
        <v>1</v>
      </c>
      <c r="E1212" s="79"/>
      <c r="F1212" s="79">
        <f t="shared" si="75"/>
        <v>0</v>
      </c>
      <c r="G1212" s="2"/>
      <c r="H1212" s="37">
        <v>8375</v>
      </c>
      <c r="I1212" s="4">
        <f t="shared" si="76"/>
        <v>0</v>
      </c>
      <c r="J1212" s="25">
        <f t="shared" si="77"/>
        <v>39</v>
      </c>
    </row>
    <row r="1213" spans="1:10" ht="16.95" customHeight="1">
      <c r="A1213" s="75">
        <v>5</v>
      </c>
      <c r="B1213" s="80" t="s">
        <v>95</v>
      </c>
      <c r="C1213" s="77" t="s">
        <v>48</v>
      </c>
      <c r="D1213" s="78">
        <v>1</v>
      </c>
      <c r="E1213" s="79"/>
      <c r="F1213" s="79">
        <f t="shared" si="75"/>
        <v>0</v>
      </c>
      <c r="G1213" s="2"/>
      <c r="H1213" s="37">
        <v>51618</v>
      </c>
      <c r="I1213" s="4">
        <f t="shared" si="76"/>
        <v>0</v>
      </c>
      <c r="J1213" s="25">
        <f t="shared" si="77"/>
        <v>39</v>
      </c>
    </row>
    <row r="1214" spans="1:10" ht="16.95" customHeight="1">
      <c r="A1214" s="75">
        <v>6</v>
      </c>
      <c r="B1214" s="80" t="s">
        <v>96</v>
      </c>
      <c r="C1214" s="77" t="s">
        <v>50</v>
      </c>
      <c r="D1214" s="78">
        <v>11.55</v>
      </c>
      <c r="E1214" s="79"/>
      <c r="F1214" s="79">
        <f t="shared" si="75"/>
        <v>0</v>
      </c>
      <c r="G1214" s="2"/>
      <c r="H1214" s="37">
        <v>1188</v>
      </c>
      <c r="I1214" s="4">
        <f t="shared" si="76"/>
        <v>0</v>
      </c>
      <c r="J1214" s="25">
        <f t="shared" si="77"/>
        <v>39</v>
      </c>
    </row>
    <row r="1215" spans="1:10" ht="34.950000000000003" customHeight="1">
      <c r="A1215" s="75">
        <v>7</v>
      </c>
      <c r="B1215" s="80" t="s">
        <v>97</v>
      </c>
      <c r="C1215" s="77" t="s">
        <v>48</v>
      </c>
      <c r="D1215" s="78">
        <v>1</v>
      </c>
      <c r="E1215" s="79"/>
      <c r="F1215" s="79">
        <f t="shared" si="75"/>
        <v>0</v>
      </c>
      <c r="G1215" s="2"/>
      <c r="H1215" s="37">
        <v>21157</v>
      </c>
      <c r="I1215" s="4">
        <f t="shared" si="76"/>
        <v>0</v>
      </c>
      <c r="J1215" s="25">
        <f t="shared" si="77"/>
        <v>39</v>
      </c>
    </row>
    <row r="1216" spans="1:10" ht="16.95" customHeight="1">
      <c r="A1216" s="75">
        <v>8</v>
      </c>
      <c r="B1216" s="80" t="s">
        <v>98</v>
      </c>
      <c r="C1216" s="77" t="s">
        <v>50</v>
      </c>
      <c r="D1216" s="78">
        <v>387</v>
      </c>
      <c r="E1216" s="79"/>
      <c r="F1216" s="79">
        <f t="shared" si="75"/>
        <v>0</v>
      </c>
      <c r="G1216" s="2"/>
      <c r="H1216" s="37">
        <v>705</v>
      </c>
      <c r="I1216" s="4">
        <f t="shared" si="76"/>
        <v>0</v>
      </c>
      <c r="J1216" s="25">
        <f t="shared" si="77"/>
        <v>39</v>
      </c>
    </row>
    <row r="1217" spans="1:10" ht="16.95" customHeight="1">
      <c r="A1217" s="75">
        <v>9</v>
      </c>
      <c r="B1217" s="80" t="s">
        <v>99</v>
      </c>
      <c r="C1217" s="77" t="s">
        <v>50</v>
      </c>
      <c r="D1217" s="78">
        <v>170</v>
      </c>
      <c r="E1217" s="79"/>
      <c r="F1217" s="79">
        <f t="shared" si="75"/>
        <v>0</v>
      </c>
      <c r="G1217" s="2"/>
      <c r="H1217" s="37">
        <v>617</v>
      </c>
      <c r="I1217" s="4">
        <f t="shared" si="76"/>
        <v>0</v>
      </c>
      <c r="J1217" s="25">
        <f t="shared" si="77"/>
        <v>39</v>
      </c>
    </row>
    <row r="1218" spans="1:10" ht="16.95" customHeight="1">
      <c r="A1218" s="75">
        <v>10</v>
      </c>
      <c r="B1218" s="80" t="s">
        <v>100</v>
      </c>
      <c r="C1218" s="77" t="s">
        <v>66</v>
      </c>
      <c r="D1218" s="78">
        <v>15</v>
      </c>
      <c r="E1218" s="79"/>
      <c r="F1218" s="79">
        <f t="shared" si="75"/>
        <v>0</v>
      </c>
      <c r="G1218" s="2"/>
      <c r="H1218" s="37">
        <v>617</v>
      </c>
      <c r="I1218" s="4">
        <f t="shared" si="76"/>
        <v>0</v>
      </c>
      <c r="J1218" s="25">
        <f t="shared" si="77"/>
        <v>39</v>
      </c>
    </row>
    <row r="1219" spans="1:10" ht="16.95" customHeight="1">
      <c r="A1219" s="75">
        <v>11</v>
      </c>
      <c r="B1219" s="80" t="s">
        <v>101</v>
      </c>
      <c r="C1219" s="77" t="s">
        <v>50</v>
      </c>
      <c r="D1219" s="78">
        <v>75</v>
      </c>
      <c r="E1219" s="79"/>
      <c r="F1219" s="79">
        <f t="shared" si="75"/>
        <v>0</v>
      </c>
      <c r="G1219" s="2"/>
      <c r="H1219" s="37">
        <v>1146</v>
      </c>
      <c r="I1219" s="4">
        <f t="shared" si="76"/>
        <v>0</v>
      </c>
      <c r="J1219" s="25">
        <f t="shared" si="77"/>
        <v>39</v>
      </c>
    </row>
    <row r="1220" spans="1:10" ht="16.95" customHeight="1">
      <c r="A1220" s="75">
        <v>12</v>
      </c>
      <c r="B1220" s="80" t="s">
        <v>102</v>
      </c>
      <c r="C1220" s="77" t="s">
        <v>50</v>
      </c>
      <c r="D1220" s="78">
        <v>5</v>
      </c>
      <c r="E1220" s="79"/>
      <c r="F1220" s="79">
        <f t="shared" si="75"/>
        <v>0</v>
      </c>
      <c r="G1220" s="2"/>
      <c r="H1220" s="37">
        <v>1455</v>
      </c>
      <c r="I1220" s="4">
        <f t="shared" si="76"/>
        <v>0</v>
      </c>
      <c r="J1220" s="25">
        <f t="shared" si="77"/>
        <v>39</v>
      </c>
    </row>
    <row r="1221" spans="1:10" ht="16.95" customHeight="1">
      <c r="A1221" s="75">
        <v>13</v>
      </c>
      <c r="B1221" s="80" t="s">
        <v>103</v>
      </c>
      <c r="C1221" s="77" t="s">
        <v>50</v>
      </c>
      <c r="D1221" s="78">
        <v>217</v>
      </c>
      <c r="E1221" s="79"/>
      <c r="F1221" s="79">
        <f t="shared" si="75"/>
        <v>0</v>
      </c>
      <c r="G1221" s="2"/>
      <c r="H1221" s="37">
        <v>1410</v>
      </c>
      <c r="I1221" s="4">
        <f t="shared" si="76"/>
        <v>0</v>
      </c>
      <c r="J1221" s="25">
        <f t="shared" si="77"/>
        <v>39</v>
      </c>
    </row>
    <row r="1222" spans="1:10" ht="16.95" customHeight="1">
      <c r="A1222" s="75">
        <v>14</v>
      </c>
      <c r="B1222" s="80" t="s">
        <v>104</v>
      </c>
      <c r="C1222" s="77" t="s">
        <v>49</v>
      </c>
      <c r="D1222" s="78">
        <v>84</v>
      </c>
      <c r="E1222" s="79"/>
      <c r="F1222" s="79">
        <f t="shared" si="75"/>
        <v>0</v>
      </c>
      <c r="G1222" s="2"/>
      <c r="H1222" s="37">
        <v>529</v>
      </c>
      <c r="I1222" s="4">
        <f t="shared" si="76"/>
        <v>0</v>
      </c>
      <c r="J1222" s="25">
        <f t="shared" si="77"/>
        <v>39</v>
      </c>
    </row>
    <row r="1223" spans="1:10" ht="16.95" customHeight="1">
      <c r="A1223" s="75">
        <v>15</v>
      </c>
      <c r="B1223" s="80" t="s">
        <v>105</v>
      </c>
      <c r="C1223" s="77" t="s">
        <v>50</v>
      </c>
      <c r="D1223" s="78">
        <v>1</v>
      </c>
      <c r="E1223" s="79"/>
      <c r="F1223" s="79">
        <f t="shared" si="75"/>
        <v>0</v>
      </c>
      <c r="G1223" s="2"/>
      <c r="H1223" s="37">
        <v>1146</v>
      </c>
      <c r="I1223" s="4">
        <f t="shared" si="76"/>
        <v>0</v>
      </c>
      <c r="J1223" s="25">
        <f t="shared" si="77"/>
        <v>39</v>
      </c>
    </row>
    <row r="1224" spans="1:10" ht="34.799999999999997" customHeight="1">
      <c r="A1224" s="75">
        <v>16</v>
      </c>
      <c r="B1224" s="80" t="s">
        <v>106</v>
      </c>
      <c r="C1224" s="77" t="s">
        <v>50</v>
      </c>
      <c r="D1224" s="78">
        <v>314</v>
      </c>
      <c r="E1224" s="79"/>
      <c r="F1224" s="79">
        <f t="shared" si="75"/>
        <v>0</v>
      </c>
      <c r="G1224" s="2"/>
      <c r="H1224" s="37">
        <v>185</v>
      </c>
      <c r="I1224" s="4">
        <f t="shared" si="76"/>
        <v>0</v>
      </c>
      <c r="J1224" s="25">
        <f t="shared" si="77"/>
        <v>39</v>
      </c>
    </row>
    <row r="1225" spans="1:10" ht="16.95" customHeight="1">
      <c r="A1225" s="75">
        <v>17</v>
      </c>
      <c r="B1225" s="80" t="s">
        <v>107</v>
      </c>
      <c r="C1225" s="77" t="s">
        <v>48</v>
      </c>
      <c r="D1225" s="78">
        <v>1</v>
      </c>
      <c r="E1225" s="79"/>
      <c r="F1225" s="79">
        <f t="shared" si="75"/>
        <v>0</v>
      </c>
      <c r="G1225" s="2"/>
      <c r="H1225" s="37">
        <v>89918</v>
      </c>
      <c r="I1225" s="4">
        <f t="shared" si="76"/>
        <v>0</v>
      </c>
      <c r="J1225" s="25">
        <f t="shared" si="77"/>
        <v>39</v>
      </c>
    </row>
    <row r="1226" spans="1:10" ht="16.95" customHeight="1">
      <c r="A1226" s="75">
        <v>18</v>
      </c>
      <c r="B1226" s="80" t="s">
        <v>108</v>
      </c>
      <c r="C1226" s="77" t="s">
        <v>120</v>
      </c>
      <c r="D1226" s="78">
        <v>15</v>
      </c>
      <c r="E1226" s="79"/>
      <c r="F1226" s="79">
        <f t="shared" si="75"/>
        <v>0</v>
      </c>
      <c r="G1226" s="2"/>
      <c r="H1226" s="37">
        <v>661</v>
      </c>
      <c r="I1226" s="4">
        <f t="shared" si="76"/>
        <v>0</v>
      </c>
      <c r="J1226" s="25">
        <f t="shared" si="77"/>
        <v>39</v>
      </c>
    </row>
    <row r="1227" spans="1:10" ht="16.95" customHeight="1">
      <c r="A1227" s="75">
        <v>19</v>
      </c>
      <c r="B1227" s="80" t="s">
        <v>109</v>
      </c>
      <c r="C1227" s="77" t="s">
        <v>50</v>
      </c>
      <c r="D1227" s="78">
        <v>82</v>
      </c>
      <c r="E1227" s="79"/>
      <c r="F1227" s="79">
        <f t="shared" si="75"/>
        <v>0</v>
      </c>
      <c r="G1227" s="2"/>
      <c r="H1227" s="37">
        <v>2909</v>
      </c>
      <c r="I1227" s="4">
        <f t="shared" si="76"/>
        <v>0</v>
      </c>
      <c r="J1227" s="25">
        <f t="shared" si="77"/>
        <v>39</v>
      </c>
    </row>
    <row r="1228" spans="1:10" ht="16.95" customHeight="1">
      <c r="A1228" s="75">
        <v>20</v>
      </c>
      <c r="B1228" s="80" t="s">
        <v>110</v>
      </c>
      <c r="C1228" s="77" t="s">
        <v>121</v>
      </c>
      <c r="D1228" s="78">
        <v>12</v>
      </c>
      <c r="E1228" s="79"/>
      <c r="F1228" s="79">
        <f t="shared" si="75"/>
        <v>0</v>
      </c>
      <c r="G1228" s="2"/>
      <c r="H1228" s="37">
        <v>882</v>
      </c>
      <c r="I1228" s="4">
        <f t="shared" si="76"/>
        <v>0</v>
      </c>
      <c r="J1228" s="25">
        <f t="shared" si="77"/>
        <v>39</v>
      </c>
    </row>
    <row r="1229" spans="1:10" ht="16.95" customHeight="1">
      <c r="A1229" s="77">
        <v>21</v>
      </c>
      <c r="B1229" s="80" t="s">
        <v>111</v>
      </c>
      <c r="C1229" s="77" t="s">
        <v>122</v>
      </c>
      <c r="D1229" s="78">
        <v>3</v>
      </c>
      <c r="E1229" s="79"/>
      <c r="F1229" s="79">
        <f t="shared" si="75"/>
        <v>0</v>
      </c>
      <c r="G1229" s="2"/>
      <c r="H1229" s="38">
        <v>1869</v>
      </c>
      <c r="I1229" s="4">
        <f t="shared" si="76"/>
        <v>0</v>
      </c>
      <c r="J1229" s="25">
        <f t="shared" si="77"/>
        <v>39</v>
      </c>
    </row>
    <row r="1230" spans="1:10" ht="34.950000000000003" customHeight="1">
      <c r="A1230" s="75">
        <v>22</v>
      </c>
      <c r="B1230" s="80" t="s">
        <v>112</v>
      </c>
      <c r="C1230" s="77" t="s">
        <v>48</v>
      </c>
      <c r="D1230" s="78">
        <v>1</v>
      </c>
      <c r="E1230" s="79"/>
      <c r="F1230" s="79">
        <f t="shared" si="75"/>
        <v>0</v>
      </c>
      <c r="G1230" s="2"/>
      <c r="H1230" s="37">
        <v>82206</v>
      </c>
      <c r="I1230" s="4">
        <f t="shared" si="76"/>
        <v>0</v>
      </c>
      <c r="J1230" s="25">
        <f t="shared" si="77"/>
        <v>39</v>
      </c>
    </row>
    <row r="1231" spans="1:10" ht="16.95" customHeight="1">
      <c r="A1231" s="75">
        <v>23</v>
      </c>
      <c r="B1231" s="80" t="s">
        <v>113</v>
      </c>
      <c r="C1231" s="77" t="s">
        <v>48</v>
      </c>
      <c r="D1231" s="78">
        <v>1</v>
      </c>
      <c r="E1231" s="79"/>
      <c r="F1231" s="79">
        <f t="shared" si="75"/>
        <v>0</v>
      </c>
      <c r="G1231" s="2"/>
      <c r="H1231" s="37">
        <v>142723</v>
      </c>
      <c r="I1231" s="4">
        <f t="shared" si="76"/>
        <v>0</v>
      </c>
      <c r="J1231" s="25">
        <f t="shared" si="77"/>
        <v>39</v>
      </c>
    </row>
    <row r="1232" spans="1:10" ht="16.95" customHeight="1">
      <c r="A1232" s="75">
        <v>24</v>
      </c>
      <c r="B1232" s="80" t="s">
        <v>114</v>
      </c>
      <c r="C1232" s="77" t="s">
        <v>48</v>
      </c>
      <c r="D1232" s="78">
        <v>1</v>
      </c>
      <c r="E1232" s="79"/>
      <c r="F1232" s="79">
        <f t="shared" si="75"/>
        <v>0</v>
      </c>
      <c r="G1232" s="2"/>
      <c r="H1232" s="37">
        <v>37290</v>
      </c>
      <c r="I1232" s="4">
        <f t="shared" si="76"/>
        <v>0</v>
      </c>
      <c r="J1232" s="25">
        <f t="shared" si="77"/>
        <v>39</v>
      </c>
    </row>
    <row r="1233" spans="1:10" ht="16.95" customHeight="1">
      <c r="A1233" s="75">
        <v>25</v>
      </c>
      <c r="B1233" s="80" t="s">
        <v>115</v>
      </c>
      <c r="C1233" s="77" t="s">
        <v>48</v>
      </c>
      <c r="D1233" s="78">
        <v>1</v>
      </c>
      <c r="E1233" s="79"/>
      <c r="F1233" s="79">
        <f t="shared" si="75"/>
        <v>0</v>
      </c>
      <c r="G1233" s="2"/>
      <c r="H1233" s="37">
        <v>99394</v>
      </c>
      <c r="I1233" s="4">
        <f t="shared" si="76"/>
        <v>0</v>
      </c>
      <c r="J1233" s="25">
        <f t="shared" si="77"/>
        <v>39</v>
      </c>
    </row>
    <row r="1234" spans="1:10" ht="34.950000000000003" customHeight="1">
      <c r="A1234" s="75">
        <v>26</v>
      </c>
      <c r="B1234" s="80" t="s">
        <v>116</v>
      </c>
      <c r="C1234" s="77" t="s">
        <v>48</v>
      </c>
      <c r="D1234" s="78">
        <v>1</v>
      </c>
      <c r="E1234" s="79"/>
      <c r="F1234" s="79">
        <f t="shared" si="75"/>
        <v>0</v>
      </c>
      <c r="G1234" s="2"/>
      <c r="H1234" s="37">
        <v>21334</v>
      </c>
      <c r="I1234" s="4">
        <f t="shared" si="76"/>
        <v>0</v>
      </c>
      <c r="J1234" s="25">
        <f t="shared" si="77"/>
        <v>39</v>
      </c>
    </row>
    <row r="1235" spans="1:10" ht="16.95" customHeight="1">
      <c r="A1235" s="75">
        <v>27</v>
      </c>
      <c r="B1235" s="80" t="s">
        <v>117</v>
      </c>
      <c r="C1235" s="77" t="s">
        <v>48</v>
      </c>
      <c r="D1235" s="78">
        <v>1</v>
      </c>
      <c r="E1235" s="79"/>
      <c r="F1235" s="79">
        <f t="shared" si="75"/>
        <v>0</v>
      </c>
      <c r="G1235" s="2"/>
      <c r="H1235" s="37">
        <v>29620</v>
      </c>
      <c r="I1235" s="4">
        <f t="shared" si="76"/>
        <v>0</v>
      </c>
      <c r="J1235" s="25">
        <f t="shared" si="77"/>
        <v>39</v>
      </c>
    </row>
    <row r="1236" spans="1:10" ht="16.95" customHeight="1">
      <c r="A1236" s="75">
        <v>28</v>
      </c>
      <c r="B1236" s="80" t="s">
        <v>118</v>
      </c>
      <c r="C1236" s="77" t="s">
        <v>48</v>
      </c>
      <c r="D1236" s="78">
        <v>1</v>
      </c>
      <c r="E1236" s="79"/>
      <c r="F1236" s="79">
        <f t="shared" si="75"/>
        <v>0</v>
      </c>
      <c r="G1236" s="2"/>
      <c r="H1236" s="37">
        <v>18506</v>
      </c>
      <c r="I1236" s="4">
        <f t="shared" si="76"/>
        <v>0</v>
      </c>
      <c r="J1236" s="25">
        <f t="shared" si="77"/>
        <v>39</v>
      </c>
    </row>
    <row r="1237" spans="1:10" ht="16.95" customHeight="1">
      <c r="A1237" s="75">
        <v>29</v>
      </c>
      <c r="B1237" s="80" t="s">
        <v>119</v>
      </c>
      <c r="C1237" s="77" t="s">
        <v>48</v>
      </c>
      <c r="D1237" s="78">
        <v>1</v>
      </c>
      <c r="E1237" s="79"/>
      <c r="F1237" s="79">
        <f t="shared" si="75"/>
        <v>0</v>
      </c>
      <c r="G1237" s="2"/>
      <c r="H1237" s="37">
        <v>34381</v>
      </c>
      <c r="I1237" s="4">
        <f t="shared" si="76"/>
        <v>0</v>
      </c>
      <c r="J1237" s="25">
        <f t="shared" si="77"/>
        <v>39</v>
      </c>
    </row>
    <row r="1238" spans="1:10" ht="16.95" customHeight="1">
      <c r="A1238" s="75" t="s">
        <v>79</v>
      </c>
      <c r="B1238" s="80" t="s">
        <v>80</v>
      </c>
      <c r="C1238" s="77" t="s">
        <v>48</v>
      </c>
      <c r="D1238" s="78">
        <v>1</v>
      </c>
      <c r="E1238" s="79">
        <f t="shared" ref="E1238:E1241" si="78">1/120</f>
        <v>8.3333333333333332E-3</v>
      </c>
      <c r="F1238" s="79">
        <f t="shared" si="75"/>
        <v>0.15833333333333333</v>
      </c>
      <c r="G1238" s="2"/>
      <c r="H1238" s="37">
        <v>21395</v>
      </c>
      <c r="I1238" s="4">
        <f t="shared" si="76"/>
        <v>178.29166666666666</v>
      </c>
      <c r="J1238" s="25">
        <f t="shared" si="77"/>
        <v>39</v>
      </c>
    </row>
    <row r="1239" spans="1:10" ht="16.95" customHeight="1">
      <c r="A1239" s="75" t="s">
        <v>81</v>
      </c>
      <c r="B1239" s="80" t="s">
        <v>82</v>
      </c>
      <c r="C1239" s="77" t="s">
        <v>48</v>
      </c>
      <c r="D1239" s="78">
        <v>1</v>
      </c>
      <c r="E1239" s="79">
        <f t="shared" si="78"/>
        <v>8.3333333333333332E-3</v>
      </c>
      <c r="F1239" s="79">
        <f t="shared" si="75"/>
        <v>0.15833333333333333</v>
      </c>
      <c r="G1239" s="2"/>
      <c r="H1239" s="37">
        <v>21395</v>
      </c>
      <c r="I1239" s="4">
        <f t="shared" si="76"/>
        <v>178.29166666666666</v>
      </c>
      <c r="J1239" s="25">
        <f t="shared" si="77"/>
        <v>39</v>
      </c>
    </row>
    <row r="1240" spans="1:10" ht="16.95" customHeight="1">
      <c r="A1240" s="75" t="s">
        <v>83</v>
      </c>
      <c r="B1240" s="80" t="s">
        <v>84</v>
      </c>
      <c r="C1240" s="77" t="s">
        <v>48</v>
      </c>
      <c r="D1240" s="78">
        <v>1</v>
      </c>
      <c r="E1240" s="79">
        <f t="shared" si="78"/>
        <v>8.3333333333333332E-3</v>
      </c>
      <c r="F1240" s="79">
        <f t="shared" si="75"/>
        <v>0.15833333333333333</v>
      </c>
      <c r="G1240" s="2"/>
      <c r="H1240" s="37">
        <v>149765</v>
      </c>
      <c r="I1240" s="4">
        <f t="shared" si="76"/>
        <v>1248.0416666666667</v>
      </c>
      <c r="J1240" s="25">
        <f t="shared" si="77"/>
        <v>39</v>
      </c>
    </row>
    <row r="1241" spans="1:10" ht="16.95" customHeight="1">
      <c r="A1241" s="75" t="s">
        <v>85</v>
      </c>
      <c r="B1241" s="80" t="s">
        <v>86</v>
      </c>
      <c r="C1241" s="77" t="s">
        <v>48</v>
      </c>
      <c r="D1241" s="78">
        <v>1</v>
      </c>
      <c r="E1241" s="79">
        <f t="shared" si="78"/>
        <v>8.3333333333333332E-3</v>
      </c>
      <c r="F1241" s="79">
        <f t="shared" si="75"/>
        <v>0.15833333333333333</v>
      </c>
      <c r="G1241" s="2"/>
      <c r="H1241" s="37">
        <v>6996</v>
      </c>
      <c r="I1241" s="4">
        <f t="shared" si="76"/>
        <v>58.3</v>
      </c>
      <c r="J1241" s="25">
        <f t="shared" si="77"/>
        <v>39</v>
      </c>
    </row>
    <row r="1242" spans="1:10" ht="16.95" customHeight="1">
      <c r="A1242" s="75" t="s">
        <v>87</v>
      </c>
      <c r="B1242" s="80" t="s">
        <v>88</v>
      </c>
      <c r="C1242" s="77" t="s">
        <v>48</v>
      </c>
      <c r="D1242" s="78">
        <v>1</v>
      </c>
      <c r="E1242" s="79">
        <f>1/120</f>
        <v>8.3333333333333332E-3</v>
      </c>
      <c r="F1242" s="79">
        <f t="shared" si="75"/>
        <v>0.15833333333333333</v>
      </c>
      <c r="G1242" s="2"/>
      <c r="H1242" s="37">
        <v>116952</v>
      </c>
      <c r="I1242" s="4">
        <f t="shared" si="76"/>
        <v>974.6</v>
      </c>
      <c r="J1242" s="25">
        <f t="shared" si="77"/>
        <v>39</v>
      </c>
    </row>
    <row r="1243" spans="1:10" ht="16.95" customHeight="1">
      <c r="A1243" s="95" t="s">
        <v>23</v>
      </c>
      <c r="B1243" s="95"/>
      <c r="C1243" s="50"/>
      <c r="D1243" s="50"/>
      <c r="E1243" s="50"/>
      <c r="F1243" s="50"/>
      <c r="G1243" s="50"/>
      <c r="H1243" s="3" t="s">
        <v>24</v>
      </c>
      <c r="I1243" s="5">
        <f>SUM(I1208:I1242)</f>
        <v>15057.404999999999</v>
      </c>
      <c r="J1243" s="25">
        <f t="shared" si="77"/>
        <v>39</v>
      </c>
    </row>
    <row r="1244" spans="1:10" ht="16.95" customHeight="1">
      <c r="A1244" s="96" t="s">
        <v>25</v>
      </c>
      <c r="B1244" s="96"/>
      <c r="C1244" s="50"/>
      <c r="D1244" s="50"/>
      <c r="E1244" s="50"/>
      <c r="F1244" s="50"/>
      <c r="G1244" s="50"/>
      <c r="J1244" s="25">
        <f t="shared" si="77"/>
        <v>39</v>
      </c>
    </row>
    <row r="1245" spans="1:10" ht="16.95" customHeight="1">
      <c r="A1245" s="96" t="s">
        <v>26</v>
      </c>
      <c r="B1245" s="96"/>
      <c r="C1245" s="50"/>
      <c r="D1245" s="50"/>
      <c r="E1245" s="50"/>
      <c r="F1245" s="50"/>
      <c r="G1245" s="50"/>
      <c r="J1245" s="25">
        <f t="shared" si="77"/>
        <v>39</v>
      </c>
    </row>
    <row r="1246" spans="1:10" ht="16.95" customHeight="1">
      <c r="A1246" s="95" t="s">
        <v>27</v>
      </c>
      <c r="B1246" s="95"/>
      <c r="C1246" s="95"/>
      <c r="D1246" s="95"/>
      <c r="E1246" s="95"/>
      <c r="F1246" s="95"/>
      <c r="G1246" s="95"/>
      <c r="J1246" s="25">
        <f t="shared" si="77"/>
        <v>39</v>
      </c>
    </row>
    <row r="1247" spans="1:10" ht="16.95" customHeight="1">
      <c r="A1247" s="94" t="s">
        <v>28</v>
      </c>
      <c r="B1247" s="94"/>
      <c r="C1247" s="51" t="s">
        <v>29</v>
      </c>
      <c r="D1247" s="51" t="s">
        <v>30</v>
      </c>
      <c r="E1247" s="51" t="s">
        <v>18</v>
      </c>
      <c r="F1247" s="51" t="s">
        <v>31</v>
      </c>
      <c r="G1247" s="51" t="s">
        <v>20</v>
      </c>
      <c r="J1247" s="25">
        <f t="shared" si="77"/>
        <v>39</v>
      </c>
    </row>
    <row r="1248" spans="1:10" ht="16.95" customHeight="1">
      <c r="A1248" s="96"/>
      <c r="B1248" s="96"/>
      <c r="C1248" s="50"/>
      <c r="D1248" s="50"/>
      <c r="E1248" s="50"/>
      <c r="F1248" s="50"/>
      <c r="G1248" s="51"/>
      <c r="J1248" s="25">
        <f t="shared" si="77"/>
        <v>39</v>
      </c>
    </row>
    <row r="1249" spans="1:10" ht="16.95" customHeight="1">
      <c r="A1249" s="97"/>
      <c r="B1249" s="97"/>
      <c r="C1249" s="50"/>
      <c r="D1249" s="50"/>
      <c r="E1249" s="50"/>
      <c r="F1249" s="51"/>
      <c r="G1249" s="51"/>
      <c r="J1249" s="25">
        <f t="shared" si="77"/>
        <v>39</v>
      </c>
    </row>
    <row r="1250" spans="1:10" ht="16.95" customHeight="1">
      <c r="A1250" s="95" t="s">
        <v>32</v>
      </c>
      <c r="B1250" s="95"/>
      <c r="C1250" s="95"/>
      <c r="D1250" s="95"/>
      <c r="E1250" s="95"/>
      <c r="F1250" s="95"/>
      <c r="G1250" s="95"/>
      <c r="J1250" s="25">
        <f t="shared" si="77"/>
        <v>40</v>
      </c>
    </row>
    <row r="1251" spans="1:10" ht="16.95" customHeight="1">
      <c r="A1251" s="51" t="s">
        <v>33</v>
      </c>
      <c r="B1251" s="51" t="s">
        <v>34</v>
      </c>
      <c r="C1251" s="94" t="s">
        <v>35</v>
      </c>
      <c r="D1251" s="94"/>
      <c r="E1251" s="51" t="s">
        <v>36</v>
      </c>
      <c r="F1251" s="51" t="s">
        <v>37</v>
      </c>
      <c r="G1251" s="51" t="s">
        <v>38</v>
      </c>
      <c r="J1251" s="25">
        <f t="shared" si="77"/>
        <v>40</v>
      </c>
    </row>
    <row r="1252" spans="1:10" ht="16.95" customHeight="1">
      <c r="A1252" s="51" t="s">
        <v>39</v>
      </c>
      <c r="B1252" s="6">
        <v>1</v>
      </c>
      <c r="C1252" s="94">
        <f>B1252+C1189</f>
        <v>13</v>
      </c>
      <c r="D1252" s="94"/>
      <c r="E1252" s="51"/>
      <c r="F1252" s="24"/>
      <c r="G1252" s="24"/>
      <c r="J1252" s="25">
        <f t="shared" si="77"/>
        <v>40</v>
      </c>
    </row>
    <row r="1253" spans="1:10" ht="16.95" customHeight="1">
      <c r="A1253" s="51" t="s">
        <v>40</v>
      </c>
      <c r="B1253" s="6">
        <v>1</v>
      </c>
      <c r="C1253" s="94">
        <f>B1253+C1190</f>
        <v>14</v>
      </c>
      <c r="D1253" s="94"/>
      <c r="E1253" s="51"/>
      <c r="F1253" s="24"/>
      <c r="G1253" s="24"/>
      <c r="J1253" s="25">
        <f t="shared" si="77"/>
        <v>40</v>
      </c>
    </row>
    <row r="1254" spans="1:10" ht="36.6" customHeight="1">
      <c r="A1254" s="95" t="s">
        <v>41</v>
      </c>
      <c r="B1254" s="95"/>
      <c r="C1254" s="95"/>
      <c r="D1254" s="95"/>
      <c r="E1254" s="95"/>
      <c r="F1254" s="95"/>
      <c r="G1254" s="95"/>
      <c r="J1254" s="25">
        <f t="shared" si="77"/>
        <v>40</v>
      </c>
    </row>
    <row r="1255" spans="1:10" ht="90" customHeight="1">
      <c r="A1255" s="92" t="s">
        <v>42</v>
      </c>
      <c r="B1255" s="92"/>
      <c r="C1255" s="92"/>
      <c r="D1255" s="92"/>
      <c r="E1255" s="92"/>
      <c r="F1255" s="92"/>
      <c r="G1255" s="92"/>
      <c r="J1255" s="25">
        <f t="shared" si="77"/>
        <v>40</v>
      </c>
    </row>
    <row r="1256" spans="1:10" ht="16.95" customHeight="1">
      <c r="A1256" s="95" t="s">
        <v>43</v>
      </c>
      <c r="B1256" s="95"/>
      <c r="C1256" s="95"/>
      <c r="D1256" s="95"/>
      <c r="E1256" s="95"/>
      <c r="F1256" s="95"/>
      <c r="G1256" s="95"/>
      <c r="J1256" s="25">
        <f t="shared" si="77"/>
        <v>40</v>
      </c>
    </row>
    <row r="1257" spans="1:10" ht="16.95" customHeight="1">
      <c r="A1257" s="95" t="s">
        <v>44</v>
      </c>
      <c r="B1257" s="95"/>
      <c r="C1257" s="95"/>
      <c r="D1257" s="95"/>
      <c r="E1257" s="95"/>
      <c r="F1257" s="95"/>
      <c r="G1257" s="95"/>
      <c r="J1257" s="25">
        <f t="shared" si="77"/>
        <v>40</v>
      </c>
    </row>
    <row r="1258" spans="1:10" ht="16.95" customHeight="1">
      <c r="A1258" s="91" t="s">
        <v>125</v>
      </c>
      <c r="B1258" s="91"/>
      <c r="C1258" s="91"/>
      <c r="D1258" s="91"/>
      <c r="E1258" s="91"/>
      <c r="F1258" s="91"/>
      <c r="G1258" s="91"/>
      <c r="J1258" s="25">
        <f t="shared" si="77"/>
        <v>40</v>
      </c>
    </row>
    <row r="1259" spans="1:10" ht="120.6" customHeight="1">
      <c r="A1259" s="92" t="s">
        <v>45</v>
      </c>
      <c r="B1259" s="92"/>
      <c r="C1259" s="92"/>
      <c r="D1259" s="92"/>
      <c r="E1259" s="92"/>
      <c r="F1259" s="92"/>
      <c r="G1259" s="92"/>
      <c r="J1259" s="25">
        <f t="shared" si="77"/>
        <v>40</v>
      </c>
    </row>
    <row r="1260" spans="1:10" ht="140.4" customHeight="1">
      <c r="A1260" s="93" t="s">
        <v>46</v>
      </c>
      <c r="B1260" s="93"/>
      <c r="C1260" s="93"/>
      <c r="D1260" s="93"/>
      <c r="E1260" s="93"/>
      <c r="F1260" s="93"/>
      <c r="G1260" s="93"/>
      <c r="J1260" s="25">
        <f t="shared" si="77"/>
        <v>40</v>
      </c>
    </row>
    <row r="1261" spans="1:10" ht="37.200000000000003" customHeight="1">
      <c r="A1261" s="103" t="s">
        <v>0</v>
      </c>
      <c r="B1261" s="103"/>
      <c r="C1261" s="103"/>
      <c r="D1261" s="103"/>
      <c r="E1261" s="103"/>
      <c r="F1261" s="103"/>
      <c r="G1261" s="103"/>
      <c r="J1261" s="25">
        <f t="shared" si="77"/>
        <v>41</v>
      </c>
    </row>
    <row r="1262" spans="1:10" ht="16.95" customHeight="1">
      <c r="A1262" s="1" t="s">
        <v>1</v>
      </c>
      <c r="B1262" s="104">
        <f>B1199+1</f>
        <v>21</v>
      </c>
      <c r="C1262" s="104"/>
      <c r="D1262" s="104"/>
      <c r="E1262" s="104"/>
      <c r="F1262" s="104"/>
      <c r="G1262" s="104"/>
      <c r="J1262" s="25">
        <f t="shared" si="77"/>
        <v>41</v>
      </c>
    </row>
    <row r="1263" spans="1:10" ht="16.95" customHeight="1">
      <c r="A1263" s="1" t="s">
        <v>2</v>
      </c>
      <c r="B1263" s="105" t="s">
        <v>63</v>
      </c>
      <c r="C1263" s="105"/>
      <c r="D1263" s="105"/>
      <c r="E1263" s="106">
        <f>E1200+1</f>
        <v>46224</v>
      </c>
      <c r="F1263" s="106"/>
      <c r="G1263" s="106"/>
      <c r="J1263" s="25">
        <f t="shared" si="77"/>
        <v>41</v>
      </c>
    </row>
    <row r="1264" spans="1:10" ht="16.95" customHeight="1">
      <c r="A1264" s="53" t="s">
        <v>3</v>
      </c>
      <c r="B1264" s="2" t="s">
        <v>67</v>
      </c>
      <c r="C1264" s="98" t="s">
        <v>4</v>
      </c>
      <c r="D1264" s="98"/>
      <c r="E1264" s="98" t="s">
        <v>47</v>
      </c>
      <c r="F1264" s="98"/>
      <c r="G1264" s="98"/>
      <c r="J1264" s="25">
        <f t="shared" si="77"/>
        <v>41</v>
      </c>
    </row>
    <row r="1265" spans="1:10" ht="16.95" customHeight="1">
      <c r="A1265" s="53" t="s">
        <v>5</v>
      </c>
      <c r="B1265" s="54">
        <v>120</v>
      </c>
      <c r="C1265" s="98" t="s">
        <v>6</v>
      </c>
      <c r="D1265" s="98"/>
      <c r="E1265" s="98">
        <v>1</v>
      </c>
      <c r="F1265" s="98"/>
      <c r="G1265" s="98"/>
      <c r="J1265" s="25">
        <f t="shared" si="77"/>
        <v>41</v>
      </c>
    </row>
    <row r="1266" spans="1:10" ht="16.95" customHeight="1">
      <c r="A1266" s="53" t="s">
        <v>7</v>
      </c>
      <c r="B1266" s="54">
        <f>B1262</f>
        <v>21</v>
      </c>
      <c r="C1266" s="100" t="s">
        <v>8</v>
      </c>
      <c r="D1266" s="100"/>
      <c r="E1266" s="101">
        <f>B1265-B1266+1</f>
        <v>100</v>
      </c>
      <c r="F1266" s="101"/>
      <c r="G1266" s="101"/>
      <c r="J1266" s="25">
        <f t="shared" si="77"/>
        <v>41</v>
      </c>
    </row>
    <row r="1267" spans="1:10" ht="16.95" customHeight="1">
      <c r="A1267" s="53" t="s">
        <v>9</v>
      </c>
      <c r="B1267" s="55">
        <v>46204</v>
      </c>
      <c r="C1267" s="98" t="s">
        <v>10</v>
      </c>
      <c r="D1267" s="98"/>
      <c r="E1267" s="102">
        <f>B1267+B1265-1</f>
        <v>46323</v>
      </c>
      <c r="F1267" s="102"/>
      <c r="G1267" s="102"/>
      <c r="J1267" s="25">
        <f t="shared" si="77"/>
        <v>41</v>
      </c>
    </row>
    <row r="1268" spans="1:10" ht="16.95" customHeight="1">
      <c r="A1268" s="53" t="s">
        <v>11</v>
      </c>
      <c r="B1268" s="56">
        <f>HLOOKUP(B1262,進度表!$Q$2:$Z$3,2,1)+B1205</f>
        <v>8.8836049470684089E-2</v>
      </c>
      <c r="C1268" s="98" t="s">
        <v>12</v>
      </c>
      <c r="D1268" s="98"/>
      <c r="E1268" s="99">
        <f>I1306/I1268+E1205</f>
        <v>9.6554079804560225E-2</v>
      </c>
      <c r="F1268" s="99"/>
      <c r="G1268" s="99"/>
      <c r="H1268" s="3" t="s">
        <v>62</v>
      </c>
      <c r="I1268" s="1">
        <v>2456000</v>
      </c>
      <c r="J1268" s="25">
        <f t="shared" si="77"/>
        <v>41</v>
      </c>
    </row>
    <row r="1269" spans="1:10" ht="16.95" customHeight="1">
      <c r="A1269" s="98" t="s">
        <v>13</v>
      </c>
      <c r="B1269" s="98"/>
      <c r="C1269" s="98"/>
      <c r="D1269" s="98"/>
      <c r="E1269" s="98"/>
      <c r="F1269" s="98"/>
      <c r="G1269" s="98"/>
      <c r="J1269" s="25">
        <f t="shared" si="77"/>
        <v>41</v>
      </c>
    </row>
    <row r="1270" spans="1:10" ht="16.95" customHeight="1">
      <c r="A1270" s="52" t="s">
        <v>14</v>
      </c>
      <c r="B1270" s="52" t="s">
        <v>15</v>
      </c>
      <c r="C1270" s="52" t="s">
        <v>16</v>
      </c>
      <c r="D1270" s="52" t="s">
        <v>17</v>
      </c>
      <c r="E1270" s="52" t="s">
        <v>18</v>
      </c>
      <c r="F1270" s="52" t="s">
        <v>19</v>
      </c>
      <c r="G1270" s="52" t="s">
        <v>20</v>
      </c>
      <c r="H1270" s="3" t="s">
        <v>21</v>
      </c>
      <c r="I1270" s="3" t="s">
        <v>22</v>
      </c>
      <c r="J1270" s="25">
        <f t="shared" si="77"/>
        <v>41</v>
      </c>
    </row>
    <row r="1271" spans="1:10" ht="16.95" customHeight="1">
      <c r="A1271" s="75" t="s">
        <v>65</v>
      </c>
      <c r="B1271" s="76" t="s">
        <v>69</v>
      </c>
      <c r="C1271" s="77"/>
      <c r="D1271" s="78"/>
      <c r="E1271" s="79"/>
      <c r="F1271" s="79"/>
      <c r="G1271" s="2"/>
      <c r="H1271" s="37"/>
      <c r="I1271" s="4"/>
      <c r="J1271" s="25">
        <f t="shared" si="77"/>
        <v>41</v>
      </c>
    </row>
    <row r="1272" spans="1:10" ht="34.950000000000003" customHeight="1">
      <c r="A1272" s="75">
        <v>1</v>
      </c>
      <c r="B1272" s="80" t="s">
        <v>91</v>
      </c>
      <c r="C1272" s="77" t="s">
        <v>48</v>
      </c>
      <c r="D1272" s="78">
        <v>1</v>
      </c>
      <c r="E1272" s="79"/>
      <c r="F1272" s="79">
        <f t="shared" ref="F1272:F1305" si="79">E1272+F1209</f>
        <v>1</v>
      </c>
      <c r="G1272" s="2"/>
      <c r="H1272" s="37">
        <v>10508</v>
      </c>
      <c r="I1272" s="4">
        <f>H1272*E1272</f>
        <v>0</v>
      </c>
      <c r="J1272" s="25">
        <f t="shared" si="77"/>
        <v>41</v>
      </c>
    </row>
    <row r="1273" spans="1:10" ht="34.799999999999997" customHeight="1">
      <c r="A1273" s="75">
        <v>2</v>
      </c>
      <c r="B1273" s="80" t="s">
        <v>92</v>
      </c>
      <c r="C1273" s="77" t="s">
        <v>48</v>
      </c>
      <c r="D1273" s="78">
        <v>1</v>
      </c>
      <c r="E1273" s="79"/>
      <c r="F1273" s="79">
        <f t="shared" si="79"/>
        <v>0</v>
      </c>
      <c r="G1273" s="2"/>
      <c r="H1273" s="37">
        <v>13223</v>
      </c>
      <c r="I1273" s="4">
        <f>H1273*E1273</f>
        <v>0</v>
      </c>
      <c r="J1273" s="25">
        <f t="shared" si="77"/>
        <v>41</v>
      </c>
    </row>
    <row r="1274" spans="1:10" ht="53.4" customHeight="1">
      <c r="A1274" s="75">
        <v>3</v>
      </c>
      <c r="B1274" s="80" t="s">
        <v>93</v>
      </c>
      <c r="C1274" s="77" t="s">
        <v>48</v>
      </c>
      <c r="D1274" s="78">
        <v>1</v>
      </c>
      <c r="E1274" s="79">
        <v>0.04</v>
      </c>
      <c r="F1274" s="79">
        <f t="shared" si="79"/>
        <v>0.55999999999999994</v>
      </c>
      <c r="G1274" s="2"/>
      <c r="H1274" s="37">
        <v>310497</v>
      </c>
      <c r="I1274" s="4">
        <f t="shared" ref="I1274:I1305" si="80">H1274*E1274</f>
        <v>12419.880000000001</v>
      </c>
      <c r="J1274" s="25">
        <f t="shared" si="77"/>
        <v>41</v>
      </c>
    </row>
    <row r="1275" spans="1:10" ht="16.95" customHeight="1">
      <c r="A1275" s="75">
        <v>4</v>
      </c>
      <c r="B1275" s="80" t="s">
        <v>94</v>
      </c>
      <c r="C1275" s="77" t="s">
        <v>48</v>
      </c>
      <c r="D1275" s="78">
        <v>1</v>
      </c>
      <c r="E1275" s="79"/>
      <c r="F1275" s="79">
        <f t="shared" si="79"/>
        <v>0</v>
      </c>
      <c r="G1275" s="2"/>
      <c r="H1275" s="37">
        <v>8375</v>
      </c>
      <c r="I1275" s="4">
        <f t="shared" si="80"/>
        <v>0</v>
      </c>
      <c r="J1275" s="25">
        <f t="shared" ref="J1275:J1338" si="81">J1212+2</f>
        <v>41</v>
      </c>
    </row>
    <row r="1276" spans="1:10" ht="16.95" customHeight="1">
      <c r="A1276" s="75">
        <v>5</v>
      </c>
      <c r="B1276" s="80" t="s">
        <v>95</v>
      </c>
      <c r="C1276" s="77" t="s">
        <v>48</v>
      </c>
      <c r="D1276" s="78">
        <v>1</v>
      </c>
      <c r="E1276" s="79"/>
      <c r="F1276" s="79">
        <f t="shared" si="79"/>
        <v>0</v>
      </c>
      <c r="G1276" s="2"/>
      <c r="H1276" s="37">
        <v>51618</v>
      </c>
      <c r="I1276" s="4">
        <f t="shared" si="80"/>
        <v>0</v>
      </c>
      <c r="J1276" s="25">
        <f t="shared" si="81"/>
        <v>41</v>
      </c>
    </row>
    <row r="1277" spans="1:10" ht="16.95" customHeight="1">
      <c r="A1277" s="75">
        <v>6</v>
      </c>
      <c r="B1277" s="80" t="s">
        <v>96</v>
      </c>
      <c r="C1277" s="77" t="s">
        <v>50</v>
      </c>
      <c r="D1277" s="78">
        <v>11.55</v>
      </c>
      <c r="E1277" s="79"/>
      <c r="F1277" s="79">
        <f t="shared" si="79"/>
        <v>0</v>
      </c>
      <c r="G1277" s="2"/>
      <c r="H1277" s="37">
        <v>1188</v>
      </c>
      <c r="I1277" s="4">
        <f t="shared" si="80"/>
        <v>0</v>
      </c>
      <c r="J1277" s="25">
        <f t="shared" si="81"/>
        <v>41</v>
      </c>
    </row>
    <row r="1278" spans="1:10" ht="34.950000000000003" customHeight="1">
      <c r="A1278" s="75">
        <v>7</v>
      </c>
      <c r="B1278" s="80" t="s">
        <v>97</v>
      </c>
      <c r="C1278" s="77" t="s">
        <v>48</v>
      </c>
      <c r="D1278" s="78">
        <v>1</v>
      </c>
      <c r="E1278" s="79"/>
      <c r="F1278" s="79">
        <f t="shared" si="79"/>
        <v>0</v>
      </c>
      <c r="G1278" s="2"/>
      <c r="H1278" s="37">
        <v>21157</v>
      </c>
      <c r="I1278" s="4">
        <f t="shared" si="80"/>
        <v>0</v>
      </c>
      <c r="J1278" s="25">
        <f t="shared" si="81"/>
        <v>41</v>
      </c>
    </row>
    <row r="1279" spans="1:10" ht="16.95" customHeight="1">
      <c r="A1279" s="75">
        <v>8</v>
      </c>
      <c r="B1279" s="80" t="s">
        <v>98</v>
      </c>
      <c r="C1279" s="77" t="s">
        <v>50</v>
      </c>
      <c r="D1279" s="78">
        <v>387</v>
      </c>
      <c r="E1279" s="79"/>
      <c r="F1279" s="79">
        <f t="shared" si="79"/>
        <v>0</v>
      </c>
      <c r="G1279" s="2"/>
      <c r="H1279" s="37">
        <v>705</v>
      </c>
      <c r="I1279" s="4">
        <f t="shared" si="80"/>
        <v>0</v>
      </c>
      <c r="J1279" s="25">
        <f t="shared" si="81"/>
        <v>41</v>
      </c>
    </row>
    <row r="1280" spans="1:10" ht="16.95" customHeight="1">
      <c r="A1280" s="75">
        <v>9</v>
      </c>
      <c r="B1280" s="80" t="s">
        <v>99</v>
      </c>
      <c r="C1280" s="77" t="s">
        <v>50</v>
      </c>
      <c r="D1280" s="78">
        <v>170</v>
      </c>
      <c r="E1280" s="79"/>
      <c r="F1280" s="79">
        <f t="shared" si="79"/>
        <v>0</v>
      </c>
      <c r="G1280" s="2"/>
      <c r="H1280" s="37">
        <v>617</v>
      </c>
      <c r="I1280" s="4">
        <f t="shared" si="80"/>
        <v>0</v>
      </c>
      <c r="J1280" s="25">
        <f t="shared" si="81"/>
        <v>41</v>
      </c>
    </row>
    <row r="1281" spans="1:10" ht="16.95" customHeight="1">
      <c r="A1281" s="75">
        <v>10</v>
      </c>
      <c r="B1281" s="80" t="s">
        <v>100</v>
      </c>
      <c r="C1281" s="77" t="s">
        <v>66</v>
      </c>
      <c r="D1281" s="78">
        <v>15</v>
      </c>
      <c r="E1281" s="79"/>
      <c r="F1281" s="79">
        <f t="shared" si="79"/>
        <v>0</v>
      </c>
      <c r="G1281" s="2"/>
      <c r="H1281" s="37">
        <v>617</v>
      </c>
      <c r="I1281" s="4">
        <f t="shared" si="80"/>
        <v>0</v>
      </c>
      <c r="J1281" s="25">
        <f t="shared" si="81"/>
        <v>41</v>
      </c>
    </row>
    <row r="1282" spans="1:10" ht="16.95" customHeight="1">
      <c r="A1282" s="75">
        <v>11</v>
      </c>
      <c r="B1282" s="80" t="s">
        <v>101</v>
      </c>
      <c r="C1282" s="77" t="s">
        <v>50</v>
      </c>
      <c r="D1282" s="78">
        <v>75</v>
      </c>
      <c r="E1282" s="79"/>
      <c r="F1282" s="79">
        <f t="shared" si="79"/>
        <v>0</v>
      </c>
      <c r="G1282" s="2"/>
      <c r="H1282" s="37">
        <v>1146</v>
      </c>
      <c r="I1282" s="4">
        <f t="shared" si="80"/>
        <v>0</v>
      </c>
      <c r="J1282" s="25">
        <f t="shared" si="81"/>
        <v>41</v>
      </c>
    </row>
    <row r="1283" spans="1:10" ht="16.95" customHeight="1">
      <c r="A1283" s="75">
        <v>12</v>
      </c>
      <c r="B1283" s="80" t="s">
        <v>102</v>
      </c>
      <c r="C1283" s="77" t="s">
        <v>50</v>
      </c>
      <c r="D1283" s="78">
        <v>5</v>
      </c>
      <c r="E1283" s="79"/>
      <c r="F1283" s="79">
        <f t="shared" si="79"/>
        <v>0</v>
      </c>
      <c r="G1283" s="2"/>
      <c r="H1283" s="37">
        <v>1455</v>
      </c>
      <c r="I1283" s="4">
        <f t="shared" si="80"/>
        <v>0</v>
      </c>
      <c r="J1283" s="25">
        <f t="shared" si="81"/>
        <v>41</v>
      </c>
    </row>
    <row r="1284" spans="1:10" ht="16.95" customHeight="1">
      <c r="A1284" s="75">
        <v>13</v>
      </c>
      <c r="B1284" s="80" t="s">
        <v>103</v>
      </c>
      <c r="C1284" s="77" t="s">
        <v>50</v>
      </c>
      <c r="D1284" s="78">
        <v>217</v>
      </c>
      <c r="E1284" s="79"/>
      <c r="F1284" s="79">
        <f t="shared" si="79"/>
        <v>0</v>
      </c>
      <c r="G1284" s="2"/>
      <c r="H1284" s="37">
        <v>1410</v>
      </c>
      <c r="I1284" s="4">
        <f t="shared" si="80"/>
        <v>0</v>
      </c>
      <c r="J1284" s="25">
        <f t="shared" si="81"/>
        <v>41</v>
      </c>
    </row>
    <row r="1285" spans="1:10" ht="16.95" customHeight="1">
      <c r="A1285" s="75">
        <v>14</v>
      </c>
      <c r="B1285" s="80" t="s">
        <v>104</v>
      </c>
      <c r="C1285" s="77" t="s">
        <v>49</v>
      </c>
      <c r="D1285" s="78">
        <v>84</v>
      </c>
      <c r="E1285" s="79"/>
      <c r="F1285" s="79">
        <f t="shared" si="79"/>
        <v>0</v>
      </c>
      <c r="G1285" s="2"/>
      <c r="H1285" s="37">
        <v>529</v>
      </c>
      <c r="I1285" s="4">
        <f t="shared" si="80"/>
        <v>0</v>
      </c>
      <c r="J1285" s="25">
        <f t="shared" si="81"/>
        <v>41</v>
      </c>
    </row>
    <row r="1286" spans="1:10" ht="16.95" customHeight="1">
      <c r="A1286" s="75">
        <v>15</v>
      </c>
      <c r="B1286" s="80" t="s">
        <v>105</v>
      </c>
      <c r="C1286" s="77" t="s">
        <v>50</v>
      </c>
      <c r="D1286" s="78">
        <v>1</v>
      </c>
      <c r="E1286" s="79"/>
      <c r="F1286" s="79">
        <f t="shared" si="79"/>
        <v>0</v>
      </c>
      <c r="G1286" s="2"/>
      <c r="H1286" s="37">
        <v>1146</v>
      </c>
      <c r="I1286" s="4">
        <f t="shared" si="80"/>
        <v>0</v>
      </c>
      <c r="J1286" s="25">
        <f t="shared" si="81"/>
        <v>41</v>
      </c>
    </row>
    <row r="1287" spans="1:10" ht="34.799999999999997" customHeight="1">
      <c r="A1287" s="75">
        <v>16</v>
      </c>
      <c r="B1287" s="80" t="s">
        <v>106</v>
      </c>
      <c r="C1287" s="77" t="s">
        <v>50</v>
      </c>
      <c r="D1287" s="78">
        <v>314</v>
      </c>
      <c r="E1287" s="79"/>
      <c r="F1287" s="79">
        <f t="shared" si="79"/>
        <v>0</v>
      </c>
      <c r="G1287" s="2"/>
      <c r="H1287" s="37">
        <v>185</v>
      </c>
      <c r="I1287" s="4">
        <f t="shared" si="80"/>
        <v>0</v>
      </c>
      <c r="J1287" s="25">
        <f t="shared" si="81"/>
        <v>41</v>
      </c>
    </row>
    <row r="1288" spans="1:10" ht="16.95" customHeight="1">
      <c r="A1288" s="75">
        <v>17</v>
      </c>
      <c r="B1288" s="80" t="s">
        <v>107</v>
      </c>
      <c r="C1288" s="77" t="s">
        <v>48</v>
      </c>
      <c r="D1288" s="78">
        <v>1</v>
      </c>
      <c r="E1288" s="79"/>
      <c r="F1288" s="79">
        <f t="shared" si="79"/>
        <v>0</v>
      </c>
      <c r="G1288" s="2"/>
      <c r="H1288" s="37">
        <v>89918</v>
      </c>
      <c r="I1288" s="4">
        <f t="shared" si="80"/>
        <v>0</v>
      </c>
      <c r="J1288" s="25">
        <f t="shared" si="81"/>
        <v>41</v>
      </c>
    </row>
    <row r="1289" spans="1:10" ht="16.95" customHeight="1">
      <c r="A1289" s="75">
        <v>18</v>
      </c>
      <c r="B1289" s="80" t="s">
        <v>108</v>
      </c>
      <c r="C1289" s="77" t="s">
        <v>120</v>
      </c>
      <c r="D1289" s="78">
        <v>15</v>
      </c>
      <c r="E1289" s="79"/>
      <c r="F1289" s="79">
        <f t="shared" si="79"/>
        <v>0</v>
      </c>
      <c r="G1289" s="2"/>
      <c r="H1289" s="37">
        <v>661</v>
      </c>
      <c r="I1289" s="4">
        <f t="shared" si="80"/>
        <v>0</v>
      </c>
      <c r="J1289" s="25">
        <f t="shared" si="81"/>
        <v>41</v>
      </c>
    </row>
    <row r="1290" spans="1:10" ht="16.95" customHeight="1">
      <c r="A1290" s="75">
        <v>19</v>
      </c>
      <c r="B1290" s="80" t="s">
        <v>109</v>
      </c>
      <c r="C1290" s="77" t="s">
        <v>50</v>
      </c>
      <c r="D1290" s="78">
        <v>82</v>
      </c>
      <c r="E1290" s="79"/>
      <c r="F1290" s="79">
        <f t="shared" si="79"/>
        <v>0</v>
      </c>
      <c r="G1290" s="2"/>
      <c r="H1290" s="37">
        <v>2909</v>
      </c>
      <c r="I1290" s="4">
        <f t="shared" si="80"/>
        <v>0</v>
      </c>
      <c r="J1290" s="25">
        <f t="shared" si="81"/>
        <v>41</v>
      </c>
    </row>
    <row r="1291" spans="1:10" ht="16.95" customHeight="1">
      <c r="A1291" s="75">
        <v>20</v>
      </c>
      <c r="B1291" s="80" t="s">
        <v>110</v>
      </c>
      <c r="C1291" s="77" t="s">
        <v>121</v>
      </c>
      <c r="D1291" s="78">
        <v>12</v>
      </c>
      <c r="E1291" s="79"/>
      <c r="F1291" s="79">
        <f t="shared" si="79"/>
        <v>0</v>
      </c>
      <c r="G1291" s="2"/>
      <c r="H1291" s="37">
        <v>882</v>
      </c>
      <c r="I1291" s="4">
        <f t="shared" si="80"/>
        <v>0</v>
      </c>
      <c r="J1291" s="25">
        <f t="shared" si="81"/>
        <v>41</v>
      </c>
    </row>
    <row r="1292" spans="1:10" ht="16.95" customHeight="1">
      <c r="A1292" s="77">
        <v>21</v>
      </c>
      <c r="B1292" s="80" t="s">
        <v>111</v>
      </c>
      <c r="C1292" s="77" t="s">
        <v>122</v>
      </c>
      <c r="D1292" s="78">
        <v>3</v>
      </c>
      <c r="E1292" s="79"/>
      <c r="F1292" s="79">
        <f t="shared" si="79"/>
        <v>0</v>
      </c>
      <c r="G1292" s="2"/>
      <c r="H1292" s="38">
        <v>1869</v>
      </c>
      <c r="I1292" s="4">
        <f t="shared" si="80"/>
        <v>0</v>
      </c>
      <c r="J1292" s="25">
        <f t="shared" si="81"/>
        <v>41</v>
      </c>
    </row>
    <row r="1293" spans="1:10" ht="34.950000000000003" customHeight="1">
      <c r="A1293" s="75">
        <v>22</v>
      </c>
      <c r="B1293" s="80" t="s">
        <v>112</v>
      </c>
      <c r="C1293" s="77" t="s">
        <v>48</v>
      </c>
      <c r="D1293" s="78">
        <v>1</v>
      </c>
      <c r="E1293" s="79"/>
      <c r="F1293" s="79">
        <f t="shared" si="79"/>
        <v>0</v>
      </c>
      <c r="G1293" s="2"/>
      <c r="H1293" s="37">
        <v>82206</v>
      </c>
      <c r="I1293" s="4">
        <f t="shared" si="80"/>
        <v>0</v>
      </c>
      <c r="J1293" s="25">
        <f t="shared" si="81"/>
        <v>41</v>
      </c>
    </row>
    <row r="1294" spans="1:10" ht="16.95" customHeight="1">
      <c r="A1294" s="75">
        <v>23</v>
      </c>
      <c r="B1294" s="80" t="s">
        <v>113</v>
      </c>
      <c r="C1294" s="77" t="s">
        <v>48</v>
      </c>
      <c r="D1294" s="78">
        <v>1</v>
      </c>
      <c r="E1294" s="79"/>
      <c r="F1294" s="79">
        <f t="shared" si="79"/>
        <v>0</v>
      </c>
      <c r="G1294" s="2"/>
      <c r="H1294" s="37">
        <v>142723</v>
      </c>
      <c r="I1294" s="4">
        <f t="shared" si="80"/>
        <v>0</v>
      </c>
      <c r="J1294" s="25">
        <f t="shared" si="81"/>
        <v>41</v>
      </c>
    </row>
    <row r="1295" spans="1:10" ht="16.95" customHeight="1">
      <c r="A1295" s="75">
        <v>24</v>
      </c>
      <c r="B1295" s="80" t="s">
        <v>114</v>
      </c>
      <c r="C1295" s="77" t="s">
        <v>48</v>
      </c>
      <c r="D1295" s="78">
        <v>1</v>
      </c>
      <c r="E1295" s="79"/>
      <c r="F1295" s="79">
        <f t="shared" si="79"/>
        <v>0</v>
      </c>
      <c r="G1295" s="2"/>
      <c r="H1295" s="37">
        <v>37290</v>
      </c>
      <c r="I1295" s="4">
        <f t="shared" si="80"/>
        <v>0</v>
      </c>
      <c r="J1295" s="25">
        <f t="shared" si="81"/>
        <v>41</v>
      </c>
    </row>
    <row r="1296" spans="1:10" ht="16.95" customHeight="1">
      <c r="A1296" s="75">
        <v>25</v>
      </c>
      <c r="B1296" s="80" t="s">
        <v>115</v>
      </c>
      <c r="C1296" s="77" t="s">
        <v>48</v>
      </c>
      <c r="D1296" s="78">
        <v>1</v>
      </c>
      <c r="E1296" s="79"/>
      <c r="F1296" s="79">
        <f t="shared" si="79"/>
        <v>0</v>
      </c>
      <c r="G1296" s="2"/>
      <c r="H1296" s="37">
        <v>99394</v>
      </c>
      <c r="I1296" s="4">
        <f t="shared" si="80"/>
        <v>0</v>
      </c>
      <c r="J1296" s="25">
        <f t="shared" si="81"/>
        <v>41</v>
      </c>
    </row>
    <row r="1297" spans="1:10" ht="34.950000000000003" customHeight="1">
      <c r="A1297" s="75">
        <v>26</v>
      </c>
      <c r="B1297" s="80" t="s">
        <v>116</v>
      </c>
      <c r="C1297" s="77" t="s">
        <v>48</v>
      </c>
      <c r="D1297" s="78">
        <v>1</v>
      </c>
      <c r="E1297" s="79"/>
      <c r="F1297" s="79">
        <f t="shared" si="79"/>
        <v>0</v>
      </c>
      <c r="G1297" s="2"/>
      <c r="H1297" s="37">
        <v>21334</v>
      </c>
      <c r="I1297" s="4">
        <f t="shared" si="80"/>
        <v>0</v>
      </c>
      <c r="J1297" s="25">
        <f t="shared" si="81"/>
        <v>41</v>
      </c>
    </row>
    <row r="1298" spans="1:10" ht="16.95" customHeight="1">
      <c r="A1298" s="75">
        <v>27</v>
      </c>
      <c r="B1298" s="80" t="s">
        <v>117</v>
      </c>
      <c r="C1298" s="77" t="s">
        <v>48</v>
      </c>
      <c r="D1298" s="78">
        <v>1</v>
      </c>
      <c r="E1298" s="79"/>
      <c r="F1298" s="79">
        <f t="shared" si="79"/>
        <v>0</v>
      </c>
      <c r="G1298" s="2"/>
      <c r="H1298" s="37">
        <v>29620</v>
      </c>
      <c r="I1298" s="4">
        <f t="shared" si="80"/>
        <v>0</v>
      </c>
      <c r="J1298" s="25">
        <f t="shared" si="81"/>
        <v>41</v>
      </c>
    </row>
    <row r="1299" spans="1:10" ht="16.95" customHeight="1">
      <c r="A1299" s="75">
        <v>28</v>
      </c>
      <c r="B1299" s="80" t="s">
        <v>118</v>
      </c>
      <c r="C1299" s="77" t="s">
        <v>48</v>
      </c>
      <c r="D1299" s="78">
        <v>1</v>
      </c>
      <c r="E1299" s="79"/>
      <c r="F1299" s="79">
        <f t="shared" si="79"/>
        <v>0</v>
      </c>
      <c r="G1299" s="2"/>
      <c r="H1299" s="37">
        <v>18506</v>
      </c>
      <c r="I1299" s="4">
        <f t="shared" si="80"/>
        <v>0</v>
      </c>
      <c r="J1299" s="25">
        <f t="shared" si="81"/>
        <v>41</v>
      </c>
    </row>
    <row r="1300" spans="1:10" ht="16.95" customHeight="1">
      <c r="A1300" s="75">
        <v>29</v>
      </c>
      <c r="B1300" s="80" t="s">
        <v>119</v>
      </c>
      <c r="C1300" s="77" t="s">
        <v>48</v>
      </c>
      <c r="D1300" s="78">
        <v>1</v>
      </c>
      <c r="E1300" s="79"/>
      <c r="F1300" s="79">
        <f t="shared" si="79"/>
        <v>0</v>
      </c>
      <c r="G1300" s="2"/>
      <c r="H1300" s="37">
        <v>34381</v>
      </c>
      <c r="I1300" s="4">
        <f t="shared" si="80"/>
        <v>0</v>
      </c>
      <c r="J1300" s="25">
        <f t="shared" si="81"/>
        <v>41</v>
      </c>
    </row>
    <row r="1301" spans="1:10" ht="16.95" customHeight="1">
      <c r="A1301" s="75" t="s">
        <v>79</v>
      </c>
      <c r="B1301" s="80" t="s">
        <v>80</v>
      </c>
      <c r="C1301" s="77" t="s">
        <v>48</v>
      </c>
      <c r="D1301" s="78">
        <v>1</v>
      </c>
      <c r="E1301" s="79">
        <f t="shared" ref="E1301:E1304" si="82">1/120</f>
        <v>8.3333333333333332E-3</v>
      </c>
      <c r="F1301" s="79">
        <f t="shared" si="79"/>
        <v>0.16666666666666666</v>
      </c>
      <c r="G1301" s="2"/>
      <c r="H1301" s="37">
        <v>21395</v>
      </c>
      <c r="I1301" s="4">
        <f t="shared" si="80"/>
        <v>178.29166666666666</v>
      </c>
      <c r="J1301" s="25">
        <f t="shared" si="81"/>
        <v>41</v>
      </c>
    </row>
    <row r="1302" spans="1:10" ht="16.95" customHeight="1">
      <c r="A1302" s="75" t="s">
        <v>81</v>
      </c>
      <c r="B1302" s="80" t="s">
        <v>82</v>
      </c>
      <c r="C1302" s="77" t="s">
        <v>48</v>
      </c>
      <c r="D1302" s="78">
        <v>1</v>
      </c>
      <c r="E1302" s="79">
        <f t="shared" si="82"/>
        <v>8.3333333333333332E-3</v>
      </c>
      <c r="F1302" s="79">
        <f t="shared" si="79"/>
        <v>0.16666666666666666</v>
      </c>
      <c r="G1302" s="2"/>
      <c r="H1302" s="37">
        <v>21395</v>
      </c>
      <c r="I1302" s="4">
        <f t="shared" si="80"/>
        <v>178.29166666666666</v>
      </c>
      <c r="J1302" s="25">
        <f t="shared" si="81"/>
        <v>41</v>
      </c>
    </row>
    <row r="1303" spans="1:10" ht="16.95" customHeight="1">
      <c r="A1303" s="75" t="s">
        <v>83</v>
      </c>
      <c r="B1303" s="80" t="s">
        <v>84</v>
      </c>
      <c r="C1303" s="77" t="s">
        <v>48</v>
      </c>
      <c r="D1303" s="78">
        <v>1</v>
      </c>
      <c r="E1303" s="79">
        <f t="shared" si="82"/>
        <v>8.3333333333333332E-3</v>
      </c>
      <c r="F1303" s="79">
        <f t="shared" si="79"/>
        <v>0.16666666666666666</v>
      </c>
      <c r="G1303" s="2"/>
      <c r="H1303" s="37">
        <v>149765</v>
      </c>
      <c r="I1303" s="4">
        <f t="shared" si="80"/>
        <v>1248.0416666666667</v>
      </c>
      <c r="J1303" s="25">
        <f t="shared" si="81"/>
        <v>41</v>
      </c>
    </row>
    <row r="1304" spans="1:10" ht="16.95" customHeight="1">
      <c r="A1304" s="75" t="s">
        <v>85</v>
      </c>
      <c r="B1304" s="80" t="s">
        <v>86</v>
      </c>
      <c r="C1304" s="77" t="s">
        <v>48</v>
      </c>
      <c r="D1304" s="78">
        <v>1</v>
      </c>
      <c r="E1304" s="79">
        <f t="shared" si="82"/>
        <v>8.3333333333333332E-3</v>
      </c>
      <c r="F1304" s="79">
        <f t="shared" si="79"/>
        <v>0.16666666666666666</v>
      </c>
      <c r="G1304" s="2"/>
      <c r="H1304" s="37">
        <v>6996</v>
      </c>
      <c r="I1304" s="4">
        <f t="shared" si="80"/>
        <v>58.3</v>
      </c>
      <c r="J1304" s="25">
        <f t="shared" si="81"/>
        <v>41</v>
      </c>
    </row>
    <row r="1305" spans="1:10" ht="16.95" customHeight="1">
      <c r="A1305" s="75" t="s">
        <v>87</v>
      </c>
      <c r="B1305" s="80" t="s">
        <v>88</v>
      </c>
      <c r="C1305" s="77" t="s">
        <v>48</v>
      </c>
      <c r="D1305" s="78">
        <v>1</v>
      </c>
      <c r="E1305" s="79">
        <f>1/120</f>
        <v>8.3333333333333332E-3</v>
      </c>
      <c r="F1305" s="79">
        <f t="shared" si="79"/>
        <v>0.16666666666666666</v>
      </c>
      <c r="G1305" s="2"/>
      <c r="H1305" s="37">
        <v>116952</v>
      </c>
      <c r="I1305" s="4">
        <f t="shared" si="80"/>
        <v>974.6</v>
      </c>
      <c r="J1305" s="25">
        <f t="shared" si="81"/>
        <v>41</v>
      </c>
    </row>
    <row r="1306" spans="1:10" ht="16.95" customHeight="1">
      <c r="A1306" s="95" t="s">
        <v>23</v>
      </c>
      <c r="B1306" s="95"/>
      <c r="C1306" s="50"/>
      <c r="D1306" s="50"/>
      <c r="E1306" s="50"/>
      <c r="F1306" s="50"/>
      <c r="G1306" s="50"/>
      <c r="H1306" s="3" t="s">
        <v>24</v>
      </c>
      <c r="I1306" s="5">
        <f>SUM(I1271:I1305)</f>
        <v>15057.404999999999</v>
      </c>
      <c r="J1306" s="25">
        <f t="shared" si="81"/>
        <v>41</v>
      </c>
    </row>
    <row r="1307" spans="1:10" ht="16.95" customHeight="1">
      <c r="A1307" s="96" t="s">
        <v>25</v>
      </c>
      <c r="B1307" s="96"/>
      <c r="C1307" s="50"/>
      <c r="D1307" s="50"/>
      <c r="E1307" s="50"/>
      <c r="F1307" s="50"/>
      <c r="G1307" s="50"/>
      <c r="J1307" s="25">
        <f t="shared" si="81"/>
        <v>41</v>
      </c>
    </row>
    <row r="1308" spans="1:10" ht="16.95" customHeight="1">
      <c r="A1308" s="96" t="s">
        <v>26</v>
      </c>
      <c r="B1308" s="96"/>
      <c r="C1308" s="50"/>
      <c r="D1308" s="50"/>
      <c r="E1308" s="50"/>
      <c r="F1308" s="50"/>
      <c r="G1308" s="50"/>
      <c r="J1308" s="25">
        <f t="shared" si="81"/>
        <v>41</v>
      </c>
    </row>
    <row r="1309" spans="1:10" ht="16.95" customHeight="1">
      <c r="A1309" s="95" t="s">
        <v>27</v>
      </c>
      <c r="B1309" s="95"/>
      <c r="C1309" s="95"/>
      <c r="D1309" s="95"/>
      <c r="E1309" s="95"/>
      <c r="F1309" s="95"/>
      <c r="G1309" s="95"/>
      <c r="J1309" s="25">
        <f t="shared" si="81"/>
        <v>41</v>
      </c>
    </row>
    <row r="1310" spans="1:10" ht="16.95" customHeight="1">
      <c r="A1310" s="94" t="s">
        <v>28</v>
      </c>
      <c r="B1310" s="94"/>
      <c r="C1310" s="51" t="s">
        <v>29</v>
      </c>
      <c r="D1310" s="51" t="s">
        <v>30</v>
      </c>
      <c r="E1310" s="51" t="s">
        <v>18</v>
      </c>
      <c r="F1310" s="51" t="s">
        <v>31</v>
      </c>
      <c r="G1310" s="51" t="s">
        <v>20</v>
      </c>
      <c r="J1310" s="25">
        <f t="shared" si="81"/>
        <v>41</v>
      </c>
    </row>
    <row r="1311" spans="1:10" ht="16.95" customHeight="1">
      <c r="A1311" s="96"/>
      <c r="B1311" s="96"/>
      <c r="C1311" s="50"/>
      <c r="D1311" s="50"/>
      <c r="E1311" s="50"/>
      <c r="F1311" s="50"/>
      <c r="G1311" s="51"/>
      <c r="J1311" s="25">
        <f t="shared" si="81"/>
        <v>41</v>
      </c>
    </row>
    <row r="1312" spans="1:10" ht="16.95" customHeight="1">
      <c r="A1312" s="97"/>
      <c r="B1312" s="97"/>
      <c r="C1312" s="50"/>
      <c r="D1312" s="50"/>
      <c r="E1312" s="50"/>
      <c r="F1312" s="51"/>
      <c r="G1312" s="51"/>
      <c r="J1312" s="25">
        <f t="shared" si="81"/>
        <v>41</v>
      </c>
    </row>
    <row r="1313" spans="1:10" ht="16.95" customHeight="1">
      <c r="A1313" s="95" t="s">
        <v>32</v>
      </c>
      <c r="B1313" s="95"/>
      <c r="C1313" s="95"/>
      <c r="D1313" s="95"/>
      <c r="E1313" s="95"/>
      <c r="F1313" s="95"/>
      <c r="G1313" s="95"/>
      <c r="J1313" s="25">
        <f t="shared" si="81"/>
        <v>42</v>
      </c>
    </row>
    <row r="1314" spans="1:10" ht="16.95" customHeight="1">
      <c r="A1314" s="51" t="s">
        <v>33</v>
      </c>
      <c r="B1314" s="51" t="s">
        <v>34</v>
      </c>
      <c r="C1314" s="94" t="s">
        <v>35</v>
      </c>
      <c r="D1314" s="94"/>
      <c r="E1314" s="51" t="s">
        <v>36</v>
      </c>
      <c r="F1314" s="51" t="s">
        <v>37</v>
      </c>
      <c r="G1314" s="51" t="s">
        <v>38</v>
      </c>
      <c r="J1314" s="25">
        <f t="shared" si="81"/>
        <v>42</v>
      </c>
    </row>
    <row r="1315" spans="1:10" ht="16.95" customHeight="1">
      <c r="A1315" s="51" t="s">
        <v>39</v>
      </c>
      <c r="B1315" s="6">
        <v>1</v>
      </c>
      <c r="C1315" s="94">
        <f>B1315+C1252</f>
        <v>14</v>
      </c>
      <c r="D1315" s="94"/>
      <c r="E1315" s="51"/>
      <c r="F1315" s="24"/>
      <c r="G1315" s="24"/>
      <c r="J1315" s="25">
        <f t="shared" si="81"/>
        <v>42</v>
      </c>
    </row>
    <row r="1316" spans="1:10" ht="16.95" customHeight="1">
      <c r="A1316" s="51" t="s">
        <v>40</v>
      </c>
      <c r="B1316" s="6">
        <v>1</v>
      </c>
      <c r="C1316" s="94">
        <f>B1316+C1253</f>
        <v>15</v>
      </c>
      <c r="D1316" s="94"/>
      <c r="E1316" s="51"/>
      <c r="F1316" s="24"/>
      <c r="G1316" s="24"/>
      <c r="J1316" s="25">
        <f t="shared" si="81"/>
        <v>42</v>
      </c>
    </row>
    <row r="1317" spans="1:10" ht="36.6" customHeight="1">
      <c r="A1317" s="95" t="s">
        <v>41</v>
      </c>
      <c r="B1317" s="95"/>
      <c r="C1317" s="95"/>
      <c r="D1317" s="95"/>
      <c r="E1317" s="95"/>
      <c r="F1317" s="95"/>
      <c r="G1317" s="95"/>
      <c r="J1317" s="25">
        <f t="shared" si="81"/>
        <v>42</v>
      </c>
    </row>
    <row r="1318" spans="1:10" ht="90" customHeight="1">
      <c r="A1318" s="92" t="s">
        <v>42</v>
      </c>
      <c r="B1318" s="92"/>
      <c r="C1318" s="92"/>
      <c r="D1318" s="92"/>
      <c r="E1318" s="92"/>
      <c r="F1318" s="92"/>
      <c r="G1318" s="92"/>
      <c r="J1318" s="25">
        <f t="shared" si="81"/>
        <v>42</v>
      </c>
    </row>
    <row r="1319" spans="1:10" ht="16.95" customHeight="1">
      <c r="A1319" s="95" t="s">
        <v>43</v>
      </c>
      <c r="B1319" s="95"/>
      <c r="C1319" s="95"/>
      <c r="D1319" s="95"/>
      <c r="E1319" s="95"/>
      <c r="F1319" s="95"/>
      <c r="G1319" s="95"/>
      <c r="J1319" s="25">
        <f t="shared" si="81"/>
        <v>42</v>
      </c>
    </row>
    <row r="1320" spans="1:10" ht="16.95" customHeight="1">
      <c r="A1320" s="95" t="s">
        <v>44</v>
      </c>
      <c r="B1320" s="95"/>
      <c r="C1320" s="95"/>
      <c r="D1320" s="95"/>
      <c r="E1320" s="95"/>
      <c r="F1320" s="95"/>
      <c r="G1320" s="95"/>
      <c r="J1320" s="25">
        <f t="shared" si="81"/>
        <v>42</v>
      </c>
    </row>
    <row r="1321" spans="1:10" ht="16.95" customHeight="1">
      <c r="A1321" s="91" t="s">
        <v>125</v>
      </c>
      <c r="B1321" s="91"/>
      <c r="C1321" s="91"/>
      <c r="D1321" s="91"/>
      <c r="E1321" s="91"/>
      <c r="F1321" s="91"/>
      <c r="G1321" s="91"/>
      <c r="J1321" s="25">
        <f t="shared" si="81"/>
        <v>42</v>
      </c>
    </row>
    <row r="1322" spans="1:10" ht="120.6" customHeight="1">
      <c r="A1322" s="92" t="s">
        <v>45</v>
      </c>
      <c r="B1322" s="92"/>
      <c r="C1322" s="92"/>
      <c r="D1322" s="92"/>
      <c r="E1322" s="92"/>
      <c r="F1322" s="92"/>
      <c r="G1322" s="92"/>
      <c r="J1322" s="25">
        <f t="shared" si="81"/>
        <v>42</v>
      </c>
    </row>
    <row r="1323" spans="1:10" ht="140.4" customHeight="1">
      <c r="A1323" s="93" t="s">
        <v>46</v>
      </c>
      <c r="B1323" s="93"/>
      <c r="C1323" s="93"/>
      <c r="D1323" s="93"/>
      <c r="E1323" s="93"/>
      <c r="F1323" s="93"/>
      <c r="G1323" s="93"/>
      <c r="J1323" s="25">
        <f t="shared" si="81"/>
        <v>42</v>
      </c>
    </row>
    <row r="1324" spans="1:10" ht="37.200000000000003" customHeight="1">
      <c r="A1324" s="103" t="s">
        <v>0</v>
      </c>
      <c r="B1324" s="103"/>
      <c r="C1324" s="103"/>
      <c r="D1324" s="103"/>
      <c r="E1324" s="103"/>
      <c r="F1324" s="103"/>
      <c r="G1324" s="103"/>
      <c r="J1324" s="25">
        <f t="shared" si="81"/>
        <v>43</v>
      </c>
    </row>
    <row r="1325" spans="1:10" ht="16.95" customHeight="1">
      <c r="A1325" s="1" t="s">
        <v>1</v>
      </c>
      <c r="B1325" s="104">
        <f>B1262+1</f>
        <v>22</v>
      </c>
      <c r="C1325" s="104"/>
      <c r="D1325" s="104"/>
      <c r="E1325" s="104"/>
      <c r="F1325" s="104"/>
      <c r="G1325" s="104"/>
      <c r="J1325" s="25">
        <f t="shared" si="81"/>
        <v>43</v>
      </c>
    </row>
    <row r="1326" spans="1:10" ht="16.95" customHeight="1">
      <c r="A1326" s="1" t="s">
        <v>2</v>
      </c>
      <c r="B1326" s="105" t="s">
        <v>63</v>
      </c>
      <c r="C1326" s="105"/>
      <c r="D1326" s="105"/>
      <c r="E1326" s="106">
        <f>E1263+1</f>
        <v>46225</v>
      </c>
      <c r="F1326" s="106"/>
      <c r="G1326" s="106"/>
      <c r="J1326" s="25">
        <f t="shared" si="81"/>
        <v>43</v>
      </c>
    </row>
    <row r="1327" spans="1:10" ht="16.95" customHeight="1">
      <c r="A1327" s="53" t="s">
        <v>3</v>
      </c>
      <c r="B1327" s="2" t="s">
        <v>67</v>
      </c>
      <c r="C1327" s="98" t="s">
        <v>4</v>
      </c>
      <c r="D1327" s="98"/>
      <c r="E1327" s="98" t="s">
        <v>47</v>
      </c>
      <c r="F1327" s="98"/>
      <c r="G1327" s="98"/>
      <c r="J1327" s="25">
        <f t="shared" si="81"/>
        <v>43</v>
      </c>
    </row>
    <row r="1328" spans="1:10" ht="16.95" customHeight="1">
      <c r="A1328" s="53" t="s">
        <v>5</v>
      </c>
      <c r="B1328" s="54">
        <v>120</v>
      </c>
      <c r="C1328" s="98" t="s">
        <v>6</v>
      </c>
      <c r="D1328" s="98"/>
      <c r="E1328" s="98">
        <v>1</v>
      </c>
      <c r="F1328" s="98"/>
      <c r="G1328" s="98"/>
      <c r="J1328" s="25">
        <f t="shared" si="81"/>
        <v>43</v>
      </c>
    </row>
    <row r="1329" spans="1:10" ht="16.95" customHeight="1">
      <c r="A1329" s="53" t="s">
        <v>7</v>
      </c>
      <c r="B1329" s="54">
        <f>B1325</f>
        <v>22</v>
      </c>
      <c r="C1329" s="100" t="s">
        <v>8</v>
      </c>
      <c r="D1329" s="100"/>
      <c r="E1329" s="101">
        <f>B1328-B1329+1</f>
        <v>99</v>
      </c>
      <c r="F1329" s="101"/>
      <c r="G1329" s="101"/>
      <c r="J1329" s="25">
        <f t="shared" si="81"/>
        <v>43</v>
      </c>
    </row>
    <row r="1330" spans="1:10" ht="16.95" customHeight="1">
      <c r="A1330" s="53" t="s">
        <v>9</v>
      </c>
      <c r="B1330" s="55">
        <v>46204</v>
      </c>
      <c r="C1330" s="98" t="s">
        <v>10</v>
      </c>
      <c r="D1330" s="98"/>
      <c r="E1330" s="102">
        <f>B1330+B1328-1</f>
        <v>46323</v>
      </c>
      <c r="F1330" s="102"/>
      <c r="G1330" s="102"/>
      <c r="J1330" s="25">
        <f t="shared" si="81"/>
        <v>43</v>
      </c>
    </row>
    <row r="1331" spans="1:10" ht="16.95" customHeight="1">
      <c r="A1331" s="53" t="s">
        <v>11</v>
      </c>
      <c r="B1331" s="56">
        <f>HLOOKUP(B1325,進度表!$Q$2:$Z$3,2,1)+B1268</f>
        <v>9.339994231813252E-2</v>
      </c>
      <c r="C1331" s="98" t="s">
        <v>12</v>
      </c>
      <c r="D1331" s="98"/>
      <c r="E1331" s="99">
        <f>I1369/I1331+E1268</f>
        <v>0.10268494503257325</v>
      </c>
      <c r="F1331" s="99"/>
      <c r="G1331" s="99"/>
      <c r="H1331" s="3" t="s">
        <v>62</v>
      </c>
      <c r="I1331" s="1">
        <v>2456000</v>
      </c>
      <c r="J1331" s="25">
        <f t="shared" si="81"/>
        <v>43</v>
      </c>
    </row>
    <row r="1332" spans="1:10" ht="16.95" customHeight="1">
      <c r="A1332" s="98" t="s">
        <v>13</v>
      </c>
      <c r="B1332" s="98"/>
      <c r="C1332" s="98"/>
      <c r="D1332" s="98"/>
      <c r="E1332" s="98"/>
      <c r="F1332" s="98"/>
      <c r="G1332" s="98"/>
      <c r="J1332" s="25">
        <f t="shared" si="81"/>
        <v>43</v>
      </c>
    </row>
    <row r="1333" spans="1:10" ht="16.95" customHeight="1">
      <c r="A1333" s="52" t="s">
        <v>14</v>
      </c>
      <c r="B1333" s="52" t="s">
        <v>15</v>
      </c>
      <c r="C1333" s="52" t="s">
        <v>16</v>
      </c>
      <c r="D1333" s="52" t="s">
        <v>17</v>
      </c>
      <c r="E1333" s="52" t="s">
        <v>18</v>
      </c>
      <c r="F1333" s="52" t="s">
        <v>19</v>
      </c>
      <c r="G1333" s="52" t="s">
        <v>20</v>
      </c>
      <c r="H1333" s="3" t="s">
        <v>21</v>
      </c>
      <c r="I1333" s="3" t="s">
        <v>22</v>
      </c>
      <c r="J1333" s="25">
        <f t="shared" si="81"/>
        <v>43</v>
      </c>
    </row>
    <row r="1334" spans="1:10" ht="16.95" customHeight="1">
      <c r="A1334" s="75" t="s">
        <v>65</v>
      </c>
      <c r="B1334" s="76" t="s">
        <v>69</v>
      </c>
      <c r="C1334" s="77"/>
      <c r="D1334" s="78"/>
      <c r="E1334" s="79"/>
      <c r="F1334" s="79"/>
      <c r="G1334" s="2"/>
      <c r="H1334" s="37"/>
      <c r="I1334" s="4"/>
      <c r="J1334" s="25">
        <f t="shared" si="81"/>
        <v>43</v>
      </c>
    </row>
    <row r="1335" spans="1:10" ht="34.950000000000003" customHeight="1">
      <c r="A1335" s="75">
        <v>1</v>
      </c>
      <c r="B1335" s="80" t="s">
        <v>91</v>
      </c>
      <c r="C1335" s="77" t="s">
        <v>48</v>
      </c>
      <c r="D1335" s="78">
        <v>1</v>
      </c>
      <c r="E1335" s="79"/>
      <c r="F1335" s="79">
        <f t="shared" ref="F1335:F1368" si="83">E1335+F1272</f>
        <v>1</v>
      </c>
      <c r="G1335" s="2"/>
      <c r="H1335" s="37">
        <v>10508</v>
      </c>
      <c r="I1335" s="4">
        <f>H1335*E1335</f>
        <v>0</v>
      </c>
      <c r="J1335" s="25">
        <f t="shared" si="81"/>
        <v>43</v>
      </c>
    </row>
    <row r="1336" spans="1:10" ht="34.799999999999997" customHeight="1">
      <c r="A1336" s="75">
        <v>2</v>
      </c>
      <c r="B1336" s="80" t="s">
        <v>92</v>
      </c>
      <c r="C1336" s="77" t="s">
        <v>48</v>
      </c>
      <c r="D1336" s="78">
        <v>1</v>
      </c>
      <c r="E1336" s="79"/>
      <c r="F1336" s="79">
        <f t="shared" si="83"/>
        <v>0</v>
      </c>
      <c r="G1336" s="2"/>
      <c r="H1336" s="37">
        <v>13223</v>
      </c>
      <c r="I1336" s="4">
        <f>H1336*E1336</f>
        <v>0</v>
      </c>
      <c r="J1336" s="25">
        <f t="shared" si="81"/>
        <v>43</v>
      </c>
    </row>
    <row r="1337" spans="1:10" ht="53.4" customHeight="1">
      <c r="A1337" s="75">
        <v>3</v>
      </c>
      <c r="B1337" s="80" t="s">
        <v>93</v>
      </c>
      <c r="C1337" s="77" t="s">
        <v>48</v>
      </c>
      <c r="D1337" s="78">
        <v>1</v>
      </c>
      <c r="E1337" s="79">
        <v>0.04</v>
      </c>
      <c r="F1337" s="79">
        <f t="shared" si="83"/>
        <v>0.6</v>
      </c>
      <c r="G1337" s="2"/>
      <c r="H1337" s="37">
        <v>310497</v>
      </c>
      <c r="I1337" s="4">
        <f t="shared" ref="I1337:I1368" si="84">H1337*E1337</f>
        <v>12419.880000000001</v>
      </c>
      <c r="J1337" s="25">
        <f t="shared" si="81"/>
        <v>43</v>
      </c>
    </row>
    <row r="1338" spans="1:10" ht="16.95" customHeight="1">
      <c r="A1338" s="75">
        <v>4</v>
      </c>
      <c r="B1338" s="80" t="s">
        <v>94</v>
      </c>
      <c r="C1338" s="77" t="s">
        <v>48</v>
      </c>
      <c r="D1338" s="78">
        <v>1</v>
      </c>
      <c r="E1338" s="79"/>
      <c r="F1338" s="79">
        <f t="shared" si="83"/>
        <v>0</v>
      </c>
      <c r="G1338" s="2"/>
      <c r="H1338" s="37">
        <v>8375</v>
      </c>
      <c r="I1338" s="4">
        <f t="shared" si="84"/>
        <v>0</v>
      </c>
      <c r="J1338" s="25">
        <f t="shared" si="81"/>
        <v>43</v>
      </c>
    </row>
    <row r="1339" spans="1:10" ht="16.95" customHeight="1">
      <c r="A1339" s="75">
        <v>5</v>
      </c>
      <c r="B1339" s="80" t="s">
        <v>95</v>
      </c>
      <c r="C1339" s="77" t="s">
        <v>48</v>
      </c>
      <c r="D1339" s="78">
        <v>1</v>
      </c>
      <c r="E1339" s="79"/>
      <c r="F1339" s="79">
        <f t="shared" si="83"/>
        <v>0</v>
      </c>
      <c r="G1339" s="2"/>
      <c r="H1339" s="37">
        <v>51618</v>
      </c>
      <c r="I1339" s="4">
        <f t="shared" si="84"/>
        <v>0</v>
      </c>
      <c r="J1339" s="25">
        <f t="shared" ref="J1339:J1402" si="85">J1276+2</f>
        <v>43</v>
      </c>
    </row>
    <row r="1340" spans="1:10" ht="16.95" customHeight="1">
      <c r="A1340" s="75">
        <v>6</v>
      </c>
      <c r="B1340" s="80" t="s">
        <v>96</v>
      </c>
      <c r="C1340" s="77" t="s">
        <v>50</v>
      </c>
      <c r="D1340" s="78">
        <v>11.55</v>
      </c>
      <c r="E1340" s="79"/>
      <c r="F1340" s="79">
        <f t="shared" si="83"/>
        <v>0</v>
      </c>
      <c r="G1340" s="2"/>
      <c r="H1340" s="37">
        <v>1188</v>
      </c>
      <c r="I1340" s="4">
        <f t="shared" si="84"/>
        <v>0</v>
      </c>
      <c r="J1340" s="25">
        <f t="shared" si="85"/>
        <v>43</v>
      </c>
    </row>
    <row r="1341" spans="1:10" ht="34.950000000000003" customHeight="1">
      <c r="A1341" s="75">
        <v>7</v>
      </c>
      <c r="B1341" s="80" t="s">
        <v>97</v>
      </c>
      <c r="C1341" s="77" t="s">
        <v>48</v>
      </c>
      <c r="D1341" s="78">
        <v>1</v>
      </c>
      <c r="E1341" s="79"/>
      <c r="F1341" s="79">
        <f t="shared" si="83"/>
        <v>0</v>
      </c>
      <c r="G1341" s="2"/>
      <c r="H1341" s="37">
        <v>21157</v>
      </c>
      <c r="I1341" s="4">
        <f t="shared" si="84"/>
        <v>0</v>
      </c>
      <c r="J1341" s="25">
        <f t="shared" si="85"/>
        <v>43</v>
      </c>
    </row>
    <row r="1342" spans="1:10" ht="16.95" customHeight="1">
      <c r="A1342" s="75">
        <v>8</v>
      </c>
      <c r="B1342" s="80" t="s">
        <v>98</v>
      </c>
      <c r="C1342" s="77" t="s">
        <v>50</v>
      </c>
      <c r="D1342" s="78">
        <v>387</v>
      </c>
      <c r="E1342" s="79"/>
      <c r="F1342" s="79">
        <f t="shared" si="83"/>
        <v>0</v>
      </c>
      <c r="G1342" s="2"/>
      <c r="H1342" s="37">
        <v>705</v>
      </c>
      <c r="I1342" s="4">
        <f t="shared" si="84"/>
        <v>0</v>
      </c>
      <c r="J1342" s="25">
        <f t="shared" si="85"/>
        <v>43</v>
      </c>
    </row>
    <row r="1343" spans="1:10" ht="16.95" customHeight="1">
      <c r="A1343" s="75">
        <v>9</v>
      </c>
      <c r="B1343" s="80" t="s">
        <v>99</v>
      </c>
      <c r="C1343" s="77" t="s">
        <v>50</v>
      </c>
      <c r="D1343" s="78">
        <v>170</v>
      </c>
      <c r="E1343" s="79"/>
      <c r="F1343" s="79">
        <f t="shared" si="83"/>
        <v>0</v>
      </c>
      <c r="G1343" s="2"/>
      <c r="H1343" s="37">
        <v>617</v>
      </c>
      <c r="I1343" s="4">
        <f t="shared" si="84"/>
        <v>0</v>
      </c>
      <c r="J1343" s="25">
        <f t="shared" si="85"/>
        <v>43</v>
      </c>
    </row>
    <row r="1344" spans="1:10" ht="16.95" customHeight="1">
      <c r="A1344" s="75">
        <v>10</v>
      </c>
      <c r="B1344" s="80" t="s">
        <v>100</v>
      </c>
      <c r="C1344" s="77" t="s">
        <v>66</v>
      </c>
      <c r="D1344" s="78">
        <v>15</v>
      </c>
      <c r="E1344" s="79"/>
      <c r="F1344" s="79">
        <f t="shared" si="83"/>
        <v>0</v>
      </c>
      <c r="G1344" s="2"/>
      <c r="H1344" s="37">
        <v>617</v>
      </c>
      <c r="I1344" s="4">
        <f t="shared" si="84"/>
        <v>0</v>
      </c>
      <c r="J1344" s="25">
        <f t="shared" si="85"/>
        <v>43</v>
      </c>
    </row>
    <row r="1345" spans="1:10" ht="16.95" customHeight="1">
      <c r="A1345" s="75">
        <v>11</v>
      </c>
      <c r="B1345" s="80" t="s">
        <v>101</v>
      </c>
      <c r="C1345" s="77" t="s">
        <v>50</v>
      </c>
      <c r="D1345" s="78">
        <v>75</v>
      </c>
      <c r="E1345" s="79"/>
      <c r="F1345" s="79">
        <f t="shared" si="83"/>
        <v>0</v>
      </c>
      <c r="G1345" s="2"/>
      <c r="H1345" s="37">
        <v>1146</v>
      </c>
      <c r="I1345" s="4">
        <f t="shared" si="84"/>
        <v>0</v>
      </c>
      <c r="J1345" s="25">
        <f t="shared" si="85"/>
        <v>43</v>
      </c>
    </row>
    <row r="1346" spans="1:10" ht="16.95" customHeight="1">
      <c r="A1346" s="75">
        <v>12</v>
      </c>
      <c r="B1346" s="80" t="s">
        <v>102</v>
      </c>
      <c r="C1346" s="77" t="s">
        <v>50</v>
      </c>
      <c r="D1346" s="78">
        <v>5</v>
      </c>
      <c r="E1346" s="79"/>
      <c r="F1346" s="79">
        <f t="shared" si="83"/>
        <v>0</v>
      </c>
      <c r="G1346" s="2"/>
      <c r="H1346" s="37">
        <v>1455</v>
      </c>
      <c r="I1346" s="4">
        <f t="shared" si="84"/>
        <v>0</v>
      </c>
      <c r="J1346" s="25">
        <f t="shared" si="85"/>
        <v>43</v>
      </c>
    </row>
    <row r="1347" spans="1:10" ht="16.95" customHeight="1">
      <c r="A1347" s="75">
        <v>13</v>
      </c>
      <c r="B1347" s="80" t="s">
        <v>103</v>
      </c>
      <c r="C1347" s="77" t="s">
        <v>50</v>
      </c>
      <c r="D1347" s="78">
        <v>217</v>
      </c>
      <c r="E1347" s="79"/>
      <c r="F1347" s="79">
        <f t="shared" si="83"/>
        <v>0</v>
      </c>
      <c r="G1347" s="2"/>
      <c r="H1347" s="37">
        <v>1410</v>
      </c>
      <c r="I1347" s="4">
        <f t="shared" si="84"/>
        <v>0</v>
      </c>
      <c r="J1347" s="25">
        <f t="shared" si="85"/>
        <v>43</v>
      </c>
    </row>
    <row r="1348" spans="1:10" ht="16.95" customHeight="1">
      <c r="A1348" s="75">
        <v>14</v>
      </c>
      <c r="B1348" s="80" t="s">
        <v>104</v>
      </c>
      <c r="C1348" s="77" t="s">
        <v>49</v>
      </c>
      <c r="D1348" s="78">
        <v>84</v>
      </c>
      <c r="E1348" s="79"/>
      <c r="F1348" s="79">
        <f t="shared" si="83"/>
        <v>0</v>
      </c>
      <c r="G1348" s="2"/>
      <c r="H1348" s="37">
        <v>529</v>
      </c>
      <c r="I1348" s="4">
        <f t="shared" si="84"/>
        <v>0</v>
      </c>
      <c r="J1348" s="25">
        <f t="shared" si="85"/>
        <v>43</v>
      </c>
    </row>
    <row r="1349" spans="1:10" ht="16.95" customHeight="1">
      <c r="A1349" s="75">
        <v>15</v>
      </c>
      <c r="B1349" s="80" t="s">
        <v>105</v>
      </c>
      <c r="C1349" s="77" t="s">
        <v>50</v>
      </c>
      <c r="D1349" s="78">
        <v>1</v>
      </c>
      <c r="E1349" s="79"/>
      <c r="F1349" s="79">
        <f t="shared" si="83"/>
        <v>0</v>
      </c>
      <c r="G1349" s="2"/>
      <c r="H1349" s="37">
        <v>1146</v>
      </c>
      <c r="I1349" s="4">
        <f t="shared" si="84"/>
        <v>0</v>
      </c>
      <c r="J1349" s="25">
        <f t="shared" si="85"/>
        <v>43</v>
      </c>
    </row>
    <row r="1350" spans="1:10" ht="34.799999999999997" customHeight="1">
      <c r="A1350" s="75">
        <v>16</v>
      </c>
      <c r="B1350" s="80" t="s">
        <v>106</v>
      </c>
      <c r="C1350" s="77" t="s">
        <v>50</v>
      </c>
      <c r="D1350" s="78">
        <v>314</v>
      </c>
      <c r="E1350" s="79"/>
      <c r="F1350" s="79">
        <f t="shared" si="83"/>
        <v>0</v>
      </c>
      <c r="G1350" s="2"/>
      <c r="H1350" s="37">
        <v>185</v>
      </c>
      <c r="I1350" s="4">
        <f t="shared" si="84"/>
        <v>0</v>
      </c>
      <c r="J1350" s="25">
        <f t="shared" si="85"/>
        <v>43</v>
      </c>
    </row>
    <row r="1351" spans="1:10" ht="16.95" customHeight="1">
      <c r="A1351" s="75">
        <v>17</v>
      </c>
      <c r="B1351" s="80" t="s">
        <v>107</v>
      </c>
      <c r="C1351" s="77" t="s">
        <v>48</v>
      </c>
      <c r="D1351" s="78">
        <v>1</v>
      </c>
      <c r="E1351" s="79"/>
      <c r="F1351" s="79">
        <f t="shared" si="83"/>
        <v>0</v>
      </c>
      <c r="G1351" s="2"/>
      <c r="H1351" s="37">
        <v>89918</v>
      </c>
      <c r="I1351" s="4">
        <f t="shared" si="84"/>
        <v>0</v>
      </c>
      <c r="J1351" s="25">
        <f t="shared" si="85"/>
        <v>43</v>
      </c>
    </row>
    <row r="1352" spans="1:10" ht="16.95" customHeight="1">
      <c r="A1352" s="75">
        <v>18</v>
      </c>
      <c r="B1352" s="80" t="s">
        <v>108</v>
      </c>
      <c r="C1352" s="77" t="s">
        <v>120</v>
      </c>
      <c r="D1352" s="78">
        <v>15</v>
      </c>
      <c r="E1352" s="79"/>
      <c r="F1352" s="79">
        <f t="shared" si="83"/>
        <v>0</v>
      </c>
      <c r="G1352" s="2"/>
      <c r="H1352" s="37">
        <v>661</v>
      </c>
      <c r="I1352" s="4">
        <f t="shared" si="84"/>
        <v>0</v>
      </c>
      <c r="J1352" s="25">
        <f t="shared" si="85"/>
        <v>43</v>
      </c>
    </row>
    <row r="1353" spans="1:10" ht="16.95" customHeight="1">
      <c r="A1353" s="75">
        <v>19</v>
      </c>
      <c r="B1353" s="80" t="s">
        <v>109</v>
      </c>
      <c r="C1353" s="77" t="s">
        <v>50</v>
      </c>
      <c r="D1353" s="78">
        <v>82</v>
      </c>
      <c r="E1353" s="79"/>
      <c r="F1353" s="79">
        <f t="shared" si="83"/>
        <v>0</v>
      </c>
      <c r="G1353" s="2"/>
      <c r="H1353" s="37">
        <v>2909</v>
      </c>
      <c r="I1353" s="4">
        <f t="shared" si="84"/>
        <v>0</v>
      </c>
      <c r="J1353" s="25">
        <f t="shared" si="85"/>
        <v>43</v>
      </c>
    </row>
    <row r="1354" spans="1:10" ht="16.95" customHeight="1">
      <c r="A1354" s="75">
        <v>20</v>
      </c>
      <c r="B1354" s="80" t="s">
        <v>110</v>
      </c>
      <c r="C1354" s="77" t="s">
        <v>121</v>
      </c>
      <c r="D1354" s="78">
        <v>12</v>
      </c>
      <c r="E1354" s="79"/>
      <c r="F1354" s="79">
        <f t="shared" si="83"/>
        <v>0</v>
      </c>
      <c r="G1354" s="2"/>
      <c r="H1354" s="37">
        <v>882</v>
      </c>
      <c r="I1354" s="4">
        <f t="shared" si="84"/>
        <v>0</v>
      </c>
      <c r="J1354" s="25">
        <f t="shared" si="85"/>
        <v>43</v>
      </c>
    </row>
    <row r="1355" spans="1:10" ht="16.95" customHeight="1">
      <c r="A1355" s="77">
        <v>21</v>
      </c>
      <c r="B1355" s="80" t="s">
        <v>111</v>
      </c>
      <c r="C1355" s="77" t="s">
        <v>122</v>
      </c>
      <c r="D1355" s="78">
        <v>3</v>
      </c>
      <c r="E1355" s="79"/>
      <c r="F1355" s="79">
        <f t="shared" si="83"/>
        <v>0</v>
      </c>
      <c r="G1355" s="2"/>
      <c r="H1355" s="38">
        <v>1869</v>
      </c>
      <c r="I1355" s="4">
        <f t="shared" si="84"/>
        <v>0</v>
      </c>
      <c r="J1355" s="25">
        <f t="shared" si="85"/>
        <v>43</v>
      </c>
    </row>
    <row r="1356" spans="1:10" ht="34.950000000000003" customHeight="1">
      <c r="A1356" s="75">
        <v>22</v>
      </c>
      <c r="B1356" s="80" t="s">
        <v>112</v>
      </c>
      <c r="C1356" s="77" t="s">
        <v>48</v>
      </c>
      <c r="D1356" s="78">
        <v>1</v>
      </c>
      <c r="E1356" s="79"/>
      <c r="F1356" s="79">
        <f t="shared" si="83"/>
        <v>0</v>
      </c>
      <c r="G1356" s="2"/>
      <c r="H1356" s="37">
        <v>82206</v>
      </c>
      <c r="I1356" s="4">
        <f t="shared" si="84"/>
        <v>0</v>
      </c>
      <c r="J1356" s="25">
        <f t="shared" si="85"/>
        <v>43</v>
      </c>
    </row>
    <row r="1357" spans="1:10" ht="16.95" customHeight="1">
      <c r="A1357" s="75">
        <v>23</v>
      </c>
      <c r="B1357" s="80" t="s">
        <v>113</v>
      </c>
      <c r="C1357" s="77" t="s">
        <v>48</v>
      </c>
      <c r="D1357" s="78">
        <v>1</v>
      </c>
      <c r="E1357" s="79"/>
      <c r="F1357" s="79">
        <f t="shared" si="83"/>
        <v>0</v>
      </c>
      <c r="G1357" s="2"/>
      <c r="H1357" s="37">
        <v>142723</v>
      </c>
      <c r="I1357" s="4">
        <f t="shared" si="84"/>
        <v>0</v>
      </c>
      <c r="J1357" s="25">
        <f t="shared" si="85"/>
        <v>43</v>
      </c>
    </row>
    <row r="1358" spans="1:10" ht="16.95" customHeight="1">
      <c r="A1358" s="75">
        <v>24</v>
      </c>
      <c r="B1358" s="80" t="s">
        <v>114</v>
      </c>
      <c r="C1358" s="77" t="s">
        <v>48</v>
      </c>
      <c r="D1358" s="78">
        <v>1</v>
      </c>
      <c r="E1358" s="79"/>
      <c r="F1358" s="79">
        <f t="shared" si="83"/>
        <v>0</v>
      </c>
      <c r="G1358" s="2"/>
      <c r="H1358" s="37">
        <v>37290</v>
      </c>
      <c r="I1358" s="4">
        <f t="shared" si="84"/>
        <v>0</v>
      </c>
      <c r="J1358" s="25">
        <f t="shared" si="85"/>
        <v>43</v>
      </c>
    </row>
    <row r="1359" spans="1:10" ht="16.95" customHeight="1">
      <c r="A1359" s="75">
        <v>25</v>
      </c>
      <c r="B1359" s="80" t="s">
        <v>115</v>
      </c>
      <c r="C1359" s="77" t="s">
        <v>48</v>
      </c>
      <c r="D1359" s="78">
        <v>1</v>
      </c>
      <c r="E1359" s="79"/>
      <c r="F1359" s="79">
        <f t="shared" si="83"/>
        <v>0</v>
      </c>
      <c r="G1359" s="2"/>
      <c r="H1359" s="37">
        <v>99394</v>
      </c>
      <c r="I1359" s="4">
        <f t="shared" si="84"/>
        <v>0</v>
      </c>
      <c r="J1359" s="25">
        <f t="shared" si="85"/>
        <v>43</v>
      </c>
    </row>
    <row r="1360" spans="1:10" ht="34.950000000000003" customHeight="1">
      <c r="A1360" s="75">
        <v>26</v>
      </c>
      <c r="B1360" s="80" t="s">
        <v>116</v>
      </c>
      <c r="C1360" s="77" t="s">
        <v>48</v>
      </c>
      <c r="D1360" s="78">
        <v>1</v>
      </c>
      <c r="E1360" s="79"/>
      <c r="F1360" s="79">
        <f t="shared" si="83"/>
        <v>0</v>
      </c>
      <c r="G1360" s="2"/>
      <c r="H1360" s="37">
        <v>21334</v>
      </c>
      <c r="I1360" s="4">
        <f t="shared" si="84"/>
        <v>0</v>
      </c>
      <c r="J1360" s="25">
        <f t="shared" si="85"/>
        <v>43</v>
      </c>
    </row>
    <row r="1361" spans="1:10" ht="16.95" customHeight="1">
      <c r="A1361" s="75">
        <v>27</v>
      </c>
      <c r="B1361" s="80" t="s">
        <v>117</v>
      </c>
      <c r="C1361" s="77" t="s">
        <v>48</v>
      </c>
      <c r="D1361" s="78">
        <v>1</v>
      </c>
      <c r="E1361" s="79"/>
      <c r="F1361" s="79">
        <f t="shared" si="83"/>
        <v>0</v>
      </c>
      <c r="G1361" s="2"/>
      <c r="H1361" s="37">
        <v>29620</v>
      </c>
      <c r="I1361" s="4">
        <f t="shared" si="84"/>
        <v>0</v>
      </c>
      <c r="J1361" s="25">
        <f t="shared" si="85"/>
        <v>43</v>
      </c>
    </row>
    <row r="1362" spans="1:10" ht="16.95" customHeight="1">
      <c r="A1362" s="75">
        <v>28</v>
      </c>
      <c r="B1362" s="80" t="s">
        <v>118</v>
      </c>
      <c r="C1362" s="77" t="s">
        <v>48</v>
      </c>
      <c r="D1362" s="78">
        <v>1</v>
      </c>
      <c r="E1362" s="79"/>
      <c r="F1362" s="79">
        <f t="shared" si="83"/>
        <v>0</v>
      </c>
      <c r="G1362" s="2"/>
      <c r="H1362" s="37">
        <v>18506</v>
      </c>
      <c r="I1362" s="4">
        <f t="shared" si="84"/>
        <v>0</v>
      </c>
      <c r="J1362" s="25">
        <f t="shared" si="85"/>
        <v>43</v>
      </c>
    </row>
    <row r="1363" spans="1:10" ht="16.95" customHeight="1">
      <c r="A1363" s="75">
        <v>29</v>
      </c>
      <c r="B1363" s="80" t="s">
        <v>119</v>
      </c>
      <c r="C1363" s="77" t="s">
        <v>48</v>
      </c>
      <c r="D1363" s="78">
        <v>1</v>
      </c>
      <c r="E1363" s="79"/>
      <c r="F1363" s="79">
        <f t="shared" si="83"/>
        <v>0</v>
      </c>
      <c r="G1363" s="2"/>
      <c r="H1363" s="37">
        <v>34381</v>
      </c>
      <c r="I1363" s="4">
        <f t="shared" si="84"/>
        <v>0</v>
      </c>
      <c r="J1363" s="25">
        <f t="shared" si="85"/>
        <v>43</v>
      </c>
    </row>
    <row r="1364" spans="1:10" ht="16.95" customHeight="1">
      <c r="A1364" s="75" t="s">
        <v>79</v>
      </c>
      <c r="B1364" s="80" t="s">
        <v>80</v>
      </c>
      <c r="C1364" s="77" t="s">
        <v>48</v>
      </c>
      <c r="D1364" s="78">
        <v>1</v>
      </c>
      <c r="E1364" s="79">
        <f t="shared" ref="E1364:E1367" si="86">1/120</f>
        <v>8.3333333333333332E-3</v>
      </c>
      <c r="F1364" s="79">
        <f t="shared" si="83"/>
        <v>0.17499999999999999</v>
      </c>
      <c r="G1364" s="2"/>
      <c r="H1364" s="37">
        <v>21395</v>
      </c>
      <c r="I1364" s="4">
        <f t="shared" si="84"/>
        <v>178.29166666666666</v>
      </c>
      <c r="J1364" s="25">
        <f t="shared" si="85"/>
        <v>43</v>
      </c>
    </row>
    <row r="1365" spans="1:10" ht="16.95" customHeight="1">
      <c r="A1365" s="75" t="s">
        <v>81</v>
      </c>
      <c r="B1365" s="80" t="s">
        <v>82</v>
      </c>
      <c r="C1365" s="77" t="s">
        <v>48</v>
      </c>
      <c r="D1365" s="78">
        <v>1</v>
      </c>
      <c r="E1365" s="79">
        <f t="shared" si="86"/>
        <v>8.3333333333333332E-3</v>
      </c>
      <c r="F1365" s="79">
        <f t="shared" si="83"/>
        <v>0.17499999999999999</v>
      </c>
      <c r="G1365" s="2"/>
      <c r="H1365" s="37">
        <v>21395</v>
      </c>
      <c r="I1365" s="4">
        <f t="shared" si="84"/>
        <v>178.29166666666666</v>
      </c>
      <c r="J1365" s="25">
        <f t="shared" si="85"/>
        <v>43</v>
      </c>
    </row>
    <row r="1366" spans="1:10" ht="16.95" customHeight="1">
      <c r="A1366" s="75" t="s">
        <v>83</v>
      </c>
      <c r="B1366" s="80" t="s">
        <v>84</v>
      </c>
      <c r="C1366" s="77" t="s">
        <v>48</v>
      </c>
      <c r="D1366" s="78">
        <v>1</v>
      </c>
      <c r="E1366" s="79">
        <f t="shared" si="86"/>
        <v>8.3333333333333332E-3</v>
      </c>
      <c r="F1366" s="79">
        <f t="shared" si="83"/>
        <v>0.17499999999999999</v>
      </c>
      <c r="G1366" s="2"/>
      <c r="H1366" s="37">
        <v>149765</v>
      </c>
      <c r="I1366" s="4">
        <f t="shared" si="84"/>
        <v>1248.0416666666667</v>
      </c>
      <c r="J1366" s="25">
        <f t="shared" si="85"/>
        <v>43</v>
      </c>
    </row>
    <row r="1367" spans="1:10" ht="16.95" customHeight="1">
      <c r="A1367" s="75" t="s">
        <v>85</v>
      </c>
      <c r="B1367" s="80" t="s">
        <v>86</v>
      </c>
      <c r="C1367" s="77" t="s">
        <v>48</v>
      </c>
      <c r="D1367" s="78">
        <v>1</v>
      </c>
      <c r="E1367" s="79">
        <f t="shared" si="86"/>
        <v>8.3333333333333332E-3</v>
      </c>
      <c r="F1367" s="79">
        <f t="shared" si="83"/>
        <v>0.17499999999999999</v>
      </c>
      <c r="G1367" s="2"/>
      <c r="H1367" s="37">
        <v>6996</v>
      </c>
      <c r="I1367" s="4">
        <f t="shared" si="84"/>
        <v>58.3</v>
      </c>
      <c r="J1367" s="25">
        <f t="shared" si="85"/>
        <v>43</v>
      </c>
    </row>
    <row r="1368" spans="1:10" ht="16.95" customHeight="1">
      <c r="A1368" s="75" t="s">
        <v>87</v>
      </c>
      <c r="B1368" s="80" t="s">
        <v>88</v>
      </c>
      <c r="C1368" s="77" t="s">
        <v>48</v>
      </c>
      <c r="D1368" s="78">
        <v>1</v>
      </c>
      <c r="E1368" s="79">
        <f>1/120</f>
        <v>8.3333333333333332E-3</v>
      </c>
      <c r="F1368" s="79">
        <f t="shared" si="83"/>
        <v>0.17499999999999999</v>
      </c>
      <c r="G1368" s="2"/>
      <c r="H1368" s="37">
        <v>116952</v>
      </c>
      <c r="I1368" s="4">
        <f t="shared" si="84"/>
        <v>974.6</v>
      </c>
      <c r="J1368" s="25">
        <f t="shared" si="85"/>
        <v>43</v>
      </c>
    </row>
    <row r="1369" spans="1:10" ht="16.95" customHeight="1">
      <c r="A1369" s="95" t="s">
        <v>23</v>
      </c>
      <c r="B1369" s="95"/>
      <c r="C1369" s="50"/>
      <c r="D1369" s="50"/>
      <c r="E1369" s="50"/>
      <c r="F1369" s="50"/>
      <c r="G1369" s="50"/>
      <c r="H1369" s="3" t="s">
        <v>24</v>
      </c>
      <c r="I1369" s="5">
        <f>SUM(I1334:I1368)</f>
        <v>15057.404999999999</v>
      </c>
      <c r="J1369" s="25">
        <f t="shared" si="85"/>
        <v>43</v>
      </c>
    </row>
    <row r="1370" spans="1:10" ht="16.95" customHeight="1">
      <c r="A1370" s="96" t="s">
        <v>25</v>
      </c>
      <c r="B1370" s="96"/>
      <c r="C1370" s="50"/>
      <c r="D1370" s="50"/>
      <c r="E1370" s="50"/>
      <c r="F1370" s="50"/>
      <c r="G1370" s="50"/>
      <c r="J1370" s="25">
        <f t="shared" si="85"/>
        <v>43</v>
      </c>
    </row>
    <row r="1371" spans="1:10" ht="16.95" customHeight="1">
      <c r="A1371" s="96" t="s">
        <v>26</v>
      </c>
      <c r="B1371" s="96"/>
      <c r="C1371" s="50"/>
      <c r="D1371" s="50"/>
      <c r="E1371" s="50"/>
      <c r="F1371" s="50"/>
      <c r="G1371" s="50"/>
      <c r="J1371" s="25">
        <f t="shared" si="85"/>
        <v>43</v>
      </c>
    </row>
    <row r="1372" spans="1:10" ht="16.95" customHeight="1">
      <c r="A1372" s="95" t="s">
        <v>27</v>
      </c>
      <c r="B1372" s="95"/>
      <c r="C1372" s="95"/>
      <c r="D1372" s="95"/>
      <c r="E1372" s="95"/>
      <c r="F1372" s="95"/>
      <c r="G1372" s="95"/>
      <c r="J1372" s="25">
        <f t="shared" si="85"/>
        <v>43</v>
      </c>
    </row>
    <row r="1373" spans="1:10" ht="16.95" customHeight="1">
      <c r="A1373" s="94" t="s">
        <v>28</v>
      </c>
      <c r="B1373" s="94"/>
      <c r="C1373" s="51" t="s">
        <v>29</v>
      </c>
      <c r="D1373" s="51" t="s">
        <v>30</v>
      </c>
      <c r="E1373" s="51" t="s">
        <v>18</v>
      </c>
      <c r="F1373" s="51" t="s">
        <v>31</v>
      </c>
      <c r="G1373" s="51" t="s">
        <v>20</v>
      </c>
      <c r="J1373" s="25">
        <f t="shared" si="85"/>
        <v>43</v>
      </c>
    </row>
    <row r="1374" spans="1:10" ht="16.95" customHeight="1">
      <c r="A1374" s="96"/>
      <c r="B1374" s="96"/>
      <c r="C1374" s="50"/>
      <c r="D1374" s="50"/>
      <c r="E1374" s="50"/>
      <c r="F1374" s="50"/>
      <c r="G1374" s="51"/>
      <c r="J1374" s="25">
        <f t="shared" si="85"/>
        <v>43</v>
      </c>
    </row>
    <row r="1375" spans="1:10" ht="16.95" customHeight="1">
      <c r="A1375" s="97"/>
      <c r="B1375" s="97"/>
      <c r="C1375" s="50"/>
      <c r="D1375" s="50"/>
      <c r="E1375" s="50"/>
      <c r="F1375" s="51"/>
      <c r="G1375" s="51"/>
      <c r="J1375" s="25">
        <f t="shared" si="85"/>
        <v>43</v>
      </c>
    </row>
    <row r="1376" spans="1:10" ht="16.95" customHeight="1">
      <c r="A1376" s="95" t="s">
        <v>32</v>
      </c>
      <c r="B1376" s="95"/>
      <c r="C1376" s="95"/>
      <c r="D1376" s="95"/>
      <c r="E1376" s="95"/>
      <c r="F1376" s="95"/>
      <c r="G1376" s="95"/>
      <c r="J1376" s="25">
        <f t="shared" si="85"/>
        <v>44</v>
      </c>
    </row>
    <row r="1377" spans="1:10" ht="16.95" customHeight="1">
      <c r="A1377" s="51" t="s">
        <v>33</v>
      </c>
      <c r="B1377" s="51" t="s">
        <v>34</v>
      </c>
      <c r="C1377" s="94" t="s">
        <v>35</v>
      </c>
      <c r="D1377" s="94"/>
      <c r="E1377" s="51" t="s">
        <v>36</v>
      </c>
      <c r="F1377" s="51" t="s">
        <v>37</v>
      </c>
      <c r="G1377" s="51" t="s">
        <v>38</v>
      </c>
      <c r="J1377" s="25">
        <f t="shared" si="85"/>
        <v>44</v>
      </c>
    </row>
    <row r="1378" spans="1:10" ht="16.95" customHeight="1">
      <c r="A1378" s="51" t="s">
        <v>39</v>
      </c>
      <c r="B1378" s="6">
        <v>1</v>
      </c>
      <c r="C1378" s="94">
        <f>B1378+C1315</f>
        <v>15</v>
      </c>
      <c r="D1378" s="94"/>
      <c r="E1378" s="51"/>
      <c r="F1378" s="24"/>
      <c r="G1378" s="24"/>
      <c r="J1378" s="25">
        <f t="shared" si="85"/>
        <v>44</v>
      </c>
    </row>
    <row r="1379" spans="1:10" ht="16.95" customHeight="1">
      <c r="A1379" s="51" t="s">
        <v>40</v>
      </c>
      <c r="B1379" s="6">
        <v>1</v>
      </c>
      <c r="C1379" s="94">
        <f>B1379+C1316</f>
        <v>16</v>
      </c>
      <c r="D1379" s="94"/>
      <c r="E1379" s="51"/>
      <c r="F1379" s="24"/>
      <c r="G1379" s="24"/>
      <c r="J1379" s="25">
        <f t="shared" si="85"/>
        <v>44</v>
      </c>
    </row>
    <row r="1380" spans="1:10" ht="36.6" customHeight="1">
      <c r="A1380" s="95" t="s">
        <v>41</v>
      </c>
      <c r="B1380" s="95"/>
      <c r="C1380" s="95"/>
      <c r="D1380" s="95"/>
      <c r="E1380" s="95"/>
      <c r="F1380" s="95"/>
      <c r="G1380" s="95"/>
      <c r="J1380" s="25">
        <f t="shared" si="85"/>
        <v>44</v>
      </c>
    </row>
    <row r="1381" spans="1:10" ht="90" customHeight="1">
      <c r="A1381" s="92" t="s">
        <v>42</v>
      </c>
      <c r="B1381" s="92"/>
      <c r="C1381" s="92"/>
      <c r="D1381" s="92"/>
      <c r="E1381" s="92"/>
      <c r="F1381" s="92"/>
      <c r="G1381" s="92"/>
      <c r="J1381" s="25">
        <f t="shared" si="85"/>
        <v>44</v>
      </c>
    </row>
    <row r="1382" spans="1:10" ht="16.95" customHeight="1">
      <c r="A1382" s="95" t="s">
        <v>43</v>
      </c>
      <c r="B1382" s="95"/>
      <c r="C1382" s="95"/>
      <c r="D1382" s="95"/>
      <c r="E1382" s="95"/>
      <c r="F1382" s="95"/>
      <c r="G1382" s="95"/>
      <c r="J1382" s="25">
        <f t="shared" si="85"/>
        <v>44</v>
      </c>
    </row>
    <row r="1383" spans="1:10" ht="16.95" customHeight="1">
      <c r="A1383" s="95" t="s">
        <v>44</v>
      </c>
      <c r="B1383" s="95"/>
      <c r="C1383" s="95"/>
      <c r="D1383" s="95"/>
      <c r="E1383" s="95"/>
      <c r="F1383" s="95"/>
      <c r="G1383" s="95"/>
      <c r="J1383" s="25">
        <f t="shared" si="85"/>
        <v>44</v>
      </c>
    </row>
    <row r="1384" spans="1:10" ht="16.95" customHeight="1">
      <c r="A1384" s="91" t="s">
        <v>125</v>
      </c>
      <c r="B1384" s="91"/>
      <c r="C1384" s="91"/>
      <c r="D1384" s="91"/>
      <c r="E1384" s="91"/>
      <c r="F1384" s="91"/>
      <c r="G1384" s="91"/>
      <c r="J1384" s="25">
        <f t="shared" si="85"/>
        <v>44</v>
      </c>
    </row>
    <row r="1385" spans="1:10" ht="120.6" customHeight="1">
      <c r="A1385" s="92" t="s">
        <v>45</v>
      </c>
      <c r="B1385" s="92"/>
      <c r="C1385" s="92"/>
      <c r="D1385" s="92"/>
      <c r="E1385" s="92"/>
      <c r="F1385" s="92"/>
      <c r="G1385" s="92"/>
      <c r="J1385" s="25">
        <f t="shared" si="85"/>
        <v>44</v>
      </c>
    </row>
    <row r="1386" spans="1:10" ht="140.4" customHeight="1">
      <c r="A1386" s="93" t="s">
        <v>46</v>
      </c>
      <c r="B1386" s="93"/>
      <c r="C1386" s="93"/>
      <c r="D1386" s="93"/>
      <c r="E1386" s="93"/>
      <c r="F1386" s="93"/>
      <c r="G1386" s="93"/>
      <c r="J1386" s="25">
        <f t="shared" si="85"/>
        <v>44</v>
      </c>
    </row>
    <row r="1387" spans="1:10" ht="37.200000000000003" customHeight="1">
      <c r="A1387" s="103" t="s">
        <v>0</v>
      </c>
      <c r="B1387" s="103"/>
      <c r="C1387" s="103"/>
      <c r="D1387" s="103"/>
      <c r="E1387" s="103"/>
      <c r="F1387" s="103"/>
      <c r="G1387" s="103"/>
      <c r="J1387" s="25">
        <f t="shared" si="85"/>
        <v>45</v>
      </c>
    </row>
    <row r="1388" spans="1:10" ht="16.95" customHeight="1">
      <c r="A1388" s="1" t="s">
        <v>1</v>
      </c>
      <c r="B1388" s="104">
        <f>B1325+1</f>
        <v>23</v>
      </c>
      <c r="C1388" s="104"/>
      <c r="D1388" s="104"/>
      <c r="E1388" s="104"/>
      <c r="F1388" s="104"/>
      <c r="G1388" s="104"/>
      <c r="J1388" s="25">
        <f t="shared" si="85"/>
        <v>45</v>
      </c>
    </row>
    <row r="1389" spans="1:10" ht="16.95" customHeight="1">
      <c r="A1389" s="1" t="s">
        <v>2</v>
      </c>
      <c r="B1389" s="105" t="s">
        <v>63</v>
      </c>
      <c r="C1389" s="105"/>
      <c r="D1389" s="105"/>
      <c r="E1389" s="106">
        <f>E1326+1</f>
        <v>46226</v>
      </c>
      <c r="F1389" s="106"/>
      <c r="G1389" s="106"/>
      <c r="J1389" s="25">
        <f t="shared" si="85"/>
        <v>45</v>
      </c>
    </row>
    <row r="1390" spans="1:10" ht="16.95" customHeight="1">
      <c r="A1390" s="53" t="s">
        <v>3</v>
      </c>
      <c r="B1390" s="2" t="s">
        <v>67</v>
      </c>
      <c r="C1390" s="98" t="s">
        <v>4</v>
      </c>
      <c r="D1390" s="98"/>
      <c r="E1390" s="98" t="s">
        <v>47</v>
      </c>
      <c r="F1390" s="98"/>
      <c r="G1390" s="98"/>
      <c r="J1390" s="25">
        <f t="shared" si="85"/>
        <v>45</v>
      </c>
    </row>
    <row r="1391" spans="1:10" ht="16.95" customHeight="1">
      <c r="A1391" s="53" t="s">
        <v>5</v>
      </c>
      <c r="B1391" s="54">
        <v>120</v>
      </c>
      <c r="C1391" s="98" t="s">
        <v>6</v>
      </c>
      <c r="D1391" s="98"/>
      <c r="E1391" s="98">
        <v>1</v>
      </c>
      <c r="F1391" s="98"/>
      <c r="G1391" s="98"/>
      <c r="J1391" s="25">
        <f t="shared" si="85"/>
        <v>45</v>
      </c>
    </row>
    <row r="1392" spans="1:10" ht="16.95" customHeight="1">
      <c r="A1392" s="53" t="s">
        <v>7</v>
      </c>
      <c r="B1392" s="54">
        <f>B1388</f>
        <v>23</v>
      </c>
      <c r="C1392" s="100" t="s">
        <v>8</v>
      </c>
      <c r="D1392" s="100"/>
      <c r="E1392" s="101">
        <f>B1391-B1392+1</f>
        <v>98</v>
      </c>
      <c r="F1392" s="101"/>
      <c r="G1392" s="101"/>
      <c r="J1392" s="25">
        <f t="shared" si="85"/>
        <v>45</v>
      </c>
    </row>
    <row r="1393" spans="1:10" ht="16.95" customHeight="1">
      <c r="A1393" s="53" t="s">
        <v>9</v>
      </c>
      <c r="B1393" s="55">
        <v>46204</v>
      </c>
      <c r="C1393" s="98" t="s">
        <v>10</v>
      </c>
      <c r="D1393" s="98"/>
      <c r="E1393" s="102">
        <f>B1393+B1391-1</f>
        <v>46323</v>
      </c>
      <c r="F1393" s="102"/>
      <c r="G1393" s="102"/>
      <c r="J1393" s="25">
        <f t="shared" si="85"/>
        <v>45</v>
      </c>
    </row>
    <row r="1394" spans="1:10" ht="16.95" customHeight="1">
      <c r="A1394" s="53" t="s">
        <v>11</v>
      </c>
      <c r="B1394" s="56">
        <f>HLOOKUP(B1388,進度表!$Q$2:$Z$3,2,1)+B1331</f>
        <v>9.7963835165580951E-2</v>
      </c>
      <c r="C1394" s="98" t="s">
        <v>12</v>
      </c>
      <c r="D1394" s="98"/>
      <c r="E1394" s="99">
        <f>I1432/I1394+E1331</f>
        <v>0.10881581026058627</v>
      </c>
      <c r="F1394" s="99"/>
      <c r="G1394" s="99"/>
      <c r="H1394" s="3" t="s">
        <v>62</v>
      </c>
      <c r="I1394" s="1">
        <v>2456000</v>
      </c>
      <c r="J1394" s="25">
        <f t="shared" si="85"/>
        <v>45</v>
      </c>
    </row>
    <row r="1395" spans="1:10" ht="16.95" customHeight="1">
      <c r="A1395" s="98" t="s">
        <v>13</v>
      </c>
      <c r="B1395" s="98"/>
      <c r="C1395" s="98"/>
      <c r="D1395" s="98"/>
      <c r="E1395" s="98"/>
      <c r="F1395" s="98"/>
      <c r="G1395" s="98"/>
      <c r="J1395" s="25">
        <f t="shared" si="85"/>
        <v>45</v>
      </c>
    </row>
    <row r="1396" spans="1:10" ht="16.95" customHeight="1">
      <c r="A1396" s="52" t="s">
        <v>14</v>
      </c>
      <c r="B1396" s="52" t="s">
        <v>15</v>
      </c>
      <c r="C1396" s="52" t="s">
        <v>16</v>
      </c>
      <c r="D1396" s="52" t="s">
        <v>17</v>
      </c>
      <c r="E1396" s="52" t="s">
        <v>18</v>
      </c>
      <c r="F1396" s="52" t="s">
        <v>19</v>
      </c>
      <c r="G1396" s="52" t="s">
        <v>20</v>
      </c>
      <c r="H1396" s="3" t="s">
        <v>21</v>
      </c>
      <c r="I1396" s="3" t="s">
        <v>22</v>
      </c>
      <c r="J1396" s="25">
        <f t="shared" si="85"/>
        <v>45</v>
      </c>
    </row>
    <row r="1397" spans="1:10" ht="16.95" customHeight="1">
      <c r="A1397" s="75" t="s">
        <v>65</v>
      </c>
      <c r="B1397" s="76" t="s">
        <v>69</v>
      </c>
      <c r="C1397" s="77"/>
      <c r="D1397" s="78"/>
      <c r="E1397" s="79"/>
      <c r="F1397" s="79"/>
      <c r="G1397" s="2"/>
      <c r="H1397" s="37"/>
      <c r="I1397" s="4"/>
      <c r="J1397" s="25">
        <f t="shared" si="85"/>
        <v>45</v>
      </c>
    </row>
    <row r="1398" spans="1:10" ht="34.950000000000003" customHeight="1">
      <c r="A1398" s="75">
        <v>1</v>
      </c>
      <c r="B1398" s="80" t="s">
        <v>91</v>
      </c>
      <c r="C1398" s="77" t="s">
        <v>48</v>
      </c>
      <c r="D1398" s="78">
        <v>1</v>
      </c>
      <c r="E1398" s="79"/>
      <c r="F1398" s="79">
        <f t="shared" ref="F1398:F1431" si="87">E1398+F1335</f>
        <v>1</v>
      </c>
      <c r="G1398" s="2"/>
      <c r="H1398" s="37">
        <v>10508</v>
      </c>
      <c r="I1398" s="4">
        <f>H1398*E1398</f>
        <v>0</v>
      </c>
      <c r="J1398" s="25">
        <f t="shared" si="85"/>
        <v>45</v>
      </c>
    </row>
    <row r="1399" spans="1:10" ht="34.799999999999997" customHeight="1">
      <c r="A1399" s="75">
        <v>2</v>
      </c>
      <c r="B1399" s="80" t="s">
        <v>92</v>
      </c>
      <c r="C1399" s="77" t="s">
        <v>48</v>
      </c>
      <c r="D1399" s="78">
        <v>1</v>
      </c>
      <c r="E1399" s="79"/>
      <c r="F1399" s="79">
        <f t="shared" si="87"/>
        <v>0</v>
      </c>
      <c r="G1399" s="2"/>
      <c r="H1399" s="37">
        <v>13223</v>
      </c>
      <c r="I1399" s="4">
        <f>H1399*E1399</f>
        <v>0</v>
      </c>
      <c r="J1399" s="25">
        <f t="shared" si="85"/>
        <v>45</v>
      </c>
    </row>
    <row r="1400" spans="1:10" ht="53.4" customHeight="1">
      <c r="A1400" s="75">
        <v>3</v>
      </c>
      <c r="B1400" s="80" t="s">
        <v>93</v>
      </c>
      <c r="C1400" s="77" t="s">
        <v>48</v>
      </c>
      <c r="D1400" s="78">
        <v>1</v>
      </c>
      <c r="E1400" s="79">
        <v>0.04</v>
      </c>
      <c r="F1400" s="79">
        <f t="shared" si="87"/>
        <v>0.64</v>
      </c>
      <c r="G1400" s="2"/>
      <c r="H1400" s="37">
        <v>310497</v>
      </c>
      <c r="I1400" s="4">
        <f t="shared" ref="I1400:I1431" si="88">H1400*E1400</f>
        <v>12419.880000000001</v>
      </c>
      <c r="J1400" s="25">
        <f t="shared" si="85"/>
        <v>45</v>
      </c>
    </row>
    <row r="1401" spans="1:10" ht="16.95" customHeight="1">
      <c r="A1401" s="75">
        <v>4</v>
      </c>
      <c r="B1401" s="80" t="s">
        <v>94</v>
      </c>
      <c r="C1401" s="77" t="s">
        <v>48</v>
      </c>
      <c r="D1401" s="78">
        <v>1</v>
      </c>
      <c r="E1401" s="79"/>
      <c r="F1401" s="79">
        <f t="shared" si="87"/>
        <v>0</v>
      </c>
      <c r="G1401" s="2"/>
      <c r="H1401" s="37">
        <v>8375</v>
      </c>
      <c r="I1401" s="4">
        <f t="shared" si="88"/>
        <v>0</v>
      </c>
      <c r="J1401" s="25">
        <f t="shared" si="85"/>
        <v>45</v>
      </c>
    </row>
    <row r="1402" spans="1:10" ht="16.95" customHeight="1">
      <c r="A1402" s="75">
        <v>5</v>
      </c>
      <c r="B1402" s="80" t="s">
        <v>95</v>
      </c>
      <c r="C1402" s="77" t="s">
        <v>48</v>
      </c>
      <c r="D1402" s="78">
        <v>1</v>
      </c>
      <c r="E1402" s="79"/>
      <c r="F1402" s="79">
        <f t="shared" si="87"/>
        <v>0</v>
      </c>
      <c r="G1402" s="2"/>
      <c r="H1402" s="37">
        <v>51618</v>
      </c>
      <c r="I1402" s="4">
        <f t="shared" si="88"/>
        <v>0</v>
      </c>
      <c r="J1402" s="25">
        <f t="shared" si="85"/>
        <v>45</v>
      </c>
    </row>
    <row r="1403" spans="1:10" ht="16.95" customHeight="1">
      <c r="A1403" s="75">
        <v>6</v>
      </c>
      <c r="B1403" s="80" t="s">
        <v>96</v>
      </c>
      <c r="C1403" s="77" t="s">
        <v>50</v>
      </c>
      <c r="D1403" s="78">
        <v>11.55</v>
      </c>
      <c r="E1403" s="79"/>
      <c r="F1403" s="79">
        <f t="shared" si="87"/>
        <v>0</v>
      </c>
      <c r="G1403" s="2"/>
      <c r="H1403" s="37">
        <v>1188</v>
      </c>
      <c r="I1403" s="4">
        <f t="shared" si="88"/>
        <v>0</v>
      </c>
      <c r="J1403" s="25">
        <f t="shared" ref="J1403:J1466" si="89">J1340+2</f>
        <v>45</v>
      </c>
    </row>
    <row r="1404" spans="1:10" ht="34.950000000000003" customHeight="1">
      <c r="A1404" s="75">
        <v>7</v>
      </c>
      <c r="B1404" s="80" t="s">
        <v>97</v>
      </c>
      <c r="C1404" s="77" t="s">
        <v>48</v>
      </c>
      <c r="D1404" s="78">
        <v>1</v>
      </c>
      <c r="E1404" s="79"/>
      <c r="F1404" s="79">
        <f t="shared" si="87"/>
        <v>0</v>
      </c>
      <c r="G1404" s="2"/>
      <c r="H1404" s="37">
        <v>21157</v>
      </c>
      <c r="I1404" s="4">
        <f t="shared" si="88"/>
        <v>0</v>
      </c>
      <c r="J1404" s="25">
        <f t="shared" si="89"/>
        <v>45</v>
      </c>
    </row>
    <row r="1405" spans="1:10" ht="16.95" customHeight="1">
      <c r="A1405" s="75">
        <v>8</v>
      </c>
      <c r="B1405" s="80" t="s">
        <v>98</v>
      </c>
      <c r="C1405" s="77" t="s">
        <v>50</v>
      </c>
      <c r="D1405" s="78">
        <v>387</v>
      </c>
      <c r="E1405" s="79"/>
      <c r="F1405" s="79">
        <f t="shared" si="87"/>
        <v>0</v>
      </c>
      <c r="G1405" s="2"/>
      <c r="H1405" s="37">
        <v>705</v>
      </c>
      <c r="I1405" s="4">
        <f t="shared" si="88"/>
        <v>0</v>
      </c>
      <c r="J1405" s="25">
        <f t="shared" si="89"/>
        <v>45</v>
      </c>
    </row>
    <row r="1406" spans="1:10" ht="16.95" customHeight="1">
      <c r="A1406" s="75">
        <v>9</v>
      </c>
      <c r="B1406" s="80" t="s">
        <v>99</v>
      </c>
      <c r="C1406" s="77" t="s">
        <v>50</v>
      </c>
      <c r="D1406" s="78">
        <v>170</v>
      </c>
      <c r="E1406" s="79"/>
      <c r="F1406" s="79">
        <f t="shared" si="87"/>
        <v>0</v>
      </c>
      <c r="G1406" s="2"/>
      <c r="H1406" s="37">
        <v>617</v>
      </c>
      <c r="I1406" s="4">
        <f t="shared" si="88"/>
        <v>0</v>
      </c>
      <c r="J1406" s="25">
        <f t="shared" si="89"/>
        <v>45</v>
      </c>
    </row>
    <row r="1407" spans="1:10" ht="16.95" customHeight="1">
      <c r="A1407" s="75">
        <v>10</v>
      </c>
      <c r="B1407" s="80" t="s">
        <v>100</v>
      </c>
      <c r="C1407" s="77" t="s">
        <v>66</v>
      </c>
      <c r="D1407" s="78">
        <v>15</v>
      </c>
      <c r="E1407" s="79"/>
      <c r="F1407" s="79">
        <f t="shared" si="87"/>
        <v>0</v>
      </c>
      <c r="G1407" s="2"/>
      <c r="H1407" s="37">
        <v>617</v>
      </c>
      <c r="I1407" s="4">
        <f t="shared" si="88"/>
        <v>0</v>
      </c>
      <c r="J1407" s="25">
        <f t="shared" si="89"/>
        <v>45</v>
      </c>
    </row>
    <row r="1408" spans="1:10" ht="16.95" customHeight="1">
      <c r="A1408" s="75">
        <v>11</v>
      </c>
      <c r="B1408" s="80" t="s">
        <v>101</v>
      </c>
      <c r="C1408" s="77" t="s">
        <v>50</v>
      </c>
      <c r="D1408" s="78">
        <v>75</v>
      </c>
      <c r="E1408" s="79"/>
      <c r="F1408" s="79">
        <f t="shared" si="87"/>
        <v>0</v>
      </c>
      <c r="G1408" s="2"/>
      <c r="H1408" s="37">
        <v>1146</v>
      </c>
      <c r="I1408" s="4">
        <f t="shared" si="88"/>
        <v>0</v>
      </c>
      <c r="J1408" s="25">
        <f t="shared" si="89"/>
        <v>45</v>
      </c>
    </row>
    <row r="1409" spans="1:10" ht="16.95" customHeight="1">
      <c r="A1409" s="75">
        <v>12</v>
      </c>
      <c r="B1409" s="80" t="s">
        <v>102</v>
      </c>
      <c r="C1409" s="77" t="s">
        <v>50</v>
      </c>
      <c r="D1409" s="78">
        <v>5</v>
      </c>
      <c r="E1409" s="79"/>
      <c r="F1409" s="79">
        <f t="shared" si="87"/>
        <v>0</v>
      </c>
      <c r="G1409" s="2"/>
      <c r="H1409" s="37">
        <v>1455</v>
      </c>
      <c r="I1409" s="4">
        <f t="shared" si="88"/>
        <v>0</v>
      </c>
      <c r="J1409" s="25">
        <f t="shared" si="89"/>
        <v>45</v>
      </c>
    </row>
    <row r="1410" spans="1:10" ht="16.95" customHeight="1">
      <c r="A1410" s="75">
        <v>13</v>
      </c>
      <c r="B1410" s="80" t="s">
        <v>103</v>
      </c>
      <c r="C1410" s="77" t="s">
        <v>50</v>
      </c>
      <c r="D1410" s="78">
        <v>217</v>
      </c>
      <c r="E1410" s="79"/>
      <c r="F1410" s="79">
        <f t="shared" si="87"/>
        <v>0</v>
      </c>
      <c r="G1410" s="2"/>
      <c r="H1410" s="37">
        <v>1410</v>
      </c>
      <c r="I1410" s="4">
        <f t="shared" si="88"/>
        <v>0</v>
      </c>
      <c r="J1410" s="25">
        <f t="shared" si="89"/>
        <v>45</v>
      </c>
    </row>
    <row r="1411" spans="1:10" ht="16.95" customHeight="1">
      <c r="A1411" s="75">
        <v>14</v>
      </c>
      <c r="B1411" s="80" t="s">
        <v>104</v>
      </c>
      <c r="C1411" s="77" t="s">
        <v>49</v>
      </c>
      <c r="D1411" s="78">
        <v>84</v>
      </c>
      <c r="E1411" s="79"/>
      <c r="F1411" s="79">
        <f t="shared" si="87"/>
        <v>0</v>
      </c>
      <c r="G1411" s="2"/>
      <c r="H1411" s="37">
        <v>529</v>
      </c>
      <c r="I1411" s="4">
        <f t="shared" si="88"/>
        <v>0</v>
      </c>
      <c r="J1411" s="25">
        <f t="shared" si="89"/>
        <v>45</v>
      </c>
    </row>
    <row r="1412" spans="1:10" ht="16.95" customHeight="1">
      <c r="A1412" s="75">
        <v>15</v>
      </c>
      <c r="B1412" s="80" t="s">
        <v>105</v>
      </c>
      <c r="C1412" s="77" t="s">
        <v>50</v>
      </c>
      <c r="D1412" s="78">
        <v>1</v>
      </c>
      <c r="E1412" s="79"/>
      <c r="F1412" s="79">
        <f t="shared" si="87"/>
        <v>0</v>
      </c>
      <c r="G1412" s="2"/>
      <c r="H1412" s="37">
        <v>1146</v>
      </c>
      <c r="I1412" s="4">
        <f t="shared" si="88"/>
        <v>0</v>
      </c>
      <c r="J1412" s="25">
        <f t="shared" si="89"/>
        <v>45</v>
      </c>
    </row>
    <row r="1413" spans="1:10" ht="34.799999999999997" customHeight="1">
      <c r="A1413" s="75">
        <v>16</v>
      </c>
      <c r="B1413" s="80" t="s">
        <v>106</v>
      </c>
      <c r="C1413" s="77" t="s">
        <v>50</v>
      </c>
      <c r="D1413" s="78">
        <v>314</v>
      </c>
      <c r="E1413" s="79"/>
      <c r="F1413" s="79">
        <f t="shared" si="87"/>
        <v>0</v>
      </c>
      <c r="G1413" s="2"/>
      <c r="H1413" s="37">
        <v>185</v>
      </c>
      <c r="I1413" s="4">
        <f t="shared" si="88"/>
        <v>0</v>
      </c>
      <c r="J1413" s="25">
        <f t="shared" si="89"/>
        <v>45</v>
      </c>
    </row>
    <row r="1414" spans="1:10" ht="16.95" customHeight="1">
      <c r="A1414" s="75">
        <v>17</v>
      </c>
      <c r="B1414" s="80" t="s">
        <v>107</v>
      </c>
      <c r="C1414" s="77" t="s">
        <v>48</v>
      </c>
      <c r="D1414" s="78">
        <v>1</v>
      </c>
      <c r="E1414" s="79"/>
      <c r="F1414" s="79">
        <f t="shared" si="87"/>
        <v>0</v>
      </c>
      <c r="G1414" s="2"/>
      <c r="H1414" s="37">
        <v>89918</v>
      </c>
      <c r="I1414" s="4">
        <f t="shared" si="88"/>
        <v>0</v>
      </c>
      <c r="J1414" s="25">
        <f t="shared" si="89"/>
        <v>45</v>
      </c>
    </row>
    <row r="1415" spans="1:10" ht="16.95" customHeight="1">
      <c r="A1415" s="75">
        <v>18</v>
      </c>
      <c r="B1415" s="80" t="s">
        <v>108</v>
      </c>
      <c r="C1415" s="77" t="s">
        <v>120</v>
      </c>
      <c r="D1415" s="78">
        <v>15</v>
      </c>
      <c r="E1415" s="79"/>
      <c r="F1415" s="79">
        <f t="shared" si="87"/>
        <v>0</v>
      </c>
      <c r="G1415" s="2"/>
      <c r="H1415" s="37">
        <v>661</v>
      </c>
      <c r="I1415" s="4">
        <f t="shared" si="88"/>
        <v>0</v>
      </c>
      <c r="J1415" s="25">
        <f t="shared" si="89"/>
        <v>45</v>
      </c>
    </row>
    <row r="1416" spans="1:10" ht="16.95" customHeight="1">
      <c r="A1416" s="75">
        <v>19</v>
      </c>
      <c r="B1416" s="80" t="s">
        <v>109</v>
      </c>
      <c r="C1416" s="77" t="s">
        <v>50</v>
      </c>
      <c r="D1416" s="78">
        <v>82</v>
      </c>
      <c r="E1416" s="79"/>
      <c r="F1416" s="79">
        <f t="shared" si="87"/>
        <v>0</v>
      </c>
      <c r="G1416" s="2"/>
      <c r="H1416" s="37">
        <v>2909</v>
      </c>
      <c r="I1416" s="4">
        <f t="shared" si="88"/>
        <v>0</v>
      </c>
      <c r="J1416" s="25">
        <f t="shared" si="89"/>
        <v>45</v>
      </c>
    </row>
    <row r="1417" spans="1:10" ht="16.95" customHeight="1">
      <c r="A1417" s="75">
        <v>20</v>
      </c>
      <c r="B1417" s="80" t="s">
        <v>110</v>
      </c>
      <c r="C1417" s="77" t="s">
        <v>121</v>
      </c>
      <c r="D1417" s="78">
        <v>12</v>
      </c>
      <c r="E1417" s="79"/>
      <c r="F1417" s="79">
        <f t="shared" si="87"/>
        <v>0</v>
      </c>
      <c r="G1417" s="2"/>
      <c r="H1417" s="37">
        <v>882</v>
      </c>
      <c r="I1417" s="4">
        <f t="shared" si="88"/>
        <v>0</v>
      </c>
      <c r="J1417" s="25">
        <f t="shared" si="89"/>
        <v>45</v>
      </c>
    </row>
    <row r="1418" spans="1:10" ht="16.95" customHeight="1">
      <c r="A1418" s="77">
        <v>21</v>
      </c>
      <c r="B1418" s="80" t="s">
        <v>111</v>
      </c>
      <c r="C1418" s="77" t="s">
        <v>122</v>
      </c>
      <c r="D1418" s="78">
        <v>3</v>
      </c>
      <c r="E1418" s="79"/>
      <c r="F1418" s="79">
        <f t="shared" si="87"/>
        <v>0</v>
      </c>
      <c r="G1418" s="2"/>
      <c r="H1418" s="38">
        <v>1869</v>
      </c>
      <c r="I1418" s="4">
        <f t="shared" si="88"/>
        <v>0</v>
      </c>
      <c r="J1418" s="25">
        <f t="shared" si="89"/>
        <v>45</v>
      </c>
    </row>
    <row r="1419" spans="1:10" ht="34.950000000000003" customHeight="1">
      <c r="A1419" s="75">
        <v>22</v>
      </c>
      <c r="B1419" s="80" t="s">
        <v>112</v>
      </c>
      <c r="C1419" s="77" t="s">
        <v>48</v>
      </c>
      <c r="D1419" s="78">
        <v>1</v>
      </c>
      <c r="E1419" s="79"/>
      <c r="F1419" s="79">
        <f t="shared" si="87"/>
        <v>0</v>
      </c>
      <c r="G1419" s="2"/>
      <c r="H1419" s="37">
        <v>82206</v>
      </c>
      <c r="I1419" s="4">
        <f t="shared" si="88"/>
        <v>0</v>
      </c>
      <c r="J1419" s="25">
        <f t="shared" si="89"/>
        <v>45</v>
      </c>
    </row>
    <row r="1420" spans="1:10" ht="16.95" customHeight="1">
      <c r="A1420" s="75">
        <v>23</v>
      </c>
      <c r="B1420" s="80" t="s">
        <v>113</v>
      </c>
      <c r="C1420" s="77" t="s">
        <v>48</v>
      </c>
      <c r="D1420" s="78">
        <v>1</v>
      </c>
      <c r="E1420" s="79"/>
      <c r="F1420" s="79">
        <f t="shared" si="87"/>
        <v>0</v>
      </c>
      <c r="G1420" s="2"/>
      <c r="H1420" s="37">
        <v>142723</v>
      </c>
      <c r="I1420" s="4">
        <f t="shared" si="88"/>
        <v>0</v>
      </c>
      <c r="J1420" s="25">
        <f t="shared" si="89"/>
        <v>45</v>
      </c>
    </row>
    <row r="1421" spans="1:10" ht="16.95" customHeight="1">
      <c r="A1421" s="75">
        <v>24</v>
      </c>
      <c r="B1421" s="80" t="s">
        <v>114</v>
      </c>
      <c r="C1421" s="77" t="s">
        <v>48</v>
      </c>
      <c r="D1421" s="78">
        <v>1</v>
      </c>
      <c r="E1421" s="79"/>
      <c r="F1421" s="79">
        <f t="shared" si="87"/>
        <v>0</v>
      </c>
      <c r="G1421" s="2"/>
      <c r="H1421" s="37">
        <v>37290</v>
      </c>
      <c r="I1421" s="4">
        <f t="shared" si="88"/>
        <v>0</v>
      </c>
      <c r="J1421" s="25">
        <f t="shared" si="89"/>
        <v>45</v>
      </c>
    </row>
    <row r="1422" spans="1:10" ht="16.95" customHeight="1">
      <c r="A1422" s="75">
        <v>25</v>
      </c>
      <c r="B1422" s="80" t="s">
        <v>115</v>
      </c>
      <c r="C1422" s="77" t="s">
        <v>48</v>
      </c>
      <c r="D1422" s="78">
        <v>1</v>
      </c>
      <c r="E1422" s="79"/>
      <c r="F1422" s="79">
        <f t="shared" si="87"/>
        <v>0</v>
      </c>
      <c r="G1422" s="2"/>
      <c r="H1422" s="37">
        <v>99394</v>
      </c>
      <c r="I1422" s="4">
        <f t="shared" si="88"/>
        <v>0</v>
      </c>
      <c r="J1422" s="25">
        <f t="shared" si="89"/>
        <v>45</v>
      </c>
    </row>
    <row r="1423" spans="1:10" ht="34.950000000000003" customHeight="1">
      <c r="A1423" s="75">
        <v>26</v>
      </c>
      <c r="B1423" s="80" t="s">
        <v>116</v>
      </c>
      <c r="C1423" s="77" t="s">
        <v>48</v>
      </c>
      <c r="D1423" s="78">
        <v>1</v>
      </c>
      <c r="E1423" s="79"/>
      <c r="F1423" s="79">
        <f t="shared" si="87"/>
        <v>0</v>
      </c>
      <c r="G1423" s="2"/>
      <c r="H1423" s="37">
        <v>21334</v>
      </c>
      <c r="I1423" s="4">
        <f t="shared" si="88"/>
        <v>0</v>
      </c>
      <c r="J1423" s="25">
        <f t="shared" si="89"/>
        <v>45</v>
      </c>
    </row>
    <row r="1424" spans="1:10" ht="16.95" customHeight="1">
      <c r="A1424" s="75">
        <v>27</v>
      </c>
      <c r="B1424" s="80" t="s">
        <v>117</v>
      </c>
      <c r="C1424" s="77" t="s">
        <v>48</v>
      </c>
      <c r="D1424" s="78">
        <v>1</v>
      </c>
      <c r="E1424" s="79"/>
      <c r="F1424" s="79">
        <f t="shared" si="87"/>
        <v>0</v>
      </c>
      <c r="G1424" s="2"/>
      <c r="H1424" s="37">
        <v>29620</v>
      </c>
      <c r="I1424" s="4">
        <f t="shared" si="88"/>
        <v>0</v>
      </c>
      <c r="J1424" s="25">
        <f t="shared" si="89"/>
        <v>45</v>
      </c>
    </row>
    <row r="1425" spans="1:10" ht="16.95" customHeight="1">
      <c r="A1425" s="75">
        <v>28</v>
      </c>
      <c r="B1425" s="80" t="s">
        <v>118</v>
      </c>
      <c r="C1425" s="77" t="s">
        <v>48</v>
      </c>
      <c r="D1425" s="78">
        <v>1</v>
      </c>
      <c r="E1425" s="79"/>
      <c r="F1425" s="79">
        <f t="shared" si="87"/>
        <v>0</v>
      </c>
      <c r="G1425" s="2"/>
      <c r="H1425" s="37">
        <v>18506</v>
      </c>
      <c r="I1425" s="4">
        <f t="shared" si="88"/>
        <v>0</v>
      </c>
      <c r="J1425" s="25">
        <f t="shared" si="89"/>
        <v>45</v>
      </c>
    </row>
    <row r="1426" spans="1:10" ht="16.95" customHeight="1">
      <c r="A1426" s="75">
        <v>29</v>
      </c>
      <c r="B1426" s="80" t="s">
        <v>119</v>
      </c>
      <c r="C1426" s="77" t="s">
        <v>48</v>
      </c>
      <c r="D1426" s="78">
        <v>1</v>
      </c>
      <c r="E1426" s="79"/>
      <c r="F1426" s="79">
        <f t="shared" si="87"/>
        <v>0</v>
      </c>
      <c r="G1426" s="2"/>
      <c r="H1426" s="37">
        <v>34381</v>
      </c>
      <c r="I1426" s="4">
        <f t="shared" si="88"/>
        <v>0</v>
      </c>
      <c r="J1426" s="25">
        <f t="shared" si="89"/>
        <v>45</v>
      </c>
    </row>
    <row r="1427" spans="1:10" ht="16.95" customHeight="1">
      <c r="A1427" s="75" t="s">
        <v>79</v>
      </c>
      <c r="B1427" s="80" t="s">
        <v>80</v>
      </c>
      <c r="C1427" s="77" t="s">
        <v>48</v>
      </c>
      <c r="D1427" s="78">
        <v>1</v>
      </c>
      <c r="E1427" s="79">
        <f t="shared" ref="E1427:E1430" si="90">1/120</f>
        <v>8.3333333333333332E-3</v>
      </c>
      <c r="F1427" s="79">
        <f t="shared" si="87"/>
        <v>0.18333333333333332</v>
      </c>
      <c r="G1427" s="2"/>
      <c r="H1427" s="37">
        <v>21395</v>
      </c>
      <c r="I1427" s="4">
        <f t="shared" si="88"/>
        <v>178.29166666666666</v>
      </c>
      <c r="J1427" s="25">
        <f t="shared" si="89"/>
        <v>45</v>
      </c>
    </row>
    <row r="1428" spans="1:10" ht="16.95" customHeight="1">
      <c r="A1428" s="75" t="s">
        <v>81</v>
      </c>
      <c r="B1428" s="80" t="s">
        <v>82</v>
      </c>
      <c r="C1428" s="77" t="s">
        <v>48</v>
      </c>
      <c r="D1428" s="78">
        <v>1</v>
      </c>
      <c r="E1428" s="79">
        <f t="shared" si="90"/>
        <v>8.3333333333333332E-3</v>
      </c>
      <c r="F1428" s="79">
        <f t="shared" si="87"/>
        <v>0.18333333333333332</v>
      </c>
      <c r="G1428" s="2"/>
      <c r="H1428" s="37">
        <v>21395</v>
      </c>
      <c r="I1428" s="4">
        <f t="shared" si="88"/>
        <v>178.29166666666666</v>
      </c>
      <c r="J1428" s="25">
        <f t="shared" si="89"/>
        <v>45</v>
      </c>
    </row>
    <row r="1429" spans="1:10" ht="16.95" customHeight="1">
      <c r="A1429" s="75" t="s">
        <v>83</v>
      </c>
      <c r="B1429" s="80" t="s">
        <v>84</v>
      </c>
      <c r="C1429" s="77" t="s">
        <v>48</v>
      </c>
      <c r="D1429" s="78">
        <v>1</v>
      </c>
      <c r="E1429" s="79">
        <f t="shared" si="90"/>
        <v>8.3333333333333332E-3</v>
      </c>
      <c r="F1429" s="79">
        <f t="shared" si="87"/>
        <v>0.18333333333333332</v>
      </c>
      <c r="G1429" s="2"/>
      <c r="H1429" s="37">
        <v>149765</v>
      </c>
      <c r="I1429" s="4">
        <f t="shared" si="88"/>
        <v>1248.0416666666667</v>
      </c>
      <c r="J1429" s="25">
        <f t="shared" si="89"/>
        <v>45</v>
      </c>
    </row>
    <row r="1430" spans="1:10" ht="16.95" customHeight="1">
      <c r="A1430" s="75" t="s">
        <v>85</v>
      </c>
      <c r="B1430" s="80" t="s">
        <v>86</v>
      </c>
      <c r="C1430" s="77" t="s">
        <v>48</v>
      </c>
      <c r="D1430" s="78">
        <v>1</v>
      </c>
      <c r="E1430" s="79">
        <f t="shared" si="90"/>
        <v>8.3333333333333332E-3</v>
      </c>
      <c r="F1430" s="79">
        <f t="shared" si="87"/>
        <v>0.18333333333333332</v>
      </c>
      <c r="G1430" s="2"/>
      <c r="H1430" s="37">
        <v>6996</v>
      </c>
      <c r="I1430" s="4">
        <f t="shared" si="88"/>
        <v>58.3</v>
      </c>
      <c r="J1430" s="25">
        <f t="shared" si="89"/>
        <v>45</v>
      </c>
    </row>
    <row r="1431" spans="1:10" ht="16.95" customHeight="1">
      <c r="A1431" s="75" t="s">
        <v>87</v>
      </c>
      <c r="B1431" s="80" t="s">
        <v>88</v>
      </c>
      <c r="C1431" s="77" t="s">
        <v>48</v>
      </c>
      <c r="D1431" s="78">
        <v>1</v>
      </c>
      <c r="E1431" s="79">
        <f>1/120</f>
        <v>8.3333333333333332E-3</v>
      </c>
      <c r="F1431" s="79">
        <f t="shared" si="87"/>
        <v>0.18333333333333332</v>
      </c>
      <c r="G1431" s="2"/>
      <c r="H1431" s="37">
        <v>116952</v>
      </c>
      <c r="I1431" s="4">
        <f t="shared" si="88"/>
        <v>974.6</v>
      </c>
      <c r="J1431" s="25">
        <f t="shared" si="89"/>
        <v>45</v>
      </c>
    </row>
    <row r="1432" spans="1:10" ht="16.95" customHeight="1">
      <c r="A1432" s="95" t="s">
        <v>23</v>
      </c>
      <c r="B1432" s="95"/>
      <c r="C1432" s="50"/>
      <c r="D1432" s="50"/>
      <c r="E1432" s="50"/>
      <c r="F1432" s="50"/>
      <c r="G1432" s="50"/>
      <c r="H1432" s="3" t="s">
        <v>24</v>
      </c>
      <c r="I1432" s="5">
        <f>SUM(I1397:I1431)</f>
        <v>15057.404999999999</v>
      </c>
      <c r="J1432" s="25">
        <f t="shared" si="89"/>
        <v>45</v>
      </c>
    </row>
    <row r="1433" spans="1:10" ht="16.95" customHeight="1">
      <c r="A1433" s="96" t="s">
        <v>25</v>
      </c>
      <c r="B1433" s="96"/>
      <c r="C1433" s="50"/>
      <c r="D1433" s="50"/>
      <c r="E1433" s="50"/>
      <c r="F1433" s="50"/>
      <c r="G1433" s="50"/>
      <c r="J1433" s="25">
        <f t="shared" si="89"/>
        <v>45</v>
      </c>
    </row>
    <row r="1434" spans="1:10" ht="16.95" customHeight="1">
      <c r="A1434" s="96" t="s">
        <v>26</v>
      </c>
      <c r="B1434" s="96"/>
      <c r="C1434" s="50"/>
      <c r="D1434" s="50"/>
      <c r="E1434" s="50"/>
      <c r="F1434" s="50"/>
      <c r="G1434" s="50"/>
      <c r="J1434" s="25">
        <f t="shared" si="89"/>
        <v>45</v>
      </c>
    </row>
    <row r="1435" spans="1:10" ht="16.95" customHeight="1">
      <c r="A1435" s="95" t="s">
        <v>27</v>
      </c>
      <c r="B1435" s="95"/>
      <c r="C1435" s="95"/>
      <c r="D1435" s="95"/>
      <c r="E1435" s="95"/>
      <c r="F1435" s="95"/>
      <c r="G1435" s="95"/>
      <c r="J1435" s="25">
        <f t="shared" si="89"/>
        <v>45</v>
      </c>
    </row>
    <row r="1436" spans="1:10" ht="16.95" customHeight="1">
      <c r="A1436" s="94" t="s">
        <v>28</v>
      </c>
      <c r="B1436" s="94"/>
      <c r="C1436" s="51" t="s">
        <v>29</v>
      </c>
      <c r="D1436" s="51" t="s">
        <v>30</v>
      </c>
      <c r="E1436" s="51" t="s">
        <v>18</v>
      </c>
      <c r="F1436" s="51" t="s">
        <v>31</v>
      </c>
      <c r="G1436" s="51" t="s">
        <v>20</v>
      </c>
      <c r="J1436" s="25">
        <f t="shared" si="89"/>
        <v>45</v>
      </c>
    </row>
    <row r="1437" spans="1:10" ht="16.95" customHeight="1">
      <c r="A1437" s="96"/>
      <c r="B1437" s="96"/>
      <c r="C1437" s="50"/>
      <c r="D1437" s="50"/>
      <c r="E1437" s="50"/>
      <c r="F1437" s="50"/>
      <c r="G1437" s="51"/>
      <c r="J1437" s="25">
        <f t="shared" si="89"/>
        <v>45</v>
      </c>
    </row>
    <row r="1438" spans="1:10" ht="16.95" customHeight="1">
      <c r="A1438" s="97"/>
      <c r="B1438" s="97"/>
      <c r="C1438" s="50"/>
      <c r="D1438" s="50"/>
      <c r="E1438" s="50"/>
      <c r="F1438" s="51"/>
      <c r="G1438" s="51"/>
      <c r="J1438" s="25">
        <f t="shared" si="89"/>
        <v>45</v>
      </c>
    </row>
    <row r="1439" spans="1:10" ht="16.95" customHeight="1">
      <c r="A1439" s="95" t="s">
        <v>32</v>
      </c>
      <c r="B1439" s="95"/>
      <c r="C1439" s="95"/>
      <c r="D1439" s="95"/>
      <c r="E1439" s="95"/>
      <c r="F1439" s="95"/>
      <c r="G1439" s="95"/>
      <c r="J1439" s="25">
        <f t="shared" si="89"/>
        <v>46</v>
      </c>
    </row>
    <row r="1440" spans="1:10" ht="16.95" customHeight="1">
      <c r="A1440" s="51" t="s">
        <v>33</v>
      </c>
      <c r="B1440" s="51" t="s">
        <v>34</v>
      </c>
      <c r="C1440" s="94" t="s">
        <v>35</v>
      </c>
      <c r="D1440" s="94"/>
      <c r="E1440" s="51" t="s">
        <v>36</v>
      </c>
      <c r="F1440" s="51" t="s">
        <v>37</v>
      </c>
      <c r="G1440" s="51" t="s">
        <v>38</v>
      </c>
      <c r="J1440" s="25">
        <f t="shared" si="89"/>
        <v>46</v>
      </c>
    </row>
    <row r="1441" spans="1:10" ht="16.95" customHeight="1">
      <c r="A1441" s="51" t="s">
        <v>39</v>
      </c>
      <c r="B1441" s="6">
        <v>1</v>
      </c>
      <c r="C1441" s="94">
        <f>B1441+C1378</f>
        <v>16</v>
      </c>
      <c r="D1441" s="94"/>
      <c r="E1441" s="51"/>
      <c r="F1441" s="24"/>
      <c r="G1441" s="24"/>
      <c r="J1441" s="25">
        <f t="shared" si="89"/>
        <v>46</v>
      </c>
    </row>
    <row r="1442" spans="1:10" ht="16.95" customHeight="1">
      <c r="A1442" s="51" t="s">
        <v>40</v>
      </c>
      <c r="B1442" s="6">
        <v>1</v>
      </c>
      <c r="C1442" s="94">
        <f>B1442+C1379</f>
        <v>17</v>
      </c>
      <c r="D1442" s="94"/>
      <c r="E1442" s="51"/>
      <c r="F1442" s="24"/>
      <c r="G1442" s="24"/>
      <c r="J1442" s="25">
        <f t="shared" si="89"/>
        <v>46</v>
      </c>
    </row>
    <row r="1443" spans="1:10" ht="36.6" customHeight="1">
      <c r="A1443" s="95" t="s">
        <v>41</v>
      </c>
      <c r="B1443" s="95"/>
      <c r="C1443" s="95"/>
      <c r="D1443" s="95"/>
      <c r="E1443" s="95"/>
      <c r="F1443" s="95"/>
      <c r="G1443" s="95"/>
      <c r="J1443" s="25">
        <f t="shared" si="89"/>
        <v>46</v>
      </c>
    </row>
    <row r="1444" spans="1:10" ht="90" customHeight="1">
      <c r="A1444" s="92" t="s">
        <v>42</v>
      </c>
      <c r="B1444" s="92"/>
      <c r="C1444" s="92"/>
      <c r="D1444" s="92"/>
      <c r="E1444" s="92"/>
      <c r="F1444" s="92"/>
      <c r="G1444" s="92"/>
      <c r="J1444" s="25">
        <f t="shared" si="89"/>
        <v>46</v>
      </c>
    </row>
    <row r="1445" spans="1:10" ht="16.95" customHeight="1">
      <c r="A1445" s="95" t="s">
        <v>43</v>
      </c>
      <c r="B1445" s="95"/>
      <c r="C1445" s="95"/>
      <c r="D1445" s="95"/>
      <c r="E1445" s="95"/>
      <c r="F1445" s="95"/>
      <c r="G1445" s="95"/>
      <c r="J1445" s="25">
        <f t="shared" si="89"/>
        <v>46</v>
      </c>
    </row>
    <row r="1446" spans="1:10" ht="16.95" customHeight="1">
      <c r="A1446" s="95" t="s">
        <v>44</v>
      </c>
      <c r="B1446" s="95"/>
      <c r="C1446" s="95"/>
      <c r="D1446" s="95"/>
      <c r="E1446" s="95"/>
      <c r="F1446" s="95"/>
      <c r="G1446" s="95"/>
      <c r="J1446" s="25">
        <f t="shared" si="89"/>
        <v>46</v>
      </c>
    </row>
    <row r="1447" spans="1:10" ht="16.95" customHeight="1">
      <c r="A1447" s="91" t="s">
        <v>125</v>
      </c>
      <c r="B1447" s="91"/>
      <c r="C1447" s="91"/>
      <c r="D1447" s="91"/>
      <c r="E1447" s="91"/>
      <c r="F1447" s="91"/>
      <c r="G1447" s="91"/>
      <c r="J1447" s="25">
        <f t="shared" si="89"/>
        <v>46</v>
      </c>
    </row>
    <row r="1448" spans="1:10" ht="120.6" customHeight="1">
      <c r="A1448" s="92" t="s">
        <v>45</v>
      </c>
      <c r="B1448" s="92"/>
      <c r="C1448" s="92"/>
      <c r="D1448" s="92"/>
      <c r="E1448" s="92"/>
      <c r="F1448" s="92"/>
      <c r="G1448" s="92"/>
      <c r="J1448" s="25">
        <f t="shared" si="89"/>
        <v>46</v>
      </c>
    </row>
    <row r="1449" spans="1:10" ht="140.4" customHeight="1">
      <c r="A1449" s="93" t="s">
        <v>46</v>
      </c>
      <c r="B1449" s="93"/>
      <c r="C1449" s="93"/>
      <c r="D1449" s="93"/>
      <c r="E1449" s="93"/>
      <c r="F1449" s="93"/>
      <c r="G1449" s="93"/>
      <c r="J1449" s="25">
        <f t="shared" si="89"/>
        <v>46</v>
      </c>
    </row>
    <row r="1450" spans="1:10" ht="37.200000000000003" customHeight="1">
      <c r="A1450" s="103" t="s">
        <v>0</v>
      </c>
      <c r="B1450" s="103"/>
      <c r="C1450" s="103"/>
      <c r="D1450" s="103"/>
      <c r="E1450" s="103"/>
      <c r="F1450" s="103"/>
      <c r="G1450" s="103"/>
      <c r="J1450" s="25">
        <f t="shared" si="89"/>
        <v>47</v>
      </c>
    </row>
    <row r="1451" spans="1:10" ht="16.95" customHeight="1">
      <c r="A1451" s="1" t="s">
        <v>1</v>
      </c>
      <c r="B1451" s="104">
        <f>B1388+1</f>
        <v>24</v>
      </c>
      <c r="C1451" s="104"/>
      <c r="D1451" s="104"/>
      <c r="E1451" s="104"/>
      <c r="F1451" s="104"/>
      <c r="G1451" s="104"/>
      <c r="J1451" s="25">
        <f t="shared" si="89"/>
        <v>47</v>
      </c>
    </row>
    <row r="1452" spans="1:10" ht="16.95" customHeight="1">
      <c r="A1452" s="1" t="s">
        <v>2</v>
      </c>
      <c r="B1452" s="105" t="s">
        <v>63</v>
      </c>
      <c r="C1452" s="105"/>
      <c r="D1452" s="105"/>
      <c r="E1452" s="106">
        <f>E1389+1</f>
        <v>46227</v>
      </c>
      <c r="F1452" s="106"/>
      <c r="G1452" s="106"/>
      <c r="J1452" s="25">
        <f t="shared" si="89"/>
        <v>47</v>
      </c>
    </row>
    <row r="1453" spans="1:10" ht="16.95" customHeight="1">
      <c r="A1453" s="53" t="s">
        <v>3</v>
      </c>
      <c r="B1453" s="2" t="s">
        <v>67</v>
      </c>
      <c r="C1453" s="98" t="s">
        <v>4</v>
      </c>
      <c r="D1453" s="98"/>
      <c r="E1453" s="98" t="s">
        <v>47</v>
      </c>
      <c r="F1453" s="98"/>
      <c r="G1453" s="98"/>
      <c r="J1453" s="25">
        <f t="shared" si="89"/>
        <v>47</v>
      </c>
    </row>
    <row r="1454" spans="1:10" ht="16.95" customHeight="1">
      <c r="A1454" s="53" t="s">
        <v>5</v>
      </c>
      <c r="B1454" s="54">
        <v>120</v>
      </c>
      <c r="C1454" s="98" t="s">
        <v>6</v>
      </c>
      <c r="D1454" s="98"/>
      <c r="E1454" s="98">
        <v>1</v>
      </c>
      <c r="F1454" s="98"/>
      <c r="G1454" s="98"/>
      <c r="J1454" s="25">
        <f t="shared" si="89"/>
        <v>47</v>
      </c>
    </row>
    <row r="1455" spans="1:10" ht="16.95" customHeight="1">
      <c r="A1455" s="53" t="s">
        <v>7</v>
      </c>
      <c r="B1455" s="54">
        <f>B1451</f>
        <v>24</v>
      </c>
      <c r="C1455" s="100" t="s">
        <v>8</v>
      </c>
      <c r="D1455" s="100"/>
      <c r="E1455" s="101">
        <f>B1454-B1455+1</f>
        <v>97</v>
      </c>
      <c r="F1455" s="101"/>
      <c r="G1455" s="101"/>
      <c r="J1455" s="25">
        <f t="shared" si="89"/>
        <v>47</v>
      </c>
    </row>
    <row r="1456" spans="1:10" ht="16.95" customHeight="1">
      <c r="A1456" s="53" t="s">
        <v>9</v>
      </c>
      <c r="B1456" s="55">
        <v>46204</v>
      </c>
      <c r="C1456" s="98" t="s">
        <v>10</v>
      </c>
      <c r="D1456" s="98"/>
      <c r="E1456" s="102">
        <f>B1456+B1454-1</f>
        <v>46323</v>
      </c>
      <c r="F1456" s="102"/>
      <c r="G1456" s="102"/>
      <c r="J1456" s="25">
        <f t="shared" si="89"/>
        <v>47</v>
      </c>
    </row>
    <row r="1457" spans="1:10" ht="16.95" customHeight="1">
      <c r="A1457" s="53" t="s">
        <v>11</v>
      </c>
      <c r="B1457" s="56">
        <f>HLOOKUP(B1451,進度表!$Q$2:$Z$3,2,1)+B1394</f>
        <v>0.10252772801302938</v>
      </c>
      <c r="C1457" s="98" t="s">
        <v>12</v>
      </c>
      <c r="D1457" s="98"/>
      <c r="E1457" s="99">
        <f>I1495/I1457+E1394</f>
        <v>0.1149466754885993</v>
      </c>
      <c r="F1457" s="99"/>
      <c r="G1457" s="99"/>
      <c r="H1457" s="3" t="s">
        <v>62</v>
      </c>
      <c r="I1457" s="1">
        <v>2456000</v>
      </c>
      <c r="J1457" s="25">
        <f t="shared" si="89"/>
        <v>47</v>
      </c>
    </row>
    <row r="1458" spans="1:10" ht="16.95" customHeight="1">
      <c r="A1458" s="98" t="s">
        <v>13</v>
      </c>
      <c r="B1458" s="98"/>
      <c r="C1458" s="98"/>
      <c r="D1458" s="98"/>
      <c r="E1458" s="98"/>
      <c r="F1458" s="98"/>
      <c r="G1458" s="98"/>
      <c r="J1458" s="25">
        <f t="shared" si="89"/>
        <v>47</v>
      </c>
    </row>
    <row r="1459" spans="1:10" ht="16.95" customHeight="1">
      <c r="A1459" s="52" t="s">
        <v>14</v>
      </c>
      <c r="B1459" s="52" t="s">
        <v>15</v>
      </c>
      <c r="C1459" s="52" t="s">
        <v>16</v>
      </c>
      <c r="D1459" s="52" t="s">
        <v>17</v>
      </c>
      <c r="E1459" s="52" t="s">
        <v>18</v>
      </c>
      <c r="F1459" s="52" t="s">
        <v>19</v>
      </c>
      <c r="G1459" s="52" t="s">
        <v>20</v>
      </c>
      <c r="H1459" s="3" t="s">
        <v>21</v>
      </c>
      <c r="I1459" s="3" t="s">
        <v>22</v>
      </c>
      <c r="J1459" s="25">
        <f t="shared" si="89"/>
        <v>47</v>
      </c>
    </row>
    <row r="1460" spans="1:10" ht="16.95" customHeight="1">
      <c r="A1460" s="75" t="s">
        <v>65</v>
      </c>
      <c r="B1460" s="76" t="s">
        <v>69</v>
      </c>
      <c r="C1460" s="77"/>
      <c r="D1460" s="78"/>
      <c r="E1460" s="79"/>
      <c r="F1460" s="79"/>
      <c r="G1460" s="2"/>
      <c r="H1460" s="37"/>
      <c r="I1460" s="4"/>
      <c r="J1460" s="25">
        <f t="shared" si="89"/>
        <v>47</v>
      </c>
    </row>
    <row r="1461" spans="1:10" ht="34.950000000000003" customHeight="1">
      <c r="A1461" s="75">
        <v>1</v>
      </c>
      <c r="B1461" s="80" t="s">
        <v>91</v>
      </c>
      <c r="C1461" s="77" t="s">
        <v>48</v>
      </c>
      <c r="D1461" s="78">
        <v>1</v>
      </c>
      <c r="E1461" s="79"/>
      <c r="F1461" s="79">
        <f t="shared" ref="F1461:F1494" si="91">E1461+F1398</f>
        <v>1</v>
      </c>
      <c r="G1461" s="2"/>
      <c r="H1461" s="37">
        <v>10508</v>
      </c>
      <c r="I1461" s="4">
        <f>H1461*E1461</f>
        <v>0</v>
      </c>
      <c r="J1461" s="25">
        <f t="shared" si="89"/>
        <v>47</v>
      </c>
    </row>
    <row r="1462" spans="1:10" ht="34.799999999999997" customHeight="1">
      <c r="A1462" s="75">
        <v>2</v>
      </c>
      <c r="B1462" s="80" t="s">
        <v>92</v>
      </c>
      <c r="C1462" s="77" t="s">
        <v>48</v>
      </c>
      <c r="D1462" s="78">
        <v>1</v>
      </c>
      <c r="E1462" s="79"/>
      <c r="F1462" s="79">
        <f t="shared" si="91"/>
        <v>0</v>
      </c>
      <c r="G1462" s="2"/>
      <c r="H1462" s="37">
        <v>13223</v>
      </c>
      <c r="I1462" s="4">
        <f>H1462*E1462</f>
        <v>0</v>
      </c>
      <c r="J1462" s="25">
        <f t="shared" si="89"/>
        <v>47</v>
      </c>
    </row>
    <row r="1463" spans="1:10" ht="53.4" customHeight="1">
      <c r="A1463" s="75">
        <v>3</v>
      </c>
      <c r="B1463" s="80" t="s">
        <v>93</v>
      </c>
      <c r="C1463" s="77" t="s">
        <v>48</v>
      </c>
      <c r="D1463" s="78">
        <v>1</v>
      </c>
      <c r="E1463" s="79">
        <v>0.04</v>
      </c>
      <c r="F1463" s="79">
        <f t="shared" si="91"/>
        <v>0.68</v>
      </c>
      <c r="G1463" s="2"/>
      <c r="H1463" s="37">
        <v>310497</v>
      </c>
      <c r="I1463" s="4">
        <f t="shared" ref="I1463:I1494" si="92">H1463*E1463</f>
        <v>12419.880000000001</v>
      </c>
      <c r="J1463" s="25">
        <f t="shared" si="89"/>
        <v>47</v>
      </c>
    </row>
    <row r="1464" spans="1:10" ht="16.95" customHeight="1">
      <c r="A1464" s="75">
        <v>4</v>
      </c>
      <c r="B1464" s="80" t="s">
        <v>94</v>
      </c>
      <c r="C1464" s="77" t="s">
        <v>48</v>
      </c>
      <c r="D1464" s="78">
        <v>1</v>
      </c>
      <c r="E1464" s="79"/>
      <c r="F1464" s="79">
        <f t="shared" si="91"/>
        <v>0</v>
      </c>
      <c r="G1464" s="2"/>
      <c r="H1464" s="37">
        <v>8375</v>
      </c>
      <c r="I1464" s="4">
        <f t="shared" si="92"/>
        <v>0</v>
      </c>
      <c r="J1464" s="25">
        <f t="shared" si="89"/>
        <v>47</v>
      </c>
    </row>
    <row r="1465" spans="1:10" ht="16.95" customHeight="1">
      <c r="A1465" s="75">
        <v>5</v>
      </c>
      <c r="B1465" s="80" t="s">
        <v>95</v>
      </c>
      <c r="C1465" s="77" t="s">
        <v>48</v>
      </c>
      <c r="D1465" s="78">
        <v>1</v>
      </c>
      <c r="E1465" s="79"/>
      <c r="F1465" s="79">
        <f t="shared" si="91"/>
        <v>0</v>
      </c>
      <c r="G1465" s="2"/>
      <c r="H1465" s="37">
        <v>51618</v>
      </c>
      <c r="I1465" s="4">
        <f t="shared" si="92"/>
        <v>0</v>
      </c>
      <c r="J1465" s="25">
        <f t="shared" si="89"/>
        <v>47</v>
      </c>
    </row>
    <row r="1466" spans="1:10" ht="16.95" customHeight="1">
      <c r="A1466" s="75">
        <v>6</v>
      </c>
      <c r="B1466" s="80" t="s">
        <v>96</v>
      </c>
      <c r="C1466" s="77" t="s">
        <v>50</v>
      </c>
      <c r="D1466" s="78">
        <v>11.55</v>
      </c>
      <c r="E1466" s="79"/>
      <c r="F1466" s="79">
        <f t="shared" si="91"/>
        <v>0</v>
      </c>
      <c r="G1466" s="2"/>
      <c r="H1466" s="37">
        <v>1188</v>
      </c>
      <c r="I1466" s="4">
        <f t="shared" si="92"/>
        <v>0</v>
      </c>
      <c r="J1466" s="25">
        <f t="shared" si="89"/>
        <v>47</v>
      </c>
    </row>
    <row r="1467" spans="1:10" ht="34.950000000000003" customHeight="1">
      <c r="A1467" s="75">
        <v>7</v>
      </c>
      <c r="B1467" s="80" t="s">
        <v>97</v>
      </c>
      <c r="C1467" s="77" t="s">
        <v>48</v>
      </c>
      <c r="D1467" s="78">
        <v>1</v>
      </c>
      <c r="E1467" s="79"/>
      <c r="F1467" s="79">
        <f t="shared" si="91"/>
        <v>0</v>
      </c>
      <c r="G1467" s="2"/>
      <c r="H1467" s="37">
        <v>21157</v>
      </c>
      <c r="I1467" s="4">
        <f t="shared" si="92"/>
        <v>0</v>
      </c>
      <c r="J1467" s="25">
        <f t="shared" ref="J1467:J1530" si="93">J1404+2</f>
        <v>47</v>
      </c>
    </row>
    <row r="1468" spans="1:10" ht="16.95" customHeight="1">
      <c r="A1468" s="75">
        <v>8</v>
      </c>
      <c r="B1468" s="80" t="s">
        <v>98</v>
      </c>
      <c r="C1468" s="77" t="s">
        <v>50</v>
      </c>
      <c r="D1468" s="78">
        <v>387</v>
      </c>
      <c r="E1468" s="79"/>
      <c r="F1468" s="79">
        <f t="shared" si="91"/>
        <v>0</v>
      </c>
      <c r="G1468" s="2"/>
      <c r="H1468" s="37">
        <v>705</v>
      </c>
      <c r="I1468" s="4">
        <f t="shared" si="92"/>
        <v>0</v>
      </c>
      <c r="J1468" s="25">
        <f t="shared" si="93"/>
        <v>47</v>
      </c>
    </row>
    <row r="1469" spans="1:10" ht="16.95" customHeight="1">
      <c r="A1469" s="75">
        <v>9</v>
      </c>
      <c r="B1469" s="80" t="s">
        <v>99</v>
      </c>
      <c r="C1469" s="77" t="s">
        <v>50</v>
      </c>
      <c r="D1469" s="78">
        <v>170</v>
      </c>
      <c r="E1469" s="79"/>
      <c r="F1469" s="79">
        <f t="shared" si="91"/>
        <v>0</v>
      </c>
      <c r="G1469" s="2"/>
      <c r="H1469" s="37">
        <v>617</v>
      </c>
      <c r="I1469" s="4">
        <f t="shared" si="92"/>
        <v>0</v>
      </c>
      <c r="J1469" s="25">
        <f t="shared" si="93"/>
        <v>47</v>
      </c>
    </row>
    <row r="1470" spans="1:10" ht="16.95" customHeight="1">
      <c r="A1470" s="75">
        <v>10</v>
      </c>
      <c r="B1470" s="80" t="s">
        <v>100</v>
      </c>
      <c r="C1470" s="77" t="s">
        <v>66</v>
      </c>
      <c r="D1470" s="78">
        <v>15</v>
      </c>
      <c r="E1470" s="79"/>
      <c r="F1470" s="79">
        <f t="shared" si="91"/>
        <v>0</v>
      </c>
      <c r="G1470" s="2"/>
      <c r="H1470" s="37">
        <v>617</v>
      </c>
      <c r="I1470" s="4">
        <f t="shared" si="92"/>
        <v>0</v>
      </c>
      <c r="J1470" s="25">
        <f t="shared" si="93"/>
        <v>47</v>
      </c>
    </row>
    <row r="1471" spans="1:10" ht="16.95" customHeight="1">
      <c r="A1471" s="75">
        <v>11</v>
      </c>
      <c r="B1471" s="80" t="s">
        <v>101</v>
      </c>
      <c r="C1471" s="77" t="s">
        <v>50</v>
      </c>
      <c r="D1471" s="78">
        <v>75</v>
      </c>
      <c r="E1471" s="79"/>
      <c r="F1471" s="79">
        <f t="shared" si="91"/>
        <v>0</v>
      </c>
      <c r="G1471" s="2"/>
      <c r="H1471" s="37">
        <v>1146</v>
      </c>
      <c r="I1471" s="4">
        <f t="shared" si="92"/>
        <v>0</v>
      </c>
      <c r="J1471" s="25">
        <f t="shared" si="93"/>
        <v>47</v>
      </c>
    </row>
    <row r="1472" spans="1:10" ht="16.95" customHeight="1">
      <c r="A1472" s="75">
        <v>12</v>
      </c>
      <c r="B1472" s="80" t="s">
        <v>102</v>
      </c>
      <c r="C1472" s="77" t="s">
        <v>50</v>
      </c>
      <c r="D1472" s="78">
        <v>5</v>
      </c>
      <c r="E1472" s="79"/>
      <c r="F1472" s="79">
        <f t="shared" si="91"/>
        <v>0</v>
      </c>
      <c r="G1472" s="2"/>
      <c r="H1472" s="37">
        <v>1455</v>
      </c>
      <c r="I1472" s="4">
        <f t="shared" si="92"/>
        <v>0</v>
      </c>
      <c r="J1472" s="25">
        <f t="shared" si="93"/>
        <v>47</v>
      </c>
    </row>
    <row r="1473" spans="1:10" ht="16.95" customHeight="1">
      <c r="A1473" s="75">
        <v>13</v>
      </c>
      <c r="B1473" s="80" t="s">
        <v>103</v>
      </c>
      <c r="C1473" s="77" t="s">
        <v>50</v>
      </c>
      <c r="D1473" s="78">
        <v>217</v>
      </c>
      <c r="E1473" s="79"/>
      <c r="F1473" s="79">
        <f t="shared" si="91"/>
        <v>0</v>
      </c>
      <c r="G1473" s="2"/>
      <c r="H1473" s="37">
        <v>1410</v>
      </c>
      <c r="I1473" s="4">
        <f t="shared" si="92"/>
        <v>0</v>
      </c>
      <c r="J1473" s="25">
        <f t="shared" si="93"/>
        <v>47</v>
      </c>
    </row>
    <row r="1474" spans="1:10" ht="16.95" customHeight="1">
      <c r="A1474" s="75">
        <v>14</v>
      </c>
      <c r="B1474" s="80" t="s">
        <v>104</v>
      </c>
      <c r="C1474" s="77" t="s">
        <v>49</v>
      </c>
      <c r="D1474" s="78">
        <v>84</v>
      </c>
      <c r="E1474" s="79"/>
      <c r="F1474" s="79">
        <f t="shared" si="91"/>
        <v>0</v>
      </c>
      <c r="G1474" s="2"/>
      <c r="H1474" s="37">
        <v>529</v>
      </c>
      <c r="I1474" s="4">
        <f t="shared" si="92"/>
        <v>0</v>
      </c>
      <c r="J1474" s="25">
        <f t="shared" si="93"/>
        <v>47</v>
      </c>
    </row>
    <row r="1475" spans="1:10" ht="16.95" customHeight="1">
      <c r="A1475" s="75">
        <v>15</v>
      </c>
      <c r="B1475" s="80" t="s">
        <v>105</v>
      </c>
      <c r="C1475" s="77" t="s">
        <v>50</v>
      </c>
      <c r="D1475" s="78">
        <v>1</v>
      </c>
      <c r="E1475" s="79"/>
      <c r="F1475" s="79">
        <f t="shared" si="91"/>
        <v>0</v>
      </c>
      <c r="G1475" s="2"/>
      <c r="H1475" s="37">
        <v>1146</v>
      </c>
      <c r="I1475" s="4">
        <f t="shared" si="92"/>
        <v>0</v>
      </c>
      <c r="J1475" s="25">
        <f t="shared" si="93"/>
        <v>47</v>
      </c>
    </row>
    <row r="1476" spans="1:10" ht="34.799999999999997" customHeight="1">
      <c r="A1476" s="75">
        <v>16</v>
      </c>
      <c r="B1476" s="80" t="s">
        <v>106</v>
      </c>
      <c r="C1476" s="77" t="s">
        <v>50</v>
      </c>
      <c r="D1476" s="78">
        <v>314</v>
      </c>
      <c r="E1476" s="79"/>
      <c r="F1476" s="79">
        <f t="shared" si="91"/>
        <v>0</v>
      </c>
      <c r="G1476" s="2"/>
      <c r="H1476" s="37">
        <v>185</v>
      </c>
      <c r="I1476" s="4">
        <f t="shared" si="92"/>
        <v>0</v>
      </c>
      <c r="J1476" s="25">
        <f t="shared" si="93"/>
        <v>47</v>
      </c>
    </row>
    <row r="1477" spans="1:10" ht="16.95" customHeight="1">
      <c r="A1477" s="75">
        <v>17</v>
      </c>
      <c r="B1477" s="80" t="s">
        <v>107</v>
      </c>
      <c r="C1477" s="77" t="s">
        <v>48</v>
      </c>
      <c r="D1477" s="78">
        <v>1</v>
      </c>
      <c r="E1477" s="79"/>
      <c r="F1477" s="79">
        <f t="shared" si="91"/>
        <v>0</v>
      </c>
      <c r="G1477" s="2"/>
      <c r="H1477" s="37">
        <v>89918</v>
      </c>
      <c r="I1477" s="4">
        <f t="shared" si="92"/>
        <v>0</v>
      </c>
      <c r="J1477" s="25">
        <f t="shared" si="93"/>
        <v>47</v>
      </c>
    </row>
    <row r="1478" spans="1:10" ht="16.95" customHeight="1">
      <c r="A1478" s="75">
        <v>18</v>
      </c>
      <c r="B1478" s="80" t="s">
        <v>108</v>
      </c>
      <c r="C1478" s="77" t="s">
        <v>120</v>
      </c>
      <c r="D1478" s="78">
        <v>15</v>
      </c>
      <c r="E1478" s="79"/>
      <c r="F1478" s="79">
        <f t="shared" si="91"/>
        <v>0</v>
      </c>
      <c r="G1478" s="2"/>
      <c r="H1478" s="37">
        <v>661</v>
      </c>
      <c r="I1478" s="4">
        <f t="shared" si="92"/>
        <v>0</v>
      </c>
      <c r="J1478" s="25">
        <f t="shared" si="93"/>
        <v>47</v>
      </c>
    </row>
    <row r="1479" spans="1:10" ht="16.95" customHeight="1">
      <c r="A1479" s="75">
        <v>19</v>
      </c>
      <c r="B1479" s="80" t="s">
        <v>109</v>
      </c>
      <c r="C1479" s="77" t="s">
        <v>50</v>
      </c>
      <c r="D1479" s="78">
        <v>82</v>
      </c>
      <c r="E1479" s="79"/>
      <c r="F1479" s="79">
        <f t="shared" si="91"/>
        <v>0</v>
      </c>
      <c r="G1479" s="2"/>
      <c r="H1479" s="37">
        <v>2909</v>
      </c>
      <c r="I1479" s="4">
        <f t="shared" si="92"/>
        <v>0</v>
      </c>
      <c r="J1479" s="25">
        <f t="shared" si="93"/>
        <v>47</v>
      </c>
    </row>
    <row r="1480" spans="1:10" ht="16.95" customHeight="1">
      <c r="A1480" s="75">
        <v>20</v>
      </c>
      <c r="B1480" s="80" t="s">
        <v>110</v>
      </c>
      <c r="C1480" s="77" t="s">
        <v>121</v>
      </c>
      <c r="D1480" s="78">
        <v>12</v>
      </c>
      <c r="E1480" s="79"/>
      <c r="F1480" s="79">
        <f t="shared" si="91"/>
        <v>0</v>
      </c>
      <c r="G1480" s="2"/>
      <c r="H1480" s="37">
        <v>882</v>
      </c>
      <c r="I1480" s="4">
        <f t="shared" si="92"/>
        <v>0</v>
      </c>
      <c r="J1480" s="25">
        <f t="shared" si="93"/>
        <v>47</v>
      </c>
    </row>
    <row r="1481" spans="1:10" ht="16.95" customHeight="1">
      <c r="A1481" s="77">
        <v>21</v>
      </c>
      <c r="B1481" s="80" t="s">
        <v>111</v>
      </c>
      <c r="C1481" s="77" t="s">
        <v>122</v>
      </c>
      <c r="D1481" s="78">
        <v>3</v>
      </c>
      <c r="E1481" s="79"/>
      <c r="F1481" s="79">
        <f t="shared" si="91"/>
        <v>0</v>
      </c>
      <c r="G1481" s="2"/>
      <c r="H1481" s="38">
        <v>1869</v>
      </c>
      <c r="I1481" s="4">
        <f t="shared" si="92"/>
        <v>0</v>
      </c>
      <c r="J1481" s="25">
        <f t="shared" si="93"/>
        <v>47</v>
      </c>
    </row>
    <row r="1482" spans="1:10" ht="34.950000000000003" customHeight="1">
      <c r="A1482" s="75">
        <v>22</v>
      </c>
      <c r="B1482" s="80" t="s">
        <v>112</v>
      </c>
      <c r="C1482" s="77" t="s">
        <v>48</v>
      </c>
      <c r="D1482" s="78">
        <v>1</v>
      </c>
      <c r="E1482" s="79"/>
      <c r="F1482" s="79">
        <f t="shared" si="91"/>
        <v>0</v>
      </c>
      <c r="G1482" s="2"/>
      <c r="H1482" s="37">
        <v>82206</v>
      </c>
      <c r="I1482" s="4">
        <f t="shared" si="92"/>
        <v>0</v>
      </c>
      <c r="J1482" s="25">
        <f t="shared" si="93"/>
        <v>47</v>
      </c>
    </row>
    <row r="1483" spans="1:10" ht="16.95" customHeight="1">
      <c r="A1483" s="75">
        <v>23</v>
      </c>
      <c r="B1483" s="80" t="s">
        <v>113</v>
      </c>
      <c r="C1483" s="77" t="s">
        <v>48</v>
      </c>
      <c r="D1483" s="78">
        <v>1</v>
      </c>
      <c r="E1483" s="79"/>
      <c r="F1483" s="79">
        <f t="shared" si="91"/>
        <v>0</v>
      </c>
      <c r="G1483" s="2"/>
      <c r="H1483" s="37">
        <v>142723</v>
      </c>
      <c r="I1483" s="4">
        <f t="shared" si="92"/>
        <v>0</v>
      </c>
      <c r="J1483" s="25">
        <f t="shared" si="93"/>
        <v>47</v>
      </c>
    </row>
    <row r="1484" spans="1:10" ht="16.95" customHeight="1">
      <c r="A1484" s="75">
        <v>24</v>
      </c>
      <c r="B1484" s="80" t="s">
        <v>114</v>
      </c>
      <c r="C1484" s="77" t="s">
        <v>48</v>
      </c>
      <c r="D1484" s="78">
        <v>1</v>
      </c>
      <c r="E1484" s="79"/>
      <c r="F1484" s="79">
        <f t="shared" si="91"/>
        <v>0</v>
      </c>
      <c r="G1484" s="2"/>
      <c r="H1484" s="37">
        <v>37290</v>
      </c>
      <c r="I1484" s="4">
        <f t="shared" si="92"/>
        <v>0</v>
      </c>
      <c r="J1484" s="25">
        <f t="shared" si="93"/>
        <v>47</v>
      </c>
    </row>
    <row r="1485" spans="1:10" ht="16.95" customHeight="1">
      <c r="A1485" s="75">
        <v>25</v>
      </c>
      <c r="B1485" s="80" t="s">
        <v>115</v>
      </c>
      <c r="C1485" s="77" t="s">
        <v>48</v>
      </c>
      <c r="D1485" s="78">
        <v>1</v>
      </c>
      <c r="E1485" s="79"/>
      <c r="F1485" s="79">
        <f t="shared" si="91"/>
        <v>0</v>
      </c>
      <c r="G1485" s="2"/>
      <c r="H1485" s="37">
        <v>99394</v>
      </c>
      <c r="I1485" s="4">
        <f t="shared" si="92"/>
        <v>0</v>
      </c>
      <c r="J1485" s="25">
        <f t="shared" si="93"/>
        <v>47</v>
      </c>
    </row>
    <row r="1486" spans="1:10" ht="34.950000000000003" customHeight="1">
      <c r="A1486" s="75">
        <v>26</v>
      </c>
      <c r="B1486" s="80" t="s">
        <v>116</v>
      </c>
      <c r="C1486" s="77" t="s">
        <v>48</v>
      </c>
      <c r="D1486" s="78">
        <v>1</v>
      </c>
      <c r="E1486" s="79"/>
      <c r="F1486" s="79">
        <f t="shared" si="91"/>
        <v>0</v>
      </c>
      <c r="G1486" s="2"/>
      <c r="H1486" s="37">
        <v>21334</v>
      </c>
      <c r="I1486" s="4">
        <f t="shared" si="92"/>
        <v>0</v>
      </c>
      <c r="J1486" s="25">
        <f t="shared" si="93"/>
        <v>47</v>
      </c>
    </row>
    <row r="1487" spans="1:10" ht="16.95" customHeight="1">
      <c r="A1487" s="75">
        <v>27</v>
      </c>
      <c r="B1487" s="80" t="s">
        <v>117</v>
      </c>
      <c r="C1487" s="77" t="s">
        <v>48</v>
      </c>
      <c r="D1487" s="78">
        <v>1</v>
      </c>
      <c r="E1487" s="79"/>
      <c r="F1487" s="79">
        <f t="shared" si="91"/>
        <v>0</v>
      </c>
      <c r="G1487" s="2"/>
      <c r="H1487" s="37">
        <v>29620</v>
      </c>
      <c r="I1487" s="4">
        <f t="shared" si="92"/>
        <v>0</v>
      </c>
      <c r="J1487" s="25">
        <f t="shared" si="93"/>
        <v>47</v>
      </c>
    </row>
    <row r="1488" spans="1:10" ht="16.95" customHeight="1">
      <c r="A1488" s="75">
        <v>28</v>
      </c>
      <c r="B1488" s="80" t="s">
        <v>118</v>
      </c>
      <c r="C1488" s="77" t="s">
        <v>48</v>
      </c>
      <c r="D1488" s="78">
        <v>1</v>
      </c>
      <c r="E1488" s="79"/>
      <c r="F1488" s="79">
        <f t="shared" si="91"/>
        <v>0</v>
      </c>
      <c r="G1488" s="2"/>
      <c r="H1488" s="37">
        <v>18506</v>
      </c>
      <c r="I1488" s="4">
        <f t="shared" si="92"/>
        <v>0</v>
      </c>
      <c r="J1488" s="25">
        <f t="shared" si="93"/>
        <v>47</v>
      </c>
    </row>
    <row r="1489" spans="1:10" ht="16.95" customHeight="1">
      <c r="A1489" s="75">
        <v>29</v>
      </c>
      <c r="B1489" s="80" t="s">
        <v>119</v>
      </c>
      <c r="C1489" s="77" t="s">
        <v>48</v>
      </c>
      <c r="D1489" s="78">
        <v>1</v>
      </c>
      <c r="E1489" s="79"/>
      <c r="F1489" s="79">
        <f t="shared" si="91"/>
        <v>0</v>
      </c>
      <c r="G1489" s="2"/>
      <c r="H1489" s="37">
        <v>34381</v>
      </c>
      <c r="I1489" s="4">
        <f t="shared" si="92"/>
        <v>0</v>
      </c>
      <c r="J1489" s="25">
        <f t="shared" si="93"/>
        <v>47</v>
      </c>
    </row>
    <row r="1490" spans="1:10" ht="16.95" customHeight="1">
      <c r="A1490" s="75" t="s">
        <v>79</v>
      </c>
      <c r="B1490" s="80" t="s">
        <v>80</v>
      </c>
      <c r="C1490" s="77" t="s">
        <v>48</v>
      </c>
      <c r="D1490" s="78">
        <v>1</v>
      </c>
      <c r="E1490" s="79">
        <f t="shared" ref="E1490:E1493" si="94">1/120</f>
        <v>8.3333333333333332E-3</v>
      </c>
      <c r="F1490" s="79">
        <f t="shared" si="91"/>
        <v>0.19166666666666665</v>
      </c>
      <c r="G1490" s="2"/>
      <c r="H1490" s="37">
        <v>21395</v>
      </c>
      <c r="I1490" s="4">
        <f t="shared" si="92"/>
        <v>178.29166666666666</v>
      </c>
      <c r="J1490" s="25">
        <f t="shared" si="93"/>
        <v>47</v>
      </c>
    </row>
    <row r="1491" spans="1:10" ht="16.95" customHeight="1">
      <c r="A1491" s="75" t="s">
        <v>81</v>
      </c>
      <c r="B1491" s="80" t="s">
        <v>82</v>
      </c>
      <c r="C1491" s="77" t="s">
        <v>48</v>
      </c>
      <c r="D1491" s="78">
        <v>1</v>
      </c>
      <c r="E1491" s="79">
        <f t="shared" si="94"/>
        <v>8.3333333333333332E-3</v>
      </c>
      <c r="F1491" s="79">
        <f t="shared" si="91"/>
        <v>0.19166666666666665</v>
      </c>
      <c r="G1491" s="2"/>
      <c r="H1491" s="37">
        <v>21395</v>
      </c>
      <c r="I1491" s="4">
        <f t="shared" si="92"/>
        <v>178.29166666666666</v>
      </c>
      <c r="J1491" s="25">
        <f t="shared" si="93"/>
        <v>47</v>
      </c>
    </row>
    <row r="1492" spans="1:10" ht="16.95" customHeight="1">
      <c r="A1492" s="75" t="s">
        <v>83</v>
      </c>
      <c r="B1492" s="80" t="s">
        <v>84</v>
      </c>
      <c r="C1492" s="77" t="s">
        <v>48</v>
      </c>
      <c r="D1492" s="78">
        <v>1</v>
      </c>
      <c r="E1492" s="79">
        <f t="shared" si="94"/>
        <v>8.3333333333333332E-3</v>
      </c>
      <c r="F1492" s="79">
        <f t="shared" si="91"/>
        <v>0.19166666666666665</v>
      </c>
      <c r="G1492" s="2"/>
      <c r="H1492" s="37">
        <v>149765</v>
      </c>
      <c r="I1492" s="4">
        <f t="shared" si="92"/>
        <v>1248.0416666666667</v>
      </c>
      <c r="J1492" s="25">
        <f t="shared" si="93"/>
        <v>47</v>
      </c>
    </row>
    <row r="1493" spans="1:10" ht="16.95" customHeight="1">
      <c r="A1493" s="75" t="s">
        <v>85</v>
      </c>
      <c r="B1493" s="80" t="s">
        <v>86</v>
      </c>
      <c r="C1493" s="77" t="s">
        <v>48</v>
      </c>
      <c r="D1493" s="78">
        <v>1</v>
      </c>
      <c r="E1493" s="79">
        <f t="shared" si="94"/>
        <v>8.3333333333333332E-3</v>
      </c>
      <c r="F1493" s="79">
        <f t="shared" si="91"/>
        <v>0.19166666666666665</v>
      </c>
      <c r="G1493" s="2"/>
      <c r="H1493" s="37">
        <v>6996</v>
      </c>
      <c r="I1493" s="4">
        <f t="shared" si="92"/>
        <v>58.3</v>
      </c>
      <c r="J1493" s="25">
        <f t="shared" si="93"/>
        <v>47</v>
      </c>
    </row>
    <row r="1494" spans="1:10" ht="16.95" customHeight="1">
      <c r="A1494" s="75" t="s">
        <v>87</v>
      </c>
      <c r="B1494" s="80" t="s">
        <v>88</v>
      </c>
      <c r="C1494" s="77" t="s">
        <v>48</v>
      </c>
      <c r="D1494" s="78">
        <v>1</v>
      </c>
      <c r="E1494" s="79">
        <f>1/120</f>
        <v>8.3333333333333332E-3</v>
      </c>
      <c r="F1494" s="79">
        <f t="shared" si="91"/>
        <v>0.19166666666666665</v>
      </c>
      <c r="G1494" s="2"/>
      <c r="H1494" s="37">
        <v>116952</v>
      </c>
      <c r="I1494" s="4">
        <f t="shared" si="92"/>
        <v>974.6</v>
      </c>
      <c r="J1494" s="25">
        <f t="shared" si="93"/>
        <v>47</v>
      </c>
    </row>
    <row r="1495" spans="1:10" ht="16.95" customHeight="1">
      <c r="A1495" s="95" t="s">
        <v>23</v>
      </c>
      <c r="B1495" s="95"/>
      <c r="C1495" s="50"/>
      <c r="D1495" s="50"/>
      <c r="E1495" s="50"/>
      <c r="F1495" s="50"/>
      <c r="G1495" s="50"/>
      <c r="H1495" s="3" t="s">
        <v>24</v>
      </c>
      <c r="I1495" s="5">
        <f>SUM(I1460:I1494)</f>
        <v>15057.404999999999</v>
      </c>
      <c r="J1495" s="25">
        <f t="shared" si="93"/>
        <v>47</v>
      </c>
    </row>
    <row r="1496" spans="1:10" ht="16.95" customHeight="1">
      <c r="A1496" s="96" t="s">
        <v>25</v>
      </c>
      <c r="B1496" s="96"/>
      <c r="C1496" s="50"/>
      <c r="D1496" s="50"/>
      <c r="E1496" s="50"/>
      <c r="F1496" s="50"/>
      <c r="G1496" s="50"/>
      <c r="J1496" s="25">
        <f t="shared" si="93"/>
        <v>47</v>
      </c>
    </row>
    <row r="1497" spans="1:10" ht="16.95" customHeight="1">
      <c r="A1497" s="96" t="s">
        <v>26</v>
      </c>
      <c r="B1497" s="96"/>
      <c r="C1497" s="50"/>
      <c r="D1497" s="50"/>
      <c r="E1497" s="50"/>
      <c r="F1497" s="50"/>
      <c r="G1497" s="50"/>
      <c r="J1497" s="25">
        <f t="shared" si="93"/>
        <v>47</v>
      </c>
    </row>
    <row r="1498" spans="1:10" ht="16.95" customHeight="1">
      <c r="A1498" s="95" t="s">
        <v>27</v>
      </c>
      <c r="B1498" s="95"/>
      <c r="C1498" s="95"/>
      <c r="D1498" s="95"/>
      <c r="E1498" s="95"/>
      <c r="F1498" s="95"/>
      <c r="G1498" s="95"/>
      <c r="J1498" s="25">
        <f t="shared" si="93"/>
        <v>47</v>
      </c>
    </row>
    <row r="1499" spans="1:10" ht="16.95" customHeight="1">
      <c r="A1499" s="94" t="s">
        <v>28</v>
      </c>
      <c r="B1499" s="94"/>
      <c r="C1499" s="51" t="s">
        <v>29</v>
      </c>
      <c r="D1499" s="51" t="s">
        <v>30</v>
      </c>
      <c r="E1499" s="51" t="s">
        <v>18</v>
      </c>
      <c r="F1499" s="51" t="s">
        <v>31</v>
      </c>
      <c r="G1499" s="51" t="s">
        <v>20</v>
      </c>
      <c r="J1499" s="25">
        <f t="shared" si="93"/>
        <v>47</v>
      </c>
    </row>
    <row r="1500" spans="1:10" ht="16.95" customHeight="1">
      <c r="A1500" s="96"/>
      <c r="B1500" s="96"/>
      <c r="C1500" s="50"/>
      <c r="D1500" s="50"/>
      <c r="E1500" s="50"/>
      <c r="F1500" s="50"/>
      <c r="G1500" s="51"/>
      <c r="J1500" s="25">
        <f t="shared" si="93"/>
        <v>47</v>
      </c>
    </row>
    <row r="1501" spans="1:10" ht="16.95" customHeight="1">
      <c r="A1501" s="97"/>
      <c r="B1501" s="97"/>
      <c r="C1501" s="50"/>
      <c r="D1501" s="50"/>
      <c r="E1501" s="50"/>
      <c r="F1501" s="51"/>
      <c r="G1501" s="51"/>
      <c r="J1501" s="25">
        <f t="shared" si="93"/>
        <v>47</v>
      </c>
    </row>
    <row r="1502" spans="1:10" ht="16.95" customHeight="1">
      <c r="A1502" s="95" t="s">
        <v>32</v>
      </c>
      <c r="B1502" s="95"/>
      <c r="C1502" s="95"/>
      <c r="D1502" s="95"/>
      <c r="E1502" s="95"/>
      <c r="F1502" s="95"/>
      <c r="G1502" s="95"/>
      <c r="J1502" s="25">
        <f t="shared" si="93"/>
        <v>48</v>
      </c>
    </row>
    <row r="1503" spans="1:10" ht="16.95" customHeight="1">
      <c r="A1503" s="51" t="s">
        <v>33</v>
      </c>
      <c r="B1503" s="51" t="s">
        <v>34</v>
      </c>
      <c r="C1503" s="94" t="s">
        <v>35</v>
      </c>
      <c r="D1503" s="94"/>
      <c r="E1503" s="51" t="s">
        <v>36</v>
      </c>
      <c r="F1503" s="51" t="s">
        <v>37</v>
      </c>
      <c r="G1503" s="51" t="s">
        <v>38</v>
      </c>
      <c r="J1503" s="25">
        <f t="shared" si="93"/>
        <v>48</v>
      </c>
    </row>
    <row r="1504" spans="1:10" ht="16.95" customHeight="1">
      <c r="A1504" s="51" t="s">
        <v>39</v>
      </c>
      <c r="B1504" s="6">
        <v>1</v>
      </c>
      <c r="C1504" s="94">
        <f>B1504+C1441</f>
        <v>17</v>
      </c>
      <c r="D1504" s="94"/>
      <c r="E1504" s="51"/>
      <c r="F1504" s="24"/>
      <c r="G1504" s="24"/>
      <c r="J1504" s="25">
        <f t="shared" si="93"/>
        <v>48</v>
      </c>
    </row>
    <row r="1505" spans="1:10" ht="16.95" customHeight="1">
      <c r="A1505" s="51" t="s">
        <v>40</v>
      </c>
      <c r="B1505" s="6">
        <v>1</v>
      </c>
      <c r="C1505" s="94">
        <f>B1505+C1442</f>
        <v>18</v>
      </c>
      <c r="D1505" s="94"/>
      <c r="E1505" s="51"/>
      <c r="F1505" s="24"/>
      <c r="G1505" s="24"/>
      <c r="J1505" s="25">
        <f t="shared" si="93"/>
        <v>48</v>
      </c>
    </row>
    <row r="1506" spans="1:10" ht="36.6" customHeight="1">
      <c r="A1506" s="95" t="s">
        <v>41</v>
      </c>
      <c r="B1506" s="95"/>
      <c r="C1506" s="95"/>
      <c r="D1506" s="95"/>
      <c r="E1506" s="95"/>
      <c r="F1506" s="95"/>
      <c r="G1506" s="95"/>
      <c r="J1506" s="25">
        <f t="shared" si="93"/>
        <v>48</v>
      </c>
    </row>
    <row r="1507" spans="1:10" ht="90" customHeight="1">
      <c r="A1507" s="92" t="s">
        <v>42</v>
      </c>
      <c r="B1507" s="92"/>
      <c r="C1507" s="92"/>
      <c r="D1507" s="92"/>
      <c r="E1507" s="92"/>
      <c r="F1507" s="92"/>
      <c r="G1507" s="92"/>
      <c r="J1507" s="25">
        <f t="shared" si="93"/>
        <v>48</v>
      </c>
    </row>
    <row r="1508" spans="1:10" ht="16.95" customHeight="1">
      <c r="A1508" s="95" t="s">
        <v>43</v>
      </c>
      <c r="B1508" s="95"/>
      <c r="C1508" s="95"/>
      <c r="D1508" s="95"/>
      <c r="E1508" s="95"/>
      <c r="F1508" s="95"/>
      <c r="G1508" s="95"/>
      <c r="J1508" s="25">
        <f t="shared" si="93"/>
        <v>48</v>
      </c>
    </row>
    <row r="1509" spans="1:10" ht="16.95" customHeight="1">
      <c r="A1509" s="95" t="s">
        <v>44</v>
      </c>
      <c r="B1509" s="95"/>
      <c r="C1509" s="95"/>
      <c r="D1509" s="95"/>
      <c r="E1509" s="95"/>
      <c r="F1509" s="95"/>
      <c r="G1509" s="95"/>
      <c r="J1509" s="25">
        <f t="shared" si="93"/>
        <v>48</v>
      </c>
    </row>
    <row r="1510" spans="1:10" ht="16.95" customHeight="1">
      <c r="A1510" s="91" t="s">
        <v>125</v>
      </c>
      <c r="B1510" s="91"/>
      <c r="C1510" s="91"/>
      <c r="D1510" s="91"/>
      <c r="E1510" s="91"/>
      <c r="F1510" s="91"/>
      <c r="G1510" s="91"/>
      <c r="J1510" s="25">
        <f t="shared" si="93"/>
        <v>48</v>
      </c>
    </row>
    <row r="1511" spans="1:10" ht="120.6" customHeight="1">
      <c r="A1511" s="92" t="s">
        <v>45</v>
      </c>
      <c r="B1511" s="92"/>
      <c r="C1511" s="92"/>
      <c r="D1511" s="92"/>
      <c r="E1511" s="92"/>
      <c r="F1511" s="92"/>
      <c r="G1511" s="92"/>
      <c r="J1511" s="25">
        <f t="shared" si="93"/>
        <v>48</v>
      </c>
    </row>
    <row r="1512" spans="1:10" ht="140.4" customHeight="1">
      <c r="A1512" s="93" t="s">
        <v>46</v>
      </c>
      <c r="B1512" s="93"/>
      <c r="C1512" s="93"/>
      <c r="D1512" s="93"/>
      <c r="E1512" s="93"/>
      <c r="F1512" s="93"/>
      <c r="G1512" s="93"/>
      <c r="J1512" s="25">
        <f t="shared" si="93"/>
        <v>48</v>
      </c>
    </row>
    <row r="1513" spans="1:10" ht="37.200000000000003" customHeight="1">
      <c r="A1513" s="103" t="s">
        <v>0</v>
      </c>
      <c r="B1513" s="103"/>
      <c r="C1513" s="103"/>
      <c r="D1513" s="103"/>
      <c r="E1513" s="103"/>
      <c r="F1513" s="103"/>
      <c r="G1513" s="103"/>
      <c r="J1513" s="25">
        <f t="shared" si="93"/>
        <v>49</v>
      </c>
    </row>
    <row r="1514" spans="1:10" ht="16.95" customHeight="1">
      <c r="A1514" s="1" t="s">
        <v>1</v>
      </c>
      <c r="B1514" s="104">
        <f>B1451+1</f>
        <v>25</v>
      </c>
      <c r="C1514" s="104"/>
      <c r="D1514" s="104"/>
      <c r="E1514" s="104"/>
      <c r="F1514" s="104"/>
      <c r="G1514" s="104"/>
      <c r="J1514" s="25">
        <f t="shared" si="93"/>
        <v>49</v>
      </c>
    </row>
    <row r="1515" spans="1:10" ht="16.95" customHeight="1">
      <c r="A1515" s="1" t="s">
        <v>2</v>
      </c>
      <c r="B1515" s="105" t="s">
        <v>63</v>
      </c>
      <c r="C1515" s="105"/>
      <c r="D1515" s="105"/>
      <c r="E1515" s="106">
        <f>E1452+1</f>
        <v>46228</v>
      </c>
      <c r="F1515" s="106"/>
      <c r="G1515" s="106"/>
      <c r="J1515" s="25">
        <f t="shared" si="93"/>
        <v>49</v>
      </c>
    </row>
    <row r="1516" spans="1:10" ht="16.95" customHeight="1">
      <c r="A1516" s="53" t="s">
        <v>3</v>
      </c>
      <c r="B1516" s="2" t="s">
        <v>67</v>
      </c>
      <c r="C1516" s="98" t="s">
        <v>4</v>
      </c>
      <c r="D1516" s="98"/>
      <c r="E1516" s="98" t="s">
        <v>47</v>
      </c>
      <c r="F1516" s="98"/>
      <c r="G1516" s="98"/>
      <c r="J1516" s="25">
        <f t="shared" si="93"/>
        <v>49</v>
      </c>
    </row>
    <row r="1517" spans="1:10" ht="16.95" customHeight="1">
      <c r="A1517" s="53" t="s">
        <v>5</v>
      </c>
      <c r="B1517" s="54">
        <v>120</v>
      </c>
      <c r="C1517" s="98" t="s">
        <v>6</v>
      </c>
      <c r="D1517" s="98"/>
      <c r="E1517" s="98">
        <v>1</v>
      </c>
      <c r="F1517" s="98"/>
      <c r="G1517" s="98"/>
      <c r="J1517" s="25">
        <f t="shared" si="93"/>
        <v>49</v>
      </c>
    </row>
    <row r="1518" spans="1:10" ht="16.95" customHeight="1">
      <c r="A1518" s="53" t="s">
        <v>7</v>
      </c>
      <c r="B1518" s="54">
        <f>B1514</f>
        <v>25</v>
      </c>
      <c r="C1518" s="100" t="s">
        <v>8</v>
      </c>
      <c r="D1518" s="100"/>
      <c r="E1518" s="101">
        <f>B1517-B1518+1</f>
        <v>96</v>
      </c>
      <c r="F1518" s="101"/>
      <c r="G1518" s="101"/>
      <c r="J1518" s="25">
        <f t="shared" si="93"/>
        <v>49</v>
      </c>
    </row>
    <row r="1519" spans="1:10" ht="16.95" customHeight="1">
      <c r="A1519" s="53" t="s">
        <v>9</v>
      </c>
      <c r="B1519" s="55">
        <v>46204</v>
      </c>
      <c r="C1519" s="98" t="s">
        <v>10</v>
      </c>
      <c r="D1519" s="98"/>
      <c r="E1519" s="102">
        <f>B1519+B1517-1</f>
        <v>46323</v>
      </c>
      <c r="F1519" s="102"/>
      <c r="G1519" s="102"/>
      <c r="J1519" s="25">
        <f t="shared" si="93"/>
        <v>49</v>
      </c>
    </row>
    <row r="1520" spans="1:10" ht="16.95" customHeight="1">
      <c r="A1520" s="53" t="s">
        <v>11</v>
      </c>
      <c r="B1520" s="56">
        <f>HLOOKUP(B1514,進度表!$Q$2:$Z$3,2,1)+B1457</f>
        <v>0.10805939535830625</v>
      </c>
      <c r="C1520" s="98" t="s">
        <v>12</v>
      </c>
      <c r="D1520" s="98"/>
      <c r="E1520" s="99">
        <f>I1558/I1520+E1457</f>
        <v>0.12310103420195435</v>
      </c>
      <c r="F1520" s="99"/>
      <c r="G1520" s="99"/>
      <c r="H1520" s="3" t="s">
        <v>62</v>
      </c>
      <c r="I1520" s="1">
        <v>2456000</v>
      </c>
      <c r="J1520" s="25">
        <f t="shared" si="93"/>
        <v>49</v>
      </c>
    </row>
    <row r="1521" spans="1:10" ht="16.95" customHeight="1">
      <c r="A1521" s="98" t="s">
        <v>13</v>
      </c>
      <c r="B1521" s="98"/>
      <c r="C1521" s="98"/>
      <c r="D1521" s="98"/>
      <c r="E1521" s="98"/>
      <c r="F1521" s="98"/>
      <c r="G1521" s="98"/>
      <c r="J1521" s="25">
        <f t="shared" si="93"/>
        <v>49</v>
      </c>
    </row>
    <row r="1522" spans="1:10" ht="16.95" customHeight="1">
      <c r="A1522" s="52" t="s">
        <v>14</v>
      </c>
      <c r="B1522" s="52" t="s">
        <v>15</v>
      </c>
      <c r="C1522" s="52" t="s">
        <v>16</v>
      </c>
      <c r="D1522" s="52" t="s">
        <v>17</v>
      </c>
      <c r="E1522" s="52" t="s">
        <v>18</v>
      </c>
      <c r="F1522" s="52" t="s">
        <v>19</v>
      </c>
      <c r="G1522" s="52" t="s">
        <v>20</v>
      </c>
      <c r="H1522" s="3" t="s">
        <v>21</v>
      </c>
      <c r="I1522" s="3" t="s">
        <v>22</v>
      </c>
      <c r="J1522" s="25">
        <f t="shared" si="93"/>
        <v>49</v>
      </c>
    </row>
    <row r="1523" spans="1:10" ht="16.95" customHeight="1">
      <c r="A1523" s="75" t="s">
        <v>65</v>
      </c>
      <c r="B1523" s="76" t="s">
        <v>69</v>
      </c>
      <c r="C1523" s="77"/>
      <c r="D1523" s="78"/>
      <c r="E1523" s="79"/>
      <c r="F1523" s="79"/>
      <c r="G1523" s="2"/>
      <c r="H1523" s="37"/>
      <c r="I1523" s="4"/>
      <c r="J1523" s="25">
        <f t="shared" si="93"/>
        <v>49</v>
      </c>
    </row>
    <row r="1524" spans="1:10" ht="34.950000000000003" customHeight="1">
      <c r="A1524" s="75">
        <v>1</v>
      </c>
      <c r="B1524" s="80" t="s">
        <v>91</v>
      </c>
      <c r="C1524" s="77" t="s">
        <v>48</v>
      </c>
      <c r="D1524" s="78">
        <v>1</v>
      </c>
      <c r="E1524" s="79"/>
      <c r="F1524" s="79">
        <f t="shared" ref="F1524:F1557" si="95">E1524+F1461</f>
        <v>1</v>
      </c>
      <c r="G1524" s="2"/>
      <c r="H1524" s="37">
        <v>10508</v>
      </c>
      <c r="I1524" s="4">
        <f>H1524*E1524</f>
        <v>0</v>
      </c>
      <c r="J1524" s="25">
        <f t="shared" si="93"/>
        <v>49</v>
      </c>
    </row>
    <row r="1525" spans="1:10" ht="34.799999999999997" customHeight="1">
      <c r="A1525" s="75">
        <v>2</v>
      </c>
      <c r="B1525" s="80" t="s">
        <v>92</v>
      </c>
      <c r="C1525" s="77" t="s">
        <v>48</v>
      </c>
      <c r="D1525" s="78">
        <v>1</v>
      </c>
      <c r="E1525" s="79"/>
      <c r="F1525" s="79">
        <f t="shared" si="95"/>
        <v>0</v>
      </c>
      <c r="G1525" s="2"/>
      <c r="H1525" s="37">
        <v>13223</v>
      </c>
      <c r="I1525" s="4">
        <f>H1525*E1525</f>
        <v>0</v>
      </c>
      <c r="J1525" s="25">
        <f t="shared" si="93"/>
        <v>49</v>
      </c>
    </row>
    <row r="1526" spans="1:10" ht="53.4" customHeight="1">
      <c r="A1526" s="75">
        <v>3</v>
      </c>
      <c r="B1526" s="80" t="s">
        <v>93</v>
      </c>
      <c r="C1526" s="77" t="s">
        <v>48</v>
      </c>
      <c r="D1526" s="78">
        <v>1</v>
      </c>
      <c r="E1526" s="79">
        <v>0.04</v>
      </c>
      <c r="F1526" s="79">
        <f t="shared" si="95"/>
        <v>0.72000000000000008</v>
      </c>
      <c r="G1526" s="2"/>
      <c r="H1526" s="37">
        <v>310497</v>
      </c>
      <c r="I1526" s="4">
        <f t="shared" ref="I1526:I1557" si="96">H1526*E1526</f>
        <v>12419.880000000001</v>
      </c>
      <c r="J1526" s="25">
        <f t="shared" si="93"/>
        <v>49</v>
      </c>
    </row>
    <row r="1527" spans="1:10" ht="16.95" customHeight="1">
      <c r="A1527" s="75">
        <v>4</v>
      </c>
      <c r="B1527" s="80" t="s">
        <v>94</v>
      </c>
      <c r="C1527" s="77" t="s">
        <v>48</v>
      </c>
      <c r="D1527" s="78">
        <v>1</v>
      </c>
      <c r="E1527" s="79"/>
      <c r="F1527" s="79">
        <f t="shared" si="95"/>
        <v>0</v>
      </c>
      <c r="G1527" s="2"/>
      <c r="H1527" s="37">
        <v>8375</v>
      </c>
      <c r="I1527" s="4">
        <f t="shared" si="96"/>
        <v>0</v>
      </c>
      <c r="J1527" s="25">
        <f t="shared" si="93"/>
        <v>49</v>
      </c>
    </row>
    <row r="1528" spans="1:10" ht="16.95" customHeight="1">
      <c r="A1528" s="75">
        <v>5</v>
      </c>
      <c r="B1528" s="80" t="s">
        <v>95</v>
      </c>
      <c r="C1528" s="77" t="s">
        <v>48</v>
      </c>
      <c r="D1528" s="78">
        <v>1</v>
      </c>
      <c r="E1528" s="79"/>
      <c r="F1528" s="79">
        <f t="shared" si="95"/>
        <v>0</v>
      </c>
      <c r="G1528" s="2"/>
      <c r="H1528" s="37">
        <v>51618</v>
      </c>
      <c r="I1528" s="4">
        <f t="shared" si="96"/>
        <v>0</v>
      </c>
      <c r="J1528" s="25">
        <f t="shared" si="93"/>
        <v>49</v>
      </c>
    </row>
    <row r="1529" spans="1:10" ht="16.95" customHeight="1">
      <c r="A1529" s="75">
        <v>6</v>
      </c>
      <c r="B1529" s="80" t="s">
        <v>96</v>
      </c>
      <c r="C1529" s="77" t="s">
        <v>50</v>
      </c>
      <c r="D1529" s="78">
        <v>11.55</v>
      </c>
      <c r="E1529" s="79"/>
      <c r="F1529" s="79">
        <f t="shared" si="95"/>
        <v>0</v>
      </c>
      <c r="G1529" s="2"/>
      <c r="H1529" s="37">
        <v>1188</v>
      </c>
      <c r="I1529" s="4">
        <f t="shared" si="96"/>
        <v>0</v>
      </c>
      <c r="J1529" s="25">
        <f t="shared" si="93"/>
        <v>49</v>
      </c>
    </row>
    <row r="1530" spans="1:10" ht="34.950000000000003" customHeight="1">
      <c r="A1530" s="75">
        <v>7</v>
      </c>
      <c r="B1530" s="80" t="s">
        <v>97</v>
      </c>
      <c r="C1530" s="77" t="s">
        <v>48</v>
      </c>
      <c r="D1530" s="78">
        <v>1</v>
      </c>
      <c r="E1530" s="79"/>
      <c r="F1530" s="79">
        <f t="shared" si="95"/>
        <v>0</v>
      </c>
      <c r="G1530" s="2"/>
      <c r="H1530" s="37">
        <v>21157</v>
      </c>
      <c r="I1530" s="4">
        <f t="shared" si="96"/>
        <v>0</v>
      </c>
      <c r="J1530" s="25">
        <f t="shared" si="93"/>
        <v>49</v>
      </c>
    </row>
    <row r="1531" spans="1:10" ht="16.95" customHeight="1">
      <c r="A1531" s="75">
        <v>8</v>
      </c>
      <c r="B1531" s="80" t="s">
        <v>98</v>
      </c>
      <c r="C1531" s="77" t="s">
        <v>50</v>
      </c>
      <c r="D1531" s="78">
        <v>387</v>
      </c>
      <c r="E1531" s="79"/>
      <c r="F1531" s="79">
        <f t="shared" si="95"/>
        <v>0</v>
      </c>
      <c r="G1531" s="2"/>
      <c r="H1531" s="37">
        <v>705</v>
      </c>
      <c r="I1531" s="4">
        <f t="shared" si="96"/>
        <v>0</v>
      </c>
      <c r="J1531" s="25">
        <f t="shared" ref="J1531:J1594" si="97">J1468+2</f>
        <v>49</v>
      </c>
    </row>
    <row r="1532" spans="1:10" ht="16.95" customHeight="1">
      <c r="A1532" s="75">
        <v>9</v>
      </c>
      <c r="B1532" s="80" t="s">
        <v>99</v>
      </c>
      <c r="C1532" s="77" t="s">
        <v>50</v>
      </c>
      <c r="D1532" s="78">
        <v>170</v>
      </c>
      <c r="E1532" s="79"/>
      <c r="F1532" s="79">
        <f t="shared" si="95"/>
        <v>0</v>
      </c>
      <c r="G1532" s="2"/>
      <c r="H1532" s="37">
        <v>617</v>
      </c>
      <c r="I1532" s="4">
        <f t="shared" si="96"/>
        <v>0</v>
      </c>
      <c r="J1532" s="25">
        <f t="shared" si="97"/>
        <v>49</v>
      </c>
    </row>
    <row r="1533" spans="1:10" ht="16.95" customHeight="1">
      <c r="A1533" s="75">
        <v>10</v>
      </c>
      <c r="B1533" s="80" t="s">
        <v>100</v>
      </c>
      <c r="C1533" s="77" t="s">
        <v>66</v>
      </c>
      <c r="D1533" s="78">
        <v>15</v>
      </c>
      <c r="E1533" s="79"/>
      <c r="F1533" s="79">
        <f t="shared" si="95"/>
        <v>0</v>
      </c>
      <c r="G1533" s="2"/>
      <c r="H1533" s="37">
        <v>617</v>
      </c>
      <c r="I1533" s="4">
        <f t="shared" si="96"/>
        <v>0</v>
      </c>
      <c r="J1533" s="25">
        <f t="shared" si="97"/>
        <v>49</v>
      </c>
    </row>
    <row r="1534" spans="1:10" ht="16.95" customHeight="1">
      <c r="A1534" s="75">
        <v>11</v>
      </c>
      <c r="B1534" s="80" t="s">
        <v>101</v>
      </c>
      <c r="C1534" s="77" t="s">
        <v>50</v>
      </c>
      <c r="D1534" s="78">
        <v>75</v>
      </c>
      <c r="E1534" s="79"/>
      <c r="F1534" s="79">
        <f t="shared" si="95"/>
        <v>0</v>
      </c>
      <c r="G1534" s="2"/>
      <c r="H1534" s="37">
        <v>1146</v>
      </c>
      <c r="I1534" s="4">
        <f t="shared" si="96"/>
        <v>0</v>
      </c>
      <c r="J1534" s="25">
        <f t="shared" si="97"/>
        <v>49</v>
      </c>
    </row>
    <row r="1535" spans="1:10" ht="16.95" customHeight="1">
      <c r="A1535" s="75">
        <v>12</v>
      </c>
      <c r="B1535" s="80" t="s">
        <v>102</v>
      </c>
      <c r="C1535" s="77" t="s">
        <v>50</v>
      </c>
      <c r="D1535" s="78">
        <v>5</v>
      </c>
      <c r="E1535" s="79"/>
      <c r="F1535" s="79">
        <f t="shared" si="95"/>
        <v>0</v>
      </c>
      <c r="G1535" s="2"/>
      <c r="H1535" s="37">
        <v>1455</v>
      </c>
      <c r="I1535" s="4">
        <f t="shared" si="96"/>
        <v>0</v>
      </c>
      <c r="J1535" s="25">
        <f t="shared" si="97"/>
        <v>49</v>
      </c>
    </row>
    <row r="1536" spans="1:10" ht="16.95" customHeight="1">
      <c r="A1536" s="75">
        <v>13</v>
      </c>
      <c r="B1536" s="80" t="s">
        <v>103</v>
      </c>
      <c r="C1536" s="77" t="s">
        <v>50</v>
      </c>
      <c r="D1536" s="78">
        <v>217</v>
      </c>
      <c r="E1536" s="79"/>
      <c r="F1536" s="79">
        <f t="shared" si="95"/>
        <v>0</v>
      </c>
      <c r="G1536" s="2"/>
      <c r="H1536" s="37">
        <v>1410</v>
      </c>
      <c r="I1536" s="4">
        <f t="shared" si="96"/>
        <v>0</v>
      </c>
      <c r="J1536" s="25">
        <f t="shared" si="97"/>
        <v>49</v>
      </c>
    </row>
    <row r="1537" spans="1:10" ht="16.95" customHeight="1">
      <c r="A1537" s="75">
        <v>14</v>
      </c>
      <c r="B1537" s="80" t="s">
        <v>104</v>
      </c>
      <c r="C1537" s="77" t="s">
        <v>49</v>
      </c>
      <c r="D1537" s="78">
        <v>84</v>
      </c>
      <c r="E1537" s="79"/>
      <c r="F1537" s="79">
        <f t="shared" si="95"/>
        <v>0</v>
      </c>
      <c r="G1537" s="2"/>
      <c r="H1537" s="37">
        <v>529</v>
      </c>
      <c r="I1537" s="4">
        <f t="shared" si="96"/>
        <v>0</v>
      </c>
      <c r="J1537" s="25">
        <f t="shared" si="97"/>
        <v>49</v>
      </c>
    </row>
    <row r="1538" spans="1:10" ht="16.95" customHeight="1">
      <c r="A1538" s="75">
        <v>15</v>
      </c>
      <c r="B1538" s="80" t="s">
        <v>105</v>
      </c>
      <c r="C1538" s="77" t="s">
        <v>50</v>
      </c>
      <c r="D1538" s="78">
        <v>1</v>
      </c>
      <c r="E1538" s="79"/>
      <c r="F1538" s="79">
        <f t="shared" si="95"/>
        <v>0</v>
      </c>
      <c r="G1538" s="2"/>
      <c r="H1538" s="37">
        <v>1146</v>
      </c>
      <c r="I1538" s="4">
        <f t="shared" si="96"/>
        <v>0</v>
      </c>
      <c r="J1538" s="25">
        <f t="shared" si="97"/>
        <v>49</v>
      </c>
    </row>
    <row r="1539" spans="1:10" ht="34.799999999999997" customHeight="1">
      <c r="A1539" s="75">
        <v>16</v>
      </c>
      <c r="B1539" s="80" t="s">
        <v>106</v>
      </c>
      <c r="C1539" s="77" t="s">
        <v>50</v>
      </c>
      <c r="D1539" s="78">
        <v>314</v>
      </c>
      <c r="E1539" s="79"/>
      <c r="F1539" s="79">
        <f t="shared" si="95"/>
        <v>0</v>
      </c>
      <c r="G1539" s="2"/>
      <c r="H1539" s="37">
        <v>185</v>
      </c>
      <c r="I1539" s="4">
        <f t="shared" si="96"/>
        <v>0</v>
      </c>
      <c r="J1539" s="25">
        <f t="shared" si="97"/>
        <v>49</v>
      </c>
    </row>
    <row r="1540" spans="1:10" ht="16.95" customHeight="1">
      <c r="A1540" s="75">
        <v>17</v>
      </c>
      <c r="B1540" s="80" t="s">
        <v>107</v>
      </c>
      <c r="C1540" s="77" t="s">
        <v>48</v>
      </c>
      <c r="D1540" s="78">
        <v>1</v>
      </c>
      <c r="E1540" s="79"/>
      <c r="F1540" s="79">
        <f t="shared" si="95"/>
        <v>0</v>
      </c>
      <c r="G1540" s="2"/>
      <c r="H1540" s="37">
        <v>89918</v>
      </c>
      <c r="I1540" s="4">
        <f t="shared" si="96"/>
        <v>0</v>
      </c>
      <c r="J1540" s="25">
        <f t="shared" si="97"/>
        <v>49</v>
      </c>
    </row>
    <row r="1541" spans="1:10" ht="16.95" customHeight="1">
      <c r="A1541" s="75">
        <v>18</v>
      </c>
      <c r="B1541" s="80" t="s">
        <v>108</v>
      </c>
      <c r="C1541" s="77" t="s">
        <v>120</v>
      </c>
      <c r="D1541" s="78">
        <v>15</v>
      </c>
      <c r="E1541" s="79"/>
      <c r="F1541" s="79">
        <f t="shared" si="95"/>
        <v>0</v>
      </c>
      <c r="G1541" s="2"/>
      <c r="H1541" s="37">
        <v>661</v>
      </c>
      <c r="I1541" s="4">
        <f t="shared" si="96"/>
        <v>0</v>
      </c>
      <c r="J1541" s="25">
        <f t="shared" si="97"/>
        <v>49</v>
      </c>
    </row>
    <row r="1542" spans="1:10" ht="16.95" customHeight="1">
      <c r="A1542" s="75">
        <v>19</v>
      </c>
      <c r="B1542" s="80" t="s">
        <v>109</v>
      </c>
      <c r="C1542" s="77" t="s">
        <v>50</v>
      </c>
      <c r="D1542" s="78">
        <v>82</v>
      </c>
      <c r="E1542" s="79"/>
      <c r="F1542" s="79">
        <f t="shared" si="95"/>
        <v>0</v>
      </c>
      <c r="G1542" s="2"/>
      <c r="H1542" s="37">
        <v>2909</v>
      </c>
      <c r="I1542" s="4">
        <f t="shared" si="96"/>
        <v>0</v>
      </c>
      <c r="J1542" s="25">
        <f t="shared" si="97"/>
        <v>49</v>
      </c>
    </row>
    <row r="1543" spans="1:10" ht="16.95" customHeight="1">
      <c r="A1543" s="75">
        <v>20</v>
      </c>
      <c r="B1543" s="80" t="s">
        <v>110</v>
      </c>
      <c r="C1543" s="77" t="s">
        <v>121</v>
      </c>
      <c r="D1543" s="78">
        <v>12</v>
      </c>
      <c r="E1543" s="79"/>
      <c r="F1543" s="79">
        <f t="shared" si="95"/>
        <v>0</v>
      </c>
      <c r="G1543" s="2"/>
      <c r="H1543" s="37">
        <v>882</v>
      </c>
      <c r="I1543" s="4">
        <f t="shared" si="96"/>
        <v>0</v>
      </c>
      <c r="J1543" s="25">
        <f t="shared" si="97"/>
        <v>49</v>
      </c>
    </row>
    <row r="1544" spans="1:10" ht="16.95" customHeight="1">
      <c r="A1544" s="77">
        <v>21</v>
      </c>
      <c r="B1544" s="80" t="s">
        <v>111</v>
      </c>
      <c r="C1544" s="77" t="s">
        <v>122</v>
      </c>
      <c r="D1544" s="78">
        <v>3</v>
      </c>
      <c r="E1544" s="79"/>
      <c r="F1544" s="79">
        <f t="shared" si="95"/>
        <v>0</v>
      </c>
      <c r="G1544" s="2"/>
      <c r="H1544" s="38">
        <v>1869</v>
      </c>
      <c r="I1544" s="4">
        <f t="shared" si="96"/>
        <v>0</v>
      </c>
      <c r="J1544" s="25">
        <f t="shared" si="97"/>
        <v>49</v>
      </c>
    </row>
    <row r="1545" spans="1:10" ht="34.950000000000003" customHeight="1">
      <c r="A1545" s="75">
        <v>22</v>
      </c>
      <c r="B1545" s="80" t="s">
        <v>112</v>
      </c>
      <c r="C1545" s="77" t="s">
        <v>48</v>
      </c>
      <c r="D1545" s="78">
        <v>1</v>
      </c>
      <c r="E1545" s="79"/>
      <c r="F1545" s="79">
        <f t="shared" si="95"/>
        <v>0</v>
      </c>
      <c r="G1545" s="2"/>
      <c r="H1545" s="37">
        <v>82206</v>
      </c>
      <c r="I1545" s="4">
        <f t="shared" si="96"/>
        <v>0</v>
      </c>
      <c r="J1545" s="25">
        <f t="shared" si="97"/>
        <v>49</v>
      </c>
    </row>
    <row r="1546" spans="1:10" ht="16.95" customHeight="1">
      <c r="A1546" s="75">
        <v>23</v>
      </c>
      <c r="B1546" s="80" t="s">
        <v>113</v>
      </c>
      <c r="C1546" s="77" t="s">
        <v>48</v>
      </c>
      <c r="D1546" s="78">
        <v>1</v>
      </c>
      <c r="E1546" s="79"/>
      <c r="F1546" s="79">
        <f t="shared" si="95"/>
        <v>0</v>
      </c>
      <c r="G1546" s="2"/>
      <c r="H1546" s="37">
        <v>142723</v>
      </c>
      <c r="I1546" s="4">
        <f t="shared" si="96"/>
        <v>0</v>
      </c>
      <c r="J1546" s="25">
        <f t="shared" si="97"/>
        <v>49</v>
      </c>
    </row>
    <row r="1547" spans="1:10" ht="16.95" customHeight="1">
      <c r="A1547" s="75">
        <v>24</v>
      </c>
      <c r="B1547" s="80" t="s">
        <v>114</v>
      </c>
      <c r="C1547" s="77" t="s">
        <v>48</v>
      </c>
      <c r="D1547" s="78">
        <v>1</v>
      </c>
      <c r="E1547" s="79"/>
      <c r="F1547" s="79">
        <f t="shared" si="95"/>
        <v>0</v>
      </c>
      <c r="G1547" s="2"/>
      <c r="H1547" s="37">
        <v>37290</v>
      </c>
      <c r="I1547" s="4">
        <f t="shared" si="96"/>
        <v>0</v>
      </c>
      <c r="J1547" s="25">
        <f t="shared" si="97"/>
        <v>49</v>
      </c>
    </row>
    <row r="1548" spans="1:10" ht="16.95" customHeight="1">
      <c r="A1548" s="75">
        <v>25</v>
      </c>
      <c r="B1548" s="80" t="s">
        <v>115</v>
      </c>
      <c r="C1548" s="77" t="s">
        <v>48</v>
      </c>
      <c r="D1548" s="78">
        <v>1</v>
      </c>
      <c r="E1548" s="79">
        <v>0.05</v>
      </c>
      <c r="F1548" s="79">
        <f t="shared" si="95"/>
        <v>0.05</v>
      </c>
      <c r="G1548" s="2"/>
      <c r="H1548" s="37">
        <v>99394</v>
      </c>
      <c r="I1548" s="4">
        <f t="shared" si="96"/>
        <v>4969.7000000000007</v>
      </c>
      <c r="J1548" s="25">
        <f t="shared" si="97"/>
        <v>49</v>
      </c>
    </row>
    <row r="1549" spans="1:10" ht="34.950000000000003" customHeight="1">
      <c r="A1549" s="75">
        <v>26</v>
      </c>
      <c r="B1549" s="80" t="s">
        <v>116</v>
      </c>
      <c r="C1549" s="77" t="s">
        <v>48</v>
      </c>
      <c r="D1549" s="78">
        <v>1</v>
      </c>
      <c r="E1549" s="79"/>
      <c r="F1549" s="79">
        <f t="shared" si="95"/>
        <v>0</v>
      </c>
      <c r="G1549" s="2"/>
      <c r="H1549" s="37">
        <v>21334</v>
      </c>
      <c r="I1549" s="4">
        <f t="shared" si="96"/>
        <v>0</v>
      </c>
      <c r="J1549" s="25">
        <f t="shared" si="97"/>
        <v>49</v>
      </c>
    </row>
    <row r="1550" spans="1:10" ht="16.95" customHeight="1">
      <c r="A1550" s="75">
        <v>27</v>
      </c>
      <c r="B1550" s="80" t="s">
        <v>117</v>
      </c>
      <c r="C1550" s="77" t="s">
        <v>48</v>
      </c>
      <c r="D1550" s="78">
        <v>1</v>
      </c>
      <c r="E1550" s="79"/>
      <c r="F1550" s="79">
        <f t="shared" si="95"/>
        <v>0</v>
      </c>
      <c r="G1550" s="2"/>
      <c r="H1550" s="37">
        <v>29620</v>
      </c>
      <c r="I1550" s="4">
        <f t="shared" si="96"/>
        <v>0</v>
      </c>
      <c r="J1550" s="25">
        <f t="shared" si="97"/>
        <v>49</v>
      </c>
    </row>
    <row r="1551" spans="1:10" ht="16.95" customHeight="1">
      <c r="A1551" s="75">
        <v>28</v>
      </c>
      <c r="B1551" s="80" t="s">
        <v>118</v>
      </c>
      <c r="C1551" s="77" t="s">
        <v>48</v>
      </c>
      <c r="D1551" s="78">
        <v>1</v>
      </c>
      <c r="E1551" s="79"/>
      <c r="F1551" s="79">
        <f t="shared" si="95"/>
        <v>0</v>
      </c>
      <c r="G1551" s="2"/>
      <c r="H1551" s="37">
        <v>18506</v>
      </c>
      <c r="I1551" s="4">
        <f t="shared" si="96"/>
        <v>0</v>
      </c>
      <c r="J1551" s="25">
        <f t="shared" si="97"/>
        <v>49</v>
      </c>
    </row>
    <row r="1552" spans="1:10" ht="16.95" customHeight="1">
      <c r="A1552" s="75">
        <v>29</v>
      </c>
      <c r="B1552" s="80" t="s">
        <v>119</v>
      </c>
      <c r="C1552" s="77" t="s">
        <v>48</v>
      </c>
      <c r="D1552" s="78">
        <v>1</v>
      </c>
      <c r="E1552" s="79"/>
      <c r="F1552" s="79">
        <f t="shared" si="95"/>
        <v>0</v>
      </c>
      <c r="G1552" s="2"/>
      <c r="H1552" s="37">
        <v>34381</v>
      </c>
      <c r="I1552" s="4">
        <f t="shared" si="96"/>
        <v>0</v>
      </c>
      <c r="J1552" s="25">
        <f t="shared" si="97"/>
        <v>49</v>
      </c>
    </row>
    <row r="1553" spans="1:10" ht="16.95" customHeight="1">
      <c r="A1553" s="75" t="s">
        <v>79</v>
      </c>
      <c r="B1553" s="80" t="s">
        <v>80</v>
      </c>
      <c r="C1553" s="77" t="s">
        <v>48</v>
      </c>
      <c r="D1553" s="78">
        <v>1</v>
      </c>
      <c r="E1553" s="79">
        <f t="shared" ref="E1553:E1556" si="98">1/120</f>
        <v>8.3333333333333332E-3</v>
      </c>
      <c r="F1553" s="79">
        <f t="shared" si="95"/>
        <v>0.19999999999999998</v>
      </c>
      <c r="G1553" s="2"/>
      <c r="H1553" s="37">
        <v>21395</v>
      </c>
      <c r="I1553" s="4">
        <f t="shared" si="96"/>
        <v>178.29166666666666</v>
      </c>
      <c r="J1553" s="25">
        <f t="shared" si="97"/>
        <v>49</v>
      </c>
    </row>
    <row r="1554" spans="1:10" ht="16.95" customHeight="1">
      <c r="A1554" s="75" t="s">
        <v>81</v>
      </c>
      <c r="B1554" s="80" t="s">
        <v>82</v>
      </c>
      <c r="C1554" s="77" t="s">
        <v>48</v>
      </c>
      <c r="D1554" s="78">
        <v>1</v>
      </c>
      <c r="E1554" s="79">
        <f t="shared" si="98"/>
        <v>8.3333333333333332E-3</v>
      </c>
      <c r="F1554" s="79">
        <f t="shared" si="95"/>
        <v>0.19999999999999998</v>
      </c>
      <c r="G1554" s="2"/>
      <c r="H1554" s="37">
        <v>21395</v>
      </c>
      <c r="I1554" s="4">
        <f t="shared" si="96"/>
        <v>178.29166666666666</v>
      </c>
      <c r="J1554" s="25">
        <f t="shared" si="97"/>
        <v>49</v>
      </c>
    </row>
    <row r="1555" spans="1:10" ht="16.95" customHeight="1">
      <c r="A1555" s="75" t="s">
        <v>83</v>
      </c>
      <c r="B1555" s="80" t="s">
        <v>84</v>
      </c>
      <c r="C1555" s="77" t="s">
        <v>48</v>
      </c>
      <c r="D1555" s="78">
        <v>1</v>
      </c>
      <c r="E1555" s="79">
        <f t="shared" si="98"/>
        <v>8.3333333333333332E-3</v>
      </c>
      <c r="F1555" s="79">
        <f t="shared" si="95"/>
        <v>0.19999999999999998</v>
      </c>
      <c r="G1555" s="2"/>
      <c r="H1555" s="37">
        <v>149765</v>
      </c>
      <c r="I1555" s="4">
        <f t="shared" si="96"/>
        <v>1248.0416666666667</v>
      </c>
      <c r="J1555" s="25">
        <f t="shared" si="97"/>
        <v>49</v>
      </c>
    </row>
    <row r="1556" spans="1:10" ht="16.95" customHeight="1">
      <c r="A1556" s="75" t="s">
        <v>85</v>
      </c>
      <c r="B1556" s="80" t="s">
        <v>86</v>
      </c>
      <c r="C1556" s="77" t="s">
        <v>48</v>
      </c>
      <c r="D1556" s="78">
        <v>1</v>
      </c>
      <c r="E1556" s="79">
        <f t="shared" si="98"/>
        <v>8.3333333333333332E-3</v>
      </c>
      <c r="F1556" s="79">
        <f t="shared" si="95"/>
        <v>0.19999999999999998</v>
      </c>
      <c r="G1556" s="2"/>
      <c r="H1556" s="37">
        <v>6996</v>
      </c>
      <c r="I1556" s="4">
        <f t="shared" si="96"/>
        <v>58.3</v>
      </c>
      <c r="J1556" s="25">
        <f t="shared" si="97"/>
        <v>49</v>
      </c>
    </row>
    <row r="1557" spans="1:10" ht="16.95" customHeight="1">
      <c r="A1557" s="75" t="s">
        <v>87</v>
      </c>
      <c r="B1557" s="80" t="s">
        <v>88</v>
      </c>
      <c r="C1557" s="77" t="s">
        <v>48</v>
      </c>
      <c r="D1557" s="78">
        <v>1</v>
      </c>
      <c r="E1557" s="79">
        <f>1/120</f>
        <v>8.3333333333333332E-3</v>
      </c>
      <c r="F1557" s="79">
        <f t="shared" si="95"/>
        <v>0.19999999999999998</v>
      </c>
      <c r="G1557" s="2"/>
      <c r="H1557" s="37">
        <v>116952</v>
      </c>
      <c r="I1557" s="4">
        <f t="shared" si="96"/>
        <v>974.6</v>
      </c>
      <c r="J1557" s="25">
        <f t="shared" si="97"/>
        <v>49</v>
      </c>
    </row>
    <row r="1558" spans="1:10" ht="16.95" customHeight="1">
      <c r="A1558" s="95" t="s">
        <v>23</v>
      </c>
      <c r="B1558" s="95"/>
      <c r="C1558" s="50"/>
      <c r="D1558" s="50"/>
      <c r="E1558" s="50"/>
      <c r="F1558" s="50"/>
      <c r="G1558" s="50"/>
      <c r="H1558" s="3" t="s">
        <v>24</v>
      </c>
      <c r="I1558" s="5">
        <f>SUM(I1523:I1557)</f>
        <v>20027.105000000003</v>
      </c>
      <c r="J1558" s="25">
        <f t="shared" si="97"/>
        <v>49</v>
      </c>
    </row>
    <row r="1559" spans="1:10" ht="16.95" customHeight="1">
      <c r="A1559" s="96" t="s">
        <v>25</v>
      </c>
      <c r="B1559" s="96"/>
      <c r="C1559" s="50"/>
      <c r="D1559" s="50"/>
      <c r="E1559" s="50"/>
      <c r="F1559" s="50"/>
      <c r="G1559" s="50"/>
      <c r="J1559" s="25">
        <f t="shared" si="97"/>
        <v>49</v>
      </c>
    </row>
    <row r="1560" spans="1:10" ht="16.95" customHeight="1">
      <c r="A1560" s="96" t="s">
        <v>26</v>
      </c>
      <c r="B1560" s="96"/>
      <c r="C1560" s="50"/>
      <c r="D1560" s="50"/>
      <c r="E1560" s="50"/>
      <c r="F1560" s="50"/>
      <c r="G1560" s="50"/>
      <c r="J1560" s="25">
        <f t="shared" si="97"/>
        <v>49</v>
      </c>
    </row>
    <row r="1561" spans="1:10" ht="16.95" customHeight="1">
      <c r="A1561" s="95" t="s">
        <v>27</v>
      </c>
      <c r="B1561" s="95"/>
      <c r="C1561" s="95"/>
      <c r="D1561" s="95"/>
      <c r="E1561" s="95"/>
      <c r="F1561" s="95"/>
      <c r="G1561" s="95"/>
      <c r="J1561" s="25">
        <f t="shared" si="97"/>
        <v>49</v>
      </c>
    </row>
    <row r="1562" spans="1:10" ht="16.95" customHeight="1">
      <c r="A1562" s="94" t="s">
        <v>28</v>
      </c>
      <c r="B1562" s="94"/>
      <c r="C1562" s="51" t="s">
        <v>29</v>
      </c>
      <c r="D1562" s="51" t="s">
        <v>30</v>
      </c>
      <c r="E1562" s="51" t="s">
        <v>18</v>
      </c>
      <c r="F1562" s="51" t="s">
        <v>31</v>
      </c>
      <c r="G1562" s="51" t="s">
        <v>20</v>
      </c>
      <c r="J1562" s="25">
        <f t="shared" si="97"/>
        <v>49</v>
      </c>
    </row>
    <row r="1563" spans="1:10" ht="16.95" customHeight="1">
      <c r="A1563" s="96"/>
      <c r="B1563" s="96"/>
      <c r="C1563" s="50"/>
      <c r="D1563" s="50"/>
      <c r="E1563" s="50"/>
      <c r="F1563" s="50"/>
      <c r="G1563" s="51"/>
      <c r="J1563" s="25">
        <f t="shared" si="97"/>
        <v>49</v>
      </c>
    </row>
    <row r="1564" spans="1:10" ht="16.95" customHeight="1">
      <c r="A1564" s="97"/>
      <c r="B1564" s="97"/>
      <c r="C1564" s="50"/>
      <c r="D1564" s="50"/>
      <c r="E1564" s="50"/>
      <c r="F1564" s="51"/>
      <c r="G1564" s="51"/>
      <c r="J1564" s="25">
        <f t="shared" si="97"/>
        <v>49</v>
      </c>
    </row>
    <row r="1565" spans="1:10" ht="16.95" customHeight="1">
      <c r="A1565" s="95" t="s">
        <v>32</v>
      </c>
      <c r="B1565" s="95"/>
      <c r="C1565" s="95"/>
      <c r="D1565" s="95"/>
      <c r="E1565" s="95"/>
      <c r="F1565" s="95"/>
      <c r="G1565" s="95"/>
      <c r="J1565" s="25">
        <f t="shared" si="97"/>
        <v>50</v>
      </c>
    </row>
    <row r="1566" spans="1:10" ht="16.95" customHeight="1">
      <c r="A1566" s="51" t="s">
        <v>33</v>
      </c>
      <c r="B1566" s="51" t="s">
        <v>34</v>
      </c>
      <c r="C1566" s="94" t="s">
        <v>35</v>
      </c>
      <c r="D1566" s="94"/>
      <c r="E1566" s="51" t="s">
        <v>36</v>
      </c>
      <c r="F1566" s="51" t="s">
        <v>37</v>
      </c>
      <c r="G1566" s="51" t="s">
        <v>38</v>
      </c>
      <c r="J1566" s="25">
        <f t="shared" si="97"/>
        <v>50</v>
      </c>
    </row>
    <row r="1567" spans="1:10" ht="16.95" customHeight="1">
      <c r="A1567" s="51" t="s">
        <v>39</v>
      </c>
      <c r="B1567" s="6">
        <v>1</v>
      </c>
      <c r="C1567" s="94">
        <f>B1567+C1504</f>
        <v>18</v>
      </c>
      <c r="D1567" s="94"/>
      <c r="E1567" s="51"/>
      <c r="F1567" s="24"/>
      <c r="G1567" s="24"/>
      <c r="J1567" s="25">
        <f t="shared" si="97"/>
        <v>50</v>
      </c>
    </row>
    <row r="1568" spans="1:10" ht="16.95" customHeight="1">
      <c r="A1568" s="51" t="s">
        <v>40</v>
      </c>
      <c r="B1568" s="6">
        <v>1</v>
      </c>
      <c r="C1568" s="94">
        <f>B1568+C1505</f>
        <v>19</v>
      </c>
      <c r="D1568" s="94"/>
      <c r="E1568" s="51"/>
      <c r="F1568" s="24"/>
      <c r="G1568" s="24"/>
      <c r="J1568" s="25">
        <f t="shared" si="97"/>
        <v>50</v>
      </c>
    </row>
    <row r="1569" spans="1:10" ht="36.6" customHeight="1">
      <c r="A1569" s="95" t="s">
        <v>41</v>
      </c>
      <c r="B1569" s="95"/>
      <c r="C1569" s="95"/>
      <c r="D1569" s="95"/>
      <c r="E1569" s="95"/>
      <c r="F1569" s="95"/>
      <c r="G1569" s="95"/>
      <c r="J1569" s="25">
        <f t="shared" si="97"/>
        <v>50</v>
      </c>
    </row>
    <row r="1570" spans="1:10" ht="90" customHeight="1">
      <c r="A1570" s="92" t="s">
        <v>42</v>
      </c>
      <c r="B1570" s="92"/>
      <c r="C1570" s="92"/>
      <c r="D1570" s="92"/>
      <c r="E1570" s="92"/>
      <c r="F1570" s="92"/>
      <c r="G1570" s="92"/>
      <c r="J1570" s="25">
        <f t="shared" si="97"/>
        <v>50</v>
      </c>
    </row>
    <row r="1571" spans="1:10" ht="16.95" customHeight="1">
      <c r="A1571" s="95" t="s">
        <v>43</v>
      </c>
      <c r="B1571" s="95"/>
      <c r="C1571" s="95"/>
      <c r="D1571" s="95"/>
      <c r="E1571" s="95"/>
      <c r="F1571" s="95"/>
      <c r="G1571" s="95"/>
      <c r="J1571" s="25">
        <f t="shared" si="97"/>
        <v>50</v>
      </c>
    </row>
    <row r="1572" spans="1:10" ht="16.95" customHeight="1">
      <c r="A1572" s="95" t="s">
        <v>44</v>
      </c>
      <c r="B1572" s="95"/>
      <c r="C1572" s="95"/>
      <c r="D1572" s="95"/>
      <c r="E1572" s="95"/>
      <c r="F1572" s="95"/>
      <c r="G1572" s="95"/>
      <c r="J1572" s="25">
        <f t="shared" si="97"/>
        <v>50</v>
      </c>
    </row>
    <row r="1573" spans="1:10" ht="16.95" customHeight="1">
      <c r="A1573" s="91" t="s">
        <v>125</v>
      </c>
      <c r="B1573" s="91"/>
      <c r="C1573" s="91"/>
      <c r="D1573" s="91"/>
      <c r="E1573" s="91"/>
      <c r="F1573" s="91"/>
      <c r="G1573" s="91"/>
      <c r="J1573" s="25">
        <f t="shared" si="97"/>
        <v>50</v>
      </c>
    </row>
    <row r="1574" spans="1:10" ht="120.6" customHeight="1">
      <c r="A1574" s="92" t="s">
        <v>45</v>
      </c>
      <c r="B1574" s="92"/>
      <c r="C1574" s="92"/>
      <c r="D1574" s="92"/>
      <c r="E1574" s="92"/>
      <c r="F1574" s="92"/>
      <c r="G1574" s="92"/>
      <c r="J1574" s="25">
        <f t="shared" si="97"/>
        <v>50</v>
      </c>
    </row>
    <row r="1575" spans="1:10" ht="140.4" customHeight="1">
      <c r="A1575" s="93" t="s">
        <v>46</v>
      </c>
      <c r="B1575" s="93"/>
      <c r="C1575" s="93"/>
      <c r="D1575" s="93"/>
      <c r="E1575" s="93"/>
      <c r="F1575" s="93"/>
      <c r="G1575" s="93"/>
      <c r="J1575" s="25">
        <f t="shared" si="97"/>
        <v>50</v>
      </c>
    </row>
    <row r="1576" spans="1:10" ht="37.200000000000003" customHeight="1">
      <c r="A1576" s="103" t="s">
        <v>0</v>
      </c>
      <c r="B1576" s="103"/>
      <c r="C1576" s="103"/>
      <c r="D1576" s="103"/>
      <c r="E1576" s="103"/>
      <c r="F1576" s="103"/>
      <c r="G1576" s="103"/>
      <c r="J1576" s="25">
        <f t="shared" si="97"/>
        <v>51</v>
      </c>
    </row>
    <row r="1577" spans="1:10" ht="16.95" customHeight="1">
      <c r="A1577" s="1" t="s">
        <v>1</v>
      </c>
      <c r="B1577" s="104">
        <f>B1514+1</f>
        <v>26</v>
      </c>
      <c r="C1577" s="104"/>
      <c r="D1577" s="104"/>
      <c r="E1577" s="104"/>
      <c r="F1577" s="104"/>
      <c r="G1577" s="104"/>
      <c r="J1577" s="25">
        <f t="shared" si="97"/>
        <v>51</v>
      </c>
    </row>
    <row r="1578" spans="1:10" ht="16.95" customHeight="1">
      <c r="A1578" s="1" t="s">
        <v>2</v>
      </c>
      <c r="B1578" s="105" t="s">
        <v>63</v>
      </c>
      <c r="C1578" s="105"/>
      <c r="D1578" s="105"/>
      <c r="E1578" s="106">
        <f>E1515+1</f>
        <v>46229</v>
      </c>
      <c r="F1578" s="106"/>
      <c r="G1578" s="106"/>
      <c r="J1578" s="25">
        <f t="shared" si="97"/>
        <v>51</v>
      </c>
    </row>
    <row r="1579" spans="1:10" ht="16.95" customHeight="1">
      <c r="A1579" s="53" t="s">
        <v>3</v>
      </c>
      <c r="B1579" s="2" t="s">
        <v>67</v>
      </c>
      <c r="C1579" s="98" t="s">
        <v>4</v>
      </c>
      <c r="D1579" s="98"/>
      <c r="E1579" s="98" t="s">
        <v>47</v>
      </c>
      <c r="F1579" s="98"/>
      <c r="G1579" s="98"/>
      <c r="J1579" s="25">
        <f t="shared" si="97"/>
        <v>51</v>
      </c>
    </row>
    <row r="1580" spans="1:10" ht="16.95" customHeight="1">
      <c r="A1580" s="53" t="s">
        <v>5</v>
      </c>
      <c r="B1580" s="54">
        <v>120</v>
      </c>
      <c r="C1580" s="98" t="s">
        <v>6</v>
      </c>
      <c r="D1580" s="98"/>
      <c r="E1580" s="98">
        <v>1</v>
      </c>
      <c r="F1580" s="98"/>
      <c r="G1580" s="98"/>
      <c r="J1580" s="25">
        <f t="shared" si="97"/>
        <v>51</v>
      </c>
    </row>
    <row r="1581" spans="1:10" ht="16.95" customHeight="1">
      <c r="A1581" s="53" t="s">
        <v>7</v>
      </c>
      <c r="B1581" s="54">
        <f>B1577</f>
        <v>26</v>
      </c>
      <c r="C1581" s="100" t="s">
        <v>8</v>
      </c>
      <c r="D1581" s="100"/>
      <c r="E1581" s="101">
        <f>B1580-B1581+1</f>
        <v>95</v>
      </c>
      <c r="F1581" s="101"/>
      <c r="G1581" s="101"/>
      <c r="J1581" s="25">
        <f t="shared" si="97"/>
        <v>51</v>
      </c>
    </row>
    <row r="1582" spans="1:10" ht="16.95" customHeight="1">
      <c r="A1582" s="53" t="s">
        <v>9</v>
      </c>
      <c r="B1582" s="55">
        <v>46204</v>
      </c>
      <c r="C1582" s="98" t="s">
        <v>10</v>
      </c>
      <c r="D1582" s="98"/>
      <c r="E1582" s="102">
        <f>B1582+B1580-1</f>
        <v>46323</v>
      </c>
      <c r="F1582" s="102"/>
      <c r="G1582" s="102"/>
      <c r="J1582" s="25">
        <f t="shared" si="97"/>
        <v>51</v>
      </c>
    </row>
    <row r="1583" spans="1:10" ht="16.95" customHeight="1">
      <c r="A1583" s="53" t="s">
        <v>11</v>
      </c>
      <c r="B1583" s="56">
        <f>HLOOKUP(B1577,進度表!$Q$2:$Z$3,2,1)+B1520</f>
        <v>0.11359106270358313</v>
      </c>
      <c r="C1583" s="98" t="s">
        <v>12</v>
      </c>
      <c r="D1583" s="98"/>
      <c r="E1583" s="99">
        <f>I1621/I1583+E1520</f>
        <v>0.12417494503257324</v>
      </c>
      <c r="F1583" s="99"/>
      <c r="G1583" s="99"/>
      <c r="H1583" s="3" t="s">
        <v>62</v>
      </c>
      <c r="I1583" s="1">
        <v>2456000</v>
      </c>
      <c r="J1583" s="25">
        <f t="shared" si="97"/>
        <v>51</v>
      </c>
    </row>
    <row r="1584" spans="1:10" ht="16.95" customHeight="1">
      <c r="A1584" s="98" t="s">
        <v>13</v>
      </c>
      <c r="B1584" s="98"/>
      <c r="C1584" s="98"/>
      <c r="D1584" s="98"/>
      <c r="E1584" s="98"/>
      <c r="F1584" s="98"/>
      <c r="G1584" s="98"/>
      <c r="J1584" s="25">
        <f t="shared" si="97"/>
        <v>51</v>
      </c>
    </row>
    <row r="1585" spans="1:10" ht="16.95" customHeight="1">
      <c r="A1585" s="52" t="s">
        <v>14</v>
      </c>
      <c r="B1585" s="52" t="s">
        <v>15</v>
      </c>
      <c r="C1585" s="52" t="s">
        <v>16</v>
      </c>
      <c r="D1585" s="52" t="s">
        <v>17</v>
      </c>
      <c r="E1585" s="52" t="s">
        <v>18</v>
      </c>
      <c r="F1585" s="52" t="s">
        <v>19</v>
      </c>
      <c r="G1585" s="52" t="s">
        <v>20</v>
      </c>
      <c r="H1585" s="3" t="s">
        <v>21</v>
      </c>
      <c r="I1585" s="3" t="s">
        <v>22</v>
      </c>
      <c r="J1585" s="25">
        <f t="shared" si="97"/>
        <v>51</v>
      </c>
    </row>
    <row r="1586" spans="1:10" ht="16.95" customHeight="1">
      <c r="A1586" s="75" t="s">
        <v>65</v>
      </c>
      <c r="B1586" s="76" t="s">
        <v>69</v>
      </c>
      <c r="C1586" s="77"/>
      <c r="D1586" s="78"/>
      <c r="E1586" s="79"/>
      <c r="F1586" s="79"/>
      <c r="G1586" s="2"/>
      <c r="H1586" s="37"/>
      <c r="I1586" s="4"/>
      <c r="J1586" s="25">
        <f t="shared" si="97"/>
        <v>51</v>
      </c>
    </row>
    <row r="1587" spans="1:10" ht="34.950000000000003" customHeight="1">
      <c r="A1587" s="75">
        <v>1</v>
      </c>
      <c r="B1587" s="80" t="s">
        <v>91</v>
      </c>
      <c r="C1587" s="77" t="s">
        <v>48</v>
      </c>
      <c r="D1587" s="78">
        <v>1</v>
      </c>
      <c r="E1587" s="79"/>
      <c r="F1587" s="79">
        <f t="shared" ref="F1587:F1620" si="99">E1587+F1524</f>
        <v>1</v>
      </c>
      <c r="G1587" s="2"/>
      <c r="H1587" s="37">
        <v>10508</v>
      </c>
      <c r="I1587" s="4">
        <f>H1587*E1587</f>
        <v>0</v>
      </c>
      <c r="J1587" s="25">
        <f t="shared" si="97"/>
        <v>51</v>
      </c>
    </row>
    <row r="1588" spans="1:10" ht="34.799999999999997" customHeight="1">
      <c r="A1588" s="75">
        <v>2</v>
      </c>
      <c r="B1588" s="80" t="s">
        <v>92</v>
      </c>
      <c r="C1588" s="77" t="s">
        <v>48</v>
      </c>
      <c r="D1588" s="78">
        <v>1</v>
      </c>
      <c r="E1588" s="79"/>
      <c r="F1588" s="79">
        <f t="shared" si="99"/>
        <v>0</v>
      </c>
      <c r="G1588" s="2"/>
      <c r="H1588" s="37">
        <v>13223</v>
      </c>
      <c r="I1588" s="4">
        <f>H1588*E1588</f>
        <v>0</v>
      </c>
      <c r="J1588" s="25">
        <f t="shared" si="97"/>
        <v>51</v>
      </c>
    </row>
    <row r="1589" spans="1:10" ht="53.4" customHeight="1">
      <c r="A1589" s="75">
        <v>3</v>
      </c>
      <c r="B1589" s="80" t="s">
        <v>93</v>
      </c>
      <c r="C1589" s="77" t="s">
        <v>48</v>
      </c>
      <c r="D1589" s="78">
        <v>1</v>
      </c>
      <c r="E1589" s="79"/>
      <c r="F1589" s="79">
        <f t="shared" si="99"/>
        <v>0.72000000000000008</v>
      </c>
      <c r="G1589" s="2"/>
      <c r="H1589" s="37">
        <v>310497</v>
      </c>
      <c r="I1589" s="4">
        <f t="shared" ref="I1589:I1620" si="100">H1589*E1589</f>
        <v>0</v>
      </c>
      <c r="J1589" s="25">
        <f t="shared" si="97"/>
        <v>51</v>
      </c>
    </row>
    <row r="1590" spans="1:10" ht="16.95" customHeight="1">
      <c r="A1590" s="75">
        <v>4</v>
      </c>
      <c r="B1590" s="80" t="s">
        <v>94</v>
      </c>
      <c r="C1590" s="77" t="s">
        <v>48</v>
      </c>
      <c r="D1590" s="78">
        <v>1</v>
      </c>
      <c r="E1590" s="79"/>
      <c r="F1590" s="79">
        <f t="shared" si="99"/>
        <v>0</v>
      </c>
      <c r="G1590" s="2"/>
      <c r="H1590" s="37">
        <v>8375</v>
      </c>
      <c r="I1590" s="4">
        <f t="shared" si="100"/>
        <v>0</v>
      </c>
      <c r="J1590" s="25">
        <f t="shared" si="97"/>
        <v>51</v>
      </c>
    </row>
    <row r="1591" spans="1:10" ht="16.95" customHeight="1">
      <c r="A1591" s="75">
        <v>5</v>
      </c>
      <c r="B1591" s="80" t="s">
        <v>95</v>
      </c>
      <c r="C1591" s="77" t="s">
        <v>48</v>
      </c>
      <c r="D1591" s="78">
        <v>1</v>
      </c>
      <c r="E1591" s="79"/>
      <c r="F1591" s="79">
        <f t="shared" si="99"/>
        <v>0</v>
      </c>
      <c r="G1591" s="2"/>
      <c r="H1591" s="37">
        <v>51618</v>
      </c>
      <c r="I1591" s="4">
        <f t="shared" si="100"/>
        <v>0</v>
      </c>
      <c r="J1591" s="25">
        <f t="shared" si="97"/>
        <v>51</v>
      </c>
    </row>
    <row r="1592" spans="1:10" ht="16.95" customHeight="1">
      <c r="A1592" s="75">
        <v>6</v>
      </c>
      <c r="B1592" s="80" t="s">
        <v>96</v>
      </c>
      <c r="C1592" s="77" t="s">
        <v>50</v>
      </c>
      <c r="D1592" s="78">
        <v>11.55</v>
      </c>
      <c r="E1592" s="79"/>
      <c r="F1592" s="79">
        <f t="shared" si="99"/>
        <v>0</v>
      </c>
      <c r="G1592" s="2"/>
      <c r="H1592" s="37">
        <v>1188</v>
      </c>
      <c r="I1592" s="4">
        <f t="shared" si="100"/>
        <v>0</v>
      </c>
      <c r="J1592" s="25">
        <f t="shared" si="97"/>
        <v>51</v>
      </c>
    </row>
    <row r="1593" spans="1:10" ht="34.950000000000003" customHeight="1">
      <c r="A1593" s="75">
        <v>7</v>
      </c>
      <c r="B1593" s="80" t="s">
        <v>97</v>
      </c>
      <c r="C1593" s="77" t="s">
        <v>48</v>
      </c>
      <c r="D1593" s="78">
        <v>1</v>
      </c>
      <c r="E1593" s="79"/>
      <c r="F1593" s="79">
        <f t="shared" si="99"/>
        <v>0</v>
      </c>
      <c r="G1593" s="2"/>
      <c r="H1593" s="37">
        <v>21157</v>
      </c>
      <c r="I1593" s="4">
        <f t="shared" si="100"/>
        <v>0</v>
      </c>
      <c r="J1593" s="25">
        <f t="shared" si="97"/>
        <v>51</v>
      </c>
    </row>
    <row r="1594" spans="1:10" ht="16.95" customHeight="1">
      <c r="A1594" s="75">
        <v>8</v>
      </c>
      <c r="B1594" s="80" t="s">
        <v>98</v>
      </c>
      <c r="C1594" s="77" t="s">
        <v>50</v>
      </c>
      <c r="D1594" s="78">
        <v>387</v>
      </c>
      <c r="E1594" s="79"/>
      <c r="F1594" s="79">
        <f t="shared" si="99"/>
        <v>0</v>
      </c>
      <c r="G1594" s="2"/>
      <c r="H1594" s="37">
        <v>705</v>
      </c>
      <c r="I1594" s="4">
        <f t="shared" si="100"/>
        <v>0</v>
      </c>
      <c r="J1594" s="25">
        <f t="shared" si="97"/>
        <v>51</v>
      </c>
    </row>
    <row r="1595" spans="1:10" ht="16.95" customHeight="1">
      <c r="A1595" s="75">
        <v>9</v>
      </c>
      <c r="B1595" s="80" t="s">
        <v>99</v>
      </c>
      <c r="C1595" s="77" t="s">
        <v>50</v>
      </c>
      <c r="D1595" s="78">
        <v>170</v>
      </c>
      <c r="E1595" s="79"/>
      <c r="F1595" s="79">
        <f t="shared" si="99"/>
        <v>0</v>
      </c>
      <c r="G1595" s="2"/>
      <c r="H1595" s="37">
        <v>617</v>
      </c>
      <c r="I1595" s="4">
        <f t="shared" si="100"/>
        <v>0</v>
      </c>
      <c r="J1595" s="25">
        <f t="shared" ref="J1595:J1658" si="101">J1532+2</f>
        <v>51</v>
      </c>
    </row>
    <row r="1596" spans="1:10" ht="16.95" customHeight="1">
      <c r="A1596" s="75">
        <v>10</v>
      </c>
      <c r="B1596" s="80" t="s">
        <v>100</v>
      </c>
      <c r="C1596" s="77" t="s">
        <v>66</v>
      </c>
      <c r="D1596" s="78">
        <v>15</v>
      </c>
      <c r="E1596" s="79"/>
      <c r="F1596" s="79">
        <f t="shared" si="99"/>
        <v>0</v>
      </c>
      <c r="G1596" s="2"/>
      <c r="H1596" s="37">
        <v>617</v>
      </c>
      <c r="I1596" s="4">
        <f t="shared" si="100"/>
        <v>0</v>
      </c>
      <c r="J1596" s="25">
        <f t="shared" si="101"/>
        <v>51</v>
      </c>
    </row>
    <row r="1597" spans="1:10" ht="16.95" customHeight="1">
      <c r="A1597" s="75">
        <v>11</v>
      </c>
      <c r="B1597" s="80" t="s">
        <v>101</v>
      </c>
      <c r="C1597" s="77" t="s">
        <v>50</v>
      </c>
      <c r="D1597" s="78">
        <v>75</v>
      </c>
      <c r="E1597" s="79"/>
      <c r="F1597" s="79">
        <f t="shared" si="99"/>
        <v>0</v>
      </c>
      <c r="G1597" s="2"/>
      <c r="H1597" s="37">
        <v>1146</v>
      </c>
      <c r="I1597" s="4">
        <f t="shared" si="100"/>
        <v>0</v>
      </c>
      <c r="J1597" s="25">
        <f t="shared" si="101"/>
        <v>51</v>
      </c>
    </row>
    <row r="1598" spans="1:10" ht="16.95" customHeight="1">
      <c r="A1598" s="75">
        <v>12</v>
      </c>
      <c r="B1598" s="80" t="s">
        <v>102</v>
      </c>
      <c r="C1598" s="77" t="s">
        <v>50</v>
      </c>
      <c r="D1598" s="78">
        <v>5</v>
      </c>
      <c r="E1598" s="79"/>
      <c r="F1598" s="79">
        <f t="shared" si="99"/>
        <v>0</v>
      </c>
      <c r="G1598" s="2"/>
      <c r="H1598" s="37">
        <v>1455</v>
      </c>
      <c r="I1598" s="4">
        <f t="shared" si="100"/>
        <v>0</v>
      </c>
      <c r="J1598" s="25">
        <f t="shared" si="101"/>
        <v>51</v>
      </c>
    </row>
    <row r="1599" spans="1:10" ht="16.95" customHeight="1">
      <c r="A1599" s="75">
        <v>13</v>
      </c>
      <c r="B1599" s="80" t="s">
        <v>103</v>
      </c>
      <c r="C1599" s="77" t="s">
        <v>50</v>
      </c>
      <c r="D1599" s="78">
        <v>217</v>
      </c>
      <c r="E1599" s="79"/>
      <c r="F1599" s="79">
        <f t="shared" si="99"/>
        <v>0</v>
      </c>
      <c r="G1599" s="2"/>
      <c r="H1599" s="37">
        <v>1410</v>
      </c>
      <c r="I1599" s="4">
        <f t="shared" si="100"/>
        <v>0</v>
      </c>
      <c r="J1599" s="25">
        <f t="shared" si="101"/>
        <v>51</v>
      </c>
    </row>
    <row r="1600" spans="1:10" ht="16.95" customHeight="1">
      <c r="A1600" s="75">
        <v>14</v>
      </c>
      <c r="B1600" s="80" t="s">
        <v>104</v>
      </c>
      <c r="C1600" s="77" t="s">
        <v>49</v>
      </c>
      <c r="D1600" s="78">
        <v>84</v>
      </c>
      <c r="E1600" s="79"/>
      <c r="F1600" s="79">
        <f t="shared" si="99"/>
        <v>0</v>
      </c>
      <c r="G1600" s="2"/>
      <c r="H1600" s="37">
        <v>529</v>
      </c>
      <c r="I1600" s="4">
        <f t="shared" si="100"/>
        <v>0</v>
      </c>
      <c r="J1600" s="25">
        <f t="shared" si="101"/>
        <v>51</v>
      </c>
    </row>
    <row r="1601" spans="1:10" ht="16.95" customHeight="1">
      <c r="A1601" s="75">
        <v>15</v>
      </c>
      <c r="B1601" s="80" t="s">
        <v>105</v>
      </c>
      <c r="C1601" s="77" t="s">
        <v>50</v>
      </c>
      <c r="D1601" s="78">
        <v>1</v>
      </c>
      <c r="E1601" s="79"/>
      <c r="F1601" s="79">
        <f t="shared" si="99"/>
        <v>0</v>
      </c>
      <c r="G1601" s="2"/>
      <c r="H1601" s="37">
        <v>1146</v>
      </c>
      <c r="I1601" s="4">
        <f t="shared" si="100"/>
        <v>0</v>
      </c>
      <c r="J1601" s="25">
        <f t="shared" si="101"/>
        <v>51</v>
      </c>
    </row>
    <row r="1602" spans="1:10" ht="34.799999999999997" customHeight="1">
      <c r="A1602" s="75">
        <v>16</v>
      </c>
      <c r="B1602" s="80" t="s">
        <v>106</v>
      </c>
      <c r="C1602" s="77" t="s">
        <v>50</v>
      </c>
      <c r="D1602" s="78">
        <v>314</v>
      </c>
      <c r="E1602" s="79"/>
      <c r="F1602" s="79">
        <f t="shared" si="99"/>
        <v>0</v>
      </c>
      <c r="G1602" s="2"/>
      <c r="H1602" s="37">
        <v>185</v>
      </c>
      <c r="I1602" s="4">
        <f t="shared" si="100"/>
        <v>0</v>
      </c>
      <c r="J1602" s="25">
        <f t="shared" si="101"/>
        <v>51</v>
      </c>
    </row>
    <row r="1603" spans="1:10" ht="16.95" customHeight="1">
      <c r="A1603" s="75">
        <v>17</v>
      </c>
      <c r="B1603" s="80" t="s">
        <v>107</v>
      </c>
      <c r="C1603" s="77" t="s">
        <v>48</v>
      </c>
      <c r="D1603" s="78">
        <v>1</v>
      </c>
      <c r="E1603" s="79"/>
      <c r="F1603" s="79">
        <f t="shared" si="99"/>
        <v>0</v>
      </c>
      <c r="G1603" s="2"/>
      <c r="H1603" s="37">
        <v>89918</v>
      </c>
      <c r="I1603" s="4">
        <f t="shared" si="100"/>
        <v>0</v>
      </c>
      <c r="J1603" s="25">
        <f t="shared" si="101"/>
        <v>51</v>
      </c>
    </row>
    <row r="1604" spans="1:10" ht="16.95" customHeight="1">
      <c r="A1604" s="75">
        <v>18</v>
      </c>
      <c r="B1604" s="80" t="s">
        <v>108</v>
      </c>
      <c r="C1604" s="77" t="s">
        <v>120</v>
      </c>
      <c r="D1604" s="78">
        <v>15</v>
      </c>
      <c r="E1604" s="79"/>
      <c r="F1604" s="79">
        <f t="shared" si="99"/>
        <v>0</v>
      </c>
      <c r="G1604" s="2"/>
      <c r="H1604" s="37">
        <v>661</v>
      </c>
      <c r="I1604" s="4">
        <f t="shared" si="100"/>
        <v>0</v>
      </c>
      <c r="J1604" s="25">
        <f t="shared" si="101"/>
        <v>51</v>
      </c>
    </row>
    <row r="1605" spans="1:10" ht="16.95" customHeight="1">
      <c r="A1605" s="75">
        <v>19</v>
      </c>
      <c r="B1605" s="80" t="s">
        <v>109</v>
      </c>
      <c r="C1605" s="77" t="s">
        <v>50</v>
      </c>
      <c r="D1605" s="78">
        <v>82</v>
      </c>
      <c r="E1605" s="79"/>
      <c r="F1605" s="79">
        <f t="shared" si="99"/>
        <v>0</v>
      </c>
      <c r="G1605" s="2"/>
      <c r="H1605" s="37">
        <v>2909</v>
      </c>
      <c r="I1605" s="4">
        <f t="shared" si="100"/>
        <v>0</v>
      </c>
      <c r="J1605" s="25">
        <f t="shared" si="101"/>
        <v>51</v>
      </c>
    </row>
    <row r="1606" spans="1:10" ht="16.95" customHeight="1">
      <c r="A1606" s="75">
        <v>20</v>
      </c>
      <c r="B1606" s="80" t="s">
        <v>110</v>
      </c>
      <c r="C1606" s="77" t="s">
        <v>121</v>
      </c>
      <c r="D1606" s="78">
        <v>12</v>
      </c>
      <c r="E1606" s="79"/>
      <c r="F1606" s="79">
        <f t="shared" si="99"/>
        <v>0</v>
      </c>
      <c r="G1606" s="2"/>
      <c r="H1606" s="37">
        <v>882</v>
      </c>
      <c r="I1606" s="4">
        <f t="shared" si="100"/>
        <v>0</v>
      </c>
      <c r="J1606" s="25">
        <f t="shared" si="101"/>
        <v>51</v>
      </c>
    </row>
    <row r="1607" spans="1:10" ht="16.95" customHeight="1">
      <c r="A1607" s="77">
        <v>21</v>
      </c>
      <c r="B1607" s="80" t="s">
        <v>111</v>
      </c>
      <c r="C1607" s="77" t="s">
        <v>122</v>
      </c>
      <c r="D1607" s="78">
        <v>3</v>
      </c>
      <c r="E1607" s="79"/>
      <c r="F1607" s="79">
        <f t="shared" si="99"/>
        <v>0</v>
      </c>
      <c r="G1607" s="2"/>
      <c r="H1607" s="38">
        <v>1869</v>
      </c>
      <c r="I1607" s="4">
        <f t="shared" si="100"/>
        <v>0</v>
      </c>
      <c r="J1607" s="25">
        <f t="shared" si="101"/>
        <v>51</v>
      </c>
    </row>
    <row r="1608" spans="1:10" ht="34.950000000000003" customHeight="1">
      <c r="A1608" s="75">
        <v>22</v>
      </c>
      <c r="B1608" s="80" t="s">
        <v>112</v>
      </c>
      <c r="C1608" s="77" t="s">
        <v>48</v>
      </c>
      <c r="D1608" s="78">
        <v>1</v>
      </c>
      <c r="E1608" s="79"/>
      <c r="F1608" s="79">
        <f t="shared" si="99"/>
        <v>0</v>
      </c>
      <c r="G1608" s="2"/>
      <c r="H1608" s="37">
        <v>82206</v>
      </c>
      <c r="I1608" s="4">
        <f t="shared" si="100"/>
        <v>0</v>
      </c>
      <c r="J1608" s="25">
        <f t="shared" si="101"/>
        <v>51</v>
      </c>
    </row>
    <row r="1609" spans="1:10" ht="16.95" customHeight="1">
      <c r="A1609" s="75">
        <v>23</v>
      </c>
      <c r="B1609" s="80" t="s">
        <v>113</v>
      </c>
      <c r="C1609" s="77" t="s">
        <v>48</v>
      </c>
      <c r="D1609" s="78">
        <v>1</v>
      </c>
      <c r="E1609" s="79"/>
      <c r="F1609" s="79">
        <f t="shared" si="99"/>
        <v>0</v>
      </c>
      <c r="G1609" s="2"/>
      <c r="H1609" s="37">
        <v>142723</v>
      </c>
      <c r="I1609" s="4">
        <f t="shared" si="100"/>
        <v>0</v>
      </c>
      <c r="J1609" s="25">
        <f t="shared" si="101"/>
        <v>51</v>
      </c>
    </row>
    <row r="1610" spans="1:10" ht="16.95" customHeight="1">
      <c r="A1610" s="75">
        <v>24</v>
      </c>
      <c r="B1610" s="80" t="s">
        <v>114</v>
      </c>
      <c r="C1610" s="77" t="s">
        <v>48</v>
      </c>
      <c r="D1610" s="78">
        <v>1</v>
      </c>
      <c r="E1610" s="79"/>
      <c r="F1610" s="79">
        <f t="shared" si="99"/>
        <v>0</v>
      </c>
      <c r="G1610" s="2"/>
      <c r="H1610" s="37">
        <v>37290</v>
      </c>
      <c r="I1610" s="4">
        <f t="shared" si="100"/>
        <v>0</v>
      </c>
      <c r="J1610" s="25">
        <f t="shared" si="101"/>
        <v>51</v>
      </c>
    </row>
    <row r="1611" spans="1:10" ht="16.95" customHeight="1">
      <c r="A1611" s="75">
        <v>25</v>
      </c>
      <c r="B1611" s="80" t="s">
        <v>115</v>
      </c>
      <c r="C1611" s="77" t="s">
        <v>48</v>
      </c>
      <c r="D1611" s="78">
        <v>1</v>
      </c>
      <c r="E1611" s="79"/>
      <c r="F1611" s="79">
        <f t="shared" si="99"/>
        <v>0.05</v>
      </c>
      <c r="G1611" s="2"/>
      <c r="H1611" s="37">
        <v>99394</v>
      </c>
      <c r="I1611" s="4">
        <f t="shared" si="100"/>
        <v>0</v>
      </c>
      <c r="J1611" s="25">
        <f t="shared" si="101"/>
        <v>51</v>
      </c>
    </row>
    <row r="1612" spans="1:10" ht="34.950000000000003" customHeight="1">
      <c r="A1612" s="75">
        <v>26</v>
      </c>
      <c r="B1612" s="80" t="s">
        <v>116</v>
      </c>
      <c r="C1612" s="77" t="s">
        <v>48</v>
      </c>
      <c r="D1612" s="78">
        <v>1</v>
      </c>
      <c r="E1612" s="79"/>
      <c r="F1612" s="79">
        <f t="shared" si="99"/>
        <v>0</v>
      </c>
      <c r="G1612" s="2"/>
      <c r="H1612" s="37">
        <v>21334</v>
      </c>
      <c r="I1612" s="4">
        <f t="shared" si="100"/>
        <v>0</v>
      </c>
      <c r="J1612" s="25">
        <f t="shared" si="101"/>
        <v>51</v>
      </c>
    </row>
    <row r="1613" spans="1:10" ht="16.95" customHeight="1">
      <c r="A1613" s="75">
        <v>27</v>
      </c>
      <c r="B1613" s="80" t="s">
        <v>117</v>
      </c>
      <c r="C1613" s="77" t="s">
        <v>48</v>
      </c>
      <c r="D1613" s="78">
        <v>1</v>
      </c>
      <c r="E1613" s="79"/>
      <c r="F1613" s="79">
        <f t="shared" si="99"/>
        <v>0</v>
      </c>
      <c r="G1613" s="2"/>
      <c r="H1613" s="37">
        <v>29620</v>
      </c>
      <c r="I1613" s="4">
        <f t="shared" si="100"/>
        <v>0</v>
      </c>
      <c r="J1613" s="25">
        <f t="shared" si="101"/>
        <v>51</v>
      </c>
    </row>
    <row r="1614" spans="1:10" ht="16.95" customHeight="1">
      <c r="A1614" s="75">
        <v>28</v>
      </c>
      <c r="B1614" s="80" t="s">
        <v>118</v>
      </c>
      <c r="C1614" s="77" t="s">
        <v>48</v>
      </c>
      <c r="D1614" s="78">
        <v>1</v>
      </c>
      <c r="E1614" s="79"/>
      <c r="F1614" s="79">
        <f t="shared" si="99"/>
        <v>0</v>
      </c>
      <c r="G1614" s="2"/>
      <c r="H1614" s="37">
        <v>18506</v>
      </c>
      <c r="I1614" s="4">
        <f t="shared" si="100"/>
        <v>0</v>
      </c>
      <c r="J1614" s="25">
        <f t="shared" si="101"/>
        <v>51</v>
      </c>
    </row>
    <row r="1615" spans="1:10" ht="16.95" customHeight="1">
      <c r="A1615" s="75">
        <v>29</v>
      </c>
      <c r="B1615" s="80" t="s">
        <v>119</v>
      </c>
      <c r="C1615" s="77" t="s">
        <v>48</v>
      </c>
      <c r="D1615" s="78">
        <v>1</v>
      </c>
      <c r="E1615" s="79"/>
      <c r="F1615" s="79">
        <f t="shared" si="99"/>
        <v>0</v>
      </c>
      <c r="G1615" s="2"/>
      <c r="H1615" s="37">
        <v>34381</v>
      </c>
      <c r="I1615" s="4">
        <f t="shared" si="100"/>
        <v>0</v>
      </c>
      <c r="J1615" s="25">
        <f t="shared" si="101"/>
        <v>51</v>
      </c>
    </row>
    <row r="1616" spans="1:10" ht="16.95" customHeight="1">
      <c r="A1616" s="75" t="s">
        <v>79</v>
      </c>
      <c r="B1616" s="80" t="s">
        <v>80</v>
      </c>
      <c r="C1616" s="77" t="s">
        <v>48</v>
      </c>
      <c r="D1616" s="78">
        <v>1</v>
      </c>
      <c r="E1616" s="79">
        <f t="shared" ref="E1616:E1619" si="102">1/120</f>
        <v>8.3333333333333332E-3</v>
      </c>
      <c r="F1616" s="79">
        <f t="shared" si="99"/>
        <v>0.20833333333333331</v>
      </c>
      <c r="G1616" s="2"/>
      <c r="H1616" s="37">
        <v>21395</v>
      </c>
      <c r="I1616" s="4">
        <f t="shared" si="100"/>
        <v>178.29166666666666</v>
      </c>
      <c r="J1616" s="25">
        <f t="shared" si="101"/>
        <v>51</v>
      </c>
    </row>
    <row r="1617" spans="1:10" ht="16.95" customHeight="1">
      <c r="A1617" s="75" t="s">
        <v>81</v>
      </c>
      <c r="B1617" s="80" t="s">
        <v>82</v>
      </c>
      <c r="C1617" s="77" t="s">
        <v>48</v>
      </c>
      <c r="D1617" s="78">
        <v>1</v>
      </c>
      <c r="E1617" s="79">
        <f t="shared" si="102"/>
        <v>8.3333333333333332E-3</v>
      </c>
      <c r="F1617" s="79">
        <f t="shared" si="99"/>
        <v>0.20833333333333331</v>
      </c>
      <c r="G1617" s="2"/>
      <c r="H1617" s="37">
        <v>21395</v>
      </c>
      <c r="I1617" s="4">
        <f t="shared" si="100"/>
        <v>178.29166666666666</v>
      </c>
      <c r="J1617" s="25">
        <f t="shared" si="101"/>
        <v>51</v>
      </c>
    </row>
    <row r="1618" spans="1:10" ht="16.95" customHeight="1">
      <c r="A1618" s="75" t="s">
        <v>83</v>
      </c>
      <c r="B1618" s="80" t="s">
        <v>84</v>
      </c>
      <c r="C1618" s="77" t="s">
        <v>48</v>
      </c>
      <c r="D1618" s="78">
        <v>1</v>
      </c>
      <c r="E1618" s="79">
        <f t="shared" si="102"/>
        <v>8.3333333333333332E-3</v>
      </c>
      <c r="F1618" s="79">
        <f t="shared" si="99"/>
        <v>0.20833333333333331</v>
      </c>
      <c r="G1618" s="2"/>
      <c r="H1618" s="37">
        <v>149765</v>
      </c>
      <c r="I1618" s="4">
        <f t="shared" si="100"/>
        <v>1248.0416666666667</v>
      </c>
      <c r="J1618" s="25">
        <f t="shared" si="101"/>
        <v>51</v>
      </c>
    </row>
    <row r="1619" spans="1:10" ht="16.95" customHeight="1">
      <c r="A1619" s="75" t="s">
        <v>85</v>
      </c>
      <c r="B1619" s="80" t="s">
        <v>86</v>
      </c>
      <c r="C1619" s="77" t="s">
        <v>48</v>
      </c>
      <c r="D1619" s="78">
        <v>1</v>
      </c>
      <c r="E1619" s="79">
        <f t="shared" si="102"/>
        <v>8.3333333333333332E-3</v>
      </c>
      <c r="F1619" s="79">
        <f t="shared" si="99"/>
        <v>0.20833333333333331</v>
      </c>
      <c r="G1619" s="2"/>
      <c r="H1619" s="37">
        <v>6996</v>
      </c>
      <c r="I1619" s="4">
        <f t="shared" si="100"/>
        <v>58.3</v>
      </c>
      <c r="J1619" s="25">
        <f t="shared" si="101"/>
        <v>51</v>
      </c>
    </row>
    <row r="1620" spans="1:10" ht="16.95" customHeight="1">
      <c r="A1620" s="75" t="s">
        <v>87</v>
      </c>
      <c r="B1620" s="80" t="s">
        <v>88</v>
      </c>
      <c r="C1620" s="77" t="s">
        <v>48</v>
      </c>
      <c r="D1620" s="78">
        <v>1</v>
      </c>
      <c r="E1620" s="79">
        <f>1/120</f>
        <v>8.3333333333333332E-3</v>
      </c>
      <c r="F1620" s="79">
        <f t="shared" si="99"/>
        <v>0.20833333333333331</v>
      </c>
      <c r="G1620" s="2"/>
      <c r="H1620" s="37">
        <v>116952</v>
      </c>
      <c r="I1620" s="4">
        <f t="shared" si="100"/>
        <v>974.6</v>
      </c>
      <c r="J1620" s="25">
        <f t="shared" si="101"/>
        <v>51</v>
      </c>
    </row>
    <row r="1621" spans="1:10" ht="16.95" customHeight="1">
      <c r="A1621" s="95" t="s">
        <v>23</v>
      </c>
      <c r="B1621" s="95"/>
      <c r="C1621" s="50"/>
      <c r="D1621" s="50"/>
      <c r="E1621" s="50"/>
      <c r="F1621" s="50"/>
      <c r="G1621" s="50"/>
      <c r="H1621" s="3" t="s">
        <v>24</v>
      </c>
      <c r="I1621" s="5">
        <f>SUM(I1586:I1620)</f>
        <v>2637.5250000000001</v>
      </c>
      <c r="J1621" s="25">
        <f t="shared" si="101"/>
        <v>51</v>
      </c>
    </row>
    <row r="1622" spans="1:10" ht="16.95" customHeight="1">
      <c r="A1622" s="96" t="s">
        <v>25</v>
      </c>
      <c r="B1622" s="96"/>
      <c r="C1622" s="50"/>
      <c r="D1622" s="50"/>
      <c r="E1622" s="50"/>
      <c r="F1622" s="50"/>
      <c r="G1622" s="50"/>
      <c r="J1622" s="25">
        <f t="shared" si="101"/>
        <v>51</v>
      </c>
    </row>
    <row r="1623" spans="1:10" ht="16.95" customHeight="1">
      <c r="A1623" s="96" t="s">
        <v>26</v>
      </c>
      <c r="B1623" s="96"/>
      <c r="C1623" s="50"/>
      <c r="D1623" s="50"/>
      <c r="E1623" s="50"/>
      <c r="F1623" s="50"/>
      <c r="G1623" s="50"/>
      <c r="J1623" s="25">
        <f t="shared" si="101"/>
        <v>51</v>
      </c>
    </row>
    <row r="1624" spans="1:10" ht="16.95" customHeight="1">
      <c r="A1624" s="95" t="s">
        <v>27</v>
      </c>
      <c r="B1624" s="95"/>
      <c r="C1624" s="95"/>
      <c r="D1624" s="95"/>
      <c r="E1624" s="95"/>
      <c r="F1624" s="95"/>
      <c r="G1624" s="95"/>
      <c r="J1624" s="25">
        <f t="shared" si="101"/>
        <v>51</v>
      </c>
    </row>
    <row r="1625" spans="1:10" ht="16.95" customHeight="1">
      <c r="A1625" s="94" t="s">
        <v>28</v>
      </c>
      <c r="B1625" s="94"/>
      <c r="C1625" s="51" t="s">
        <v>29</v>
      </c>
      <c r="D1625" s="51" t="s">
        <v>30</v>
      </c>
      <c r="E1625" s="51" t="s">
        <v>18</v>
      </c>
      <c r="F1625" s="51" t="s">
        <v>31</v>
      </c>
      <c r="G1625" s="51" t="s">
        <v>20</v>
      </c>
      <c r="J1625" s="25">
        <f t="shared" si="101"/>
        <v>51</v>
      </c>
    </row>
    <row r="1626" spans="1:10" ht="16.95" customHeight="1">
      <c r="A1626" s="96"/>
      <c r="B1626" s="96"/>
      <c r="C1626" s="50"/>
      <c r="D1626" s="50"/>
      <c r="E1626" s="50"/>
      <c r="F1626" s="50"/>
      <c r="G1626" s="51"/>
      <c r="J1626" s="25">
        <f t="shared" si="101"/>
        <v>51</v>
      </c>
    </row>
    <row r="1627" spans="1:10" ht="16.95" customHeight="1">
      <c r="A1627" s="97"/>
      <c r="B1627" s="97"/>
      <c r="C1627" s="50"/>
      <c r="D1627" s="50"/>
      <c r="E1627" s="50"/>
      <c r="F1627" s="51"/>
      <c r="G1627" s="51"/>
      <c r="J1627" s="25">
        <f t="shared" si="101"/>
        <v>51</v>
      </c>
    </row>
    <row r="1628" spans="1:10" ht="16.95" customHeight="1">
      <c r="A1628" s="95" t="s">
        <v>32</v>
      </c>
      <c r="B1628" s="95"/>
      <c r="C1628" s="95"/>
      <c r="D1628" s="95"/>
      <c r="E1628" s="95"/>
      <c r="F1628" s="95"/>
      <c r="G1628" s="95"/>
      <c r="J1628" s="25">
        <f t="shared" si="101"/>
        <v>52</v>
      </c>
    </row>
    <row r="1629" spans="1:10" ht="16.95" customHeight="1">
      <c r="A1629" s="51" t="s">
        <v>33</v>
      </c>
      <c r="B1629" s="51" t="s">
        <v>34</v>
      </c>
      <c r="C1629" s="94" t="s">
        <v>35</v>
      </c>
      <c r="D1629" s="94"/>
      <c r="E1629" s="51" t="s">
        <v>36</v>
      </c>
      <c r="F1629" s="51" t="s">
        <v>37</v>
      </c>
      <c r="G1629" s="51" t="s">
        <v>38</v>
      </c>
      <c r="J1629" s="25">
        <f t="shared" si="101"/>
        <v>52</v>
      </c>
    </row>
    <row r="1630" spans="1:10" ht="16.95" customHeight="1">
      <c r="A1630" s="51" t="s">
        <v>39</v>
      </c>
      <c r="B1630" s="6"/>
      <c r="C1630" s="94">
        <f>B1630+C1567</f>
        <v>18</v>
      </c>
      <c r="D1630" s="94"/>
      <c r="E1630" s="51"/>
      <c r="F1630" s="24"/>
      <c r="G1630" s="24"/>
      <c r="J1630" s="25">
        <f t="shared" si="101"/>
        <v>52</v>
      </c>
    </row>
    <row r="1631" spans="1:10" ht="16.95" customHeight="1">
      <c r="A1631" s="51" t="s">
        <v>40</v>
      </c>
      <c r="B1631" s="6"/>
      <c r="C1631" s="94">
        <f>B1631+C1568</f>
        <v>19</v>
      </c>
      <c r="D1631" s="94"/>
      <c r="E1631" s="51"/>
      <c r="F1631" s="24"/>
      <c r="G1631" s="24"/>
      <c r="J1631" s="25">
        <f t="shared" si="101"/>
        <v>52</v>
      </c>
    </row>
    <row r="1632" spans="1:10" ht="36.6" customHeight="1">
      <c r="A1632" s="95" t="s">
        <v>41</v>
      </c>
      <c r="B1632" s="95"/>
      <c r="C1632" s="95"/>
      <c r="D1632" s="95"/>
      <c r="E1632" s="95"/>
      <c r="F1632" s="95"/>
      <c r="G1632" s="95"/>
      <c r="J1632" s="25">
        <f t="shared" si="101"/>
        <v>52</v>
      </c>
    </row>
    <row r="1633" spans="1:10" ht="90" customHeight="1">
      <c r="A1633" s="92" t="s">
        <v>42</v>
      </c>
      <c r="B1633" s="92"/>
      <c r="C1633" s="92"/>
      <c r="D1633" s="92"/>
      <c r="E1633" s="92"/>
      <c r="F1633" s="92"/>
      <c r="G1633" s="92"/>
      <c r="J1633" s="25">
        <f t="shared" si="101"/>
        <v>52</v>
      </c>
    </row>
    <row r="1634" spans="1:10" ht="16.95" customHeight="1">
      <c r="A1634" s="95" t="s">
        <v>43</v>
      </c>
      <c r="B1634" s="95"/>
      <c r="C1634" s="95"/>
      <c r="D1634" s="95"/>
      <c r="E1634" s="95"/>
      <c r="F1634" s="95"/>
      <c r="G1634" s="95"/>
      <c r="J1634" s="25">
        <f t="shared" si="101"/>
        <v>52</v>
      </c>
    </row>
    <row r="1635" spans="1:10" ht="16.95" customHeight="1">
      <c r="A1635" s="95" t="s">
        <v>44</v>
      </c>
      <c r="B1635" s="95"/>
      <c r="C1635" s="95"/>
      <c r="D1635" s="95"/>
      <c r="E1635" s="95"/>
      <c r="F1635" s="95"/>
      <c r="G1635" s="95"/>
      <c r="J1635" s="25">
        <f t="shared" si="101"/>
        <v>52</v>
      </c>
    </row>
    <row r="1636" spans="1:10" ht="16.95" customHeight="1">
      <c r="A1636" s="91" t="s">
        <v>126</v>
      </c>
      <c r="B1636" s="91"/>
      <c r="C1636" s="91"/>
      <c r="D1636" s="91"/>
      <c r="E1636" s="91"/>
      <c r="F1636" s="91"/>
      <c r="G1636" s="91"/>
      <c r="J1636" s="25">
        <f t="shared" si="101"/>
        <v>52</v>
      </c>
    </row>
    <row r="1637" spans="1:10" ht="120.6" customHeight="1">
      <c r="A1637" s="92" t="s">
        <v>45</v>
      </c>
      <c r="B1637" s="92"/>
      <c r="C1637" s="92"/>
      <c r="D1637" s="92"/>
      <c r="E1637" s="92"/>
      <c r="F1637" s="92"/>
      <c r="G1637" s="92"/>
      <c r="J1637" s="25">
        <f t="shared" si="101"/>
        <v>52</v>
      </c>
    </row>
    <row r="1638" spans="1:10" ht="140.4" customHeight="1">
      <c r="A1638" s="93" t="s">
        <v>46</v>
      </c>
      <c r="B1638" s="93"/>
      <c r="C1638" s="93"/>
      <c r="D1638" s="93"/>
      <c r="E1638" s="93"/>
      <c r="F1638" s="93"/>
      <c r="G1638" s="93"/>
      <c r="J1638" s="25">
        <f t="shared" si="101"/>
        <v>52</v>
      </c>
    </row>
    <row r="1639" spans="1:10" ht="37.200000000000003" customHeight="1">
      <c r="A1639" s="103" t="s">
        <v>0</v>
      </c>
      <c r="B1639" s="103"/>
      <c r="C1639" s="103"/>
      <c r="D1639" s="103"/>
      <c r="E1639" s="103"/>
      <c r="F1639" s="103"/>
      <c r="G1639" s="103"/>
      <c r="J1639" s="25">
        <f t="shared" si="101"/>
        <v>53</v>
      </c>
    </row>
    <row r="1640" spans="1:10" ht="16.95" customHeight="1">
      <c r="A1640" s="1" t="s">
        <v>1</v>
      </c>
      <c r="B1640" s="104">
        <f>B1577+1</f>
        <v>27</v>
      </c>
      <c r="C1640" s="104"/>
      <c r="D1640" s="104"/>
      <c r="E1640" s="104"/>
      <c r="F1640" s="104"/>
      <c r="G1640" s="104"/>
      <c r="J1640" s="25">
        <f t="shared" si="101"/>
        <v>53</v>
      </c>
    </row>
    <row r="1641" spans="1:10" ht="16.95" customHeight="1">
      <c r="A1641" s="1" t="s">
        <v>2</v>
      </c>
      <c r="B1641" s="105" t="s">
        <v>63</v>
      </c>
      <c r="C1641" s="105"/>
      <c r="D1641" s="105"/>
      <c r="E1641" s="106">
        <f>E1578+1</f>
        <v>46230</v>
      </c>
      <c r="F1641" s="106"/>
      <c r="G1641" s="106"/>
      <c r="J1641" s="25">
        <f t="shared" si="101"/>
        <v>53</v>
      </c>
    </row>
    <row r="1642" spans="1:10" ht="16.95" customHeight="1">
      <c r="A1642" s="53" t="s">
        <v>3</v>
      </c>
      <c r="B1642" s="2" t="s">
        <v>67</v>
      </c>
      <c r="C1642" s="98" t="s">
        <v>4</v>
      </c>
      <c r="D1642" s="98"/>
      <c r="E1642" s="98" t="s">
        <v>47</v>
      </c>
      <c r="F1642" s="98"/>
      <c r="G1642" s="98"/>
      <c r="J1642" s="25">
        <f t="shared" si="101"/>
        <v>53</v>
      </c>
    </row>
    <row r="1643" spans="1:10" ht="16.95" customHeight="1">
      <c r="A1643" s="53" t="s">
        <v>5</v>
      </c>
      <c r="B1643" s="54">
        <v>120</v>
      </c>
      <c r="C1643" s="98" t="s">
        <v>6</v>
      </c>
      <c r="D1643" s="98"/>
      <c r="E1643" s="98">
        <v>1</v>
      </c>
      <c r="F1643" s="98"/>
      <c r="G1643" s="98"/>
      <c r="J1643" s="25">
        <f t="shared" si="101"/>
        <v>53</v>
      </c>
    </row>
    <row r="1644" spans="1:10" ht="16.95" customHeight="1">
      <c r="A1644" s="53" t="s">
        <v>7</v>
      </c>
      <c r="B1644" s="54">
        <f>B1640</f>
        <v>27</v>
      </c>
      <c r="C1644" s="100" t="s">
        <v>8</v>
      </c>
      <c r="D1644" s="100"/>
      <c r="E1644" s="101">
        <f>B1643-B1644+1</f>
        <v>94</v>
      </c>
      <c r="F1644" s="101"/>
      <c r="G1644" s="101"/>
      <c r="J1644" s="25">
        <f t="shared" si="101"/>
        <v>53</v>
      </c>
    </row>
    <row r="1645" spans="1:10" ht="16.95" customHeight="1">
      <c r="A1645" s="53" t="s">
        <v>9</v>
      </c>
      <c r="B1645" s="55">
        <v>46204</v>
      </c>
      <c r="C1645" s="98" t="s">
        <v>10</v>
      </c>
      <c r="D1645" s="98"/>
      <c r="E1645" s="102">
        <f>B1645+B1643-1</f>
        <v>46323</v>
      </c>
      <c r="F1645" s="102"/>
      <c r="G1645" s="102"/>
      <c r="J1645" s="25">
        <f t="shared" si="101"/>
        <v>53</v>
      </c>
    </row>
    <row r="1646" spans="1:10" ht="16.95" customHeight="1">
      <c r="A1646" s="53" t="s">
        <v>11</v>
      </c>
      <c r="B1646" s="56">
        <f>HLOOKUP(B1640,進度表!$Q$2:$Z$3,2,1)+B1583</f>
        <v>0.11912273004886001</v>
      </c>
      <c r="C1646" s="98" t="s">
        <v>12</v>
      </c>
      <c r="D1646" s="98"/>
      <c r="E1646" s="99">
        <f>I1684/I1646+E1583</f>
        <v>0.12524885586319215</v>
      </c>
      <c r="F1646" s="99"/>
      <c r="G1646" s="99"/>
      <c r="H1646" s="3" t="s">
        <v>62</v>
      </c>
      <c r="I1646" s="1">
        <v>2456000</v>
      </c>
      <c r="J1646" s="25">
        <f t="shared" si="101"/>
        <v>53</v>
      </c>
    </row>
    <row r="1647" spans="1:10" ht="16.95" customHeight="1">
      <c r="A1647" s="98" t="s">
        <v>13</v>
      </c>
      <c r="B1647" s="98"/>
      <c r="C1647" s="98"/>
      <c r="D1647" s="98"/>
      <c r="E1647" s="98"/>
      <c r="F1647" s="98"/>
      <c r="G1647" s="98"/>
      <c r="J1647" s="25">
        <f t="shared" si="101"/>
        <v>53</v>
      </c>
    </row>
    <row r="1648" spans="1:10" ht="16.95" customHeight="1">
      <c r="A1648" s="52" t="s">
        <v>14</v>
      </c>
      <c r="B1648" s="52" t="s">
        <v>15</v>
      </c>
      <c r="C1648" s="52" t="s">
        <v>16</v>
      </c>
      <c r="D1648" s="52" t="s">
        <v>17</v>
      </c>
      <c r="E1648" s="52" t="s">
        <v>18</v>
      </c>
      <c r="F1648" s="52" t="s">
        <v>19</v>
      </c>
      <c r="G1648" s="52" t="s">
        <v>20</v>
      </c>
      <c r="H1648" s="3" t="s">
        <v>21</v>
      </c>
      <c r="I1648" s="3" t="s">
        <v>22</v>
      </c>
      <c r="J1648" s="25">
        <f t="shared" si="101"/>
        <v>53</v>
      </c>
    </row>
    <row r="1649" spans="1:10" ht="16.95" customHeight="1">
      <c r="A1649" s="75" t="s">
        <v>65</v>
      </c>
      <c r="B1649" s="76" t="s">
        <v>69</v>
      </c>
      <c r="C1649" s="77"/>
      <c r="D1649" s="78"/>
      <c r="E1649" s="79"/>
      <c r="F1649" s="79"/>
      <c r="G1649" s="2"/>
      <c r="H1649" s="37"/>
      <c r="I1649" s="4"/>
      <c r="J1649" s="25">
        <f t="shared" si="101"/>
        <v>53</v>
      </c>
    </row>
    <row r="1650" spans="1:10" ht="34.950000000000003" customHeight="1">
      <c r="A1650" s="75">
        <v>1</v>
      </c>
      <c r="B1650" s="80" t="s">
        <v>91</v>
      </c>
      <c r="C1650" s="77" t="s">
        <v>48</v>
      </c>
      <c r="D1650" s="78">
        <v>1</v>
      </c>
      <c r="E1650" s="79"/>
      <c r="F1650" s="79">
        <f t="shared" ref="F1650:F1683" si="103">E1650+F1587</f>
        <v>1</v>
      </c>
      <c r="G1650" s="2"/>
      <c r="H1650" s="37">
        <v>10508</v>
      </c>
      <c r="I1650" s="4">
        <f>H1650*E1650</f>
        <v>0</v>
      </c>
      <c r="J1650" s="25">
        <f t="shared" si="101"/>
        <v>53</v>
      </c>
    </row>
    <row r="1651" spans="1:10" ht="34.799999999999997" customHeight="1">
      <c r="A1651" s="75">
        <v>2</v>
      </c>
      <c r="B1651" s="80" t="s">
        <v>92</v>
      </c>
      <c r="C1651" s="77" t="s">
        <v>48</v>
      </c>
      <c r="D1651" s="78">
        <v>1</v>
      </c>
      <c r="E1651" s="79"/>
      <c r="F1651" s="79">
        <f t="shared" si="103"/>
        <v>0</v>
      </c>
      <c r="G1651" s="2"/>
      <c r="H1651" s="37">
        <v>13223</v>
      </c>
      <c r="I1651" s="4">
        <f>H1651*E1651</f>
        <v>0</v>
      </c>
      <c r="J1651" s="25">
        <f t="shared" si="101"/>
        <v>53</v>
      </c>
    </row>
    <row r="1652" spans="1:10" ht="53.4" customHeight="1">
      <c r="A1652" s="75">
        <v>3</v>
      </c>
      <c r="B1652" s="80" t="s">
        <v>93</v>
      </c>
      <c r="C1652" s="77" t="s">
        <v>48</v>
      </c>
      <c r="D1652" s="78">
        <v>1</v>
      </c>
      <c r="E1652" s="79"/>
      <c r="F1652" s="79">
        <f t="shared" si="103"/>
        <v>0.72000000000000008</v>
      </c>
      <c r="G1652" s="2"/>
      <c r="H1652" s="37">
        <v>310497</v>
      </c>
      <c r="I1652" s="4">
        <f t="shared" ref="I1652:I1683" si="104">H1652*E1652</f>
        <v>0</v>
      </c>
      <c r="J1652" s="25">
        <f t="shared" si="101"/>
        <v>53</v>
      </c>
    </row>
    <row r="1653" spans="1:10" ht="16.95" customHeight="1">
      <c r="A1653" s="75">
        <v>4</v>
      </c>
      <c r="B1653" s="80" t="s">
        <v>94</v>
      </c>
      <c r="C1653" s="77" t="s">
        <v>48</v>
      </c>
      <c r="D1653" s="78">
        <v>1</v>
      </c>
      <c r="E1653" s="79"/>
      <c r="F1653" s="79">
        <f t="shared" si="103"/>
        <v>0</v>
      </c>
      <c r="G1653" s="2"/>
      <c r="H1653" s="37">
        <v>8375</v>
      </c>
      <c r="I1653" s="4">
        <f t="shared" si="104"/>
        <v>0</v>
      </c>
      <c r="J1653" s="25">
        <f t="shared" si="101"/>
        <v>53</v>
      </c>
    </row>
    <row r="1654" spans="1:10" ht="16.95" customHeight="1">
      <c r="A1654" s="75">
        <v>5</v>
      </c>
      <c r="B1654" s="80" t="s">
        <v>95</v>
      </c>
      <c r="C1654" s="77" t="s">
        <v>48</v>
      </c>
      <c r="D1654" s="78">
        <v>1</v>
      </c>
      <c r="E1654" s="79"/>
      <c r="F1654" s="79">
        <f t="shared" si="103"/>
        <v>0</v>
      </c>
      <c r="G1654" s="2"/>
      <c r="H1654" s="37">
        <v>51618</v>
      </c>
      <c r="I1654" s="4">
        <f t="shared" si="104"/>
        <v>0</v>
      </c>
      <c r="J1654" s="25">
        <f t="shared" si="101"/>
        <v>53</v>
      </c>
    </row>
    <row r="1655" spans="1:10" ht="16.95" customHeight="1">
      <c r="A1655" s="75">
        <v>6</v>
      </c>
      <c r="B1655" s="80" t="s">
        <v>96</v>
      </c>
      <c r="C1655" s="77" t="s">
        <v>50</v>
      </c>
      <c r="D1655" s="78">
        <v>11.55</v>
      </c>
      <c r="E1655" s="79"/>
      <c r="F1655" s="79">
        <f t="shared" si="103"/>
        <v>0</v>
      </c>
      <c r="G1655" s="2"/>
      <c r="H1655" s="37">
        <v>1188</v>
      </c>
      <c r="I1655" s="4">
        <f t="shared" si="104"/>
        <v>0</v>
      </c>
      <c r="J1655" s="25">
        <f t="shared" si="101"/>
        <v>53</v>
      </c>
    </row>
    <row r="1656" spans="1:10" ht="34.950000000000003" customHeight="1">
      <c r="A1656" s="75">
        <v>7</v>
      </c>
      <c r="B1656" s="80" t="s">
        <v>97</v>
      </c>
      <c r="C1656" s="77" t="s">
        <v>48</v>
      </c>
      <c r="D1656" s="78">
        <v>1</v>
      </c>
      <c r="E1656" s="79"/>
      <c r="F1656" s="79">
        <f t="shared" si="103"/>
        <v>0</v>
      </c>
      <c r="G1656" s="2"/>
      <c r="H1656" s="37">
        <v>21157</v>
      </c>
      <c r="I1656" s="4">
        <f t="shared" si="104"/>
        <v>0</v>
      </c>
      <c r="J1656" s="25">
        <f t="shared" si="101"/>
        <v>53</v>
      </c>
    </row>
    <row r="1657" spans="1:10" ht="16.95" customHeight="1">
      <c r="A1657" s="75">
        <v>8</v>
      </c>
      <c r="B1657" s="80" t="s">
        <v>98</v>
      </c>
      <c r="C1657" s="77" t="s">
        <v>50</v>
      </c>
      <c r="D1657" s="78">
        <v>387</v>
      </c>
      <c r="E1657" s="79"/>
      <c r="F1657" s="79">
        <f t="shared" si="103"/>
        <v>0</v>
      </c>
      <c r="G1657" s="2"/>
      <c r="H1657" s="37">
        <v>705</v>
      </c>
      <c r="I1657" s="4">
        <f t="shared" si="104"/>
        <v>0</v>
      </c>
      <c r="J1657" s="25">
        <f t="shared" si="101"/>
        <v>53</v>
      </c>
    </row>
    <row r="1658" spans="1:10" ht="16.95" customHeight="1">
      <c r="A1658" s="75">
        <v>9</v>
      </c>
      <c r="B1658" s="80" t="s">
        <v>99</v>
      </c>
      <c r="C1658" s="77" t="s">
        <v>50</v>
      </c>
      <c r="D1658" s="78">
        <v>170</v>
      </c>
      <c r="E1658" s="79"/>
      <c r="F1658" s="79">
        <f t="shared" si="103"/>
        <v>0</v>
      </c>
      <c r="G1658" s="2"/>
      <c r="H1658" s="37">
        <v>617</v>
      </c>
      <c r="I1658" s="4">
        <f t="shared" si="104"/>
        <v>0</v>
      </c>
      <c r="J1658" s="25">
        <f t="shared" si="101"/>
        <v>53</v>
      </c>
    </row>
    <row r="1659" spans="1:10" ht="16.95" customHeight="1">
      <c r="A1659" s="75">
        <v>10</v>
      </c>
      <c r="B1659" s="80" t="s">
        <v>100</v>
      </c>
      <c r="C1659" s="77" t="s">
        <v>66</v>
      </c>
      <c r="D1659" s="78">
        <v>15</v>
      </c>
      <c r="E1659" s="79"/>
      <c r="F1659" s="79">
        <f t="shared" si="103"/>
        <v>0</v>
      </c>
      <c r="G1659" s="2"/>
      <c r="H1659" s="37">
        <v>617</v>
      </c>
      <c r="I1659" s="4">
        <f t="shared" si="104"/>
        <v>0</v>
      </c>
      <c r="J1659" s="25">
        <f t="shared" ref="J1659:J1722" si="105">J1596+2</f>
        <v>53</v>
      </c>
    </row>
    <row r="1660" spans="1:10" ht="16.95" customHeight="1">
      <c r="A1660" s="75">
        <v>11</v>
      </c>
      <c r="B1660" s="80" t="s">
        <v>101</v>
      </c>
      <c r="C1660" s="77" t="s">
        <v>50</v>
      </c>
      <c r="D1660" s="78">
        <v>75</v>
      </c>
      <c r="E1660" s="79"/>
      <c r="F1660" s="79">
        <f t="shared" si="103"/>
        <v>0</v>
      </c>
      <c r="G1660" s="2"/>
      <c r="H1660" s="37">
        <v>1146</v>
      </c>
      <c r="I1660" s="4">
        <f t="shared" si="104"/>
        <v>0</v>
      </c>
      <c r="J1660" s="25">
        <f t="shared" si="105"/>
        <v>53</v>
      </c>
    </row>
    <row r="1661" spans="1:10" ht="16.95" customHeight="1">
      <c r="A1661" s="75">
        <v>12</v>
      </c>
      <c r="B1661" s="80" t="s">
        <v>102</v>
      </c>
      <c r="C1661" s="77" t="s">
        <v>50</v>
      </c>
      <c r="D1661" s="78">
        <v>5</v>
      </c>
      <c r="E1661" s="79"/>
      <c r="F1661" s="79">
        <f t="shared" si="103"/>
        <v>0</v>
      </c>
      <c r="G1661" s="2"/>
      <c r="H1661" s="37">
        <v>1455</v>
      </c>
      <c r="I1661" s="4">
        <f t="shared" si="104"/>
        <v>0</v>
      </c>
      <c r="J1661" s="25">
        <f t="shared" si="105"/>
        <v>53</v>
      </c>
    </row>
    <row r="1662" spans="1:10" ht="16.95" customHeight="1">
      <c r="A1662" s="75">
        <v>13</v>
      </c>
      <c r="B1662" s="80" t="s">
        <v>103</v>
      </c>
      <c r="C1662" s="77" t="s">
        <v>50</v>
      </c>
      <c r="D1662" s="78">
        <v>217</v>
      </c>
      <c r="E1662" s="79"/>
      <c r="F1662" s="79">
        <f t="shared" si="103"/>
        <v>0</v>
      </c>
      <c r="G1662" s="2"/>
      <c r="H1662" s="37">
        <v>1410</v>
      </c>
      <c r="I1662" s="4">
        <f t="shared" si="104"/>
        <v>0</v>
      </c>
      <c r="J1662" s="25">
        <f t="shared" si="105"/>
        <v>53</v>
      </c>
    </row>
    <row r="1663" spans="1:10" ht="16.95" customHeight="1">
      <c r="A1663" s="75">
        <v>14</v>
      </c>
      <c r="B1663" s="80" t="s">
        <v>104</v>
      </c>
      <c r="C1663" s="77" t="s">
        <v>49</v>
      </c>
      <c r="D1663" s="78">
        <v>84</v>
      </c>
      <c r="E1663" s="79"/>
      <c r="F1663" s="79">
        <f t="shared" si="103"/>
        <v>0</v>
      </c>
      <c r="G1663" s="2"/>
      <c r="H1663" s="37">
        <v>529</v>
      </c>
      <c r="I1663" s="4">
        <f t="shared" si="104"/>
        <v>0</v>
      </c>
      <c r="J1663" s="25">
        <f t="shared" si="105"/>
        <v>53</v>
      </c>
    </row>
    <row r="1664" spans="1:10" ht="16.95" customHeight="1">
      <c r="A1664" s="75">
        <v>15</v>
      </c>
      <c r="B1664" s="80" t="s">
        <v>105</v>
      </c>
      <c r="C1664" s="77" t="s">
        <v>50</v>
      </c>
      <c r="D1664" s="78">
        <v>1</v>
      </c>
      <c r="E1664" s="79"/>
      <c r="F1664" s="79">
        <f t="shared" si="103"/>
        <v>0</v>
      </c>
      <c r="G1664" s="2"/>
      <c r="H1664" s="37">
        <v>1146</v>
      </c>
      <c r="I1664" s="4">
        <f t="shared" si="104"/>
        <v>0</v>
      </c>
      <c r="J1664" s="25">
        <f t="shared" si="105"/>
        <v>53</v>
      </c>
    </row>
    <row r="1665" spans="1:10" ht="34.799999999999997" customHeight="1">
      <c r="A1665" s="75">
        <v>16</v>
      </c>
      <c r="B1665" s="80" t="s">
        <v>106</v>
      </c>
      <c r="C1665" s="77" t="s">
        <v>50</v>
      </c>
      <c r="D1665" s="78">
        <v>314</v>
      </c>
      <c r="E1665" s="79"/>
      <c r="F1665" s="79">
        <f t="shared" si="103"/>
        <v>0</v>
      </c>
      <c r="G1665" s="2"/>
      <c r="H1665" s="37">
        <v>185</v>
      </c>
      <c r="I1665" s="4">
        <f t="shared" si="104"/>
        <v>0</v>
      </c>
      <c r="J1665" s="25">
        <f t="shared" si="105"/>
        <v>53</v>
      </c>
    </row>
    <row r="1666" spans="1:10" ht="16.95" customHeight="1">
      <c r="A1666" s="75">
        <v>17</v>
      </c>
      <c r="B1666" s="80" t="s">
        <v>107</v>
      </c>
      <c r="C1666" s="77" t="s">
        <v>48</v>
      </c>
      <c r="D1666" s="78">
        <v>1</v>
      </c>
      <c r="E1666" s="79"/>
      <c r="F1666" s="79">
        <f t="shared" si="103"/>
        <v>0</v>
      </c>
      <c r="G1666" s="2"/>
      <c r="H1666" s="37">
        <v>89918</v>
      </c>
      <c r="I1666" s="4">
        <f t="shared" si="104"/>
        <v>0</v>
      </c>
      <c r="J1666" s="25">
        <f t="shared" si="105"/>
        <v>53</v>
      </c>
    </row>
    <row r="1667" spans="1:10" ht="16.95" customHeight="1">
      <c r="A1667" s="75">
        <v>18</v>
      </c>
      <c r="B1667" s="80" t="s">
        <v>108</v>
      </c>
      <c r="C1667" s="77" t="s">
        <v>120</v>
      </c>
      <c r="D1667" s="78">
        <v>15</v>
      </c>
      <c r="E1667" s="79"/>
      <c r="F1667" s="79">
        <f t="shared" si="103"/>
        <v>0</v>
      </c>
      <c r="G1667" s="2"/>
      <c r="H1667" s="37">
        <v>661</v>
      </c>
      <c r="I1667" s="4">
        <f t="shared" si="104"/>
        <v>0</v>
      </c>
      <c r="J1667" s="25">
        <f t="shared" si="105"/>
        <v>53</v>
      </c>
    </row>
    <row r="1668" spans="1:10" ht="16.95" customHeight="1">
      <c r="A1668" s="75">
        <v>19</v>
      </c>
      <c r="B1668" s="80" t="s">
        <v>109</v>
      </c>
      <c r="C1668" s="77" t="s">
        <v>50</v>
      </c>
      <c r="D1668" s="78">
        <v>82</v>
      </c>
      <c r="E1668" s="79"/>
      <c r="F1668" s="79">
        <f t="shared" si="103"/>
        <v>0</v>
      </c>
      <c r="G1668" s="2"/>
      <c r="H1668" s="37">
        <v>2909</v>
      </c>
      <c r="I1668" s="4">
        <f t="shared" si="104"/>
        <v>0</v>
      </c>
      <c r="J1668" s="25">
        <f t="shared" si="105"/>
        <v>53</v>
      </c>
    </row>
    <row r="1669" spans="1:10" ht="16.95" customHeight="1">
      <c r="A1669" s="75">
        <v>20</v>
      </c>
      <c r="B1669" s="80" t="s">
        <v>110</v>
      </c>
      <c r="C1669" s="77" t="s">
        <v>121</v>
      </c>
      <c r="D1669" s="78">
        <v>12</v>
      </c>
      <c r="E1669" s="79"/>
      <c r="F1669" s="79">
        <f t="shared" si="103"/>
        <v>0</v>
      </c>
      <c r="G1669" s="2"/>
      <c r="H1669" s="37">
        <v>882</v>
      </c>
      <c r="I1669" s="4">
        <f t="shared" si="104"/>
        <v>0</v>
      </c>
      <c r="J1669" s="25">
        <f t="shared" si="105"/>
        <v>53</v>
      </c>
    </row>
    <row r="1670" spans="1:10" ht="16.95" customHeight="1">
      <c r="A1670" s="77">
        <v>21</v>
      </c>
      <c r="B1670" s="80" t="s">
        <v>111</v>
      </c>
      <c r="C1670" s="77" t="s">
        <v>122</v>
      </c>
      <c r="D1670" s="78">
        <v>3</v>
      </c>
      <c r="E1670" s="79"/>
      <c r="F1670" s="79">
        <f t="shared" si="103"/>
        <v>0</v>
      </c>
      <c r="G1670" s="2"/>
      <c r="H1670" s="38">
        <v>1869</v>
      </c>
      <c r="I1670" s="4">
        <f t="shared" si="104"/>
        <v>0</v>
      </c>
      <c r="J1670" s="25">
        <f t="shared" si="105"/>
        <v>53</v>
      </c>
    </row>
    <row r="1671" spans="1:10" ht="34.950000000000003" customHeight="1">
      <c r="A1671" s="75">
        <v>22</v>
      </c>
      <c r="B1671" s="80" t="s">
        <v>112</v>
      </c>
      <c r="C1671" s="77" t="s">
        <v>48</v>
      </c>
      <c r="D1671" s="78">
        <v>1</v>
      </c>
      <c r="E1671" s="79"/>
      <c r="F1671" s="79">
        <f t="shared" si="103"/>
        <v>0</v>
      </c>
      <c r="G1671" s="2"/>
      <c r="H1671" s="37">
        <v>82206</v>
      </c>
      <c r="I1671" s="4">
        <f t="shared" si="104"/>
        <v>0</v>
      </c>
      <c r="J1671" s="25">
        <f t="shared" si="105"/>
        <v>53</v>
      </c>
    </row>
    <row r="1672" spans="1:10" ht="16.95" customHeight="1">
      <c r="A1672" s="75">
        <v>23</v>
      </c>
      <c r="B1672" s="80" t="s">
        <v>113</v>
      </c>
      <c r="C1672" s="77" t="s">
        <v>48</v>
      </c>
      <c r="D1672" s="78">
        <v>1</v>
      </c>
      <c r="E1672" s="79"/>
      <c r="F1672" s="79">
        <f t="shared" si="103"/>
        <v>0</v>
      </c>
      <c r="G1672" s="2"/>
      <c r="H1672" s="37">
        <v>142723</v>
      </c>
      <c r="I1672" s="4">
        <f t="shared" si="104"/>
        <v>0</v>
      </c>
      <c r="J1672" s="25">
        <f t="shared" si="105"/>
        <v>53</v>
      </c>
    </row>
    <row r="1673" spans="1:10" ht="16.95" customHeight="1">
      <c r="A1673" s="75">
        <v>24</v>
      </c>
      <c r="B1673" s="80" t="s">
        <v>114</v>
      </c>
      <c r="C1673" s="77" t="s">
        <v>48</v>
      </c>
      <c r="D1673" s="78">
        <v>1</v>
      </c>
      <c r="E1673" s="79"/>
      <c r="F1673" s="79">
        <f t="shared" si="103"/>
        <v>0</v>
      </c>
      <c r="G1673" s="2"/>
      <c r="H1673" s="37">
        <v>37290</v>
      </c>
      <c r="I1673" s="4">
        <f t="shared" si="104"/>
        <v>0</v>
      </c>
      <c r="J1673" s="25">
        <f t="shared" si="105"/>
        <v>53</v>
      </c>
    </row>
    <row r="1674" spans="1:10" ht="16.95" customHeight="1">
      <c r="A1674" s="75">
        <v>25</v>
      </c>
      <c r="B1674" s="80" t="s">
        <v>115</v>
      </c>
      <c r="C1674" s="77" t="s">
        <v>48</v>
      </c>
      <c r="D1674" s="78">
        <v>1</v>
      </c>
      <c r="E1674" s="79"/>
      <c r="F1674" s="79">
        <f t="shared" si="103"/>
        <v>0.05</v>
      </c>
      <c r="G1674" s="2"/>
      <c r="H1674" s="37">
        <v>99394</v>
      </c>
      <c r="I1674" s="4">
        <f t="shared" si="104"/>
        <v>0</v>
      </c>
      <c r="J1674" s="25">
        <f t="shared" si="105"/>
        <v>53</v>
      </c>
    </row>
    <row r="1675" spans="1:10" ht="34.950000000000003" customHeight="1">
      <c r="A1675" s="75">
        <v>26</v>
      </c>
      <c r="B1675" s="80" t="s">
        <v>116</v>
      </c>
      <c r="C1675" s="77" t="s">
        <v>48</v>
      </c>
      <c r="D1675" s="78">
        <v>1</v>
      </c>
      <c r="E1675" s="79"/>
      <c r="F1675" s="79">
        <f t="shared" si="103"/>
        <v>0</v>
      </c>
      <c r="G1675" s="2"/>
      <c r="H1675" s="37">
        <v>21334</v>
      </c>
      <c r="I1675" s="4">
        <f t="shared" si="104"/>
        <v>0</v>
      </c>
      <c r="J1675" s="25">
        <f t="shared" si="105"/>
        <v>53</v>
      </c>
    </row>
    <row r="1676" spans="1:10" ht="16.95" customHeight="1">
      <c r="A1676" s="75">
        <v>27</v>
      </c>
      <c r="B1676" s="80" t="s">
        <v>117</v>
      </c>
      <c r="C1676" s="77" t="s">
        <v>48</v>
      </c>
      <c r="D1676" s="78">
        <v>1</v>
      </c>
      <c r="E1676" s="79"/>
      <c r="F1676" s="79">
        <f t="shared" si="103"/>
        <v>0</v>
      </c>
      <c r="G1676" s="2"/>
      <c r="H1676" s="37">
        <v>29620</v>
      </c>
      <c r="I1676" s="4">
        <f t="shared" si="104"/>
        <v>0</v>
      </c>
      <c r="J1676" s="25">
        <f t="shared" si="105"/>
        <v>53</v>
      </c>
    </row>
    <row r="1677" spans="1:10" ht="16.95" customHeight="1">
      <c r="A1677" s="75">
        <v>28</v>
      </c>
      <c r="B1677" s="80" t="s">
        <v>118</v>
      </c>
      <c r="C1677" s="77" t="s">
        <v>48</v>
      </c>
      <c r="D1677" s="78">
        <v>1</v>
      </c>
      <c r="E1677" s="79"/>
      <c r="F1677" s="79">
        <f t="shared" si="103"/>
        <v>0</v>
      </c>
      <c r="G1677" s="2"/>
      <c r="H1677" s="37">
        <v>18506</v>
      </c>
      <c r="I1677" s="4">
        <f t="shared" si="104"/>
        <v>0</v>
      </c>
      <c r="J1677" s="25">
        <f t="shared" si="105"/>
        <v>53</v>
      </c>
    </row>
    <row r="1678" spans="1:10" ht="16.95" customHeight="1">
      <c r="A1678" s="75">
        <v>29</v>
      </c>
      <c r="B1678" s="80" t="s">
        <v>119</v>
      </c>
      <c r="C1678" s="77" t="s">
        <v>48</v>
      </c>
      <c r="D1678" s="78">
        <v>1</v>
      </c>
      <c r="E1678" s="79"/>
      <c r="F1678" s="79">
        <f t="shared" si="103"/>
        <v>0</v>
      </c>
      <c r="G1678" s="2"/>
      <c r="H1678" s="37">
        <v>34381</v>
      </c>
      <c r="I1678" s="4">
        <f t="shared" si="104"/>
        <v>0</v>
      </c>
      <c r="J1678" s="25">
        <f t="shared" si="105"/>
        <v>53</v>
      </c>
    </row>
    <row r="1679" spans="1:10" ht="16.95" customHeight="1">
      <c r="A1679" s="75" t="s">
        <v>79</v>
      </c>
      <c r="B1679" s="80" t="s">
        <v>80</v>
      </c>
      <c r="C1679" s="77" t="s">
        <v>48</v>
      </c>
      <c r="D1679" s="78">
        <v>1</v>
      </c>
      <c r="E1679" s="79">
        <f t="shared" ref="E1679:E1682" si="106">1/120</f>
        <v>8.3333333333333332E-3</v>
      </c>
      <c r="F1679" s="79">
        <f t="shared" si="103"/>
        <v>0.21666666666666665</v>
      </c>
      <c r="G1679" s="2"/>
      <c r="H1679" s="37">
        <v>21395</v>
      </c>
      <c r="I1679" s="4">
        <f t="shared" si="104"/>
        <v>178.29166666666666</v>
      </c>
      <c r="J1679" s="25">
        <f t="shared" si="105"/>
        <v>53</v>
      </c>
    </row>
    <row r="1680" spans="1:10" ht="16.95" customHeight="1">
      <c r="A1680" s="75" t="s">
        <v>81</v>
      </c>
      <c r="B1680" s="80" t="s">
        <v>82</v>
      </c>
      <c r="C1680" s="77" t="s">
        <v>48</v>
      </c>
      <c r="D1680" s="78">
        <v>1</v>
      </c>
      <c r="E1680" s="79">
        <f t="shared" si="106"/>
        <v>8.3333333333333332E-3</v>
      </c>
      <c r="F1680" s="79">
        <f t="shared" si="103"/>
        <v>0.21666666666666665</v>
      </c>
      <c r="G1680" s="2"/>
      <c r="H1680" s="37">
        <v>21395</v>
      </c>
      <c r="I1680" s="4">
        <f t="shared" si="104"/>
        <v>178.29166666666666</v>
      </c>
      <c r="J1680" s="25">
        <f t="shared" si="105"/>
        <v>53</v>
      </c>
    </row>
    <row r="1681" spans="1:10" ht="16.95" customHeight="1">
      <c r="A1681" s="75" t="s">
        <v>83</v>
      </c>
      <c r="B1681" s="80" t="s">
        <v>84</v>
      </c>
      <c r="C1681" s="77" t="s">
        <v>48</v>
      </c>
      <c r="D1681" s="78">
        <v>1</v>
      </c>
      <c r="E1681" s="79">
        <f t="shared" si="106"/>
        <v>8.3333333333333332E-3</v>
      </c>
      <c r="F1681" s="79">
        <f t="shared" si="103"/>
        <v>0.21666666666666665</v>
      </c>
      <c r="G1681" s="2"/>
      <c r="H1681" s="37">
        <v>149765</v>
      </c>
      <c r="I1681" s="4">
        <f t="shared" si="104"/>
        <v>1248.0416666666667</v>
      </c>
      <c r="J1681" s="25">
        <f t="shared" si="105"/>
        <v>53</v>
      </c>
    </row>
    <row r="1682" spans="1:10" ht="16.95" customHeight="1">
      <c r="A1682" s="75" t="s">
        <v>85</v>
      </c>
      <c r="B1682" s="80" t="s">
        <v>86</v>
      </c>
      <c r="C1682" s="77" t="s">
        <v>48</v>
      </c>
      <c r="D1682" s="78">
        <v>1</v>
      </c>
      <c r="E1682" s="79">
        <f t="shared" si="106"/>
        <v>8.3333333333333332E-3</v>
      </c>
      <c r="F1682" s="79">
        <f t="shared" si="103"/>
        <v>0.21666666666666665</v>
      </c>
      <c r="G1682" s="2"/>
      <c r="H1682" s="37">
        <v>6996</v>
      </c>
      <c r="I1682" s="4">
        <f t="shared" si="104"/>
        <v>58.3</v>
      </c>
      <c r="J1682" s="25">
        <f t="shared" si="105"/>
        <v>53</v>
      </c>
    </row>
    <row r="1683" spans="1:10" ht="16.95" customHeight="1">
      <c r="A1683" s="75" t="s">
        <v>87</v>
      </c>
      <c r="B1683" s="80" t="s">
        <v>88</v>
      </c>
      <c r="C1683" s="77" t="s">
        <v>48</v>
      </c>
      <c r="D1683" s="78">
        <v>1</v>
      </c>
      <c r="E1683" s="79">
        <f>1/120</f>
        <v>8.3333333333333332E-3</v>
      </c>
      <c r="F1683" s="79">
        <f t="shared" si="103"/>
        <v>0.21666666666666665</v>
      </c>
      <c r="G1683" s="2"/>
      <c r="H1683" s="37">
        <v>116952</v>
      </c>
      <c r="I1683" s="4">
        <f t="shared" si="104"/>
        <v>974.6</v>
      </c>
      <c r="J1683" s="25">
        <f t="shared" si="105"/>
        <v>53</v>
      </c>
    </row>
    <row r="1684" spans="1:10" ht="16.95" customHeight="1">
      <c r="A1684" s="95" t="s">
        <v>23</v>
      </c>
      <c r="B1684" s="95"/>
      <c r="C1684" s="50"/>
      <c r="D1684" s="50"/>
      <c r="E1684" s="50"/>
      <c r="F1684" s="50"/>
      <c r="G1684" s="50"/>
      <c r="H1684" s="3" t="s">
        <v>24</v>
      </c>
      <c r="I1684" s="5">
        <f>SUM(I1649:I1683)</f>
        <v>2637.5250000000001</v>
      </c>
      <c r="J1684" s="25">
        <f t="shared" si="105"/>
        <v>53</v>
      </c>
    </row>
    <row r="1685" spans="1:10" ht="16.95" customHeight="1">
      <c r="A1685" s="96" t="s">
        <v>25</v>
      </c>
      <c r="B1685" s="96"/>
      <c r="C1685" s="50"/>
      <c r="D1685" s="50"/>
      <c r="E1685" s="50"/>
      <c r="F1685" s="50"/>
      <c r="G1685" s="50"/>
      <c r="J1685" s="25">
        <f t="shared" si="105"/>
        <v>53</v>
      </c>
    </row>
    <row r="1686" spans="1:10" ht="16.95" customHeight="1">
      <c r="A1686" s="96" t="s">
        <v>26</v>
      </c>
      <c r="B1686" s="96"/>
      <c r="C1686" s="50"/>
      <c r="D1686" s="50"/>
      <c r="E1686" s="50"/>
      <c r="F1686" s="50"/>
      <c r="G1686" s="50"/>
      <c r="J1686" s="25">
        <f t="shared" si="105"/>
        <v>53</v>
      </c>
    </row>
    <row r="1687" spans="1:10" ht="16.95" customHeight="1">
      <c r="A1687" s="95" t="s">
        <v>27</v>
      </c>
      <c r="B1687" s="95"/>
      <c r="C1687" s="95"/>
      <c r="D1687" s="95"/>
      <c r="E1687" s="95"/>
      <c r="F1687" s="95"/>
      <c r="G1687" s="95"/>
      <c r="J1687" s="25">
        <f t="shared" si="105"/>
        <v>53</v>
      </c>
    </row>
    <row r="1688" spans="1:10" ht="16.95" customHeight="1">
      <c r="A1688" s="94" t="s">
        <v>28</v>
      </c>
      <c r="B1688" s="94"/>
      <c r="C1688" s="51" t="s">
        <v>29</v>
      </c>
      <c r="D1688" s="51" t="s">
        <v>30</v>
      </c>
      <c r="E1688" s="51" t="s">
        <v>18</v>
      </c>
      <c r="F1688" s="51" t="s">
        <v>31</v>
      </c>
      <c r="G1688" s="51" t="s">
        <v>20</v>
      </c>
      <c r="J1688" s="25">
        <f t="shared" si="105"/>
        <v>53</v>
      </c>
    </row>
    <row r="1689" spans="1:10" ht="16.95" customHeight="1">
      <c r="A1689" s="96"/>
      <c r="B1689" s="96"/>
      <c r="C1689" s="50"/>
      <c r="D1689" s="50"/>
      <c r="E1689" s="50"/>
      <c r="F1689" s="50"/>
      <c r="G1689" s="51"/>
      <c r="J1689" s="25">
        <f t="shared" si="105"/>
        <v>53</v>
      </c>
    </row>
    <row r="1690" spans="1:10" ht="16.95" customHeight="1">
      <c r="A1690" s="97"/>
      <c r="B1690" s="97"/>
      <c r="C1690" s="50"/>
      <c r="D1690" s="50"/>
      <c r="E1690" s="50"/>
      <c r="F1690" s="51"/>
      <c r="G1690" s="51"/>
      <c r="J1690" s="25">
        <f t="shared" si="105"/>
        <v>53</v>
      </c>
    </row>
    <row r="1691" spans="1:10" ht="16.95" customHeight="1">
      <c r="A1691" s="95" t="s">
        <v>32</v>
      </c>
      <c r="B1691" s="95"/>
      <c r="C1691" s="95"/>
      <c r="D1691" s="95"/>
      <c r="E1691" s="95"/>
      <c r="F1691" s="95"/>
      <c r="G1691" s="95"/>
      <c r="J1691" s="25">
        <f t="shared" si="105"/>
        <v>54</v>
      </c>
    </row>
    <row r="1692" spans="1:10" ht="16.95" customHeight="1">
      <c r="A1692" s="51" t="s">
        <v>33</v>
      </c>
      <c r="B1692" s="51" t="s">
        <v>34</v>
      </c>
      <c r="C1692" s="94" t="s">
        <v>35</v>
      </c>
      <c r="D1692" s="94"/>
      <c r="E1692" s="51" t="s">
        <v>36</v>
      </c>
      <c r="F1692" s="51" t="s">
        <v>37</v>
      </c>
      <c r="G1692" s="51" t="s">
        <v>38</v>
      </c>
      <c r="J1692" s="25">
        <f t="shared" si="105"/>
        <v>54</v>
      </c>
    </row>
    <row r="1693" spans="1:10" ht="16.95" customHeight="1">
      <c r="A1693" s="51" t="s">
        <v>39</v>
      </c>
      <c r="B1693" s="6"/>
      <c r="C1693" s="94">
        <f>B1693+C1630</f>
        <v>18</v>
      </c>
      <c r="D1693" s="94"/>
      <c r="E1693" s="51"/>
      <c r="F1693" s="24"/>
      <c r="G1693" s="24"/>
      <c r="J1693" s="25">
        <f t="shared" si="105"/>
        <v>54</v>
      </c>
    </row>
    <row r="1694" spans="1:10" ht="16.95" customHeight="1">
      <c r="A1694" s="51" t="s">
        <v>40</v>
      </c>
      <c r="B1694" s="6"/>
      <c r="C1694" s="94">
        <f>B1694+C1631</f>
        <v>19</v>
      </c>
      <c r="D1694" s="94"/>
      <c r="E1694" s="51"/>
      <c r="F1694" s="24"/>
      <c r="G1694" s="24"/>
      <c r="J1694" s="25">
        <f t="shared" si="105"/>
        <v>54</v>
      </c>
    </row>
    <row r="1695" spans="1:10" ht="36.6" customHeight="1">
      <c r="A1695" s="95" t="s">
        <v>41</v>
      </c>
      <c r="B1695" s="95"/>
      <c r="C1695" s="95"/>
      <c r="D1695" s="95"/>
      <c r="E1695" s="95"/>
      <c r="F1695" s="95"/>
      <c r="G1695" s="95"/>
      <c r="J1695" s="25">
        <f t="shared" si="105"/>
        <v>54</v>
      </c>
    </row>
    <row r="1696" spans="1:10" ht="90" customHeight="1">
      <c r="A1696" s="92" t="s">
        <v>42</v>
      </c>
      <c r="B1696" s="92"/>
      <c r="C1696" s="92"/>
      <c r="D1696" s="92"/>
      <c r="E1696" s="92"/>
      <c r="F1696" s="92"/>
      <c r="G1696" s="92"/>
      <c r="J1696" s="25">
        <f t="shared" si="105"/>
        <v>54</v>
      </c>
    </row>
    <row r="1697" spans="1:10" ht="16.95" customHeight="1">
      <c r="A1697" s="95" t="s">
        <v>43</v>
      </c>
      <c r="B1697" s="95"/>
      <c r="C1697" s="95"/>
      <c r="D1697" s="95"/>
      <c r="E1697" s="95"/>
      <c r="F1697" s="95"/>
      <c r="G1697" s="95"/>
      <c r="J1697" s="25">
        <f t="shared" si="105"/>
        <v>54</v>
      </c>
    </row>
    <row r="1698" spans="1:10" ht="16.95" customHeight="1">
      <c r="A1698" s="95" t="s">
        <v>44</v>
      </c>
      <c r="B1698" s="95"/>
      <c r="C1698" s="95"/>
      <c r="D1698" s="95"/>
      <c r="E1698" s="95"/>
      <c r="F1698" s="95"/>
      <c r="G1698" s="95"/>
      <c r="J1698" s="25">
        <f t="shared" si="105"/>
        <v>54</v>
      </c>
    </row>
    <row r="1699" spans="1:10" ht="16.95" customHeight="1">
      <c r="A1699" s="91" t="s">
        <v>64</v>
      </c>
      <c r="B1699" s="91"/>
      <c r="C1699" s="91"/>
      <c r="D1699" s="91"/>
      <c r="E1699" s="91"/>
      <c r="F1699" s="91"/>
      <c r="G1699" s="91"/>
      <c r="J1699" s="25">
        <f t="shared" si="105"/>
        <v>54</v>
      </c>
    </row>
    <row r="1700" spans="1:10" ht="120.6" customHeight="1">
      <c r="A1700" s="92" t="s">
        <v>45</v>
      </c>
      <c r="B1700" s="92"/>
      <c r="C1700" s="92"/>
      <c r="D1700" s="92"/>
      <c r="E1700" s="92"/>
      <c r="F1700" s="92"/>
      <c r="G1700" s="92"/>
      <c r="J1700" s="25">
        <f t="shared" si="105"/>
        <v>54</v>
      </c>
    </row>
    <row r="1701" spans="1:10" ht="140.4" customHeight="1">
      <c r="A1701" s="93" t="s">
        <v>46</v>
      </c>
      <c r="B1701" s="93"/>
      <c r="C1701" s="93"/>
      <c r="D1701" s="93"/>
      <c r="E1701" s="93"/>
      <c r="F1701" s="93"/>
      <c r="G1701" s="93"/>
      <c r="J1701" s="25">
        <f t="shared" si="105"/>
        <v>54</v>
      </c>
    </row>
    <row r="1702" spans="1:10" ht="37.200000000000003" customHeight="1">
      <c r="A1702" s="103" t="s">
        <v>0</v>
      </c>
      <c r="B1702" s="103"/>
      <c r="C1702" s="103"/>
      <c r="D1702" s="103"/>
      <c r="E1702" s="103"/>
      <c r="F1702" s="103"/>
      <c r="G1702" s="103"/>
      <c r="J1702" s="25">
        <f t="shared" si="105"/>
        <v>55</v>
      </c>
    </row>
    <row r="1703" spans="1:10" ht="16.95" customHeight="1">
      <c r="A1703" s="1" t="s">
        <v>1</v>
      </c>
      <c r="B1703" s="104">
        <f>B1640+1</f>
        <v>28</v>
      </c>
      <c r="C1703" s="104"/>
      <c r="D1703" s="104"/>
      <c r="E1703" s="104"/>
      <c r="F1703" s="104"/>
      <c r="G1703" s="104"/>
      <c r="J1703" s="25">
        <f t="shared" si="105"/>
        <v>55</v>
      </c>
    </row>
    <row r="1704" spans="1:10" ht="16.95" customHeight="1">
      <c r="A1704" s="1" t="s">
        <v>2</v>
      </c>
      <c r="B1704" s="105" t="s">
        <v>63</v>
      </c>
      <c r="C1704" s="105"/>
      <c r="D1704" s="105"/>
      <c r="E1704" s="106">
        <f>E1641+1</f>
        <v>46231</v>
      </c>
      <c r="F1704" s="106"/>
      <c r="G1704" s="106"/>
      <c r="J1704" s="25">
        <f t="shared" si="105"/>
        <v>55</v>
      </c>
    </row>
    <row r="1705" spans="1:10" ht="16.95" customHeight="1">
      <c r="A1705" s="53" t="s">
        <v>3</v>
      </c>
      <c r="B1705" s="2" t="s">
        <v>67</v>
      </c>
      <c r="C1705" s="98" t="s">
        <v>4</v>
      </c>
      <c r="D1705" s="98"/>
      <c r="E1705" s="98" t="s">
        <v>47</v>
      </c>
      <c r="F1705" s="98"/>
      <c r="G1705" s="98"/>
      <c r="J1705" s="25">
        <f t="shared" si="105"/>
        <v>55</v>
      </c>
    </row>
    <row r="1706" spans="1:10" ht="16.95" customHeight="1">
      <c r="A1706" s="53" t="s">
        <v>5</v>
      </c>
      <c r="B1706" s="54">
        <v>120</v>
      </c>
      <c r="C1706" s="98" t="s">
        <v>6</v>
      </c>
      <c r="D1706" s="98"/>
      <c r="E1706" s="98">
        <v>1</v>
      </c>
      <c r="F1706" s="98"/>
      <c r="G1706" s="98"/>
      <c r="J1706" s="25">
        <f t="shared" si="105"/>
        <v>55</v>
      </c>
    </row>
    <row r="1707" spans="1:10" ht="16.95" customHeight="1">
      <c r="A1707" s="53" t="s">
        <v>7</v>
      </c>
      <c r="B1707" s="54">
        <f>B1703</f>
        <v>28</v>
      </c>
      <c r="C1707" s="100" t="s">
        <v>8</v>
      </c>
      <c r="D1707" s="100"/>
      <c r="E1707" s="101">
        <f>B1706-B1707+1</f>
        <v>93</v>
      </c>
      <c r="F1707" s="101"/>
      <c r="G1707" s="101"/>
      <c r="J1707" s="25">
        <f t="shared" si="105"/>
        <v>55</v>
      </c>
    </row>
    <row r="1708" spans="1:10" ht="16.95" customHeight="1">
      <c r="A1708" s="53" t="s">
        <v>9</v>
      </c>
      <c r="B1708" s="55">
        <v>46204</v>
      </c>
      <c r="C1708" s="98" t="s">
        <v>10</v>
      </c>
      <c r="D1708" s="98"/>
      <c r="E1708" s="102">
        <f>B1708+B1706-1</f>
        <v>46323</v>
      </c>
      <c r="F1708" s="102"/>
      <c r="G1708" s="102"/>
      <c r="J1708" s="25">
        <f t="shared" si="105"/>
        <v>55</v>
      </c>
    </row>
    <row r="1709" spans="1:10" ht="16.95" customHeight="1">
      <c r="A1709" s="53" t="s">
        <v>11</v>
      </c>
      <c r="B1709" s="56">
        <f>HLOOKUP(B1703,進度表!$Q$2:$Z$3,2,1)+B1646</f>
        <v>0.12465439739413689</v>
      </c>
      <c r="C1709" s="98" t="s">
        <v>12</v>
      </c>
      <c r="D1709" s="98"/>
      <c r="E1709" s="99">
        <f>I1747/I1709+E1646</f>
        <v>0.12632276669381104</v>
      </c>
      <c r="F1709" s="99"/>
      <c r="G1709" s="99"/>
      <c r="H1709" s="3" t="s">
        <v>62</v>
      </c>
      <c r="I1709" s="1">
        <v>2456000</v>
      </c>
      <c r="J1709" s="25">
        <f t="shared" si="105"/>
        <v>55</v>
      </c>
    </row>
    <row r="1710" spans="1:10" ht="16.95" customHeight="1">
      <c r="A1710" s="98" t="s">
        <v>13</v>
      </c>
      <c r="B1710" s="98"/>
      <c r="C1710" s="98"/>
      <c r="D1710" s="98"/>
      <c r="E1710" s="98"/>
      <c r="F1710" s="98"/>
      <c r="G1710" s="98"/>
      <c r="J1710" s="25">
        <f t="shared" si="105"/>
        <v>55</v>
      </c>
    </row>
    <row r="1711" spans="1:10" ht="16.95" customHeight="1">
      <c r="A1711" s="52" t="s">
        <v>14</v>
      </c>
      <c r="B1711" s="52" t="s">
        <v>15</v>
      </c>
      <c r="C1711" s="52" t="s">
        <v>16</v>
      </c>
      <c r="D1711" s="52" t="s">
        <v>17</v>
      </c>
      <c r="E1711" s="52" t="s">
        <v>18</v>
      </c>
      <c r="F1711" s="52" t="s">
        <v>19</v>
      </c>
      <c r="G1711" s="52" t="s">
        <v>20</v>
      </c>
      <c r="H1711" s="3" t="s">
        <v>21</v>
      </c>
      <c r="I1711" s="3" t="s">
        <v>22</v>
      </c>
      <c r="J1711" s="25">
        <f t="shared" si="105"/>
        <v>55</v>
      </c>
    </row>
    <row r="1712" spans="1:10" ht="16.95" customHeight="1">
      <c r="A1712" s="75" t="s">
        <v>65</v>
      </c>
      <c r="B1712" s="76" t="s">
        <v>69</v>
      </c>
      <c r="C1712" s="77"/>
      <c r="D1712" s="78"/>
      <c r="E1712" s="79"/>
      <c r="F1712" s="79"/>
      <c r="G1712" s="2"/>
      <c r="H1712" s="37"/>
      <c r="I1712" s="4"/>
      <c r="J1712" s="25">
        <f t="shared" si="105"/>
        <v>55</v>
      </c>
    </row>
    <row r="1713" spans="1:10" ht="34.950000000000003" customHeight="1">
      <c r="A1713" s="75">
        <v>1</v>
      </c>
      <c r="B1713" s="80" t="s">
        <v>91</v>
      </c>
      <c r="C1713" s="77" t="s">
        <v>48</v>
      </c>
      <c r="D1713" s="78">
        <v>1</v>
      </c>
      <c r="E1713" s="79"/>
      <c r="F1713" s="79">
        <f t="shared" ref="F1713:F1746" si="107">E1713+F1650</f>
        <v>1</v>
      </c>
      <c r="G1713" s="2"/>
      <c r="H1713" s="37">
        <v>10508</v>
      </c>
      <c r="I1713" s="4">
        <f>H1713*E1713</f>
        <v>0</v>
      </c>
      <c r="J1713" s="25">
        <f t="shared" si="105"/>
        <v>55</v>
      </c>
    </row>
    <row r="1714" spans="1:10" ht="34.799999999999997" customHeight="1">
      <c r="A1714" s="75">
        <v>2</v>
      </c>
      <c r="B1714" s="80" t="s">
        <v>92</v>
      </c>
      <c r="C1714" s="77" t="s">
        <v>48</v>
      </c>
      <c r="D1714" s="78">
        <v>1</v>
      </c>
      <c r="E1714" s="79"/>
      <c r="F1714" s="79">
        <f t="shared" si="107"/>
        <v>0</v>
      </c>
      <c r="G1714" s="2"/>
      <c r="H1714" s="37">
        <v>13223</v>
      </c>
      <c r="I1714" s="4">
        <f>H1714*E1714</f>
        <v>0</v>
      </c>
      <c r="J1714" s="25">
        <f t="shared" si="105"/>
        <v>55</v>
      </c>
    </row>
    <row r="1715" spans="1:10" ht="53.4" customHeight="1">
      <c r="A1715" s="75">
        <v>3</v>
      </c>
      <c r="B1715" s="80" t="s">
        <v>93</v>
      </c>
      <c r="C1715" s="77" t="s">
        <v>48</v>
      </c>
      <c r="D1715" s="78">
        <v>1</v>
      </c>
      <c r="E1715" s="79"/>
      <c r="F1715" s="79">
        <f t="shared" si="107"/>
        <v>0.72000000000000008</v>
      </c>
      <c r="G1715" s="2"/>
      <c r="H1715" s="37">
        <v>310497</v>
      </c>
      <c r="I1715" s="4">
        <f t="shared" ref="I1715:I1746" si="108">H1715*E1715</f>
        <v>0</v>
      </c>
      <c r="J1715" s="25">
        <f t="shared" si="105"/>
        <v>55</v>
      </c>
    </row>
    <row r="1716" spans="1:10" ht="16.95" customHeight="1">
      <c r="A1716" s="75">
        <v>4</v>
      </c>
      <c r="B1716" s="80" t="s">
        <v>94</v>
      </c>
      <c r="C1716" s="77" t="s">
        <v>48</v>
      </c>
      <c r="D1716" s="78">
        <v>1</v>
      </c>
      <c r="E1716" s="79"/>
      <c r="F1716" s="79">
        <f t="shared" si="107"/>
        <v>0</v>
      </c>
      <c r="G1716" s="2"/>
      <c r="H1716" s="37">
        <v>8375</v>
      </c>
      <c r="I1716" s="4">
        <f t="shared" si="108"/>
        <v>0</v>
      </c>
      <c r="J1716" s="25">
        <f t="shared" si="105"/>
        <v>55</v>
      </c>
    </row>
    <row r="1717" spans="1:10" ht="16.95" customHeight="1">
      <c r="A1717" s="75">
        <v>5</v>
      </c>
      <c r="B1717" s="80" t="s">
        <v>95</v>
      </c>
      <c r="C1717" s="77" t="s">
        <v>48</v>
      </c>
      <c r="D1717" s="78">
        <v>1</v>
      </c>
      <c r="E1717" s="79"/>
      <c r="F1717" s="79">
        <f t="shared" si="107"/>
        <v>0</v>
      </c>
      <c r="G1717" s="2"/>
      <c r="H1717" s="37">
        <v>51618</v>
      </c>
      <c r="I1717" s="4">
        <f t="shared" si="108"/>
        <v>0</v>
      </c>
      <c r="J1717" s="25">
        <f t="shared" si="105"/>
        <v>55</v>
      </c>
    </row>
    <row r="1718" spans="1:10" ht="16.95" customHeight="1">
      <c r="A1718" s="75">
        <v>6</v>
      </c>
      <c r="B1718" s="80" t="s">
        <v>96</v>
      </c>
      <c r="C1718" s="77" t="s">
        <v>50</v>
      </c>
      <c r="D1718" s="78">
        <v>11.55</v>
      </c>
      <c r="E1718" s="79"/>
      <c r="F1718" s="79">
        <f t="shared" si="107"/>
        <v>0</v>
      </c>
      <c r="G1718" s="2"/>
      <c r="H1718" s="37">
        <v>1188</v>
      </c>
      <c r="I1718" s="4">
        <f t="shared" si="108"/>
        <v>0</v>
      </c>
      <c r="J1718" s="25">
        <f t="shared" si="105"/>
        <v>55</v>
      </c>
    </row>
    <row r="1719" spans="1:10" ht="34.950000000000003" customHeight="1">
      <c r="A1719" s="75">
        <v>7</v>
      </c>
      <c r="B1719" s="80" t="s">
        <v>97</v>
      </c>
      <c r="C1719" s="77" t="s">
        <v>48</v>
      </c>
      <c r="D1719" s="78">
        <v>1</v>
      </c>
      <c r="E1719" s="79"/>
      <c r="F1719" s="79">
        <f t="shared" si="107"/>
        <v>0</v>
      </c>
      <c r="G1719" s="2"/>
      <c r="H1719" s="37">
        <v>21157</v>
      </c>
      <c r="I1719" s="4">
        <f t="shared" si="108"/>
        <v>0</v>
      </c>
      <c r="J1719" s="25">
        <f t="shared" si="105"/>
        <v>55</v>
      </c>
    </row>
    <row r="1720" spans="1:10" ht="16.95" customHeight="1">
      <c r="A1720" s="75">
        <v>8</v>
      </c>
      <c r="B1720" s="80" t="s">
        <v>98</v>
      </c>
      <c r="C1720" s="77" t="s">
        <v>50</v>
      </c>
      <c r="D1720" s="78">
        <v>387</v>
      </c>
      <c r="E1720" s="79"/>
      <c r="F1720" s="79">
        <f t="shared" si="107"/>
        <v>0</v>
      </c>
      <c r="G1720" s="2"/>
      <c r="H1720" s="37">
        <v>705</v>
      </c>
      <c r="I1720" s="4">
        <f t="shared" si="108"/>
        <v>0</v>
      </c>
      <c r="J1720" s="25">
        <f t="shared" si="105"/>
        <v>55</v>
      </c>
    </row>
    <row r="1721" spans="1:10" ht="16.95" customHeight="1">
      <c r="A1721" s="75">
        <v>9</v>
      </c>
      <c r="B1721" s="80" t="s">
        <v>99</v>
      </c>
      <c r="C1721" s="77" t="s">
        <v>50</v>
      </c>
      <c r="D1721" s="78">
        <v>170</v>
      </c>
      <c r="E1721" s="79"/>
      <c r="F1721" s="79">
        <f t="shared" si="107"/>
        <v>0</v>
      </c>
      <c r="G1721" s="2"/>
      <c r="H1721" s="37">
        <v>617</v>
      </c>
      <c r="I1721" s="4">
        <f t="shared" si="108"/>
        <v>0</v>
      </c>
      <c r="J1721" s="25">
        <f t="shared" si="105"/>
        <v>55</v>
      </c>
    </row>
    <row r="1722" spans="1:10" ht="16.95" customHeight="1">
      <c r="A1722" s="75">
        <v>10</v>
      </c>
      <c r="B1722" s="80" t="s">
        <v>100</v>
      </c>
      <c r="C1722" s="77" t="s">
        <v>66</v>
      </c>
      <c r="D1722" s="78">
        <v>15</v>
      </c>
      <c r="E1722" s="79"/>
      <c r="F1722" s="79">
        <f t="shared" si="107"/>
        <v>0</v>
      </c>
      <c r="G1722" s="2"/>
      <c r="H1722" s="37">
        <v>617</v>
      </c>
      <c r="I1722" s="4">
        <f t="shared" si="108"/>
        <v>0</v>
      </c>
      <c r="J1722" s="25">
        <f t="shared" si="105"/>
        <v>55</v>
      </c>
    </row>
    <row r="1723" spans="1:10" ht="16.95" customHeight="1">
      <c r="A1723" s="75">
        <v>11</v>
      </c>
      <c r="B1723" s="80" t="s">
        <v>101</v>
      </c>
      <c r="C1723" s="77" t="s">
        <v>50</v>
      </c>
      <c r="D1723" s="78">
        <v>75</v>
      </c>
      <c r="E1723" s="79"/>
      <c r="F1723" s="79">
        <f t="shared" si="107"/>
        <v>0</v>
      </c>
      <c r="G1723" s="2"/>
      <c r="H1723" s="37">
        <v>1146</v>
      </c>
      <c r="I1723" s="4">
        <f t="shared" si="108"/>
        <v>0</v>
      </c>
      <c r="J1723" s="25">
        <f t="shared" ref="J1723:J1786" si="109">J1660+2</f>
        <v>55</v>
      </c>
    </row>
    <row r="1724" spans="1:10" ht="16.95" customHeight="1">
      <c r="A1724" s="75">
        <v>12</v>
      </c>
      <c r="B1724" s="80" t="s">
        <v>102</v>
      </c>
      <c r="C1724" s="77" t="s">
        <v>50</v>
      </c>
      <c r="D1724" s="78">
        <v>5</v>
      </c>
      <c r="E1724" s="79"/>
      <c r="F1724" s="79">
        <f t="shared" si="107"/>
        <v>0</v>
      </c>
      <c r="G1724" s="2"/>
      <c r="H1724" s="37">
        <v>1455</v>
      </c>
      <c r="I1724" s="4">
        <f t="shared" si="108"/>
        <v>0</v>
      </c>
      <c r="J1724" s="25">
        <f t="shared" si="109"/>
        <v>55</v>
      </c>
    </row>
    <row r="1725" spans="1:10" ht="16.95" customHeight="1">
      <c r="A1725" s="75">
        <v>13</v>
      </c>
      <c r="B1725" s="80" t="s">
        <v>103</v>
      </c>
      <c r="C1725" s="77" t="s">
        <v>50</v>
      </c>
      <c r="D1725" s="78">
        <v>217</v>
      </c>
      <c r="E1725" s="79"/>
      <c r="F1725" s="79">
        <f t="shared" si="107"/>
        <v>0</v>
      </c>
      <c r="G1725" s="2"/>
      <c r="H1725" s="37">
        <v>1410</v>
      </c>
      <c r="I1725" s="4">
        <f t="shared" si="108"/>
        <v>0</v>
      </c>
      <c r="J1725" s="25">
        <f t="shared" si="109"/>
        <v>55</v>
      </c>
    </row>
    <row r="1726" spans="1:10" ht="16.95" customHeight="1">
      <c r="A1726" s="75">
        <v>14</v>
      </c>
      <c r="B1726" s="80" t="s">
        <v>104</v>
      </c>
      <c r="C1726" s="77" t="s">
        <v>49</v>
      </c>
      <c r="D1726" s="78">
        <v>84</v>
      </c>
      <c r="E1726" s="79"/>
      <c r="F1726" s="79">
        <f t="shared" si="107"/>
        <v>0</v>
      </c>
      <c r="G1726" s="2"/>
      <c r="H1726" s="37">
        <v>529</v>
      </c>
      <c r="I1726" s="4">
        <f t="shared" si="108"/>
        <v>0</v>
      </c>
      <c r="J1726" s="25">
        <f t="shared" si="109"/>
        <v>55</v>
      </c>
    </row>
    <row r="1727" spans="1:10" ht="16.95" customHeight="1">
      <c r="A1727" s="75">
        <v>15</v>
      </c>
      <c r="B1727" s="80" t="s">
        <v>105</v>
      </c>
      <c r="C1727" s="77" t="s">
        <v>50</v>
      </c>
      <c r="D1727" s="78">
        <v>1</v>
      </c>
      <c r="E1727" s="79"/>
      <c r="F1727" s="79">
        <f t="shared" si="107"/>
        <v>0</v>
      </c>
      <c r="G1727" s="2"/>
      <c r="H1727" s="37">
        <v>1146</v>
      </c>
      <c r="I1727" s="4">
        <f t="shared" si="108"/>
        <v>0</v>
      </c>
      <c r="J1727" s="25">
        <f t="shared" si="109"/>
        <v>55</v>
      </c>
    </row>
    <row r="1728" spans="1:10" ht="34.799999999999997" customHeight="1">
      <c r="A1728" s="75">
        <v>16</v>
      </c>
      <c r="B1728" s="80" t="s">
        <v>106</v>
      </c>
      <c r="C1728" s="77" t="s">
        <v>50</v>
      </c>
      <c r="D1728" s="78">
        <v>314</v>
      </c>
      <c r="E1728" s="79"/>
      <c r="F1728" s="79">
        <f t="shared" si="107"/>
        <v>0</v>
      </c>
      <c r="G1728" s="2"/>
      <c r="H1728" s="37">
        <v>185</v>
      </c>
      <c r="I1728" s="4">
        <f t="shared" si="108"/>
        <v>0</v>
      </c>
      <c r="J1728" s="25">
        <f t="shared" si="109"/>
        <v>55</v>
      </c>
    </row>
    <row r="1729" spans="1:10" ht="16.95" customHeight="1">
      <c r="A1729" s="75">
        <v>17</v>
      </c>
      <c r="B1729" s="80" t="s">
        <v>107</v>
      </c>
      <c r="C1729" s="77" t="s">
        <v>48</v>
      </c>
      <c r="D1729" s="78">
        <v>1</v>
      </c>
      <c r="E1729" s="79"/>
      <c r="F1729" s="79">
        <f t="shared" si="107"/>
        <v>0</v>
      </c>
      <c r="G1729" s="2"/>
      <c r="H1729" s="37">
        <v>89918</v>
      </c>
      <c r="I1729" s="4">
        <f t="shared" si="108"/>
        <v>0</v>
      </c>
      <c r="J1729" s="25">
        <f t="shared" si="109"/>
        <v>55</v>
      </c>
    </row>
    <row r="1730" spans="1:10" ht="16.95" customHeight="1">
      <c r="A1730" s="75">
        <v>18</v>
      </c>
      <c r="B1730" s="80" t="s">
        <v>108</v>
      </c>
      <c r="C1730" s="77" t="s">
        <v>120</v>
      </c>
      <c r="D1730" s="78">
        <v>15</v>
      </c>
      <c r="E1730" s="79"/>
      <c r="F1730" s="79">
        <f t="shared" si="107"/>
        <v>0</v>
      </c>
      <c r="G1730" s="2"/>
      <c r="H1730" s="37">
        <v>661</v>
      </c>
      <c r="I1730" s="4">
        <f t="shared" si="108"/>
        <v>0</v>
      </c>
      <c r="J1730" s="25">
        <f t="shared" si="109"/>
        <v>55</v>
      </c>
    </row>
    <row r="1731" spans="1:10" ht="16.95" customHeight="1">
      <c r="A1731" s="75">
        <v>19</v>
      </c>
      <c r="B1731" s="80" t="s">
        <v>109</v>
      </c>
      <c r="C1731" s="77" t="s">
        <v>50</v>
      </c>
      <c r="D1731" s="78">
        <v>82</v>
      </c>
      <c r="E1731" s="79"/>
      <c r="F1731" s="79">
        <f t="shared" si="107"/>
        <v>0</v>
      </c>
      <c r="G1731" s="2"/>
      <c r="H1731" s="37">
        <v>2909</v>
      </c>
      <c r="I1731" s="4">
        <f t="shared" si="108"/>
        <v>0</v>
      </c>
      <c r="J1731" s="25">
        <f t="shared" si="109"/>
        <v>55</v>
      </c>
    </row>
    <row r="1732" spans="1:10" ht="16.95" customHeight="1">
      <c r="A1732" s="75">
        <v>20</v>
      </c>
      <c r="B1732" s="80" t="s">
        <v>110</v>
      </c>
      <c r="C1732" s="77" t="s">
        <v>121</v>
      </c>
      <c r="D1732" s="78">
        <v>12</v>
      </c>
      <c r="E1732" s="79"/>
      <c r="F1732" s="79">
        <f t="shared" si="107"/>
        <v>0</v>
      </c>
      <c r="G1732" s="2"/>
      <c r="H1732" s="37">
        <v>882</v>
      </c>
      <c r="I1732" s="4">
        <f t="shared" si="108"/>
        <v>0</v>
      </c>
      <c r="J1732" s="25">
        <f t="shared" si="109"/>
        <v>55</v>
      </c>
    </row>
    <row r="1733" spans="1:10" ht="16.95" customHeight="1">
      <c r="A1733" s="77">
        <v>21</v>
      </c>
      <c r="B1733" s="80" t="s">
        <v>111</v>
      </c>
      <c r="C1733" s="77" t="s">
        <v>122</v>
      </c>
      <c r="D1733" s="78">
        <v>3</v>
      </c>
      <c r="E1733" s="79"/>
      <c r="F1733" s="79">
        <f t="shared" si="107"/>
        <v>0</v>
      </c>
      <c r="G1733" s="2"/>
      <c r="H1733" s="38">
        <v>1869</v>
      </c>
      <c r="I1733" s="4">
        <f t="shared" si="108"/>
        <v>0</v>
      </c>
      <c r="J1733" s="25">
        <f t="shared" si="109"/>
        <v>55</v>
      </c>
    </row>
    <row r="1734" spans="1:10" ht="34.950000000000003" customHeight="1">
      <c r="A1734" s="75">
        <v>22</v>
      </c>
      <c r="B1734" s="80" t="s">
        <v>112</v>
      </c>
      <c r="C1734" s="77" t="s">
        <v>48</v>
      </c>
      <c r="D1734" s="78">
        <v>1</v>
      </c>
      <c r="E1734" s="79"/>
      <c r="F1734" s="79">
        <f t="shared" si="107"/>
        <v>0</v>
      </c>
      <c r="G1734" s="2"/>
      <c r="H1734" s="37">
        <v>82206</v>
      </c>
      <c r="I1734" s="4">
        <f t="shared" si="108"/>
        <v>0</v>
      </c>
      <c r="J1734" s="25">
        <f t="shared" si="109"/>
        <v>55</v>
      </c>
    </row>
    <row r="1735" spans="1:10" ht="16.95" customHeight="1">
      <c r="A1735" s="75">
        <v>23</v>
      </c>
      <c r="B1735" s="80" t="s">
        <v>113</v>
      </c>
      <c r="C1735" s="77" t="s">
        <v>48</v>
      </c>
      <c r="D1735" s="78">
        <v>1</v>
      </c>
      <c r="E1735" s="79"/>
      <c r="F1735" s="79">
        <f t="shared" si="107"/>
        <v>0</v>
      </c>
      <c r="G1735" s="2"/>
      <c r="H1735" s="37">
        <v>142723</v>
      </c>
      <c r="I1735" s="4">
        <f t="shared" si="108"/>
        <v>0</v>
      </c>
      <c r="J1735" s="25">
        <f t="shared" si="109"/>
        <v>55</v>
      </c>
    </row>
    <row r="1736" spans="1:10" ht="16.95" customHeight="1">
      <c r="A1736" s="75">
        <v>24</v>
      </c>
      <c r="B1736" s="80" t="s">
        <v>114</v>
      </c>
      <c r="C1736" s="77" t="s">
        <v>48</v>
      </c>
      <c r="D1736" s="78">
        <v>1</v>
      </c>
      <c r="E1736" s="79"/>
      <c r="F1736" s="79">
        <f t="shared" si="107"/>
        <v>0</v>
      </c>
      <c r="G1736" s="2"/>
      <c r="H1736" s="37">
        <v>37290</v>
      </c>
      <c r="I1736" s="4">
        <f t="shared" si="108"/>
        <v>0</v>
      </c>
      <c r="J1736" s="25">
        <f t="shared" si="109"/>
        <v>55</v>
      </c>
    </row>
    <row r="1737" spans="1:10" ht="16.95" customHeight="1">
      <c r="A1737" s="75">
        <v>25</v>
      </c>
      <c r="B1737" s="80" t="s">
        <v>115</v>
      </c>
      <c r="C1737" s="77" t="s">
        <v>48</v>
      </c>
      <c r="D1737" s="78">
        <v>1</v>
      </c>
      <c r="E1737" s="79"/>
      <c r="F1737" s="79">
        <f t="shared" si="107"/>
        <v>0.05</v>
      </c>
      <c r="G1737" s="2"/>
      <c r="H1737" s="37">
        <v>99394</v>
      </c>
      <c r="I1737" s="4">
        <f t="shared" si="108"/>
        <v>0</v>
      </c>
      <c r="J1737" s="25">
        <f t="shared" si="109"/>
        <v>55</v>
      </c>
    </row>
    <row r="1738" spans="1:10" ht="34.950000000000003" customHeight="1">
      <c r="A1738" s="75">
        <v>26</v>
      </c>
      <c r="B1738" s="80" t="s">
        <v>116</v>
      </c>
      <c r="C1738" s="77" t="s">
        <v>48</v>
      </c>
      <c r="D1738" s="78">
        <v>1</v>
      </c>
      <c r="E1738" s="79"/>
      <c r="F1738" s="79">
        <f t="shared" si="107"/>
        <v>0</v>
      </c>
      <c r="G1738" s="2"/>
      <c r="H1738" s="37">
        <v>21334</v>
      </c>
      <c r="I1738" s="4">
        <f t="shared" si="108"/>
        <v>0</v>
      </c>
      <c r="J1738" s="25">
        <f t="shared" si="109"/>
        <v>55</v>
      </c>
    </row>
    <row r="1739" spans="1:10" ht="16.95" customHeight="1">
      <c r="A1739" s="75">
        <v>27</v>
      </c>
      <c r="B1739" s="80" t="s">
        <v>117</v>
      </c>
      <c r="C1739" s="77" t="s">
        <v>48</v>
      </c>
      <c r="D1739" s="78">
        <v>1</v>
      </c>
      <c r="E1739" s="79"/>
      <c r="F1739" s="79">
        <f t="shared" si="107"/>
        <v>0</v>
      </c>
      <c r="G1739" s="2"/>
      <c r="H1739" s="37">
        <v>29620</v>
      </c>
      <c r="I1739" s="4">
        <f t="shared" si="108"/>
        <v>0</v>
      </c>
      <c r="J1739" s="25">
        <f t="shared" si="109"/>
        <v>55</v>
      </c>
    </row>
    <row r="1740" spans="1:10" ht="16.95" customHeight="1">
      <c r="A1740" s="75">
        <v>28</v>
      </c>
      <c r="B1740" s="80" t="s">
        <v>118</v>
      </c>
      <c r="C1740" s="77" t="s">
        <v>48</v>
      </c>
      <c r="D1740" s="78">
        <v>1</v>
      </c>
      <c r="E1740" s="79"/>
      <c r="F1740" s="79">
        <f t="shared" si="107"/>
        <v>0</v>
      </c>
      <c r="G1740" s="2"/>
      <c r="H1740" s="37">
        <v>18506</v>
      </c>
      <c r="I1740" s="4">
        <f t="shared" si="108"/>
        <v>0</v>
      </c>
      <c r="J1740" s="25">
        <f t="shared" si="109"/>
        <v>55</v>
      </c>
    </row>
    <row r="1741" spans="1:10" ht="16.95" customHeight="1">
      <c r="A1741" s="75">
        <v>29</v>
      </c>
      <c r="B1741" s="80" t="s">
        <v>119</v>
      </c>
      <c r="C1741" s="77" t="s">
        <v>48</v>
      </c>
      <c r="D1741" s="78">
        <v>1</v>
      </c>
      <c r="E1741" s="79"/>
      <c r="F1741" s="79">
        <f t="shared" si="107"/>
        <v>0</v>
      </c>
      <c r="G1741" s="2"/>
      <c r="H1741" s="37">
        <v>34381</v>
      </c>
      <c r="I1741" s="4">
        <f t="shared" si="108"/>
        <v>0</v>
      </c>
      <c r="J1741" s="25">
        <f t="shared" si="109"/>
        <v>55</v>
      </c>
    </row>
    <row r="1742" spans="1:10" ht="16.95" customHeight="1">
      <c r="A1742" s="75" t="s">
        <v>79</v>
      </c>
      <c r="B1742" s="80" t="s">
        <v>80</v>
      </c>
      <c r="C1742" s="77" t="s">
        <v>48</v>
      </c>
      <c r="D1742" s="78">
        <v>1</v>
      </c>
      <c r="E1742" s="79">
        <f t="shared" ref="E1742:E1745" si="110">1/120</f>
        <v>8.3333333333333332E-3</v>
      </c>
      <c r="F1742" s="79">
        <f t="shared" si="107"/>
        <v>0.22499999999999998</v>
      </c>
      <c r="G1742" s="2"/>
      <c r="H1742" s="37">
        <v>21395</v>
      </c>
      <c r="I1742" s="4">
        <f t="shared" si="108"/>
        <v>178.29166666666666</v>
      </c>
      <c r="J1742" s="25">
        <f t="shared" si="109"/>
        <v>55</v>
      </c>
    </row>
    <row r="1743" spans="1:10" ht="16.95" customHeight="1">
      <c r="A1743" s="75" t="s">
        <v>81</v>
      </c>
      <c r="B1743" s="80" t="s">
        <v>82</v>
      </c>
      <c r="C1743" s="77" t="s">
        <v>48</v>
      </c>
      <c r="D1743" s="78">
        <v>1</v>
      </c>
      <c r="E1743" s="79">
        <f t="shared" si="110"/>
        <v>8.3333333333333332E-3</v>
      </c>
      <c r="F1743" s="79">
        <f t="shared" si="107"/>
        <v>0.22499999999999998</v>
      </c>
      <c r="G1743" s="2"/>
      <c r="H1743" s="37">
        <v>21395</v>
      </c>
      <c r="I1743" s="4">
        <f t="shared" si="108"/>
        <v>178.29166666666666</v>
      </c>
      <c r="J1743" s="25">
        <f t="shared" si="109"/>
        <v>55</v>
      </c>
    </row>
    <row r="1744" spans="1:10" ht="16.95" customHeight="1">
      <c r="A1744" s="75" t="s">
        <v>83</v>
      </c>
      <c r="B1744" s="80" t="s">
        <v>84</v>
      </c>
      <c r="C1744" s="77" t="s">
        <v>48</v>
      </c>
      <c r="D1744" s="78">
        <v>1</v>
      </c>
      <c r="E1744" s="79">
        <f t="shared" si="110"/>
        <v>8.3333333333333332E-3</v>
      </c>
      <c r="F1744" s="79">
        <f t="shared" si="107"/>
        <v>0.22499999999999998</v>
      </c>
      <c r="G1744" s="2"/>
      <c r="H1744" s="37">
        <v>149765</v>
      </c>
      <c r="I1744" s="4">
        <f t="shared" si="108"/>
        <v>1248.0416666666667</v>
      </c>
      <c r="J1744" s="25">
        <f t="shared" si="109"/>
        <v>55</v>
      </c>
    </row>
    <row r="1745" spans="1:10" ht="16.95" customHeight="1">
      <c r="A1745" s="75" t="s">
        <v>85</v>
      </c>
      <c r="B1745" s="80" t="s">
        <v>86</v>
      </c>
      <c r="C1745" s="77" t="s">
        <v>48</v>
      </c>
      <c r="D1745" s="78">
        <v>1</v>
      </c>
      <c r="E1745" s="79">
        <f t="shared" si="110"/>
        <v>8.3333333333333332E-3</v>
      </c>
      <c r="F1745" s="79">
        <f t="shared" si="107"/>
        <v>0.22499999999999998</v>
      </c>
      <c r="G1745" s="2"/>
      <c r="H1745" s="37">
        <v>6996</v>
      </c>
      <c r="I1745" s="4">
        <f t="shared" si="108"/>
        <v>58.3</v>
      </c>
      <c r="J1745" s="25">
        <f t="shared" si="109"/>
        <v>55</v>
      </c>
    </row>
    <row r="1746" spans="1:10" ht="16.95" customHeight="1">
      <c r="A1746" s="75" t="s">
        <v>87</v>
      </c>
      <c r="B1746" s="80" t="s">
        <v>88</v>
      </c>
      <c r="C1746" s="77" t="s">
        <v>48</v>
      </c>
      <c r="D1746" s="78">
        <v>1</v>
      </c>
      <c r="E1746" s="79">
        <f>1/120</f>
        <v>8.3333333333333332E-3</v>
      </c>
      <c r="F1746" s="79">
        <f t="shared" si="107"/>
        <v>0.22499999999999998</v>
      </c>
      <c r="G1746" s="2"/>
      <c r="H1746" s="37">
        <v>116952</v>
      </c>
      <c r="I1746" s="4">
        <f t="shared" si="108"/>
        <v>974.6</v>
      </c>
      <c r="J1746" s="25">
        <f t="shared" si="109"/>
        <v>55</v>
      </c>
    </row>
    <row r="1747" spans="1:10" ht="16.95" customHeight="1">
      <c r="A1747" s="95" t="s">
        <v>23</v>
      </c>
      <c r="B1747" s="95"/>
      <c r="C1747" s="50"/>
      <c r="D1747" s="50"/>
      <c r="E1747" s="50"/>
      <c r="F1747" s="50"/>
      <c r="G1747" s="50"/>
      <c r="H1747" s="3" t="s">
        <v>24</v>
      </c>
      <c r="I1747" s="5">
        <f>SUM(I1712:I1746)</f>
        <v>2637.5250000000001</v>
      </c>
      <c r="J1747" s="25">
        <f t="shared" si="109"/>
        <v>55</v>
      </c>
    </row>
    <row r="1748" spans="1:10" ht="16.95" customHeight="1">
      <c r="A1748" s="96" t="s">
        <v>25</v>
      </c>
      <c r="B1748" s="96"/>
      <c r="C1748" s="50"/>
      <c r="D1748" s="50"/>
      <c r="E1748" s="50"/>
      <c r="F1748" s="50"/>
      <c r="G1748" s="50"/>
      <c r="J1748" s="25">
        <f t="shared" si="109"/>
        <v>55</v>
      </c>
    </row>
    <row r="1749" spans="1:10" ht="16.95" customHeight="1">
      <c r="A1749" s="96" t="s">
        <v>26</v>
      </c>
      <c r="B1749" s="96"/>
      <c r="C1749" s="50"/>
      <c r="D1749" s="50"/>
      <c r="E1749" s="50"/>
      <c r="F1749" s="50"/>
      <c r="G1749" s="50"/>
      <c r="J1749" s="25">
        <f t="shared" si="109"/>
        <v>55</v>
      </c>
    </row>
    <row r="1750" spans="1:10" ht="16.95" customHeight="1">
      <c r="A1750" s="95" t="s">
        <v>27</v>
      </c>
      <c r="B1750" s="95"/>
      <c r="C1750" s="95"/>
      <c r="D1750" s="95"/>
      <c r="E1750" s="95"/>
      <c r="F1750" s="95"/>
      <c r="G1750" s="95"/>
      <c r="J1750" s="25">
        <f t="shared" si="109"/>
        <v>55</v>
      </c>
    </row>
    <row r="1751" spans="1:10" ht="16.95" customHeight="1">
      <c r="A1751" s="94" t="s">
        <v>28</v>
      </c>
      <c r="B1751" s="94"/>
      <c r="C1751" s="51" t="s">
        <v>29</v>
      </c>
      <c r="D1751" s="51" t="s">
        <v>30</v>
      </c>
      <c r="E1751" s="51" t="s">
        <v>18</v>
      </c>
      <c r="F1751" s="51" t="s">
        <v>31</v>
      </c>
      <c r="G1751" s="51" t="s">
        <v>20</v>
      </c>
      <c r="J1751" s="25">
        <f t="shared" si="109"/>
        <v>55</v>
      </c>
    </row>
    <row r="1752" spans="1:10" ht="16.95" customHeight="1">
      <c r="A1752" s="96"/>
      <c r="B1752" s="96"/>
      <c r="C1752" s="50"/>
      <c r="D1752" s="50"/>
      <c r="E1752" s="50"/>
      <c r="F1752" s="50"/>
      <c r="G1752" s="51"/>
      <c r="J1752" s="25">
        <f t="shared" si="109"/>
        <v>55</v>
      </c>
    </row>
    <row r="1753" spans="1:10" ht="16.95" customHeight="1">
      <c r="A1753" s="97"/>
      <c r="B1753" s="97"/>
      <c r="C1753" s="50"/>
      <c r="D1753" s="50"/>
      <c r="E1753" s="50"/>
      <c r="F1753" s="51"/>
      <c r="G1753" s="51"/>
      <c r="J1753" s="25">
        <f t="shared" si="109"/>
        <v>55</v>
      </c>
    </row>
    <row r="1754" spans="1:10" ht="16.95" customHeight="1">
      <c r="A1754" s="95" t="s">
        <v>32</v>
      </c>
      <c r="B1754" s="95"/>
      <c r="C1754" s="95"/>
      <c r="D1754" s="95"/>
      <c r="E1754" s="95"/>
      <c r="F1754" s="95"/>
      <c r="G1754" s="95"/>
      <c r="J1754" s="25">
        <f t="shared" si="109"/>
        <v>56</v>
      </c>
    </row>
    <row r="1755" spans="1:10" ht="16.95" customHeight="1">
      <c r="A1755" s="51" t="s">
        <v>33</v>
      </c>
      <c r="B1755" s="51" t="s">
        <v>34</v>
      </c>
      <c r="C1755" s="94" t="s">
        <v>35</v>
      </c>
      <c r="D1755" s="94"/>
      <c r="E1755" s="51" t="s">
        <v>36</v>
      </c>
      <c r="F1755" s="51" t="s">
        <v>37</v>
      </c>
      <c r="G1755" s="51" t="s">
        <v>38</v>
      </c>
      <c r="J1755" s="25">
        <f t="shared" si="109"/>
        <v>56</v>
      </c>
    </row>
    <row r="1756" spans="1:10" ht="16.95" customHeight="1">
      <c r="A1756" s="51" t="s">
        <v>39</v>
      </c>
      <c r="B1756" s="6"/>
      <c r="C1756" s="94">
        <f>B1756+C1693</f>
        <v>18</v>
      </c>
      <c r="D1756" s="94"/>
      <c r="E1756" s="51"/>
      <c r="F1756" s="24"/>
      <c r="G1756" s="24"/>
      <c r="J1756" s="25">
        <f t="shared" si="109"/>
        <v>56</v>
      </c>
    </row>
    <row r="1757" spans="1:10" ht="16.95" customHeight="1">
      <c r="A1757" s="51" t="s">
        <v>40</v>
      </c>
      <c r="B1757" s="6"/>
      <c r="C1757" s="94">
        <f>B1757+C1694</f>
        <v>19</v>
      </c>
      <c r="D1757" s="94"/>
      <c r="E1757" s="51"/>
      <c r="F1757" s="24"/>
      <c r="G1757" s="24"/>
      <c r="J1757" s="25">
        <f t="shared" si="109"/>
        <v>56</v>
      </c>
    </row>
    <row r="1758" spans="1:10" ht="36.6" customHeight="1">
      <c r="A1758" s="95" t="s">
        <v>41</v>
      </c>
      <c r="B1758" s="95"/>
      <c r="C1758" s="95"/>
      <c r="D1758" s="95"/>
      <c r="E1758" s="95"/>
      <c r="F1758" s="95"/>
      <c r="G1758" s="95"/>
      <c r="J1758" s="25">
        <f t="shared" si="109"/>
        <v>56</v>
      </c>
    </row>
    <row r="1759" spans="1:10" ht="90" customHeight="1">
      <c r="A1759" s="92" t="s">
        <v>42</v>
      </c>
      <c r="B1759" s="92"/>
      <c r="C1759" s="92"/>
      <c r="D1759" s="92"/>
      <c r="E1759" s="92"/>
      <c r="F1759" s="92"/>
      <c r="G1759" s="92"/>
      <c r="J1759" s="25">
        <f t="shared" si="109"/>
        <v>56</v>
      </c>
    </row>
    <row r="1760" spans="1:10" ht="16.95" customHeight="1">
      <c r="A1760" s="95" t="s">
        <v>43</v>
      </c>
      <c r="B1760" s="95"/>
      <c r="C1760" s="95"/>
      <c r="D1760" s="95"/>
      <c r="E1760" s="95"/>
      <c r="F1760" s="95"/>
      <c r="G1760" s="95"/>
      <c r="J1760" s="25">
        <f t="shared" si="109"/>
        <v>56</v>
      </c>
    </row>
    <row r="1761" spans="1:10" ht="16.95" customHeight="1">
      <c r="A1761" s="95" t="s">
        <v>44</v>
      </c>
      <c r="B1761" s="95"/>
      <c r="C1761" s="95"/>
      <c r="D1761" s="95"/>
      <c r="E1761" s="95"/>
      <c r="F1761" s="95"/>
      <c r="G1761" s="95"/>
      <c r="J1761" s="25">
        <f t="shared" si="109"/>
        <v>56</v>
      </c>
    </row>
    <row r="1762" spans="1:10" ht="16.95" customHeight="1">
      <c r="A1762" s="91" t="s">
        <v>64</v>
      </c>
      <c r="B1762" s="91"/>
      <c r="C1762" s="91"/>
      <c r="D1762" s="91"/>
      <c r="E1762" s="91"/>
      <c r="F1762" s="91"/>
      <c r="G1762" s="91"/>
      <c r="J1762" s="25">
        <f t="shared" si="109"/>
        <v>56</v>
      </c>
    </row>
    <row r="1763" spans="1:10" ht="120.6" customHeight="1">
      <c r="A1763" s="92" t="s">
        <v>45</v>
      </c>
      <c r="B1763" s="92"/>
      <c r="C1763" s="92"/>
      <c r="D1763" s="92"/>
      <c r="E1763" s="92"/>
      <c r="F1763" s="92"/>
      <c r="G1763" s="92"/>
      <c r="J1763" s="25">
        <f t="shared" si="109"/>
        <v>56</v>
      </c>
    </row>
    <row r="1764" spans="1:10" ht="140.4" customHeight="1">
      <c r="A1764" s="93" t="s">
        <v>46</v>
      </c>
      <c r="B1764" s="93"/>
      <c r="C1764" s="93"/>
      <c r="D1764" s="93"/>
      <c r="E1764" s="93"/>
      <c r="F1764" s="93"/>
      <c r="G1764" s="93"/>
      <c r="J1764" s="25">
        <f t="shared" si="109"/>
        <v>56</v>
      </c>
    </row>
    <row r="1765" spans="1:10" ht="37.200000000000003" customHeight="1">
      <c r="A1765" s="103" t="s">
        <v>0</v>
      </c>
      <c r="B1765" s="103"/>
      <c r="C1765" s="103"/>
      <c r="D1765" s="103"/>
      <c r="E1765" s="103"/>
      <c r="F1765" s="103"/>
      <c r="G1765" s="103"/>
      <c r="J1765" s="25">
        <f t="shared" si="109"/>
        <v>57</v>
      </c>
    </row>
    <row r="1766" spans="1:10" ht="16.95" customHeight="1">
      <c r="A1766" s="1" t="s">
        <v>1</v>
      </c>
      <c r="B1766" s="104">
        <f>B1703+1</f>
        <v>29</v>
      </c>
      <c r="C1766" s="104"/>
      <c r="D1766" s="104"/>
      <c r="E1766" s="104"/>
      <c r="F1766" s="104"/>
      <c r="G1766" s="104"/>
      <c r="J1766" s="25">
        <f t="shared" si="109"/>
        <v>57</v>
      </c>
    </row>
    <row r="1767" spans="1:10" ht="16.95" customHeight="1">
      <c r="A1767" s="1" t="s">
        <v>2</v>
      </c>
      <c r="B1767" s="105" t="s">
        <v>63</v>
      </c>
      <c r="C1767" s="105"/>
      <c r="D1767" s="105"/>
      <c r="E1767" s="106">
        <f>E1704+1</f>
        <v>46232</v>
      </c>
      <c r="F1767" s="106"/>
      <c r="G1767" s="106"/>
      <c r="J1767" s="25">
        <f t="shared" si="109"/>
        <v>57</v>
      </c>
    </row>
    <row r="1768" spans="1:10" ht="16.95" customHeight="1">
      <c r="A1768" s="53" t="s">
        <v>3</v>
      </c>
      <c r="B1768" s="2" t="s">
        <v>67</v>
      </c>
      <c r="C1768" s="98" t="s">
        <v>4</v>
      </c>
      <c r="D1768" s="98"/>
      <c r="E1768" s="98" t="s">
        <v>47</v>
      </c>
      <c r="F1768" s="98"/>
      <c r="G1768" s="98"/>
      <c r="J1768" s="25">
        <f t="shared" si="109"/>
        <v>57</v>
      </c>
    </row>
    <row r="1769" spans="1:10" ht="16.95" customHeight="1">
      <c r="A1769" s="53" t="s">
        <v>5</v>
      </c>
      <c r="B1769" s="54">
        <v>120</v>
      </c>
      <c r="C1769" s="98" t="s">
        <v>6</v>
      </c>
      <c r="D1769" s="98"/>
      <c r="E1769" s="98">
        <v>1</v>
      </c>
      <c r="F1769" s="98"/>
      <c r="G1769" s="98"/>
      <c r="J1769" s="25">
        <f t="shared" si="109"/>
        <v>57</v>
      </c>
    </row>
    <row r="1770" spans="1:10" ht="16.95" customHeight="1">
      <c r="A1770" s="53" t="s">
        <v>7</v>
      </c>
      <c r="B1770" s="54">
        <f>B1766</f>
        <v>29</v>
      </c>
      <c r="C1770" s="100" t="s">
        <v>8</v>
      </c>
      <c r="D1770" s="100"/>
      <c r="E1770" s="101">
        <f>B1769-B1770+1</f>
        <v>92</v>
      </c>
      <c r="F1770" s="101"/>
      <c r="G1770" s="101"/>
      <c r="J1770" s="25">
        <f t="shared" si="109"/>
        <v>57</v>
      </c>
    </row>
    <row r="1771" spans="1:10" ht="16.95" customHeight="1">
      <c r="A1771" s="53" t="s">
        <v>9</v>
      </c>
      <c r="B1771" s="55">
        <v>46204</v>
      </c>
      <c r="C1771" s="98" t="s">
        <v>10</v>
      </c>
      <c r="D1771" s="98"/>
      <c r="E1771" s="102">
        <f>B1771+B1769-1</f>
        <v>46323</v>
      </c>
      <c r="F1771" s="102"/>
      <c r="G1771" s="102"/>
      <c r="J1771" s="25">
        <f t="shared" si="109"/>
        <v>57</v>
      </c>
    </row>
    <row r="1772" spans="1:10" ht="16.95" customHeight="1">
      <c r="A1772" s="53" t="s">
        <v>11</v>
      </c>
      <c r="B1772" s="56">
        <f>HLOOKUP(B1766,進度表!$Q$2:$Z$3,2,1)+B1709</f>
        <v>0.13018606473941377</v>
      </c>
      <c r="C1772" s="98" t="s">
        <v>12</v>
      </c>
      <c r="D1772" s="98"/>
      <c r="E1772" s="99">
        <f>I1810/I1772+E1709</f>
        <v>0.12739667752442993</v>
      </c>
      <c r="F1772" s="99"/>
      <c r="G1772" s="99"/>
      <c r="H1772" s="3" t="s">
        <v>62</v>
      </c>
      <c r="I1772" s="1">
        <v>2456000</v>
      </c>
      <c r="J1772" s="25">
        <f t="shared" si="109"/>
        <v>57</v>
      </c>
    </row>
    <row r="1773" spans="1:10" ht="16.95" customHeight="1">
      <c r="A1773" s="98" t="s">
        <v>13</v>
      </c>
      <c r="B1773" s="98"/>
      <c r="C1773" s="98"/>
      <c r="D1773" s="98"/>
      <c r="E1773" s="98"/>
      <c r="F1773" s="98"/>
      <c r="G1773" s="98"/>
      <c r="J1773" s="25">
        <f t="shared" si="109"/>
        <v>57</v>
      </c>
    </row>
    <row r="1774" spans="1:10" ht="16.95" customHeight="1">
      <c r="A1774" s="52" t="s">
        <v>14</v>
      </c>
      <c r="B1774" s="52" t="s">
        <v>15</v>
      </c>
      <c r="C1774" s="52" t="s">
        <v>16</v>
      </c>
      <c r="D1774" s="52" t="s">
        <v>17</v>
      </c>
      <c r="E1774" s="52" t="s">
        <v>18</v>
      </c>
      <c r="F1774" s="52" t="s">
        <v>19</v>
      </c>
      <c r="G1774" s="52" t="s">
        <v>20</v>
      </c>
      <c r="H1774" s="3" t="s">
        <v>21</v>
      </c>
      <c r="I1774" s="3" t="s">
        <v>22</v>
      </c>
      <c r="J1774" s="25">
        <f t="shared" si="109"/>
        <v>57</v>
      </c>
    </row>
    <row r="1775" spans="1:10" ht="16.95" customHeight="1">
      <c r="A1775" s="75" t="s">
        <v>65</v>
      </c>
      <c r="B1775" s="76" t="s">
        <v>69</v>
      </c>
      <c r="C1775" s="77"/>
      <c r="D1775" s="78"/>
      <c r="E1775" s="79"/>
      <c r="F1775" s="79"/>
      <c r="G1775" s="2"/>
      <c r="H1775" s="37"/>
      <c r="I1775" s="4"/>
      <c r="J1775" s="25">
        <f t="shared" si="109"/>
        <v>57</v>
      </c>
    </row>
    <row r="1776" spans="1:10" ht="34.950000000000003" customHeight="1">
      <c r="A1776" s="75">
        <v>1</v>
      </c>
      <c r="B1776" s="80" t="s">
        <v>91</v>
      </c>
      <c r="C1776" s="77" t="s">
        <v>48</v>
      </c>
      <c r="D1776" s="78">
        <v>1</v>
      </c>
      <c r="E1776" s="79"/>
      <c r="F1776" s="79">
        <f t="shared" ref="F1776:F1809" si="111">E1776+F1713</f>
        <v>1</v>
      </c>
      <c r="G1776" s="2"/>
      <c r="H1776" s="37">
        <v>10508</v>
      </c>
      <c r="I1776" s="4">
        <f>H1776*E1776</f>
        <v>0</v>
      </c>
      <c r="J1776" s="25">
        <f t="shared" si="109"/>
        <v>57</v>
      </c>
    </row>
    <row r="1777" spans="1:10" ht="34.799999999999997" customHeight="1">
      <c r="A1777" s="75">
        <v>2</v>
      </c>
      <c r="B1777" s="80" t="s">
        <v>92</v>
      </c>
      <c r="C1777" s="77" t="s">
        <v>48</v>
      </c>
      <c r="D1777" s="78">
        <v>1</v>
      </c>
      <c r="E1777" s="79"/>
      <c r="F1777" s="79">
        <f t="shared" si="111"/>
        <v>0</v>
      </c>
      <c r="G1777" s="2"/>
      <c r="H1777" s="37">
        <v>13223</v>
      </c>
      <c r="I1777" s="4">
        <f>H1777*E1777</f>
        <v>0</v>
      </c>
      <c r="J1777" s="25">
        <f t="shared" si="109"/>
        <v>57</v>
      </c>
    </row>
    <row r="1778" spans="1:10" ht="53.4" customHeight="1">
      <c r="A1778" s="75">
        <v>3</v>
      </c>
      <c r="B1778" s="80" t="s">
        <v>93</v>
      </c>
      <c r="C1778" s="77" t="s">
        <v>48</v>
      </c>
      <c r="D1778" s="78">
        <v>1</v>
      </c>
      <c r="E1778" s="79"/>
      <c r="F1778" s="79">
        <f t="shared" si="111"/>
        <v>0.72000000000000008</v>
      </c>
      <c r="G1778" s="2"/>
      <c r="H1778" s="37">
        <v>310497</v>
      </c>
      <c r="I1778" s="4">
        <f t="shared" ref="I1778:I1809" si="112">H1778*E1778</f>
        <v>0</v>
      </c>
      <c r="J1778" s="25">
        <f t="shared" si="109"/>
        <v>57</v>
      </c>
    </row>
    <row r="1779" spans="1:10" ht="16.95" customHeight="1">
      <c r="A1779" s="75">
        <v>4</v>
      </c>
      <c r="B1779" s="80" t="s">
        <v>94</v>
      </c>
      <c r="C1779" s="77" t="s">
        <v>48</v>
      </c>
      <c r="D1779" s="78">
        <v>1</v>
      </c>
      <c r="E1779" s="79"/>
      <c r="F1779" s="79">
        <f t="shared" si="111"/>
        <v>0</v>
      </c>
      <c r="G1779" s="2"/>
      <c r="H1779" s="37">
        <v>8375</v>
      </c>
      <c r="I1779" s="4">
        <f t="shared" si="112"/>
        <v>0</v>
      </c>
      <c r="J1779" s="25">
        <f t="shared" si="109"/>
        <v>57</v>
      </c>
    </row>
    <row r="1780" spans="1:10" ht="16.95" customHeight="1">
      <c r="A1780" s="75">
        <v>5</v>
      </c>
      <c r="B1780" s="80" t="s">
        <v>95</v>
      </c>
      <c r="C1780" s="77" t="s">
        <v>48</v>
      </c>
      <c r="D1780" s="78">
        <v>1</v>
      </c>
      <c r="E1780" s="79"/>
      <c r="F1780" s="79">
        <f t="shared" si="111"/>
        <v>0</v>
      </c>
      <c r="G1780" s="2"/>
      <c r="H1780" s="37">
        <v>51618</v>
      </c>
      <c r="I1780" s="4">
        <f t="shared" si="112"/>
        <v>0</v>
      </c>
      <c r="J1780" s="25">
        <f t="shared" si="109"/>
        <v>57</v>
      </c>
    </row>
    <row r="1781" spans="1:10" ht="16.95" customHeight="1">
      <c r="A1781" s="75">
        <v>6</v>
      </c>
      <c r="B1781" s="80" t="s">
        <v>96</v>
      </c>
      <c r="C1781" s="77" t="s">
        <v>50</v>
      </c>
      <c r="D1781" s="78">
        <v>11.55</v>
      </c>
      <c r="E1781" s="79"/>
      <c r="F1781" s="79">
        <f t="shared" si="111"/>
        <v>0</v>
      </c>
      <c r="G1781" s="2"/>
      <c r="H1781" s="37">
        <v>1188</v>
      </c>
      <c r="I1781" s="4">
        <f t="shared" si="112"/>
        <v>0</v>
      </c>
      <c r="J1781" s="25">
        <f t="shared" si="109"/>
        <v>57</v>
      </c>
    </row>
    <row r="1782" spans="1:10" ht="34.950000000000003" customHeight="1">
      <c r="A1782" s="75">
        <v>7</v>
      </c>
      <c r="B1782" s="80" t="s">
        <v>97</v>
      </c>
      <c r="C1782" s="77" t="s">
        <v>48</v>
      </c>
      <c r="D1782" s="78">
        <v>1</v>
      </c>
      <c r="E1782" s="79"/>
      <c r="F1782" s="79">
        <f t="shared" si="111"/>
        <v>0</v>
      </c>
      <c r="G1782" s="2"/>
      <c r="H1782" s="37">
        <v>21157</v>
      </c>
      <c r="I1782" s="4">
        <f t="shared" si="112"/>
        <v>0</v>
      </c>
      <c r="J1782" s="25">
        <f t="shared" si="109"/>
        <v>57</v>
      </c>
    </row>
    <row r="1783" spans="1:10" ht="16.95" customHeight="1">
      <c r="A1783" s="75">
        <v>8</v>
      </c>
      <c r="B1783" s="80" t="s">
        <v>98</v>
      </c>
      <c r="C1783" s="77" t="s">
        <v>50</v>
      </c>
      <c r="D1783" s="78">
        <v>387</v>
      </c>
      <c r="E1783" s="79"/>
      <c r="F1783" s="79">
        <f t="shared" si="111"/>
        <v>0</v>
      </c>
      <c r="G1783" s="2"/>
      <c r="H1783" s="37">
        <v>705</v>
      </c>
      <c r="I1783" s="4">
        <f t="shared" si="112"/>
        <v>0</v>
      </c>
      <c r="J1783" s="25">
        <f t="shared" si="109"/>
        <v>57</v>
      </c>
    </row>
    <row r="1784" spans="1:10" ht="16.95" customHeight="1">
      <c r="A1784" s="75">
        <v>9</v>
      </c>
      <c r="B1784" s="80" t="s">
        <v>99</v>
      </c>
      <c r="C1784" s="77" t="s">
        <v>50</v>
      </c>
      <c r="D1784" s="78">
        <v>170</v>
      </c>
      <c r="E1784" s="79"/>
      <c r="F1784" s="79">
        <f t="shared" si="111"/>
        <v>0</v>
      </c>
      <c r="G1784" s="2"/>
      <c r="H1784" s="37">
        <v>617</v>
      </c>
      <c r="I1784" s="4">
        <f t="shared" si="112"/>
        <v>0</v>
      </c>
      <c r="J1784" s="25">
        <f t="shared" si="109"/>
        <v>57</v>
      </c>
    </row>
    <row r="1785" spans="1:10" ht="16.95" customHeight="1">
      <c r="A1785" s="75">
        <v>10</v>
      </c>
      <c r="B1785" s="80" t="s">
        <v>100</v>
      </c>
      <c r="C1785" s="77" t="s">
        <v>66</v>
      </c>
      <c r="D1785" s="78">
        <v>15</v>
      </c>
      <c r="E1785" s="79"/>
      <c r="F1785" s="79">
        <f t="shared" si="111"/>
        <v>0</v>
      </c>
      <c r="G1785" s="2"/>
      <c r="H1785" s="37">
        <v>617</v>
      </c>
      <c r="I1785" s="4">
        <f t="shared" si="112"/>
        <v>0</v>
      </c>
      <c r="J1785" s="25">
        <f t="shared" si="109"/>
        <v>57</v>
      </c>
    </row>
    <row r="1786" spans="1:10" ht="16.95" customHeight="1">
      <c r="A1786" s="75">
        <v>11</v>
      </c>
      <c r="B1786" s="80" t="s">
        <v>101</v>
      </c>
      <c r="C1786" s="77" t="s">
        <v>50</v>
      </c>
      <c r="D1786" s="78">
        <v>75</v>
      </c>
      <c r="E1786" s="79"/>
      <c r="F1786" s="79">
        <f t="shared" si="111"/>
        <v>0</v>
      </c>
      <c r="G1786" s="2"/>
      <c r="H1786" s="37">
        <v>1146</v>
      </c>
      <c r="I1786" s="4">
        <f t="shared" si="112"/>
        <v>0</v>
      </c>
      <c r="J1786" s="25">
        <f t="shared" si="109"/>
        <v>57</v>
      </c>
    </row>
    <row r="1787" spans="1:10" ht="16.95" customHeight="1">
      <c r="A1787" s="75">
        <v>12</v>
      </c>
      <c r="B1787" s="80" t="s">
        <v>102</v>
      </c>
      <c r="C1787" s="77" t="s">
        <v>50</v>
      </c>
      <c r="D1787" s="78">
        <v>5</v>
      </c>
      <c r="E1787" s="79"/>
      <c r="F1787" s="79">
        <f t="shared" si="111"/>
        <v>0</v>
      </c>
      <c r="G1787" s="2"/>
      <c r="H1787" s="37">
        <v>1455</v>
      </c>
      <c r="I1787" s="4">
        <f t="shared" si="112"/>
        <v>0</v>
      </c>
      <c r="J1787" s="25">
        <f t="shared" ref="J1787:J1850" si="113">J1724+2</f>
        <v>57</v>
      </c>
    </row>
    <row r="1788" spans="1:10" ht="16.95" customHeight="1">
      <c r="A1788" s="75">
        <v>13</v>
      </c>
      <c r="B1788" s="80" t="s">
        <v>103</v>
      </c>
      <c r="C1788" s="77" t="s">
        <v>50</v>
      </c>
      <c r="D1788" s="78">
        <v>217</v>
      </c>
      <c r="E1788" s="79"/>
      <c r="F1788" s="79">
        <f t="shared" si="111"/>
        <v>0</v>
      </c>
      <c r="G1788" s="2"/>
      <c r="H1788" s="37">
        <v>1410</v>
      </c>
      <c r="I1788" s="4">
        <f t="shared" si="112"/>
        <v>0</v>
      </c>
      <c r="J1788" s="25">
        <f t="shared" si="113"/>
        <v>57</v>
      </c>
    </row>
    <row r="1789" spans="1:10" ht="16.95" customHeight="1">
      <c r="A1789" s="75">
        <v>14</v>
      </c>
      <c r="B1789" s="80" t="s">
        <v>104</v>
      </c>
      <c r="C1789" s="77" t="s">
        <v>49</v>
      </c>
      <c r="D1789" s="78">
        <v>84</v>
      </c>
      <c r="E1789" s="79"/>
      <c r="F1789" s="79">
        <f t="shared" si="111"/>
        <v>0</v>
      </c>
      <c r="G1789" s="2"/>
      <c r="H1789" s="37">
        <v>529</v>
      </c>
      <c r="I1789" s="4">
        <f t="shared" si="112"/>
        <v>0</v>
      </c>
      <c r="J1789" s="25">
        <f t="shared" si="113"/>
        <v>57</v>
      </c>
    </row>
    <row r="1790" spans="1:10" ht="16.95" customHeight="1">
      <c r="A1790" s="75">
        <v>15</v>
      </c>
      <c r="B1790" s="80" t="s">
        <v>105</v>
      </c>
      <c r="C1790" s="77" t="s">
        <v>50</v>
      </c>
      <c r="D1790" s="78">
        <v>1</v>
      </c>
      <c r="E1790" s="79"/>
      <c r="F1790" s="79">
        <f t="shared" si="111"/>
        <v>0</v>
      </c>
      <c r="G1790" s="2"/>
      <c r="H1790" s="37">
        <v>1146</v>
      </c>
      <c r="I1790" s="4">
        <f t="shared" si="112"/>
        <v>0</v>
      </c>
      <c r="J1790" s="25">
        <f t="shared" si="113"/>
        <v>57</v>
      </c>
    </row>
    <row r="1791" spans="1:10" ht="34.799999999999997" customHeight="1">
      <c r="A1791" s="75">
        <v>16</v>
      </c>
      <c r="B1791" s="80" t="s">
        <v>106</v>
      </c>
      <c r="C1791" s="77" t="s">
        <v>50</v>
      </c>
      <c r="D1791" s="78">
        <v>314</v>
      </c>
      <c r="E1791" s="79"/>
      <c r="F1791" s="79">
        <f t="shared" si="111"/>
        <v>0</v>
      </c>
      <c r="G1791" s="2"/>
      <c r="H1791" s="37">
        <v>185</v>
      </c>
      <c r="I1791" s="4">
        <f t="shared" si="112"/>
        <v>0</v>
      </c>
      <c r="J1791" s="25">
        <f t="shared" si="113"/>
        <v>57</v>
      </c>
    </row>
    <row r="1792" spans="1:10" ht="16.95" customHeight="1">
      <c r="A1792" s="75">
        <v>17</v>
      </c>
      <c r="B1792" s="80" t="s">
        <v>107</v>
      </c>
      <c r="C1792" s="77" t="s">
        <v>48</v>
      </c>
      <c r="D1792" s="78">
        <v>1</v>
      </c>
      <c r="E1792" s="79"/>
      <c r="F1792" s="79">
        <f t="shared" si="111"/>
        <v>0</v>
      </c>
      <c r="G1792" s="2"/>
      <c r="H1792" s="37">
        <v>89918</v>
      </c>
      <c r="I1792" s="4">
        <f t="shared" si="112"/>
        <v>0</v>
      </c>
      <c r="J1792" s="25">
        <f t="shared" si="113"/>
        <v>57</v>
      </c>
    </row>
    <row r="1793" spans="1:10" ht="16.95" customHeight="1">
      <c r="A1793" s="75">
        <v>18</v>
      </c>
      <c r="B1793" s="80" t="s">
        <v>108</v>
      </c>
      <c r="C1793" s="77" t="s">
        <v>120</v>
      </c>
      <c r="D1793" s="78">
        <v>15</v>
      </c>
      <c r="E1793" s="79"/>
      <c r="F1793" s="79">
        <f t="shared" si="111"/>
        <v>0</v>
      </c>
      <c r="G1793" s="2"/>
      <c r="H1793" s="37">
        <v>661</v>
      </c>
      <c r="I1793" s="4">
        <f t="shared" si="112"/>
        <v>0</v>
      </c>
      <c r="J1793" s="25">
        <f t="shared" si="113"/>
        <v>57</v>
      </c>
    </row>
    <row r="1794" spans="1:10" ht="16.95" customHeight="1">
      <c r="A1794" s="75">
        <v>19</v>
      </c>
      <c r="B1794" s="80" t="s">
        <v>109</v>
      </c>
      <c r="C1794" s="77" t="s">
        <v>50</v>
      </c>
      <c r="D1794" s="78">
        <v>82</v>
      </c>
      <c r="E1794" s="79"/>
      <c r="F1794" s="79">
        <f t="shared" si="111"/>
        <v>0</v>
      </c>
      <c r="G1794" s="2"/>
      <c r="H1794" s="37">
        <v>2909</v>
      </c>
      <c r="I1794" s="4">
        <f t="shared" si="112"/>
        <v>0</v>
      </c>
      <c r="J1794" s="25">
        <f t="shared" si="113"/>
        <v>57</v>
      </c>
    </row>
    <row r="1795" spans="1:10" ht="16.95" customHeight="1">
      <c r="A1795" s="75">
        <v>20</v>
      </c>
      <c r="B1795" s="80" t="s">
        <v>110</v>
      </c>
      <c r="C1795" s="77" t="s">
        <v>121</v>
      </c>
      <c r="D1795" s="78">
        <v>12</v>
      </c>
      <c r="E1795" s="79"/>
      <c r="F1795" s="79">
        <f t="shared" si="111"/>
        <v>0</v>
      </c>
      <c r="G1795" s="2"/>
      <c r="H1795" s="37">
        <v>882</v>
      </c>
      <c r="I1795" s="4">
        <f t="shared" si="112"/>
        <v>0</v>
      </c>
      <c r="J1795" s="25">
        <f t="shared" si="113"/>
        <v>57</v>
      </c>
    </row>
    <row r="1796" spans="1:10" ht="16.95" customHeight="1">
      <c r="A1796" s="77">
        <v>21</v>
      </c>
      <c r="B1796" s="80" t="s">
        <v>111</v>
      </c>
      <c r="C1796" s="77" t="s">
        <v>122</v>
      </c>
      <c r="D1796" s="78">
        <v>3</v>
      </c>
      <c r="E1796" s="79"/>
      <c r="F1796" s="79">
        <f t="shared" si="111"/>
        <v>0</v>
      </c>
      <c r="G1796" s="2"/>
      <c r="H1796" s="38">
        <v>1869</v>
      </c>
      <c r="I1796" s="4">
        <f t="shared" si="112"/>
        <v>0</v>
      </c>
      <c r="J1796" s="25">
        <f t="shared" si="113"/>
        <v>57</v>
      </c>
    </row>
    <row r="1797" spans="1:10" ht="34.950000000000003" customHeight="1">
      <c r="A1797" s="75">
        <v>22</v>
      </c>
      <c r="B1797" s="80" t="s">
        <v>112</v>
      </c>
      <c r="C1797" s="77" t="s">
        <v>48</v>
      </c>
      <c r="D1797" s="78">
        <v>1</v>
      </c>
      <c r="E1797" s="79"/>
      <c r="F1797" s="79">
        <f t="shared" si="111"/>
        <v>0</v>
      </c>
      <c r="G1797" s="2"/>
      <c r="H1797" s="37">
        <v>82206</v>
      </c>
      <c r="I1797" s="4">
        <f t="shared" si="112"/>
        <v>0</v>
      </c>
      <c r="J1797" s="25">
        <f t="shared" si="113"/>
        <v>57</v>
      </c>
    </row>
    <row r="1798" spans="1:10" ht="16.95" customHeight="1">
      <c r="A1798" s="75">
        <v>23</v>
      </c>
      <c r="B1798" s="80" t="s">
        <v>113</v>
      </c>
      <c r="C1798" s="77" t="s">
        <v>48</v>
      </c>
      <c r="D1798" s="78">
        <v>1</v>
      </c>
      <c r="E1798" s="79"/>
      <c r="F1798" s="79">
        <f t="shared" si="111"/>
        <v>0</v>
      </c>
      <c r="G1798" s="2"/>
      <c r="H1798" s="37">
        <v>142723</v>
      </c>
      <c r="I1798" s="4">
        <f t="shared" si="112"/>
        <v>0</v>
      </c>
      <c r="J1798" s="25">
        <f t="shared" si="113"/>
        <v>57</v>
      </c>
    </row>
    <row r="1799" spans="1:10" ht="16.95" customHeight="1">
      <c r="A1799" s="75">
        <v>24</v>
      </c>
      <c r="B1799" s="80" t="s">
        <v>114</v>
      </c>
      <c r="C1799" s="77" t="s">
        <v>48</v>
      </c>
      <c r="D1799" s="78">
        <v>1</v>
      </c>
      <c r="E1799" s="79"/>
      <c r="F1799" s="79">
        <f t="shared" si="111"/>
        <v>0</v>
      </c>
      <c r="G1799" s="2"/>
      <c r="H1799" s="37">
        <v>37290</v>
      </c>
      <c r="I1799" s="4">
        <f t="shared" si="112"/>
        <v>0</v>
      </c>
      <c r="J1799" s="25">
        <f t="shared" si="113"/>
        <v>57</v>
      </c>
    </row>
    <row r="1800" spans="1:10" ht="16.95" customHeight="1">
      <c r="A1800" s="75">
        <v>25</v>
      </c>
      <c r="B1800" s="80" t="s">
        <v>115</v>
      </c>
      <c r="C1800" s="77" t="s">
        <v>48</v>
      </c>
      <c r="D1800" s="78">
        <v>1</v>
      </c>
      <c r="E1800" s="79"/>
      <c r="F1800" s="79">
        <f t="shared" si="111"/>
        <v>0.05</v>
      </c>
      <c r="G1800" s="2"/>
      <c r="H1800" s="37">
        <v>99394</v>
      </c>
      <c r="I1800" s="4">
        <f t="shared" si="112"/>
        <v>0</v>
      </c>
      <c r="J1800" s="25">
        <f t="shared" si="113"/>
        <v>57</v>
      </c>
    </row>
    <row r="1801" spans="1:10" ht="34.950000000000003" customHeight="1">
      <c r="A1801" s="75">
        <v>26</v>
      </c>
      <c r="B1801" s="80" t="s">
        <v>116</v>
      </c>
      <c r="C1801" s="77" t="s">
        <v>48</v>
      </c>
      <c r="D1801" s="78">
        <v>1</v>
      </c>
      <c r="E1801" s="79"/>
      <c r="F1801" s="79">
        <f t="shared" si="111"/>
        <v>0</v>
      </c>
      <c r="G1801" s="2"/>
      <c r="H1801" s="37">
        <v>21334</v>
      </c>
      <c r="I1801" s="4">
        <f t="shared" si="112"/>
        <v>0</v>
      </c>
      <c r="J1801" s="25">
        <f t="shared" si="113"/>
        <v>57</v>
      </c>
    </row>
    <row r="1802" spans="1:10" ht="16.95" customHeight="1">
      <c r="A1802" s="75">
        <v>27</v>
      </c>
      <c r="B1802" s="80" t="s">
        <v>117</v>
      </c>
      <c r="C1802" s="77" t="s">
        <v>48</v>
      </c>
      <c r="D1802" s="78">
        <v>1</v>
      </c>
      <c r="E1802" s="79"/>
      <c r="F1802" s="79">
        <f t="shared" si="111"/>
        <v>0</v>
      </c>
      <c r="G1802" s="2"/>
      <c r="H1802" s="37">
        <v>29620</v>
      </c>
      <c r="I1802" s="4">
        <f t="shared" si="112"/>
        <v>0</v>
      </c>
      <c r="J1802" s="25">
        <f t="shared" si="113"/>
        <v>57</v>
      </c>
    </row>
    <row r="1803" spans="1:10" ht="16.95" customHeight="1">
      <c r="A1803" s="75">
        <v>28</v>
      </c>
      <c r="B1803" s="80" t="s">
        <v>118</v>
      </c>
      <c r="C1803" s="77" t="s">
        <v>48</v>
      </c>
      <c r="D1803" s="78">
        <v>1</v>
      </c>
      <c r="E1803" s="79"/>
      <c r="F1803" s="79">
        <f t="shared" si="111"/>
        <v>0</v>
      </c>
      <c r="G1803" s="2"/>
      <c r="H1803" s="37">
        <v>18506</v>
      </c>
      <c r="I1803" s="4">
        <f t="shared" si="112"/>
        <v>0</v>
      </c>
      <c r="J1803" s="25">
        <f t="shared" si="113"/>
        <v>57</v>
      </c>
    </row>
    <row r="1804" spans="1:10" ht="16.95" customHeight="1">
      <c r="A1804" s="75">
        <v>29</v>
      </c>
      <c r="B1804" s="80" t="s">
        <v>119</v>
      </c>
      <c r="C1804" s="77" t="s">
        <v>48</v>
      </c>
      <c r="D1804" s="78">
        <v>1</v>
      </c>
      <c r="E1804" s="79"/>
      <c r="F1804" s="79">
        <f t="shared" si="111"/>
        <v>0</v>
      </c>
      <c r="G1804" s="2"/>
      <c r="H1804" s="37">
        <v>34381</v>
      </c>
      <c r="I1804" s="4">
        <f t="shared" si="112"/>
        <v>0</v>
      </c>
      <c r="J1804" s="25">
        <f t="shared" si="113"/>
        <v>57</v>
      </c>
    </row>
    <row r="1805" spans="1:10" ht="16.95" customHeight="1">
      <c r="A1805" s="75" t="s">
        <v>79</v>
      </c>
      <c r="B1805" s="80" t="s">
        <v>80</v>
      </c>
      <c r="C1805" s="77" t="s">
        <v>48</v>
      </c>
      <c r="D1805" s="78">
        <v>1</v>
      </c>
      <c r="E1805" s="79">
        <f t="shared" ref="E1805:E1808" si="114">1/120</f>
        <v>8.3333333333333332E-3</v>
      </c>
      <c r="F1805" s="79">
        <f t="shared" si="111"/>
        <v>0.23333333333333331</v>
      </c>
      <c r="G1805" s="2"/>
      <c r="H1805" s="37">
        <v>21395</v>
      </c>
      <c r="I1805" s="4">
        <f t="shared" si="112"/>
        <v>178.29166666666666</v>
      </c>
      <c r="J1805" s="25">
        <f t="shared" si="113"/>
        <v>57</v>
      </c>
    </row>
    <row r="1806" spans="1:10" ht="16.95" customHeight="1">
      <c r="A1806" s="75" t="s">
        <v>81</v>
      </c>
      <c r="B1806" s="80" t="s">
        <v>82</v>
      </c>
      <c r="C1806" s="77" t="s">
        <v>48</v>
      </c>
      <c r="D1806" s="78">
        <v>1</v>
      </c>
      <c r="E1806" s="79">
        <f t="shared" si="114"/>
        <v>8.3333333333333332E-3</v>
      </c>
      <c r="F1806" s="79">
        <f t="shared" si="111"/>
        <v>0.23333333333333331</v>
      </c>
      <c r="G1806" s="2"/>
      <c r="H1806" s="37">
        <v>21395</v>
      </c>
      <c r="I1806" s="4">
        <f t="shared" si="112"/>
        <v>178.29166666666666</v>
      </c>
      <c r="J1806" s="25">
        <f t="shared" si="113"/>
        <v>57</v>
      </c>
    </row>
    <row r="1807" spans="1:10" ht="16.95" customHeight="1">
      <c r="A1807" s="75" t="s">
        <v>83</v>
      </c>
      <c r="B1807" s="80" t="s">
        <v>84</v>
      </c>
      <c r="C1807" s="77" t="s">
        <v>48</v>
      </c>
      <c r="D1807" s="78">
        <v>1</v>
      </c>
      <c r="E1807" s="79">
        <f t="shared" si="114"/>
        <v>8.3333333333333332E-3</v>
      </c>
      <c r="F1807" s="79">
        <f t="shared" si="111"/>
        <v>0.23333333333333331</v>
      </c>
      <c r="G1807" s="2"/>
      <c r="H1807" s="37">
        <v>149765</v>
      </c>
      <c r="I1807" s="4">
        <f t="shared" si="112"/>
        <v>1248.0416666666667</v>
      </c>
      <c r="J1807" s="25">
        <f t="shared" si="113"/>
        <v>57</v>
      </c>
    </row>
    <row r="1808" spans="1:10" ht="16.95" customHeight="1">
      <c r="A1808" s="75" t="s">
        <v>85</v>
      </c>
      <c r="B1808" s="80" t="s">
        <v>86</v>
      </c>
      <c r="C1808" s="77" t="s">
        <v>48</v>
      </c>
      <c r="D1808" s="78">
        <v>1</v>
      </c>
      <c r="E1808" s="79">
        <f t="shared" si="114"/>
        <v>8.3333333333333332E-3</v>
      </c>
      <c r="F1808" s="79">
        <f t="shared" si="111"/>
        <v>0.23333333333333331</v>
      </c>
      <c r="G1808" s="2"/>
      <c r="H1808" s="37">
        <v>6996</v>
      </c>
      <c r="I1808" s="4">
        <f t="shared" si="112"/>
        <v>58.3</v>
      </c>
      <c r="J1808" s="25">
        <f t="shared" si="113"/>
        <v>57</v>
      </c>
    </row>
    <row r="1809" spans="1:10" ht="16.95" customHeight="1">
      <c r="A1809" s="75" t="s">
        <v>87</v>
      </c>
      <c r="B1809" s="80" t="s">
        <v>88</v>
      </c>
      <c r="C1809" s="77" t="s">
        <v>48</v>
      </c>
      <c r="D1809" s="78">
        <v>1</v>
      </c>
      <c r="E1809" s="79">
        <f>1/120</f>
        <v>8.3333333333333332E-3</v>
      </c>
      <c r="F1809" s="79">
        <f t="shared" si="111"/>
        <v>0.23333333333333331</v>
      </c>
      <c r="G1809" s="2"/>
      <c r="H1809" s="37">
        <v>116952</v>
      </c>
      <c r="I1809" s="4">
        <f t="shared" si="112"/>
        <v>974.6</v>
      </c>
      <c r="J1809" s="25">
        <f t="shared" si="113"/>
        <v>57</v>
      </c>
    </row>
    <row r="1810" spans="1:10" ht="16.95" customHeight="1">
      <c r="A1810" s="95" t="s">
        <v>23</v>
      </c>
      <c r="B1810" s="95"/>
      <c r="C1810" s="50"/>
      <c r="D1810" s="50"/>
      <c r="E1810" s="50"/>
      <c r="F1810" s="50"/>
      <c r="G1810" s="50"/>
      <c r="H1810" s="3" t="s">
        <v>24</v>
      </c>
      <c r="I1810" s="5">
        <f>SUM(I1775:I1809)</f>
        <v>2637.5250000000001</v>
      </c>
      <c r="J1810" s="25">
        <f t="shared" si="113"/>
        <v>57</v>
      </c>
    </row>
    <row r="1811" spans="1:10" ht="16.95" customHeight="1">
      <c r="A1811" s="96" t="s">
        <v>25</v>
      </c>
      <c r="B1811" s="96"/>
      <c r="C1811" s="50"/>
      <c r="D1811" s="50"/>
      <c r="E1811" s="50"/>
      <c r="F1811" s="50"/>
      <c r="G1811" s="50"/>
      <c r="J1811" s="25">
        <f t="shared" si="113"/>
        <v>57</v>
      </c>
    </row>
    <row r="1812" spans="1:10" ht="16.95" customHeight="1">
      <c r="A1812" s="96" t="s">
        <v>26</v>
      </c>
      <c r="B1812" s="96"/>
      <c r="C1812" s="50"/>
      <c r="D1812" s="50"/>
      <c r="E1812" s="50"/>
      <c r="F1812" s="50"/>
      <c r="G1812" s="50"/>
      <c r="J1812" s="25">
        <f t="shared" si="113"/>
        <v>57</v>
      </c>
    </row>
    <row r="1813" spans="1:10" ht="16.95" customHeight="1">
      <c r="A1813" s="95" t="s">
        <v>27</v>
      </c>
      <c r="B1813" s="95"/>
      <c r="C1813" s="95"/>
      <c r="D1813" s="95"/>
      <c r="E1813" s="95"/>
      <c r="F1813" s="95"/>
      <c r="G1813" s="95"/>
      <c r="J1813" s="25">
        <f t="shared" si="113"/>
        <v>57</v>
      </c>
    </row>
    <row r="1814" spans="1:10" ht="16.95" customHeight="1">
      <c r="A1814" s="94" t="s">
        <v>28</v>
      </c>
      <c r="B1814" s="94"/>
      <c r="C1814" s="51" t="s">
        <v>29</v>
      </c>
      <c r="D1814" s="51" t="s">
        <v>30</v>
      </c>
      <c r="E1814" s="51" t="s">
        <v>18</v>
      </c>
      <c r="F1814" s="51" t="s">
        <v>31</v>
      </c>
      <c r="G1814" s="51" t="s">
        <v>20</v>
      </c>
      <c r="J1814" s="25">
        <f t="shared" si="113"/>
        <v>57</v>
      </c>
    </row>
    <row r="1815" spans="1:10" ht="16.95" customHeight="1">
      <c r="A1815" s="96"/>
      <c r="B1815" s="96"/>
      <c r="C1815" s="50"/>
      <c r="D1815" s="50"/>
      <c r="E1815" s="50"/>
      <c r="F1815" s="50"/>
      <c r="G1815" s="51"/>
      <c r="J1815" s="25">
        <f t="shared" si="113"/>
        <v>57</v>
      </c>
    </row>
    <row r="1816" spans="1:10" ht="16.95" customHeight="1">
      <c r="A1816" s="97"/>
      <c r="B1816" s="97"/>
      <c r="C1816" s="50"/>
      <c r="D1816" s="50"/>
      <c r="E1816" s="50"/>
      <c r="F1816" s="51"/>
      <c r="G1816" s="51"/>
      <c r="J1816" s="25">
        <f t="shared" si="113"/>
        <v>57</v>
      </c>
    </row>
    <row r="1817" spans="1:10" ht="16.95" customHeight="1">
      <c r="A1817" s="95" t="s">
        <v>32</v>
      </c>
      <c r="B1817" s="95"/>
      <c r="C1817" s="95"/>
      <c r="D1817" s="95"/>
      <c r="E1817" s="95"/>
      <c r="F1817" s="95"/>
      <c r="G1817" s="95"/>
      <c r="J1817" s="25">
        <f t="shared" si="113"/>
        <v>58</v>
      </c>
    </row>
    <row r="1818" spans="1:10" ht="16.95" customHeight="1">
      <c r="A1818" s="51" t="s">
        <v>33</v>
      </c>
      <c r="B1818" s="51" t="s">
        <v>34</v>
      </c>
      <c r="C1818" s="94" t="s">
        <v>35</v>
      </c>
      <c r="D1818" s="94"/>
      <c r="E1818" s="51" t="s">
        <v>36</v>
      </c>
      <c r="F1818" s="51" t="s">
        <v>37</v>
      </c>
      <c r="G1818" s="51" t="s">
        <v>38</v>
      </c>
      <c r="J1818" s="25">
        <f t="shared" si="113"/>
        <v>58</v>
      </c>
    </row>
    <row r="1819" spans="1:10" ht="16.95" customHeight="1">
      <c r="A1819" s="51" t="s">
        <v>39</v>
      </c>
      <c r="B1819" s="6"/>
      <c r="C1819" s="94">
        <f>B1819+C1756</f>
        <v>18</v>
      </c>
      <c r="D1819" s="94"/>
      <c r="E1819" s="51"/>
      <c r="F1819" s="24"/>
      <c r="G1819" s="24"/>
      <c r="J1819" s="25">
        <f t="shared" si="113"/>
        <v>58</v>
      </c>
    </row>
    <row r="1820" spans="1:10" ht="16.95" customHeight="1">
      <c r="A1820" s="51" t="s">
        <v>40</v>
      </c>
      <c r="B1820" s="6"/>
      <c r="C1820" s="94">
        <f>B1820+C1757</f>
        <v>19</v>
      </c>
      <c r="D1820" s="94"/>
      <c r="E1820" s="51"/>
      <c r="F1820" s="24"/>
      <c r="G1820" s="24"/>
      <c r="J1820" s="25">
        <f t="shared" si="113"/>
        <v>58</v>
      </c>
    </row>
    <row r="1821" spans="1:10" ht="36.6" customHeight="1">
      <c r="A1821" s="95" t="s">
        <v>41</v>
      </c>
      <c r="B1821" s="95"/>
      <c r="C1821" s="95"/>
      <c r="D1821" s="95"/>
      <c r="E1821" s="95"/>
      <c r="F1821" s="95"/>
      <c r="G1821" s="95"/>
      <c r="J1821" s="25">
        <f t="shared" si="113"/>
        <v>58</v>
      </c>
    </row>
    <row r="1822" spans="1:10" ht="90" customHeight="1">
      <c r="A1822" s="92" t="s">
        <v>42</v>
      </c>
      <c r="B1822" s="92"/>
      <c r="C1822" s="92"/>
      <c r="D1822" s="92"/>
      <c r="E1822" s="92"/>
      <c r="F1822" s="92"/>
      <c r="G1822" s="92"/>
      <c r="J1822" s="25">
        <f t="shared" si="113"/>
        <v>58</v>
      </c>
    </row>
    <row r="1823" spans="1:10" ht="16.95" customHeight="1">
      <c r="A1823" s="95" t="s">
        <v>43</v>
      </c>
      <c r="B1823" s="95"/>
      <c r="C1823" s="95"/>
      <c r="D1823" s="95"/>
      <c r="E1823" s="95"/>
      <c r="F1823" s="95"/>
      <c r="G1823" s="95"/>
      <c r="J1823" s="25">
        <f t="shared" si="113"/>
        <v>58</v>
      </c>
    </row>
    <row r="1824" spans="1:10" ht="16.95" customHeight="1">
      <c r="A1824" s="95" t="s">
        <v>44</v>
      </c>
      <c r="B1824" s="95"/>
      <c r="C1824" s="95"/>
      <c r="D1824" s="95"/>
      <c r="E1824" s="95"/>
      <c r="F1824" s="95"/>
      <c r="G1824" s="95"/>
      <c r="J1824" s="25">
        <f t="shared" si="113"/>
        <v>58</v>
      </c>
    </row>
    <row r="1825" spans="1:10" ht="16.95" customHeight="1">
      <c r="A1825" s="91" t="s">
        <v>64</v>
      </c>
      <c r="B1825" s="91"/>
      <c r="C1825" s="91"/>
      <c r="D1825" s="91"/>
      <c r="E1825" s="91"/>
      <c r="F1825" s="91"/>
      <c r="G1825" s="91"/>
      <c r="J1825" s="25">
        <f t="shared" si="113"/>
        <v>58</v>
      </c>
    </row>
    <row r="1826" spans="1:10" ht="120.6" customHeight="1">
      <c r="A1826" s="92" t="s">
        <v>45</v>
      </c>
      <c r="B1826" s="92"/>
      <c r="C1826" s="92"/>
      <c r="D1826" s="92"/>
      <c r="E1826" s="92"/>
      <c r="F1826" s="92"/>
      <c r="G1826" s="92"/>
      <c r="J1826" s="25">
        <f t="shared" si="113"/>
        <v>58</v>
      </c>
    </row>
    <row r="1827" spans="1:10" ht="140.4" customHeight="1">
      <c r="A1827" s="93" t="s">
        <v>46</v>
      </c>
      <c r="B1827" s="93"/>
      <c r="C1827" s="93"/>
      <c r="D1827" s="93"/>
      <c r="E1827" s="93"/>
      <c r="F1827" s="93"/>
      <c r="G1827" s="93"/>
      <c r="J1827" s="25">
        <f t="shared" si="113"/>
        <v>58</v>
      </c>
    </row>
    <row r="1828" spans="1:10" ht="37.200000000000003" customHeight="1">
      <c r="A1828" s="103" t="s">
        <v>0</v>
      </c>
      <c r="B1828" s="103"/>
      <c r="C1828" s="103"/>
      <c r="D1828" s="103"/>
      <c r="E1828" s="103"/>
      <c r="F1828" s="103"/>
      <c r="G1828" s="103"/>
      <c r="J1828" s="25">
        <f t="shared" si="113"/>
        <v>59</v>
      </c>
    </row>
    <row r="1829" spans="1:10" ht="16.95" customHeight="1">
      <c r="A1829" s="1" t="s">
        <v>1</v>
      </c>
      <c r="B1829" s="104">
        <f>B1766+1</f>
        <v>30</v>
      </c>
      <c r="C1829" s="104"/>
      <c r="D1829" s="104"/>
      <c r="E1829" s="104"/>
      <c r="F1829" s="104"/>
      <c r="G1829" s="104"/>
      <c r="J1829" s="25">
        <f t="shared" si="113"/>
        <v>59</v>
      </c>
    </row>
    <row r="1830" spans="1:10" ht="16.95" customHeight="1">
      <c r="A1830" s="1" t="s">
        <v>2</v>
      </c>
      <c r="B1830" s="105" t="s">
        <v>63</v>
      </c>
      <c r="C1830" s="105"/>
      <c r="D1830" s="105"/>
      <c r="E1830" s="106">
        <f>E1767+1</f>
        <v>46233</v>
      </c>
      <c r="F1830" s="106"/>
      <c r="G1830" s="106"/>
      <c r="J1830" s="25">
        <f t="shared" si="113"/>
        <v>59</v>
      </c>
    </row>
    <row r="1831" spans="1:10" ht="16.95" customHeight="1">
      <c r="A1831" s="53" t="s">
        <v>3</v>
      </c>
      <c r="B1831" s="2" t="s">
        <v>67</v>
      </c>
      <c r="C1831" s="98" t="s">
        <v>4</v>
      </c>
      <c r="D1831" s="98"/>
      <c r="E1831" s="98" t="s">
        <v>47</v>
      </c>
      <c r="F1831" s="98"/>
      <c r="G1831" s="98"/>
      <c r="J1831" s="25">
        <f t="shared" si="113"/>
        <v>59</v>
      </c>
    </row>
    <row r="1832" spans="1:10" ht="16.95" customHeight="1">
      <c r="A1832" s="53" t="s">
        <v>5</v>
      </c>
      <c r="B1832" s="54">
        <v>120</v>
      </c>
      <c r="C1832" s="98" t="s">
        <v>6</v>
      </c>
      <c r="D1832" s="98"/>
      <c r="E1832" s="98">
        <v>1</v>
      </c>
      <c r="F1832" s="98"/>
      <c r="G1832" s="98"/>
      <c r="J1832" s="25">
        <f t="shared" si="113"/>
        <v>59</v>
      </c>
    </row>
    <row r="1833" spans="1:10" ht="16.95" customHeight="1">
      <c r="A1833" s="53" t="s">
        <v>7</v>
      </c>
      <c r="B1833" s="54">
        <f>B1829</f>
        <v>30</v>
      </c>
      <c r="C1833" s="100" t="s">
        <v>8</v>
      </c>
      <c r="D1833" s="100"/>
      <c r="E1833" s="101">
        <f>B1832-B1833+1</f>
        <v>91</v>
      </c>
      <c r="F1833" s="101"/>
      <c r="G1833" s="101"/>
      <c r="J1833" s="25">
        <f t="shared" si="113"/>
        <v>59</v>
      </c>
    </row>
    <row r="1834" spans="1:10" ht="16.95" customHeight="1">
      <c r="A1834" s="53" t="s">
        <v>9</v>
      </c>
      <c r="B1834" s="55">
        <v>46204</v>
      </c>
      <c r="C1834" s="98" t="s">
        <v>10</v>
      </c>
      <c r="D1834" s="98"/>
      <c r="E1834" s="102">
        <f>B1834+B1832-1</f>
        <v>46323</v>
      </c>
      <c r="F1834" s="102"/>
      <c r="G1834" s="102"/>
      <c r="J1834" s="25">
        <f t="shared" si="113"/>
        <v>59</v>
      </c>
    </row>
    <row r="1835" spans="1:10" ht="16.95" customHeight="1">
      <c r="A1835" s="53" t="s">
        <v>11</v>
      </c>
      <c r="B1835" s="56">
        <f>HLOOKUP(B1829,進度表!$Q$2:$Z$3,2,1)+B1772</f>
        <v>0.13571773208469065</v>
      </c>
      <c r="C1835" s="98" t="s">
        <v>12</v>
      </c>
      <c r="D1835" s="98"/>
      <c r="E1835" s="99">
        <f>I1873/I1835+E1772</f>
        <v>0.12847058835504882</v>
      </c>
      <c r="F1835" s="99"/>
      <c r="G1835" s="99"/>
      <c r="H1835" s="3" t="s">
        <v>62</v>
      </c>
      <c r="I1835" s="1">
        <v>2456000</v>
      </c>
      <c r="J1835" s="25">
        <f t="shared" si="113"/>
        <v>59</v>
      </c>
    </row>
    <row r="1836" spans="1:10" ht="16.95" customHeight="1">
      <c r="A1836" s="98" t="s">
        <v>13</v>
      </c>
      <c r="B1836" s="98"/>
      <c r="C1836" s="98"/>
      <c r="D1836" s="98"/>
      <c r="E1836" s="98"/>
      <c r="F1836" s="98"/>
      <c r="G1836" s="98"/>
      <c r="J1836" s="25">
        <f t="shared" si="113"/>
        <v>59</v>
      </c>
    </row>
    <row r="1837" spans="1:10" ht="16.95" customHeight="1">
      <c r="A1837" s="52" t="s">
        <v>14</v>
      </c>
      <c r="B1837" s="52" t="s">
        <v>15</v>
      </c>
      <c r="C1837" s="52" t="s">
        <v>16</v>
      </c>
      <c r="D1837" s="52" t="s">
        <v>17</v>
      </c>
      <c r="E1837" s="52" t="s">
        <v>18</v>
      </c>
      <c r="F1837" s="52" t="s">
        <v>19</v>
      </c>
      <c r="G1837" s="52" t="s">
        <v>20</v>
      </c>
      <c r="H1837" s="3" t="s">
        <v>21</v>
      </c>
      <c r="I1837" s="3" t="s">
        <v>22</v>
      </c>
      <c r="J1837" s="25">
        <f t="shared" si="113"/>
        <v>59</v>
      </c>
    </row>
    <row r="1838" spans="1:10" ht="16.95" customHeight="1">
      <c r="A1838" s="75" t="s">
        <v>65</v>
      </c>
      <c r="B1838" s="76" t="s">
        <v>69</v>
      </c>
      <c r="C1838" s="77"/>
      <c r="D1838" s="78"/>
      <c r="E1838" s="79"/>
      <c r="F1838" s="79"/>
      <c r="G1838" s="2"/>
      <c r="H1838" s="37"/>
      <c r="I1838" s="4"/>
      <c r="J1838" s="25">
        <f t="shared" si="113"/>
        <v>59</v>
      </c>
    </row>
    <row r="1839" spans="1:10" ht="34.950000000000003" customHeight="1">
      <c r="A1839" s="75">
        <v>1</v>
      </c>
      <c r="B1839" s="80" t="s">
        <v>91</v>
      </c>
      <c r="C1839" s="77" t="s">
        <v>48</v>
      </c>
      <c r="D1839" s="78">
        <v>1</v>
      </c>
      <c r="E1839" s="79"/>
      <c r="F1839" s="79">
        <f t="shared" ref="F1839:F1872" si="115">E1839+F1776</f>
        <v>1</v>
      </c>
      <c r="G1839" s="2"/>
      <c r="H1839" s="37">
        <v>10508</v>
      </c>
      <c r="I1839" s="4">
        <f>H1839*E1839</f>
        <v>0</v>
      </c>
      <c r="J1839" s="25">
        <f t="shared" si="113"/>
        <v>59</v>
      </c>
    </row>
    <row r="1840" spans="1:10" ht="34.799999999999997" customHeight="1">
      <c r="A1840" s="75">
        <v>2</v>
      </c>
      <c r="B1840" s="80" t="s">
        <v>92</v>
      </c>
      <c r="C1840" s="77" t="s">
        <v>48</v>
      </c>
      <c r="D1840" s="78">
        <v>1</v>
      </c>
      <c r="E1840" s="79"/>
      <c r="F1840" s="79">
        <f t="shared" si="115"/>
        <v>0</v>
      </c>
      <c r="G1840" s="2"/>
      <c r="H1840" s="37">
        <v>13223</v>
      </c>
      <c r="I1840" s="4">
        <f>H1840*E1840</f>
        <v>0</v>
      </c>
      <c r="J1840" s="25">
        <f t="shared" si="113"/>
        <v>59</v>
      </c>
    </row>
    <row r="1841" spans="1:10" ht="53.4" customHeight="1">
      <c r="A1841" s="75">
        <v>3</v>
      </c>
      <c r="B1841" s="80" t="s">
        <v>93</v>
      </c>
      <c r="C1841" s="77" t="s">
        <v>48</v>
      </c>
      <c r="D1841" s="78">
        <v>1</v>
      </c>
      <c r="E1841" s="79"/>
      <c r="F1841" s="79">
        <f t="shared" si="115"/>
        <v>0.72000000000000008</v>
      </c>
      <c r="G1841" s="2"/>
      <c r="H1841" s="37">
        <v>310497</v>
      </c>
      <c r="I1841" s="4">
        <f t="shared" ref="I1841:I1872" si="116">H1841*E1841</f>
        <v>0</v>
      </c>
      <c r="J1841" s="25">
        <f t="shared" si="113"/>
        <v>59</v>
      </c>
    </row>
    <row r="1842" spans="1:10" ht="16.95" customHeight="1">
      <c r="A1842" s="75">
        <v>4</v>
      </c>
      <c r="B1842" s="80" t="s">
        <v>94</v>
      </c>
      <c r="C1842" s="77" t="s">
        <v>48</v>
      </c>
      <c r="D1842" s="78">
        <v>1</v>
      </c>
      <c r="E1842" s="79"/>
      <c r="F1842" s="79">
        <f t="shared" si="115"/>
        <v>0</v>
      </c>
      <c r="G1842" s="2"/>
      <c r="H1842" s="37">
        <v>8375</v>
      </c>
      <c r="I1842" s="4">
        <f t="shared" si="116"/>
        <v>0</v>
      </c>
      <c r="J1842" s="25">
        <f t="shared" si="113"/>
        <v>59</v>
      </c>
    </row>
    <row r="1843" spans="1:10" ht="16.95" customHeight="1">
      <c r="A1843" s="75">
        <v>5</v>
      </c>
      <c r="B1843" s="80" t="s">
        <v>95</v>
      </c>
      <c r="C1843" s="77" t="s">
        <v>48</v>
      </c>
      <c r="D1843" s="78">
        <v>1</v>
      </c>
      <c r="E1843" s="79"/>
      <c r="F1843" s="79">
        <f t="shared" si="115"/>
        <v>0</v>
      </c>
      <c r="G1843" s="2"/>
      <c r="H1843" s="37">
        <v>51618</v>
      </c>
      <c r="I1843" s="4">
        <f t="shared" si="116"/>
        <v>0</v>
      </c>
      <c r="J1843" s="25">
        <f t="shared" si="113"/>
        <v>59</v>
      </c>
    </row>
    <row r="1844" spans="1:10" ht="16.95" customHeight="1">
      <c r="A1844" s="75">
        <v>6</v>
      </c>
      <c r="B1844" s="80" t="s">
        <v>96</v>
      </c>
      <c r="C1844" s="77" t="s">
        <v>50</v>
      </c>
      <c r="D1844" s="78">
        <v>11.55</v>
      </c>
      <c r="E1844" s="79"/>
      <c r="F1844" s="79">
        <f t="shared" si="115"/>
        <v>0</v>
      </c>
      <c r="G1844" s="2"/>
      <c r="H1844" s="37">
        <v>1188</v>
      </c>
      <c r="I1844" s="4">
        <f t="shared" si="116"/>
        <v>0</v>
      </c>
      <c r="J1844" s="25">
        <f t="shared" si="113"/>
        <v>59</v>
      </c>
    </row>
    <row r="1845" spans="1:10" ht="34.950000000000003" customHeight="1">
      <c r="A1845" s="75">
        <v>7</v>
      </c>
      <c r="B1845" s="80" t="s">
        <v>97</v>
      </c>
      <c r="C1845" s="77" t="s">
        <v>48</v>
      </c>
      <c r="D1845" s="78">
        <v>1</v>
      </c>
      <c r="E1845" s="79"/>
      <c r="F1845" s="79">
        <f t="shared" si="115"/>
        <v>0</v>
      </c>
      <c r="G1845" s="2"/>
      <c r="H1845" s="37">
        <v>21157</v>
      </c>
      <c r="I1845" s="4">
        <f t="shared" si="116"/>
        <v>0</v>
      </c>
      <c r="J1845" s="25">
        <f t="shared" si="113"/>
        <v>59</v>
      </c>
    </row>
    <row r="1846" spans="1:10" ht="16.95" customHeight="1">
      <c r="A1846" s="75">
        <v>8</v>
      </c>
      <c r="B1846" s="80" t="s">
        <v>98</v>
      </c>
      <c r="C1846" s="77" t="s">
        <v>50</v>
      </c>
      <c r="D1846" s="78">
        <v>387</v>
      </c>
      <c r="E1846" s="79"/>
      <c r="F1846" s="79">
        <f t="shared" si="115"/>
        <v>0</v>
      </c>
      <c r="G1846" s="2"/>
      <c r="H1846" s="37">
        <v>705</v>
      </c>
      <c r="I1846" s="4">
        <f t="shared" si="116"/>
        <v>0</v>
      </c>
      <c r="J1846" s="25">
        <f t="shared" si="113"/>
        <v>59</v>
      </c>
    </row>
    <row r="1847" spans="1:10" ht="16.95" customHeight="1">
      <c r="A1847" s="75">
        <v>9</v>
      </c>
      <c r="B1847" s="80" t="s">
        <v>99</v>
      </c>
      <c r="C1847" s="77" t="s">
        <v>50</v>
      </c>
      <c r="D1847" s="78">
        <v>170</v>
      </c>
      <c r="E1847" s="79"/>
      <c r="F1847" s="79">
        <f t="shared" si="115"/>
        <v>0</v>
      </c>
      <c r="G1847" s="2"/>
      <c r="H1847" s="37">
        <v>617</v>
      </c>
      <c r="I1847" s="4">
        <f t="shared" si="116"/>
        <v>0</v>
      </c>
      <c r="J1847" s="25">
        <f t="shared" si="113"/>
        <v>59</v>
      </c>
    </row>
    <row r="1848" spans="1:10" ht="16.95" customHeight="1">
      <c r="A1848" s="75">
        <v>10</v>
      </c>
      <c r="B1848" s="80" t="s">
        <v>100</v>
      </c>
      <c r="C1848" s="77" t="s">
        <v>66</v>
      </c>
      <c r="D1848" s="78">
        <v>15</v>
      </c>
      <c r="E1848" s="79"/>
      <c r="F1848" s="79">
        <f t="shared" si="115"/>
        <v>0</v>
      </c>
      <c r="G1848" s="2"/>
      <c r="H1848" s="37">
        <v>617</v>
      </c>
      <c r="I1848" s="4">
        <f t="shared" si="116"/>
        <v>0</v>
      </c>
      <c r="J1848" s="25">
        <f t="shared" si="113"/>
        <v>59</v>
      </c>
    </row>
    <row r="1849" spans="1:10" ht="16.95" customHeight="1">
      <c r="A1849" s="75">
        <v>11</v>
      </c>
      <c r="B1849" s="80" t="s">
        <v>101</v>
      </c>
      <c r="C1849" s="77" t="s">
        <v>50</v>
      </c>
      <c r="D1849" s="78">
        <v>75</v>
      </c>
      <c r="E1849" s="79"/>
      <c r="F1849" s="79">
        <f t="shared" si="115"/>
        <v>0</v>
      </c>
      <c r="G1849" s="2"/>
      <c r="H1849" s="37">
        <v>1146</v>
      </c>
      <c r="I1849" s="4">
        <f t="shared" si="116"/>
        <v>0</v>
      </c>
      <c r="J1849" s="25">
        <f t="shared" si="113"/>
        <v>59</v>
      </c>
    </row>
    <row r="1850" spans="1:10" ht="16.95" customHeight="1">
      <c r="A1850" s="75">
        <v>12</v>
      </c>
      <c r="B1850" s="80" t="s">
        <v>102</v>
      </c>
      <c r="C1850" s="77" t="s">
        <v>50</v>
      </c>
      <c r="D1850" s="78">
        <v>5</v>
      </c>
      <c r="E1850" s="79"/>
      <c r="F1850" s="79">
        <f t="shared" si="115"/>
        <v>0</v>
      </c>
      <c r="G1850" s="2"/>
      <c r="H1850" s="37">
        <v>1455</v>
      </c>
      <c r="I1850" s="4">
        <f t="shared" si="116"/>
        <v>0</v>
      </c>
      <c r="J1850" s="25">
        <f t="shared" si="113"/>
        <v>59</v>
      </c>
    </row>
    <row r="1851" spans="1:10" ht="16.95" customHeight="1">
      <c r="A1851" s="75">
        <v>13</v>
      </c>
      <c r="B1851" s="80" t="s">
        <v>103</v>
      </c>
      <c r="C1851" s="77" t="s">
        <v>50</v>
      </c>
      <c r="D1851" s="78">
        <v>217</v>
      </c>
      <c r="E1851" s="79"/>
      <c r="F1851" s="79">
        <f t="shared" si="115"/>
        <v>0</v>
      </c>
      <c r="G1851" s="2"/>
      <c r="H1851" s="37">
        <v>1410</v>
      </c>
      <c r="I1851" s="4">
        <f t="shared" si="116"/>
        <v>0</v>
      </c>
      <c r="J1851" s="25">
        <f t="shared" ref="J1851:J1914" si="117">J1788+2</f>
        <v>59</v>
      </c>
    </row>
    <row r="1852" spans="1:10" ht="16.95" customHeight="1">
      <c r="A1852" s="75">
        <v>14</v>
      </c>
      <c r="B1852" s="80" t="s">
        <v>104</v>
      </c>
      <c r="C1852" s="77" t="s">
        <v>49</v>
      </c>
      <c r="D1852" s="78">
        <v>84</v>
      </c>
      <c r="E1852" s="79"/>
      <c r="F1852" s="79">
        <f t="shared" si="115"/>
        <v>0</v>
      </c>
      <c r="G1852" s="2"/>
      <c r="H1852" s="37">
        <v>529</v>
      </c>
      <c r="I1852" s="4">
        <f t="shared" si="116"/>
        <v>0</v>
      </c>
      <c r="J1852" s="25">
        <f t="shared" si="117"/>
        <v>59</v>
      </c>
    </row>
    <row r="1853" spans="1:10" ht="16.95" customHeight="1">
      <c r="A1853" s="75">
        <v>15</v>
      </c>
      <c r="B1853" s="80" t="s">
        <v>105</v>
      </c>
      <c r="C1853" s="77" t="s">
        <v>50</v>
      </c>
      <c r="D1853" s="78">
        <v>1</v>
      </c>
      <c r="E1853" s="79"/>
      <c r="F1853" s="79">
        <f t="shared" si="115"/>
        <v>0</v>
      </c>
      <c r="G1853" s="2"/>
      <c r="H1853" s="37">
        <v>1146</v>
      </c>
      <c r="I1853" s="4">
        <f t="shared" si="116"/>
        <v>0</v>
      </c>
      <c r="J1853" s="25">
        <f t="shared" si="117"/>
        <v>59</v>
      </c>
    </row>
    <row r="1854" spans="1:10" ht="34.799999999999997" customHeight="1">
      <c r="A1854" s="75">
        <v>16</v>
      </c>
      <c r="B1854" s="80" t="s">
        <v>106</v>
      </c>
      <c r="C1854" s="77" t="s">
        <v>50</v>
      </c>
      <c r="D1854" s="78">
        <v>314</v>
      </c>
      <c r="E1854" s="79"/>
      <c r="F1854" s="79">
        <f t="shared" si="115"/>
        <v>0</v>
      </c>
      <c r="G1854" s="2"/>
      <c r="H1854" s="37">
        <v>185</v>
      </c>
      <c r="I1854" s="4">
        <f t="shared" si="116"/>
        <v>0</v>
      </c>
      <c r="J1854" s="25">
        <f t="shared" si="117"/>
        <v>59</v>
      </c>
    </row>
    <row r="1855" spans="1:10" ht="16.95" customHeight="1">
      <c r="A1855" s="75">
        <v>17</v>
      </c>
      <c r="B1855" s="80" t="s">
        <v>107</v>
      </c>
      <c r="C1855" s="77" t="s">
        <v>48</v>
      </c>
      <c r="D1855" s="78">
        <v>1</v>
      </c>
      <c r="E1855" s="79"/>
      <c r="F1855" s="79">
        <f t="shared" si="115"/>
        <v>0</v>
      </c>
      <c r="G1855" s="2"/>
      <c r="H1855" s="37">
        <v>89918</v>
      </c>
      <c r="I1855" s="4">
        <f t="shared" si="116"/>
        <v>0</v>
      </c>
      <c r="J1855" s="25">
        <f t="shared" si="117"/>
        <v>59</v>
      </c>
    </row>
    <row r="1856" spans="1:10" ht="16.95" customHeight="1">
      <c r="A1856" s="75">
        <v>18</v>
      </c>
      <c r="B1856" s="80" t="s">
        <v>108</v>
      </c>
      <c r="C1856" s="77" t="s">
        <v>120</v>
      </c>
      <c r="D1856" s="78">
        <v>15</v>
      </c>
      <c r="E1856" s="79"/>
      <c r="F1856" s="79">
        <f t="shared" si="115"/>
        <v>0</v>
      </c>
      <c r="G1856" s="2"/>
      <c r="H1856" s="37">
        <v>661</v>
      </c>
      <c r="I1856" s="4">
        <f t="shared" si="116"/>
        <v>0</v>
      </c>
      <c r="J1856" s="25">
        <f t="shared" si="117"/>
        <v>59</v>
      </c>
    </row>
    <row r="1857" spans="1:10" ht="16.95" customHeight="1">
      <c r="A1857" s="75">
        <v>19</v>
      </c>
      <c r="B1857" s="80" t="s">
        <v>109</v>
      </c>
      <c r="C1857" s="77" t="s">
        <v>50</v>
      </c>
      <c r="D1857" s="78">
        <v>82</v>
      </c>
      <c r="E1857" s="79"/>
      <c r="F1857" s="79">
        <f t="shared" si="115"/>
        <v>0</v>
      </c>
      <c r="G1857" s="2"/>
      <c r="H1857" s="37">
        <v>2909</v>
      </c>
      <c r="I1857" s="4">
        <f t="shared" si="116"/>
        <v>0</v>
      </c>
      <c r="J1857" s="25">
        <f t="shared" si="117"/>
        <v>59</v>
      </c>
    </row>
    <row r="1858" spans="1:10" ht="16.95" customHeight="1">
      <c r="A1858" s="75">
        <v>20</v>
      </c>
      <c r="B1858" s="80" t="s">
        <v>110</v>
      </c>
      <c r="C1858" s="77" t="s">
        <v>121</v>
      </c>
      <c r="D1858" s="78">
        <v>12</v>
      </c>
      <c r="E1858" s="79"/>
      <c r="F1858" s="79">
        <f t="shared" si="115"/>
        <v>0</v>
      </c>
      <c r="G1858" s="2"/>
      <c r="H1858" s="37">
        <v>882</v>
      </c>
      <c r="I1858" s="4">
        <f t="shared" si="116"/>
        <v>0</v>
      </c>
      <c r="J1858" s="25">
        <f t="shared" si="117"/>
        <v>59</v>
      </c>
    </row>
    <row r="1859" spans="1:10" ht="16.95" customHeight="1">
      <c r="A1859" s="77">
        <v>21</v>
      </c>
      <c r="B1859" s="80" t="s">
        <v>111</v>
      </c>
      <c r="C1859" s="77" t="s">
        <v>122</v>
      </c>
      <c r="D1859" s="78">
        <v>3</v>
      </c>
      <c r="E1859" s="79"/>
      <c r="F1859" s="79">
        <f t="shared" si="115"/>
        <v>0</v>
      </c>
      <c r="G1859" s="2"/>
      <c r="H1859" s="38">
        <v>1869</v>
      </c>
      <c r="I1859" s="4">
        <f t="shared" si="116"/>
        <v>0</v>
      </c>
      <c r="J1859" s="25">
        <f t="shared" si="117"/>
        <v>59</v>
      </c>
    </row>
    <row r="1860" spans="1:10" ht="34.950000000000003" customHeight="1">
      <c r="A1860" s="75">
        <v>22</v>
      </c>
      <c r="B1860" s="80" t="s">
        <v>112</v>
      </c>
      <c r="C1860" s="77" t="s">
        <v>48</v>
      </c>
      <c r="D1860" s="78">
        <v>1</v>
      </c>
      <c r="E1860" s="79"/>
      <c r="F1860" s="79">
        <f t="shared" si="115"/>
        <v>0</v>
      </c>
      <c r="G1860" s="2"/>
      <c r="H1860" s="37">
        <v>82206</v>
      </c>
      <c r="I1860" s="4">
        <f t="shared" si="116"/>
        <v>0</v>
      </c>
      <c r="J1860" s="25">
        <f t="shared" si="117"/>
        <v>59</v>
      </c>
    </row>
    <row r="1861" spans="1:10" ht="16.95" customHeight="1">
      <c r="A1861" s="75">
        <v>23</v>
      </c>
      <c r="B1861" s="80" t="s">
        <v>113</v>
      </c>
      <c r="C1861" s="77" t="s">
        <v>48</v>
      </c>
      <c r="D1861" s="78">
        <v>1</v>
      </c>
      <c r="E1861" s="79"/>
      <c r="F1861" s="79">
        <f t="shared" si="115"/>
        <v>0</v>
      </c>
      <c r="G1861" s="2"/>
      <c r="H1861" s="37">
        <v>142723</v>
      </c>
      <c r="I1861" s="4">
        <f t="shared" si="116"/>
        <v>0</v>
      </c>
      <c r="J1861" s="25">
        <f t="shared" si="117"/>
        <v>59</v>
      </c>
    </row>
    <row r="1862" spans="1:10" ht="16.95" customHeight="1">
      <c r="A1862" s="75">
        <v>24</v>
      </c>
      <c r="B1862" s="80" t="s">
        <v>114</v>
      </c>
      <c r="C1862" s="77" t="s">
        <v>48</v>
      </c>
      <c r="D1862" s="78">
        <v>1</v>
      </c>
      <c r="E1862" s="79"/>
      <c r="F1862" s="79">
        <f t="shared" si="115"/>
        <v>0</v>
      </c>
      <c r="G1862" s="2"/>
      <c r="H1862" s="37">
        <v>37290</v>
      </c>
      <c r="I1862" s="4">
        <f t="shared" si="116"/>
        <v>0</v>
      </c>
      <c r="J1862" s="25">
        <f t="shared" si="117"/>
        <v>59</v>
      </c>
    </row>
    <row r="1863" spans="1:10" ht="16.95" customHeight="1">
      <c r="A1863" s="75">
        <v>25</v>
      </c>
      <c r="B1863" s="80" t="s">
        <v>115</v>
      </c>
      <c r="C1863" s="77" t="s">
        <v>48</v>
      </c>
      <c r="D1863" s="78">
        <v>1</v>
      </c>
      <c r="E1863" s="79"/>
      <c r="F1863" s="79">
        <f t="shared" si="115"/>
        <v>0.05</v>
      </c>
      <c r="G1863" s="2"/>
      <c r="H1863" s="37">
        <v>99394</v>
      </c>
      <c r="I1863" s="4">
        <f t="shared" si="116"/>
        <v>0</v>
      </c>
      <c r="J1863" s="25">
        <f t="shared" si="117"/>
        <v>59</v>
      </c>
    </row>
    <row r="1864" spans="1:10" ht="34.950000000000003" customHeight="1">
      <c r="A1864" s="75">
        <v>26</v>
      </c>
      <c r="B1864" s="80" t="s">
        <v>116</v>
      </c>
      <c r="C1864" s="77" t="s">
        <v>48</v>
      </c>
      <c r="D1864" s="78">
        <v>1</v>
      </c>
      <c r="E1864" s="79"/>
      <c r="F1864" s="79">
        <f t="shared" si="115"/>
        <v>0</v>
      </c>
      <c r="G1864" s="2"/>
      <c r="H1864" s="37">
        <v>21334</v>
      </c>
      <c r="I1864" s="4">
        <f t="shared" si="116"/>
        <v>0</v>
      </c>
      <c r="J1864" s="25">
        <f t="shared" si="117"/>
        <v>59</v>
      </c>
    </row>
    <row r="1865" spans="1:10" ht="16.95" customHeight="1">
      <c r="A1865" s="75">
        <v>27</v>
      </c>
      <c r="B1865" s="80" t="s">
        <v>117</v>
      </c>
      <c r="C1865" s="77" t="s">
        <v>48</v>
      </c>
      <c r="D1865" s="78">
        <v>1</v>
      </c>
      <c r="E1865" s="79"/>
      <c r="F1865" s="79">
        <f t="shared" si="115"/>
        <v>0</v>
      </c>
      <c r="G1865" s="2"/>
      <c r="H1865" s="37">
        <v>29620</v>
      </c>
      <c r="I1865" s="4">
        <f t="shared" si="116"/>
        <v>0</v>
      </c>
      <c r="J1865" s="25">
        <f t="shared" si="117"/>
        <v>59</v>
      </c>
    </row>
    <row r="1866" spans="1:10" ht="16.95" customHeight="1">
      <c r="A1866" s="75">
        <v>28</v>
      </c>
      <c r="B1866" s="80" t="s">
        <v>118</v>
      </c>
      <c r="C1866" s="77" t="s">
        <v>48</v>
      </c>
      <c r="D1866" s="78">
        <v>1</v>
      </c>
      <c r="E1866" s="79"/>
      <c r="F1866" s="79">
        <f t="shared" si="115"/>
        <v>0</v>
      </c>
      <c r="G1866" s="2"/>
      <c r="H1866" s="37">
        <v>18506</v>
      </c>
      <c r="I1866" s="4">
        <f t="shared" si="116"/>
        <v>0</v>
      </c>
      <c r="J1866" s="25">
        <f t="shared" si="117"/>
        <v>59</v>
      </c>
    </row>
    <row r="1867" spans="1:10" ht="16.95" customHeight="1">
      <c r="A1867" s="75">
        <v>29</v>
      </c>
      <c r="B1867" s="80" t="s">
        <v>119</v>
      </c>
      <c r="C1867" s="77" t="s">
        <v>48</v>
      </c>
      <c r="D1867" s="78">
        <v>1</v>
      </c>
      <c r="E1867" s="79"/>
      <c r="F1867" s="79">
        <f t="shared" si="115"/>
        <v>0</v>
      </c>
      <c r="G1867" s="2"/>
      <c r="H1867" s="37">
        <v>34381</v>
      </c>
      <c r="I1867" s="4">
        <f t="shared" si="116"/>
        <v>0</v>
      </c>
      <c r="J1867" s="25">
        <f t="shared" si="117"/>
        <v>59</v>
      </c>
    </row>
    <row r="1868" spans="1:10" ht="16.95" customHeight="1">
      <c r="A1868" s="75" t="s">
        <v>79</v>
      </c>
      <c r="B1868" s="80" t="s">
        <v>80</v>
      </c>
      <c r="C1868" s="77" t="s">
        <v>48</v>
      </c>
      <c r="D1868" s="78">
        <v>1</v>
      </c>
      <c r="E1868" s="79">
        <f t="shared" ref="E1868:E1871" si="118">1/120</f>
        <v>8.3333333333333332E-3</v>
      </c>
      <c r="F1868" s="79">
        <f t="shared" si="115"/>
        <v>0.24166666666666664</v>
      </c>
      <c r="G1868" s="2"/>
      <c r="H1868" s="37">
        <v>21395</v>
      </c>
      <c r="I1868" s="4">
        <f t="shared" si="116"/>
        <v>178.29166666666666</v>
      </c>
      <c r="J1868" s="25">
        <f t="shared" si="117"/>
        <v>59</v>
      </c>
    </row>
    <row r="1869" spans="1:10" ht="16.95" customHeight="1">
      <c r="A1869" s="75" t="s">
        <v>81</v>
      </c>
      <c r="B1869" s="80" t="s">
        <v>82</v>
      </c>
      <c r="C1869" s="77" t="s">
        <v>48</v>
      </c>
      <c r="D1869" s="78">
        <v>1</v>
      </c>
      <c r="E1869" s="79">
        <f t="shared" si="118"/>
        <v>8.3333333333333332E-3</v>
      </c>
      <c r="F1869" s="79">
        <f t="shared" si="115"/>
        <v>0.24166666666666664</v>
      </c>
      <c r="G1869" s="2"/>
      <c r="H1869" s="37">
        <v>21395</v>
      </c>
      <c r="I1869" s="4">
        <f t="shared" si="116"/>
        <v>178.29166666666666</v>
      </c>
      <c r="J1869" s="25">
        <f t="shared" si="117"/>
        <v>59</v>
      </c>
    </row>
    <row r="1870" spans="1:10" ht="16.95" customHeight="1">
      <c r="A1870" s="75" t="s">
        <v>83</v>
      </c>
      <c r="B1870" s="80" t="s">
        <v>84</v>
      </c>
      <c r="C1870" s="77" t="s">
        <v>48</v>
      </c>
      <c r="D1870" s="78">
        <v>1</v>
      </c>
      <c r="E1870" s="79">
        <f t="shared" si="118"/>
        <v>8.3333333333333332E-3</v>
      </c>
      <c r="F1870" s="79">
        <f t="shared" si="115"/>
        <v>0.24166666666666664</v>
      </c>
      <c r="G1870" s="2"/>
      <c r="H1870" s="37">
        <v>149765</v>
      </c>
      <c r="I1870" s="4">
        <f t="shared" si="116"/>
        <v>1248.0416666666667</v>
      </c>
      <c r="J1870" s="25">
        <f t="shared" si="117"/>
        <v>59</v>
      </c>
    </row>
    <row r="1871" spans="1:10" ht="16.95" customHeight="1">
      <c r="A1871" s="75" t="s">
        <v>85</v>
      </c>
      <c r="B1871" s="80" t="s">
        <v>86</v>
      </c>
      <c r="C1871" s="77" t="s">
        <v>48</v>
      </c>
      <c r="D1871" s="78">
        <v>1</v>
      </c>
      <c r="E1871" s="79">
        <f t="shared" si="118"/>
        <v>8.3333333333333332E-3</v>
      </c>
      <c r="F1871" s="79">
        <f t="shared" si="115"/>
        <v>0.24166666666666664</v>
      </c>
      <c r="G1871" s="2"/>
      <c r="H1871" s="37">
        <v>6996</v>
      </c>
      <c r="I1871" s="4">
        <f t="shared" si="116"/>
        <v>58.3</v>
      </c>
      <c r="J1871" s="25">
        <f t="shared" si="117"/>
        <v>59</v>
      </c>
    </row>
    <row r="1872" spans="1:10" ht="16.95" customHeight="1">
      <c r="A1872" s="75" t="s">
        <v>87</v>
      </c>
      <c r="B1872" s="80" t="s">
        <v>88</v>
      </c>
      <c r="C1872" s="77" t="s">
        <v>48</v>
      </c>
      <c r="D1872" s="78">
        <v>1</v>
      </c>
      <c r="E1872" s="79">
        <f>1/120</f>
        <v>8.3333333333333332E-3</v>
      </c>
      <c r="F1872" s="79">
        <f t="shared" si="115"/>
        <v>0.24166666666666664</v>
      </c>
      <c r="G1872" s="2"/>
      <c r="H1872" s="37">
        <v>116952</v>
      </c>
      <c r="I1872" s="4">
        <f t="shared" si="116"/>
        <v>974.6</v>
      </c>
      <c r="J1872" s="25">
        <f t="shared" si="117"/>
        <v>59</v>
      </c>
    </row>
    <row r="1873" spans="1:10" ht="16.95" customHeight="1">
      <c r="A1873" s="95" t="s">
        <v>23</v>
      </c>
      <c r="B1873" s="95"/>
      <c r="C1873" s="50"/>
      <c r="D1873" s="50"/>
      <c r="E1873" s="50"/>
      <c r="F1873" s="50"/>
      <c r="G1873" s="50"/>
      <c r="H1873" s="3" t="s">
        <v>24</v>
      </c>
      <c r="I1873" s="5">
        <f>SUM(I1838:I1872)</f>
        <v>2637.5250000000001</v>
      </c>
      <c r="J1873" s="25">
        <f t="shared" si="117"/>
        <v>59</v>
      </c>
    </row>
    <row r="1874" spans="1:10" ht="16.95" customHeight="1">
      <c r="A1874" s="96" t="s">
        <v>25</v>
      </c>
      <c r="B1874" s="96"/>
      <c r="C1874" s="50"/>
      <c r="D1874" s="50"/>
      <c r="E1874" s="50"/>
      <c r="F1874" s="50"/>
      <c r="G1874" s="50"/>
      <c r="J1874" s="25">
        <f t="shared" si="117"/>
        <v>59</v>
      </c>
    </row>
    <row r="1875" spans="1:10" ht="16.95" customHeight="1">
      <c r="A1875" s="96" t="s">
        <v>26</v>
      </c>
      <c r="B1875" s="96"/>
      <c r="C1875" s="50"/>
      <c r="D1875" s="50"/>
      <c r="E1875" s="50"/>
      <c r="F1875" s="50"/>
      <c r="G1875" s="50"/>
      <c r="J1875" s="25">
        <f t="shared" si="117"/>
        <v>59</v>
      </c>
    </row>
    <row r="1876" spans="1:10" ht="16.95" customHeight="1">
      <c r="A1876" s="95" t="s">
        <v>27</v>
      </c>
      <c r="B1876" s="95"/>
      <c r="C1876" s="95"/>
      <c r="D1876" s="95"/>
      <c r="E1876" s="95"/>
      <c r="F1876" s="95"/>
      <c r="G1876" s="95"/>
      <c r="J1876" s="25">
        <f t="shared" si="117"/>
        <v>59</v>
      </c>
    </row>
    <row r="1877" spans="1:10" ht="16.95" customHeight="1">
      <c r="A1877" s="94" t="s">
        <v>28</v>
      </c>
      <c r="B1877" s="94"/>
      <c r="C1877" s="51" t="s">
        <v>29</v>
      </c>
      <c r="D1877" s="51" t="s">
        <v>30</v>
      </c>
      <c r="E1877" s="51" t="s">
        <v>18</v>
      </c>
      <c r="F1877" s="51" t="s">
        <v>31</v>
      </c>
      <c r="G1877" s="51" t="s">
        <v>20</v>
      </c>
      <c r="J1877" s="25">
        <f t="shared" si="117"/>
        <v>59</v>
      </c>
    </row>
    <row r="1878" spans="1:10" ht="16.95" customHeight="1">
      <c r="A1878" s="96"/>
      <c r="B1878" s="96"/>
      <c r="C1878" s="50"/>
      <c r="D1878" s="50"/>
      <c r="E1878" s="50"/>
      <c r="F1878" s="50"/>
      <c r="G1878" s="51"/>
      <c r="J1878" s="25">
        <f t="shared" si="117"/>
        <v>59</v>
      </c>
    </row>
    <row r="1879" spans="1:10" ht="16.95" customHeight="1">
      <c r="A1879" s="97"/>
      <c r="B1879" s="97"/>
      <c r="C1879" s="50"/>
      <c r="D1879" s="50"/>
      <c r="E1879" s="50"/>
      <c r="F1879" s="51"/>
      <c r="G1879" s="51"/>
      <c r="J1879" s="25">
        <f t="shared" si="117"/>
        <v>59</v>
      </c>
    </row>
    <row r="1880" spans="1:10" ht="16.95" customHeight="1">
      <c r="A1880" s="95" t="s">
        <v>32</v>
      </c>
      <c r="B1880" s="95"/>
      <c r="C1880" s="95"/>
      <c r="D1880" s="95"/>
      <c r="E1880" s="95"/>
      <c r="F1880" s="95"/>
      <c r="G1880" s="95"/>
      <c r="J1880" s="25">
        <f t="shared" si="117"/>
        <v>60</v>
      </c>
    </row>
    <row r="1881" spans="1:10" ht="16.95" customHeight="1">
      <c r="A1881" s="51" t="s">
        <v>33</v>
      </c>
      <c r="B1881" s="51" t="s">
        <v>34</v>
      </c>
      <c r="C1881" s="94" t="s">
        <v>35</v>
      </c>
      <c r="D1881" s="94"/>
      <c r="E1881" s="51" t="s">
        <v>36</v>
      </c>
      <c r="F1881" s="51" t="s">
        <v>37</v>
      </c>
      <c r="G1881" s="51" t="s">
        <v>38</v>
      </c>
      <c r="J1881" s="25">
        <f t="shared" si="117"/>
        <v>60</v>
      </c>
    </row>
    <row r="1882" spans="1:10" ht="16.95" customHeight="1">
      <c r="A1882" s="51" t="s">
        <v>39</v>
      </c>
      <c r="B1882" s="6"/>
      <c r="C1882" s="94">
        <f>B1882+C1819</f>
        <v>18</v>
      </c>
      <c r="D1882" s="94"/>
      <c r="E1882" s="51"/>
      <c r="F1882" s="24"/>
      <c r="G1882" s="24"/>
      <c r="J1882" s="25">
        <f t="shared" si="117"/>
        <v>60</v>
      </c>
    </row>
    <row r="1883" spans="1:10" ht="16.95" customHeight="1">
      <c r="A1883" s="51" t="s">
        <v>40</v>
      </c>
      <c r="B1883" s="6"/>
      <c r="C1883" s="94">
        <f>B1883+C1820</f>
        <v>19</v>
      </c>
      <c r="D1883" s="94"/>
      <c r="E1883" s="51"/>
      <c r="F1883" s="24"/>
      <c r="G1883" s="24"/>
      <c r="J1883" s="25">
        <f t="shared" si="117"/>
        <v>60</v>
      </c>
    </row>
    <row r="1884" spans="1:10" ht="36.6" customHeight="1">
      <c r="A1884" s="95" t="s">
        <v>41</v>
      </c>
      <c r="B1884" s="95"/>
      <c r="C1884" s="95"/>
      <c r="D1884" s="95"/>
      <c r="E1884" s="95"/>
      <c r="F1884" s="95"/>
      <c r="G1884" s="95"/>
      <c r="J1884" s="25">
        <f t="shared" si="117"/>
        <v>60</v>
      </c>
    </row>
    <row r="1885" spans="1:10" ht="90" customHeight="1">
      <c r="A1885" s="92" t="s">
        <v>42</v>
      </c>
      <c r="B1885" s="92"/>
      <c r="C1885" s="92"/>
      <c r="D1885" s="92"/>
      <c r="E1885" s="92"/>
      <c r="F1885" s="92"/>
      <c r="G1885" s="92"/>
      <c r="J1885" s="25">
        <f t="shared" si="117"/>
        <v>60</v>
      </c>
    </row>
    <row r="1886" spans="1:10" ht="16.95" customHeight="1">
      <c r="A1886" s="95" t="s">
        <v>43</v>
      </c>
      <c r="B1886" s="95"/>
      <c r="C1886" s="95"/>
      <c r="D1886" s="95"/>
      <c r="E1886" s="95"/>
      <c r="F1886" s="95"/>
      <c r="G1886" s="95"/>
      <c r="J1886" s="25">
        <f t="shared" si="117"/>
        <v>60</v>
      </c>
    </row>
    <row r="1887" spans="1:10" ht="16.95" customHeight="1">
      <c r="A1887" s="95" t="s">
        <v>44</v>
      </c>
      <c r="B1887" s="95"/>
      <c r="C1887" s="95"/>
      <c r="D1887" s="95"/>
      <c r="E1887" s="95"/>
      <c r="F1887" s="95"/>
      <c r="G1887" s="95"/>
      <c r="J1887" s="25">
        <f t="shared" si="117"/>
        <v>60</v>
      </c>
    </row>
    <row r="1888" spans="1:10" ht="16.95" customHeight="1">
      <c r="A1888" s="91" t="s">
        <v>64</v>
      </c>
      <c r="B1888" s="91"/>
      <c r="C1888" s="91"/>
      <c r="D1888" s="91"/>
      <c r="E1888" s="91"/>
      <c r="F1888" s="91"/>
      <c r="G1888" s="91"/>
      <c r="J1888" s="25">
        <f t="shared" si="117"/>
        <v>60</v>
      </c>
    </row>
    <row r="1889" spans="1:10" ht="120.6" customHeight="1">
      <c r="A1889" s="92" t="s">
        <v>45</v>
      </c>
      <c r="B1889" s="92"/>
      <c r="C1889" s="92"/>
      <c r="D1889" s="92"/>
      <c r="E1889" s="92"/>
      <c r="F1889" s="92"/>
      <c r="G1889" s="92"/>
      <c r="J1889" s="25">
        <f t="shared" si="117"/>
        <v>60</v>
      </c>
    </row>
    <row r="1890" spans="1:10" ht="140.4" customHeight="1">
      <c r="A1890" s="93" t="s">
        <v>46</v>
      </c>
      <c r="B1890" s="93"/>
      <c r="C1890" s="93"/>
      <c r="D1890" s="93"/>
      <c r="E1890" s="93"/>
      <c r="F1890" s="93"/>
      <c r="G1890" s="93"/>
      <c r="J1890" s="25">
        <f t="shared" si="117"/>
        <v>60</v>
      </c>
    </row>
    <row r="1891" spans="1:10" ht="37.200000000000003" customHeight="1">
      <c r="A1891" s="103" t="s">
        <v>0</v>
      </c>
      <c r="B1891" s="103"/>
      <c r="C1891" s="103"/>
      <c r="D1891" s="103"/>
      <c r="E1891" s="103"/>
      <c r="F1891" s="103"/>
      <c r="G1891" s="103"/>
      <c r="J1891" s="25">
        <f t="shared" si="117"/>
        <v>61</v>
      </c>
    </row>
    <row r="1892" spans="1:10" ht="16.95" customHeight="1">
      <c r="A1892" s="1" t="s">
        <v>1</v>
      </c>
      <c r="B1892" s="104">
        <f>B1829+1</f>
        <v>31</v>
      </c>
      <c r="C1892" s="104"/>
      <c r="D1892" s="104"/>
      <c r="E1892" s="104"/>
      <c r="F1892" s="104"/>
      <c r="G1892" s="104"/>
      <c r="J1892" s="25">
        <f t="shared" si="117"/>
        <v>61</v>
      </c>
    </row>
    <row r="1893" spans="1:10" ht="16.95" customHeight="1">
      <c r="A1893" s="1" t="s">
        <v>2</v>
      </c>
      <c r="B1893" s="105" t="s">
        <v>63</v>
      </c>
      <c r="C1893" s="105"/>
      <c r="D1893" s="105"/>
      <c r="E1893" s="106">
        <f>E1830+1</f>
        <v>46234</v>
      </c>
      <c r="F1893" s="106"/>
      <c r="G1893" s="106"/>
      <c r="J1893" s="25">
        <f t="shared" si="117"/>
        <v>61</v>
      </c>
    </row>
    <row r="1894" spans="1:10" ht="16.95" customHeight="1">
      <c r="A1894" s="53" t="s">
        <v>3</v>
      </c>
      <c r="B1894" s="2" t="s">
        <v>67</v>
      </c>
      <c r="C1894" s="98" t="s">
        <v>4</v>
      </c>
      <c r="D1894" s="98"/>
      <c r="E1894" s="98" t="s">
        <v>47</v>
      </c>
      <c r="F1894" s="98"/>
      <c r="G1894" s="98"/>
      <c r="J1894" s="25">
        <f t="shared" si="117"/>
        <v>61</v>
      </c>
    </row>
    <row r="1895" spans="1:10" ht="16.95" customHeight="1">
      <c r="A1895" s="53" t="s">
        <v>5</v>
      </c>
      <c r="B1895" s="54">
        <v>120</v>
      </c>
      <c r="C1895" s="98" t="s">
        <v>6</v>
      </c>
      <c r="D1895" s="98"/>
      <c r="E1895" s="98">
        <v>1</v>
      </c>
      <c r="F1895" s="98"/>
      <c r="G1895" s="98"/>
      <c r="J1895" s="25">
        <f t="shared" si="117"/>
        <v>61</v>
      </c>
    </row>
    <row r="1896" spans="1:10" ht="16.95" customHeight="1">
      <c r="A1896" s="53" t="s">
        <v>7</v>
      </c>
      <c r="B1896" s="54">
        <f>B1892</f>
        <v>31</v>
      </c>
      <c r="C1896" s="100" t="s">
        <v>8</v>
      </c>
      <c r="D1896" s="100"/>
      <c r="E1896" s="101">
        <f>B1895-B1896+1</f>
        <v>90</v>
      </c>
      <c r="F1896" s="101"/>
      <c r="G1896" s="101"/>
      <c r="J1896" s="25">
        <f t="shared" si="117"/>
        <v>61</v>
      </c>
    </row>
    <row r="1897" spans="1:10" ht="16.95" customHeight="1">
      <c r="A1897" s="53" t="s">
        <v>9</v>
      </c>
      <c r="B1897" s="55">
        <v>46204</v>
      </c>
      <c r="C1897" s="98" t="s">
        <v>10</v>
      </c>
      <c r="D1897" s="98"/>
      <c r="E1897" s="102">
        <f>B1897+B1895-1</f>
        <v>46323</v>
      </c>
      <c r="F1897" s="102"/>
      <c r="G1897" s="102"/>
      <c r="J1897" s="25">
        <f t="shared" si="117"/>
        <v>61</v>
      </c>
    </row>
    <row r="1898" spans="1:10" ht="16.95" customHeight="1">
      <c r="A1898" s="53" t="s">
        <v>11</v>
      </c>
      <c r="B1898" s="56">
        <f>HLOOKUP(B1892,進度表!$Q$2:$Z$3,2,1)+B1835</f>
        <v>0.14124939942996753</v>
      </c>
      <c r="C1898" s="98" t="s">
        <v>12</v>
      </c>
      <c r="D1898" s="98"/>
      <c r="E1898" s="99">
        <f>I1936/I1898+E1835</f>
        <v>0.12954449918566771</v>
      </c>
      <c r="F1898" s="99"/>
      <c r="G1898" s="99"/>
      <c r="H1898" s="3" t="s">
        <v>62</v>
      </c>
      <c r="I1898" s="1">
        <v>2456000</v>
      </c>
      <c r="J1898" s="25">
        <f t="shared" si="117"/>
        <v>61</v>
      </c>
    </row>
    <row r="1899" spans="1:10" ht="16.95" customHeight="1">
      <c r="A1899" s="98" t="s">
        <v>13</v>
      </c>
      <c r="B1899" s="98"/>
      <c r="C1899" s="98"/>
      <c r="D1899" s="98"/>
      <c r="E1899" s="98"/>
      <c r="F1899" s="98"/>
      <c r="G1899" s="98"/>
      <c r="J1899" s="25">
        <f t="shared" si="117"/>
        <v>61</v>
      </c>
    </row>
    <row r="1900" spans="1:10" ht="16.95" customHeight="1">
      <c r="A1900" s="52" t="s">
        <v>14</v>
      </c>
      <c r="B1900" s="52" t="s">
        <v>15</v>
      </c>
      <c r="C1900" s="52" t="s">
        <v>16</v>
      </c>
      <c r="D1900" s="52" t="s">
        <v>17</v>
      </c>
      <c r="E1900" s="52" t="s">
        <v>18</v>
      </c>
      <c r="F1900" s="52" t="s">
        <v>19</v>
      </c>
      <c r="G1900" s="52" t="s">
        <v>20</v>
      </c>
      <c r="H1900" s="3" t="s">
        <v>21</v>
      </c>
      <c r="I1900" s="3" t="s">
        <v>22</v>
      </c>
      <c r="J1900" s="25">
        <f t="shared" si="117"/>
        <v>61</v>
      </c>
    </row>
    <row r="1901" spans="1:10" ht="16.95" customHeight="1">
      <c r="A1901" s="75" t="s">
        <v>65</v>
      </c>
      <c r="B1901" s="76" t="s">
        <v>69</v>
      </c>
      <c r="C1901" s="77"/>
      <c r="D1901" s="78"/>
      <c r="E1901" s="79"/>
      <c r="F1901" s="79"/>
      <c r="G1901" s="2"/>
      <c r="H1901" s="37"/>
      <c r="I1901" s="4"/>
      <c r="J1901" s="25">
        <f t="shared" si="117"/>
        <v>61</v>
      </c>
    </row>
    <row r="1902" spans="1:10" ht="34.950000000000003" customHeight="1">
      <c r="A1902" s="75">
        <v>1</v>
      </c>
      <c r="B1902" s="80" t="s">
        <v>91</v>
      </c>
      <c r="C1902" s="77" t="s">
        <v>48</v>
      </c>
      <c r="D1902" s="78">
        <v>1</v>
      </c>
      <c r="E1902" s="79"/>
      <c r="F1902" s="79">
        <f t="shared" ref="F1902:F1935" si="119">E1902+F1839</f>
        <v>1</v>
      </c>
      <c r="G1902" s="2"/>
      <c r="H1902" s="37">
        <v>10508</v>
      </c>
      <c r="I1902" s="4">
        <f>H1902*E1902</f>
        <v>0</v>
      </c>
      <c r="J1902" s="25">
        <f t="shared" si="117"/>
        <v>61</v>
      </c>
    </row>
    <row r="1903" spans="1:10" ht="34.799999999999997" customHeight="1">
      <c r="A1903" s="75">
        <v>2</v>
      </c>
      <c r="B1903" s="80" t="s">
        <v>92</v>
      </c>
      <c r="C1903" s="77" t="s">
        <v>48</v>
      </c>
      <c r="D1903" s="78">
        <v>1</v>
      </c>
      <c r="E1903" s="79"/>
      <c r="F1903" s="79">
        <f t="shared" si="119"/>
        <v>0</v>
      </c>
      <c r="G1903" s="2"/>
      <c r="H1903" s="37">
        <v>13223</v>
      </c>
      <c r="I1903" s="4">
        <f>H1903*E1903</f>
        <v>0</v>
      </c>
      <c r="J1903" s="25">
        <f t="shared" si="117"/>
        <v>61</v>
      </c>
    </row>
    <row r="1904" spans="1:10" ht="53.4" customHeight="1">
      <c r="A1904" s="75">
        <v>3</v>
      </c>
      <c r="B1904" s="80" t="s">
        <v>93</v>
      </c>
      <c r="C1904" s="77" t="s">
        <v>48</v>
      </c>
      <c r="D1904" s="78">
        <v>1</v>
      </c>
      <c r="E1904" s="79"/>
      <c r="F1904" s="79">
        <f t="shared" si="119"/>
        <v>0.72000000000000008</v>
      </c>
      <c r="G1904" s="2"/>
      <c r="H1904" s="37">
        <v>310497</v>
      </c>
      <c r="I1904" s="4">
        <f t="shared" ref="I1904:I1935" si="120">H1904*E1904</f>
        <v>0</v>
      </c>
      <c r="J1904" s="25">
        <f t="shared" si="117"/>
        <v>61</v>
      </c>
    </row>
    <row r="1905" spans="1:10" ht="16.95" customHeight="1">
      <c r="A1905" s="75">
        <v>4</v>
      </c>
      <c r="B1905" s="80" t="s">
        <v>94</v>
      </c>
      <c r="C1905" s="77" t="s">
        <v>48</v>
      </c>
      <c r="D1905" s="78">
        <v>1</v>
      </c>
      <c r="E1905" s="79"/>
      <c r="F1905" s="79">
        <f t="shared" si="119"/>
        <v>0</v>
      </c>
      <c r="G1905" s="2"/>
      <c r="H1905" s="37">
        <v>8375</v>
      </c>
      <c r="I1905" s="4">
        <f t="shared" si="120"/>
        <v>0</v>
      </c>
      <c r="J1905" s="25">
        <f t="shared" si="117"/>
        <v>61</v>
      </c>
    </row>
    <row r="1906" spans="1:10" ht="16.95" customHeight="1">
      <c r="A1906" s="75">
        <v>5</v>
      </c>
      <c r="B1906" s="80" t="s">
        <v>95</v>
      </c>
      <c r="C1906" s="77" t="s">
        <v>48</v>
      </c>
      <c r="D1906" s="78">
        <v>1</v>
      </c>
      <c r="E1906" s="79"/>
      <c r="F1906" s="79">
        <f t="shared" si="119"/>
        <v>0</v>
      </c>
      <c r="G1906" s="2"/>
      <c r="H1906" s="37">
        <v>51618</v>
      </c>
      <c r="I1906" s="4">
        <f t="shared" si="120"/>
        <v>0</v>
      </c>
      <c r="J1906" s="25">
        <f t="shared" si="117"/>
        <v>61</v>
      </c>
    </row>
    <row r="1907" spans="1:10" ht="16.95" customHeight="1">
      <c r="A1907" s="75">
        <v>6</v>
      </c>
      <c r="B1907" s="80" t="s">
        <v>96</v>
      </c>
      <c r="C1907" s="77" t="s">
        <v>50</v>
      </c>
      <c r="D1907" s="78">
        <v>11.55</v>
      </c>
      <c r="E1907" s="79"/>
      <c r="F1907" s="79">
        <f t="shared" si="119"/>
        <v>0</v>
      </c>
      <c r="G1907" s="2"/>
      <c r="H1907" s="37">
        <v>1188</v>
      </c>
      <c r="I1907" s="4">
        <f t="shared" si="120"/>
        <v>0</v>
      </c>
      <c r="J1907" s="25">
        <f t="shared" si="117"/>
        <v>61</v>
      </c>
    </row>
    <row r="1908" spans="1:10" ht="34.950000000000003" customHeight="1">
      <c r="A1908" s="75">
        <v>7</v>
      </c>
      <c r="B1908" s="80" t="s">
        <v>97</v>
      </c>
      <c r="C1908" s="77" t="s">
        <v>48</v>
      </c>
      <c r="D1908" s="78">
        <v>1</v>
      </c>
      <c r="E1908" s="79"/>
      <c r="F1908" s="79">
        <f t="shared" si="119"/>
        <v>0</v>
      </c>
      <c r="G1908" s="2"/>
      <c r="H1908" s="37">
        <v>21157</v>
      </c>
      <c r="I1908" s="4">
        <f t="shared" si="120"/>
        <v>0</v>
      </c>
      <c r="J1908" s="25">
        <f t="shared" si="117"/>
        <v>61</v>
      </c>
    </row>
    <row r="1909" spans="1:10" ht="16.95" customHeight="1">
      <c r="A1909" s="75">
        <v>8</v>
      </c>
      <c r="B1909" s="80" t="s">
        <v>98</v>
      </c>
      <c r="C1909" s="77" t="s">
        <v>50</v>
      </c>
      <c r="D1909" s="78">
        <v>387</v>
      </c>
      <c r="E1909" s="79"/>
      <c r="F1909" s="79">
        <f t="shared" si="119"/>
        <v>0</v>
      </c>
      <c r="G1909" s="2"/>
      <c r="H1909" s="37">
        <v>705</v>
      </c>
      <c r="I1909" s="4">
        <f t="shared" si="120"/>
        <v>0</v>
      </c>
      <c r="J1909" s="25">
        <f t="shared" si="117"/>
        <v>61</v>
      </c>
    </row>
    <row r="1910" spans="1:10" ht="16.95" customHeight="1">
      <c r="A1910" s="75">
        <v>9</v>
      </c>
      <c r="B1910" s="80" t="s">
        <v>99</v>
      </c>
      <c r="C1910" s="77" t="s">
        <v>50</v>
      </c>
      <c r="D1910" s="78">
        <v>170</v>
      </c>
      <c r="E1910" s="79"/>
      <c r="F1910" s="79">
        <f t="shared" si="119"/>
        <v>0</v>
      </c>
      <c r="G1910" s="2"/>
      <c r="H1910" s="37">
        <v>617</v>
      </c>
      <c r="I1910" s="4">
        <f t="shared" si="120"/>
        <v>0</v>
      </c>
      <c r="J1910" s="25">
        <f t="shared" si="117"/>
        <v>61</v>
      </c>
    </row>
    <row r="1911" spans="1:10" ht="16.95" customHeight="1">
      <c r="A1911" s="75">
        <v>10</v>
      </c>
      <c r="B1911" s="80" t="s">
        <v>100</v>
      </c>
      <c r="C1911" s="77" t="s">
        <v>66</v>
      </c>
      <c r="D1911" s="78">
        <v>15</v>
      </c>
      <c r="E1911" s="79"/>
      <c r="F1911" s="79">
        <f t="shared" si="119"/>
        <v>0</v>
      </c>
      <c r="G1911" s="2"/>
      <c r="H1911" s="37">
        <v>617</v>
      </c>
      <c r="I1911" s="4">
        <f t="shared" si="120"/>
        <v>0</v>
      </c>
      <c r="J1911" s="25">
        <f t="shared" si="117"/>
        <v>61</v>
      </c>
    </row>
    <row r="1912" spans="1:10" ht="16.95" customHeight="1">
      <c r="A1912" s="75">
        <v>11</v>
      </c>
      <c r="B1912" s="80" t="s">
        <v>101</v>
      </c>
      <c r="C1912" s="77" t="s">
        <v>50</v>
      </c>
      <c r="D1912" s="78">
        <v>75</v>
      </c>
      <c r="E1912" s="79"/>
      <c r="F1912" s="79">
        <f t="shared" si="119"/>
        <v>0</v>
      </c>
      <c r="G1912" s="2"/>
      <c r="H1912" s="37">
        <v>1146</v>
      </c>
      <c r="I1912" s="4">
        <f t="shared" si="120"/>
        <v>0</v>
      </c>
      <c r="J1912" s="25">
        <f t="shared" si="117"/>
        <v>61</v>
      </c>
    </row>
    <row r="1913" spans="1:10" ht="16.95" customHeight="1">
      <c r="A1913" s="75">
        <v>12</v>
      </c>
      <c r="B1913" s="80" t="s">
        <v>102</v>
      </c>
      <c r="C1913" s="77" t="s">
        <v>50</v>
      </c>
      <c r="D1913" s="78">
        <v>5</v>
      </c>
      <c r="E1913" s="79"/>
      <c r="F1913" s="79">
        <f t="shared" si="119"/>
        <v>0</v>
      </c>
      <c r="G1913" s="2"/>
      <c r="H1913" s="37">
        <v>1455</v>
      </c>
      <c r="I1913" s="4">
        <f t="shared" si="120"/>
        <v>0</v>
      </c>
      <c r="J1913" s="25">
        <f t="shared" si="117"/>
        <v>61</v>
      </c>
    </row>
    <row r="1914" spans="1:10" ht="16.95" customHeight="1">
      <c r="A1914" s="75">
        <v>13</v>
      </c>
      <c r="B1914" s="80" t="s">
        <v>103</v>
      </c>
      <c r="C1914" s="77" t="s">
        <v>50</v>
      </c>
      <c r="D1914" s="78">
        <v>217</v>
      </c>
      <c r="E1914" s="79"/>
      <c r="F1914" s="79">
        <f t="shared" si="119"/>
        <v>0</v>
      </c>
      <c r="G1914" s="2"/>
      <c r="H1914" s="37">
        <v>1410</v>
      </c>
      <c r="I1914" s="4">
        <f t="shared" si="120"/>
        <v>0</v>
      </c>
      <c r="J1914" s="25">
        <f t="shared" si="117"/>
        <v>61</v>
      </c>
    </row>
    <row r="1915" spans="1:10" ht="16.95" customHeight="1">
      <c r="A1915" s="75">
        <v>14</v>
      </c>
      <c r="B1915" s="80" t="s">
        <v>104</v>
      </c>
      <c r="C1915" s="77" t="s">
        <v>49</v>
      </c>
      <c r="D1915" s="78">
        <v>84</v>
      </c>
      <c r="E1915" s="79"/>
      <c r="F1915" s="79">
        <f t="shared" si="119"/>
        <v>0</v>
      </c>
      <c r="G1915" s="2"/>
      <c r="H1915" s="37">
        <v>529</v>
      </c>
      <c r="I1915" s="4">
        <f t="shared" si="120"/>
        <v>0</v>
      </c>
      <c r="J1915" s="25">
        <f t="shared" ref="J1915:J1942" si="121">J1852+2</f>
        <v>61</v>
      </c>
    </row>
    <row r="1916" spans="1:10" ht="16.95" customHeight="1">
      <c r="A1916" s="75">
        <v>15</v>
      </c>
      <c r="B1916" s="80" t="s">
        <v>105</v>
      </c>
      <c r="C1916" s="77" t="s">
        <v>50</v>
      </c>
      <c r="D1916" s="78">
        <v>1</v>
      </c>
      <c r="E1916" s="79"/>
      <c r="F1916" s="79">
        <f t="shared" si="119"/>
        <v>0</v>
      </c>
      <c r="G1916" s="2"/>
      <c r="H1916" s="37">
        <v>1146</v>
      </c>
      <c r="I1916" s="4">
        <f t="shared" si="120"/>
        <v>0</v>
      </c>
      <c r="J1916" s="25">
        <f t="shared" si="121"/>
        <v>61</v>
      </c>
    </row>
    <row r="1917" spans="1:10" ht="34.799999999999997" customHeight="1">
      <c r="A1917" s="75">
        <v>16</v>
      </c>
      <c r="B1917" s="80" t="s">
        <v>106</v>
      </c>
      <c r="C1917" s="77" t="s">
        <v>50</v>
      </c>
      <c r="D1917" s="78">
        <v>314</v>
      </c>
      <c r="E1917" s="79"/>
      <c r="F1917" s="79">
        <f t="shared" si="119"/>
        <v>0</v>
      </c>
      <c r="G1917" s="2"/>
      <c r="H1917" s="37">
        <v>185</v>
      </c>
      <c r="I1917" s="4">
        <f t="shared" si="120"/>
        <v>0</v>
      </c>
      <c r="J1917" s="25">
        <f t="shared" si="121"/>
        <v>61</v>
      </c>
    </row>
    <row r="1918" spans="1:10" ht="16.95" customHeight="1">
      <c r="A1918" s="75">
        <v>17</v>
      </c>
      <c r="B1918" s="80" t="s">
        <v>107</v>
      </c>
      <c r="C1918" s="77" t="s">
        <v>48</v>
      </c>
      <c r="D1918" s="78">
        <v>1</v>
      </c>
      <c r="E1918" s="79"/>
      <c r="F1918" s="79">
        <f t="shared" si="119"/>
        <v>0</v>
      </c>
      <c r="G1918" s="2"/>
      <c r="H1918" s="37">
        <v>89918</v>
      </c>
      <c r="I1918" s="4">
        <f t="shared" si="120"/>
        <v>0</v>
      </c>
      <c r="J1918" s="25">
        <f t="shared" si="121"/>
        <v>61</v>
      </c>
    </row>
    <row r="1919" spans="1:10" ht="16.95" customHeight="1">
      <c r="A1919" s="75">
        <v>18</v>
      </c>
      <c r="B1919" s="80" t="s">
        <v>108</v>
      </c>
      <c r="C1919" s="77" t="s">
        <v>120</v>
      </c>
      <c r="D1919" s="78">
        <v>15</v>
      </c>
      <c r="E1919" s="79"/>
      <c r="F1919" s="79">
        <f t="shared" si="119"/>
        <v>0</v>
      </c>
      <c r="G1919" s="2"/>
      <c r="H1919" s="37">
        <v>661</v>
      </c>
      <c r="I1919" s="4">
        <f t="shared" si="120"/>
        <v>0</v>
      </c>
      <c r="J1919" s="25">
        <f t="shared" si="121"/>
        <v>61</v>
      </c>
    </row>
    <row r="1920" spans="1:10" ht="16.95" customHeight="1">
      <c r="A1920" s="75">
        <v>19</v>
      </c>
      <c r="B1920" s="80" t="s">
        <v>109</v>
      </c>
      <c r="C1920" s="77" t="s">
        <v>50</v>
      </c>
      <c r="D1920" s="78">
        <v>82</v>
      </c>
      <c r="E1920" s="79"/>
      <c r="F1920" s="79">
        <f t="shared" si="119"/>
        <v>0</v>
      </c>
      <c r="G1920" s="2"/>
      <c r="H1920" s="37">
        <v>2909</v>
      </c>
      <c r="I1920" s="4">
        <f t="shared" si="120"/>
        <v>0</v>
      </c>
      <c r="J1920" s="25">
        <f t="shared" si="121"/>
        <v>61</v>
      </c>
    </row>
    <row r="1921" spans="1:10" ht="16.95" customHeight="1">
      <c r="A1921" s="75">
        <v>20</v>
      </c>
      <c r="B1921" s="80" t="s">
        <v>110</v>
      </c>
      <c r="C1921" s="77" t="s">
        <v>121</v>
      </c>
      <c r="D1921" s="78">
        <v>12</v>
      </c>
      <c r="E1921" s="79"/>
      <c r="F1921" s="79">
        <f t="shared" si="119"/>
        <v>0</v>
      </c>
      <c r="G1921" s="2"/>
      <c r="H1921" s="37">
        <v>882</v>
      </c>
      <c r="I1921" s="4">
        <f t="shared" si="120"/>
        <v>0</v>
      </c>
      <c r="J1921" s="25">
        <f t="shared" si="121"/>
        <v>61</v>
      </c>
    </row>
    <row r="1922" spans="1:10" ht="16.95" customHeight="1">
      <c r="A1922" s="77">
        <v>21</v>
      </c>
      <c r="B1922" s="80" t="s">
        <v>111</v>
      </c>
      <c r="C1922" s="77" t="s">
        <v>122</v>
      </c>
      <c r="D1922" s="78">
        <v>3</v>
      </c>
      <c r="E1922" s="79"/>
      <c r="F1922" s="79">
        <f t="shared" si="119"/>
        <v>0</v>
      </c>
      <c r="G1922" s="2"/>
      <c r="H1922" s="38">
        <v>1869</v>
      </c>
      <c r="I1922" s="4">
        <f t="shared" si="120"/>
        <v>0</v>
      </c>
      <c r="J1922" s="25">
        <f t="shared" si="121"/>
        <v>61</v>
      </c>
    </row>
    <row r="1923" spans="1:10" ht="34.950000000000003" customHeight="1">
      <c r="A1923" s="75">
        <v>22</v>
      </c>
      <c r="B1923" s="80" t="s">
        <v>112</v>
      </c>
      <c r="C1923" s="77" t="s">
        <v>48</v>
      </c>
      <c r="D1923" s="78">
        <v>1</v>
      </c>
      <c r="E1923" s="79"/>
      <c r="F1923" s="79">
        <f t="shared" si="119"/>
        <v>0</v>
      </c>
      <c r="G1923" s="2"/>
      <c r="H1923" s="37">
        <v>82206</v>
      </c>
      <c r="I1923" s="4">
        <f t="shared" si="120"/>
        <v>0</v>
      </c>
      <c r="J1923" s="25">
        <f t="shared" si="121"/>
        <v>61</v>
      </c>
    </row>
    <row r="1924" spans="1:10" ht="16.95" customHeight="1">
      <c r="A1924" s="75">
        <v>23</v>
      </c>
      <c r="B1924" s="80" t="s">
        <v>113</v>
      </c>
      <c r="C1924" s="77" t="s">
        <v>48</v>
      </c>
      <c r="D1924" s="78">
        <v>1</v>
      </c>
      <c r="E1924" s="79"/>
      <c r="F1924" s="79">
        <f t="shared" si="119"/>
        <v>0</v>
      </c>
      <c r="G1924" s="2"/>
      <c r="H1924" s="37">
        <v>142723</v>
      </c>
      <c r="I1924" s="4">
        <f t="shared" si="120"/>
        <v>0</v>
      </c>
      <c r="J1924" s="25">
        <f t="shared" si="121"/>
        <v>61</v>
      </c>
    </row>
    <row r="1925" spans="1:10" ht="16.95" customHeight="1">
      <c r="A1925" s="75">
        <v>24</v>
      </c>
      <c r="B1925" s="80" t="s">
        <v>114</v>
      </c>
      <c r="C1925" s="77" t="s">
        <v>48</v>
      </c>
      <c r="D1925" s="78">
        <v>1</v>
      </c>
      <c r="E1925" s="79"/>
      <c r="F1925" s="79">
        <f t="shared" si="119"/>
        <v>0</v>
      </c>
      <c r="G1925" s="2"/>
      <c r="H1925" s="37">
        <v>37290</v>
      </c>
      <c r="I1925" s="4">
        <f t="shared" si="120"/>
        <v>0</v>
      </c>
      <c r="J1925" s="25">
        <f t="shared" si="121"/>
        <v>61</v>
      </c>
    </row>
    <row r="1926" spans="1:10" ht="16.95" customHeight="1">
      <c r="A1926" s="75">
        <v>25</v>
      </c>
      <c r="B1926" s="80" t="s">
        <v>115</v>
      </c>
      <c r="C1926" s="77" t="s">
        <v>48</v>
      </c>
      <c r="D1926" s="78">
        <v>1</v>
      </c>
      <c r="E1926" s="79"/>
      <c r="F1926" s="79">
        <f t="shared" si="119"/>
        <v>0.05</v>
      </c>
      <c r="G1926" s="2"/>
      <c r="H1926" s="37">
        <v>99394</v>
      </c>
      <c r="I1926" s="4">
        <f t="shared" si="120"/>
        <v>0</v>
      </c>
      <c r="J1926" s="25">
        <f t="shared" si="121"/>
        <v>61</v>
      </c>
    </row>
    <row r="1927" spans="1:10" ht="34.950000000000003" customHeight="1">
      <c r="A1927" s="75">
        <v>26</v>
      </c>
      <c r="B1927" s="80" t="s">
        <v>116</v>
      </c>
      <c r="C1927" s="77" t="s">
        <v>48</v>
      </c>
      <c r="D1927" s="78">
        <v>1</v>
      </c>
      <c r="E1927" s="79"/>
      <c r="F1927" s="79">
        <f t="shared" si="119"/>
        <v>0</v>
      </c>
      <c r="G1927" s="2"/>
      <c r="H1927" s="37">
        <v>21334</v>
      </c>
      <c r="I1927" s="4">
        <f t="shared" si="120"/>
        <v>0</v>
      </c>
      <c r="J1927" s="25">
        <f t="shared" si="121"/>
        <v>61</v>
      </c>
    </row>
    <row r="1928" spans="1:10" ht="16.95" customHeight="1">
      <c r="A1928" s="75">
        <v>27</v>
      </c>
      <c r="B1928" s="80" t="s">
        <v>117</v>
      </c>
      <c r="C1928" s="77" t="s">
        <v>48</v>
      </c>
      <c r="D1928" s="78">
        <v>1</v>
      </c>
      <c r="E1928" s="79"/>
      <c r="F1928" s="79">
        <f t="shared" si="119"/>
        <v>0</v>
      </c>
      <c r="G1928" s="2"/>
      <c r="H1928" s="37">
        <v>29620</v>
      </c>
      <c r="I1928" s="4">
        <f t="shared" si="120"/>
        <v>0</v>
      </c>
      <c r="J1928" s="25">
        <f t="shared" si="121"/>
        <v>61</v>
      </c>
    </row>
    <row r="1929" spans="1:10" ht="16.95" customHeight="1">
      <c r="A1929" s="75">
        <v>28</v>
      </c>
      <c r="B1929" s="80" t="s">
        <v>118</v>
      </c>
      <c r="C1929" s="77" t="s">
        <v>48</v>
      </c>
      <c r="D1929" s="78">
        <v>1</v>
      </c>
      <c r="E1929" s="79"/>
      <c r="F1929" s="79">
        <f t="shared" si="119"/>
        <v>0</v>
      </c>
      <c r="G1929" s="2"/>
      <c r="H1929" s="37">
        <v>18506</v>
      </c>
      <c r="I1929" s="4">
        <f t="shared" si="120"/>
        <v>0</v>
      </c>
      <c r="J1929" s="25">
        <f t="shared" si="121"/>
        <v>61</v>
      </c>
    </row>
    <row r="1930" spans="1:10" ht="16.95" customHeight="1">
      <c r="A1930" s="75">
        <v>29</v>
      </c>
      <c r="B1930" s="80" t="s">
        <v>119</v>
      </c>
      <c r="C1930" s="77" t="s">
        <v>48</v>
      </c>
      <c r="D1930" s="78">
        <v>1</v>
      </c>
      <c r="E1930" s="79"/>
      <c r="F1930" s="79">
        <f t="shared" si="119"/>
        <v>0</v>
      </c>
      <c r="G1930" s="2"/>
      <c r="H1930" s="37">
        <v>34381</v>
      </c>
      <c r="I1930" s="4">
        <f t="shared" si="120"/>
        <v>0</v>
      </c>
      <c r="J1930" s="25">
        <f t="shared" si="121"/>
        <v>61</v>
      </c>
    </row>
    <row r="1931" spans="1:10" ht="16.95" customHeight="1">
      <c r="A1931" s="75" t="s">
        <v>79</v>
      </c>
      <c r="B1931" s="80" t="s">
        <v>80</v>
      </c>
      <c r="C1931" s="77" t="s">
        <v>48</v>
      </c>
      <c r="D1931" s="78">
        <v>1</v>
      </c>
      <c r="E1931" s="79">
        <f t="shared" ref="E1931:E1934" si="122">1/120</f>
        <v>8.3333333333333332E-3</v>
      </c>
      <c r="F1931" s="79">
        <f t="shared" si="119"/>
        <v>0.24999999999999997</v>
      </c>
      <c r="G1931" s="2"/>
      <c r="H1931" s="37">
        <v>21395</v>
      </c>
      <c r="I1931" s="4">
        <f t="shared" si="120"/>
        <v>178.29166666666666</v>
      </c>
      <c r="J1931" s="25">
        <f t="shared" si="121"/>
        <v>61</v>
      </c>
    </row>
    <row r="1932" spans="1:10" ht="16.95" customHeight="1">
      <c r="A1932" s="75" t="s">
        <v>81</v>
      </c>
      <c r="B1932" s="80" t="s">
        <v>82</v>
      </c>
      <c r="C1932" s="77" t="s">
        <v>48</v>
      </c>
      <c r="D1932" s="78">
        <v>1</v>
      </c>
      <c r="E1932" s="79">
        <f t="shared" si="122"/>
        <v>8.3333333333333332E-3</v>
      </c>
      <c r="F1932" s="79">
        <f t="shared" si="119"/>
        <v>0.24999999999999997</v>
      </c>
      <c r="G1932" s="2"/>
      <c r="H1932" s="37">
        <v>21395</v>
      </c>
      <c r="I1932" s="4">
        <f t="shared" si="120"/>
        <v>178.29166666666666</v>
      </c>
      <c r="J1932" s="25">
        <f t="shared" si="121"/>
        <v>61</v>
      </c>
    </row>
    <row r="1933" spans="1:10" ht="16.95" customHeight="1">
      <c r="A1933" s="75" t="s">
        <v>83</v>
      </c>
      <c r="B1933" s="80" t="s">
        <v>84</v>
      </c>
      <c r="C1933" s="77" t="s">
        <v>48</v>
      </c>
      <c r="D1933" s="78">
        <v>1</v>
      </c>
      <c r="E1933" s="79">
        <f t="shared" si="122"/>
        <v>8.3333333333333332E-3</v>
      </c>
      <c r="F1933" s="79">
        <f t="shared" si="119"/>
        <v>0.24999999999999997</v>
      </c>
      <c r="G1933" s="2"/>
      <c r="H1933" s="37">
        <v>149765</v>
      </c>
      <c r="I1933" s="4">
        <f t="shared" si="120"/>
        <v>1248.0416666666667</v>
      </c>
      <c r="J1933" s="25">
        <f t="shared" si="121"/>
        <v>61</v>
      </c>
    </row>
    <row r="1934" spans="1:10" ht="16.95" customHeight="1">
      <c r="A1934" s="75" t="s">
        <v>85</v>
      </c>
      <c r="B1934" s="80" t="s">
        <v>86</v>
      </c>
      <c r="C1934" s="77" t="s">
        <v>48</v>
      </c>
      <c r="D1934" s="78">
        <v>1</v>
      </c>
      <c r="E1934" s="79">
        <f t="shared" si="122"/>
        <v>8.3333333333333332E-3</v>
      </c>
      <c r="F1934" s="79">
        <f t="shared" si="119"/>
        <v>0.24999999999999997</v>
      </c>
      <c r="G1934" s="2"/>
      <c r="H1934" s="37">
        <v>6996</v>
      </c>
      <c r="I1934" s="4">
        <f t="shared" si="120"/>
        <v>58.3</v>
      </c>
      <c r="J1934" s="25">
        <f t="shared" si="121"/>
        <v>61</v>
      </c>
    </row>
    <row r="1935" spans="1:10" ht="16.95" customHeight="1">
      <c r="A1935" s="75" t="s">
        <v>87</v>
      </c>
      <c r="B1935" s="80" t="s">
        <v>88</v>
      </c>
      <c r="C1935" s="77" t="s">
        <v>48</v>
      </c>
      <c r="D1935" s="78">
        <v>1</v>
      </c>
      <c r="E1935" s="79">
        <f>1/120</f>
        <v>8.3333333333333332E-3</v>
      </c>
      <c r="F1935" s="79">
        <f t="shared" si="119"/>
        <v>0.24999999999999997</v>
      </c>
      <c r="G1935" s="2"/>
      <c r="H1935" s="37">
        <v>116952</v>
      </c>
      <c r="I1935" s="4">
        <f t="shared" si="120"/>
        <v>974.6</v>
      </c>
      <c r="J1935" s="25">
        <f t="shared" si="121"/>
        <v>61</v>
      </c>
    </row>
    <row r="1936" spans="1:10" ht="16.95" customHeight="1">
      <c r="A1936" s="95" t="s">
        <v>23</v>
      </c>
      <c r="B1936" s="95"/>
      <c r="C1936" s="50"/>
      <c r="D1936" s="50"/>
      <c r="E1936" s="50"/>
      <c r="F1936" s="50"/>
      <c r="G1936" s="50"/>
      <c r="H1936" s="3" t="s">
        <v>24</v>
      </c>
      <c r="I1936" s="5">
        <f>SUM(I1901:I1935)</f>
        <v>2637.5250000000001</v>
      </c>
      <c r="J1936" s="25">
        <f t="shared" si="121"/>
        <v>61</v>
      </c>
    </row>
    <row r="1937" spans="1:10" ht="16.95" customHeight="1">
      <c r="A1937" s="96" t="s">
        <v>25</v>
      </c>
      <c r="B1937" s="96"/>
      <c r="C1937" s="50"/>
      <c r="D1937" s="50"/>
      <c r="E1937" s="50"/>
      <c r="F1937" s="50"/>
      <c r="G1937" s="50"/>
      <c r="J1937" s="25">
        <f t="shared" si="121"/>
        <v>61</v>
      </c>
    </row>
    <row r="1938" spans="1:10" ht="16.95" customHeight="1">
      <c r="A1938" s="96" t="s">
        <v>26</v>
      </c>
      <c r="B1938" s="96"/>
      <c r="C1938" s="50"/>
      <c r="D1938" s="50"/>
      <c r="E1938" s="50"/>
      <c r="F1938" s="50"/>
      <c r="G1938" s="50"/>
      <c r="J1938" s="25">
        <f t="shared" si="121"/>
        <v>61</v>
      </c>
    </row>
    <row r="1939" spans="1:10" ht="16.95" customHeight="1">
      <c r="A1939" s="95" t="s">
        <v>27</v>
      </c>
      <c r="B1939" s="95"/>
      <c r="C1939" s="95"/>
      <c r="D1939" s="95"/>
      <c r="E1939" s="95"/>
      <c r="F1939" s="95"/>
      <c r="G1939" s="95"/>
      <c r="J1939" s="25">
        <f t="shared" si="121"/>
        <v>61</v>
      </c>
    </row>
    <row r="1940" spans="1:10" ht="16.95" customHeight="1">
      <c r="A1940" s="94" t="s">
        <v>28</v>
      </c>
      <c r="B1940" s="94"/>
      <c r="C1940" s="51" t="s">
        <v>29</v>
      </c>
      <c r="D1940" s="51" t="s">
        <v>30</v>
      </c>
      <c r="E1940" s="51" t="s">
        <v>18</v>
      </c>
      <c r="F1940" s="51" t="s">
        <v>31</v>
      </c>
      <c r="G1940" s="51" t="s">
        <v>20</v>
      </c>
      <c r="J1940" s="25">
        <f t="shared" si="121"/>
        <v>61</v>
      </c>
    </row>
    <row r="1941" spans="1:10" ht="16.95" customHeight="1">
      <c r="A1941" s="96"/>
      <c r="B1941" s="96"/>
      <c r="C1941" s="50"/>
      <c r="D1941" s="50"/>
      <c r="E1941" s="50"/>
      <c r="F1941" s="50"/>
      <c r="G1941" s="51"/>
      <c r="J1941" s="25">
        <f t="shared" si="121"/>
        <v>61</v>
      </c>
    </row>
    <row r="1942" spans="1:10" ht="16.95" customHeight="1">
      <c r="A1942" s="97"/>
      <c r="B1942" s="97"/>
      <c r="C1942" s="50"/>
      <c r="D1942" s="50"/>
      <c r="E1942" s="50"/>
      <c r="F1942" s="51"/>
      <c r="G1942" s="51"/>
      <c r="J1942" s="25">
        <f t="shared" si="121"/>
        <v>61</v>
      </c>
    </row>
    <row r="1943" spans="1:10" ht="16.95" customHeight="1">
      <c r="A1943" s="95" t="s">
        <v>32</v>
      </c>
      <c r="B1943" s="95"/>
      <c r="C1943" s="95"/>
      <c r="D1943" s="95"/>
      <c r="E1943" s="95"/>
      <c r="F1943" s="95"/>
      <c r="G1943" s="95"/>
      <c r="J1943" s="25">
        <f t="shared" ref="J1943:J1953" si="123">J1880+2</f>
        <v>62</v>
      </c>
    </row>
    <row r="1944" spans="1:10" ht="16.95" customHeight="1">
      <c r="A1944" s="51" t="s">
        <v>33</v>
      </c>
      <c r="B1944" s="51" t="s">
        <v>34</v>
      </c>
      <c r="C1944" s="94" t="s">
        <v>35</v>
      </c>
      <c r="D1944" s="94"/>
      <c r="E1944" s="51" t="s">
        <v>36</v>
      </c>
      <c r="F1944" s="51" t="s">
        <v>37</v>
      </c>
      <c r="G1944" s="51" t="s">
        <v>38</v>
      </c>
      <c r="J1944" s="25">
        <f t="shared" si="123"/>
        <v>62</v>
      </c>
    </row>
    <row r="1945" spans="1:10" ht="16.95" customHeight="1">
      <c r="A1945" s="51" t="s">
        <v>39</v>
      </c>
      <c r="B1945" s="6"/>
      <c r="C1945" s="94">
        <f>B1945+C1882</f>
        <v>18</v>
      </c>
      <c r="D1945" s="94"/>
      <c r="E1945" s="51"/>
      <c r="F1945" s="24"/>
      <c r="G1945" s="24"/>
      <c r="J1945" s="25">
        <f t="shared" si="123"/>
        <v>62</v>
      </c>
    </row>
    <row r="1946" spans="1:10" ht="16.95" customHeight="1">
      <c r="A1946" s="51" t="s">
        <v>40</v>
      </c>
      <c r="B1946" s="6"/>
      <c r="C1946" s="94">
        <f>B1946+C1883</f>
        <v>19</v>
      </c>
      <c r="D1946" s="94"/>
      <c r="E1946" s="51"/>
      <c r="F1946" s="24"/>
      <c r="G1946" s="24"/>
      <c r="J1946" s="25">
        <f t="shared" si="123"/>
        <v>62</v>
      </c>
    </row>
    <row r="1947" spans="1:10" ht="36.6" customHeight="1">
      <c r="A1947" s="95" t="s">
        <v>41</v>
      </c>
      <c r="B1947" s="95"/>
      <c r="C1947" s="95"/>
      <c r="D1947" s="95"/>
      <c r="E1947" s="95"/>
      <c r="F1947" s="95"/>
      <c r="G1947" s="95"/>
      <c r="J1947" s="25">
        <f t="shared" si="123"/>
        <v>62</v>
      </c>
    </row>
    <row r="1948" spans="1:10" ht="90" customHeight="1">
      <c r="A1948" s="92" t="s">
        <v>42</v>
      </c>
      <c r="B1948" s="92"/>
      <c r="C1948" s="92"/>
      <c r="D1948" s="92"/>
      <c r="E1948" s="92"/>
      <c r="F1948" s="92"/>
      <c r="G1948" s="92"/>
      <c r="J1948" s="25">
        <f t="shared" si="123"/>
        <v>62</v>
      </c>
    </row>
    <row r="1949" spans="1:10" ht="16.95" customHeight="1">
      <c r="A1949" s="95" t="s">
        <v>43</v>
      </c>
      <c r="B1949" s="95"/>
      <c r="C1949" s="95"/>
      <c r="D1949" s="95"/>
      <c r="E1949" s="95"/>
      <c r="F1949" s="95"/>
      <c r="G1949" s="95"/>
      <c r="J1949" s="25">
        <f t="shared" si="123"/>
        <v>62</v>
      </c>
    </row>
    <row r="1950" spans="1:10" ht="16.95" customHeight="1">
      <c r="A1950" s="95" t="s">
        <v>44</v>
      </c>
      <c r="B1950" s="95"/>
      <c r="C1950" s="95"/>
      <c r="D1950" s="95"/>
      <c r="E1950" s="95"/>
      <c r="F1950" s="95"/>
      <c r="G1950" s="95"/>
      <c r="J1950" s="25">
        <f t="shared" si="123"/>
        <v>62</v>
      </c>
    </row>
    <row r="1951" spans="1:10" ht="16.95" customHeight="1">
      <c r="A1951" s="91" t="s">
        <v>64</v>
      </c>
      <c r="B1951" s="91"/>
      <c r="C1951" s="91"/>
      <c r="D1951" s="91"/>
      <c r="E1951" s="91"/>
      <c r="F1951" s="91"/>
      <c r="G1951" s="91"/>
      <c r="J1951" s="25">
        <f t="shared" si="123"/>
        <v>62</v>
      </c>
    </row>
    <row r="1952" spans="1:10" ht="120.6" customHeight="1">
      <c r="A1952" s="92" t="s">
        <v>45</v>
      </c>
      <c r="B1952" s="92"/>
      <c r="C1952" s="92"/>
      <c r="D1952" s="92"/>
      <c r="E1952" s="92"/>
      <c r="F1952" s="92"/>
      <c r="G1952" s="92"/>
      <c r="J1952" s="25">
        <f t="shared" si="123"/>
        <v>62</v>
      </c>
    </row>
    <row r="1953" spans="1:10" ht="140.4" customHeight="1">
      <c r="A1953" s="93" t="s">
        <v>46</v>
      </c>
      <c r="B1953" s="93"/>
      <c r="C1953" s="93"/>
      <c r="D1953" s="93"/>
      <c r="E1953" s="93"/>
      <c r="F1953" s="93"/>
      <c r="G1953" s="93"/>
      <c r="J1953" s="25">
        <f t="shared" si="123"/>
        <v>62</v>
      </c>
    </row>
  </sheetData>
  <mergeCells count="1023">
    <mergeCell ref="C8:D8"/>
    <mergeCell ref="E8:G8"/>
    <mergeCell ref="A9:G9"/>
    <mergeCell ref="A46:B46"/>
    <mergeCell ref="A47:B47"/>
    <mergeCell ref="A48:B48"/>
    <mergeCell ref="C5:D5"/>
    <mergeCell ref="E5:G5"/>
    <mergeCell ref="C6:D6"/>
    <mergeCell ref="E6:G6"/>
    <mergeCell ref="C7:D7"/>
    <mergeCell ref="E7:G7"/>
    <mergeCell ref="A1:G1"/>
    <mergeCell ref="B2:G2"/>
    <mergeCell ref="B3:D3"/>
    <mergeCell ref="E3:G3"/>
    <mergeCell ref="C4:D4"/>
    <mergeCell ref="E4:G4"/>
    <mergeCell ref="A61:G61"/>
    <mergeCell ref="A62:G62"/>
    <mergeCell ref="A63:G63"/>
    <mergeCell ref="A64:G64"/>
    <mergeCell ref="B65:G65"/>
    <mergeCell ref="B66:D66"/>
    <mergeCell ref="E66:G66"/>
    <mergeCell ref="C55:D55"/>
    <mergeCell ref="C56:D56"/>
    <mergeCell ref="A57:G57"/>
    <mergeCell ref="A58:G58"/>
    <mergeCell ref="A59:G59"/>
    <mergeCell ref="A60:G60"/>
    <mergeCell ref="A49:G49"/>
    <mergeCell ref="A50:B50"/>
    <mergeCell ref="A51:B51"/>
    <mergeCell ref="A52:B52"/>
    <mergeCell ref="A53:G53"/>
    <mergeCell ref="C54:D54"/>
    <mergeCell ref="A110:B110"/>
    <mergeCell ref="A111:B111"/>
    <mergeCell ref="A112:G112"/>
    <mergeCell ref="A113:B113"/>
    <mergeCell ref="A114:B114"/>
    <mergeCell ref="A115:B115"/>
    <mergeCell ref="C70:D70"/>
    <mergeCell ref="E70:G70"/>
    <mergeCell ref="C71:D71"/>
    <mergeCell ref="E71:G71"/>
    <mergeCell ref="A72:G72"/>
    <mergeCell ref="A109:B109"/>
    <mergeCell ref="C67:D67"/>
    <mergeCell ref="E67:G67"/>
    <mergeCell ref="C68:D68"/>
    <mergeCell ref="E68:G68"/>
    <mergeCell ref="C69:D69"/>
    <mergeCell ref="E69:G69"/>
    <mergeCell ref="B128:G128"/>
    <mergeCell ref="B129:D129"/>
    <mergeCell ref="E129:G129"/>
    <mergeCell ref="C130:D130"/>
    <mergeCell ref="E130:G130"/>
    <mergeCell ref="C131:D131"/>
    <mergeCell ref="E131:G131"/>
    <mergeCell ref="A122:G122"/>
    <mergeCell ref="A123:G123"/>
    <mergeCell ref="A124:G124"/>
    <mergeCell ref="A125:G125"/>
    <mergeCell ref="A126:G126"/>
    <mergeCell ref="A127:G127"/>
    <mergeCell ref="A116:G116"/>
    <mergeCell ref="C117:D117"/>
    <mergeCell ref="C118:D118"/>
    <mergeCell ref="C119:D119"/>
    <mergeCell ref="A120:G120"/>
    <mergeCell ref="A121:G121"/>
    <mergeCell ref="A177:B177"/>
    <mergeCell ref="A178:B178"/>
    <mergeCell ref="A179:G179"/>
    <mergeCell ref="C180:D180"/>
    <mergeCell ref="C181:D181"/>
    <mergeCell ref="C182:D182"/>
    <mergeCell ref="A135:G135"/>
    <mergeCell ref="A172:B172"/>
    <mergeCell ref="A173:B173"/>
    <mergeCell ref="A174:B174"/>
    <mergeCell ref="A175:G175"/>
    <mergeCell ref="A176:B176"/>
    <mergeCell ref="C132:D132"/>
    <mergeCell ref="E132:G132"/>
    <mergeCell ref="C133:D133"/>
    <mergeCell ref="E133:G133"/>
    <mergeCell ref="C134:D134"/>
    <mergeCell ref="E134:G134"/>
    <mergeCell ref="C194:D194"/>
    <mergeCell ref="E194:G194"/>
    <mergeCell ref="C195:D195"/>
    <mergeCell ref="E195:G195"/>
    <mergeCell ref="C196:D196"/>
    <mergeCell ref="E196:G196"/>
    <mergeCell ref="A189:G189"/>
    <mergeCell ref="A190:G190"/>
    <mergeCell ref="B191:G191"/>
    <mergeCell ref="B192:D192"/>
    <mergeCell ref="E192:G192"/>
    <mergeCell ref="C193:D193"/>
    <mergeCell ref="E193:G193"/>
    <mergeCell ref="A183:G183"/>
    <mergeCell ref="A184:G184"/>
    <mergeCell ref="A185:G185"/>
    <mergeCell ref="A186:G186"/>
    <mergeCell ref="A187:G187"/>
    <mergeCell ref="A188:G188"/>
    <mergeCell ref="C244:D244"/>
    <mergeCell ref="C245:D245"/>
    <mergeCell ref="A246:G246"/>
    <mergeCell ref="A247:G247"/>
    <mergeCell ref="A248:G248"/>
    <mergeCell ref="A249:G249"/>
    <mergeCell ref="A238:G238"/>
    <mergeCell ref="A239:B239"/>
    <mergeCell ref="A240:B240"/>
    <mergeCell ref="A241:B241"/>
    <mergeCell ref="A242:G242"/>
    <mergeCell ref="C243:D243"/>
    <mergeCell ref="C197:D197"/>
    <mergeCell ref="E197:G197"/>
    <mergeCell ref="A198:G198"/>
    <mergeCell ref="A235:B235"/>
    <mergeCell ref="A236:B236"/>
    <mergeCell ref="A237:B237"/>
    <mergeCell ref="C259:D259"/>
    <mergeCell ref="E259:G259"/>
    <mergeCell ref="C260:D260"/>
    <mergeCell ref="E260:G260"/>
    <mergeCell ref="A261:G261"/>
    <mergeCell ref="A298:B298"/>
    <mergeCell ref="C256:D256"/>
    <mergeCell ref="E256:G256"/>
    <mergeCell ref="C257:D257"/>
    <mergeCell ref="E257:G257"/>
    <mergeCell ref="C258:D258"/>
    <mergeCell ref="E258:G258"/>
    <mergeCell ref="A250:G250"/>
    <mergeCell ref="A251:G251"/>
    <mergeCell ref="A252:G252"/>
    <mergeCell ref="A253:G253"/>
    <mergeCell ref="B254:G254"/>
    <mergeCell ref="B255:D255"/>
    <mergeCell ref="E255:G255"/>
    <mergeCell ref="A311:G311"/>
    <mergeCell ref="A312:G312"/>
    <mergeCell ref="A313:G313"/>
    <mergeCell ref="A314:G314"/>
    <mergeCell ref="A315:G315"/>
    <mergeCell ref="A316:G316"/>
    <mergeCell ref="A305:G305"/>
    <mergeCell ref="C306:D306"/>
    <mergeCell ref="C307:D307"/>
    <mergeCell ref="C308:D308"/>
    <mergeCell ref="A309:G309"/>
    <mergeCell ref="A310:G310"/>
    <mergeCell ref="A299:B299"/>
    <mergeCell ref="A300:B300"/>
    <mergeCell ref="A301:G301"/>
    <mergeCell ref="A302:B302"/>
    <mergeCell ref="A303:B303"/>
    <mergeCell ref="A304:B304"/>
    <mergeCell ref="A324:G324"/>
    <mergeCell ref="A361:B361"/>
    <mergeCell ref="A362:B362"/>
    <mergeCell ref="A363:B363"/>
    <mergeCell ref="A364:G364"/>
    <mergeCell ref="A365:B365"/>
    <mergeCell ref="C321:D321"/>
    <mergeCell ref="E321:G321"/>
    <mergeCell ref="C322:D322"/>
    <mergeCell ref="E322:G322"/>
    <mergeCell ref="C323:D323"/>
    <mergeCell ref="E323:G323"/>
    <mergeCell ref="B317:G317"/>
    <mergeCell ref="B318:D318"/>
    <mergeCell ref="E318:G318"/>
    <mergeCell ref="C319:D319"/>
    <mergeCell ref="E319:G319"/>
    <mergeCell ref="C320:D320"/>
    <mergeCell ref="E320:G320"/>
    <mergeCell ref="A378:G378"/>
    <mergeCell ref="A379:G379"/>
    <mergeCell ref="B380:G380"/>
    <mergeCell ref="B381:D381"/>
    <mergeCell ref="E381:G381"/>
    <mergeCell ref="C382:D382"/>
    <mergeCell ref="E382:G382"/>
    <mergeCell ref="A372:G372"/>
    <mergeCell ref="A373:G373"/>
    <mergeCell ref="A374:G374"/>
    <mergeCell ref="A375:G375"/>
    <mergeCell ref="A376:G376"/>
    <mergeCell ref="A377:G377"/>
    <mergeCell ref="A366:B366"/>
    <mergeCell ref="A367:B367"/>
    <mergeCell ref="A368:G368"/>
    <mergeCell ref="C369:D369"/>
    <mergeCell ref="C370:D370"/>
    <mergeCell ref="C371:D371"/>
    <mergeCell ref="A427:G427"/>
    <mergeCell ref="A428:B428"/>
    <mergeCell ref="A429:B429"/>
    <mergeCell ref="A430:B430"/>
    <mergeCell ref="A431:G431"/>
    <mergeCell ref="C432:D432"/>
    <mergeCell ref="C386:D386"/>
    <mergeCell ref="E386:G386"/>
    <mergeCell ref="A387:G387"/>
    <mergeCell ref="A424:B424"/>
    <mergeCell ref="A425:B425"/>
    <mergeCell ref="A426:B426"/>
    <mergeCell ref="C383:D383"/>
    <mergeCell ref="E383:G383"/>
    <mergeCell ref="C384:D384"/>
    <mergeCell ref="E384:G384"/>
    <mergeCell ref="C385:D385"/>
    <mergeCell ref="E385:G385"/>
    <mergeCell ref="C445:D445"/>
    <mergeCell ref="E445:G445"/>
    <mergeCell ref="C446:D446"/>
    <mergeCell ref="E446:G446"/>
    <mergeCell ref="C447:D447"/>
    <mergeCell ref="E447:G447"/>
    <mergeCell ref="A439:G439"/>
    <mergeCell ref="A440:G440"/>
    <mergeCell ref="A441:G441"/>
    <mergeCell ref="A442:G442"/>
    <mergeCell ref="B443:G443"/>
    <mergeCell ref="B444:D444"/>
    <mergeCell ref="E444:G444"/>
    <mergeCell ref="C433:D433"/>
    <mergeCell ref="C434:D434"/>
    <mergeCell ref="A435:G435"/>
    <mergeCell ref="A436:G436"/>
    <mergeCell ref="A437:G437"/>
    <mergeCell ref="A438:G438"/>
    <mergeCell ref="A494:G494"/>
    <mergeCell ref="C495:D495"/>
    <mergeCell ref="C496:D496"/>
    <mergeCell ref="C497:D497"/>
    <mergeCell ref="A498:G498"/>
    <mergeCell ref="A499:G499"/>
    <mergeCell ref="A488:B488"/>
    <mergeCell ref="A489:B489"/>
    <mergeCell ref="A490:G490"/>
    <mergeCell ref="A491:B491"/>
    <mergeCell ref="A492:B492"/>
    <mergeCell ref="A493:B493"/>
    <mergeCell ref="C448:D448"/>
    <mergeCell ref="E448:G448"/>
    <mergeCell ref="C449:D449"/>
    <mergeCell ref="E449:G449"/>
    <mergeCell ref="A450:G450"/>
    <mergeCell ref="A487:B487"/>
    <mergeCell ref="C510:D510"/>
    <mergeCell ref="E510:G510"/>
    <mergeCell ref="C511:D511"/>
    <mergeCell ref="E511:G511"/>
    <mergeCell ref="C512:D512"/>
    <mergeCell ref="E512:G512"/>
    <mergeCell ref="B506:G506"/>
    <mergeCell ref="B507:D507"/>
    <mergeCell ref="E507:G507"/>
    <mergeCell ref="C508:D508"/>
    <mergeCell ref="E508:G508"/>
    <mergeCell ref="C509:D509"/>
    <mergeCell ref="E509:G509"/>
    <mergeCell ref="A500:G500"/>
    <mergeCell ref="A501:G501"/>
    <mergeCell ref="A502:G502"/>
    <mergeCell ref="A503:G503"/>
    <mergeCell ref="A504:G504"/>
    <mergeCell ref="A505:G505"/>
    <mergeCell ref="A561:G561"/>
    <mergeCell ref="A562:G562"/>
    <mergeCell ref="A563:G563"/>
    <mergeCell ref="A564:G564"/>
    <mergeCell ref="A565:G565"/>
    <mergeCell ref="A566:G566"/>
    <mergeCell ref="A555:B555"/>
    <mergeCell ref="A556:B556"/>
    <mergeCell ref="A557:G557"/>
    <mergeCell ref="C558:D558"/>
    <mergeCell ref="C559:D559"/>
    <mergeCell ref="C560:D560"/>
    <mergeCell ref="A513:G513"/>
    <mergeCell ref="A550:B550"/>
    <mergeCell ref="A551:B551"/>
    <mergeCell ref="A552:B552"/>
    <mergeCell ref="A553:G553"/>
    <mergeCell ref="A554:B554"/>
    <mergeCell ref="C575:D575"/>
    <mergeCell ref="E575:G575"/>
    <mergeCell ref="A576:G576"/>
    <mergeCell ref="A613:B613"/>
    <mergeCell ref="A614:B614"/>
    <mergeCell ref="A615:B615"/>
    <mergeCell ref="C572:D572"/>
    <mergeCell ref="E572:G572"/>
    <mergeCell ref="C573:D573"/>
    <mergeCell ref="E573:G573"/>
    <mergeCell ref="C574:D574"/>
    <mergeCell ref="E574:G574"/>
    <mergeCell ref="A567:G567"/>
    <mergeCell ref="A568:G568"/>
    <mergeCell ref="B569:G569"/>
    <mergeCell ref="B570:D570"/>
    <mergeCell ref="E570:G570"/>
    <mergeCell ref="C571:D571"/>
    <mergeCell ref="E571:G571"/>
    <mergeCell ref="A628:G628"/>
    <mergeCell ref="A629:G629"/>
    <mergeCell ref="A630:G630"/>
    <mergeCell ref="A631:G631"/>
    <mergeCell ref="B632:G632"/>
    <mergeCell ref="B633:D633"/>
    <mergeCell ref="E633:G633"/>
    <mergeCell ref="C622:D622"/>
    <mergeCell ref="C623:D623"/>
    <mergeCell ref="A624:G624"/>
    <mergeCell ref="A625:G625"/>
    <mergeCell ref="A626:G626"/>
    <mergeCell ref="A627:G627"/>
    <mergeCell ref="A616:G616"/>
    <mergeCell ref="A617:B617"/>
    <mergeCell ref="A618:B618"/>
    <mergeCell ref="A619:B619"/>
    <mergeCell ref="A620:G620"/>
    <mergeCell ref="C621:D621"/>
    <mergeCell ref="A677:B677"/>
    <mergeCell ref="A678:B678"/>
    <mergeCell ref="A679:G679"/>
    <mergeCell ref="A680:B680"/>
    <mergeCell ref="A681:B681"/>
    <mergeCell ref="A682:B682"/>
    <mergeCell ref="C637:D637"/>
    <mergeCell ref="E637:G637"/>
    <mergeCell ref="C638:D638"/>
    <mergeCell ref="E638:G638"/>
    <mergeCell ref="A639:G639"/>
    <mergeCell ref="A676:B676"/>
    <mergeCell ref="C634:D634"/>
    <mergeCell ref="E634:G634"/>
    <mergeCell ref="C635:D635"/>
    <mergeCell ref="E635:G635"/>
    <mergeCell ref="C636:D636"/>
    <mergeCell ref="E636:G636"/>
    <mergeCell ref="B695:G695"/>
    <mergeCell ref="B696:D696"/>
    <mergeCell ref="E696:G696"/>
    <mergeCell ref="C697:D697"/>
    <mergeCell ref="E697:G697"/>
    <mergeCell ref="C698:D698"/>
    <mergeCell ref="E698:G698"/>
    <mergeCell ref="A689:G689"/>
    <mergeCell ref="A690:G690"/>
    <mergeCell ref="A691:G691"/>
    <mergeCell ref="A692:G692"/>
    <mergeCell ref="A693:G693"/>
    <mergeCell ref="A694:G694"/>
    <mergeCell ref="A683:G683"/>
    <mergeCell ref="C684:D684"/>
    <mergeCell ref="C685:D685"/>
    <mergeCell ref="C686:D686"/>
    <mergeCell ref="A687:G687"/>
    <mergeCell ref="A688:G688"/>
    <mergeCell ref="A744:B744"/>
    <mergeCell ref="A745:B745"/>
    <mergeCell ref="A746:G746"/>
    <mergeCell ref="C747:D747"/>
    <mergeCell ref="C748:D748"/>
    <mergeCell ref="C749:D749"/>
    <mergeCell ref="A702:G702"/>
    <mergeCell ref="A739:B739"/>
    <mergeCell ref="A740:B740"/>
    <mergeCell ref="A741:B741"/>
    <mergeCell ref="A742:G742"/>
    <mergeCell ref="A743:B743"/>
    <mergeCell ref="C699:D699"/>
    <mergeCell ref="E699:G699"/>
    <mergeCell ref="C700:D700"/>
    <mergeCell ref="E700:G700"/>
    <mergeCell ref="C701:D701"/>
    <mergeCell ref="E701:G701"/>
    <mergeCell ref="C761:D761"/>
    <mergeCell ref="E761:G761"/>
    <mergeCell ref="C762:D762"/>
    <mergeCell ref="E762:G762"/>
    <mergeCell ref="C763:D763"/>
    <mergeCell ref="E763:G763"/>
    <mergeCell ref="A756:G756"/>
    <mergeCell ref="A757:G757"/>
    <mergeCell ref="B758:G758"/>
    <mergeCell ref="B759:D759"/>
    <mergeCell ref="E759:G759"/>
    <mergeCell ref="C760:D760"/>
    <mergeCell ref="E760:G760"/>
    <mergeCell ref="A750:G750"/>
    <mergeCell ref="A751:G751"/>
    <mergeCell ref="A752:G752"/>
    <mergeCell ref="A753:G753"/>
    <mergeCell ref="A754:G754"/>
    <mergeCell ref="A755:G755"/>
    <mergeCell ref="C811:D811"/>
    <mergeCell ref="C812:D812"/>
    <mergeCell ref="A813:G813"/>
    <mergeCell ref="A814:G814"/>
    <mergeCell ref="A815:G815"/>
    <mergeCell ref="A816:G816"/>
    <mergeCell ref="A805:G805"/>
    <mergeCell ref="A806:B806"/>
    <mergeCell ref="A807:B807"/>
    <mergeCell ref="A808:B808"/>
    <mergeCell ref="A809:G809"/>
    <mergeCell ref="C810:D810"/>
    <mergeCell ref="C764:D764"/>
    <mergeCell ref="E764:G764"/>
    <mergeCell ref="A765:G765"/>
    <mergeCell ref="A802:B802"/>
    <mergeCell ref="A803:B803"/>
    <mergeCell ref="A804:B804"/>
    <mergeCell ref="C826:D826"/>
    <mergeCell ref="E826:G826"/>
    <mergeCell ref="C827:D827"/>
    <mergeCell ref="E827:G827"/>
    <mergeCell ref="A828:G828"/>
    <mergeCell ref="A865:B865"/>
    <mergeCell ref="C823:D823"/>
    <mergeCell ref="E823:G823"/>
    <mergeCell ref="C824:D824"/>
    <mergeCell ref="E824:G824"/>
    <mergeCell ref="C825:D825"/>
    <mergeCell ref="E825:G825"/>
    <mergeCell ref="A817:G817"/>
    <mergeCell ref="A818:G818"/>
    <mergeCell ref="A819:G819"/>
    <mergeCell ref="A820:G820"/>
    <mergeCell ref="B821:G821"/>
    <mergeCell ref="B822:D822"/>
    <mergeCell ref="E822:G822"/>
    <mergeCell ref="A878:G878"/>
    <mergeCell ref="A879:G879"/>
    <mergeCell ref="A880:G880"/>
    <mergeCell ref="A881:G881"/>
    <mergeCell ref="A882:G882"/>
    <mergeCell ref="A883:G883"/>
    <mergeCell ref="A872:G872"/>
    <mergeCell ref="C873:D873"/>
    <mergeCell ref="C874:D874"/>
    <mergeCell ref="C875:D875"/>
    <mergeCell ref="A876:G876"/>
    <mergeCell ref="A877:G877"/>
    <mergeCell ref="A866:B866"/>
    <mergeCell ref="A867:B867"/>
    <mergeCell ref="A868:G868"/>
    <mergeCell ref="A869:B869"/>
    <mergeCell ref="A870:B870"/>
    <mergeCell ref="A871:B871"/>
    <mergeCell ref="A891:G891"/>
    <mergeCell ref="A928:B928"/>
    <mergeCell ref="A929:B929"/>
    <mergeCell ref="A930:B930"/>
    <mergeCell ref="A931:G931"/>
    <mergeCell ref="A932:B932"/>
    <mergeCell ref="C888:D888"/>
    <mergeCell ref="E888:G888"/>
    <mergeCell ref="C889:D889"/>
    <mergeCell ref="E889:G889"/>
    <mergeCell ref="C890:D890"/>
    <mergeCell ref="E890:G890"/>
    <mergeCell ref="B884:G884"/>
    <mergeCell ref="B885:D885"/>
    <mergeCell ref="E885:G885"/>
    <mergeCell ref="C886:D886"/>
    <mergeCell ref="E886:G886"/>
    <mergeCell ref="C887:D887"/>
    <mergeCell ref="E887:G887"/>
    <mergeCell ref="A945:G945"/>
    <mergeCell ref="A946:G946"/>
    <mergeCell ref="B947:G947"/>
    <mergeCell ref="B948:D948"/>
    <mergeCell ref="E948:G948"/>
    <mergeCell ref="C949:D949"/>
    <mergeCell ref="E949:G949"/>
    <mergeCell ref="A939:G939"/>
    <mergeCell ref="A940:G940"/>
    <mergeCell ref="A941:G941"/>
    <mergeCell ref="A942:G942"/>
    <mergeCell ref="A943:G943"/>
    <mergeCell ref="A944:G944"/>
    <mergeCell ref="A933:B933"/>
    <mergeCell ref="A934:B934"/>
    <mergeCell ref="A935:G935"/>
    <mergeCell ref="C936:D936"/>
    <mergeCell ref="C937:D937"/>
    <mergeCell ref="C938:D938"/>
    <mergeCell ref="A994:G994"/>
    <mergeCell ref="A995:B995"/>
    <mergeCell ref="A996:B996"/>
    <mergeCell ref="A997:B997"/>
    <mergeCell ref="A998:G998"/>
    <mergeCell ref="C999:D999"/>
    <mergeCell ref="C953:D953"/>
    <mergeCell ref="E953:G953"/>
    <mergeCell ref="A954:G954"/>
    <mergeCell ref="A991:B991"/>
    <mergeCell ref="A992:B992"/>
    <mergeCell ref="A993:B993"/>
    <mergeCell ref="C950:D950"/>
    <mergeCell ref="E950:G950"/>
    <mergeCell ref="C951:D951"/>
    <mergeCell ref="E951:G951"/>
    <mergeCell ref="C952:D952"/>
    <mergeCell ref="E952:G952"/>
    <mergeCell ref="C1012:D1012"/>
    <mergeCell ref="E1012:G1012"/>
    <mergeCell ref="C1013:D1013"/>
    <mergeCell ref="E1013:G1013"/>
    <mergeCell ref="C1014:D1014"/>
    <mergeCell ref="E1014:G1014"/>
    <mergeCell ref="A1006:G1006"/>
    <mergeCell ref="A1007:G1007"/>
    <mergeCell ref="A1008:G1008"/>
    <mergeCell ref="A1009:G1009"/>
    <mergeCell ref="B1010:G1010"/>
    <mergeCell ref="B1011:D1011"/>
    <mergeCell ref="E1011:G1011"/>
    <mergeCell ref="C1000:D1000"/>
    <mergeCell ref="C1001:D1001"/>
    <mergeCell ref="A1002:G1002"/>
    <mergeCell ref="A1003:G1003"/>
    <mergeCell ref="A1004:G1004"/>
    <mergeCell ref="A1005:G1005"/>
    <mergeCell ref="A1061:G1061"/>
    <mergeCell ref="C1062:D1062"/>
    <mergeCell ref="C1063:D1063"/>
    <mergeCell ref="C1064:D1064"/>
    <mergeCell ref="A1065:G1065"/>
    <mergeCell ref="A1066:G1066"/>
    <mergeCell ref="A1055:B1055"/>
    <mergeCell ref="A1056:B1056"/>
    <mergeCell ref="A1057:G1057"/>
    <mergeCell ref="A1058:B1058"/>
    <mergeCell ref="A1059:B1059"/>
    <mergeCell ref="A1060:B1060"/>
    <mergeCell ref="C1015:D1015"/>
    <mergeCell ref="E1015:G1015"/>
    <mergeCell ref="C1016:D1016"/>
    <mergeCell ref="E1016:G1016"/>
    <mergeCell ref="A1017:G1017"/>
    <mergeCell ref="A1054:B1054"/>
    <mergeCell ref="C1077:D1077"/>
    <mergeCell ref="E1077:G1077"/>
    <mergeCell ref="C1078:D1078"/>
    <mergeCell ref="E1078:G1078"/>
    <mergeCell ref="C1079:D1079"/>
    <mergeCell ref="E1079:G1079"/>
    <mergeCell ref="B1073:G1073"/>
    <mergeCell ref="B1074:D1074"/>
    <mergeCell ref="E1074:G1074"/>
    <mergeCell ref="C1075:D1075"/>
    <mergeCell ref="E1075:G1075"/>
    <mergeCell ref="C1076:D1076"/>
    <mergeCell ref="E1076:G1076"/>
    <mergeCell ref="A1067:G1067"/>
    <mergeCell ref="A1068:G1068"/>
    <mergeCell ref="A1069:G1069"/>
    <mergeCell ref="A1070:G1070"/>
    <mergeCell ref="A1071:G1071"/>
    <mergeCell ref="A1072:G1072"/>
    <mergeCell ref="A1128:G1128"/>
    <mergeCell ref="A1129:G1129"/>
    <mergeCell ref="A1130:G1130"/>
    <mergeCell ref="A1131:G1131"/>
    <mergeCell ref="A1132:G1132"/>
    <mergeCell ref="A1133:G1133"/>
    <mergeCell ref="A1122:B1122"/>
    <mergeCell ref="A1123:B1123"/>
    <mergeCell ref="A1124:G1124"/>
    <mergeCell ref="C1125:D1125"/>
    <mergeCell ref="C1126:D1126"/>
    <mergeCell ref="C1127:D1127"/>
    <mergeCell ref="A1080:G1080"/>
    <mergeCell ref="A1117:B1117"/>
    <mergeCell ref="A1118:B1118"/>
    <mergeCell ref="A1119:B1119"/>
    <mergeCell ref="A1120:G1120"/>
    <mergeCell ref="A1121:B1121"/>
    <mergeCell ref="C1142:D1142"/>
    <mergeCell ref="E1142:G1142"/>
    <mergeCell ref="A1143:G1143"/>
    <mergeCell ref="A1180:B1180"/>
    <mergeCell ref="A1181:B1181"/>
    <mergeCell ref="A1182:B1182"/>
    <mergeCell ref="C1139:D1139"/>
    <mergeCell ref="E1139:G1139"/>
    <mergeCell ref="C1140:D1140"/>
    <mergeCell ref="E1140:G1140"/>
    <mergeCell ref="C1141:D1141"/>
    <mergeCell ref="E1141:G1141"/>
    <mergeCell ref="A1134:G1134"/>
    <mergeCell ref="A1135:G1135"/>
    <mergeCell ref="B1136:G1136"/>
    <mergeCell ref="B1137:D1137"/>
    <mergeCell ref="E1137:G1137"/>
    <mergeCell ref="C1138:D1138"/>
    <mergeCell ref="E1138:G1138"/>
    <mergeCell ref="A1195:G1195"/>
    <mergeCell ref="A1196:G1196"/>
    <mergeCell ref="A1197:G1197"/>
    <mergeCell ref="A1198:G1198"/>
    <mergeCell ref="B1199:G1199"/>
    <mergeCell ref="B1200:D1200"/>
    <mergeCell ref="E1200:G1200"/>
    <mergeCell ref="C1189:D1189"/>
    <mergeCell ref="C1190:D1190"/>
    <mergeCell ref="A1191:G1191"/>
    <mergeCell ref="A1192:G1192"/>
    <mergeCell ref="A1193:G1193"/>
    <mergeCell ref="A1194:G1194"/>
    <mergeCell ref="A1183:G1183"/>
    <mergeCell ref="A1184:B1184"/>
    <mergeCell ref="A1185:B1185"/>
    <mergeCell ref="A1186:B1186"/>
    <mergeCell ref="A1187:G1187"/>
    <mergeCell ref="C1188:D1188"/>
    <mergeCell ref="A1244:B1244"/>
    <mergeCell ref="A1245:B1245"/>
    <mergeCell ref="A1246:G1246"/>
    <mergeCell ref="A1247:B1247"/>
    <mergeCell ref="A1248:B1248"/>
    <mergeCell ref="A1249:B1249"/>
    <mergeCell ref="C1204:D1204"/>
    <mergeCell ref="E1204:G1204"/>
    <mergeCell ref="C1205:D1205"/>
    <mergeCell ref="E1205:G1205"/>
    <mergeCell ref="A1206:G1206"/>
    <mergeCell ref="A1243:B1243"/>
    <mergeCell ref="C1201:D1201"/>
    <mergeCell ref="E1201:G1201"/>
    <mergeCell ref="C1202:D1202"/>
    <mergeCell ref="E1202:G1202"/>
    <mergeCell ref="C1203:D1203"/>
    <mergeCell ref="E1203:G1203"/>
    <mergeCell ref="B1262:G1262"/>
    <mergeCell ref="B1263:D1263"/>
    <mergeCell ref="E1263:G1263"/>
    <mergeCell ref="C1264:D1264"/>
    <mergeCell ref="E1264:G1264"/>
    <mergeCell ref="C1265:D1265"/>
    <mergeCell ref="E1265:G1265"/>
    <mergeCell ref="A1256:G1256"/>
    <mergeCell ref="A1257:G1257"/>
    <mergeCell ref="A1258:G1258"/>
    <mergeCell ref="A1259:G1259"/>
    <mergeCell ref="A1260:G1260"/>
    <mergeCell ref="A1261:G1261"/>
    <mergeCell ref="A1250:G1250"/>
    <mergeCell ref="C1251:D1251"/>
    <mergeCell ref="C1252:D1252"/>
    <mergeCell ref="C1253:D1253"/>
    <mergeCell ref="A1254:G1254"/>
    <mergeCell ref="A1255:G1255"/>
    <mergeCell ref="A1311:B1311"/>
    <mergeCell ref="A1312:B1312"/>
    <mergeCell ref="A1313:G1313"/>
    <mergeCell ref="C1314:D1314"/>
    <mergeCell ref="C1315:D1315"/>
    <mergeCell ref="C1316:D1316"/>
    <mergeCell ref="A1269:G1269"/>
    <mergeCell ref="A1306:B1306"/>
    <mergeCell ref="A1307:B1307"/>
    <mergeCell ref="A1308:B1308"/>
    <mergeCell ref="A1309:G1309"/>
    <mergeCell ref="A1310:B1310"/>
    <mergeCell ref="C1266:D1266"/>
    <mergeCell ref="E1266:G1266"/>
    <mergeCell ref="C1267:D1267"/>
    <mergeCell ref="E1267:G1267"/>
    <mergeCell ref="C1268:D1268"/>
    <mergeCell ref="E1268:G1268"/>
    <mergeCell ref="C1328:D1328"/>
    <mergeCell ref="E1328:G1328"/>
    <mergeCell ref="C1329:D1329"/>
    <mergeCell ref="E1329:G1329"/>
    <mergeCell ref="C1330:D1330"/>
    <mergeCell ref="E1330:G1330"/>
    <mergeCell ref="A1323:G1323"/>
    <mergeCell ref="A1324:G1324"/>
    <mergeCell ref="B1325:G1325"/>
    <mergeCell ref="B1326:D1326"/>
    <mergeCell ref="E1326:G1326"/>
    <mergeCell ref="C1327:D1327"/>
    <mergeCell ref="E1327:G1327"/>
    <mergeCell ref="A1317:G1317"/>
    <mergeCell ref="A1318:G1318"/>
    <mergeCell ref="A1319:G1319"/>
    <mergeCell ref="A1320:G1320"/>
    <mergeCell ref="A1321:G1321"/>
    <mergeCell ref="A1322:G1322"/>
    <mergeCell ref="C1378:D1378"/>
    <mergeCell ref="C1379:D1379"/>
    <mergeCell ref="A1380:G1380"/>
    <mergeCell ref="A1381:G1381"/>
    <mergeCell ref="A1382:G1382"/>
    <mergeCell ref="A1383:G1383"/>
    <mergeCell ref="A1372:G1372"/>
    <mergeCell ref="A1373:B1373"/>
    <mergeCell ref="A1374:B1374"/>
    <mergeCell ref="A1375:B1375"/>
    <mergeCell ref="A1376:G1376"/>
    <mergeCell ref="C1377:D1377"/>
    <mergeCell ref="C1331:D1331"/>
    <mergeCell ref="E1331:G1331"/>
    <mergeCell ref="A1332:G1332"/>
    <mergeCell ref="A1369:B1369"/>
    <mergeCell ref="A1370:B1370"/>
    <mergeCell ref="A1371:B1371"/>
    <mergeCell ref="C1393:D1393"/>
    <mergeCell ref="E1393:G1393"/>
    <mergeCell ref="C1394:D1394"/>
    <mergeCell ref="E1394:G1394"/>
    <mergeCell ref="A1395:G1395"/>
    <mergeCell ref="A1432:B1432"/>
    <mergeCell ref="C1390:D1390"/>
    <mergeCell ref="E1390:G1390"/>
    <mergeCell ref="C1391:D1391"/>
    <mergeCell ref="E1391:G1391"/>
    <mergeCell ref="C1392:D1392"/>
    <mergeCell ref="E1392:G1392"/>
    <mergeCell ref="A1384:G1384"/>
    <mergeCell ref="A1385:G1385"/>
    <mergeCell ref="A1386:G1386"/>
    <mergeCell ref="A1387:G1387"/>
    <mergeCell ref="B1388:G1388"/>
    <mergeCell ref="B1389:D1389"/>
    <mergeCell ref="E1389:G1389"/>
    <mergeCell ref="A1445:G1445"/>
    <mergeCell ref="A1446:G1446"/>
    <mergeCell ref="A1447:G1447"/>
    <mergeCell ref="A1448:G1448"/>
    <mergeCell ref="A1449:G1449"/>
    <mergeCell ref="A1450:G1450"/>
    <mergeCell ref="A1439:G1439"/>
    <mergeCell ref="C1440:D1440"/>
    <mergeCell ref="C1441:D1441"/>
    <mergeCell ref="C1442:D1442"/>
    <mergeCell ref="A1443:G1443"/>
    <mergeCell ref="A1444:G1444"/>
    <mergeCell ref="A1433:B1433"/>
    <mergeCell ref="A1434:B1434"/>
    <mergeCell ref="A1435:G1435"/>
    <mergeCell ref="A1436:B1436"/>
    <mergeCell ref="A1437:B1437"/>
    <mergeCell ref="A1438:B1438"/>
    <mergeCell ref="A1458:G1458"/>
    <mergeCell ref="A1495:B1495"/>
    <mergeCell ref="A1496:B1496"/>
    <mergeCell ref="A1497:B1497"/>
    <mergeCell ref="A1498:G1498"/>
    <mergeCell ref="A1499:B1499"/>
    <mergeCell ref="C1455:D1455"/>
    <mergeCell ref="E1455:G1455"/>
    <mergeCell ref="C1456:D1456"/>
    <mergeCell ref="E1456:G1456"/>
    <mergeCell ref="C1457:D1457"/>
    <mergeCell ref="E1457:G1457"/>
    <mergeCell ref="B1451:G1451"/>
    <mergeCell ref="B1452:D1452"/>
    <mergeCell ref="E1452:G1452"/>
    <mergeCell ref="C1453:D1453"/>
    <mergeCell ref="E1453:G1453"/>
    <mergeCell ref="C1454:D1454"/>
    <mergeCell ref="E1454:G1454"/>
    <mergeCell ref="A1512:G1512"/>
    <mergeCell ref="A1513:G1513"/>
    <mergeCell ref="B1514:G1514"/>
    <mergeCell ref="B1515:D1515"/>
    <mergeCell ref="E1515:G1515"/>
    <mergeCell ref="C1516:D1516"/>
    <mergeCell ref="E1516:G1516"/>
    <mergeCell ref="A1506:G1506"/>
    <mergeCell ref="A1507:G1507"/>
    <mergeCell ref="A1508:G1508"/>
    <mergeCell ref="A1509:G1509"/>
    <mergeCell ref="A1510:G1510"/>
    <mergeCell ref="A1511:G1511"/>
    <mergeCell ref="A1500:B1500"/>
    <mergeCell ref="A1501:B1501"/>
    <mergeCell ref="A1502:G1502"/>
    <mergeCell ref="C1503:D1503"/>
    <mergeCell ref="C1504:D1504"/>
    <mergeCell ref="C1505:D1505"/>
    <mergeCell ref="A1561:G1561"/>
    <mergeCell ref="A1562:B1562"/>
    <mergeCell ref="A1563:B1563"/>
    <mergeCell ref="A1564:B1564"/>
    <mergeCell ref="A1565:G1565"/>
    <mergeCell ref="C1566:D1566"/>
    <mergeCell ref="C1520:D1520"/>
    <mergeCell ref="E1520:G1520"/>
    <mergeCell ref="A1521:G1521"/>
    <mergeCell ref="A1558:B1558"/>
    <mergeCell ref="A1559:B1559"/>
    <mergeCell ref="A1560:B1560"/>
    <mergeCell ref="C1517:D1517"/>
    <mergeCell ref="E1517:G1517"/>
    <mergeCell ref="C1518:D1518"/>
    <mergeCell ref="E1518:G1518"/>
    <mergeCell ref="C1519:D1519"/>
    <mergeCell ref="E1519:G1519"/>
    <mergeCell ref="C1579:D1579"/>
    <mergeCell ref="E1579:G1579"/>
    <mergeCell ref="C1580:D1580"/>
    <mergeCell ref="E1580:G1580"/>
    <mergeCell ref="C1581:D1581"/>
    <mergeCell ref="E1581:G1581"/>
    <mergeCell ref="A1573:G1573"/>
    <mergeCell ref="A1574:G1574"/>
    <mergeCell ref="A1575:G1575"/>
    <mergeCell ref="A1576:G1576"/>
    <mergeCell ref="B1577:G1577"/>
    <mergeCell ref="B1578:D1578"/>
    <mergeCell ref="E1578:G1578"/>
    <mergeCell ref="C1567:D1567"/>
    <mergeCell ref="C1568:D1568"/>
    <mergeCell ref="A1569:G1569"/>
    <mergeCell ref="A1570:G1570"/>
    <mergeCell ref="A1571:G1571"/>
    <mergeCell ref="A1572:G1572"/>
    <mergeCell ref="A1628:G1628"/>
    <mergeCell ref="C1629:D1629"/>
    <mergeCell ref="C1630:D1630"/>
    <mergeCell ref="C1631:D1631"/>
    <mergeCell ref="A1632:G1632"/>
    <mergeCell ref="A1633:G1633"/>
    <mergeCell ref="A1622:B1622"/>
    <mergeCell ref="A1623:B1623"/>
    <mergeCell ref="A1624:G1624"/>
    <mergeCell ref="A1625:B1625"/>
    <mergeCell ref="A1626:B1626"/>
    <mergeCell ref="A1627:B1627"/>
    <mergeCell ref="C1582:D1582"/>
    <mergeCell ref="E1582:G1582"/>
    <mergeCell ref="C1583:D1583"/>
    <mergeCell ref="E1583:G1583"/>
    <mergeCell ref="A1584:G1584"/>
    <mergeCell ref="A1621:B1621"/>
    <mergeCell ref="C1644:D1644"/>
    <mergeCell ref="E1644:G1644"/>
    <mergeCell ref="C1645:D1645"/>
    <mergeCell ref="E1645:G1645"/>
    <mergeCell ref="C1646:D1646"/>
    <mergeCell ref="E1646:G1646"/>
    <mergeCell ref="B1640:G1640"/>
    <mergeCell ref="B1641:D1641"/>
    <mergeCell ref="E1641:G1641"/>
    <mergeCell ref="C1642:D1642"/>
    <mergeCell ref="E1642:G1642"/>
    <mergeCell ref="C1643:D1643"/>
    <mergeCell ref="E1643:G1643"/>
    <mergeCell ref="A1634:G1634"/>
    <mergeCell ref="A1635:G1635"/>
    <mergeCell ref="A1636:G1636"/>
    <mergeCell ref="A1637:G1637"/>
    <mergeCell ref="A1638:G1638"/>
    <mergeCell ref="A1639:G1639"/>
    <mergeCell ref="A1695:G1695"/>
    <mergeCell ref="A1696:G1696"/>
    <mergeCell ref="A1697:G1697"/>
    <mergeCell ref="A1698:G1698"/>
    <mergeCell ref="A1699:G1699"/>
    <mergeCell ref="A1700:G1700"/>
    <mergeCell ref="A1689:B1689"/>
    <mergeCell ref="A1690:B1690"/>
    <mergeCell ref="A1691:G1691"/>
    <mergeCell ref="C1692:D1692"/>
    <mergeCell ref="C1693:D1693"/>
    <mergeCell ref="C1694:D1694"/>
    <mergeCell ref="A1647:G1647"/>
    <mergeCell ref="A1684:B1684"/>
    <mergeCell ref="A1685:B1685"/>
    <mergeCell ref="A1686:B1686"/>
    <mergeCell ref="A1687:G1687"/>
    <mergeCell ref="A1688:B1688"/>
    <mergeCell ref="C1709:D1709"/>
    <mergeCell ref="E1709:G1709"/>
    <mergeCell ref="A1710:G1710"/>
    <mergeCell ref="A1747:B1747"/>
    <mergeCell ref="A1748:B1748"/>
    <mergeCell ref="A1749:B1749"/>
    <mergeCell ref="C1706:D1706"/>
    <mergeCell ref="E1706:G1706"/>
    <mergeCell ref="C1707:D1707"/>
    <mergeCell ref="E1707:G1707"/>
    <mergeCell ref="C1708:D1708"/>
    <mergeCell ref="E1708:G1708"/>
    <mergeCell ref="A1701:G1701"/>
    <mergeCell ref="A1702:G1702"/>
    <mergeCell ref="B1703:G1703"/>
    <mergeCell ref="B1704:D1704"/>
    <mergeCell ref="E1704:G1704"/>
    <mergeCell ref="C1705:D1705"/>
    <mergeCell ref="E1705:G1705"/>
    <mergeCell ref="A1762:G1762"/>
    <mergeCell ref="A1763:G1763"/>
    <mergeCell ref="A1764:G1764"/>
    <mergeCell ref="A1765:G1765"/>
    <mergeCell ref="B1766:G1766"/>
    <mergeCell ref="B1767:D1767"/>
    <mergeCell ref="E1767:G1767"/>
    <mergeCell ref="C1756:D1756"/>
    <mergeCell ref="C1757:D1757"/>
    <mergeCell ref="A1758:G1758"/>
    <mergeCell ref="A1759:G1759"/>
    <mergeCell ref="A1760:G1760"/>
    <mergeCell ref="A1761:G1761"/>
    <mergeCell ref="A1750:G1750"/>
    <mergeCell ref="A1751:B1751"/>
    <mergeCell ref="A1752:B1752"/>
    <mergeCell ref="A1753:B1753"/>
    <mergeCell ref="A1754:G1754"/>
    <mergeCell ref="C1755:D1755"/>
    <mergeCell ref="A1811:B1811"/>
    <mergeCell ref="A1812:B1812"/>
    <mergeCell ref="A1813:G1813"/>
    <mergeCell ref="A1814:B1814"/>
    <mergeCell ref="A1815:B1815"/>
    <mergeCell ref="A1816:B1816"/>
    <mergeCell ref="C1771:D1771"/>
    <mergeCell ref="E1771:G1771"/>
    <mergeCell ref="C1772:D1772"/>
    <mergeCell ref="E1772:G1772"/>
    <mergeCell ref="A1773:G1773"/>
    <mergeCell ref="A1810:B1810"/>
    <mergeCell ref="C1768:D1768"/>
    <mergeCell ref="E1768:G1768"/>
    <mergeCell ref="C1769:D1769"/>
    <mergeCell ref="E1769:G1769"/>
    <mergeCell ref="C1770:D1770"/>
    <mergeCell ref="E1770:G1770"/>
    <mergeCell ref="B1829:G1829"/>
    <mergeCell ref="B1830:D1830"/>
    <mergeCell ref="E1830:G1830"/>
    <mergeCell ref="C1831:D1831"/>
    <mergeCell ref="E1831:G1831"/>
    <mergeCell ref="C1832:D1832"/>
    <mergeCell ref="E1832:G1832"/>
    <mergeCell ref="A1823:G1823"/>
    <mergeCell ref="A1824:G1824"/>
    <mergeCell ref="A1825:G1825"/>
    <mergeCell ref="A1826:G1826"/>
    <mergeCell ref="A1827:G1827"/>
    <mergeCell ref="A1828:G1828"/>
    <mergeCell ref="A1817:G1817"/>
    <mergeCell ref="C1818:D1818"/>
    <mergeCell ref="C1819:D1819"/>
    <mergeCell ref="C1820:D1820"/>
    <mergeCell ref="A1821:G1821"/>
    <mergeCell ref="A1822:G1822"/>
    <mergeCell ref="A1878:B1878"/>
    <mergeCell ref="A1879:B1879"/>
    <mergeCell ref="A1880:G1880"/>
    <mergeCell ref="C1881:D1881"/>
    <mergeCell ref="C1882:D1882"/>
    <mergeCell ref="C1883:D1883"/>
    <mergeCell ref="A1836:G1836"/>
    <mergeCell ref="A1873:B1873"/>
    <mergeCell ref="A1874:B1874"/>
    <mergeCell ref="A1875:B1875"/>
    <mergeCell ref="A1876:G1876"/>
    <mergeCell ref="A1877:B1877"/>
    <mergeCell ref="C1833:D1833"/>
    <mergeCell ref="E1833:G1833"/>
    <mergeCell ref="C1834:D1834"/>
    <mergeCell ref="E1834:G1834"/>
    <mergeCell ref="C1835:D1835"/>
    <mergeCell ref="E1835:G1835"/>
    <mergeCell ref="C1895:D1895"/>
    <mergeCell ref="E1895:G1895"/>
    <mergeCell ref="C1896:D1896"/>
    <mergeCell ref="E1896:G1896"/>
    <mergeCell ref="C1897:D1897"/>
    <mergeCell ref="E1897:G1897"/>
    <mergeCell ref="A1890:G1890"/>
    <mergeCell ref="A1891:G1891"/>
    <mergeCell ref="B1892:G1892"/>
    <mergeCell ref="B1893:D1893"/>
    <mergeCell ref="E1893:G1893"/>
    <mergeCell ref="C1894:D1894"/>
    <mergeCell ref="E1894:G1894"/>
    <mergeCell ref="A1884:G1884"/>
    <mergeCell ref="A1885:G1885"/>
    <mergeCell ref="A1886:G1886"/>
    <mergeCell ref="A1887:G1887"/>
    <mergeCell ref="A1888:G1888"/>
    <mergeCell ref="A1889:G1889"/>
    <mergeCell ref="A1951:G1951"/>
    <mergeCell ref="A1952:G1952"/>
    <mergeCell ref="A1953:G1953"/>
    <mergeCell ref="C1945:D1945"/>
    <mergeCell ref="C1946:D1946"/>
    <mergeCell ref="A1947:G1947"/>
    <mergeCell ref="A1948:G1948"/>
    <mergeCell ref="A1949:G1949"/>
    <mergeCell ref="A1950:G1950"/>
    <mergeCell ref="A1939:G1939"/>
    <mergeCell ref="A1940:B1940"/>
    <mergeCell ref="A1941:B1941"/>
    <mergeCell ref="A1942:B1942"/>
    <mergeCell ref="A1943:G1943"/>
    <mergeCell ref="C1944:D1944"/>
    <mergeCell ref="C1898:D1898"/>
    <mergeCell ref="E1898:G1898"/>
    <mergeCell ref="A1899:G1899"/>
    <mergeCell ref="A1936:B1936"/>
    <mergeCell ref="A1937:B1937"/>
    <mergeCell ref="A1938:B1938"/>
  </mergeCells>
  <phoneticPr fontId="2" type="noConversion"/>
  <pageMargins left="0.43307086614173229" right="0.23622047244094491" top="0.74803149606299213" bottom="0.59055118110236227" header="0.31496062992125984" footer="0.31496062992125984"/>
  <pageSetup paperSize="9" scale="67" fitToHeight="0" orientation="portrait" r:id="rId1"/>
  <rowBreaks count="62" manualBreakCount="62">
    <brk id="52" max="6" man="1"/>
    <brk id="63" max="16383" man="1"/>
    <brk id="115" max="6" man="1"/>
    <brk id="126" max="6" man="1"/>
    <brk id="178" max="6" man="1"/>
    <brk id="189" max="6" man="1"/>
    <brk id="241" max="6" man="1"/>
    <brk id="252" max="6" man="1"/>
    <brk id="304" max="6" man="1"/>
    <brk id="315" max="6" man="1"/>
    <brk id="367" max="6" man="1"/>
    <brk id="378" max="6" man="1"/>
    <brk id="430" max="6" man="1"/>
    <brk id="441" max="6" man="1"/>
    <brk id="493" max="6" man="1"/>
    <brk id="504" max="6" man="1"/>
    <brk id="556" max="6" man="1"/>
    <brk id="567" max="6" man="1"/>
    <brk id="619" max="6" man="1"/>
    <brk id="630" max="6" man="1"/>
    <brk id="682" max="6" man="1"/>
    <brk id="693" max="6" man="1"/>
    <brk id="745" max="6" man="1"/>
    <brk id="756" max="6" man="1"/>
    <brk id="808" max="6" man="1"/>
    <brk id="819" max="6" man="1"/>
    <brk id="871" max="6" man="1"/>
    <brk id="882" max="6" man="1"/>
    <brk id="934" max="6" man="1"/>
    <brk id="945" max="6" man="1"/>
    <brk id="997" max="6" man="1"/>
    <brk id="1008" max="6" man="1"/>
    <brk id="1060" max="6" man="1"/>
    <brk id="1071" max="6" man="1"/>
    <brk id="1123" max="6" man="1"/>
    <brk id="1134" max="6" man="1"/>
    <brk id="1186" max="6" man="1"/>
    <brk id="1197" max="6" man="1"/>
    <brk id="1249" max="6" man="1"/>
    <brk id="1260" max="6" man="1"/>
    <brk id="1312" max="6" man="1"/>
    <brk id="1323" max="6" man="1"/>
    <brk id="1375" max="6" man="1"/>
    <brk id="1386" max="6" man="1"/>
    <brk id="1438" max="6" man="1"/>
    <brk id="1449" max="6" man="1"/>
    <brk id="1501" max="6" man="1"/>
    <brk id="1512" max="6" man="1"/>
    <brk id="1564" max="6" man="1"/>
    <brk id="1575" max="6" man="1"/>
    <brk id="1627" max="6" man="1"/>
    <brk id="1638" max="6" man="1"/>
    <brk id="1690" max="6" man="1"/>
    <brk id="1701" max="6" man="1"/>
    <brk id="1753" max="6" man="1"/>
    <brk id="1764" max="6" man="1"/>
    <brk id="1816" max="6" man="1"/>
    <brk id="1827" max="6" man="1"/>
    <brk id="1879" max="6" man="1"/>
    <brk id="1890" max="6" man="1"/>
    <brk id="1942" max="6" man="1"/>
    <brk id="195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A432C-40DE-42BD-A80A-77270AA3D6C4}">
  <sheetPr>
    <pageSetUpPr fitToPage="1"/>
  </sheetPr>
  <dimension ref="A1:J1953"/>
  <sheetViews>
    <sheetView view="pageBreakPreview" zoomScaleNormal="85" zoomScaleSheetLayoutView="100" workbookViewId="0">
      <selection activeCell="J1" sqref="J1:J1048576"/>
    </sheetView>
  </sheetViews>
  <sheetFormatPr defaultColWidth="9.875" defaultRowHeight="16.2"/>
  <cols>
    <col min="1" max="1" width="16.25" style="1" customWidth="1"/>
    <col min="2" max="2" width="67.25" style="1" customWidth="1"/>
    <col min="3" max="3" width="6.75" style="1" customWidth="1"/>
    <col min="4" max="4" width="14.375" style="1" customWidth="1"/>
    <col min="5" max="5" width="18.375" style="1" customWidth="1"/>
    <col min="6" max="6" width="17.5" style="1" customWidth="1"/>
    <col min="7" max="7" width="15.25" style="1" customWidth="1"/>
    <col min="8" max="8" width="21.875" style="1" customWidth="1"/>
    <col min="9" max="9" width="18.75" style="1" customWidth="1"/>
    <col min="10" max="10" width="18.375" style="25" bestFit="1" customWidth="1"/>
    <col min="11" max="16384" width="9.875" style="1"/>
  </cols>
  <sheetData>
    <row r="1" spans="1:10" ht="37.200000000000003" customHeight="1">
      <c r="A1" s="103" t="s">
        <v>0</v>
      </c>
      <c r="B1" s="103"/>
      <c r="C1" s="103"/>
      <c r="D1" s="103"/>
      <c r="E1" s="103"/>
      <c r="F1" s="103"/>
      <c r="G1" s="103"/>
      <c r="J1" s="25">
        <v>1</v>
      </c>
    </row>
    <row r="2" spans="1:10" ht="16.95" customHeight="1">
      <c r="A2" s="1" t="s">
        <v>1</v>
      </c>
      <c r="B2" s="104">
        <v>2</v>
      </c>
      <c r="C2" s="104"/>
      <c r="D2" s="104"/>
      <c r="E2" s="104"/>
      <c r="F2" s="104"/>
      <c r="G2" s="104"/>
      <c r="J2" s="25">
        <v>1</v>
      </c>
    </row>
    <row r="3" spans="1:10" ht="16.95" customHeight="1">
      <c r="A3" s="1" t="s">
        <v>2</v>
      </c>
      <c r="B3" s="105" t="s">
        <v>63</v>
      </c>
      <c r="C3" s="105"/>
      <c r="D3" s="105"/>
      <c r="E3" s="106">
        <v>46204</v>
      </c>
      <c r="F3" s="106"/>
      <c r="G3" s="106"/>
      <c r="J3" s="25">
        <v>1</v>
      </c>
    </row>
    <row r="4" spans="1:10" ht="16.95" customHeight="1">
      <c r="A4" s="53" t="s">
        <v>3</v>
      </c>
      <c r="B4" s="2" t="s">
        <v>67</v>
      </c>
      <c r="C4" s="98" t="s">
        <v>4</v>
      </c>
      <c r="D4" s="98"/>
      <c r="E4" s="98" t="s">
        <v>47</v>
      </c>
      <c r="F4" s="98"/>
      <c r="G4" s="98"/>
      <c r="J4" s="25">
        <v>1</v>
      </c>
    </row>
    <row r="5" spans="1:10" ht="16.95" customHeight="1">
      <c r="A5" s="53" t="s">
        <v>5</v>
      </c>
      <c r="B5" s="54">
        <v>120</v>
      </c>
      <c r="C5" s="98" t="s">
        <v>6</v>
      </c>
      <c r="D5" s="98"/>
      <c r="E5" s="98" t="s">
        <v>123</v>
      </c>
      <c r="F5" s="98"/>
      <c r="G5" s="98"/>
      <c r="J5" s="25">
        <v>1</v>
      </c>
    </row>
    <row r="6" spans="1:10" ht="16.95" customHeight="1">
      <c r="A6" s="53" t="s">
        <v>7</v>
      </c>
      <c r="B6" s="54">
        <f>B2</f>
        <v>2</v>
      </c>
      <c r="C6" s="100" t="s">
        <v>8</v>
      </c>
      <c r="D6" s="100"/>
      <c r="E6" s="101">
        <f>B5-B6</f>
        <v>118</v>
      </c>
      <c r="F6" s="101"/>
      <c r="G6" s="101"/>
      <c r="J6" s="25">
        <v>1</v>
      </c>
    </row>
    <row r="7" spans="1:10" ht="16.95" customHeight="1">
      <c r="A7" s="53" t="s">
        <v>9</v>
      </c>
      <c r="B7" s="55">
        <v>46204</v>
      </c>
      <c r="C7" s="98" t="s">
        <v>10</v>
      </c>
      <c r="D7" s="98"/>
      <c r="E7" s="102">
        <f>B7+B5-1</f>
        <v>46323</v>
      </c>
      <c r="F7" s="102"/>
      <c r="G7" s="102"/>
      <c r="J7" s="25">
        <v>1</v>
      </c>
    </row>
    <row r="8" spans="1:10" ht="16.95" customHeight="1">
      <c r="A8" s="53" t="s">
        <v>11</v>
      </c>
      <c r="B8" s="56" t="e">
        <f>HLOOKUP(B2,進度表!$Q$2:$Z$3,2,1)+#REF!</f>
        <v>#REF!</v>
      </c>
      <c r="C8" s="98" t="s">
        <v>12</v>
      </c>
      <c r="D8" s="98"/>
      <c r="E8" s="99" t="e">
        <f>I46/I8+#REF!</f>
        <v>#REF!</v>
      </c>
      <c r="F8" s="99"/>
      <c r="G8" s="99"/>
      <c r="H8" s="3" t="s">
        <v>62</v>
      </c>
      <c r="I8" s="1">
        <v>2456000</v>
      </c>
      <c r="J8" s="25">
        <v>1</v>
      </c>
    </row>
    <row r="9" spans="1:10" ht="16.95" customHeight="1">
      <c r="A9" s="98" t="s">
        <v>13</v>
      </c>
      <c r="B9" s="98"/>
      <c r="C9" s="98"/>
      <c r="D9" s="98"/>
      <c r="E9" s="98"/>
      <c r="F9" s="98"/>
      <c r="G9" s="98"/>
      <c r="J9" s="25">
        <v>1</v>
      </c>
    </row>
    <row r="10" spans="1:10" ht="16.95" customHeight="1">
      <c r="A10" s="52" t="s">
        <v>14</v>
      </c>
      <c r="B10" s="52" t="s">
        <v>15</v>
      </c>
      <c r="C10" s="52" t="s">
        <v>16</v>
      </c>
      <c r="D10" s="52" t="s">
        <v>17</v>
      </c>
      <c r="E10" s="52" t="s">
        <v>18</v>
      </c>
      <c r="F10" s="52" t="s">
        <v>19</v>
      </c>
      <c r="G10" s="52" t="s">
        <v>20</v>
      </c>
      <c r="H10" s="3" t="s">
        <v>21</v>
      </c>
      <c r="I10" s="3" t="s">
        <v>22</v>
      </c>
      <c r="J10" s="25">
        <v>1</v>
      </c>
    </row>
    <row r="11" spans="1:10" ht="16.95" customHeight="1">
      <c r="A11" s="75" t="s">
        <v>65</v>
      </c>
      <c r="B11" s="76" t="s">
        <v>69</v>
      </c>
      <c r="C11" s="77"/>
      <c r="D11" s="78"/>
      <c r="E11" s="79"/>
      <c r="F11" s="79"/>
      <c r="G11" s="2"/>
      <c r="H11" s="37"/>
      <c r="I11" s="4"/>
      <c r="J11" s="25">
        <v>1</v>
      </c>
    </row>
    <row r="12" spans="1:10" ht="34.950000000000003" customHeight="1">
      <c r="A12" s="75">
        <v>1</v>
      </c>
      <c r="B12" s="80" t="s">
        <v>91</v>
      </c>
      <c r="C12" s="77" t="s">
        <v>48</v>
      </c>
      <c r="D12" s="78">
        <v>1</v>
      </c>
      <c r="E12" s="79"/>
      <c r="F12" s="79" t="e">
        <f>E12+#REF!</f>
        <v>#REF!</v>
      </c>
      <c r="G12" s="2"/>
      <c r="H12" s="37">
        <v>10508</v>
      </c>
      <c r="I12" s="4">
        <f>H12*E12</f>
        <v>0</v>
      </c>
      <c r="J12" s="25">
        <v>1</v>
      </c>
    </row>
    <row r="13" spans="1:10" ht="34.799999999999997" customHeight="1">
      <c r="A13" s="75">
        <v>2</v>
      </c>
      <c r="B13" s="80" t="s">
        <v>92</v>
      </c>
      <c r="C13" s="77" t="s">
        <v>48</v>
      </c>
      <c r="D13" s="78">
        <v>1</v>
      </c>
      <c r="E13" s="79"/>
      <c r="F13" s="79" t="e">
        <f>E13+#REF!</f>
        <v>#REF!</v>
      </c>
      <c r="G13" s="2"/>
      <c r="H13" s="37">
        <v>13223</v>
      </c>
      <c r="I13" s="4">
        <f>H13*E13</f>
        <v>0</v>
      </c>
      <c r="J13" s="25">
        <v>1</v>
      </c>
    </row>
    <row r="14" spans="1:10" ht="53.4" customHeight="1">
      <c r="A14" s="75">
        <v>3</v>
      </c>
      <c r="B14" s="80" t="s">
        <v>93</v>
      </c>
      <c r="C14" s="77" t="s">
        <v>48</v>
      </c>
      <c r="D14" s="78">
        <v>1</v>
      </c>
      <c r="E14" s="79"/>
      <c r="F14" s="79" t="e">
        <f>E14+#REF!</f>
        <v>#REF!</v>
      </c>
      <c r="G14" s="2"/>
      <c r="H14" s="37">
        <v>310497</v>
      </c>
      <c r="I14" s="4">
        <f t="shared" ref="I14:I45" si="0">H14*E14</f>
        <v>0</v>
      </c>
      <c r="J14" s="25">
        <v>1</v>
      </c>
    </row>
    <row r="15" spans="1:10" ht="16.95" customHeight="1">
      <c r="A15" s="75">
        <v>4</v>
      </c>
      <c r="B15" s="80" t="s">
        <v>94</v>
      </c>
      <c r="C15" s="77" t="s">
        <v>48</v>
      </c>
      <c r="D15" s="78">
        <v>1</v>
      </c>
      <c r="E15" s="79"/>
      <c r="F15" s="79" t="e">
        <f>E15+#REF!</f>
        <v>#REF!</v>
      </c>
      <c r="G15" s="2"/>
      <c r="H15" s="37">
        <v>8375</v>
      </c>
      <c r="I15" s="4">
        <f t="shared" si="0"/>
        <v>0</v>
      </c>
      <c r="J15" s="25">
        <v>1</v>
      </c>
    </row>
    <row r="16" spans="1:10" ht="16.95" customHeight="1">
      <c r="A16" s="75">
        <v>5</v>
      </c>
      <c r="B16" s="80" t="s">
        <v>95</v>
      </c>
      <c r="C16" s="77" t="s">
        <v>48</v>
      </c>
      <c r="D16" s="78">
        <v>1</v>
      </c>
      <c r="E16" s="79"/>
      <c r="F16" s="79" t="e">
        <f>E16+#REF!</f>
        <v>#REF!</v>
      </c>
      <c r="G16" s="2"/>
      <c r="H16" s="37">
        <v>51618</v>
      </c>
      <c r="I16" s="4">
        <f t="shared" si="0"/>
        <v>0</v>
      </c>
      <c r="J16" s="25">
        <v>1</v>
      </c>
    </row>
    <row r="17" spans="1:10" ht="16.95" customHeight="1">
      <c r="A17" s="75">
        <v>6</v>
      </c>
      <c r="B17" s="80" t="s">
        <v>96</v>
      </c>
      <c r="C17" s="77" t="s">
        <v>50</v>
      </c>
      <c r="D17" s="78">
        <v>11.55</v>
      </c>
      <c r="E17" s="79"/>
      <c r="F17" s="79" t="e">
        <f>E17+#REF!</f>
        <v>#REF!</v>
      </c>
      <c r="G17" s="2"/>
      <c r="H17" s="37">
        <v>1188</v>
      </c>
      <c r="I17" s="4">
        <f t="shared" si="0"/>
        <v>0</v>
      </c>
      <c r="J17" s="25">
        <v>1</v>
      </c>
    </row>
    <row r="18" spans="1:10" ht="34.950000000000003" customHeight="1">
      <c r="A18" s="75">
        <v>7</v>
      </c>
      <c r="B18" s="80" t="s">
        <v>97</v>
      </c>
      <c r="C18" s="77" t="s">
        <v>48</v>
      </c>
      <c r="D18" s="78">
        <v>1</v>
      </c>
      <c r="E18" s="79"/>
      <c r="F18" s="79" t="e">
        <f>E18+#REF!</f>
        <v>#REF!</v>
      </c>
      <c r="G18" s="2"/>
      <c r="H18" s="37">
        <v>21157</v>
      </c>
      <c r="I18" s="4">
        <f t="shared" si="0"/>
        <v>0</v>
      </c>
      <c r="J18" s="25">
        <v>1</v>
      </c>
    </row>
    <row r="19" spans="1:10" ht="16.95" customHeight="1">
      <c r="A19" s="75">
        <v>8</v>
      </c>
      <c r="B19" s="80" t="s">
        <v>98</v>
      </c>
      <c r="C19" s="77" t="s">
        <v>50</v>
      </c>
      <c r="D19" s="78">
        <v>387</v>
      </c>
      <c r="E19" s="79"/>
      <c r="F19" s="79" t="e">
        <f>E19+#REF!</f>
        <v>#REF!</v>
      </c>
      <c r="G19" s="2"/>
      <c r="H19" s="37">
        <v>705</v>
      </c>
      <c r="I19" s="4">
        <f t="shared" si="0"/>
        <v>0</v>
      </c>
      <c r="J19" s="25">
        <v>1</v>
      </c>
    </row>
    <row r="20" spans="1:10" ht="16.95" customHeight="1">
      <c r="A20" s="75">
        <v>9</v>
      </c>
      <c r="B20" s="80" t="s">
        <v>99</v>
      </c>
      <c r="C20" s="77" t="s">
        <v>50</v>
      </c>
      <c r="D20" s="78">
        <v>170</v>
      </c>
      <c r="E20" s="79"/>
      <c r="F20" s="79" t="e">
        <f>E20+#REF!</f>
        <v>#REF!</v>
      </c>
      <c r="G20" s="2"/>
      <c r="H20" s="37">
        <v>617</v>
      </c>
      <c r="I20" s="4">
        <f t="shared" si="0"/>
        <v>0</v>
      </c>
      <c r="J20" s="25">
        <v>1</v>
      </c>
    </row>
    <row r="21" spans="1:10" ht="16.95" customHeight="1">
      <c r="A21" s="75">
        <v>10</v>
      </c>
      <c r="B21" s="80" t="s">
        <v>100</v>
      </c>
      <c r="C21" s="77" t="s">
        <v>66</v>
      </c>
      <c r="D21" s="78">
        <v>15</v>
      </c>
      <c r="E21" s="79"/>
      <c r="F21" s="79" t="e">
        <f>E21+#REF!</f>
        <v>#REF!</v>
      </c>
      <c r="G21" s="2"/>
      <c r="H21" s="37">
        <v>617</v>
      </c>
      <c r="I21" s="4">
        <f t="shared" si="0"/>
        <v>0</v>
      </c>
      <c r="J21" s="25">
        <v>1</v>
      </c>
    </row>
    <row r="22" spans="1:10" ht="16.95" customHeight="1">
      <c r="A22" s="75">
        <v>11</v>
      </c>
      <c r="B22" s="80" t="s">
        <v>101</v>
      </c>
      <c r="C22" s="77" t="s">
        <v>50</v>
      </c>
      <c r="D22" s="78">
        <v>75</v>
      </c>
      <c r="E22" s="79"/>
      <c r="F22" s="79" t="e">
        <f>E22+#REF!</f>
        <v>#REF!</v>
      </c>
      <c r="G22" s="2"/>
      <c r="H22" s="37">
        <v>1146</v>
      </c>
      <c r="I22" s="4">
        <f t="shared" si="0"/>
        <v>0</v>
      </c>
      <c r="J22" s="25">
        <v>1</v>
      </c>
    </row>
    <row r="23" spans="1:10" ht="16.95" customHeight="1">
      <c r="A23" s="75">
        <v>12</v>
      </c>
      <c r="B23" s="80" t="s">
        <v>102</v>
      </c>
      <c r="C23" s="77" t="s">
        <v>50</v>
      </c>
      <c r="D23" s="78">
        <v>5</v>
      </c>
      <c r="E23" s="79"/>
      <c r="F23" s="79" t="e">
        <f>E23+#REF!</f>
        <v>#REF!</v>
      </c>
      <c r="G23" s="2"/>
      <c r="H23" s="37">
        <v>1455</v>
      </c>
      <c r="I23" s="4">
        <f t="shared" si="0"/>
        <v>0</v>
      </c>
      <c r="J23" s="25">
        <v>1</v>
      </c>
    </row>
    <row r="24" spans="1:10" ht="16.95" customHeight="1">
      <c r="A24" s="75">
        <v>13</v>
      </c>
      <c r="B24" s="80" t="s">
        <v>103</v>
      </c>
      <c r="C24" s="77" t="s">
        <v>50</v>
      </c>
      <c r="D24" s="78">
        <v>217</v>
      </c>
      <c r="E24" s="79"/>
      <c r="F24" s="79" t="e">
        <f>E24+#REF!</f>
        <v>#REF!</v>
      </c>
      <c r="G24" s="2"/>
      <c r="H24" s="37">
        <v>1410</v>
      </c>
      <c r="I24" s="4">
        <f t="shared" si="0"/>
        <v>0</v>
      </c>
      <c r="J24" s="25">
        <v>1</v>
      </c>
    </row>
    <row r="25" spans="1:10" ht="16.95" customHeight="1">
      <c r="A25" s="75">
        <v>14</v>
      </c>
      <c r="B25" s="80" t="s">
        <v>104</v>
      </c>
      <c r="C25" s="77" t="s">
        <v>49</v>
      </c>
      <c r="D25" s="78">
        <v>84</v>
      </c>
      <c r="E25" s="79"/>
      <c r="F25" s="79" t="e">
        <f>E25+#REF!</f>
        <v>#REF!</v>
      </c>
      <c r="G25" s="2"/>
      <c r="H25" s="37">
        <v>529</v>
      </c>
      <c r="I25" s="4">
        <f t="shared" si="0"/>
        <v>0</v>
      </c>
      <c r="J25" s="25">
        <v>1</v>
      </c>
    </row>
    <row r="26" spans="1:10" ht="16.95" customHeight="1">
      <c r="A26" s="75">
        <v>15</v>
      </c>
      <c r="B26" s="80" t="s">
        <v>105</v>
      </c>
      <c r="C26" s="77" t="s">
        <v>50</v>
      </c>
      <c r="D26" s="78">
        <v>1</v>
      </c>
      <c r="E26" s="79"/>
      <c r="F26" s="79" t="e">
        <f>E26+#REF!</f>
        <v>#REF!</v>
      </c>
      <c r="G26" s="2"/>
      <c r="H26" s="37">
        <v>1146</v>
      </c>
      <c r="I26" s="4">
        <f t="shared" si="0"/>
        <v>0</v>
      </c>
      <c r="J26" s="25">
        <v>1</v>
      </c>
    </row>
    <row r="27" spans="1:10" ht="34.799999999999997" customHeight="1">
      <c r="A27" s="75">
        <v>16</v>
      </c>
      <c r="B27" s="80" t="s">
        <v>106</v>
      </c>
      <c r="C27" s="77" t="s">
        <v>50</v>
      </c>
      <c r="D27" s="78">
        <v>314</v>
      </c>
      <c r="E27" s="79"/>
      <c r="F27" s="79" t="e">
        <f>E27+#REF!</f>
        <v>#REF!</v>
      </c>
      <c r="G27" s="2"/>
      <c r="H27" s="37">
        <v>185</v>
      </c>
      <c r="I27" s="4">
        <f t="shared" si="0"/>
        <v>0</v>
      </c>
      <c r="J27" s="25">
        <v>1</v>
      </c>
    </row>
    <row r="28" spans="1:10" ht="16.95" customHeight="1">
      <c r="A28" s="75">
        <v>17</v>
      </c>
      <c r="B28" s="80" t="s">
        <v>107</v>
      </c>
      <c r="C28" s="77" t="s">
        <v>48</v>
      </c>
      <c r="D28" s="78">
        <v>1</v>
      </c>
      <c r="E28" s="79"/>
      <c r="F28" s="79" t="e">
        <f>E28+#REF!</f>
        <v>#REF!</v>
      </c>
      <c r="G28" s="2"/>
      <c r="H28" s="37">
        <v>89918</v>
      </c>
      <c r="I28" s="4">
        <f t="shared" si="0"/>
        <v>0</v>
      </c>
      <c r="J28" s="25">
        <v>1</v>
      </c>
    </row>
    <row r="29" spans="1:10" ht="16.95" customHeight="1">
      <c r="A29" s="75">
        <v>18</v>
      </c>
      <c r="B29" s="80" t="s">
        <v>108</v>
      </c>
      <c r="C29" s="77" t="s">
        <v>120</v>
      </c>
      <c r="D29" s="78">
        <v>15</v>
      </c>
      <c r="E29" s="79"/>
      <c r="F29" s="79" t="e">
        <f>E29+#REF!</f>
        <v>#REF!</v>
      </c>
      <c r="G29" s="2"/>
      <c r="H29" s="37">
        <v>661</v>
      </c>
      <c r="I29" s="4">
        <f t="shared" si="0"/>
        <v>0</v>
      </c>
      <c r="J29" s="25">
        <v>1</v>
      </c>
    </row>
    <row r="30" spans="1:10" ht="16.95" customHeight="1">
      <c r="A30" s="75">
        <v>19</v>
      </c>
      <c r="B30" s="80" t="s">
        <v>109</v>
      </c>
      <c r="C30" s="77" t="s">
        <v>50</v>
      </c>
      <c r="D30" s="78">
        <v>82</v>
      </c>
      <c r="E30" s="79"/>
      <c r="F30" s="79" t="e">
        <f>E30+#REF!</f>
        <v>#REF!</v>
      </c>
      <c r="G30" s="2"/>
      <c r="H30" s="37">
        <v>2909</v>
      </c>
      <c r="I30" s="4">
        <f t="shared" si="0"/>
        <v>0</v>
      </c>
      <c r="J30" s="25">
        <v>1</v>
      </c>
    </row>
    <row r="31" spans="1:10" ht="16.95" customHeight="1">
      <c r="A31" s="75">
        <v>20</v>
      </c>
      <c r="B31" s="80" t="s">
        <v>110</v>
      </c>
      <c r="C31" s="77" t="s">
        <v>121</v>
      </c>
      <c r="D31" s="78">
        <v>12</v>
      </c>
      <c r="E31" s="79"/>
      <c r="F31" s="79" t="e">
        <f>E31+#REF!</f>
        <v>#REF!</v>
      </c>
      <c r="G31" s="2"/>
      <c r="H31" s="37">
        <v>882</v>
      </c>
      <c r="I31" s="4">
        <f t="shared" si="0"/>
        <v>0</v>
      </c>
      <c r="J31" s="25">
        <v>1</v>
      </c>
    </row>
    <row r="32" spans="1:10" ht="16.95" customHeight="1">
      <c r="A32" s="77">
        <v>21</v>
      </c>
      <c r="B32" s="80" t="s">
        <v>111</v>
      </c>
      <c r="C32" s="77" t="s">
        <v>122</v>
      </c>
      <c r="D32" s="78">
        <v>3</v>
      </c>
      <c r="E32" s="79"/>
      <c r="F32" s="79" t="e">
        <f>E32+#REF!</f>
        <v>#REF!</v>
      </c>
      <c r="G32" s="2"/>
      <c r="H32" s="38">
        <v>1869</v>
      </c>
      <c r="I32" s="4">
        <f t="shared" si="0"/>
        <v>0</v>
      </c>
      <c r="J32" s="25">
        <v>1</v>
      </c>
    </row>
    <row r="33" spans="1:10" ht="34.950000000000003" customHeight="1">
      <c r="A33" s="75">
        <v>22</v>
      </c>
      <c r="B33" s="80" t="s">
        <v>112</v>
      </c>
      <c r="C33" s="77" t="s">
        <v>48</v>
      </c>
      <c r="D33" s="78">
        <v>1</v>
      </c>
      <c r="E33" s="79"/>
      <c r="F33" s="79" t="e">
        <f>E33+#REF!</f>
        <v>#REF!</v>
      </c>
      <c r="G33" s="2"/>
      <c r="H33" s="37">
        <v>82206</v>
      </c>
      <c r="I33" s="4">
        <f t="shared" si="0"/>
        <v>0</v>
      </c>
      <c r="J33" s="25">
        <v>1</v>
      </c>
    </row>
    <row r="34" spans="1:10" ht="16.95" customHeight="1">
      <c r="A34" s="75">
        <v>23</v>
      </c>
      <c r="B34" s="80" t="s">
        <v>113</v>
      </c>
      <c r="C34" s="77" t="s">
        <v>48</v>
      </c>
      <c r="D34" s="78">
        <v>1</v>
      </c>
      <c r="E34" s="79"/>
      <c r="F34" s="79" t="e">
        <f>E34+#REF!</f>
        <v>#REF!</v>
      </c>
      <c r="G34" s="2"/>
      <c r="H34" s="37">
        <v>142723</v>
      </c>
      <c r="I34" s="4">
        <f t="shared" si="0"/>
        <v>0</v>
      </c>
      <c r="J34" s="25">
        <v>1</v>
      </c>
    </row>
    <row r="35" spans="1:10" ht="16.95" customHeight="1">
      <c r="A35" s="75">
        <v>24</v>
      </c>
      <c r="B35" s="80" t="s">
        <v>114</v>
      </c>
      <c r="C35" s="77" t="s">
        <v>48</v>
      </c>
      <c r="D35" s="78">
        <v>1</v>
      </c>
      <c r="E35" s="79"/>
      <c r="F35" s="79" t="e">
        <f>E35+#REF!</f>
        <v>#REF!</v>
      </c>
      <c r="G35" s="2"/>
      <c r="H35" s="37">
        <v>37290</v>
      </c>
      <c r="I35" s="4">
        <f t="shared" si="0"/>
        <v>0</v>
      </c>
      <c r="J35" s="25">
        <v>1</v>
      </c>
    </row>
    <row r="36" spans="1:10" ht="16.95" customHeight="1">
      <c r="A36" s="75">
        <v>25</v>
      </c>
      <c r="B36" s="80" t="s">
        <v>115</v>
      </c>
      <c r="C36" s="77" t="s">
        <v>48</v>
      </c>
      <c r="D36" s="78">
        <v>1</v>
      </c>
      <c r="E36" s="79"/>
      <c r="F36" s="79" t="e">
        <f>E36+#REF!</f>
        <v>#REF!</v>
      </c>
      <c r="G36" s="2"/>
      <c r="H36" s="37">
        <v>99394</v>
      </c>
      <c r="I36" s="4">
        <f t="shared" si="0"/>
        <v>0</v>
      </c>
      <c r="J36" s="25">
        <v>1</v>
      </c>
    </row>
    <row r="37" spans="1:10" ht="34.950000000000003" customHeight="1">
      <c r="A37" s="75">
        <v>26</v>
      </c>
      <c r="B37" s="80" t="s">
        <v>116</v>
      </c>
      <c r="C37" s="77" t="s">
        <v>48</v>
      </c>
      <c r="D37" s="78">
        <v>1</v>
      </c>
      <c r="E37" s="79"/>
      <c r="F37" s="79" t="e">
        <f>E37+#REF!</f>
        <v>#REF!</v>
      </c>
      <c r="G37" s="2"/>
      <c r="H37" s="37">
        <v>21334</v>
      </c>
      <c r="I37" s="4">
        <f t="shared" si="0"/>
        <v>0</v>
      </c>
      <c r="J37" s="25">
        <v>1</v>
      </c>
    </row>
    <row r="38" spans="1:10" ht="16.95" customHeight="1">
      <c r="A38" s="75">
        <v>27</v>
      </c>
      <c r="B38" s="80" t="s">
        <v>117</v>
      </c>
      <c r="C38" s="77" t="s">
        <v>48</v>
      </c>
      <c r="D38" s="78">
        <v>1</v>
      </c>
      <c r="E38" s="79"/>
      <c r="F38" s="79" t="e">
        <f>E38+#REF!</f>
        <v>#REF!</v>
      </c>
      <c r="G38" s="2"/>
      <c r="H38" s="37">
        <v>29620</v>
      </c>
      <c r="I38" s="4">
        <f t="shared" si="0"/>
        <v>0</v>
      </c>
      <c r="J38" s="25">
        <v>1</v>
      </c>
    </row>
    <row r="39" spans="1:10" ht="16.95" customHeight="1">
      <c r="A39" s="75">
        <v>28</v>
      </c>
      <c r="B39" s="80" t="s">
        <v>118</v>
      </c>
      <c r="C39" s="77" t="s">
        <v>48</v>
      </c>
      <c r="D39" s="78">
        <v>1</v>
      </c>
      <c r="E39" s="79"/>
      <c r="F39" s="79" t="e">
        <f>E39+#REF!</f>
        <v>#REF!</v>
      </c>
      <c r="G39" s="2"/>
      <c r="H39" s="37">
        <v>18506</v>
      </c>
      <c r="I39" s="4">
        <f t="shared" si="0"/>
        <v>0</v>
      </c>
      <c r="J39" s="25">
        <v>1</v>
      </c>
    </row>
    <row r="40" spans="1:10" ht="16.95" customHeight="1">
      <c r="A40" s="75">
        <v>29</v>
      </c>
      <c r="B40" s="80" t="s">
        <v>119</v>
      </c>
      <c r="C40" s="77" t="s">
        <v>48</v>
      </c>
      <c r="D40" s="78">
        <v>1</v>
      </c>
      <c r="E40" s="79"/>
      <c r="F40" s="79" t="e">
        <f>E40+#REF!</f>
        <v>#REF!</v>
      </c>
      <c r="G40" s="2"/>
      <c r="H40" s="37">
        <v>34381</v>
      </c>
      <c r="I40" s="4">
        <f t="shared" si="0"/>
        <v>0</v>
      </c>
      <c r="J40" s="25">
        <v>1</v>
      </c>
    </row>
    <row r="41" spans="1:10" ht="16.95" customHeight="1">
      <c r="A41" s="75" t="s">
        <v>79</v>
      </c>
      <c r="B41" s="80" t="s">
        <v>80</v>
      </c>
      <c r="C41" s="77" t="s">
        <v>48</v>
      </c>
      <c r="D41" s="78">
        <v>1</v>
      </c>
      <c r="E41" s="79">
        <f t="shared" ref="E41:E44" si="1">1/120</f>
        <v>8.3333333333333332E-3</v>
      </c>
      <c r="F41" s="79" t="e">
        <f>E41+#REF!</f>
        <v>#REF!</v>
      </c>
      <c r="G41" s="2"/>
      <c r="H41" s="37">
        <v>21395</v>
      </c>
      <c r="I41" s="4">
        <f t="shared" si="0"/>
        <v>178.29166666666666</v>
      </c>
      <c r="J41" s="25">
        <v>1</v>
      </c>
    </row>
    <row r="42" spans="1:10" ht="16.95" customHeight="1">
      <c r="A42" s="75" t="s">
        <v>81</v>
      </c>
      <c r="B42" s="80" t="s">
        <v>82</v>
      </c>
      <c r="C42" s="77" t="s">
        <v>48</v>
      </c>
      <c r="D42" s="78">
        <v>1</v>
      </c>
      <c r="E42" s="79">
        <f t="shared" si="1"/>
        <v>8.3333333333333332E-3</v>
      </c>
      <c r="F42" s="79" t="e">
        <f>E42+#REF!</f>
        <v>#REF!</v>
      </c>
      <c r="G42" s="2"/>
      <c r="H42" s="37">
        <v>21395</v>
      </c>
      <c r="I42" s="4">
        <f t="shared" si="0"/>
        <v>178.29166666666666</v>
      </c>
      <c r="J42" s="25">
        <v>1</v>
      </c>
    </row>
    <row r="43" spans="1:10" ht="16.95" customHeight="1">
      <c r="A43" s="75" t="s">
        <v>83</v>
      </c>
      <c r="B43" s="80" t="s">
        <v>84</v>
      </c>
      <c r="C43" s="77" t="s">
        <v>48</v>
      </c>
      <c r="D43" s="78">
        <v>1</v>
      </c>
      <c r="E43" s="79">
        <f t="shared" si="1"/>
        <v>8.3333333333333332E-3</v>
      </c>
      <c r="F43" s="79" t="e">
        <f>E43+#REF!</f>
        <v>#REF!</v>
      </c>
      <c r="G43" s="2"/>
      <c r="H43" s="37">
        <v>149765</v>
      </c>
      <c r="I43" s="4">
        <f t="shared" si="0"/>
        <v>1248.0416666666667</v>
      </c>
      <c r="J43" s="25">
        <v>1</v>
      </c>
    </row>
    <row r="44" spans="1:10" ht="16.95" customHeight="1">
      <c r="A44" s="75" t="s">
        <v>85</v>
      </c>
      <c r="B44" s="80" t="s">
        <v>86</v>
      </c>
      <c r="C44" s="77" t="s">
        <v>48</v>
      </c>
      <c r="D44" s="78">
        <v>1</v>
      </c>
      <c r="E44" s="79">
        <f t="shared" si="1"/>
        <v>8.3333333333333332E-3</v>
      </c>
      <c r="F44" s="79" t="e">
        <f>E44+#REF!</f>
        <v>#REF!</v>
      </c>
      <c r="G44" s="2"/>
      <c r="H44" s="37">
        <v>6996</v>
      </c>
      <c r="I44" s="4">
        <f t="shared" si="0"/>
        <v>58.3</v>
      </c>
      <c r="J44" s="25">
        <v>1</v>
      </c>
    </row>
    <row r="45" spans="1:10" ht="16.95" customHeight="1">
      <c r="A45" s="75" t="s">
        <v>87</v>
      </c>
      <c r="B45" s="80" t="s">
        <v>88</v>
      </c>
      <c r="C45" s="77" t="s">
        <v>48</v>
      </c>
      <c r="D45" s="78">
        <v>1</v>
      </c>
      <c r="E45" s="79">
        <f>1/120</f>
        <v>8.3333333333333332E-3</v>
      </c>
      <c r="F45" s="79" t="e">
        <f>E45+#REF!</f>
        <v>#REF!</v>
      </c>
      <c r="G45" s="2"/>
      <c r="H45" s="37">
        <v>116952</v>
      </c>
      <c r="I45" s="4">
        <f t="shared" si="0"/>
        <v>974.6</v>
      </c>
      <c r="J45" s="25">
        <v>1</v>
      </c>
    </row>
    <row r="46" spans="1:10" ht="16.95" customHeight="1">
      <c r="A46" s="95" t="s">
        <v>23</v>
      </c>
      <c r="B46" s="95"/>
      <c r="C46" s="50"/>
      <c r="D46" s="50"/>
      <c r="E46" s="50"/>
      <c r="F46" s="50"/>
      <c r="G46" s="50"/>
      <c r="H46" s="3" t="s">
        <v>24</v>
      </c>
      <c r="I46" s="5">
        <f>SUM(I11:I45)</f>
        <v>2637.5250000000001</v>
      </c>
      <c r="J46" s="25">
        <v>1</v>
      </c>
    </row>
    <row r="47" spans="1:10" ht="16.95" customHeight="1">
      <c r="A47" s="96" t="s">
        <v>25</v>
      </c>
      <c r="B47" s="96"/>
      <c r="C47" s="50"/>
      <c r="D47" s="50"/>
      <c r="E47" s="50"/>
      <c r="F47" s="50"/>
      <c r="G47" s="50"/>
      <c r="J47" s="25">
        <v>1</v>
      </c>
    </row>
    <row r="48" spans="1:10" ht="16.95" customHeight="1">
      <c r="A48" s="96" t="s">
        <v>26</v>
      </c>
      <c r="B48" s="96"/>
      <c r="C48" s="50"/>
      <c r="D48" s="50"/>
      <c r="E48" s="50"/>
      <c r="F48" s="50"/>
      <c r="G48" s="50"/>
      <c r="J48" s="25">
        <v>1</v>
      </c>
    </row>
    <row r="49" spans="1:10" ht="16.95" customHeight="1">
      <c r="A49" s="95" t="s">
        <v>27</v>
      </c>
      <c r="B49" s="95"/>
      <c r="C49" s="95"/>
      <c r="D49" s="95"/>
      <c r="E49" s="95"/>
      <c r="F49" s="95"/>
      <c r="G49" s="95"/>
      <c r="J49" s="25">
        <v>1</v>
      </c>
    </row>
    <row r="50" spans="1:10" ht="16.95" customHeight="1">
      <c r="A50" s="94" t="s">
        <v>28</v>
      </c>
      <c r="B50" s="94"/>
      <c r="C50" s="51" t="s">
        <v>29</v>
      </c>
      <c r="D50" s="51" t="s">
        <v>30</v>
      </c>
      <c r="E50" s="51" t="s">
        <v>18</v>
      </c>
      <c r="F50" s="51" t="s">
        <v>31</v>
      </c>
      <c r="G50" s="51" t="s">
        <v>20</v>
      </c>
      <c r="J50" s="25">
        <v>1</v>
      </c>
    </row>
    <row r="51" spans="1:10" ht="16.95" customHeight="1">
      <c r="A51" s="96"/>
      <c r="B51" s="96"/>
      <c r="C51" s="50"/>
      <c r="D51" s="50"/>
      <c r="E51" s="50"/>
      <c r="F51" s="50"/>
      <c r="G51" s="51"/>
      <c r="J51" s="25">
        <v>1</v>
      </c>
    </row>
    <row r="52" spans="1:10" ht="16.95" customHeight="1">
      <c r="A52" s="97"/>
      <c r="B52" s="97"/>
      <c r="C52" s="50"/>
      <c r="D52" s="50"/>
      <c r="E52" s="50"/>
      <c r="F52" s="51"/>
      <c r="G52" s="51"/>
      <c r="J52" s="25">
        <v>1</v>
      </c>
    </row>
    <row r="53" spans="1:10" ht="16.95" customHeight="1">
      <c r="A53" s="95" t="s">
        <v>32</v>
      </c>
      <c r="B53" s="95"/>
      <c r="C53" s="95"/>
      <c r="D53" s="95"/>
      <c r="E53" s="95"/>
      <c r="F53" s="95"/>
      <c r="G53" s="95"/>
      <c r="J53" s="25">
        <v>2</v>
      </c>
    </row>
    <row r="54" spans="1:10" ht="16.95" customHeight="1">
      <c r="A54" s="51" t="s">
        <v>33</v>
      </c>
      <c r="B54" s="51" t="s">
        <v>34</v>
      </c>
      <c r="C54" s="94" t="s">
        <v>35</v>
      </c>
      <c r="D54" s="94"/>
      <c r="E54" s="51" t="s">
        <v>36</v>
      </c>
      <c r="F54" s="51" t="s">
        <v>37</v>
      </c>
      <c r="G54" s="51" t="s">
        <v>38</v>
      </c>
      <c r="J54" s="25">
        <v>2</v>
      </c>
    </row>
    <row r="55" spans="1:10" ht="16.95" customHeight="1">
      <c r="A55" s="51" t="s">
        <v>39</v>
      </c>
      <c r="B55" s="6"/>
      <c r="C55" s="94" t="e">
        <f>B55+#REF!</f>
        <v>#REF!</v>
      </c>
      <c r="D55" s="94"/>
      <c r="E55" s="51"/>
      <c r="F55" s="24"/>
      <c r="G55" s="24"/>
      <c r="J55" s="25">
        <v>2</v>
      </c>
    </row>
    <row r="56" spans="1:10" ht="16.95" customHeight="1">
      <c r="A56" s="51" t="s">
        <v>40</v>
      </c>
      <c r="B56" s="6"/>
      <c r="C56" s="94" t="e">
        <f>B56+#REF!</f>
        <v>#REF!</v>
      </c>
      <c r="D56" s="94"/>
      <c r="E56" s="51"/>
      <c r="F56" s="24"/>
      <c r="G56" s="24"/>
      <c r="J56" s="25">
        <v>2</v>
      </c>
    </row>
    <row r="57" spans="1:10" ht="36.6" customHeight="1">
      <c r="A57" s="95" t="s">
        <v>41</v>
      </c>
      <c r="B57" s="95"/>
      <c r="C57" s="95"/>
      <c r="D57" s="95"/>
      <c r="E57" s="95"/>
      <c r="F57" s="95"/>
      <c r="G57" s="95"/>
      <c r="J57" s="25">
        <v>2</v>
      </c>
    </row>
    <row r="58" spans="1:10" ht="90" customHeight="1">
      <c r="A58" s="92" t="s">
        <v>42</v>
      </c>
      <c r="B58" s="92"/>
      <c r="C58" s="92"/>
      <c r="D58" s="92"/>
      <c r="E58" s="92"/>
      <c r="F58" s="92"/>
      <c r="G58" s="92"/>
      <c r="J58" s="25">
        <v>2</v>
      </c>
    </row>
    <row r="59" spans="1:10" ht="16.95" customHeight="1">
      <c r="A59" s="95" t="s">
        <v>43</v>
      </c>
      <c r="B59" s="95"/>
      <c r="C59" s="95"/>
      <c r="D59" s="95"/>
      <c r="E59" s="95"/>
      <c r="F59" s="95"/>
      <c r="G59" s="95"/>
      <c r="J59" s="25">
        <v>2</v>
      </c>
    </row>
    <row r="60" spans="1:10" ht="16.95" customHeight="1">
      <c r="A60" s="95" t="s">
        <v>44</v>
      </c>
      <c r="B60" s="95"/>
      <c r="C60" s="95"/>
      <c r="D60" s="95"/>
      <c r="E60" s="95"/>
      <c r="F60" s="95"/>
      <c r="G60" s="95"/>
      <c r="J60" s="25">
        <v>2</v>
      </c>
    </row>
    <row r="61" spans="1:10" ht="16.95" customHeight="1">
      <c r="A61" s="91" t="s">
        <v>64</v>
      </c>
      <c r="B61" s="91"/>
      <c r="C61" s="91"/>
      <c r="D61" s="91"/>
      <c r="E61" s="91"/>
      <c r="F61" s="91"/>
      <c r="G61" s="91"/>
      <c r="J61" s="25">
        <v>2</v>
      </c>
    </row>
    <row r="62" spans="1:10" ht="120.6" customHeight="1">
      <c r="A62" s="92" t="s">
        <v>45</v>
      </c>
      <c r="B62" s="92"/>
      <c r="C62" s="92"/>
      <c r="D62" s="92"/>
      <c r="E62" s="92"/>
      <c r="F62" s="92"/>
      <c r="G62" s="92"/>
      <c r="J62" s="25">
        <v>2</v>
      </c>
    </row>
    <row r="63" spans="1:10" ht="140.4" customHeight="1">
      <c r="A63" s="93" t="s">
        <v>46</v>
      </c>
      <c r="B63" s="93"/>
      <c r="C63" s="93"/>
      <c r="D63" s="93"/>
      <c r="E63" s="93"/>
      <c r="F63" s="93"/>
      <c r="G63" s="93"/>
      <c r="J63" s="25">
        <v>2</v>
      </c>
    </row>
    <row r="64" spans="1:10" ht="37.200000000000003" customHeight="1">
      <c r="A64" s="103" t="s">
        <v>0</v>
      </c>
      <c r="B64" s="103"/>
      <c r="C64" s="103"/>
      <c r="D64" s="103"/>
      <c r="E64" s="103"/>
      <c r="F64" s="103"/>
      <c r="G64" s="103"/>
      <c r="J64" s="25">
        <f t="shared" ref="J64:J127" si="2">J1+2</f>
        <v>3</v>
      </c>
    </row>
    <row r="65" spans="1:10" ht="16.95" customHeight="1">
      <c r="A65" s="1" t="s">
        <v>1</v>
      </c>
      <c r="B65" s="104">
        <f>B2+1</f>
        <v>3</v>
      </c>
      <c r="C65" s="104"/>
      <c r="D65" s="104"/>
      <c r="E65" s="104"/>
      <c r="F65" s="104"/>
      <c r="G65" s="104"/>
      <c r="J65" s="25">
        <f t="shared" si="2"/>
        <v>3</v>
      </c>
    </row>
    <row r="66" spans="1:10" ht="16.95" customHeight="1">
      <c r="A66" s="1" t="s">
        <v>2</v>
      </c>
      <c r="B66" s="105" t="s">
        <v>63</v>
      </c>
      <c r="C66" s="105"/>
      <c r="D66" s="105"/>
      <c r="E66" s="106">
        <f>E3+1</f>
        <v>46205</v>
      </c>
      <c r="F66" s="106"/>
      <c r="G66" s="106"/>
      <c r="J66" s="25">
        <f t="shared" si="2"/>
        <v>3</v>
      </c>
    </row>
    <row r="67" spans="1:10" ht="16.95" customHeight="1">
      <c r="A67" s="53" t="s">
        <v>3</v>
      </c>
      <c r="B67" s="2" t="s">
        <v>67</v>
      </c>
      <c r="C67" s="98" t="s">
        <v>4</v>
      </c>
      <c r="D67" s="98"/>
      <c r="E67" s="98" t="s">
        <v>47</v>
      </c>
      <c r="F67" s="98"/>
      <c r="G67" s="98"/>
      <c r="J67" s="25">
        <f t="shared" si="2"/>
        <v>3</v>
      </c>
    </row>
    <row r="68" spans="1:10" ht="16.95" customHeight="1">
      <c r="A68" s="53" t="s">
        <v>5</v>
      </c>
      <c r="B68" s="54">
        <v>120</v>
      </c>
      <c r="C68" s="98" t="s">
        <v>6</v>
      </c>
      <c r="D68" s="98"/>
      <c r="E68" s="98" t="s">
        <v>123</v>
      </c>
      <c r="F68" s="98"/>
      <c r="G68" s="98"/>
      <c r="J68" s="25">
        <f t="shared" si="2"/>
        <v>3</v>
      </c>
    </row>
    <row r="69" spans="1:10" ht="16.95" customHeight="1">
      <c r="A69" s="53" t="s">
        <v>7</v>
      </c>
      <c r="B69" s="54">
        <f>B65</f>
        <v>3</v>
      </c>
      <c r="C69" s="100" t="s">
        <v>8</v>
      </c>
      <c r="D69" s="100"/>
      <c r="E69" s="101">
        <f>B68-B69</f>
        <v>117</v>
      </c>
      <c r="F69" s="101"/>
      <c r="G69" s="101"/>
      <c r="J69" s="25">
        <f t="shared" si="2"/>
        <v>3</v>
      </c>
    </row>
    <row r="70" spans="1:10" ht="16.95" customHeight="1">
      <c r="A70" s="53" t="s">
        <v>9</v>
      </c>
      <c r="B70" s="55">
        <v>46204</v>
      </c>
      <c r="C70" s="98" t="s">
        <v>10</v>
      </c>
      <c r="D70" s="98"/>
      <c r="E70" s="102">
        <f>B70+B68-1</f>
        <v>46323</v>
      </c>
      <c r="F70" s="102"/>
      <c r="G70" s="102"/>
      <c r="J70" s="25">
        <f t="shared" si="2"/>
        <v>3</v>
      </c>
    </row>
    <row r="71" spans="1:10" ht="16.95" customHeight="1">
      <c r="A71" s="53" t="s">
        <v>11</v>
      </c>
      <c r="B71" s="56" t="e">
        <f>HLOOKUP(B65,進度表!$Q$2:$Z$3,2,1)+B8</f>
        <v>#REF!</v>
      </c>
      <c r="C71" s="98" t="s">
        <v>12</v>
      </c>
      <c r="D71" s="98"/>
      <c r="E71" s="99" t="e">
        <f>I109/I71+E8</f>
        <v>#REF!</v>
      </c>
      <c r="F71" s="99"/>
      <c r="G71" s="99"/>
      <c r="H71" s="3" t="s">
        <v>62</v>
      </c>
      <c r="I71" s="1">
        <v>2456000</v>
      </c>
      <c r="J71" s="25">
        <f t="shared" si="2"/>
        <v>3</v>
      </c>
    </row>
    <row r="72" spans="1:10" ht="16.95" customHeight="1">
      <c r="A72" s="98" t="s">
        <v>13</v>
      </c>
      <c r="B72" s="98"/>
      <c r="C72" s="98"/>
      <c r="D72" s="98"/>
      <c r="E72" s="98"/>
      <c r="F72" s="98"/>
      <c r="G72" s="98"/>
      <c r="J72" s="25">
        <f t="shared" si="2"/>
        <v>3</v>
      </c>
    </row>
    <row r="73" spans="1:10" ht="16.95" customHeight="1">
      <c r="A73" s="52" t="s">
        <v>14</v>
      </c>
      <c r="B73" s="52" t="s">
        <v>15</v>
      </c>
      <c r="C73" s="52" t="s">
        <v>16</v>
      </c>
      <c r="D73" s="52" t="s">
        <v>17</v>
      </c>
      <c r="E73" s="52" t="s">
        <v>18</v>
      </c>
      <c r="F73" s="52" t="s">
        <v>19</v>
      </c>
      <c r="G73" s="52" t="s">
        <v>20</v>
      </c>
      <c r="H73" s="3" t="s">
        <v>21</v>
      </c>
      <c r="I73" s="3" t="s">
        <v>22</v>
      </c>
      <c r="J73" s="25">
        <f t="shared" si="2"/>
        <v>3</v>
      </c>
    </row>
    <row r="74" spans="1:10" ht="16.95" customHeight="1">
      <c r="A74" s="75" t="s">
        <v>65</v>
      </c>
      <c r="B74" s="76" t="s">
        <v>69</v>
      </c>
      <c r="C74" s="77"/>
      <c r="D74" s="78"/>
      <c r="E74" s="79"/>
      <c r="F74" s="79"/>
      <c r="G74" s="2"/>
      <c r="H74" s="37"/>
      <c r="I74" s="4"/>
      <c r="J74" s="25">
        <f t="shared" si="2"/>
        <v>3</v>
      </c>
    </row>
    <row r="75" spans="1:10" ht="34.950000000000003" customHeight="1">
      <c r="A75" s="75">
        <v>1</v>
      </c>
      <c r="B75" s="80" t="s">
        <v>91</v>
      </c>
      <c r="C75" s="77" t="s">
        <v>48</v>
      </c>
      <c r="D75" s="78">
        <v>1</v>
      </c>
      <c r="E75" s="79"/>
      <c r="F75" s="79" t="e">
        <f t="shared" ref="F75:F108" si="3">E75+F12</f>
        <v>#REF!</v>
      </c>
      <c r="G75" s="2"/>
      <c r="H75" s="37">
        <v>10508</v>
      </c>
      <c r="I75" s="4">
        <f>H75*E75</f>
        <v>0</v>
      </c>
      <c r="J75" s="25">
        <f t="shared" si="2"/>
        <v>3</v>
      </c>
    </row>
    <row r="76" spans="1:10" ht="34.799999999999997" customHeight="1">
      <c r="A76" s="75">
        <v>2</v>
      </c>
      <c r="B76" s="80" t="s">
        <v>92</v>
      </c>
      <c r="C76" s="77" t="s">
        <v>48</v>
      </c>
      <c r="D76" s="78">
        <v>1</v>
      </c>
      <c r="E76" s="79"/>
      <c r="F76" s="79" t="e">
        <f t="shared" si="3"/>
        <v>#REF!</v>
      </c>
      <c r="G76" s="2"/>
      <c r="H76" s="37">
        <v>13223</v>
      </c>
      <c r="I76" s="4">
        <f>H76*E76</f>
        <v>0</v>
      </c>
      <c r="J76" s="25">
        <f t="shared" si="2"/>
        <v>3</v>
      </c>
    </row>
    <row r="77" spans="1:10" ht="53.4" customHeight="1">
      <c r="A77" s="75">
        <v>3</v>
      </c>
      <c r="B77" s="80" t="s">
        <v>93</v>
      </c>
      <c r="C77" s="77" t="s">
        <v>48</v>
      </c>
      <c r="D77" s="78">
        <v>1</v>
      </c>
      <c r="E77" s="79"/>
      <c r="F77" s="79" t="e">
        <f t="shared" si="3"/>
        <v>#REF!</v>
      </c>
      <c r="G77" s="2"/>
      <c r="H77" s="37">
        <v>310497</v>
      </c>
      <c r="I77" s="4">
        <f t="shared" ref="I77:I108" si="4">H77*E77</f>
        <v>0</v>
      </c>
      <c r="J77" s="25">
        <f t="shared" si="2"/>
        <v>3</v>
      </c>
    </row>
    <row r="78" spans="1:10" ht="16.95" customHeight="1">
      <c r="A78" s="75">
        <v>4</v>
      </c>
      <c r="B78" s="80" t="s">
        <v>94</v>
      </c>
      <c r="C78" s="77" t="s">
        <v>48</v>
      </c>
      <c r="D78" s="78">
        <v>1</v>
      </c>
      <c r="E78" s="79"/>
      <c r="F78" s="79" t="e">
        <f t="shared" si="3"/>
        <v>#REF!</v>
      </c>
      <c r="G78" s="2"/>
      <c r="H78" s="37">
        <v>8375</v>
      </c>
      <c r="I78" s="4">
        <f t="shared" si="4"/>
        <v>0</v>
      </c>
      <c r="J78" s="25">
        <f t="shared" si="2"/>
        <v>3</v>
      </c>
    </row>
    <row r="79" spans="1:10" ht="16.95" customHeight="1">
      <c r="A79" s="75">
        <v>5</v>
      </c>
      <c r="B79" s="80" t="s">
        <v>95</v>
      </c>
      <c r="C79" s="77" t="s">
        <v>48</v>
      </c>
      <c r="D79" s="78">
        <v>1</v>
      </c>
      <c r="E79" s="79"/>
      <c r="F79" s="79" t="e">
        <f t="shared" si="3"/>
        <v>#REF!</v>
      </c>
      <c r="G79" s="2"/>
      <c r="H79" s="37">
        <v>51618</v>
      </c>
      <c r="I79" s="4">
        <f t="shared" si="4"/>
        <v>0</v>
      </c>
      <c r="J79" s="25">
        <f t="shared" si="2"/>
        <v>3</v>
      </c>
    </row>
    <row r="80" spans="1:10" ht="16.95" customHeight="1">
      <c r="A80" s="75">
        <v>6</v>
      </c>
      <c r="B80" s="80" t="s">
        <v>96</v>
      </c>
      <c r="C80" s="77" t="s">
        <v>50</v>
      </c>
      <c r="D80" s="78">
        <v>11.55</v>
      </c>
      <c r="E80" s="79"/>
      <c r="F80" s="79" t="e">
        <f t="shared" si="3"/>
        <v>#REF!</v>
      </c>
      <c r="G80" s="2"/>
      <c r="H80" s="37">
        <v>1188</v>
      </c>
      <c r="I80" s="4">
        <f t="shared" si="4"/>
        <v>0</v>
      </c>
      <c r="J80" s="25">
        <f t="shared" si="2"/>
        <v>3</v>
      </c>
    </row>
    <row r="81" spans="1:10" ht="34.950000000000003" customHeight="1">
      <c r="A81" s="75">
        <v>7</v>
      </c>
      <c r="B81" s="80" t="s">
        <v>97</v>
      </c>
      <c r="C81" s="77" t="s">
        <v>48</v>
      </c>
      <c r="D81" s="78">
        <v>1</v>
      </c>
      <c r="E81" s="79"/>
      <c r="F81" s="79" t="e">
        <f t="shared" si="3"/>
        <v>#REF!</v>
      </c>
      <c r="G81" s="2"/>
      <c r="H81" s="37">
        <v>21157</v>
      </c>
      <c r="I81" s="4">
        <f t="shared" si="4"/>
        <v>0</v>
      </c>
      <c r="J81" s="25">
        <f t="shared" si="2"/>
        <v>3</v>
      </c>
    </row>
    <row r="82" spans="1:10" ht="16.95" customHeight="1">
      <c r="A82" s="75">
        <v>8</v>
      </c>
      <c r="B82" s="80" t="s">
        <v>98</v>
      </c>
      <c r="C82" s="77" t="s">
        <v>50</v>
      </c>
      <c r="D82" s="78">
        <v>387</v>
      </c>
      <c r="E82" s="79"/>
      <c r="F82" s="79" t="e">
        <f t="shared" si="3"/>
        <v>#REF!</v>
      </c>
      <c r="G82" s="2"/>
      <c r="H82" s="37">
        <v>705</v>
      </c>
      <c r="I82" s="4">
        <f t="shared" si="4"/>
        <v>0</v>
      </c>
      <c r="J82" s="25">
        <f t="shared" si="2"/>
        <v>3</v>
      </c>
    </row>
    <row r="83" spans="1:10" ht="16.95" customHeight="1">
      <c r="A83" s="75">
        <v>9</v>
      </c>
      <c r="B83" s="80" t="s">
        <v>99</v>
      </c>
      <c r="C83" s="77" t="s">
        <v>50</v>
      </c>
      <c r="D83" s="78">
        <v>170</v>
      </c>
      <c r="E83" s="79"/>
      <c r="F83" s="79" t="e">
        <f t="shared" si="3"/>
        <v>#REF!</v>
      </c>
      <c r="G83" s="2"/>
      <c r="H83" s="37">
        <v>617</v>
      </c>
      <c r="I83" s="4">
        <f t="shared" si="4"/>
        <v>0</v>
      </c>
      <c r="J83" s="25">
        <f t="shared" si="2"/>
        <v>3</v>
      </c>
    </row>
    <row r="84" spans="1:10" ht="16.95" customHeight="1">
      <c r="A84" s="75">
        <v>10</v>
      </c>
      <c r="B84" s="80" t="s">
        <v>100</v>
      </c>
      <c r="C84" s="77" t="s">
        <v>66</v>
      </c>
      <c r="D84" s="78">
        <v>15</v>
      </c>
      <c r="E84" s="79"/>
      <c r="F84" s="79" t="e">
        <f t="shared" si="3"/>
        <v>#REF!</v>
      </c>
      <c r="G84" s="2"/>
      <c r="H84" s="37">
        <v>617</v>
      </c>
      <c r="I84" s="4">
        <f t="shared" si="4"/>
        <v>0</v>
      </c>
      <c r="J84" s="25">
        <f t="shared" si="2"/>
        <v>3</v>
      </c>
    </row>
    <row r="85" spans="1:10" ht="16.95" customHeight="1">
      <c r="A85" s="75">
        <v>11</v>
      </c>
      <c r="B85" s="80" t="s">
        <v>101</v>
      </c>
      <c r="C85" s="77" t="s">
        <v>50</v>
      </c>
      <c r="D85" s="78">
        <v>75</v>
      </c>
      <c r="E85" s="79"/>
      <c r="F85" s="79" t="e">
        <f t="shared" si="3"/>
        <v>#REF!</v>
      </c>
      <c r="G85" s="2"/>
      <c r="H85" s="37">
        <v>1146</v>
      </c>
      <c r="I85" s="4">
        <f t="shared" si="4"/>
        <v>0</v>
      </c>
      <c r="J85" s="25">
        <f t="shared" si="2"/>
        <v>3</v>
      </c>
    </row>
    <row r="86" spans="1:10" ht="16.95" customHeight="1">
      <c r="A86" s="75">
        <v>12</v>
      </c>
      <c r="B86" s="80" t="s">
        <v>102</v>
      </c>
      <c r="C86" s="77" t="s">
        <v>50</v>
      </c>
      <c r="D86" s="78">
        <v>5</v>
      </c>
      <c r="E86" s="79"/>
      <c r="F86" s="79" t="e">
        <f t="shared" si="3"/>
        <v>#REF!</v>
      </c>
      <c r="G86" s="2"/>
      <c r="H86" s="37">
        <v>1455</v>
      </c>
      <c r="I86" s="4">
        <f t="shared" si="4"/>
        <v>0</v>
      </c>
      <c r="J86" s="25">
        <f t="shared" si="2"/>
        <v>3</v>
      </c>
    </row>
    <row r="87" spans="1:10" ht="16.95" customHeight="1">
      <c r="A87" s="75">
        <v>13</v>
      </c>
      <c r="B87" s="80" t="s">
        <v>103</v>
      </c>
      <c r="C87" s="77" t="s">
        <v>50</v>
      </c>
      <c r="D87" s="78">
        <v>217</v>
      </c>
      <c r="E87" s="79"/>
      <c r="F87" s="79" t="e">
        <f t="shared" si="3"/>
        <v>#REF!</v>
      </c>
      <c r="G87" s="2"/>
      <c r="H87" s="37">
        <v>1410</v>
      </c>
      <c r="I87" s="4">
        <f t="shared" si="4"/>
        <v>0</v>
      </c>
      <c r="J87" s="25">
        <f t="shared" si="2"/>
        <v>3</v>
      </c>
    </row>
    <row r="88" spans="1:10" ht="16.95" customHeight="1">
      <c r="A88" s="75">
        <v>14</v>
      </c>
      <c r="B88" s="80" t="s">
        <v>104</v>
      </c>
      <c r="C88" s="77" t="s">
        <v>49</v>
      </c>
      <c r="D88" s="78">
        <v>84</v>
      </c>
      <c r="E88" s="79"/>
      <c r="F88" s="79" t="e">
        <f t="shared" si="3"/>
        <v>#REF!</v>
      </c>
      <c r="G88" s="2"/>
      <c r="H88" s="37">
        <v>529</v>
      </c>
      <c r="I88" s="4">
        <f t="shared" si="4"/>
        <v>0</v>
      </c>
      <c r="J88" s="25">
        <f t="shared" si="2"/>
        <v>3</v>
      </c>
    </row>
    <row r="89" spans="1:10" ht="16.95" customHeight="1">
      <c r="A89" s="75">
        <v>15</v>
      </c>
      <c r="B89" s="80" t="s">
        <v>105</v>
      </c>
      <c r="C89" s="77" t="s">
        <v>50</v>
      </c>
      <c r="D89" s="78">
        <v>1</v>
      </c>
      <c r="E89" s="79"/>
      <c r="F89" s="79" t="e">
        <f t="shared" si="3"/>
        <v>#REF!</v>
      </c>
      <c r="G89" s="2"/>
      <c r="H89" s="37">
        <v>1146</v>
      </c>
      <c r="I89" s="4">
        <f t="shared" si="4"/>
        <v>0</v>
      </c>
      <c r="J89" s="25">
        <f t="shared" si="2"/>
        <v>3</v>
      </c>
    </row>
    <row r="90" spans="1:10" ht="34.799999999999997" customHeight="1">
      <c r="A90" s="75">
        <v>16</v>
      </c>
      <c r="B90" s="80" t="s">
        <v>106</v>
      </c>
      <c r="C90" s="77" t="s">
        <v>50</v>
      </c>
      <c r="D90" s="78">
        <v>314</v>
      </c>
      <c r="E90" s="79"/>
      <c r="F90" s="79" t="e">
        <f t="shared" si="3"/>
        <v>#REF!</v>
      </c>
      <c r="G90" s="2"/>
      <c r="H90" s="37">
        <v>185</v>
      </c>
      <c r="I90" s="4">
        <f t="shared" si="4"/>
        <v>0</v>
      </c>
      <c r="J90" s="25">
        <f t="shared" si="2"/>
        <v>3</v>
      </c>
    </row>
    <row r="91" spans="1:10" ht="16.95" customHeight="1">
      <c r="A91" s="75">
        <v>17</v>
      </c>
      <c r="B91" s="80" t="s">
        <v>107</v>
      </c>
      <c r="C91" s="77" t="s">
        <v>48</v>
      </c>
      <c r="D91" s="78">
        <v>1</v>
      </c>
      <c r="E91" s="79"/>
      <c r="F91" s="79" t="e">
        <f t="shared" si="3"/>
        <v>#REF!</v>
      </c>
      <c r="G91" s="2"/>
      <c r="H91" s="37">
        <v>89918</v>
      </c>
      <c r="I91" s="4">
        <f t="shared" si="4"/>
        <v>0</v>
      </c>
      <c r="J91" s="25">
        <f t="shared" si="2"/>
        <v>3</v>
      </c>
    </row>
    <row r="92" spans="1:10" ht="16.95" customHeight="1">
      <c r="A92" s="75">
        <v>18</v>
      </c>
      <c r="B92" s="80" t="s">
        <v>108</v>
      </c>
      <c r="C92" s="77" t="s">
        <v>120</v>
      </c>
      <c r="D92" s="78">
        <v>15</v>
      </c>
      <c r="E92" s="79"/>
      <c r="F92" s="79" t="e">
        <f t="shared" si="3"/>
        <v>#REF!</v>
      </c>
      <c r="G92" s="2"/>
      <c r="H92" s="37">
        <v>661</v>
      </c>
      <c r="I92" s="4">
        <f t="shared" si="4"/>
        <v>0</v>
      </c>
      <c r="J92" s="25">
        <f t="shared" si="2"/>
        <v>3</v>
      </c>
    </row>
    <row r="93" spans="1:10" ht="16.95" customHeight="1">
      <c r="A93" s="75">
        <v>19</v>
      </c>
      <c r="B93" s="80" t="s">
        <v>109</v>
      </c>
      <c r="C93" s="77" t="s">
        <v>50</v>
      </c>
      <c r="D93" s="78">
        <v>82</v>
      </c>
      <c r="E93" s="79"/>
      <c r="F93" s="79" t="e">
        <f t="shared" si="3"/>
        <v>#REF!</v>
      </c>
      <c r="G93" s="2"/>
      <c r="H93" s="37">
        <v>2909</v>
      </c>
      <c r="I93" s="4">
        <f t="shared" si="4"/>
        <v>0</v>
      </c>
      <c r="J93" s="25">
        <f t="shared" si="2"/>
        <v>3</v>
      </c>
    </row>
    <row r="94" spans="1:10" ht="16.95" customHeight="1">
      <c r="A94" s="75">
        <v>20</v>
      </c>
      <c r="B94" s="80" t="s">
        <v>110</v>
      </c>
      <c r="C94" s="77" t="s">
        <v>121</v>
      </c>
      <c r="D94" s="78">
        <v>12</v>
      </c>
      <c r="E94" s="79"/>
      <c r="F94" s="79" t="e">
        <f t="shared" si="3"/>
        <v>#REF!</v>
      </c>
      <c r="G94" s="2"/>
      <c r="H94" s="37">
        <v>882</v>
      </c>
      <c r="I94" s="4">
        <f t="shared" si="4"/>
        <v>0</v>
      </c>
      <c r="J94" s="25">
        <f t="shared" si="2"/>
        <v>3</v>
      </c>
    </row>
    <row r="95" spans="1:10" ht="16.95" customHeight="1">
      <c r="A95" s="77">
        <v>21</v>
      </c>
      <c r="B95" s="80" t="s">
        <v>111</v>
      </c>
      <c r="C95" s="77" t="s">
        <v>122</v>
      </c>
      <c r="D95" s="78">
        <v>3</v>
      </c>
      <c r="E95" s="79"/>
      <c r="F95" s="79" t="e">
        <f t="shared" si="3"/>
        <v>#REF!</v>
      </c>
      <c r="G95" s="2"/>
      <c r="H95" s="38">
        <v>1869</v>
      </c>
      <c r="I95" s="4">
        <f t="shared" si="4"/>
        <v>0</v>
      </c>
      <c r="J95" s="25">
        <f t="shared" si="2"/>
        <v>3</v>
      </c>
    </row>
    <row r="96" spans="1:10" ht="34.950000000000003" customHeight="1">
      <c r="A96" s="75">
        <v>22</v>
      </c>
      <c r="B96" s="80" t="s">
        <v>112</v>
      </c>
      <c r="C96" s="77" t="s">
        <v>48</v>
      </c>
      <c r="D96" s="78">
        <v>1</v>
      </c>
      <c r="E96" s="79"/>
      <c r="F96" s="79" t="e">
        <f t="shared" si="3"/>
        <v>#REF!</v>
      </c>
      <c r="G96" s="2"/>
      <c r="H96" s="37">
        <v>82206</v>
      </c>
      <c r="I96" s="4">
        <f t="shared" si="4"/>
        <v>0</v>
      </c>
      <c r="J96" s="25">
        <f t="shared" si="2"/>
        <v>3</v>
      </c>
    </row>
    <row r="97" spans="1:10" ht="16.95" customHeight="1">
      <c r="A97" s="75">
        <v>23</v>
      </c>
      <c r="B97" s="80" t="s">
        <v>113</v>
      </c>
      <c r="C97" s="77" t="s">
        <v>48</v>
      </c>
      <c r="D97" s="78">
        <v>1</v>
      </c>
      <c r="E97" s="79"/>
      <c r="F97" s="79" t="e">
        <f t="shared" si="3"/>
        <v>#REF!</v>
      </c>
      <c r="G97" s="2"/>
      <c r="H97" s="37">
        <v>142723</v>
      </c>
      <c r="I97" s="4">
        <f t="shared" si="4"/>
        <v>0</v>
      </c>
      <c r="J97" s="25">
        <f t="shared" si="2"/>
        <v>3</v>
      </c>
    </row>
    <row r="98" spans="1:10" ht="16.95" customHeight="1">
      <c r="A98" s="75">
        <v>24</v>
      </c>
      <c r="B98" s="80" t="s">
        <v>114</v>
      </c>
      <c r="C98" s="77" t="s">
        <v>48</v>
      </c>
      <c r="D98" s="78">
        <v>1</v>
      </c>
      <c r="E98" s="79"/>
      <c r="F98" s="79" t="e">
        <f t="shared" si="3"/>
        <v>#REF!</v>
      </c>
      <c r="G98" s="2"/>
      <c r="H98" s="37">
        <v>37290</v>
      </c>
      <c r="I98" s="4">
        <f t="shared" si="4"/>
        <v>0</v>
      </c>
      <c r="J98" s="25">
        <f t="shared" si="2"/>
        <v>3</v>
      </c>
    </row>
    <row r="99" spans="1:10" ht="16.95" customHeight="1">
      <c r="A99" s="75">
        <v>25</v>
      </c>
      <c r="B99" s="80" t="s">
        <v>115</v>
      </c>
      <c r="C99" s="77" t="s">
        <v>48</v>
      </c>
      <c r="D99" s="78">
        <v>1</v>
      </c>
      <c r="E99" s="79"/>
      <c r="F99" s="79" t="e">
        <f t="shared" si="3"/>
        <v>#REF!</v>
      </c>
      <c r="G99" s="2"/>
      <c r="H99" s="37">
        <v>99394</v>
      </c>
      <c r="I99" s="4">
        <f t="shared" si="4"/>
        <v>0</v>
      </c>
      <c r="J99" s="25">
        <f t="shared" si="2"/>
        <v>3</v>
      </c>
    </row>
    <row r="100" spans="1:10" ht="34.950000000000003" customHeight="1">
      <c r="A100" s="75">
        <v>26</v>
      </c>
      <c r="B100" s="80" t="s">
        <v>116</v>
      </c>
      <c r="C100" s="77" t="s">
        <v>48</v>
      </c>
      <c r="D100" s="78">
        <v>1</v>
      </c>
      <c r="E100" s="79"/>
      <c r="F100" s="79" t="e">
        <f t="shared" si="3"/>
        <v>#REF!</v>
      </c>
      <c r="G100" s="2"/>
      <c r="H100" s="37">
        <v>21334</v>
      </c>
      <c r="I100" s="4">
        <f t="shared" si="4"/>
        <v>0</v>
      </c>
      <c r="J100" s="25">
        <f t="shared" si="2"/>
        <v>3</v>
      </c>
    </row>
    <row r="101" spans="1:10" ht="16.95" customHeight="1">
      <c r="A101" s="75">
        <v>27</v>
      </c>
      <c r="B101" s="80" t="s">
        <v>117</v>
      </c>
      <c r="C101" s="77" t="s">
        <v>48</v>
      </c>
      <c r="D101" s="78">
        <v>1</v>
      </c>
      <c r="E101" s="79"/>
      <c r="F101" s="79" t="e">
        <f t="shared" si="3"/>
        <v>#REF!</v>
      </c>
      <c r="G101" s="2"/>
      <c r="H101" s="37">
        <v>29620</v>
      </c>
      <c r="I101" s="4">
        <f t="shared" si="4"/>
        <v>0</v>
      </c>
      <c r="J101" s="25">
        <f t="shared" si="2"/>
        <v>3</v>
      </c>
    </row>
    <row r="102" spans="1:10" ht="16.95" customHeight="1">
      <c r="A102" s="75">
        <v>28</v>
      </c>
      <c r="B102" s="80" t="s">
        <v>118</v>
      </c>
      <c r="C102" s="77" t="s">
        <v>48</v>
      </c>
      <c r="D102" s="78">
        <v>1</v>
      </c>
      <c r="E102" s="79"/>
      <c r="F102" s="79" t="e">
        <f t="shared" si="3"/>
        <v>#REF!</v>
      </c>
      <c r="G102" s="2"/>
      <c r="H102" s="37">
        <v>18506</v>
      </c>
      <c r="I102" s="4">
        <f t="shared" si="4"/>
        <v>0</v>
      </c>
      <c r="J102" s="25">
        <f t="shared" si="2"/>
        <v>3</v>
      </c>
    </row>
    <row r="103" spans="1:10" ht="16.95" customHeight="1">
      <c r="A103" s="75">
        <v>29</v>
      </c>
      <c r="B103" s="80" t="s">
        <v>119</v>
      </c>
      <c r="C103" s="77" t="s">
        <v>48</v>
      </c>
      <c r="D103" s="78">
        <v>1</v>
      </c>
      <c r="E103" s="79"/>
      <c r="F103" s="79" t="e">
        <f t="shared" si="3"/>
        <v>#REF!</v>
      </c>
      <c r="G103" s="2"/>
      <c r="H103" s="37">
        <v>34381</v>
      </c>
      <c r="I103" s="4">
        <f t="shared" si="4"/>
        <v>0</v>
      </c>
      <c r="J103" s="25">
        <f t="shared" si="2"/>
        <v>3</v>
      </c>
    </row>
    <row r="104" spans="1:10" ht="16.95" customHeight="1">
      <c r="A104" s="75" t="s">
        <v>79</v>
      </c>
      <c r="B104" s="80" t="s">
        <v>80</v>
      </c>
      <c r="C104" s="77" t="s">
        <v>48</v>
      </c>
      <c r="D104" s="78">
        <v>1</v>
      </c>
      <c r="E104" s="79">
        <f t="shared" ref="E104:E107" si="5">1/120</f>
        <v>8.3333333333333332E-3</v>
      </c>
      <c r="F104" s="79" t="e">
        <f t="shared" si="3"/>
        <v>#REF!</v>
      </c>
      <c r="G104" s="2"/>
      <c r="H104" s="37">
        <v>21395</v>
      </c>
      <c r="I104" s="4">
        <f t="shared" si="4"/>
        <v>178.29166666666666</v>
      </c>
      <c r="J104" s="25">
        <f t="shared" si="2"/>
        <v>3</v>
      </c>
    </row>
    <row r="105" spans="1:10" ht="16.95" customHeight="1">
      <c r="A105" s="75" t="s">
        <v>81</v>
      </c>
      <c r="B105" s="80" t="s">
        <v>82</v>
      </c>
      <c r="C105" s="77" t="s">
        <v>48</v>
      </c>
      <c r="D105" s="78">
        <v>1</v>
      </c>
      <c r="E105" s="79">
        <f t="shared" si="5"/>
        <v>8.3333333333333332E-3</v>
      </c>
      <c r="F105" s="79" t="e">
        <f t="shared" si="3"/>
        <v>#REF!</v>
      </c>
      <c r="G105" s="2"/>
      <c r="H105" s="37">
        <v>21395</v>
      </c>
      <c r="I105" s="4">
        <f t="shared" si="4"/>
        <v>178.29166666666666</v>
      </c>
      <c r="J105" s="25">
        <f t="shared" si="2"/>
        <v>3</v>
      </c>
    </row>
    <row r="106" spans="1:10" ht="16.95" customHeight="1">
      <c r="A106" s="75" t="s">
        <v>83</v>
      </c>
      <c r="B106" s="80" t="s">
        <v>84</v>
      </c>
      <c r="C106" s="77" t="s">
        <v>48</v>
      </c>
      <c r="D106" s="78">
        <v>1</v>
      </c>
      <c r="E106" s="79">
        <f t="shared" si="5"/>
        <v>8.3333333333333332E-3</v>
      </c>
      <c r="F106" s="79" t="e">
        <f t="shared" si="3"/>
        <v>#REF!</v>
      </c>
      <c r="G106" s="2"/>
      <c r="H106" s="37">
        <v>149765</v>
      </c>
      <c r="I106" s="4">
        <f t="shared" si="4"/>
        <v>1248.0416666666667</v>
      </c>
      <c r="J106" s="25">
        <f t="shared" si="2"/>
        <v>3</v>
      </c>
    </row>
    <row r="107" spans="1:10" ht="16.95" customHeight="1">
      <c r="A107" s="75" t="s">
        <v>85</v>
      </c>
      <c r="B107" s="80" t="s">
        <v>86</v>
      </c>
      <c r="C107" s="77" t="s">
        <v>48</v>
      </c>
      <c r="D107" s="78">
        <v>1</v>
      </c>
      <c r="E107" s="79">
        <f t="shared" si="5"/>
        <v>8.3333333333333332E-3</v>
      </c>
      <c r="F107" s="79" t="e">
        <f t="shared" si="3"/>
        <v>#REF!</v>
      </c>
      <c r="G107" s="2"/>
      <c r="H107" s="37">
        <v>6996</v>
      </c>
      <c r="I107" s="4">
        <f t="shared" si="4"/>
        <v>58.3</v>
      </c>
      <c r="J107" s="25">
        <f t="shared" si="2"/>
        <v>3</v>
      </c>
    </row>
    <row r="108" spans="1:10" ht="16.95" customHeight="1">
      <c r="A108" s="75" t="s">
        <v>87</v>
      </c>
      <c r="B108" s="80" t="s">
        <v>88</v>
      </c>
      <c r="C108" s="77" t="s">
        <v>48</v>
      </c>
      <c r="D108" s="78">
        <v>1</v>
      </c>
      <c r="E108" s="79">
        <f>1/120</f>
        <v>8.3333333333333332E-3</v>
      </c>
      <c r="F108" s="79" t="e">
        <f t="shared" si="3"/>
        <v>#REF!</v>
      </c>
      <c r="G108" s="2"/>
      <c r="H108" s="37">
        <v>116952</v>
      </c>
      <c r="I108" s="4">
        <f t="shared" si="4"/>
        <v>974.6</v>
      </c>
      <c r="J108" s="25">
        <f t="shared" si="2"/>
        <v>3</v>
      </c>
    </row>
    <row r="109" spans="1:10" ht="16.95" customHeight="1">
      <c r="A109" s="95" t="s">
        <v>23</v>
      </c>
      <c r="B109" s="95"/>
      <c r="C109" s="50"/>
      <c r="D109" s="50"/>
      <c r="E109" s="50"/>
      <c r="F109" s="50"/>
      <c r="G109" s="50"/>
      <c r="H109" s="3" t="s">
        <v>24</v>
      </c>
      <c r="I109" s="5">
        <f>SUM(I74:I108)</f>
        <v>2637.5250000000001</v>
      </c>
      <c r="J109" s="25">
        <f t="shared" si="2"/>
        <v>3</v>
      </c>
    </row>
    <row r="110" spans="1:10" ht="16.95" customHeight="1">
      <c r="A110" s="96" t="s">
        <v>25</v>
      </c>
      <c r="B110" s="96"/>
      <c r="C110" s="50"/>
      <c r="D110" s="50"/>
      <c r="E110" s="50"/>
      <c r="F110" s="50"/>
      <c r="G110" s="50"/>
      <c r="J110" s="25">
        <f t="shared" si="2"/>
        <v>3</v>
      </c>
    </row>
    <row r="111" spans="1:10" ht="16.95" customHeight="1">
      <c r="A111" s="96" t="s">
        <v>26</v>
      </c>
      <c r="B111" s="96"/>
      <c r="C111" s="50"/>
      <c r="D111" s="50"/>
      <c r="E111" s="50"/>
      <c r="F111" s="50"/>
      <c r="G111" s="50"/>
      <c r="J111" s="25">
        <f t="shared" si="2"/>
        <v>3</v>
      </c>
    </row>
    <row r="112" spans="1:10" ht="16.95" customHeight="1">
      <c r="A112" s="95" t="s">
        <v>27</v>
      </c>
      <c r="B112" s="95"/>
      <c r="C112" s="95"/>
      <c r="D112" s="95"/>
      <c r="E112" s="95"/>
      <c r="F112" s="95"/>
      <c r="G112" s="95"/>
      <c r="J112" s="25">
        <f t="shared" si="2"/>
        <v>3</v>
      </c>
    </row>
    <row r="113" spans="1:10" ht="16.95" customHeight="1">
      <c r="A113" s="94" t="s">
        <v>28</v>
      </c>
      <c r="B113" s="94"/>
      <c r="C113" s="51" t="s">
        <v>29</v>
      </c>
      <c r="D113" s="51" t="s">
        <v>30</v>
      </c>
      <c r="E113" s="51" t="s">
        <v>18</v>
      </c>
      <c r="F113" s="51" t="s">
        <v>31</v>
      </c>
      <c r="G113" s="51" t="s">
        <v>20</v>
      </c>
      <c r="J113" s="25">
        <f t="shared" si="2"/>
        <v>3</v>
      </c>
    </row>
    <row r="114" spans="1:10" ht="16.95" customHeight="1">
      <c r="A114" s="96"/>
      <c r="B114" s="96"/>
      <c r="C114" s="50"/>
      <c r="D114" s="50"/>
      <c r="E114" s="50"/>
      <c r="F114" s="50"/>
      <c r="G114" s="51"/>
      <c r="J114" s="25">
        <f t="shared" si="2"/>
        <v>3</v>
      </c>
    </row>
    <row r="115" spans="1:10" ht="16.95" customHeight="1">
      <c r="A115" s="97"/>
      <c r="B115" s="97"/>
      <c r="C115" s="50"/>
      <c r="D115" s="50"/>
      <c r="E115" s="50"/>
      <c r="F115" s="51"/>
      <c r="G115" s="51"/>
      <c r="J115" s="25">
        <f t="shared" si="2"/>
        <v>3</v>
      </c>
    </row>
    <row r="116" spans="1:10" ht="16.95" customHeight="1">
      <c r="A116" s="95" t="s">
        <v>32</v>
      </c>
      <c r="B116" s="95"/>
      <c r="C116" s="95"/>
      <c r="D116" s="95"/>
      <c r="E116" s="95"/>
      <c r="F116" s="95"/>
      <c r="G116" s="95"/>
      <c r="J116" s="25">
        <f t="shared" si="2"/>
        <v>4</v>
      </c>
    </row>
    <row r="117" spans="1:10" ht="16.95" customHeight="1">
      <c r="A117" s="51" t="s">
        <v>33</v>
      </c>
      <c r="B117" s="51" t="s">
        <v>34</v>
      </c>
      <c r="C117" s="94" t="s">
        <v>35</v>
      </c>
      <c r="D117" s="94"/>
      <c r="E117" s="51" t="s">
        <v>36</v>
      </c>
      <c r="F117" s="51" t="s">
        <v>37</v>
      </c>
      <c r="G117" s="51" t="s">
        <v>38</v>
      </c>
      <c r="J117" s="25">
        <f t="shared" si="2"/>
        <v>4</v>
      </c>
    </row>
    <row r="118" spans="1:10" ht="16.95" customHeight="1">
      <c r="A118" s="51" t="s">
        <v>39</v>
      </c>
      <c r="B118" s="6"/>
      <c r="C118" s="94" t="e">
        <f>B118+C55</f>
        <v>#REF!</v>
      </c>
      <c r="D118" s="94"/>
      <c r="E118" s="51"/>
      <c r="F118" s="24"/>
      <c r="G118" s="24"/>
      <c r="J118" s="25">
        <f t="shared" si="2"/>
        <v>4</v>
      </c>
    </row>
    <row r="119" spans="1:10" ht="16.95" customHeight="1">
      <c r="A119" s="51" t="s">
        <v>40</v>
      </c>
      <c r="B119" s="6"/>
      <c r="C119" s="94" t="e">
        <f>B119+C56</f>
        <v>#REF!</v>
      </c>
      <c r="D119" s="94"/>
      <c r="E119" s="51"/>
      <c r="F119" s="24"/>
      <c r="G119" s="24"/>
      <c r="J119" s="25">
        <f t="shared" si="2"/>
        <v>4</v>
      </c>
    </row>
    <row r="120" spans="1:10" ht="36.6" customHeight="1">
      <c r="A120" s="95" t="s">
        <v>41</v>
      </c>
      <c r="B120" s="95"/>
      <c r="C120" s="95"/>
      <c r="D120" s="95"/>
      <c r="E120" s="95"/>
      <c r="F120" s="95"/>
      <c r="G120" s="95"/>
      <c r="J120" s="25">
        <f t="shared" si="2"/>
        <v>4</v>
      </c>
    </row>
    <row r="121" spans="1:10" ht="90" customHeight="1">
      <c r="A121" s="92" t="s">
        <v>42</v>
      </c>
      <c r="B121" s="92"/>
      <c r="C121" s="92"/>
      <c r="D121" s="92"/>
      <c r="E121" s="92"/>
      <c r="F121" s="92"/>
      <c r="G121" s="92"/>
      <c r="J121" s="25">
        <f t="shared" si="2"/>
        <v>4</v>
      </c>
    </row>
    <row r="122" spans="1:10" ht="16.95" customHeight="1">
      <c r="A122" s="95" t="s">
        <v>43</v>
      </c>
      <c r="B122" s="95"/>
      <c r="C122" s="95"/>
      <c r="D122" s="95"/>
      <c r="E122" s="95"/>
      <c r="F122" s="95"/>
      <c r="G122" s="95"/>
      <c r="J122" s="25">
        <f t="shared" si="2"/>
        <v>4</v>
      </c>
    </row>
    <row r="123" spans="1:10" ht="16.95" customHeight="1">
      <c r="A123" s="95" t="s">
        <v>44</v>
      </c>
      <c r="B123" s="95"/>
      <c r="C123" s="95"/>
      <c r="D123" s="95"/>
      <c r="E123" s="95"/>
      <c r="F123" s="95"/>
      <c r="G123" s="95"/>
      <c r="J123" s="25">
        <f t="shared" si="2"/>
        <v>4</v>
      </c>
    </row>
    <row r="124" spans="1:10" ht="16.95" customHeight="1">
      <c r="A124" s="91" t="s">
        <v>64</v>
      </c>
      <c r="B124" s="91"/>
      <c r="C124" s="91"/>
      <c r="D124" s="91"/>
      <c r="E124" s="91"/>
      <c r="F124" s="91"/>
      <c r="G124" s="91"/>
      <c r="J124" s="25">
        <f t="shared" si="2"/>
        <v>4</v>
      </c>
    </row>
    <row r="125" spans="1:10" ht="120.6" customHeight="1">
      <c r="A125" s="92" t="s">
        <v>45</v>
      </c>
      <c r="B125" s="92"/>
      <c r="C125" s="92"/>
      <c r="D125" s="92"/>
      <c r="E125" s="92"/>
      <c r="F125" s="92"/>
      <c r="G125" s="92"/>
      <c r="J125" s="25">
        <f t="shared" si="2"/>
        <v>4</v>
      </c>
    </row>
    <row r="126" spans="1:10" ht="140.4" customHeight="1">
      <c r="A126" s="93" t="s">
        <v>46</v>
      </c>
      <c r="B126" s="93"/>
      <c r="C126" s="93"/>
      <c r="D126" s="93"/>
      <c r="E126" s="93"/>
      <c r="F126" s="93"/>
      <c r="G126" s="93"/>
      <c r="J126" s="25">
        <f t="shared" si="2"/>
        <v>4</v>
      </c>
    </row>
    <row r="127" spans="1:10" ht="37.200000000000003" customHeight="1">
      <c r="A127" s="103" t="s">
        <v>0</v>
      </c>
      <c r="B127" s="103"/>
      <c r="C127" s="103"/>
      <c r="D127" s="103"/>
      <c r="E127" s="103"/>
      <c r="F127" s="103"/>
      <c r="G127" s="103"/>
      <c r="J127" s="25">
        <f t="shared" si="2"/>
        <v>5</v>
      </c>
    </row>
    <row r="128" spans="1:10" ht="16.95" customHeight="1">
      <c r="A128" s="1" t="s">
        <v>1</v>
      </c>
      <c r="B128" s="104">
        <f>B65+1</f>
        <v>4</v>
      </c>
      <c r="C128" s="104"/>
      <c r="D128" s="104"/>
      <c r="E128" s="104"/>
      <c r="F128" s="104"/>
      <c r="G128" s="104"/>
      <c r="J128" s="25">
        <f t="shared" ref="J128:J191" si="6">J65+2</f>
        <v>5</v>
      </c>
    </row>
    <row r="129" spans="1:10" ht="16.95" customHeight="1">
      <c r="A129" s="1" t="s">
        <v>2</v>
      </c>
      <c r="B129" s="105" t="s">
        <v>63</v>
      </c>
      <c r="C129" s="105"/>
      <c r="D129" s="105"/>
      <c r="E129" s="106">
        <f>E66+1</f>
        <v>46206</v>
      </c>
      <c r="F129" s="106"/>
      <c r="G129" s="106"/>
      <c r="J129" s="25">
        <f t="shared" si="6"/>
        <v>5</v>
      </c>
    </row>
    <row r="130" spans="1:10" ht="16.95" customHeight="1">
      <c r="A130" s="53" t="s">
        <v>3</v>
      </c>
      <c r="B130" s="2" t="s">
        <v>67</v>
      </c>
      <c r="C130" s="98" t="s">
        <v>4</v>
      </c>
      <c r="D130" s="98"/>
      <c r="E130" s="98" t="s">
        <v>47</v>
      </c>
      <c r="F130" s="98"/>
      <c r="G130" s="98"/>
      <c r="J130" s="25">
        <f t="shared" si="6"/>
        <v>5</v>
      </c>
    </row>
    <row r="131" spans="1:10" ht="16.95" customHeight="1">
      <c r="A131" s="53" t="s">
        <v>5</v>
      </c>
      <c r="B131" s="54">
        <v>120</v>
      </c>
      <c r="C131" s="98" t="s">
        <v>6</v>
      </c>
      <c r="D131" s="98"/>
      <c r="E131" s="98" t="s">
        <v>123</v>
      </c>
      <c r="F131" s="98"/>
      <c r="G131" s="98"/>
      <c r="J131" s="25">
        <f t="shared" si="6"/>
        <v>5</v>
      </c>
    </row>
    <row r="132" spans="1:10" ht="16.95" customHeight="1">
      <c r="A132" s="53" t="s">
        <v>7</v>
      </c>
      <c r="B132" s="54">
        <f>B128</f>
        <v>4</v>
      </c>
      <c r="C132" s="100" t="s">
        <v>8</v>
      </c>
      <c r="D132" s="100"/>
      <c r="E132" s="101">
        <f>B131-B132</f>
        <v>116</v>
      </c>
      <c r="F132" s="101"/>
      <c r="G132" s="101"/>
      <c r="J132" s="25">
        <f t="shared" si="6"/>
        <v>5</v>
      </c>
    </row>
    <row r="133" spans="1:10" ht="16.95" customHeight="1">
      <c r="A133" s="53" t="s">
        <v>9</v>
      </c>
      <c r="B133" s="55">
        <v>46204</v>
      </c>
      <c r="C133" s="98" t="s">
        <v>10</v>
      </c>
      <c r="D133" s="98"/>
      <c r="E133" s="102">
        <f>B133+B131-1</f>
        <v>46323</v>
      </c>
      <c r="F133" s="102"/>
      <c r="G133" s="102"/>
      <c r="J133" s="25">
        <f t="shared" si="6"/>
        <v>5</v>
      </c>
    </row>
    <row r="134" spans="1:10" ht="16.95" customHeight="1">
      <c r="A134" s="53" t="s">
        <v>11</v>
      </c>
      <c r="B134" s="56" t="e">
        <f>HLOOKUP(B128,進度表!$Q$2:$Z$3,2,1)+B71</f>
        <v>#REF!</v>
      </c>
      <c r="C134" s="98" t="s">
        <v>12</v>
      </c>
      <c r="D134" s="98"/>
      <c r="E134" s="99" t="e">
        <f>I172/I134+E71</f>
        <v>#REF!</v>
      </c>
      <c r="F134" s="99"/>
      <c r="G134" s="99"/>
      <c r="H134" s="3" t="s">
        <v>62</v>
      </c>
      <c r="I134" s="1">
        <v>2456000</v>
      </c>
      <c r="J134" s="25">
        <f t="shared" si="6"/>
        <v>5</v>
      </c>
    </row>
    <row r="135" spans="1:10" ht="16.95" customHeight="1">
      <c r="A135" s="98" t="s">
        <v>13</v>
      </c>
      <c r="B135" s="98"/>
      <c r="C135" s="98"/>
      <c r="D135" s="98"/>
      <c r="E135" s="98"/>
      <c r="F135" s="98"/>
      <c r="G135" s="98"/>
      <c r="J135" s="25">
        <f t="shared" si="6"/>
        <v>5</v>
      </c>
    </row>
    <row r="136" spans="1:10" ht="16.95" customHeight="1">
      <c r="A136" s="52" t="s">
        <v>14</v>
      </c>
      <c r="B136" s="52" t="s">
        <v>15</v>
      </c>
      <c r="C136" s="52" t="s">
        <v>16</v>
      </c>
      <c r="D136" s="52" t="s">
        <v>17</v>
      </c>
      <c r="E136" s="52" t="s">
        <v>18</v>
      </c>
      <c r="F136" s="52" t="s">
        <v>19</v>
      </c>
      <c r="G136" s="52" t="s">
        <v>20</v>
      </c>
      <c r="H136" s="3" t="s">
        <v>21</v>
      </c>
      <c r="I136" s="3" t="s">
        <v>22</v>
      </c>
      <c r="J136" s="25">
        <f t="shared" si="6"/>
        <v>5</v>
      </c>
    </row>
    <row r="137" spans="1:10" ht="16.95" customHeight="1">
      <c r="A137" s="75" t="s">
        <v>65</v>
      </c>
      <c r="B137" s="76" t="s">
        <v>69</v>
      </c>
      <c r="C137" s="77"/>
      <c r="D137" s="78"/>
      <c r="E137" s="79"/>
      <c r="F137" s="79"/>
      <c r="G137" s="2"/>
      <c r="H137" s="37"/>
      <c r="I137" s="4"/>
      <c r="J137" s="25">
        <f t="shared" si="6"/>
        <v>5</v>
      </c>
    </row>
    <row r="138" spans="1:10" ht="34.950000000000003" customHeight="1">
      <c r="A138" s="75">
        <v>1</v>
      </c>
      <c r="B138" s="80" t="s">
        <v>91</v>
      </c>
      <c r="C138" s="77" t="s">
        <v>48</v>
      </c>
      <c r="D138" s="78">
        <v>1</v>
      </c>
      <c r="E138" s="79"/>
      <c r="F138" s="79" t="e">
        <f t="shared" ref="F138:F171" si="7">E138+F75</f>
        <v>#REF!</v>
      </c>
      <c r="G138" s="2"/>
      <c r="H138" s="37">
        <v>10508</v>
      </c>
      <c r="I138" s="4">
        <f>H138*E138</f>
        <v>0</v>
      </c>
      <c r="J138" s="25">
        <f t="shared" si="6"/>
        <v>5</v>
      </c>
    </row>
    <row r="139" spans="1:10" ht="34.799999999999997" customHeight="1">
      <c r="A139" s="75">
        <v>2</v>
      </c>
      <c r="B139" s="80" t="s">
        <v>92</v>
      </c>
      <c r="C139" s="77" t="s">
        <v>48</v>
      </c>
      <c r="D139" s="78">
        <v>1</v>
      </c>
      <c r="E139" s="79"/>
      <c r="F139" s="79" t="e">
        <f t="shared" si="7"/>
        <v>#REF!</v>
      </c>
      <c r="G139" s="2"/>
      <c r="H139" s="37">
        <v>13223</v>
      </c>
      <c r="I139" s="4">
        <f>H139*E139</f>
        <v>0</v>
      </c>
      <c r="J139" s="25">
        <f t="shared" si="6"/>
        <v>5</v>
      </c>
    </row>
    <row r="140" spans="1:10" ht="53.4" customHeight="1">
      <c r="A140" s="75">
        <v>3</v>
      </c>
      <c r="B140" s="80" t="s">
        <v>93</v>
      </c>
      <c r="C140" s="77" t="s">
        <v>48</v>
      </c>
      <c r="D140" s="78">
        <v>1</v>
      </c>
      <c r="E140" s="79"/>
      <c r="F140" s="79" t="e">
        <f t="shared" si="7"/>
        <v>#REF!</v>
      </c>
      <c r="G140" s="2"/>
      <c r="H140" s="37">
        <v>310497</v>
      </c>
      <c r="I140" s="4">
        <f t="shared" ref="I140:I171" si="8">H140*E140</f>
        <v>0</v>
      </c>
      <c r="J140" s="25">
        <f t="shared" si="6"/>
        <v>5</v>
      </c>
    </row>
    <row r="141" spans="1:10" ht="16.95" customHeight="1">
      <c r="A141" s="75">
        <v>4</v>
      </c>
      <c r="B141" s="80" t="s">
        <v>94</v>
      </c>
      <c r="C141" s="77" t="s">
        <v>48</v>
      </c>
      <c r="D141" s="78">
        <v>1</v>
      </c>
      <c r="E141" s="79"/>
      <c r="F141" s="79" t="e">
        <f t="shared" si="7"/>
        <v>#REF!</v>
      </c>
      <c r="G141" s="2"/>
      <c r="H141" s="37">
        <v>8375</v>
      </c>
      <c r="I141" s="4">
        <f t="shared" si="8"/>
        <v>0</v>
      </c>
      <c r="J141" s="25">
        <f t="shared" si="6"/>
        <v>5</v>
      </c>
    </row>
    <row r="142" spans="1:10" ht="16.95" customHeight="1">
      <c r="A142" s="75">
        <v>5</v>
      </c>
      <c r="B142" s="80" t="s">
        <v>95</v>
      </c>
      <c r="C142" s="77" t="s">
        <v>48</v>
      </c>
      <c r="D142" s="78">
        <v>1</v>
      </c>
      <c r="E142" s="79"/>
      <c r="F142" s="79" t="e">
        <f t="shared" si="7"/>
        <v>#REF!</v>
      </c>
      <c r="G142" s="2"/>
      <c r="H142" s="37">
        <v>51618</v>
      </c>
      <c r="I142" s="4">
        <f t="shared" si="8"/>
        <v>0</v>
      </c>
      <c r="J142" s="25">
        <f t="shared" si="6"/>
        <v>5</v>
      </c>
    </row>
    <row r="143" spans="1:10" ht="16.95" customHeight="1">
      <c r="A143" s="75">
        <v>6</v>
      </c>
      <c r="B143" s="80" t="s">
        <v>96</v>
      </c>
      <c r="C143" s="77" t="s">
        <v>50</v>
      </c>
      <c r="D143" s="78">
        <v>11.55</v>
      </c>
      <c r="E143" s="79"/>
      <c r="F143" s="79" t="e">
        <f t="shared" si="7"/>
        <v>#REF!</v>
      </c>
      <c r="G143" s="2"/>
      <c r="H143" s="37">
        <v>1188</v>
      </c>
      <c r="I143" s="4">
        <f t="shared" si="8"/>
        <v>0</v>
      </c>
      <c r="J143" s="25">
        <f t="shared" si="6"/>
        <v>5</v>
      </c>
    </row>
    <row r="144" spans="1:10" ht="34.950000000000003" customHeight="1">
      <c r="A144" s="75">
        <v>7</v>
      </c>
      <c r="B144" s="80" t="s">
        <v>97</v>
      </c>
      <c r="C144" s="77" t="s">
        <v>48</v>
      </c>
      <c r="D144" s="78">
        <v>1</v>
      </c>
      <c r="E144" s="79"/>
      <c r="F144" s="79" t="e">
        <f t="shared" si="7"/>
        <v>#REF!</v>
      </c>
      <c r="G144" s="2"/>
      <c r="H144" s="37">
        <v>21157</v>
      </c>
      <c r="I144" s="4">
        <f t="shared" si="8"/>
        <v>0</v>
      </c>
      <c r="J144" s="25">
        <f t="shared" si="6"/>
        <v>5</v>
      </c>
    </row>
    <row r="145" spans="1:10" ht="16.95" customHeight="1">
      <c r="A145" s="75">
        <v>8</v>
      </c>
      <c r="B145" s="80" t="s">
        <v>98</v>
      </c>
      <c r="C145" s="77" t="s">
        <v>50</v>
      </c>
      <c r="D145" s="78">
        <v>387</v>
      </c>
      <c r="E145" s="79"/>
      <c r="F145" s="79" t="e">
        <f t="shared" si="7"/>
        <v>#REF!</v>
      </c>
      <c r="G145" s="2"/>
      <c r="H145" s="37">
        <v>705</v>
      </c>
      <c r="I145" s="4">
        <f t="shared" si="8"/>
        <v>0</v>
      </c>
      <c r="J145" s="25">
        <f t="shared" si="6"/>
        <v>5</v>
      </c>
    </row>
    <row r="146" spans="1:10" ht="16.95" customHeight="1">
      <c r="A146" s="75">
        <v>9</v>
      </c>
      <c r="B146" s="80" t="s">
        <v>99</v>
      </c>
      <c r="C146" s="77" t="s">
        <v>50</v>
      </c>
      <c r="D146" s="78">
        <v>170</v>
      </c>
      <c r="E146" s="79"/>
      <c r="F146" s="79" t="e">
        <f t="shared" si="7"/>
        <v>#REF!</v>
      </c>
      <c r="G146" s="2"/>
      <c r="H146" s="37">
        <v>617</v>
      </c>
      <c r="I146" s="4">
        <f t="shared" si="8"/>
        <v>0</v>
      </c>
      <c r="J146" s="25">
        <f t="shared" si="6"/>
        <v>5</v>
      </c>
    </row>
    <row r="147" spans="1:10" ht="16.95" customHeight="1">
      <c r="A147" s="75">
        <v>10</v>
      </c>
      <c r="B147" s="80" t="s">
        <v>100</v>
      </c>
      <c r="C147" s="77" t="s">
        <v>66</v>
      </c>
      <c r="D147" s="78">
        <v>15</v>
      </c>
      <c r="E147" s="79"/>
      <c r="F147" s="79" t="e">
        <f t="shared" si="7"/>
        <v>#REF!</v>
      </c>
      <c r="G147" s="2"/>
      <c r="H147" s="37">
        <v>617</v>
      </c>
      <c r="I147" s="4">
        <f t="shared" si="8"/>
        <v>0</v>
      </c>
      <c r="J147" s="25">
        <f t="shared" si="6"/>
        <v>5</v>
      </c>
    </row>
    <row r="148" spans="1:10" ht="16.95" customHeight="1">
      <c r="A148" s="75">
        <v>11</v>
      </c>
      <c r="B148" s="80" t="s">
        <v>101</v>
      </c>
      <c r="C148" s="77" t="s">
        <v>50</v>
      </c>
      <c r="D148" s="78">
        <v>75</v>
      </c>
      <c r="E148" s="79"/>
      <c r="F148" s="79" t="e">
        <f t="shared" si="7"/>
        <v>#REF!</v>
      </c>
      <c r="G148" s="2"/>
      <c r="H148" s="37">
        <v>1146</v>
      </c>
      <c r="I148" s="4">
        <f t="shared" si="8"/>
        <v>0</v>
      </c>
      <c r="J148" s="25">
        <f t="shared" si="6"/>
        <v>5</v>
      </c>
    </row>
    <row r="149" spans="1:10" ht="16.95" customHeight="1">
      <c r="A149" s="75">
        <v>12</v>
      </c>
      <c r="B149" s="80" t="s">
        <v>102</v>
      </c>
      <c r="C149" s="77" t="s">
        <v>50</v>
      </c>
      <c r="D149" s="78">
        <v>5</v>
      </c>
      <c r="E149" s="79"/>
      <c r="F149" s="79" t="e">
        <f t="shared" si="7"/>
        <v>#REF!</v>
      </c>
      <c r="G149" s="2"/>
      <c r="H149" s="37">
        <v>1455</v>
      </c>
      <c r="I149" s="4">
        <f t="shared" si="8"/>
        <v>0</v>
      </c>
      <c r="J149" s="25">
        <f t="shared" si="6"/>
        <v>5</v>
      </c>
    </row>
    <row r="150" spans="1:10" ht="16.95" customHeight="1">
      <c r="A150" s="75">
        <v>13</v>
      </c>
      <c r="B150" s="80" t="s">
        <v>103</v>
      </c>
      <c r="C150" s="77" t="s">
        <v>50</v>
      </c>
      <c r="D150" s="78">
        <v>217</v>
      </c>
      <c r="E150" s="79"/>
      <c r="F150" s="79" t="e">
        <f t="shared" si="7"/>
        <v>#REF!</v>
      </c>
      <c r="G150" s="2"/>
      <c r="H150" s="37">
        <v>1410</v>
      </c>
      <c r="I150" s="4">
        <f t="shared" si="8"/>
        <v>0</v>
      </c>
      <c r="J150" s="25">
        <f t="shared" si="6"/>
        <v>5</v>
      </c>
    </row>
    <row r="151" spans="1:10" ht="16.95" customHeight="1">
      <c r="A151" s="75">
        <v>14</v>
      </c>
      <c r="B151" s="80" t="s">
        <v>104</v>
      </c>
      <c r="C151" s="77" t="s">
        <v>49</v>
      </c>
      <c r="D151" s="78">
        <v>84</v>
      </c>
      <c r="E151" s="79"/>
      <c r="F151" s="79" t="e">
        <f t="shared" si="7"/>
        <v>#REF!</v>
      </c>
      <c r="G151" s="2"/>
      <c r="H151" s="37">
        <v>529</v>
      </c>
      <c r="I151" s="4">
        <f t="shared" si="8"/>
        <v>0</v>
      </c>
      <c r="J151" s="25">
        <f t="shared" si="6"/>
        <v>5</v>
      </c>
    </row>
    <row r="152" spans="1:10" ht="16.95" customHeight="1">
      <c r="A152" s="75">
        <v>15</v>
      </c>
      <c r="B152" s="80" t="s">
        <v>105</v>
      </c>
      <c r="C152" s="77" t="s">
        <v>50</v>
      </c>
      <c r="D152" s="78">
        <v>1</v>
      </c>
      <c r="E152" s="79"/>
      <c r="F152" s="79" t="e">
        <f t="shared" si="7"/>
        <v>#REF!</v>
      </c>
      <c r="G152" s="2"/>
      <c r="H152" s="37">
        <v>1146</v>
      </c>
      <c r="I152" s="4">
        <f t="shared" si="8"/>
        <v>0</v>
      </c>
      <c r="J152" s="25">
        <f t="shared" si="6"/>
        <v>5</v>
      </c>
    </row>
    <row r="153" spans="1:10" ht="34.799999999999997" customHeight="1">
      <c r="A153" s="75">
        <v>16</v>
      </c>
      <c r="B153" s="80" t="s">
        <v>106</v>
      </c>
      <c r="C153" s="77" t="s">
        <v>50</v>
      </c>
      <c r="D153" s="78">
        <v>314</v>
      </c>
      <c r="E153" s="79"/>
      <c r="F153" s="79" t="e">
        <f t="shared" si="7"/>
        <v>#REF!</v>
      </c>
      <c r="G153" s="2"/>
      <c r="H153" s="37">
        <v>185</v>
      </c>
      <c r="I153" s="4">
        <f t="shared" si="8"/>
        <v>0</v>
      </c>
      <c r="J153" s="25">
        <f t="shared" si="6"/>
        <v>5</v>
      </c>
    </row>
    <row r="154" spans="1:10" ht="16.95" customHeight="1">
      <c r="A154" s="75">
        <v>17</v>
      </c>
      <c r="B154" s="80" t="s">
        <v>107</v>
      </c>
      <c r="C154" s="77" t="s">
        <v>48</v>
      </c>
      <c r="D154" s="78">
        <v>1</v>
      </c>
      <c r="E154" s="79"/>
      <c r="F154" s="79" t="e">
        <f t="shared" si="7"/>
        <v>#REF!</v>
      </c>
      <c r="G154" s="2"/>
      <c r="H154" s="37">
        <v>89918</v>
      </c>
      <c r="I154" s="4">
        <f t="shared" si="8"/>
        <v>0</v>
      </c>
      <c r="J154" s="25">
        <f t="shared" si="6"/>
        <v>5</v>
      </c>
    </row>
    <row r="155" spans="1:10" ht="16.95" customHeight="1">
      <c r="A155" s="75">
        <v>18</v>
      </c>
      <c r="B155" s="80" t="s">
        <v>108</v>
      </c>
      <c r="C155" s="77" t="s">
        <v>120</v>
      </c>
      <c r="D155" s="78">
        <v>15</v>
      </c>
      <c r="E155" s="79"/>
      <c r="F155" s="79" t="e">
        <f t="shared" si="7"/>
        <v>#REF!</v>
      </c>
      <c r="G155" s="2"/>
      <c r="H155" s="37">
        <v>661</v>
      </c>
      <c r="I155" s="4">
        <f t="shared" si="8"/>
        <v>0</v>
      </c>
      <c r="J155" s="25">
        <f t="shared" si="6"/>
        <v>5</v>
      </c>
    </row>
    <row r="156" spans="1:10" ht="16.95" customHeight="1">
      <c r="A156" s="75">
        <v>19</v>
      </c>
      <c r="B156" s="80" t="s">
        <v>109</v>
      </c>
      <c r="C156" s="77" t="s">
        <v>50</v>
      </c>
      <c r="D156" s="78">
        <v>82</v>
      </c>
      <c r="E156" s="79"/>
      <c r="F156" s="79" t="e">
        <f t="shared" si="7"/>
        <v>#REF!</v>
      </c>
      <c r="G156" s="2"/>
      <c r="H156" s="37">
        <v>2909</v>
      </c>
      <c r="I156" s="4">
        <f t="shared" si="8"/>
        <v>0</v>
      </c>
      <c r="J156" s="25">
        <f t="shared" si="6"/>
        <v>5</v>
      </c>
    </row>
    <row r="157" spans="1:10" ht="16.95" customHeight="1">
      <c r="A157" s="75">
        <v>20</v>
      </c>
      <c r="B157" s="80" t="s">
        <v>110</v>
      </c>
      <c r="C157" s="77" t="s">
        <v>121</v>
      </c>
      <c r="D157" s="78">
        <v>12</v>
      </c>
      <c r="E157" s="79"/>
      <c r="F157" s="79" t="e">
        <f t="shared" si="7"/>
        <v>#REF!</v>
      </c>
      <c r="G157" s="2"/>
      <c r="H157" s="37">
        <v>882</v>
      </c>
      <c r="I157" s="4">
        <f t="shared" si="8"/>
        <v>0</v>
      </c>
      <c r="J157" s="25">
        <f t="shared" si="6"/>
        <v>5</v>
      </c>
    </row>
    <row r="158" spans="1:10" ht="16.95" customHeight="1">
      <c r="A158" s="77">
        <v>21</v>
      </c>
      <c r="B158" s="80" t="s">
        <v>111</v>
      </c>
      <c r="C158" s="77" t="s">
        <v>122</v>
      </c>
      <c r="D158" s="78">
        <v>3</v>
      </c>
      <c r="E158" s="79"/>
      <c r="F158" s="79" t="e">
        <f t="shared" si="7"/>
        <v>#REF!</v>
      </c>
      <c r="G158" s="2"/>
      <c r="H158" s="38">
        <v>1869</v>
      </c>
      <c r="I158" s="4">
        <f t="shared" si="8"/>
        <v>0</v>
      </c>
      <c r="J158" s="25">
        <f t="shared" si="6"/>
        <v>5</v>
      </c>
    </row>
    <row r="159" spans="1:10" ht="34.950000000000003" customHeight="1">
      <c r="A159" s="75">
        <v>22</v>
      </c>
      <c r="B159" s="80" t="s">
        <v>112</v>
      </c>
      <c r="C159" s="77" t="s">
        <v>48</v>
      </c>
      <c r="D159" s="78">
        <v>1</v>
      </c>
      <c r="E159" s="79"/>
      <c r="F159" s="79" t="e">
        <f t="shared" si="7"/>
        <v>#REF!</v>
      </c>
      <c r="G159" s="2"/>
      <c r="H159" s="37">
        <v>82206</v>
      </c>
      <c r="I159" s="4">
        <f t="shared" si="8"/>
        <v>0</v>
      </c>
      <c r="J159" s="25">
        <f t="shared" si="6"/>
        <v>5</v>
      </c>
    </row>
    <row r="160" spans="1:10" ht="16.95" customHeight="1">
      <c r="A160" s="75">
        <v>23</v>
      </c>
      <c r="B160" s="80" t="s">
        <v>113</v>
      </c>
      <c r="C160" s="77" t="s">
        <v>48</v>
      </c>
      <c r="D160" s="78">
        <v>1</v>
      </c>
      <c r="E160" s="79"/>
      <c r="F160" s="79" t="e">
        <f t="shared" si="7"/>
        <v>#REF!</v>
      </c>
      <c r="G160" s="2"/>
      <c r="H160" s="37">
        <v>142723</v>
      </c>
      <c r="I160" s="4">
        <f t="shared" si="8"/>
        <v>0</v>
      </c>
      <c r="J160" s="25">
        <f t="shared" si="6"/>
        <v>5</v>
      </c>
    </row>
    <row r="161" spans="1:10" ht="16.95" customHeight="1">
      <c r="A161" s="75">
        <v>24</v>
      </c>
      <c r="B161" s="80" t="s">
        <v>114</v>
      </c>
      <c r="C161" s="77" t="s">
        <v>48</v>
      </c>
      <c r="D161" s="78">
        <v>1</v>
      </c>
      <c r="E161" s="79"/>
      <c r="F161" s="79" t="e">
        <f t="shared" si="7"/>
        <v>#REF!</v>
      </c>
      <c r="G161" s="2"/>
      <c r="H161" s="37">
        <v>37290</v>
      </c>
      <c r="I161" s="4">
        <f t="shared" si="8"/>
        <v>0</v>
      </c>
      <c r="J161" s="25">
        <f t="shared" si="6"/>
        <v>5</v>
      </c>
    </row>
    <row r="162" spans="1:10" ht="16.95" customHeight="1">
      <c r="A162" s="75">
        <v>25</v>
      </c>
      <c r="B162" s="80" t="s">
        <v>115</v>
      </c>
      <c r="C162" s="77" t="s">
        <v>48</v>
      </c>
      <c r="D162" s="78">
        <v>1</v>
      </c>
      <c r="E162" s="79"/>
      <c r="F162" s="79" t="e">
        <f t="shared" si="7"/>
        <v>#REF!</v>
      </c>
      <c r="G162" s="2"/>
      <c r="H162" s="37">
        <v>99394</v>
      </c>
      <c r="I162" s="4">
        <f t="shared" si="8"/>
        <v>0</v>
      </c>
      <c r="J162" s="25">
        <f t="shared" si="6"/>
        <v>5</v>
      </c>
    </row>
    <row r="163" spans="1:10" ht="34.950000000000003" customHeight="1">
      <c r="A163" s="75">
        <v>26</v>
      </c>
      <c r="B163" s="80" t="s">
        <v>116</v>
      </c>
      <c r="C163" s="77" t="s">
        <v>48</v>
      </c>
      <c r="D163" s="78">
        <v>1</v>
      </c>
      <c r="E163" s="79"/>
      <c r="F163" s="79" t="e">
        <f t="shared" si="7"/>
        <v>#REF!</v>
      </c>
      <c r="G163" s="2"/>
      <c r="H163" s="37">
        <v>21334</v>
      </c>
      <c r="I163" s="4">
        <f t="shared" si="8"/>
        <v>0</v>
      </c>
      <c r="J163" s="25">
        <f t="shared" si="6"/>
        <v>5</v>
      </c>
    </row>
    <row r="164" spans="1:10" ht="16.95" customHeight="1">
      <c r="A164" s="75">
        <v>27</v>
      </c>
      <c r="B164" s="80" t="s">
        <v>117</v>
      </c>
      <c r="C164" s="77" t="s">
        <v>48</v>
      </c>
      <c r="D164" s="78">
        <v>1</v>
      </c>
      <c r="E164" s="79"/>
      <c r="F164" s="79" t="e">
        <f t="shared" si="7"/>
        <v>#REF!</v>
      </c>
      <c r="G164" s="2"/>
      <c r="H164" s="37">
        <v>29620</v>
      </c>
      <c r="I164" s="4">
        <f t="shared" si="8"/>
        <v>0</v>
      </c>
      <c r="J164" s="25">
        <f t="shared" si="6"/>
        <v>5</v>
      </c>
    </row>
    <row r="165" spans="1:10" ht="16.95" customHeight="1">
      <c r="A165" s="75">
        <v>28</v>
      </c>
      <c r="B165" s="80" t="s">
        <v>118</v>
      </c>
      <c r="C165" s="77" t="s">
        <v>48</v>
      </c>
      <c r="D165" s="78">
        <v>1</v>
      </c>
      <c r="E165" s="79"/>
      <c r="F165" s="79" t="e">
        <f t="shared" si="7"/>
        <v>#REF!</v>
      </c>
      <c r="G165" s="2"/>
      <c r="H165" s="37">
        <v>18506</v>
      </c>
      <c r="I165" s="4">
        <f t="shared" si="8"/>
        <v>0</v>
      </c>
      <c r="J165" s="25">
        <f t="shared" si="6"/>
        <v>5</v>
      </c>
    </row>
    <row r="166" spans="1:10" ht="16.95" customHeight="1">
      <c r="A166" s="75">
        <v>29</v>
      </c>
      <c r="B166" s="80" t="s">
        <v>119</v>
      </c>
      <c r="C166" s="77" t="s">
        <v>48</v>
      </c>
      <c r="D166" s="78">
        <v>1</v>
      </c>
      <c r="E166" s="79"/>
      <c r="F166" s="79" t="e">
        <f t="shared" si="7"/>
        <v>#REF!</v>
      </c>
      <c r="G166" s="2"/>
      <c r="H166" s="37">
        <v>34381</v>
      </c>
      <c r="I166" s="4">
        <f t="shared" si="8"/>
        <v>0</v>
      </c>
      <c r="J166" s="25">
        <f t="shared" si="6"/>
        <v>5</v>
      </c>
    </row>
    <row r="167" spans="1:10" ht="16.95" customHeight="1">
      <c r="A167" s="75" t="s">
        <v>79</v>
      </c>
      <c r="B167" s="80" t="s">
        <v>80</v>
      </c>
      <c r="C167" s="77" t="s">
        <v>48</v>
      </c>
      <c r="D167" s="78">
        <v>1</v>
      </c>
      <c r="E167" s="79">
        <f t="shared" ref="E167:E170" si="9">1/120</f>
        <v>8.3333333333333332E-3</v>
      </c>
      <c r="F167" s="79" t="e">
        <f t="shared" si="7"/>
        <v>#REF!</v>
      </c>
      <c r="G167" s="2"/>
      <c r="H167" s="37">
        <v>21395</v>
      </c>
      <c r="I167" s="4">
        <f t="shared" si="8"/>
        <v>178.29166666666666</v>
      </c>
      <c r="J167" s="25">
        <f t="shared" si="6"/>
        <v>5</v>
      </c>
    </row>
    <row r="168" spans="1:10" ht="16.95" customHeight="1">
      <c r="A168" s="75" t="s">
        <v>81</v>
      </c>
      <c r="B168" s="80" t="s">
        <v>82</v>
      </c>
      <c r="C168" s="77" t="s">
        <v>48</v>
      </c>
      <c r="D168" s="78">
        <v>1</v>
      </c>
      <c r="E168" s="79">
        <f t="shared" si="9"/>
        <v>8.3333333333333332E-3</v>
      </c>
      <c r="F168" s="79" t="e">
        <f t="shared" si="7"/>
        <v>#REF!</v>
      </c>
      <c r="G168" s="2"/>
      <c r="H168" s="37">
        <v>21395</v>
      </c>
      <c r="I168" s="4">
        <f t="shared" si="8"/>
        <v>178.29166666666666</v>
      </c>
      <c r="J168" s="25">
        <f t="shared" si="6"/>
        <v>5</v>
      </c>
    </row>
    <row r="169" spans="1:10" ht="16.95" customHeight="1">
      <c r="A169" s="75" t="s">
        <v>83</v>
      </c>
      <c r="B169" s="80" t="s">
        <v>84</v>
      </c>
      <c r="C169" s="77" t="s">
        <v>48</v>
      </c>
      <c r="D169" s="78">
        <v>1</v>
      </c>
      <c r="E169" s="79">
        <f t="shared" si="9"/>
        <v>8.3333333333333332E-3</v>
      </c>
      <c r="F169" s="79" t="e">
        <f t="shared" si="7"/>
        <v>#REF!</v>
      </c>
      <c r="G169" s="2"/>
      <c r="H169" s="37">
        <v>149765</v>
      </c>
      <c r="I169" s="4">
        <f t="shared" si="8"/>
        <v>1248.0416666666667</v>
      </c>
      <c r="J169" s="25">
        <f t="shared" si="6"/>
        <v>5</v>
      </c>
    </row>
    <row r="170" spans="1:10" ht="16.95" customHeight="1">
      <c r="A170" s="75" t="s">
        <v>85</v>
      </c>
      <c r="B170" s="80" t="s">
        <v>86</v>
      </c>
      <c r="C170" s="77" t="s">
        <v>48</v>
      </c>
      <c r="D170" s="78">
        <v>1</v>
      </c>
      <c r="E170" s="79">
        <f t="shared" si="9"/>
        <v>8.3333333333333332E-3</v>
      </c>
      <c r="F170" s="79" t="e">
        <f t="shared" si="7"/>
        <v>#REF!</v>
      </c>
      <c r="G170" s="2"/>
      <c r="H170" s="37">
        <v>6996</v>
      </c>
      <c r="I170" s="4">
        <f t="shared" si="8"/>
        <v>58.3</v>
      </c>
      <c r="J170" s="25">
        <f t="shared" si="6"/>
        <v>5</v>
      </c>
    </row>
    <row r="171" spans="1:10" ht="16.95" customHeight="1">
      <c r="A171" s="75" t="s">
        <v>87</v>
      </c>
      <c r="B171" s="80" t="s">
        <v>88</v>
      </c>
      <c r="C171" s="77" t="s">
        <v>48</v>
      </c>
      <c r="D171" s="78">
        <v>1</v>
      </c>
      <c r="E171" s="79">
        <f>1/120</f>
        <v>8.3333333333333332E-3</v>
      </c>
      <c r="F171" s="79" t="e">
        <f t="shared" si="7"/>
        <v>#REF!</v>
      </c>
      <c r="G171" s="2"/>
      <c r="H171" s="37">
        <v>116952</v>
      </c>
      <c r="I171" s="4">
        <f t="shared" si="8"/>
        <v>974.6</v>
      </c>
      <c r="J171" s="25">
        <f t="shared" si="6"/>
        <v>5</v>
      </c>
    </row>
    <row r="172" spans="1:10" ht="16.95" customHeight="1">
      <c r="A172" s="95" t="s">
        <v>23</v>
      </c>
      <c r="B172" s="95"/>
      <c r="C172" s="50"/>
      <c r="D172" s="50"/>
      <c r="E172" s="50"/>
      <c r="F172" s="50"/>
      <c r="G172" s="50"/>
      <c r="H172" s="3" t="s">
        <v>24</v>
      </c>
      <c r="I172" s="5">
        <f>SUM(I137:I171)</f>
        <v>2637.5250000000001</v>
      </c>
      <c r="J172" s="25">
        <f t="shared" si="6"/>
        <v>5</v>
      </c>
    </row>
    <row r="173" spans="1:10" ht="16.95" customHeight="1">
      <c r="A173" s="96" t="s">
        <v>25</v>
      </c>
      <c r="B173" s="96"/>
      <c r="C173" s="50"/>
      <c r="D173" s="50"/>
      <c r="E173" s="50"/>
      <c r="F173" s="50"/>
      <c r="G173" s="50"/>
      <c r="J173" s="25">
        <f t="shared" si="6"/>
        <v>5</v>
      </c>
    </row>
    <row r="174" spans="1:10" ht="16.95" customHeight="1">
      <c r="A174" s="96" t="s">
        <v>26</v>
      </c>
      <c r="B174" s="96"/>
      <c r="C174" s="50"/>
      <c r="D174" s="50"/>
      <c r="E174" s="50"/>
      <c r="F174" s="50"/>
      <c r="G174" s="50"/>
      <c r="J174" s="25">
        <f t="shared" si="6"/>
        <v>5</v>
      </c>
    </row>
    <row r="175" spans="1:10" ht="16.95" customHeight="1">
      <c r="A175" s="95" t="s">
        <v>27</v>
      </c>
      <c r="B175" s="95"/>
      <c r="C175" s="95"/>
      <c r="D175" s="95"/>
      <c r="E175" s="95"/>
      <c r="F175" s="95"/>
      <c r="G175" s="95"/>
      <c r="J175" s="25">
        <f t="shared" si="6"/>
        <v>5</v>
      </c>
    </row>
    <row r="176" spans="1:10" ht="16.95" customHeight="1">
      <c r="A176" s="94" t="s">
        <v>28</v>
      </c>
      <c r="B176" s="94"/>
      <c r="C176" s="51" t="s">
        <v>29</v>
      </c>
      <c r="D176" s="51" t="s">
        <v>30</v>
      </c>
      <c r="E176" s="51" t="s">
        <v>18</v>
      </c>
      <c r="F176" s="51" t="s">
        <v>31</v>
      </c>
      <c r="G176" s="51" t="s">
        <v>20</v>
      </c>
      <c r="J176" s="25">
        <f t="shared" si="6"/>
        <v>5</v>
      </c>
    </row>
    <row r="177" spans="1:10" ht="16.95" customHeight="1">
      <c r="A177" s="96"/>
      <c r="B177" s="96"/>
      <c r="C177" s="50"/>
      <c r="D177" s="50"/>
      <c r="E177" s="50"/>
      <c r="F177" s="50"/>
      <c r="G177" s="51"/>
      <c r="J177" s="25">
        <f t="shared" si="6"/>
        <v>5</v>
      </c>
    </row>
    <row r="178" spans="1:10" ht="16.95" customHeight="1">
      <c r="A178" s="97"/>
      <c r="B178" s="97"/>
      <c r="C178" s="50"/>
      <c r="D178" s="50"/>
      <c r="E178" s="50"/>
      <c r="F178" s="51"/>
      <c r="G178" s="51"/>
      <c r="J178" s="25">
        <f t="shared" si="6"/>
        <v>5</v>
      </c>
    </row>
    <row r="179" spans="1:10" ht="16.95" customHeight="1">
      <c r="A179" s="95" t="s">
        <v>32</v>
      </c>
      <c r="B179" s="95"/>
      <c r="C179" s="95"/>
      <c r="D179" s="95"/>
      <c r="E179" s="95"/>
      <c r="F179" s="95"/>
      <c r="G179" s="95"/>
      <c r="J179" s="25">
        <f t="shared" si="6"/>
        <v>6</v>
      </c>
    </row>
    <row r="180" spans="1:10" ht="16.95" customHeight="1">
      <c r="A180" s="51" t="s">
        <v>33</v>
      </c>
      <c r="B180" s="51" t="s">
        <v>34</v>
      </c>
      <c r="C180" s="94" t="s">
        <v>35</v>
      </c>
      <c r="D180" s="94"/>
      <c r="E180" s="51" t="s">
        <v>36</v>
      </c>
      <c r="F180" s="51" t="s">
        <v>37</v>
      </c>
      <c r="G180" s="51" t="s">
        <v>38</v>
      </c>
      <c r="J180" s="25">
        <f t="shared" si="6"/>
        <v>6</v>
      </c>
    </row>
    <row r="181" spans="1:10" ht="16.95" customHeight="1">
      <c r="A181" s="51" t="s">
        <v>39</v>
      </c>
      <c r="B181" s="6"/>
      <c r="C181" s="94" t="e">
        <f>B181+C118</f>
        <v>#REF!</v>
      </c>
      <c r="D181" s="94"/>
      <c r="E181" s="51"/>
      <c r="F181" s="24"/>
      <c r="G181" s="24"/>
      <c r="J181" s="25">
        <f t="shared" si="6"/>
        <v>6</v>
      </c>
    </row>
    <row r="182" spans="1:10" ht="16.95" customHeight="1">
      <c r="A182" s="51" t="s">
        <v>40</v>
      </c>
      <c r="B182" s="6"/>
      <c r="C182" s="94" t="e">
        <f>B182+C119</f>
        <v>#REF!</v>
      </c>
      <c r="D182" s="94"/>
      <c r="E182" s="51"/>
      <c r="F182" s="24"/>
      <c r="G182" s="24"/>
      <c r="J182" s="25">
        <f t="shared" si="6"/>
        <v>6</v>
      </c>
    </row>
    <row r="183" spans="1:10" ht="36.6" customHeight="1">
      <c r="A183" s="95" t="s">
        <v>41</v>
      </c>
      <c r="B183" s="95"/>
      <c r="C183" s="95"/>
      <c r="D183" s="95"/>
      <c r="E183" s="95"/>
      <c r="F183" s="95"/>
      <c r="G183" s="95"/>
      <c r="J183" s="25">
        <f t="shared" si="6"/>
        <v>6</v>
      </c>
    </row>
    <row r="184" spans="1:10" ht="90" customHeight="1">
      <c r="A184" s="92" t="s">
        <v>42</v>
      </c>
      <c r="B184" s="92"/>
      <c r="C184" s="92"/>
      <c r="D184" s="92"/>
      <c r="E184" s="92"/>
      <c r="F184" s="92"/>
      <c r="G184" s="92"/>
      <c r="J184" s="25">
        <f t="shared" si="6"/>
        <v>6</v>
      </c>
    </row>
    <row r="185" spans="1:10" ht="16.95" customHeight="1">
      <c r="A185" s="95" t="s">
        <v>43</v>
      </c>
      <c r="B185" s="95"/>
      <c r="C185" s="95"/>
      <c r="D185" s="95"/>
      <c r="E185" s="95"/>
      <c r="F185" s="95"/>
      <c r="G185" s="95"/>
      <c r="J185" s="25">
        <f t="shared" si="6"/>
        <v>6</v>
      </c>
    </row>
    <row r="186" spans="1:10" ht="16.95" customHeight="1">
      <c r="A186" s="95" t="s">
        <v>44</v>
      </c>
      <c r="B186" s="95"/>
      <c r="C186" s="95"/>
      <c r="D186" s="95"/>
      <c r="E186" s="95"/>
      <c r="F186" s="95"/>
      <c r="G186" s="95"/>
      <c r="J186" s="25">
        <f t="shared" si="6"/>
        <v>6</v>
      </c>
    </row>
    <row r="187" spans="1:10" ht="16.95" customHeight="1">
      <c r="A187" s="91" t="s">
        <v>64</v>
      </c>
      <c r="B187" s="91"/>
      <c r="C187" s="91"/>
      <c r="D187" s="91"/>
      <c r="E187" s="91"/>
      <c r="F187" s="91"/>
      <c r="G187" s="91"/>
      <c r="J187" s="25">
        <f t="shared" si="6"/>
        <v>6</v>
      </c>
    </row>
    <row r="188" spans="1:10" ht="120.6" customHeight="1">
      <c r="A188" s="92" t="s">
        <v>45</v>
      </c>
      <c r="B188" s="92"/>
      <c r="C188" s="92"/>
      <c r="D188" s="92"/>
      <c r="E188" s="92"/>
      <c r="F188" s="92"/>
      <c r="G188" s="92"/>
      <c r="J188" s="25">
        <f t="shared" si="6"/>
        <v>6</v>
      </c>
    </row>
    <row r="189" spans="1:10" ht="140.4" customHeight="1">
      <c r="A189" s="93" t="s">
        <v>46</v>
      </c>
      <c r="B189" s="93"/>
      <c r="C189" s="93"/>
      <c r="D189" s="93"/>
      <c r="E189" s="93"/>
      <c r="F189" s="93"/>
      <c r="G189" s="93"/>
      <c r="J189" s="25">
        <f t="shared" si="6"/>
        <v>6</v>
      </c>
    </row>
    <row r="190" spans="1:10" ht="37.200000000000003" customHeight="1">
      <c r="A190" s="103" t="s">
        <v>0</v>
      </c>
      <c r="B190" s="103"/>
      <c r="C190" s="103"/>
      <c r="D190" s="103"/>
      <c r="E190" s="103"/>
      <c r="F190" s="103"/>
      <c r="G190" s="103"/>
      <c r="J190" s="25">
        <f t="shared" si="6"/>
        <v>7</v>
      </c>
    </row>
    <row r="191" spans="1:10" ht="16.95" customHeight="1">
      <c r="A191" s="1" t="s">
        <v>1</v>
      </c>
      <c r="B191" s="104">
        <f>B128+1</f>
        <v>5</v>
      </c>
      <c r="C191" s="104"/>
      <c r="D191" s="104"/>
      <c r="E191" s="104"/>
      <c r="F191" s="104"/>
      <c r="G191" s="104"/>
      <c r="J191" s="25">
        <f t="shared" si="6"/>
        <v>7</v>
      </c>
    </row>
    <row r="192" spans="1:10" ht="16.95" customHeight="1">
      <c r="A192" s="1" t="s">
        <v>2</v>
      </c>
      <c r="B192" s="105" t="s">
        <v>63</v>
      </c>
      <c r="C192" s="105"/>
      <c r="D192" s="105"/>
      <c r="E192" s="106">
        <f>E129+1</f>
        <v>46207</v>
      </c>
      <c r="F192" s="106"/>
      <c r="G192" s="106"/>
      <c r="J192" s="25">
        <f t="shared" ref="J192:J255" si="10">J129+2</f>
        <v>7</v>
      </c>
    </row>
    <row r="193" spans="1:10" ht="16.95" customHeight="1">
      <c r="A193" s="53" t="s">
        <v>3</v>
      </c>
      <c r="B193" s="2" t="s">
        <v>67</v>
      </c>
      <c r="C193" s="98" t="s">
        <v>4</v>
      </c>
      <c r="D193" s="98"/>
      <c r="E193" s="98" t="s">
        <v>47</v>
      </c>
      <c r="F193" s="98"/>
      <c r="G193" s="98"/>
      <c r="J193" s="25">
        <f t="shared" si="10"/>
        <v>7</v>
      </c>
    </row>
    <row r="194" spans="1:10" ht="16.95" customHeight="1">
      <c r="A194" s="53" t="s">
        <v>5</v>
      </c>
      <c r="B194" s="54">
        <v>120</v>
      </c>
      <c r="C194" s="98" t="s">
        <v>6</v>
      </c>
      <c r="D194" s="98"/>
      <c r="E194" s="98" t="s">
        <v>123</v>
      </c>
      <c r="F194" s="98"/>
      <c r="G194" s="98"/>
      <c r="J194" s="25">
        <f t="shared" si="10"/>
        <v>7</v>
      </c>
    </row>
    <row r="195" spans="1:10" ht="16.95" customHeight="1">
      <c r="A195" s="53" t="s">
        <v>7</v>
      </c>
      <c r="B195" s="54">
        <f>B191</f>
        <v>5</v>
      </c>
      <c r="C195" s="100" t="s">
        <v>8</v>
      </c>
      <c r="D195" s="100"/>
      <c r="E195" s="101">
        <f>B194-B195</f>
        <v>115</v>
      </c>
      <c r="F195" s="101"/>
      <c r="G195" s="101"/>
      <c r="J195" s="25">
        <f t="shared" si="10"/>
        <v>7</v>
      </c>
    </row>
    <row r="196" spans="1:10" ht="16.95" customHeight="1">
      <c r="A196" s="53" t="s">
        <v>9</v>
      </c>
      <c r="B196" s="55">
        <v>46204</v>
      </c>
      <c r="C196" s="98" t="s">
        <v>10</v>
      </c>
      <c r="D196" s="98"/>
      <c r="E196" s="102">
        <f>B196+B194-1</f>
        <v>46323</v>
      </c>
      <c r="F196" s="102"/>
      <c r="G196" s="102"/>
      <c r="J196" s="25">
        <f t="shared" si="10"/>
        <v>7</v>
      </c>
    </row>
    <row r="197" spans="1:10" ht="16.95" customHeight="1">
      <c r="A197" s="53" t="s">
        <v>11</v>
      </c>
      <c r="B197" s="56" t="e">
        <f>HLOOKUP(B191,進度表!$Q$2:$Z$3,2,1)+B134</f>
        <v>#REF!</v>
      </c>
      <c r="C197" s="98" t="s">
        <v>12</v>
      </c>
      <c r="D197" s="98"/>
      <c r="E197" s="99" t="e">
        <f>I235/I197+E134</f>
        <v>#REF!</v>
      </c>
      <c r="F197" s="99"/>
      <c r="G197" s="99"/>
      <c r="H197" s="3" t="s">
        <v>62</v>
      </c>
      <c r="I197" s="1">
        <v>2456000</v>
      </c>
      <c r="J197" s="25">
        <f t="shared" si="10"/>
        <v>7</v>
      </c>
    </row>
    <row r="198" spans="1:10" ht="16.95" customHeight="1">
      <c r="A198" s="98" t="s">
        <v>13</v>
      </c>
      <c r="B198" s="98"/>
      <c r="C198" s="98"/>
      <c r="D198" s="98"/>
      <c r="E198" s="98"/>
      <c r="F198" s="98"/>
      <c r="G198" s="98"/>
      <c r="J198" s="25">
        <f t="shared" si="10"/>
        <v>7</v>
      </c>
    </row>
    <row r="199" spans="1:10" ht="16.95" customHeight="1">
      <c r="A199" s="52" t="s">
        <v>14</v>
      </c>
      <c r="B199" s="52" t="s">
        <v>15</v>
      </c>
      <c r="C199" s="52" t="s">
        <v>16</v>
      </c>
      <c r="D199" s="52" t="s">
        <v>17</v>
      </c>
      <c r="E199" s="52" t="s">
        <v>18</v>
      </c>
      <c r="F199" s="52" t="s">
        <v>19</v>
      </c>
      <c r="G199" s="52" t="s">
        <v>20</v>
      </c>
      <c r="H199" s="3" t="s">
        <v>21</v>
      </c>
      <c r="I199" s="3" t="s">
        <v>22</v>
      </c>
      <c r="J199" s="25">
        <f t="shared" si="10"/>
        <v>7</v>
      </c>
    </row>
    <row r="200" spans="1:10" ht="16.95" customHeight="1">
      <c r="A200" s="75" t="s">
        <v>65</v>
      </c>
      <c r="B200" s="76" t="s">
        <v>69</v>
      </c>
      <c r="C200" s="77"/>
      <c r="D200" s="78"/>
      <c r="E200" s="79"/>
      <c r="F200" s="79"/>
      <c r="G200" s="2"/>
      <c r="H200" s="37"/>
      <c r="I200" s="4"/>
      <c r="J200" s="25">
        <f t="shared" si="10"/>
        <v>7</v>
      </c>
    </row>
    <row r="201" spans="1:10" ht="34.950000000000003" customHeight="1">
      <c r="A201" s="75">
        <v>1</v>
      </c>
      <c r="B201" s="80" t="s">
        <v>91</v>
      </c>
      <c r="C201" s="77" t="s">
        <v>48</v>
      </c>
      <c r="D201" s="78">
        <v>1</v>
      </c>
      <c r="E201" s="79"/>
      <c r="F201" s="79" t="e">
        <f t="shared" ref="F201:F234" si="11">E201+F138</f>
        <v>#REF!</v>
      </c>
      <c r="G201" s="2"/>
      <c r="H201" s="37">
        <v>10508</v>
      </c>
      <c r="I201" s="4">
        <f>H201*E201</f>
        <v>0</v>
      </c>
      <c r="J201" s="25">
        <f t="shared" si="10"/>
        <v>7</v>
      </c>
    </row>
    <row r="202" spans="1:10" ht="34.799999999999997" customHeight="1">
      <c r="A202" s="75">
        <v>2</v>
      </c>
      <c r="B202" s="80" t="s">
        <v>92</v>
      </c>
      <c r="C202" s="77" t="s">
        <v>48</v>
      </c>
      <c r="D202" s="78">
        <v>1</v>
      </c>
      <c r="E202" s="79"/>
      <c r="F202" s="79" t="e">
        <f t="shared" si="11"/>
        <v>#REF!</v>
      </c>
      <c r="G202" s="2"/>
      <c r="H202" s="37">
        <v>13223</v>
      </c>
      <c r="I202" s="4">
        <f>H202*E202</f>
        <v>0</v>
      </c>
      <c r="J202" s="25">
        <f t="shared" si="10"/>
        <v>7</v>
      </c>
    </row>
    <row r="203" spans="1:10" ht="53.4" customHeight="1">
      <c r="A203" s="75">
        <v>3</v>
      </c>
      <c r="B203" s="80" t="s">
        <v>93</v>
      </c>
      <c r="C203" s="77" t="s">
        <v>48</v>
      </c>
      <c r="D203" s="78">
        <v>1</v>
      </c>
      <c r="E203" s="79"/>
      <c r="F203" s="79" t="e">
        <f t="shared" si="11"/>
        <v>#REF!</v>
      </c>
      <c r="G203" s="2"/>
      <c r="H203" s="37">
        <v>310497</v>
      </c>
      <c r="I203" s="4">
        <f t="shared" ref="I203:I234" si="12">H203*E203</f>
        <v>0</v>
      </c>
      <c r="J203" s="25">
        <f t="shared" si="10"/>
        <v>7</v>
      </c>
    </row>
    <row r="204" spans="1:10" ht="16.95" customHeight="1">
      <c r="A204" s="75">
        <v>4</v>
      </c>
      <c r="B204" s="80" t="s">
        <v>94</v>
      </c>
      <c r="C204" s="77" t="s">
        <v>48</v>
      </c>
      <c r="D204" s="78">
        <v>1</v>
      </c>
      <c r="E204" s="79"/>
      <c r="F204" s="79" t="e">
        <f t="shared" si="11"/>
        <v>#REF!</v>
      </c>
      <c r="G204" s="2"/>
      <c r="H204" s="37">
        <v>8375</v>
      </c>
      <c r="I204" s="4">
        <f t="shared" si="12"/>
        <v>0</v>
      </c>
      <c r="J204" s="25">
        <f t="shared" si="10"/>
        <v>7</v>
      </c>
    </row>
    <row r="205" spans="1:10" ht="16.95" customHeight="1">
      <c r="A205" s="75">
        <v>5</v>
      </c>
      <c r="B205" s="80" t="s">
        <v>95</v>
      </c>
      <c r="C205" s="77" t="s">
        <v>48</v>
      </c>
      <c r="D205" s="78">
        <v>1</v>
      </c>
      <c r="E205" s="79"/>
      <c r="F205" s="79" t="e">
        <f t="shared" si="11"/>
        <v>#REF!</v>
      </c>
      <c r="G205" s="2"/>
      <c r="H205" s="37">
        <v>51618</v>
      </c>
      <c r="I205" s="4">
        <f t="shared" si="12"/>
        <v>0</v>
      </c>
      <c r="J205" s="25">
        <f t="shared" si="10"/>
        <v>7</v>
      </c>
    </row>
    <row r="206" spans="1:10" ht="16.95" customHeight="1">
      <c r="A206" s="75">
        <v>6</v>
      </c>
      <c r="B206" s="80" t="s">
        <v>96</v>
      </c>
      <c r="C206" s="77" t="s">
        <v>50</v>
      </c>
      <c r="D206" s="78">
        <v>11.55</v>
      </c>
      <c r="E206" s="79"/>
      <c r="F206" s="79" t="e">
        <f t="shared" si="11"/>
        <v>#REF!</v>
      </c>
      <c r="G206" s="2"/>
      <c r="H206" s="37">
        <v>1188</v>
      </c>
      <c r="I206" s="4">
        <f t="shared" si="12"/>
        <v>0</v>
      </c>
      <c r="J206" s="25">
        <f t="shared" si="10"/>
        <v>7</v>
      </c>
    </row>
    <row r="207" spans="1:10" ht="34.950000000000003" customHeight="1">
      <c r="A207" s="75">
        <v>7</v>
      </c>
      <c r="B207" s="80" t="s">
        <v>97</v>
      </c>
      <c r="C207" s="77" t="s">
        <v>48</v>
      </c>
      <c r="D207" s="78">
        <v>1</v>
      </c>
      <c r="E207" s="79"/>
      <c r="F207" s="79" t="e">
        <f t="shared" si="11"/>
        <v>#REF!</v>
      </c>
      <c r="G207" s="2"/>
      <c r="H207" s="37">
        <v>21157</v>
      </c>
      <c r="I207" s="4">
        <f t="shared" si="12"/>
        <v>0</v>
      </c>
      <c r="J207" s="25">
        <f t="shared" si="10"/>
        <v>7</v>
      </c>
    </row>
    <row r="208" spans="1:10" ht="16.95" customHeight="1">
      <c r="A208" s="75">
        <v>8</v>
      </c>
      <c r="B208" s="80" t="s">
        <v>98</v>
      </c>
      <c r="C208" s="77" t="s">
        <v>50</v>
      </c>
      <c r="D208" s="78">
        <v>387</v>
      </c>
      <c r="E208" s="79"/>
      <c r="F208" s="79" t="e">
        <f t="shared" si="11"/>
        <v>#REF!</v>
      </c>
      <c r="G208" s="2"/>
      <c r="H208" s="37">
        <v>705</v>
      </c>
      <c r="I208" s="4">
        <f t="shared" si="12"/>
        <v>0</v>
      </c>
      <c r="J208" s="25">
        <f t="shared" si="10"/>
        <v>7</v>
      </c>
    </row>
    <row r="209" spans="1:10" ht="16.95" customHeight="1">
      <c r="A209" s="75">
        <v>9</v>
      </c>
      <c r="B209" s="80" t="s">
        <v>99</v>
      </c>
      <c r="C209" s="77" t="s">
        <v>50</v>
      </c>
      <c r="D209" s="78">
        <v>170</v>
      </c>
      <c r="E209" s="79"/>
      <c r="F209" s="79" t="e">
        <f t="shared" si="11"/>
        <v>#REF!</v>
      </c>
      <c r="G209" s="2"/>
      <c r="H209" s="37">
        <v>617</v>
      </c>
      <c r="I209" s="4">
        <f t="shared" si="12"/>
        <v>0</v>
      </c>
      <c r="J209" s="25">
        <f t="shared" si="10"/>
        <v>7</v>
      </c>
    </row>
    <row r="210" spans="1:10" ht="16.95" customHeight="1">
      <c r="A210" s="75">
        <v>10</v>
      </c>
      <c r="B210" s="80" t="s">
        <v>100</v>
      </c>
      <c r="C210" s="77" t="s">
        <v>66</v>
      </c>
      <c r="D210" s="78">
        <v>15</v>
      </c>
      <c r="E210" s="79"/>
      <c r="F210" s="79" t="e">
        <f t="shared" si="11"/>
        <v>#REF!</v>
      </c>
      <c r="G210" s="2"/>
      <c r="H210" s="37">
        <v>617</v>
      </c>
      <c r="I210" s="4">
        <f t="shared" si="12"/>
        <v>0</v>
      </c>
      <c r="J210" s="25">
        <f t="shared" si="10"/>
        <v>7</v>
      </c>
    </row>
    <row r="211" spans="1:10" ht="16.95" customHeight="1">
      <c r="A211" s="75">
        <v>11</v>
      </c>
      <c r="B211" s="80" t="s">
        <v>101</v>
      </c>
      <c r="C211" s="77" t="s">
        <v>50</v>
      </c>
      <c r="D211" s="78">
        <v>75</v>
      </c>
      <c r="E211" s="79"/>
      <c r="F211" s="79" t="e">
        <f t="shared" si="11"/>
        <v>#REF!</v>
      </c>
      <c r="G211" s="2"/>
      <c r="H211" s="37">
        <v>1146</v>
      </c>
      <c r="I211" s="4">
        <f t="shared" si="12"/>
        <v>0</v>
      </c>
      <c r="J211" s="25">
        <f t="shared" si="10"/>
        <v>7</v>
      </c>
    </row>
    <row r="212" spans="1:10" ht="16.95" customHeight="1">
      <c r="A212" s="75">
        <v>12</v>
      </c>
      <c r="B212" s="80" t="s">
        <v>102</v>
      </c>
      <c r="C212" s="77" t="s">
        <v>50</v>
      </c>
      <c r="D212" s="78">
        <v>5</v>
      </c>
      <c r="E212" s="79"/>
      <c r="F212" s="79" t="e">
        <f t="shared" si="11"/>
        <v>#REF!</v>
      </c>
      <c r="G212" s="2"/>
      <c r="H212" s="37">
        <v>1455</v>
      </c>
      <c r="I212" s="4">
        <f t="shared" si="12"/>
        <v>0</v>
      </c>
      <c r="J212" s="25">
        <f t="shared" si="10"/>
        <v>7</v>
      </c>
    </row>
    <row r="213" spans="1:10" ht="16.95" customHeight="1">
      <c r="A213" s="75">
        <v>13</v>
      </c>
      <c r="B213" s="80" t="s">
        <v>103</v>
      </c>
      <c r="C213" s="77" t="s">
        <v>50</v>
      </c>
      <c r="D213" s="78">
        <v>217</v>
      </c>
      <c r="E213" s="79"/>
      <c r="F213" s="79" t="e">
        <f t="shared" si="11"/>
        <v>#REF!</v>
      </c>
      <c r="G213" s="2"/>
      <c r="H213" s="37">
        <v>1410</v>
      </c>
      <c r="I213" s="4">
        <f t="shared" si="12"/>
        <v>0</v>
      </c>
      <c r="J213" s="25">
        <f t="shared" si="10"/>
        <v>7</v>
      </c>
    </row>
    <row r="214" spans="1:10" ht="16.95" customHeight="1">
      <c r="A214" s="75">
        <v>14</v>
      </c>
      <c r="B214" s="80" t="s">
        <v>104</v>
      </c>
      <c r="C214" s="77" t="s">
        <v>49</v>
      </c>
      <c r="D214" s="78">
        <v>84</v>
      </c>
      <c r="E214" s="79"/>
      <c r="F214" s="79" t="e">
        <f t="shared" si="11"/>
        <v>#REF!</v>
      </c>
      <c r="G214" s="2"/>
      <c r="H214" s="37">
        <v>529</v>
      </c>
      <c r="I214" s="4">
        <f t="shared" si="12"/>
        <v>0</v>
      </c>
      <c r="J214" s="25">
        <f t="shared" si="10"/>
        <v>7</v>
      </c>
    </row>
    <row r="215" spans="1:10" ht="16.95" customHeight="1">
      <c r="A215" s="75">
        <v>15</v>
      </c>
      <c r="B215" s="80" t="s">
        <v>105</v>
      </c>
      <c r="C215" s="77" t="s">
        <v>50</v>
      </c>
      <c r="D215" s="78">
        <v>1</v>
      </c>
      <c r="E215" s="79"/>
      <c r="F215" s="79" t="e">
        <f t="shared" si="11"/>
        <v>#REF!</v>
      </c>
      <c r="G215" s="2"/>
      <c r="H215" s="37">
        <v>1146</v>
      </c>
      <c r="I215" s="4">
        <f t="shared" si="12"/>
        <v>0</v>
      </c>
      <c r="J215" s="25">
        <f t="shared" si="10"/>
        <v>7</v>
      </c>
    </row>
    <row r="216" spans="1:10" ht="34.799999999999997" customHeight="1">
      <c r="A216" s="75">
        <v>16</v>
      </c>
      <c r="B216" s="80" t="s">
        <v>106</v>
      </c>
      <c r="C216" s="77" t="s">
        <v>50</v>
      </c>
      <c r="D216" s="78">
        <v>314</v>
      </c>
      <c r="E216" s="79"/>
      <c r="F216" s="79" t="e">
        <f t="shared" si="11"/>
        <v>#REF!</v>
      </c>
      <c r="G216" s="2"/>
      <c r="H216" s="37">
        <v>185</v>
      </c>
      <c r="I216" s="4">
        <f t="shared" si="12"/>
        <v>0</v>
      </c>
      <c r="J216" s="25">
        <f t="shared" si="10"/>
        <v>7</v>
      </c>
    </row>
    <row r="217" spans="1:10" ht="16.95" customHeight="1">
      <c r="A217" s="75">
        <v>17</v>
      </c>
      <c r="B217" s="80" t="s">
        <v>107</v>
      </c>
      <c r="C217" s="77" t="s">
        <v>48</v>
      </c>
      <c r="D217" s="78">
        <v>1</v>
      </c>
      <c r="E217" s="79"/>
      <c r="F217" s="79" t="e">
        <f t="shared" si="11"/>
        <v>#REF!</v>
      </c>
      <c r="G217" s="2"/>
      <c r="H217" s="37">
        <v>89918</v>
      </c>
      <c r="I217" s="4">
        <f t="shared" si="12"/>
        <v>0</v>
      </c>
      <c r="J217" s="25">
        <f t="shared" si="10"/>
        <v>7</v>
      </c>
    </row>
    <row r="218" spans="1:10" ht="16.95" customHeight="1">
      <c r="A218" s="75">
        <v>18</v>
      </c>
      <c r="B218" s="80" t="s">
        <v>108</v>
      </c>
      <c r="C218" s="77" t="s">
        <v>120</v>
      </c>
      <c r="D218" s="78">
        <v>15</v>
      </c>
      <c r="E218" s="79"/>
      <c r="F218" s="79" t="e">
        <f t="shared" si="11"/>
        <v>#REF!</v>
      </c>
      <c r="G218" s="2"/>
      <c r="H218" s="37">
        <v>661</v>
      </c>
      <c r="I218" s="4">
        <f t="shared" si="12"/>
        <v>0</v>
      </c>
      <c r="J218" s="25">
        <f t="shared" si="10"/>
        <v>7</v>
      </c>
    </row>
    <row r="219" spans="1:10" ht="16.95" customHeight="1">
      <c r="A219" s="75">
        <v>19</v>
      </c>
      <c r="B219" s="80" t="s">
        <v>109</v>
      </c>
      <c r="C219" s="77" t="s">
        <v>50</v>
      </c>
      <c r="D219" s="78">
        <v>82</v>
      </c>
      <c r="E219" s="79"/>
      <c r="F219" s="79" t="e">
        <f t="shared" si="11"/>
        <v>#REF!</v>
      </c>
      <c r="G219" s="2"/>
      <c r="H219" s="37">
        <v>2909</v>
      </c>
      <c r="I219" s="4">
        <f t="shared" si="12"/>
        <v>0</v>
      </c>
      <c r="J219" s="25">
        <f t="shared" si="10"/>
        <v>7</v>
      </c>
    </row>
    <row r="220" spans="1:10" ht="16.95" customHeight="1">
      <c r="A220" s="75">
        <v>20</v>
      </c>
      <c r="B220" s="80" t="s">
        <v>110</v>
      </c>
      <c r="C220" s="77" t="s">
        <v>121</v>
      </c>
      <c r="D220" s="78">
        <v>12</v>
      </c>
      <c r="E220" s="79"/>
      <c r="F220" s="79" t="e">
        <f t="shared" si="11"/>
        <v>#REF!</v>
      </c>
      <c r="G220" s="2"/>
      <c r="H220" s="37">
        <v>882</v>
      </c>
      <c r="I220" s="4">
        <f t="shared" si="12"/>
        <v>0</v>
      </c>
      <c r="J220" s="25">
        <f t="shared" si="10"/>
        <v>7</v>
      </c>
    </row>
    <row r="221" spans="1:10" ht="16.95" customHeight="1">
      <c r="A221" s="77">
        <v>21</v>
      </c>
      <c r="B221" s="80" t="s">
        <v>111</v>
      </c>
      <c r="C221" s="77" t="s">
        <v>122</v>
      </c>
      <c r="D221" s="78">
        <v>3</v>
      </c>
      <c r="E221" s="79"/>
      <c r="F221" s="79" t="e">
        <f t="shared" si="11"/>
        <v>#REF!</v>
      </c>
      <c r="G221" s="2"/>
      <c r="H221" s="38">
        <v>1869</v>
      </c>
      <c r="I221" s="4">
        <f t="shared" si="12"/>
        <v>0</v>
      </c>
      <c r="J221" s="25">
        <f t="shared" si="10"/>
        <v>7</v>
      </c>
    </row>
    <row r="222" spans="1:10" ht="34.950000000000003" customHeight="1">
      <c r="A222" s="75">
        <v>22</v>
      </c>
      <c r="B222" s="80" t="s">
        <v>112</v>
      </c>
      <c r="C222" s="77" t="s">
        <v>48</v>
      </c>
      <c r="D222" s="78">
        <v>1</v>
      </c>
      <c r="E222" s="79"/>
      <c r="F222" s="79" t="e">
        <f t="shared" si="11"/>
        <v>#REF!</v>
      </c>
      <c r="G222" s="2"/>
      <c r="H222" s="37">
        <v>82206</v>
      </c>
      <c r="I222" s="4">
        <f t="shared" si="12"/>
        <v>0</v>
      </c>
      <c r="J222" s="25">
        <f t="shared" si="10"/>
        <v>7</v>
      </c>
    </row>
    <row r="223" spans="1:10" ht="16.95" customHeight="1">
      <c r="A223" s="75">
        <v>23</v>
      </c>
      <c r="B223" s="80" t="s">
        <v>113</v>
      </c>
      <c r="C223" s="77" t="s">
        <v>48</v>
      </c>
      <c r="D223" s="78">
        <v>1</v>
      </c>
      <c r="E223" s="79"/>
      <c r="F223" s="79" t="e">
        <f t="shared" si="11"/>
        <v>#REF!</v>
      </c>
      <c r="G223" s="2"/>
      <c r="H223" s="37">
        <v>142723</v>
      </c>
      <c r="I223" s="4">
        <f t="shared" si="12"/>
        <v>0</v>
      </c>
      <c r="J223" s="25">
        <f t="shared" si="10"/>
        <v>7</v>
      </c>
    </row>
    <row r="224" spans="1:10" ht="16.95" customHeight="1">
      <c r="A224" s="75">
        <v>24</v>
      </c>
      <c r="B224" s="80" t="s">
        <v>114</v>
      </c>
      <c r="C224" s="77" t="s">
        <v>48</v>
      </c>
      <c r="D224" s="78">
        <v>1</v>
      </c>
      <c r="E224" s="79"/>
      <c r="F224" s="79" t="e">
        <f t="shared" si="11"/>
        <v>#REF!</v>
      </c>
      <c r="G224" s="2"/>
      <c r="H224" s="37">
        <v>37290</v>
      </c>
      <c r="I224" s="4">
        <f t="shared" si="12"/>
        <v>0</v>
      </c>
      <c r="J224" s="25">
        <f t="shared" si="10"/>
        <v>7</v>
      </c>
    </row>
    <row r="225" spans="1:10" ht="16.95" customHeight="1">
      <c r="A225" s="75">
        <v>25</v>
      </c>
      <c r="B225" s="80" t="s">
        <v>115</v>
      </c>
      <c r="C225" s="77" t="s">
        <v>48</v>
      </c>
      <c r="D225" s="78">
        <v>1</v>
      </c>
      <c r="E225" s="79"/>
      <c r="F225" s="79" t="e">
        <f t="shared" si="11"/>
        <v>#REF!</v>
      </c>
      <c r="G225" s="2"/>
      <c r="H225" s="37">
        <v>99394</v>
      </c>
      <c r="I225" s="4">
        <f t="shared" si="12"/>
        <v>0</v>
      </c>
      <c r="J225" s="25">
        <f t="shared" si="10"/>
        <v>7</v>
      </c>
    </row>
    <row r="226" spans="1:10" ht="34.950000000000003" customHeight="1">
      <c r="A226" s="75">
        <v>26</v>
      </c>
      <c r="B226" s="80" t="s">
        <v>116</v>
      </c>
      <c r="C226" s="77" t="s">
        <v>48</v>
      </c>
      <c r="D226" s="78">
        <v>1</v>
      </c>
      <c r="E226" s="79"/>
      <c r="F226" s="79" t="e">
        <f t="shared" si="11"/>
        <v>#REF!</v>
      </c>
      <c r="G226" s="2"/>
      <c r="H226" s="37">
        <v>21334</v>
      </c>
      <c r="I226" s="4">
        <f t="shared" si="12"/>
        <v>0</v>
      </c>
      <c r="J226" s="25">
        <f t="shared" si="10"/>
        <v>7</v>
      </c>
    </row>
    <row r="227" spans="1:10" ht="16.95" customHeight="1">
      <c r="A227" s="75">
        <v>27</v>
      </c>
      <c r="B227" s="80" t="s">
        <v>117</v>
      </c>
      <c r="C227" s="77" t="s">
        <v>48</v>
      </c>
      <c r="D227" s="78">
        <v>1</v>
      </c>
      <c r="E227" s="79"/>
      <c r="F227" s="79" t="e">
        <f t="shared" si="11"/>
        <v>#REF!</v>
      </c>
      <c r="G227" s="2"/>
      <c r="H227" s="37">
        <v>29620</v>
      </c>
      <c r="I227" s="4">
        <f t="shared" si="12"/>
        <v>0</v>
      </c>
      <c r="J227" s="25">
        <f t="shared" si="10"/>
        <v>7</v>
      </c>
    </row>
    <row r="228" spans="1:10" ht="16.95" customHeight="1">
      <c r="A228" s="75">
        <v>28</v>
      </c>
      <c r="B228" s="80" t="s">
        <v>118</v>
      </c>
      <c r="C228" s="77" t="s">
        <v>48</v>
      </c>
      <c r="D228" s="78">
        <v>1</v>
      </c>
      <c r="E228" s="79"/>
      <c r="F228" s="79" t="e">
        <f t="shared" si="11"/>
        <v>#REF!</v>
      </c>
      <c r="G228" s="2"/>
      <c r="H228" s="37">
        <v>18506</v>
      </c>
      <c r="I228" s="4">
        <f t="shared" si="12"/>
        <v>0</v>
      </c>
      <c r="J228" s="25">
        <f t="shared" si="10"/>
        <v>7</v>
      </c>
    </row>
    <row r="229" spans="1:10" ht="16.95" customHeight="1">
      <c r="A229" s="75">
        <v>29</v>
      </c>
      <c r="B229" s="80" t="s">
        <v>119</v>
      </c>
      <c r="C229" s="77" t="s">
        <v>48</v>
      </c>
      <c r="D229" s="78">
        <v>1</v>
      </c>
      <c r="E229" s="79"/>
      <c r="F229" s="79" t="e">
        <f t="shared" si="11"/>
        <v>#REF!</v>
      </c>
      <c r="G229" s="2"/>
      <c r="H229" s="37">
        <v>34381</v>
      </c>
      <c r="I229" s="4">
        <f t="shared" si="12"/>
        <v>0</v>
      </c>
      <c r="J229" s="25">
        <f t="shared" si="10"/>
        <v>7</v>
      </c>
    </row>
    <row r="230" spans="1:10" ht="16.95" customHeight="1">
      <c r="A230" s="75" t="s">
        <v>79</v>
      </c>
      <c r="B230" s="80" t="s">
        <v>80</v>
      </c>
      <c r="C230" s="77" t="s">
        <v>48</v>
      </c>
      <c r="D230" s="78">
        <v>1</v>
      </c>
      <c r="E230" s="79">
        <f t="shared" ref="E230:E233" si="13">1/120</f>
        <v>8.3333333333333332E-3</v>
      </c>
      <c r="F230" s="79" t="e">
        <f t="shared" si="11"/>
        <v>#REF!</v>
      </c>
      <c r="G230" s="2"/>
      <c r="H230" s="37">
        <v>21395</v>
      </c>
      <c r="I230" s="4">
        <f t="shared" si="12"/>
        <v>178.29166666666666</v>
      </c>
      <c r="J230" s="25">
        <f t="shared" si="10"/>
        <v>7</v>
      </c>
    </row>
    <row r="231" spans="1:10" ht="16.95" customHeight="1">
      <c r="A231" s="75" t="s">
        <v>81</v>
      </c>
      <c r="B231" s="80" t="s">
        <v>82</v>
      </c>
      <c r="C231" s="77" t="s">
        <v>48</v>
      </c>
      <c r="D231" s="78">
        <v>1</v>
      </c>
      <c r="E231" s="79">
        <f t="shared" si="13"/>
        <v>8.3333333333333332E-3</v>
      </c>
      <c r="F231" s="79" t="e">
        <f t="shared" si="11"/>
        <v>#REF!</v>
      </c>
      <c r="G231" s="2"/>
      <c r="H231" s="37">
        <v>21395</v>
      </c>
      <c r="I231" s="4">
        <f t="shared" si="12"/>
        <v>178.29166666666666</v>
      </c>
      <c r="J231" s="25">
        <f t="shared" si="10"/>
        <v>7</v>
      </c>
    </row>
    <row r="232" spans="1:10" ht="16.95" customHeight="1">
      <c r="A232" s="75" t="s">
        <v>83</v>
      </c>
      <c r="B232" s="80" t="s">
        <v>84</v>
      </c>
      <c r="C232" s="77" t="s">
        <v>48</v>
      </c>
      <c r="D232" s="78">
        <v>1</v>
      </c>
      <c r="E232" s="79">
        <f t="shared" si="13"/>
        <v>8.3333333333333332E-3</v>
      </c>
      <c r="F232" s="79" t="e">
        <f t="shared" si="11"/>
        <v>#REF!</v>
      </c>
      <c r="G232" s="2"/>
      <c r="H232" s="37">
        <v>149765</v>
      </c>
      <c r="I232" s="4">
        <f t="shared" si="12"/>
        <v>1248.0416666666667</v>
      </c>
      <c r="J232" s="25">
        <f t="shared" si="10"/>
        <v>7</v>
      </c>
    </row>
    <row r="233" spans="1:10" ht="16.95" customHeight="1">
      <c r="A233" s="75" t="s">
        <v>85</v>
      </c>
      <c r="B233" s="80" t="s">
        <v>86</v>
      </c>
      <c r="C233" s="77" t="s">
        <v>48</v>
      </c>
      <c r="D233" s="78">
        <v>1</v>
      </c>
      <c r="E233" s="79">
        <f t="shared" si="13"/>
        <v>8.3333333333333332E-3</v>
      </c>
      <c r="F233" s="79" t="e">
        <f t="shared" si="11"/>
        <v>#REF!</v>
      </c>
      <c r="G233" s="2"/>
      <c r="H233" s="37">
        <v>6996</v>
      </c>
      <c r="I233" s="4">
        <f t="shared" si="12"/>
        <v>58.3</v>
      </c>
      <c r="J233" s="25">
        <f t="shared" si="10"/>
        <v>7</v>
      </c>
    </row>
    <row r="234" spans="1:10" ht="16.95" customHeight="1">
      <c r="A234" s="75" t="s">
        <v>87</v>
      </c>
      <c r="B234" s="80" t="s">
        <v>88</v>
      </c>
      <c r="C234" s="77" t="s">
        <v>48</v>
      </c>
      <c r="D234" s="78">
        <v>1</v>
      </c>
      <c r="E234" s="79">
        <f>1/120</f>
        <v>8.3333333333333332E-3</v>
      </c>
      <c r="F234" s="79" t="e">
        <f t="shared" si="11"/>
        <v>#REF!</v>
      </c>
      <c r="G234" s="2"/>
      <c r="H234" s="37">
        <v>116952</v>
      </c>
      <c r="I234" s="4">
        <f t="shared" si="12"/>
        <v>974.6</v>
      </c>
      <c r="J234" s="25">
        <f t="shared" si="10"/>
        <v>7</v>
      </c>
    </row>
    <row r="235" spans="1:10" ht="16.95" customHeight="1">
      <c r="A235" s="95" t="s">
        <v>23</v>
      </c>
      <c r="B235" s="95"/>
      <c r="C235" s="50"/>
      <c r="D235" s="50"/>
      <c r="E235" s="50"/>
      <c r="F235" s="50"/>
      <c r="G235" s="50"/>
      <c r="H235" s="3" t="s">
        <v>24</v>
      </c>
      <c r="I235" s="5">
        <f>SUM(I200:I234)</f>
        <v>2637.5250000000001</v>
      </c>
      <c r="J235" s="25">
        <f t="shared" si="10"/>
        <v>7</v>
      </c>
    </row>
    <row r="236" spans="1:10" ht="16.95" customHeight="1">
      <c r="A236" s="96" t="s">
        <v>25</v>
      </c>
      <c r="B236" s="96"/>
      <c r="C236" s="50"/>
      <c r="D236" s="50"/>
      <c r="E236" s="50"/>
      <c r="F236" s="50"/>
      <c r="G236" s="50"/>
      <c r="J236" s="25">
        <f t="shared" si="10"/>
        <v>7</v>
      </c>
    </row>
    <row r="237" spans="1:10" ht="16.95" customHeight="1">
      <c r="A237" s="96" t="s">
        <v>26</v>
      </c>
      <c r="B237" s="96"/>
      <c r="C237" s="50"/>
      <c r="D237" s="50"/>
      <c r="E237" s="50"/>
      <c r="F237" s="50"/>
      <c r="G237" s="50"/>
      <c r="J237" s="25">
        <f t="shared" si="10"/>
        <v>7</v>
      </c>
    </row>
    <row r="238" spans="1:10" ht="16.95" customHeight="1">
      <c r="A238" s="95" t="s">
        <v>27</v>
      </c>
      <c r="B238" s="95"/>
      <c r="C238" s="95"/>
      <c r="D238" s="95"/>
      <c r="E238" s="95"/>
      <c r="F238" s="95"/>
      <c r="G238" s="95"/>
      <c r="J238" s="25">
        <f t="shared" si="10"/>
        <v>7</v>
      </c>
    </row>
    <row r="239" spans="1:10" ht="16.95" customHeight="1">
      <c r="A239" s="94" t="s">
        <v>28</v>
      </c>
      <c r="B239" s="94"/>
      <c r="C239" s="51" t="s">
        <v>29</v>
      </c>
      <c r="D239" s="51" t="s">
        <v>30</v>
      </c>
      <c r="E239" s="51" t="s">
        <v>18</v>
      </c>
      <c r="F239" s="51" t="s">
        <v>31</v>
      </c>
      <c r="G239" s="51" t="s">
        <v>20</v>
      </c>
      <c r="J239" s="25">
        <f t="shared" si="10"/>
        <v>7</v>
      </c>
    </row>
    <row r="240" spans="1:10" ht="16.95" customHeight="1">
      <c r="A240" s="96"/>
      <c r="B240" s="96"/>
      <c r="C240" s="50"/>
      <c r="D240" s="50"/>
      <c r="E240" s="50"/>
      <c r="F240" s="50"/>
      <c r="G240" s="51"/>
      <c r="J240" s="25">
        <f t="shared" si="10"/>
        <v>7</v>
      </c>
    </row>
    <row r="241" spans="1:10" ht="16.95" customHeight="1">
      <c r="A241" s="97"/>
      <c r="B241" s="97"/>
      <c r="C241" s="50"/>
      <c r="D241" s="50"/>
      <c r="E241" s="50"/>
      <c r="F241" s="51"/>
      <c r="G241" s="51"/>
      <c r="J241" s="25">
        <f t="shared" si="10"/>
        <v>7</v>
      </c>
    </row>
    <row r="242" spans="1:10" ht="16.95" customHeight="1">
      <c r="A242" s="95" t="s">
        <v>32</v>
      </c>
      <c r="B242" s="95"/>
      <c r="C242" s="95"/>
      <c r="D242" s="95"/>
      <c r="E242" s="95"/>
      <c r="F242" s="95"/>
      <c r="G242" s="95"/>
      <c r="J242" s="25">
        <f t="shared" si="10"/>
        <v>8</v>
      </c>
    </row>
    <row r="243" spans="1:10" ht="16.95" customHeight="1">
      <c r="A243" s="51" t="s">
        <v>33</v>
      </c>
      <c r="B243" s="51" t="s">
        <v>34</v>
      </c>
      <c r="C243" s="94" t="s">
        <v>35</v>
      </c>
      <c r="D243" s="94"/>
      <c r="E243" s="51" t="s">
        <v>36</v>
      </c>
      <c r="F243" s="51" t="s">
        <v>37</v>
      </c>
      <c r="G243" s="51" t="s">
        <v>38</v>
      </c>
      <c r="J243" s="25">
        <f t="shared" si="10"/>
        <v>8</v>
      </c>
    </row>
    <row r="244" spans="1:10" ht="16.95" customHeight="1">
      <c r="A244" s="51" t="s">
        <v>39</v>
      </c>
      <c r="B244" s="6"/>
      <c r="C244" s="94" t="e">
        <f>B244+C181</f>
        <v>#REF!</v>
      </c>
      <c r="D244" s="94"/>
      <c r="E244" s="51"/>
      <c r="F244" s="24"/>
      <c r="G244" s="24"/>
      <c r="J244" s="25">
        <f t="shared" si="10"/>
        <v>8</v>
      </c>
    </row>
    <row r="245" spans="1:10" ht="16.95" customHeight="1">
      <c r="A245" s="51" t="s">
        <v>40</v>
      </c>
      <c r="B245" s="6"/>
      <c r="C245" s="94" t="e">
        <f>B245+C182</f>
        <v>#REF!</v>
      </c>
      <c r="D245" s="94"/>
      <c r="E245" s="51"/>
      <c r="F245" s="24"/>
      <c r="G245" s="24"/>
      <c r="J245" s="25">
        <f t="shared" si="10"/>
        <v>8</v>
      </c>
    </row>
    <row r="246" spans="1:10" ht="36.6" customHeight="1">
      <c r="A246" s="95" t="s">
        <v>41</v>
      </c>
      <c r="B246" s="95"/>
      <c r="C246" s="95"/>
      <c r="D246" s="95"/>
      <c r="E246" s="95"/>
      <c r="F246" s="95"/>
      <c r="G246" s="95"/>
      <c r="J246" s="25">
        <f t="shared" si="10"/>
        <v>8</v>
      </c>
    </row>
    <row r="247" spans="1:10" ht="90" customHeight="1">
      <c r="A247" s="92" t="s">
        <v>42</v>
      </c>
      <c r="B247" s="92"/>
      <c r="C247" s="92"/>
      <c r="D247" s="92"/>
      <c r="E247" s="92"/>
      <c r="F247" s="92"/>
      <c r="G247" s="92"/>
      <c r="J247" s="25">
        <f t="shared" si="10"/>
        <v>8</v>
      </c>
    </row>
    <row r="248" spans="1:10" ht="16.95" customHeight="1">
      <c r="A248" s="95" t="s">
        <v>43</v>
      </c>
      <c r="B248" s="95"/>
      <c r="C248" s="95"/>
      <c r="D248" s="95"/>
      <c r="E248" s="95"/>
      <c r="F248" s="95"/>
      <c r="G248" s="95"/>
      <c r="J248" s="25">
        <f t="shared" si="10"/>
        <v>8</v>
      </c>
    </row>
    <row r="249" spans="1:10" ht="16.95" customHeight="1">
      <c r="A249" s="95" t="s">
        <v>44</v>
      </c>
      <c r="B249" s="95"/>
      <c r="C249" s="95"/>
      <c r="D249" s="95"/>
      <c r="E249" s="95"/>
      <c r="F249" s="95"/>
      <c r="G249" s="95"/>
      <c r="J249" s="25">
        <f t="shared" si="10"/>
        <v>8</v>
      </c>
    </row>
    <row r="250" spans="1:10" ht="16.95" customHeight="1">
      <c r="A250" s="91" t="s">
        <v>64</v>
      </c>
      <c r="B250" s="91"/>
      <c r="C250" s="91"/>
      <c r="D250" s="91"/>
      <c r="E250" s="91"/>
      <c r="F250" s="91"/>
      <c r="G250" s="91"/>
      <c r="J250" s="25">
        <f t="shared" si="10"/>
        <v>8</v>
      </c>
    </row>
    <row r="251" spans="1:10" ht="120.6" customHeight="1">
      <c r="A251" s="92" t="s">
        <v>45</v>
      </c>
      <c r="B251" s="92"/>
      <c r="C251" s="92"/>
      <c r="D251" s="92"/>
      <c r="E251" s="92"/>
      <c r="F251" s="92"/>
      <c r="G251" s="92"/>
      <c r="J251" s="25">
        <f t="shared" si="10"/>
        <v>8</v>
      </c>
    </row>
    <row r="252" spans="1:10" ht="140.4" customHeight="1">
      <c r="A252" s="93" t="s">
        <v>46</v>
      </c>
      <c r="B252" s="93"/>
      <c r="C252" s="93"/>
      <c r="D252" s="93"/>
      <c r="E252" s="93"/>
      <c r="F252" s="93"/>
      <c r="G252" s="93"/>
      <c r="J252" s="25">
        <f t="shared" si="10"/>
        <v>8</v>
      </c>
    </row>
    <row r="253" spans="1:10" ht="37.200000000000003" customHeight="1">
      <c r="A253" s="103" t="s">
        <v>0</v>
      </c>
      <c r="B253" s="103"/>
      <c r="C253" s="103"/>
      <c r="D253" s="103"/>
      <c r="E253" s="103"/>
      <c r="F253" s="103"/>
      <c r="G253" s="103"/>
      <c r="J253" s="25">
        <f t="shared" si="10"/>
        <v>9</v>
      </c>
    </row>
    <row r="254" spans="1:10" ht="16.95" customHeight="1">
      <c r="A254" s="1" t="s">
        <v>1</v>
      </c>
      <c r="B254" s="104">
        <f>B191+1</f>
        <v>6</v>
      </c>
      <c r="C254" s="104"/>
      <c r="D254" s="104"/>
      <c r="E254" s="104"/>
      <c r="F254" s="104"/>
      <c r="G254" s="104"/>
      <c r="J254" s="25">
        <f t="shared" si="10"/>
        <v>9</v>
      </c>
    </row>
    <row r="255" spans="1:10" ht="16.95" customHeight="1">
      <c r="A255" s="1" t="s">
        <v>2</v>
      </c>
      <c r="B255" s="105" t="s">
        <v>63</v>
      </c>
      <c r="C255" s="105"/>
      <c r="D255" s="105"/>
      <c r="E255" s="106">
        <f>E192+1</f>
        <v>46208</v>
      </c>
      <c r="F255" s="106"/>
      <c r="G255" s="106"/>
      <c r="J255" s="25">
        <f t="shared" si="10"/>
        <v>9</v>
      </c>
    </row>
    <row r="256" spans="1:10" ht="16.95" customHeight="1">
      <c r="A256" s="53" t="s">
        <v>3</v>
      </c>
      <c r="B256" s="2" t="s">
        <v>67</v>
      </c>
      <c r="C256" s="98" t="s">
        <v>4</v>
      </c>
      <c r="D256" s="98"/>
      <c r="E256" s="98" t="s">
        <v>47</v>
      </c>
      <c r="F256" s="98"/>
      <c r="G256" s="98"/>
      <c r="J256" s="25">
        <f t="shared" ref="J256:J319" si="14">J193+2</f>
        <v>9</v>
      </c>
    </row>
    <row r="257" spans="1:10" ht="16.95" customHeight="1">
      <c r="A257" s="53" t="s">
        <v>5</v>
      </c>
      <c r="B257" s="54">
        <v>120</v>
      </c>
      <c r="C257" s="98" t="s">
        <v>6</v>
      </c>
      <c r="D257" s="98"/>
      <c r="E257" s="98" t="s">
        <v>123</v>
      </c>
      <c r="F257" s="98"/>
      <c r="G257" s="98"/>
      <c r="J257" s="25">
        <f t="shared" si="14"/>
        <v>9</v>
      </c>
    </row>
    <row r="258" spans="1:10" ht="16.95" customHeight="1">
      <c r="A258" s="53" t="s">
        <v>7</v>
      </c>
      <c r="B258" s="54">
        <f>B254</f>
        <v>6</v>
      </c>
      <c r="C258" s="100" t="s">
        <v>8</v>
      </c>
      <c r="D258" s="100"/>
      <c r="E258" s="101">
        <f>B257-B258</f>
        <v>114</v>
      </c>
      <c r="F258" s="101"/>
      <c r="G258" s="101"/>
      <c r="J258" s="25">
        <f t="shared" si="14"/>
        <v>9</v>
      </c>
    </row>
    <row r="259" spans="1:10" ht="16.95" customHeight="1">
      <c r="A259" s="53" t="s">
        <v>9</v>
      </c>
      <c r="B259" s="55">
        <v>46204</v>
      </c>
      <c r="C259" s="98" t="s">
        <v>10</v>
      </c>
      <c r="D259" s="98"/>
      <c r="E259" s="102">
        <f>B259+B257-1</f>
        <v>46323</v>
      </c>
      <c r="F259" s="102"/>
      <c r="G259" s="102"/>
      <c r="J259" s="25">
        <f t="shared" si="14"/>
        <v>9</v>
      </c>
    </row>
    <row r="260" spans="1:10" ht="16.95" customHeight="1">
      <c r="A260" s="53" t="s">
        <v>11</v>
      </c>
      <c r="B260" s="56" t="e">
        <f>HLOOKUP(B254,進度表!$Q$2:$Z$3,2,1)+B197</f>
        <v>#REF!</v>
      </c>
      <c r="C260" s="98" t="s">
        <v>12</v>
      </c>
      <c r="D260" s="98"/>
      <c r="E260" s="99" t="e">
        <f>I298/I260+E197</f>
        <v>#REF!</v>
      </c>
      <c r="F260" s="99"/>
      <c r="G260" s="99"/>
      <c r="H260" s="3" t="s">
        <v>62</v>
      </c>
      <c r="I260" s="1">
        <v>2456000</v>
      </c>
      <c r="J260" s="25">
        <f t="shared" si="14"/>
        <v>9</v>
      </c>
    </row>
    <row r="261" spans="1:10" ht="16.95" customHeight="1">
      <c r="A261" s="98" t="s">
        <v>13</v>
      </c>
      <c r="B261" s="98"/>
      <c r="C261" s="98"/>
      <c r="D261" s="98"/>
      <c r="E261" s="98"/>
      <c r="F261" s="98"/>
      <c r="G261" s="98"/>
      <c r="J261" s="25">
        <f t="shared" si="14"/>
        <v>9</v>
      </c>
    </row>
    <row r="262" spans="1:10" ht="16.95" customHeight="1">
      <c r="A262" s="52" t="s">
        <v>14</v>
      </c>
      <c r="B262" s="52" t="s">
        <v>15</v>
      </c>
      <c r="C262" s="52" t="s">
        <v>16</v>
      </c>
      <c r="D262" s="52" t="s">
        <v>17</v>
      </c>
      <c r="E262" s="52" t="s">
        <v>18</v>
      </c>
      <c r="F262" s="52" t="s">
        <v>19</v>
      </c>
      <c r="G262" s="52" t="s">
        <v>20</v>
      </c>
      <c r="H262" s="3" t="s">
        <v>21</v>
      </c>
      <c r="I262" s="3" t="s">
        <v>22</v>
      </c>
      <c r="J262" s="25">
        <f t="shared" si="14"/>
        <v>9</v>
      </c>
    </row>
    <row r="263" spans="1:10" ht="16.95" customHeight="1">
      <c r="A263" s="75" t="s">
        <v>65</v>
      </c>
      <c r="B263" s="76" t="s">
        <v>69</v>
      </c>
      <c r="C263" s="77"/>
      <c r="D263" s="78"/>
      <c r="E263" s="79"/>
      <c r="F263" s="79"/>
      <c r="G263" s="2"/>
      <c r="H263" s="37"/>
      <c r="I263" s="4"/>
      <c r="J263" s="25">
        <f t="shared" si="14"/>
        <v>9</v>
      </c>
    </row>
    <row r="264" spans="1:10" ht="34.950000000000003" customHeight="1">
      <c r="A264" s="75">
        <v>1</v>
      </c>
      <c r="B264" s="80" t="s">
        <v>91</v>
      </c>
      <c r="C264" s="77" t="s">
        <v>48</v>
      </c>
      <c r="D264" s="78">
        <v>1</v>
      </c>
      <c r="E264" s="79"/>
      <c r="F264" s="79" t="e">
        <f t="shared" ref="F264:F297" si="15">E264+F201</f>
        <v>#REF!</v>
      </c>
      <c r="G264" s="2"/>
      <c r="H264" s="37">
        <v>10508</v>
      </c>
      <c r="I264" s="4">
        <f>H264*E264</f>
        <v>0</v>
      </c>
      <c r="J264" s="25">
        <f t="shared" si="14"/>
        <v>9</v>
      </c>
    </row>
    <row r="265" spans="1:10" ht="34.799999999999997" customHeight="1">
      <c r="A265" s="75">
        <v>2</v>
      </c>
      <c r="B265" s="80" t="s">
        <v>92</v>
      </c>
      <c r="C265" s="77" t="s">
        <v>48</v>
      </c>
      <c r="D265" s="78">
        <v>1</v>
      </c>
      <c r="E265" s="79"/>
      <c r="F265" s="79" t="e">
        <f t="shared" si="15"/>
        <v>#REF!</v>
      </c>
      <c r="G265" s="2"/>
      <c r="H265" s="37">
        <v>13223</v>
      </c>
      <c r="I265" s="4">
        <f>H265*E265</f>
        <v>0</v>
      </c>
      <c r="J265" s="25">
        <f t="shared" si="14"/>
        <v>9</v>
      </c>
    </row>
    <row r="266" spans="1:10" ht="53.4" customHeight="1">
      <c r="A266" s="75">
        <v>3</v>
      </c>
      <c r="B266" s="80" t="s">
        <v>93</v>
      </c>
      <c r="C266" s="77" t="s">
        <v>48</v>
      </c>
      <c r="D266" s="78">
        <v>1</v>
      </c>
      <c r="E266" s="79"/>
      <c r="F266" s="79" t="e">
        <f t="shared" si="15"/>
        <v>#REF!</v>
      </c>
      <c r="G266" s="2"/>
      <c r="H266" s="37">
        <v>310497</v>
      </c>
      <c r="I266" s="4">
        <f t="shared" ref="I266:I297" si="16">H266*E266</f>
        <v>0</v>
      </c>
      <c r="J266" s="25">
        <f t="shared" si="14"/>
        <v>9</v>
      </c>
    </row>
    <row r="267" spans="1:10" ht="16.95" customHeight="1">
      <c r="A267" s="75">
        <v>4</v>
      </c>
      <c r="B267" s="80" t="s">
        <v>94</v>
      </c>
      <c r="C267" s="77" t="s">
        <v>48</v>
      </c>
      <c r="D267" s="78">
        <v>1</v>
      </c>
      <c r="E267" s="79"/>
      <c r="F267" s="79" t="e">
        <f t="shared" si="15"/>
        <v>#REF!</v>
      </c>
      <c r="G267" s="2"/>
      <c r="H267" s="37">
        <v>8375</v>
      </c>
      <c r="I267" s="4">
        <f t="shared" si="16"/>
        <v>0</v>
      </c>
      <c r="J267" s="25">
        <f t="shared" si="14"/>
        <v>9</v>
      </c>
    </row>
    <row r="268" spans="1:10" ht="16.95" customHeight="1">
      <c r="A268" s="75">
        <v>5</v>
      </c>
      <c r="B268" s="80" t="s">
        <v>95</v>
      </c>
      <c r="C268" s="77" t="s">
        <v>48</v>
      </c>
      <c r="D268" s="78">
        <v>1</v>
      </c>
      <c r="E268" s="79"/>
      <c r="F268" s="79" t="e">
        <f t="shared" si="15"/>
        <v>#REF!</v>
      </c>
      <c r="G268" s="2"/>
      <c r="H268" s="37">
        <v>51618</v>
      </c>
      <c r="I268" s="4">
        <f t="shared" si="16"/>
        <v>0</v>
      </c>
      <c r="J268" s="25">
        <f t="shared" si="14"/>
        <v>9</v>
      </c>
    </row>
    <row r="269" spans="1:10" ht="16.95" customHeight="1">
      <c r="A269" s="75">
        <v>6</v>
      </c>
      <c r="B269" s="80" t="s">
        <v>96</v>
      </c>
      <c r="C269" s="77" t="s">
        <v>50</v>
      </c>
      <c r="D269" s="78">
        <v>11.55</v>
      </c>
      <c r="E269" s="79"/>
      <c r="F269" s="79" t="e">
        <f t="shared" si="15"/>
        <v>#REF!</v>
      </c>
      <c r="G269" s="2"/>
      <c r="H269" s="37">
        <v>1188</v>
      </c>
      <c r="I269" s="4">
        <f t="shared" si="16"/>
        <v>0</v>
      </c>
      <c r="J269" s="25">
        <f t="shared" si="14"/>
        <v>9</v>
      </c>
    </row>
    <row r="270" spans="1:10" ht="34.950000000000003" customHeight="1">
      <c r="A270" s="75">
        <v>7</v>
      </c>
      <c r="B270" s="80" t="s">
        <v>97</v>
      </c>
      <c r="C270" s="77" t="s">
        <v>48</v>
      </c>
      <c r="D270" s="78">
        <v>1</v>
      </c>
      <c r="E270" s="79"/>
      <c r="F270" s="79" t="e">
        <f t="shared" si="15"/>
        <v>#REF!</v>
      </c>
      <c r="G270" s="2"/>
      <c r="H270" s="37">
        <v>21157</v>
      </c>
      <c r="I270" s="4">
        <f t="shared" si="16"/>
        <v>0</v>
      </c>
      <c r="J270" s="25">
        <f t="shared" si="14"/>
        <v>9</v>
      </c>
    </row>
    <row r="271" spans="1:10" ht="16.95" customHeight="1">
      <c r="A271" s="75">
        <v>8</v>
      </c>
      <c r="B271" s="80" t="s">
        <v>98</v>
      </c>
      <c r="C271" s="77" t="s">
        <v>50</v>
      </c>
      <c r="D271" s="78">
        <v>387</v>
      </c>
      <c r="E271" s="79"/>
      <c r="F271" s="79" t="e">
        <f t="shared" si="15"/>
        <v>#REF!</v>
      </c>
      <c r="G271" s="2"/>
      <c r="H271" s="37">
        <v>705</v>
      </c>
      <c r="I271" s="4">
        <f t="shared" si="16"/>
        <v>0</v>
      </c>
      <c r="J271" s="25">
        <f t="shared" si="14"/>
        <v>9</v>
      </c>
    </row>
    <row r="272" spans="1:10" ht="16.95" customHeight="1">
      <c r="A272" s="75">
        <v>9</v>
      </c>
      <c r="B272" s="80" t="s">
        <v>99</v>
      </c>
      <c r="C272" s="77" t="s">
        <v>50</v>
      </c>
      <c r="D272" s="78">
        <v>170</v>
      </c>
      <c r="E272" s="79"/>
      <c r="F272" s="79" t="e">
        <f t="shared" si="15"/>
        <v>#REF!</v>
      </c>
      <c r="G272" s="2"/>
      <c r="H272" s="37">
        <v>617</v>
      </c>
      <c r="I272" s="4">
        <f t="shared" si="16"/>
        <v>0</v>
      </c>
      <c r="J272" s="25">
        <f t="shared" si="14"/>
        <v>9</v>
      </c>
    </row>
    <row r="273" spans="1:10" ht="16.95" customHeight="1">
      <c r="A273" s="75">
        <v>10</v>
      </c>
      <c r="B273" s="80" t="s">
        <v>100</v>
      </c>
      <c r="C273" s="77" t="s">
        <v>66</v>
      </c>
      <c r="D273" s="78">
        <v>15</v>
      </c>
      <c r="E273" s="79"/>
      <c r="F273" s="79" t="e">
        <f t="shared" si="15"/>
        <v>#REF!</v>
      </c>
      <c r="G273" s="2"/>
      <c r="H273" s="37">
        <v>617</v>
      </c>
      <c r="I273" s="4">
        <f t="shared" si="16"/>
        <v>0</v>
      </c>
      <c r="J273" s="25">
        <f t="shared" si="14"/>
        <v>9</v>
      </c>
    </row>
    <row r="274" spans="1:10" ht="16.95" customHeight="1">
      <c r="A274" s="75">
        <v>11</v>
      </c>
      <c r="B274" s="80" t="s">
        <v>101</v>
      </c>
      <c r="C274" s="77" t="s">
        <v>50</v>
      </c>
      <c r="D274" s="78">
        <v>75</v>
      </c>
      <c r="E274" s="79"/>
      <c r="F274" s="79" t="e">
        <f t="shared" si="15"/>
        <v>#REF!</v>
      </c>
      <c r="G274" s="2"/>
      <c r="H274" s="37">
        <v>1146</v>
      </c>
      <c r="I274" s="4">
        <f t="shared" si="16"/>
        <v>0</v>
      </c>
      <c r="J274" s="25">
        <f t="shared" si="14"/>
        <v>9</v>
      </c>
    </row>
    <row r="275" spans="1:10" ht="16.95" customHeight="1">
      <c r="A275" s="75">
        <v>12</v>
      </c>
      <c r="B275" s="80" t="s">
        <v>102</v>
      </c>
      <c r="C275" s="77" t="s">
        <v>50</v>
      </c>
      <c r="D275" s="78">
        <v>5</v>
      </c>
      <c r="E275" s="79"/>
      <c r="F275" s="79" t="e">
        <f t="shared" si="15"/>
        <v>#REF!</v>
      </c>
      <c r="G275" s="2"/>
      <c r="H275" s="37">
        <v>1455</v>
      </c>
      <c r="I275" s="4">
        <f t="shared" si="16"/>
        <v>0</v>
      </c>
      <c r="J275" s="25">
        <f t="shared" si="14"/>
        <v>9</v>
      </c>
    </row>
    <row r="276" spans="1:10" ht="16.95" customHeight="1">
      <c r="A276" s="75">
        <v>13</v>
      </c>
      <c r="B276" s="80" t="s">
        <v>103</v>
      </c>
      <c r="C276" s="77" t="s">
        <v>50</v>
      </c>
      <c r="D276" s="78">
        <v>217</v>
      </c>
      <c r="E276" s="79"/>
      <c r="F276" s="79" t="e">
        <f t="shared" si="15"/>
        <v>#REF!</v>
      </c>
      <c r="G276" s="2"/>
      <c r="H276" s="37">
        <v>1410</v>
      </c>
      <c r="I276" s="4">
        <f t="shared" si="16"/>
        <v>0</v>
      </c>
      <c r="J276" s="25">
        <f t="shared" si="14"/>
        <v>9</v>
      </c>
    </row>
    <row r="277" spans="1:10" ht="16.95" customHeight="1">
      <c r="A277" s="75">
        <v>14</v>
      </c>
      <c r="B277" s="80" t="s">
        <v>104</v>
      </c>
      <c r="C277" s="77" t="s">
        <v>49</v>
      </c>
      <c r="D277" s="78">
        <v>84</v>
      </c>
      <c r="E277" s="79"/>
      <c r="F277" s="79" t="e">
        <f t="shared" si="15"/>
        <v>#REF!</v>
      </c>
      <c r="G277" s="2"/>
      <c r="H277" s="37">
        <v>529</v>
      </c>
      <c r="I277" s="4">
        <f t="shared" si="16"/>
        <v>0</v>
      </c>
      <c r="J277" s="25">
        <f t="shared" si="14"/>
        <v>9</v>
      </c>
    </row>
    <row r="278" spans="1:10" ht="16.95" customHeight="1">
      <c r="A278" s="75">
        <v>15</v>
      </c>
      <c r="B278" s="80" t="s">
        <v>105</v>
      </c>
      <c r="C278" s="77" t="s">
        <v>50</v>
      </c>
      <c r="D278" s="78">
        <v>1</v>
      </c>
      <c r="E278" s="79"/>
      <c r="F278" s="79" t="e">
        <f t="shared" si="15"/>
        <v>#REF!</v>
      </c>
      <c r="G278" s="2"/>
      <c r="H278" s="37">
        <v>1146</v>
      </c>
      <c r="I278" s="4">
        <f t="shared" si="16"/>
        <v>0</v>
      </c>
      <c r="J278" s="25">
        <f t="shared" si="14"/>
        <v>9</v>
      </c>
    </row>
    <row r="279" spans="1:10" ht="34.799999999999997" customHeight="1">
      <c r="A279" s="75">
        <v>16</v>
      </c>
      <c r="B279" s="80" t="s">
        <v>106</v>
      </c>
      <c r="C279" s="77" t="s">
        <v>50</v>
      </c>
      <c r="D279" s="78">
        <v>314</v>
      </c>
      <c r="E279" s="79"/>
      <c r="F279" s="79" t="e">
        <f t="shared" si="15"/>
        <v>#REF!</v>
      </c>
      <c r="G279" s="2"/>
      <c r="H279" s="37">
        <v>185</v>
      </c>
      <c r="I279" s="4">
        <f t="shared" si="16"/>
        <v>0</v>
      </c>
      <c r="J279" s="25">
        <f t="shared" si="14"/>
        <v>9</v>
      </c>
    </row>
    <row r="280" spans="1:10" ht="16.95" customHeight="1">
      <c r="A280" s="75">
        <v>17</v>
      </c>
      <c r="B280" s="80" t="s">
        <v>107</v>
      </c>
      <c r="C280" s="77" t="s">
        <v>48</v>
      </c>
      <c r="D280" s="78">
        <v>1</v>
      </c>
      <c r="E280" s="79"/>
      <c r="F280" s="79" t="e">
        <f t="shared" si="15"/>
        <v>#REF!</v>
      </c>
      <c r="G280" s="2"/>
      <c r="H280" s="37">
        <v>89918</v>
      </c>
      <c r="I280" s="4">
        <f t="shared" si="16"/>
        <v>0</v>
      </c>
      <c r="J280" s="25">
        <f t="shared" si="14"/>
        <v>9</v>
      </c>
    </row>
    <row r="281" spans="1:10" ht="16.95" customHeight="1">
      <c r="A281" s="75">
        <v>18</v>
      </c>
      <c r="B281" s="80" t="s">
        <v>108</v>
      </c>
      <c r="C281" s="77" t="s">
        <v>120</v>
      </c>
      <c r="D281" s="78">
        <v>15</v>
      </c>
      <c r="E281" s="79"/>
      <c r="F281" s="79" t="e">
        <f t="shared" si="15"/>
        <v>#REF!</v>
      </c>
      <c r="G281" s="2"/>
      <c r="H281" s="37">
        <v>661</v>
      </c>
      <c r="I281" s="4">
        <f t="shared" si="16"/>
        <v>0</v>
      </c>
      <c r="J281" s="25">
        <f t="shared" si="14"/>
        <v>9</v>
      </c>
    </row>
    <row r="282" spans="1:10" ht="16.95" customHeight="1">
      <c r="A282" s="75">
        <v>19</v>
      </c>
      <c r="B282" s="80" t="s">
        <v>109</v>
      </c>
      <c r="C282" s="77" t="s">
        <v>50</v>
      </c>
      <c r="D282" s="78">
        <v>82</v>
      </c>
      <c r="E282" s="79"/>
      <c r="F282" s="79" t="e">
        <f t="shared" si="15"/>
        <v>#REF!</v>
      </c>
      <c r="G282" s="2"/>
      <c r="H282" s="37">
        <v>2909</v>
      </c>
      <c r="I282" s="4">
        <f t="shared" si="16"/>
        <v>0</v>
      </c>
      <c r="J282" s="25">
        <f t="shared" si="14"/>
        <v>9</v>
      </c>
    </row>
    <row r="283" spans="1:10" ht="16.95" customHeight="1">
      <c r="A283" s="75">
        <v>20</v>
      </c>
      <c r="B283" s="80" t="s">
        <v>110</v>
      </c>
      <c r="C283" s="77" t="s">
        <v>121</v>
      </c>
      <c r="D283" s="78">
        <v>12</v>
      </c>
      <c r="E283" s="79"/>
      <c r="F283" s="79" t="e">
        <f t="shared" si="15"/>
        <v>#REF!</v>
      </c>
      <c r="G283" s="2"/>
      <c r="H283" s="37">
        <v>882</v>
      </c>
      <c r="I283" s="4">
        <f t="shared" si="16"/>
        <v>0</v>
      </c>
      <c r="J283" s="25">
        <f t="shared" si="14"/>
        <v>9</v>
      </c>
    </row>
    <row r="284" spans="1:10" ht="16.95" customHeight="1">
      <c r="A284" s="77">
        <v>21</v>
      </c>
      <c r="B284" s="80" t="s">
        <v>111</v>
      </c>
      <c r="C284" s="77" t="s">
        <v>122</v>
      </c>
      <c r="D284" s="78">
        <v>3</v>
      </c>
      <c r="E284" s="79"/>
      <c r="F284" s="79" t="e">
        <f t="shared" si="15"/>
        <v>#REF!</v>
      </c>
      <c r="G284" s="2"/>
      <c r="H284" s="38">
        <v>1869</v>
      </c>
      <c r="I284" s="4">
        <f t="shared" si="16"/>
        <v>0</v>
      </c>
      <c r="J284" s="25">
        <f t="shared" si="14"/>
        <v>9</v>
      </c>
    </row>
    <row r="285" spans="1:10" ht="34.950000000000003" customHeight="1">
      <c r="A285" s="75">
        <v>22</v>
      </c>
      <c r="B285" s="80" t="s">
        <v>112</v>
      </c>
      <c r="C285" s="77" t="s">
        <v>48</v>
      </c>
      <c r="D285" s="78">
        <v>1</v>
      </c>
      <c r="E285" s="79"/>
      <c r="F285" s="79" t="e">
        <f t="shared" si="15"/>
        <v>#REF!</v>
      </c>
      <c r="G285" s="2"/>
      <c r="H285" s="37">
        <v>82206</v>
      </c>
      <c r="I285" s="4">
        <f t="shared" si="16"/>
        <v>0</v>
      </c>
      <c r="J285" s="25">
        <f t="shared" si="14"/>
        <v>9</v>
      </c>
    </row>
    <row r="286" spans="1:10" ht="16.95" customHeight="1">
      <c r="A286" s="75">
        <v>23</v>
      </c>
      <c r="B286" s="80" t="s">
        <v>113</v>
      </c>
      <c r="C286" s="77" t="s">
        <v>48</v>
      </c>
      <c r="D286" s="78">
        <v>1</v>
      </c>
      <c r="E286" s="79"/>
      <c r="F286" s="79" t="e">
        <f t="shared" si="15"/>
        <v>#REF!</v>
      </c>
      <c r="G286" s="2"/>
      <c r="H286" s="37">
        <v>142723</v>
      </c>
      <c r="I286" s="4">
        <f t="shared" si="16"/>
        <v>0</v>
      </c>
      <c r="J286" s="25">
        <f t="shared" si="14"/>
        <v>9</v>
      </c>
    </row>
    <row r="287" spans="1:10" ht="16.95" customHeight="1">
      <c r="A287" s="75">
        <v>24</v>
      </c>
      <c r="B287" s="80" t="s">
        <v>114</v>
      </c>
      <c r="C287" s="77" t="s">
        <v>48</v>
      </c>
      <c r="D287" s="78">
        <v>1</v>
      </c>
      <c r="E287" s="79"/>
      <c r="F287" s="79" t="e">
        <f t="shared" si="15"/>
        <v>#REF!</v>
      </c>
      <c r="G287" s="2"/>
      <c r="H287" s="37">
        <v>37290</v>
      </c>
      <c r="I287" s="4">
        <f t="shared" si="16"/>
        <v>0</v>
      </c>
      <c r="J287" s="25">
        <f t="shared" si="14"/>
        <v>9</v>
      </c>
    </row>
    <row r="288" spans="1:10" ht="16.95" customHeight="1">
      <c r="A288" s="75">
        <v>25</v>
      </c>
      <c r="B288" s="80" t="s">
        <v>115</v>
      </c>
      <c r="C288" s="77" t="s">
        <v>48</v>
      </c>
      <c r="D288" s="78">
        <v>1</v>
      </c>
      <c r="E288" s="79"/>
      <c r="F288" s="79" t="e">
        <f t="shared" si="15"/>
        <v>#REF!</v>
      </c>
      <c r="G288" s="2"/>
      <c r="H288" s="37">
        <v>99394</v>
      </c>
      <c r="I288" s="4">
        <f t="shared" si="16"/>
        <v>0</v>
      </c>
      <c r="J288" s="25">
        <f t="shared" si="14"/>
        <v>9</v>
      </c>
    </row>
    <row r="289" spans="1:10" ht="34.950000000000003" customHeight="1">
      <c r="A289" s="75">
        <v>26</v>
      </c>
      <c r="B289" s="80" t="s">
        <v>116</v>
      </c>
      <c r="C289" s="77" t="s">
        <v>48</v>
      </c>
      <c r="D289" s="78">
        <v>1</v>
      </c>
      <c r="E289" s="79"/>
      <c r="F289" s="79" t="e">
        <f t="shared" si="15"/>
        <v>#REF!</v>
      </c>
      <c r="G289" s="2"/>
      <c r="H289" s="37">
        <v>21334</v>
      </c>
      <c r="I289" s="4">
        <f t="shared" si="16"/>
        <v>0</v>
      </c>
      <c r="J289" s="25">
        <f t="shared" si="14"/>
        <v>9</v>
      </c>
    </row>
    <row r="290" spans="1:10" ht="16.95" customHeight="1">
      <c r="A290" s="75">
        <v>27</v>
      </c>
      <c r="B290" s="80" t="s">
        <v>117</v>
      </c>
      <c r="C290" s="77" t="s">
        <v>48</v>
      </c>
      <c r="D290" s="78">
        <v>1</v>
      </c>
      <c r="E290" s="79"/>
      <c r="F290" s="79" t="e">
        <f t="shared" si="15"/>
        <v>#REF!</v>
      </c>
      <c r="G290" s="2"/>
      <c r="H290" s="37">
        <v>29620</v>
      </c>
      <c r="I290" s="4">
        <f t="shared" si="16"/>
        <v>0</v>
      </c>
      <c r="J290" s="25">
        <f t="shared" si="14"/>
        <v>9</v>
      </c>
    </row>
    <row r="291" spans="1:10" ht="16.95" customHeight="1">
      <c r="A291" s="75">
        <v>28</v>
      </c>
      <c r="B291" s="80" t="s">
        <v>118</v>
      </c>
      <c r="C291" s="77" t="s">
        <v>48</v>
      </c>
      <c r="D291" s="78">
        <v>1</v>
      </c>
      <c r="E291" s="79"/>
      <c r="F291" s="79" t="e">
        <f t="shared" si="15"/>
        <v>#REF!</v>
      </c>
      <c r="G291" s="2"/>
      <c r="H291" s="37">
        <v>18506</v>
      </c>
      <c r="I291" s="4">
        <f t="shared" si="16"/>
        <v>0</v>
      </c>
      <c r="J291" s="25">
        <f t="shared" si="14"/>
        <v>9</v>
      </c>
    </row>
    <row r="292" spans="1:10" ht="16.95" customHeight="1">
      <c r="A292" s="75">
        <v>29</v>
      </c>
      <c r="B292" s="80" t="s">
        <v>119</v>
      </c>
      <c r="C292" s="77" t="s">
        <v>48</v>
      </c>
      <c r="D292" s="78">
        <v>1</v>
      </c>
      <c r="E292" s="79"/>
      <c r="F292" s="79" t="e">
        <f t="shared" si="15"/>
        <v>#REF!</v>
      </c>
      <c r="G292" s="2"/>
      <c r="H292" s="37">
        <v>34381</v>
      </c>
      <c r="I292" s="4">
        <f t="shared" si="16"/>
        <v>0</v>
      </c>
      <c r="J292" s="25">
        <f t="shared" si="14"/>
        <v>9</v>
      </c>
    </row>
    <row r="293" spans="1:10" ht="16.95" customHeight="1">
      <c r="A293" s="75" t="s">
        <v>79</v>
      </c>
      <c r="B293" s="80" t="s">
        <v>80</v>
      </c>
      <c r="C293" s="77" t="s">
        <v>48</v>
      </c>
      <c r="D293" s="78">
        <v>1</v>
      </c>
      <c r="E293" s="79">
        <f t="shared" ref="E293:E296" si="17">1/120</f>
        <v>8.3333333333333332E-3</v>
      </c>
      <c r="F293" s="79" t="e">
        <f t="shared" si="15"/>
        <v>#REF!</v>
      </c>
      <c r="G293" s="2"/>
      <c r="H293" s="37">
        <v>21395</v>
      </c>
      <c r="I293" s="4">
        <f t="shared" si="16"/>
        <v>178.29166666666666</v>
      </c>
      <c r="J293" s="25">
        <f t="shared" si="14"/>
        <v>9</v>
      </c>
    </row>
    <row r="294" spans="1:10" ht="16.95" customHeight="1">
      <c r="A294" s="75" t="s">
        <v>81</v>
      </c>
      <c r="B294" s="80" t="s">
        <v>82</v>
      </c>
      <c r="C294" s="77" t="s">
        <v>48</v>
      </c>
      <c r="D294" s="78">
        <v>1</v>
      </c>
      <c r="E294" s="79">
        <f t="shared" si="17"/>
        <v>8.3333333333333332E-3</v>
      </c>
      <c r="F294" s="79" t="e">
        <f t="shared" si="15"/>
        <v>#REF!</v>
      </c>
      <c r="G294" s="2"/>
      <c r="H294" s="37">
        <v>21395</v>
      </c>
      <c r="I294" s="4">
        <f t="shared" si="16"/>
        <v>178.29166666666666</v>
      </c>
      <c r="J294" s="25">
        <f t="shared" si="14"/>
        <v>9</v>
      </c>
    </row>
    <row r="295" spans="1:10" ht="16.95" customHeight="1">
      <c r="A295" s="75" t="s">
        <v>83</v>
      </c>
      <c r="B295" s="80" t="s">
        <v>84</v>
      </c>
      <c r="C295" s="77" t="s">
        <v>48</v>
      </c>
      <c r="D295" s="78">
        <v>1</v>
      </c>
      <c r="E295" s="79">
        <f t="shared" si="17"/>
        <v>8.3333333333333332E-3</v>
      </c>
      <c r="F295" s="79" t="e">
        <f t="shared" si="15"/>
        <v>#REF!</v>
      </c>
      <c r="G295" s="2"/>
      <c r="H295" s="37">
        <v>149765</v>
      </c>
      <c r="I295" s="4">
        <f t="shared" si="16"/>
        <v>1248.0416666666667</v>
      </c>
      <c r="J295" s="25">
        <f t="shared" si="14"/>
        <v>9</v>
      </c>
    </row>
    <row r="296" spans="1:10" ht="16.95" customHeight="1">
      <c r="A296" s="75" t="s">
        <v>85</v>
      </c>
      <c r="B296" s="80" t="s">
        <v>86</v>
      </c>
      <c r="C296" s="77" t="s">
        <v>48</v>
      </c>
      <c r="D296" s="78">
        <v>1</v>
      </c>
      <c r="E296" s="79">
        <f t="shared" si="17"/>
        <v>8.3333333333333332E-3</v>
      </c>
      <c r="F296" s="79" t="e">
        <f t="shared" si="15"/>
        <v>#REF!</v>
      </c>
      <c r="G296" s="2"/>
      <c r="H296" s="37">
        <v>6996</v>
      </c>
      <c r="I296" s="4">
        <f t="shared" si="16"/>
        <v>58.3</v>
      </c>
      <c r="J296" s="25">
        <f t="shared" si="14"/>
        <v>9</v>
      </c>
    </row>
    <row r="297" spans="1:10" ht="16.95" customHeight="1">
      <c r="A297" s="75" t="s">
        <v>87</v>
      </c>
      <c r="B297" s="80" t="s">
        <v>88</v>
      </c>
      <c r="C297" s="77" t="s">
        <v>48</v>
      </c>
      <c r="D297" s="78">
        <v>1</v>
      </c>
      <c r="E297" s="79">
        <f>1/120</f>
        <v>8.3333333333333332E-3</v>
      </c>
      <c r="F297" s="79" t="e">
        <f t="shared" si="15"/>
        <v>#REF!</v>
      </c>
      <c r="G297" s="2"/>
      <c r="H297" s="37">
        <v>116952</v>
      </c>
      <c r="I297" s="4">
        <f t="shared" si="16"/>
        <v>974.6</v>
      </c>
      <c r="J297" s="25">
        <f t="shared" si="14"/>
        <v>9</v>
      </c>
    </row>
    <row r="298" spans="1:10" ht="16.95" customHeight="1">
      <c r="A298" s="95" t="s">
        <v>23</v>
      </c>
      <c r="B298" s="95"/>
      <c r="C298" s="50"/>
      <c r="D298" s="50"/>
      <c r="E298" s="50"/>
      <c r="F298" s="50"/>
      <c r="G298" s="50"/>
      <c r="H298" s="3" t="s">
        <v>24</v>
      </c>
      <c r="I298" s="5">
        <f>SUM(I263:I297)</f>
        <v>2637.5250000000001</v>
      </c>
      <c r="J298" s="25">
        <f t="shared" si="14"/>
        <v>9</v>
      </c>
    </row>
    <row r="299" spans="1:10" ht="16.95" customHeight="1">
      <c r="A299" s="96" t="s">
        <v>25</v>
      </c>
      <c r="B299" s="96"/>
      <c r="C299" s="50"/>
      <c r="D299" s="50"/>
      <c r="E299" s="50"/>
      <c r="F299" s="50"/>
      <c r="G299" s="50"/>
      <c r="J299" s="25">
        <f t="shared" si="14"/>
        <v>9</v>
      </c>
    </row>
    <row r="300" spans="1:10" ht="16.95" customHeight="1">
      <c r="A300" s="96" t="s">
        <v>26</v>
      </c>
      <c r="B300" s="96"/>
      <c r="C300" s="50"/>
      <c r="D300" s="50"/>
      <c r="E300" s="50"/>
      <c r="F300" s="50"/>
      <c r="G300" s="50"/>
      <c r="J300" s="25">
        <f t="shared" si="14"/>
        <v>9</v>
      </c>
    </row>
    <row r="301" spans="1:10" ht="16.95" customHeight="1">
      <c r="A301" s="95" t="s">
        <v>27</v>
      </c>
      <c r="B301" s="95"/>
      <c r="C301" s="95"/>
      <c r="D301" s="95"/>
      <c r="E301" s="95"/>
      <c r="F301" s="95"/>
      <c r="G301" s="95"/>
      <c r="J301" s="25">
        <f t="shared" si="14"/>
        <v>9</v>
      </c>
    </row>
    <row r="302" spans="1:10" ht="16.95" customHeight="1">
      <c r="A302" s="94" t="s">
        <v>28</v>
      </c>
      <c r="B302" s="94"/>
      <c r="C302" s="51" t="s">
        <v>29</v>
      </c>
      <c r="D302" s="51" t="s">
        <v>30</v>
      </c>
      <c r="E302" s="51" t="s">
        <v>18</v>
      </c>
      <c r="F302" s="51" t="s">
        <v>31</v>
      </c>
      <c r="G302" s="51" t="s">
        <v>20</v>
      </c>
      <c r="J302" s="25">
        <f t="shared" si="14"/>
        <v>9</v>
      </c>
    </row>
    <row r="303" spans="1:10" ht="16.95" customHeight="1">
      <c r="A303" s="96"/>
      <c r="B303" s="96"/>
      <c r="C303" s="50"/>
      <c r="D303" s="50"/>
      <c r="E303" s="50"/>
      <c r="F303" s="50"/>
      <c r="G303" s="51"/>
      <c r="J303" s="25">
        <f t="shared" si="14"/>
        <v>9</v>
      </c>
    </row>
    <row r="304" spans="1:10" ht="16.95" customHeight="1">
      <c r="A304" s="97"/>
      <c r="B304" s="97"/>
      <c r="C304" s="50"/>
      <c r="D304" s="50"/>
      <c r="E304" s="50"/>
      <c r="F304" s="51"/>
      <c r="G304" s="51"/>
      <c r="J304" s="25">
        <f t="shared" si="14"/>
        <v>9</v>
      </c>
    </row>
    <row r="305" spans="1:10" ht="16.95" customHeight="1">
      <c r="A305" s="95" t="s">
        <v>32</v>
      </c>
      <c r="B305" s="95"/>
      <c r="C305" s="95"/>
      <c r="D305" s="95"/>
      <c r="E305" s="95"/>
      <c r="F305" s="95"/>
      <c r="G305" s="95"/>
      <c r="J305" s="25">
        <f t="shared" si="14"/>
        <v>10</v>
      </c>
    </row>
    <row r="306" spans="1:10" ht="16.95" customHeight="1">
      <c r="A306" s="51" t="s">
        <v>33</v>
      </c>
      <c r="B306" s="51" t="s">
        <v>34</v>
      </c>
      <c r="C306" s="94" t="s">
        <v>35</v>
      </c>
      <c r="D306" s="94"/>
      <c r="E306" s="51" t="s">
        <v>36</v>
      </c>
      <c r="F306" s="51" t="s">
        <v>37</v>
      </c>
      <c r="G306" s="51" t="s">
        <v>38</v>
      </c>
      <c r="J306" s="25">
        <f t="shared" si="14"/>
        <v>10</v>
      </c>
    </row>
    <row r="307" spans="1:10" ht="16.95" customHeight="1">
      <c r="A307" s="51" t="s">
        <v>39</v>
      </c>
      <c r="B307" s="6"/>
      <c r="C307" s="94" t="e">
        <f>B307+C244</f>
        <v>#REF!</v>
      </c>
      <c r="D307" s="94"/>
      <c r="E307" s="51"/>
      <c r="F307" s="24"/>
      <c r="G307" s="24"/>
      <c r="J307" s="25">
        <f t="shared" si="14"/>
        <v>10</v>
      </c>
    </row>
    <row r="308" spans="1:10" ht="16.95" customHeight="1">
      <c r="A308" s="51" t="s">
        <v>40</v>
      </c>
      <c r="B308" s="6"/>
      <c r="C308" s="94" t="e">
        <f>B308+C245</f>
        <v>#REF!</v>
      </c>
      <c r="D308" s="94"/>
      <c r="E308" s="51"/>
      <c r="F308" s="24"/>
      <c r="G308" s="24"/>
      <c r="J308" s="25">
        <f t="shared" si="14"/>
        <v>10</v>
      </c>
    </row>
    <row r="309" spans="1:10" ht="36.6" customHeight="1">
      <c r="A309" s="95" t="s">
        <v>41</v>
      </c>
      <c r="B309" s="95"/>
      <c r="C309" s="95"/>
      <c r="D309" s="95"/>
      <c r="E309" s="95"/>
      <c r="F309" s="95"/>
      <c r="G309" s="95"/>
      <c r="J309" s="25">
        <f t="shared" si="14"/>
        <v>10</v>
      </c>
    </row>
    <row r="310" spans="1:10" ht="90" customHeight="1">
      <c r="A310" s="92" t="s">
        <v>42</v>
      </c>
      <c r="B310" s="92"/>
      <c r="C310" s="92"/>
      <c r="D310" s="92"/>
      <c r="E310" s="92"/>
      <c r="F310" s="92"/>
      <c r="G310" s="92"/>
      <c r="J310" s="25">
        <f t="shared" si="14"/>
        <v>10</v>
      </c>
    </row>
    <row r="311" spans="1:10" ht="16.95" customHeight="1">
      <c r="A311" s="95" t="s">
        <v>43</v>
      </c>
      <c r="B311" s="95"/>
      <c r="C311" s="95"/>
      <c r="D311" s="95"/>
      <c r="E311" s="95"/>
      <c r="F311" s="95"/>
      <c r="G311" s="95"/>
      <c r="J311" s="25">
        <f t="shared" si="14"/>
        <v>10</v>
      </c>
    </row>
    <row r="312" spans="1:10" ht="16.95" customHeight="1">
      <c r="A312" s="95" t="s">
        <v>44</v>
      </c>
      <c r="B312" s="95"/>
      <c r="C312" s="95"/>
      <c r="D312" s="95"/>
      <c r="E312" s="95"/>
      <c r="F312" s="95"/>
      <c r="G312" s="95"/>
      <c r="J312" s="25">
        <f t="shared" si="14"/>
        <v>10</v>
      </c>
    </row>
    <row r="313" spans="1:10" ht="16.95" customHeight="1">
      <c r="A313" s="91" t="s">
        <v>64</v>
      </c>
      <c r="B313" s="91"/>
      <c r="C313" s="91"/>
      <c r="D313" s="91"/>
      <c r="E313" s="91"/>
      <c r="F313" s="91"/>
      <c r="G313" s="91"/>
      <c r="J313" s="25">
        <f t="shared" si="14"/>
        <v>10</v>
      </c>
    </row>
    <row r="314" spans="1:10" ht="120.6" customHeight="1">
      <c r="A314" s="92" t="s">
        <v>45</v>
      </c>
      <c r="B314" s="92"/>
      <c r="C314" s="92"/>
      <c r="D314" s="92"/>
      <c r="E314" s="92"/>
      <c r="F314" s="92"/>
      <c r="G314" s="92"/>
      <c r="J314" s="25">
        <f t="shared" si="14"/>
        <v>10</v>
      </c>
    </row>
    <row r="315" spans="1:10" ht="140.4" customHeight="1">
      <c r="A315" s="93" t="s">
        <v>46</v>
      </c>
      <c r="B315" s="93"/>
      <c r="C315" s="93"/>
      <c r="D315" s="93"/>
      <c r="E315" s="93"/>
      <c r="F315" s="93"/>
      <c r="G315" s="93"/>
      <c r="J315" s="25">
        <f t="shared" si="14"/>
        <v>10</v>
      </c>
    </row>
    <row r="316" spans="1:10" ht="37.200000000000003" customHeight="1">
      <c r="A316" s="103" t="s">
        <v>0</v>
      </c>
      <c r="B316" s="103"/>
      <c r="C316" s="103"/>
      <c r="D316" s="103"/>
      <c r="E316" s="103"/>
      <c r="F316" s="103"/>
      <c r="G316" s="103"/>
      <c r="J316" s="25">
        <f t="shared" si="14"/>
        <v>11</v>
      </c>
    </row>
    <row r="317" spans="1:10" ht="16.95" customHeight="1">
      <c r="A317" s="1" t="s">
        <v>1</v>
      </c>
      <c r="B317" s="104">
        <f>B254+1</f>
        <v>7</v>
      </c>
      <c r="C317" s="104"/>
      <c r="D317" s="104"/>
      <c r="E317" s="104"/>
      <c r="F317" s="104"/>
      <c r="G317" s="104"/>
      <c r="J317" s="25">
        <f t="shared" si="14"/>
        <v>11</v>
      </c>
    </row>
    <row r="318" spans="1:10" ht="16.95" customHeight="1">
      <c r="A318" s="1" t="s">
        <v>2</v>
      </c>
      <c r="B318" s="105" t="s">
        <v>63</v>
      </c>
      <c r="C318" s="105"/>
      <c r="D318" s="105"/>
      <c r="E318" s="106">
        <f>E255+1</f>
        <v>46209</v>
      </c>
      <c r="F318" s="106"/>
      <c r="G318" s="106"/>
      <c r="J318" s="25">
        <f t="shared" si="14"/>
        <v>11</v>
      </c>
    </row>
    <row r="319" spans="1:10" ht="16.95" customHeight="1">
      <c r="A319" s="53" t="s">
        <v>3</v>
      </c>
      <c r="B319" s="2" t="s">
        <v>67</v>
      </c>
      <c r="C319" s="98" t="s">
        <v>4</v>
      </c>
      <c r="D319" s="98"/>
      <c r="E319" s="98" t="s">
        <v>47</v>
      </c>
      <c r="F319" s="98"/>
      <c r="G319" s="98"/>
      <c r="J319" s="25">
        <f t="shared" si="14"/>
        <v>11</v>
      </c>
    </row>
    <row r="320" spans="1:10" ht="16.95" customHeight="1">
      <c r="A320" s="53" t="s">
        <v>5</v>
      </c>
      <c r="B320" s="54">
        <v>120</v>
      </c>
      <c r="C320" s="98" t="s">
        <v>6</v>
      </c>
      <c r="D320" s="98"/>
      <c r="E320" s="98" t="s">
        <v>123</v>
      </c>
      <c r="F320" s="98"/>
      <c r="G320" s="98"/>
      <c r="J320" s="25">
        <f t="shared" ref="J320:J367" si="18">J257+2</f>
        <v>11</v>
      </c>
    </row>
    <row r="321" spans="1:10" ht="16.95" customHeight="1">
      <c r="A321" s="53" t="s">
        <v>7</v>
      </c>
      <c r="B321" s="54">
        <f>B317</f>
        <v>7</v>
      </c>
      <c r="C321" s="100" t="s">
        <v>8</v>
      </c>
      <c r="D321" s="100"/>
      <c r="E321" s="101">
        <f>B320-B321</f>
        <v>113</v>
      </c>
      <c r="F321" s="101"/>
      <c r="G321" s="101"/>
      <c r="J321" s="25">
        <f t="shared" si="18"/>
        <v>11</v>
      </c>
    </row>
    <row r="322" spans="1:10" ht="16.95" customHeight="1">
      <c r="A322" s="53" t="s">
        <v>9</v>
      </c>
      <c r="B322" s="55">
        <v>46204</v>
      </c>
      <c r="C322" s="98" t="s">
        <v>10</v>
      </c>
      <c r="D322" s="98"/>
      <c r="E322" s="102">
        <f>B322+B320-1</f>
        <v>46323</v>
      </c>
      <c r="F322" s="102"/>
      <c r="G322" s="102"/>
      <c r="J322" s="25">
        <f t="shared" si="18"/>
        <v>11</v>
      </c>
    </row>
    <row r="323" spans="1:10" ht="16.95" customHeight="1">
      <c r="A323" s="53" t="s">
        <v>11</v>
      </c>
      <c r="B323" s="56" t="e">
        <f>HLOOKUP(B317,進度表!$Q$2:$Z$3,2,1)+B260</f>
        <v>#REF!</v>
      </c>
      <c r="C323" s="98" t="s">
        <v>12</v>
      </c>
      <c r="D323" s="98"/>
      <c r="E323" s="99" t="e">
        <f>I361/I323+E260</f>
        <v>#REF!</v>
      </c>
      <c r="F323" s="99"/>
      <c r="G323" s="99"/>
      <c r="H323" s="3" t="s">
        <v>62</v>
      </c>
      <c r="I323" s="1">
        <v>2456000</v>
      </c>
      <c r="J323" s="25">
        <f t="shared" si="18"/>
        <v>11</v>
      </c>
    </row>
    <row r="324" spans="1:10" ht="16.95" customHeight="1">
      <c r="A324" s="98" t="s">
        <v>13</v>
      </c>
      <c r="B324" s="98"/>
      <c r="C324" s="98"/>
      <c r="D324" s="98"/>
      <c r="E324" s="98"/>
      <c r="F324" s="98"/>
      <c r="G324" s="98"/>
      <c r="J324" s="25">
        <f t="shared" si="18"/>
        <v>11</v>
      </c>
    </row>
    <row r="325" spans="1:10" ht="16.95" customHeight="1">
      <c r="A325" s="52" t="s">
        <v>14</v>
      </c>
      <c r="B325" s="52" t="s">
        <v>15</v>
      </c>
      <c r="C325" s="52" t="s">
        <v>16</v>
      </c>
      <c r="D325" s="52" t="s">
        <v>17</v>
      </c>
      <c r="E325" s="52" t="s">
        <v>18</v>
      </c>
      <c r="F325" s="52" t="s">
        <v>19</v>
      </c>
      <c r="G325" s="52" t="s">
        <v>20</v>
      </c>
      <c r="H325" s="3" t="s">
        <v>21</v>
      </c>
      <c r="I325" s="3" t="s">
        <v>22</v>
      </c>
      <c r="J325" s="25">
        <f t="shared" si="18"/>
        <v>11</v>
      </c>
    </row>
    <row r="326" spans="1:10" ht="16.95" customHeight="1">
      <c r="A326" s="75" t="s">
        <v>65</v>
      </c>
      <c r="B326" s="76" t="s">
        <v>69</v>
      </c>
      <c r="C326" s="77"/>
      <c r="D326" s="78"/>
      <c r="E326" s="79"/>
      <c r="F326" s="79"/>
      <c r="G326" s="2"/>
      <c r="H326" s="37"/>
      <c r="I326" s="4"/>
      <c r="J326" s="25">
        <f t="shared" si="18"/>
        <v>11</v>
      </c>
    </row>
    <row r="327" spans="1:10" ht="34.950000000000003" customHeight="1">
      <c r="A327" s="75">
        <v>1</v>
      </c>
      <c r="B327" s="80" t="s">
        <v>91</v>
      </c>
      <c r="C327" s="77" t="s">
        <v>48</v>
      </c>
      <c r="D327" s="78">
        <v>1</v>
      </c>
      <c r="E327" s="79"/>
      <c r="F327" s="79" t="e">
        <f t="shared" ref="F327:F360" si="19">E327+F264</f>
        <v>#REF!</v>
      </c>
      <c r="G327" s="2"/>
      <c r="H327" s="37">
        <v>10508</v>
      </c>
      <c r="I327" s="4">
        <f>H327*E327</f>
        <v>0</v>
      </c>
      <c r="J327" s="25">
        <f t="shared" si="18"/>
        <v>11</v>
      </c>
    </row>
    <row r="328" spans="1:10" ht="34.799999999999997" customHeight="1">
      <c r="A328" s="75">
        <v>2</v>
      </c>
      <c r="B328" s="80" t="s">
        <v>92</v>
      </c>
      <c r="C328" s="77" t="s">
        <v>48</v>
      </c>
      <c r="D328" s="78">
        <v>1</v>
      </c>
      <c r="E328" s="79"/>
      <c r="F328" s="79" t="e">
        <f t="shared" si="19"/>
        <v>#REF!</v>
      </c>
      <c r="G328" s="2"/>
      <c r="H328" s="37">
        <v>13223</v>
      </c>
      <c r="I328" s="4">
        <f>H328*E328</f>
        <v>0</v>
      </c>
      <c r="J328" s="25">
        <f t="shared" si="18"/>
        <v>11</v>
      </c>
    </row>
    <row r="329" spans="1:10" ht="53.4" customHeight="1">
      <c r="A329" s="75">
        <v>3</v>
      </c>
      <c r="B329" s="80" t="s">
        <v>93</v>
      </c>
      <c r="C329" s="77" t="s">
        <v>48</v>
      </c>
      <c r="D329" s="78">
        <v>1</v>
      </c>
      <c r="E329" s="79"/>
      <c r="F329" s="79" t="e">
        <f t="shared" si="19"/>
        <v>#REF!</v>
      </c>
      <c r="G329" s="2"/>
      <c r="H329" s="37">
        <v>310497</v>
      </c>
      <c r="I329" s="4">
        <f t="shared" ref="I329:I360" si="20">H329*E329</f>
        <v>0</v>
      </c>
      <c r="J329" s="25">
        <f t="shared" si="18"/>
        <v>11</v>
      </c>
    </row>
    <row r="330" spans="1:10" ht="16.95" customHeight="1">
      <c r="A330" s="75">
        <v>4</v>
      </c>
      <c r="B330" s="80" t="s">
        <v>94</v>
      </c>
      <c r="C330" s="77" t="s">
        <v>48</v>
      </c>
      <c r="D330" s="78">
        <v>1</v>
      </c>
      <c r="E330" s="79"/>
      <c r="F330" s="79" t="e">
        <f t="shared" si="19"/>
        <v>#REF!</v>
      </c>
      <c r="G330" s="2"/>
      <c r="H330" s="37">
        <v>8375</v>
      </c>
      <c r="I330" s="4">
        <f t="shared" si="20"/>
        <v>0</v>
      </c>
      <c r="J330" s="25">
        <f t="shared" si="18"/>
        <v>11</v>
      </c>
    </row>
    <row r="331" spans="1:10" ht="16.95" customHeight="1">
      <c r="A331" s="75">
        <v>5</v>
      </c>
      <c r="B331" s="80" t="s">
        <v>95</v>
      </c>
      <c r="C331" s="77" t="s">
        <v>48</v>
      </c>
      <c r="D331" s="78">
        <v>1</v>
      </c>
      <c r="E331" s="79"/>
      <c r="F331" s="79" t="e">
        <f t="shared" si="19"/>
        <v>#REF!</v>
      </c>
      <c r="G331" s="2"/>
      <c r="H331" s="37">
        <v>51618</v>
      </c>
      <c r="I331" s="4">
        <f t="shared" si="20"/>
        <v>0</v>
      </c>
      <c r="J331" s="25">
        <f t="shared" si="18"/>
        <v>11</v>
      </c>
    </row>
    <row r="332" spans="1:10" ht="16.95" customHeight="1">
      <c r="A332" s="75">
        <v>6</v>
      </c>
      <c r="B332" s="80" t="s">
        <v>96</v>
      </c>
      <c r="C332" s="77" t="s">
        <v>50</v>
      </c>
      <c r="D332" s="78">
        <v>11.55</v>
      </c>
      <c r="E332" s="79"/>
      <c r="F332" s="79" t="e">
        <f t="shared" si="19"/>
        <v>#REF!</v>
      </c>
      <c r="G332" s="2"/>
      <c r="H332" s="37">
        <v>1188</v>
      </c>
      <c r="I332" s="4">
        <f t="shared" si="20"/>
        <v>0</v>
      </c>
      <c r="J332" s="25">
        <f t="shared" si="18"/>
        <v>11</v>
      </c>
    </row>
    <row r="333" spans="1:10" ht="34.950000000000003" customHeight="1">
      <c r="A333" s="75">
        <v>7</v>
      </c>
      <c r="B333" s="80" t="s">
        <v>97</v>
      </c>
      <c r="C333" s="77" t="s">
        <v>48</v>
      </c>
      <c r="D333" s="78">
        <v>1</v>
      </c>
      <c r="E333" s="79"/>
      <c r="F333" s="79" t="e">
        <f t="shared" si="19"/>
        <v>#REF!</v>
      </c>
      <c r="G333" s="2"/>
      <c r="H333" s="37">
        <v>21157</v>
      </c>
      <c r="I333" s="4">
        <f t="shared" si="20"/>
        <v>0</v>
      </c>
      <c r="J333" s="25">
        <f t="shared" si="18"/>
        <v>11</v>
      </c>
    </row>
    <row r="334" spans="1:10" ht="16.95" customHeight="1">
      <c r="A334" s="75">
        <v>8</v>
      </c>
      <c r="B334" s="80" t="s">
        <v>98</v>
      </c>
      <c r="C334" s="77" t="s">
        <v>50</v>
      </c>
      <c r="D334" s="78">
        <v>387</v>
      </c>
      <c r="E334" s="79"/>
      <c r="F334" s="79" t="e">
        <f t="shared" si="19"/>
        <v>#REF!</v>
      </c>
      <c r="G334" s="2"/>
      <c r="H334" s="37">
        <v>705</v>
      </c>
      <c r="I334" s="4">
        <f t="shared" si="20"/>
        <v>0</v>
      </c>
      <c r="J334" s="25">
        <f t="shared" si="18"/>
        <v>11</v>
      </c>
    </row>
    <row r="335" spans="1:10" ht="16.95" customHeight="1">
      <c r="A335" s="75">
        <v>9</v>
      </c>
      <c r="B335" s="80" t="s">
        <v>99</v>
      </c>
      <c r="C335" s="77" t="s">
        <v>50</v>
      </c>
      <c r="D335" s="78">
        <v>170</v>
      </c>
      <c r="E335" s="79"/>
      <c r="F335" s="79" t="e">
        <f t="shared" si="19"/>
        <v>#REF!</v>
      </c>
      <c r="G335" s="2"/>
      <c r="H335" s="37">
        <v>617</v>
      </c>
      <c r="I335" s="4">
        <f t="shared" si="20"/>
        <v>0</v>
      </c>
      <c r="J335" s="25">
        <f t="shared" si="18"/>
        <v>11</v>
      </c>
    </row>
    <row r="336" spans="1:10" ht="16.95" customHeight="1">
      <c r="A336" s="75">
        <v>10</v>
      </c>
      <c r="B336" s="80" t="s">
        <v>100</v>
      </c>
      <c r="C336" s="77" t="s">
        <v>66</v>
      </c>
      <c r="D336" s="78">
        <v>15</v>
      </c>
      <c r="E336" s="79"/>
      <c r="F336" s="79" t="e">
        <f t="shared" si="19"/>
        <v>#REF!</v>
      </c>
      <c r="G336" s="2"/>
      <c r="H336" s="37">
        <v>617</v>
      </c>
      <c r="I336" s="4">
        <f t="shared" si="20"/>
        <v>0</v>
      </c>
      <c r="J336" s="25">
        <f t="shared" si="18"/>
        <v>11</v>
      </c>
    </row>
    <row r="337" spans="1:10" ht="16.95" customHeight="1">
      <c r="A337" s="75">
        <v>11</v>
      </c>
      <c r="B337" s="80" t="s">
        <v>101</v>
      </c>
      <c r="C337" s="77" t="s">
        <v>50</v>
      </c>
      <c r="D337" s="78">
        <v>75</v>
      </c>
      <c r="E337" s="79"/>
      <c r="F337" s="79" t="e">
        <f t="shared" si="19"/>
        <v>#REF!</v>
      </c>
      <c r="G337" s="2"/>
      <c r="H337" s="37">
        <v>1146</v>
      </c>
      <c r="I337" s="4">
        <f t="shared" si="20"/>
        <v>0</v>
      </c>
      <c r="J337" s="25">
        <f t="shared" si="18"/>
        <v>11</v>
      </c>
    </row>
    <row r="338" spans="1:10" ht="16.95" customHeight="1">
      <c r="A338" s="75">
        <v>12</v>
      </c>
      <c r="B338" s="80" t="s">
        <v>102</v>
      </c>
      <c r="C338" s="77" t="s">
        <v>50</v>
      </c>
      <c r="D338" s="78">
        <v>5</v>
      </c>
      <c r="E338" s="79"/>
      <c r="F338" s="79" t="e">
        <f t="shared" si="19"/>
        <v>#REF!</v>
      </c>
      <c r="G338" s="2"/>
      <c r="H338" s="37">
        <v>1455</v>
      </c>
      <c r="I338" s="4">
        <f t="shared" si="20"/>
        <v>0</v>
      </c>
      <c r="J338" s="25">
        <f t="shared" si="18"/>
        <v>11</v>
      </c>
    </row>
    <row r="339" spans="1:10" ht="16.95" customHeight="1">
      <c r="A339" s="75">
        <v>13</v>
      </c>
      <c r="B339" s="80" t="s">
        <v>103</v>
      </c>
      <c r="C339" s="77" t="s">
        <v>50</v>
      </c>
      <c r="D339" s="78">
        <v>217</v>
      </c>
      <c r="E339" s="79"/>
      <c r="F339" s="79" t="e">
        <f t="shared" si="19"/>
        <v>#REF!</v>
      </c>
      <c r="G339" s="2"/>
      <c r="H339" s="37">
        <v>1410</v>
      </c>
      <c r="I339" s="4">
        <f t="shared" si="20"/>
        <v>0</v>
      </c>
      <c r="J339" s="25">
        <f t="shared" si="18"/>
        <v>11</v>
      </c>
    </row>
    <row r="340" spans="1:10" ht="16.95" customHeight="1">
      <c r="A340" s="75">
        <v>14</v>
      </c>
      <c r="B340" s="80" t="s">
        <v>104</v>
      </c>
      <c r="C340" s="77" t="s">
        <v>49</v>
      </c>
      <c r="D340" s="78">
        <v>84</v>
      </c>
      <c r="E340" s="79"/>
      <c r="F340" s="79" t="e">
        <f t="shared" si="19"/>
        <v>#REF!</v>
      </c>
      <c r="G340" s="2"/>
      <c r="H340" s="37">
        <v>529</v>
      </c>
      <c r="I340" s="4">
        <f t="shared" si="20"/>
        <v>0</v>
      </c>
      <c r="J340" s="25">
        <f t="shared" si="18"/>
        <v>11</v>
      </c>
    </row>
    <row r="341" spans="1:10" ht="16.95" customHeight="1">
      <c r="A341" s="75">
        <v>15</v>
      </c>
      <c r="B341" s="80" t="s">
        <v>105</v>
      </c>
      <c r="C341" s="77" t="s">
        <v>50</v>
      </c>
      <c r="D341" s="78">
        <v>1</v>
      </c>
      <c r="E341" s="79"/>
      <c r="F341" s="79" t="e">
        <f t="shared" si="19"/>
        <v>#REF!</v>
      </c>
      <c r="G341" s="2"/>
      <c r="H341" s="37">
        <v>1146</v>
      </c>
      <c r="I341" s="4">
        <f t="shared" si="20"/>
        <v>0</v>
      </c>
      <c r="J341" s="25">
        <f t="shared" si="18"/>
        <v>11</v>
      </c>
    </row>
    <row r="342" spans="1:10" ht="34.799999999999997" customHeight="1">
      <c r="A342" s="75">
        <v>16</v>
      </c>
      <c r="B342" s="80" t="s">
        <v>106</v>
      </c>
      <c r="C342" s="77" t="s">
        <v>50</v>
      </c>
      <c r="D342" s="78">
        <v>314</v>
      </c>
      <c r="E342" s="79"/>
      <c r="F342" s="79" t="e">
        <f t="shared" si="19"/>
        <v>#REF!</v>
      </c>
      <c r="G342" s="2"/>
      <c r="H342" s="37">
        <v>185</v>
      </c>
      <c r="I342" s="4">
        <f t="shared" si="20"/>
        <v>0</v>
      </c>
      <c r="J342" s="25">
        <f t="shared" si="18"/>
        <v>11</v>
      </c>
    </row>
    <row r="343" spans="1:10" ht="16.95" customHeight="1">
      <c r="A343" s="75">
        <v>17</v>
      </c>
      <c r="B343" s="80" t="s">
        <v>107</v>
      </c>
      <c r="C343" s="77" t="s">
        <v>48</v>
      </c>
      <c r="D343" s="78">
        <v>1</v>
      </c>
      <c r="E343" s="79"/>
      <c r="F343" s="79" t="e">
        <f t="shared" si="19"/>
        <v>#REF!</v>
      </c>
      <c r="G343" s="2"/>
      <c r="H343" s="37">
        <v>89918</v>
      </c>
      <c r="I343" s="4">
        <f t="shared" si="20"/>
        <v>0</v>
      </c>
      <c r="J343" s="25">
        <f t="shared" si="18"/>
        <v>11</v>
      </c>
    </row>
    <row r="344" spans="1:10" ht="16.95" customHeight="1">
      <c r="A344" s="75">
        <v>18</v>
      </c>
      <c r="B344" s="80" t="s">
        <v>108</v>
      </c>
      <c r="C344" s="77" t="s">
        <v>120</v>
      </c>
      <c r="D344" s="78">
        <v>15</v>
      </c>
      <c r="E344" s="79"/>
      <c r="F344" s="79" t="e">
        <f t="shared" si="19"/>
        <v>#REF!</v>
      </c>
      <c r="G344" s="2"/>
      <c r="H344" s="37">
        <v>661</v>
      </c>
      <c r="I344" s="4">
        <f t="shared" si="20"/>
        <v>0</v>
      </c>
      <c r="J344" s="25">
        <f t="shared" si="18"/>
        <v>11</v>
      </c>
    </row>
    <row r="345" spans="1:10" ht="16.95" customHeight="1">
      <c r="A345" s="75">
        <v>19</v>
      </c>
      <c r="B345" s="80" t="s">
        <v>109</v>
      </c>
      <c r="C345" s="77" t="s">
        <v>50</v>
      </c>
      <c r="D345" s="78">
        <v>82</v>
      </c>
      <c r="E345" s="79"/>
      <c r="F345" s="79" t="e">
        <f t="shared" si="19"/>
        <v>#REF!</v>
      </c>
      <c r="G345" s="2"/>
      <c r="H345" s="37">
        <v>2909</v>
      </c>
      <c r="I345" s="4">
        <f t="shared" si="20"/>
        <v>0</v>
      </c>
      <c r="J345" s="25">
        <f t="shared" si="18"/>
        <v>11</v>
      </c>
    </row>
    <row r="346" spans="1:10" ht="16.95" customHeight="1">
      <c r="A346" s="75">
        <v>20</v>
      </c>
      <c r="B346" s="80" t="s">
        <v>110</v>
      </c>
      <c r="C346" s="77" t="s">
        <v>121</v>
      </c>
      <c r="D346" s="78">
        <v>12</v>
      </c>
      <c r="E346" s="79"/>
      <c r="F346" s="79" t="e">
        <f t="shared" si="19"/>
        <v>#REF!</v>
      </c>
      <c r="G346" s="2"/>
      <c r="H346" s="37">
        <v>882</v>
      </c>
      <c r="I346" s="4">
        <f t="shared" si="20"/>
        <v>0</v>
      </c>
      <c r="J346" s="25">
        <f t="shared" si="18"/>
        <v>11</v>
      </c>
    </row>
    <row r="347" spans="1:10" ht="16.95" customHeight="1">
      <c r="A347" s="77">
        <v>21</v>
      </c>
      <c r="B347" s="80" t="s">
        <v>111</v>
      </c>
      <c r="C347" s="77" t="s">
        <v>122</v>
      </c>
      <c r="D347" s="78">
        <v>3</v>
      </c>
      <c r="E347" s="79"/>
      <c r="F347" s="79" t="e">
        <f t="shared" si="19"/>
        <v>#REF!</v>
      </c>
      <c r="G347" s="2"/>
      <c r="H347" s="38">
        <v>1869</v>
      </c>
      <c r="I347" s="4">
        <f t="shared" si="20"/>
        <v>0</v>
      </c>
      <c r="J347" s="25">
        <f t="shared" si="18"/>
        <v>11</v>
      </c>
    </row>
    <row r="348" spans="1:10" ht="34.950000000000003" customHeight="1">
      <c r="A348" s="75">
        <v>22</v>
      </c>
      <c r="B348" s="80" t="s">
        <v>112</v>
      </c>
      <c r="C348" s="77" t="s">
        <v>48</v>
      </c>
      <c r="D348" s="78">
        <v>1</v>
      </c>
      <c r="E348" s="79"/>
      <c r="F348" s="79" t="e">
        <f t="shared" si="19"/>
        <v>#REF!</v>
      </c>
      <c r="G348" s="2"/>
      <c r="H348" s="37">
        <v>82206</v>
      </c>
      <c r="I348" s="4">
        <f t="shared" si="20"/>
        <v>0</v>
      </c>
      <c r="J348" s="25">
        <f t="shared" si="18"/>
        <v>11</v>
      </c>
    </row>
    <row r="349" spans="1:10" ht="16.95" customHeight="1">
      <c r="A349" s="75">
        <v>23</v>
      </c>
      <c r="B349" s="80" t="s">
        <v>113</v>
      </c>
      <c r="C349" s="77" t="s">
        <v>48</v>
      </c>
      <c r="D349" s="78">
        <v>1</v>
      </c>
      <c r="E349" s="79"/>
      <c r="F349" s="79" t="e">
        <f t="shared" si="19"/>
        <v>#REF!</v>
      </c>
      <c r="G349" s="2"/>
      <c r="H349" s="37">
        <v>142723</v>
      </c>
      <c r="I349" s="4">
        <f t="shared" si="20"/>
        <v>0</v>
      </c>
      <c r="J349" s="25">
        <f t="shared" si="18"/>
        <v>11</v>
      </c>
    </row>
    <row r="350" spans="1:10" ht="16.95" customHeight="1">
      <c r="A350" s="75">
        <v>24</v>
      </c>
      <c r="B350" s="80" t="s">
        <v>114</v>
      </c>
      <c r="C350" s="77" t="s">
        <v>48</v>
      </c>
      <c r="D350" s="78">
        <v>1</v>
      </c>
      <c r="E350" s="79"/>
      <c r="F350" s="79" t="e">
        <f t="shared" si="19"/>
        <v>#REF!</v>
      </c>
      <c r="G350" s="2"/>
      <c r="H350" s="37">
        <v>37290</v>
      </c>
      <c r="I350" s="4">
        <f t="shared" si="20"/>
        <v>0</v>
      </c>
      <c r="J350" s="25">
        <f t="shared" si="18"/>
        <v>11</v>
      </c>
    </row>
    <row r="351" spans="1:10" ht="16.95" customHeight="1">
      <c r="A351" s="75">
        <v>25</v>
      </c>
      <c r="B351" s="80" t="s">
        <v>115</v>
      </c>
      <c r="C351" s="77" t="s">
        <v>48</v>
      </c>
      <c r="D351" s="78">
        <v>1</v>
      </c>
      <c r="E351" s="79"/>
      <c r="F351" s="79" t="e">
        <f t="shared" si="19"/>
        <v>#REF!</v>
      </c>
      <c r="G351" s="2"/>
      <c r="H351" s="37">
        <v>99394</v>
      </c>
      <c r="I351" s="4">
        <f t="shared" si="20"/>
        <v>0</v>
      </c>
      <c r="J351" s="25">
        <f t="shared" si="18"/>
        <v>11</v>
      </c>
    </row>
    <row r="352" spans="1:10" ht="34.950000000000003" customHeight="1">
      <c r="A352" s="75">
        <v>26</v>
      </c>
      <c r="B352" s="80" t="s">
        <v>116</v>
      </c>
      <c r="C352" s="77" t="s">
        <v>48</v>
      </c>
      <c r="D352" s="78">
        <v>1</v>
      </c>
      <c r="E352" s="79"/>
      <c r="F352" s="79" t="e">
        <f t="shared" si="19"/>
        <v>#REF!</v>
      </c>
      <c r="G352" s="2"/>
      <c r="H352" s="37">
        <v>21334</v>
      </c>
      <c r="I352" s="4">
        <f t="shared" si="20"/>
        <v>0</v>
      </c>
      <c r="J352" s="25">
        <f t="shared" si="18"/>
        <v>11</v>
      </c>
    </row>
    <row r="353" spans="1:10" ht="16.95" customHeight="1">
      <c r="A353" s="75">
        <v>27</v>
      </c>
      <c r="B353" s="80" t="s">
        <v>117</v>
      </c>
      <c r="C353" s="77" t="s">
        <v>48</v>
      </c>
      <c r="D353" s="78">
        <v>1</v>
      </c>
      <c r="E353" s="79"/>
      <c r="F353" s="79" t="e">
        <f t="shared" si="19"/>
        <v>#REF!</v>
      </c>
      <c r="G353" s="2"/>
      <c r="H353" s="37">
        <v>29620</v>
      </c>
      <c r="I353" s="4">
        <f t="shared" si="20"/>
        <v>0</v>
      </c>
      <c r="J353" s="25">
        <f t="shared" si="18"/>
        <v>11</v>
      </c>
    </row>
    <row r="354" spans="1:10" ht="16.95" customHeight="1">
      <c r="A354" s="75">
        <v>28</v>
      </c>
      <c r="B354" s="80" t="s">
        <v>118</v>
      </c>
      <c r="C354" s="77" t="s">
        <v>48</v>
      </c>
      <c r="D354" s="78">
        <v>1</v>
      </c>
      <c r="E354" s="79"/>
      <c r="F354" s="79" t="e">
        <f t="shared" si="19"/>
        <v>#REF!</v>
      </c>
      <c r="G354" s="2"/>
      <c r="H354" s="37">
        <v>18506</v>
      </c>
      <c r="I354" s="4">
        <f t="shared" si="20"/>
        <v>0</v>
      </c>
      <c r="J354" s="25">
        <f t="shared" si="18"/>
        <v>11</v>
      </c>
    </row>
    <row r="355" spans="1:10" ht="16.95" customHeight="1">
      <c r="A355" s="75">
        <v>29</v>
      </c>
      <c r="B355" s="80" t="s">
        <v>119</v>
      </c>
      <c r="C355" s="77" t="s">
        <v>48</v>
      </c>
      <c r="D355" s="78">
        <v>1</v>
      </c>
      <c r="E355" s="79"/>
      <c r="F355" s="79" t="e">
        <f t="shared" si="19"/>
        <v>#REF!</v>
      </c>
      <c r="G355" s="2"/>
      <c r="H355" s="37">
        <v>34381</v>
      </c>
      <c r="I355" s="4">
        <f t="shared" si="20"/>
        <v>0</v>
      </c>
      <c r="J355" s="25">
        <f t="shared" si="18"/>
        <v>11</v>
      </c>
    </row>
    <row r="356" spans="1:10" ht="16.95" customHeight="1">
      <c r="A356" s="75" t="s">
        <v>79</v>
      </c>
      <c r="B356" s="80" t="s">
        <v>80</v>
      </c>
      <c r="C356" s="77" t="s">
        <v>48</v>
      </c>
      <c r="D356" s="78">
        <v>1</v>
      </c>
      <c r="E356" s="79">
        <f t="shared" ref="E356:E359" si="21">1/120</f>
        <v>8.3333333333333332E-3</v>
      </c>
      <c r="F356" s="79" t="e">
        <f t="shared" si="19"/>
        <v>#REF!</v>
      </c>
      <c r="G356" s="2"/>
      <c r="H356" s="37">
        <v>21395</v>
      </c>
      <c r="I356" s="4">
        <f t="shared" si="20"/>
        <v>178.29166666666666</v>
      </c>
      <c r="J356" s="25">
        <f t="shared" si="18"/>
        <v>11</v>
      </c>
    </row>
    <row r="357" spans="1:10" ht="16.95" customHeight="1">
      <c r="A357" s="75" t="s">
        <v>81</v>
      </c>
      <c r="B357" s="80" t="s">
        <v>82</v>
      </c>
      <c r="C357" s="77" t="s">
        <v>48</v>
      </c>
      <c r="D357" s="78">
        <v>1</v>
      </c>
      <c r="E357" s="79">
        <f t="shared" si="21"/>
        <v>8.3333333333333332E-3</v>
      </c>
      <c r="F357" s="79" t="e">
        <f t="shared" si="19"/>
        <v>#REF!</v>
      </c>
      <c r="G357" s="2"/>
      <c r="H357" s="37">
        <v>21395</v>
      </c>
      <c r="I357" s="4">
        <f t="shared" si="20"/>
        <v>178.29166666666666</v>
      </c>
      <c r="J357" s="25">
        <f t="shared" si="18"/>
        <v>11</v>
      </c>
    </row>
    <row r="358" spans="1:10" ht="16.95" customHeight="1">
      <c r="A358" s="75" t="s">
        <v>83</v>
      </c>
      <c r="B358" s="80" t="s">
        <v>84</v>
      </c>
      <c r="C358" s="77" t="s">
        <v>48</v>
      </c>
      <c r="D358" s="78">
        <v>1</v>
      </c>
      <c r="E358" s="79">
        <f t="shared" si="21"/>
        <v>8.3333333333333332E-3</v>
      </c>
      <c r="F358" s="79" t="e">
        <f t="shared" si="19"/>
        <v>#REF!</v>
      </c>
      <c r="G358" s="2"/>
      <c r="H358" s="37">
        <v>149765</v>
      </c>
      <c r="I358" s="4">
        <f t="shared" si="20"/>
        <v>1248.0416666666667</v>
      </c>
      <c r="J358" s="25">
        <f t="shared" si="18"/>
        <v>11</v>
      </c>
    </row>
    <row r="359" spans="1:10" ht="16.95" customHeight="1">
      <c r="A359" s="75" t="s">
        <v>85</v>
      </c>
      <c r="B359" s="80" t="s">
        <v>86</v>
      </c>
      <c r="C359" s="77" t="s">
        <v>48</v>
      </c>
      <c r="D359" s="78">
        <v>1</v>
      </c>
      <c r="E359" s="79">
        <f t="shared" si="21"/>
        <v>8.3333333333333332E-3</v>
      </c>
      <c r="F359" s="79" t="e">
        <f t="shared" si="19"/>
        <v>#REF!</v>
      </c>
      <c r="G359" s="2"/>
      <c r="H359" s="37">
        <v>6996</v>
      </c>
      <c r="I359" s="4">
        <f t="shared" si="20"/>
        <v>58.3</v>
      </c>
      <c r="J359" s="25">
        <f t="shared" si="18"/>
        <v>11</v>
      </c>
    </row>
    <row r="360" spans="1:10" ht="16.95" customHeight="1">
      <c r="A360" s="75" t="s">
        <v>87</v>
      </c>
      <c r="B360" s="80" t="s">
        <v>88</v>
      </c>
      <c r="C360" s="77" t="s">
        <v>48</v>
      </c>
      <c r="D360" s="78">
        <v>1</v>
      </c>
      <c r="E360" s="79">
        <f>1/120</f>
        <v>8.3333333333333332E-3</v>
      </c>
      <c r="F360" s="79" t="e">
        <f t="shared" si="19"/>
        <v>#REF!</v>
      </c>
      <c r="G360" s="2"/>
      <c r="H360" s="37">
        <v>116952</v>
      </c>
      <c r="I360" s="4">
        <f t="shared" si="20"/>
        <v>974.6</v>
      </c>
      <c r="J360" s="25">
        <f t="shared" si="18"/>
        <v>11</v>
      </c>
    </row>
    <row r="361" spans="1:10" ht="16.95" customHeight="1">
      <c r="A361" s="95" t="s">
        <v>23</v>
      </c>
      <c r="B361" s="95"/>
      <c r="C361" s="50"/>
      <c r="D361" s="50"/>
      <c r="E361" s="50"/>
      <c r="F361" s="50"/>
      <c r="G361" s="50"/>
      <c r="H361" s="3" t="s">
        <v>24</v>
      </c>
      <c r="I361" s="5">
        <f>SUM(I326:I360)</f>
        <v>2637.5250000000001</v>
      </c>
      <c r="J361" s="25">
        <f t="shared" si="18"/>
        <v>11</v>
      </c>
    </row>
    <row r="362" spans="1:10" ht="16.95" customHeight="1">
      <c r="A362" s="96" t="s">
        <v>25</v>
      </c>
      <c r="B362" s="96"/>
      <c r="C362" s="50"/>
      <c r="D362" s="50"/>
      <c r="E362" s="50"/>
      <c r="F362" s="50"/>
      <c r="G362" s="50"/>
      <c r="J362" s="25">
        <f t="shared" si="18"/>
        <v>11</v>
      </c>
    </row>
    <row r="363" spans="1:10" ht="16.95" customHeight="1">
      <c r="A363" s="96" t="s">
        <v>26</v>
      </c>
      <c r="B363" s="96"/>
      <c r="C363" s="50"/>
      <c r="D363" s="50"/>
      <c r="E363" s="50"/>
      <c r="F363" s="50"/>
      <c r="G363" s="50"/>
      <c r="J363" s="25">
        <f t="shared" si="18"/>
        <v>11</v>
      </c>
    </row>
    <row r="364" spans="1:10" ht="16.95" customHeight="1">
      <c r="A364" s="95" t="s">
        <v>27</v>
      </c>
      <c r="B364" s="95"/>
      <c r="C364" s="95"/>
      <c r="D364" s="95"/>
      <c r="E364" s="95"/>
      <c r="F364" s="95"/>
      <c r="G364" s="95"/>
      <c r="J364" s="25">
        <f t="shared" si="18"/>
        <v>11</v>
      </c>
    </row>
    <row r="365" spans="1:10" ht="16.95" customHeight="1">
      <c r="A365" s="94" t="s">
        <v>28</v>
      </c>
      <c r="B365" s="94"/>
      <c r="C365" s="51" t="s">
        <v>29</v>
      </c>
      <c r="D365" s="51" t="s">
        <v>30</v>
      </c>
      <c r="E365" s="51" t="s">
        <v>18</v>
      </c>
      <c r="F365" s="51" t="s">
        <v>31</v>
      </c>
      <c r="G365" s="51" t="s">
        <v>20</v>
      </c>
      <c r="J365" s="25">
        <f t="shared" si="18"/>
        <v>11</v>
      </c>
    </row>
    <row r="366" spans="1:10" ht="16.95" customHeight="1">
      <c r="A366" s="96"/>
      <c r="B366" s="96"/>
      <c r="C366" s="50"/>
      <c r="D366" s="50"/>
      <c r="E366" s="50"/>
      <c r="F366" s="50"/>
      <c r="G366" s="51"/>
      <c r="J366" s="25">
        <f t="shared" si="18"/>
        <v>11</v>
      </c>
    </row>
    <row r="367" spans="1:10" ht="16.95" customHeight="1">
      <c r="A367" s="97"/>
      <c r="B367" s="97"/>
      <c r="C367" s="50"/>
      <c r="D367" s="50"/>
      <c r="E367" s="50"/>
      <c r="F367" s="51"/>
      <c r="G367" s="51"/>
      <c r="J367" s="25">
        <f t="shared" si="18"/>
        <v>11</v>
      </c>
    </row>
    <row r="368" spans="1:10" ht="16.95" customHeight="1">
      <c r="A368" s="95" t="s">
        <v>32</v>
      </c>
      <c r="B368" s="95"/>
      <c r="C368" s="95"/>
      <c r="D368" s="95"/>
      <c r="E368" s="95"/>
      <c r="F368" s="95"/>
      <c r="G368" s="95"/>
      <c r="J368" s="25">
        <f t="shared" ref="J368:J378" si="22">J305+2</f>
        <v>12</v>
      </c>
    </row>
    <row r="369" spans="1:10" ht="16.95" customHeight="1">
      <c r="A369" s="51" t="s">
        <v>33</v>
      </c>
      <c r="B369" s="51" t="s">
        <v>34</v>
      </c>
      <c r="C369" s="94" t="s">
        <v>35</v>
      </c>
      <c r="D369" s="94"/>
      <c r="E369" s="51" t="s">
        <v>36</v>
      </c>
      <c r="F369" s="51" t="s">
        <v>37</v>
      </c>
      <c r="G369" s="51" t="s">
        <v>38</v>
      </c>
      <c r="J369" s="25">
        <f t="shared" si="22"/>
        <v>12</v>
      </c>
    </row>
    <row r="370" spans="1:10" ht="16.95" customHeight="1">
      <c r="A370" s="51" t="s">
        <v>39</v>
      </c>
      <c r="B370" s="6"/>
      <c r="C370" s="94" t="e">
        <f>B370+C307</f>
        <v>#REF!</v>
      </c>
      <c r="D370" s="94"/>
      <c r="E370" s="51"/>
      <c r="F370" s="24"/>
      <c r="G370" s="24"/>
      <c r="J370" s="25">
        <f t="shared" si="22"/>
        <v>12</v>
      </c>
    </row>
    <row r="371" spans="1:10" ht="16.95" customHeight="1">
      <c r="A371" s="51" t="s">
        <v>40</v>
      </c>
      <c r="B371" s="6"/>
      <c r="C371" s="94" t="e">
        <f>B371+C308</f>
        <v>#REF!</v>
      </c>
      <c r="D371" s="94"/>
      <c r="E371" s="51"/>
      <c r="F371" s="24"/>
      <c r="G371" s="24"/>
      <c r="J371" s="25">
        <f t="shared" si="22"/>
        <v>12</v>
      </c>
    </row>
    <row r="372" spans="1:10" ht="36.6" customHeight="1">
      <c r="A372" s="95" t="s">
        <v>41</v>
      </c>
      <c r="B372" s="95"/>
      <c r="C372" s="95"/>
      <c r="D372" s="95"/>
      <c r="E372" s="95"/>
      <c r="F372" s="95"/>
      <c r="G372" s="95"/>
      <c r="J372" s="25">
        <f t="shared" si="22"/>
        <v>12</v>
      </c>
    </row>
    <row r="373" spans="1:10" ht="90" customHeight="1">
      <c r="A373" s="92" t="s">
        <v>42</v>
      </c>
      <c r="B373" s="92"/>
      <c r="C373" s="92"/>
      <c r="D373" s="92"/>
      <c r="E373" s="92"/>
      <c r="F373" s="92"/>
      <c r="G373" s="92"/>
      <c r="J373" s="25">
        <f t="shared" si="22"/>
        <v>12</v>
      </c>
    </row>
    <row r="374" spans="1:10" ht="16.95" customHeight="1">
      <c r="A374" s="95" t="s">
        <v>43</v>
      </c>
      <c r="B374" s="95"/>
      <c r="C374" s="95"/>
      <c r="D374" s="95"/>
      <c r="E374" s="95"/>
      <c r="F374" s="95"/>
      <c r="G374" s="95"/>
      <c r="J374" s="25">
        <f t="shared" si="22"/>
        <v>12</v>
      </c>
    </row>
    <row r="375" spans="1:10" ht="16.95" customHeight="1">
      <c r="A375" s="95" t="s">
        <v>44</v>
      </c>
      <c r="B375" s="95"/>
      <c r="C375" s="95"/>
      <c r="D375" s="95"/>
      <c r="E375" s="95"/>
      <c r="F375" s="95"/>
      <c r="G375" s="95"/>
      <c r="J375" s="25">
        <f t="shared" si="22"/>
        <v>12</v>
      </c>
    </row>
    <row r="376" spans="1:10" ht="16.95" customHeight="1">
      <c r="A376" s="91" t="s">
        <v>64</v>
      </c>
      <c r="B376" s="91"/>
      <c r="C376" s="91"/>
      <c r="D376" s="91"/>
      <c r="E376" s="91"/>
      <c r="F376" s="91"/>
      <c r="G376" s="91"/>
      <c r="J376" s="25">
        <f t="shared" si="22"/>
        <v>12</v>
      </c>
    </row>
    <row r="377" spans="1:10" ht="120.6" customHeight="1">
      <c r="A377" s="92" t="s">
        <v>45</v>
      </c>
      <c r="B377" s="92"/>
      <c r="C377" s="92"/>
      <c r="D377" s="92"/>
      <c r="E377" s="92"/>
      <c r="F377" s="92"/>
      <c r="G377" s="92"/>
      <c r="J377" s="25">
        <f t="shared" si="22"/>
        <v>12</v>
      </c>
    </row>
    <row r="378" spans="1:10" ht="140.4" customHeight="1">
      <c r="A378" s="93" t="s">
        <v>46</v>
      </c>
      <c r="B378" s="93"/>
      <c r="C378" s="93"/>
      <c r="D378" s="93"/>
      <c r="E378" s="93"/>
      <c r="F378" s="93"/>
      <c r="G378" s="93"/>
      <c r="J378" s="25">
        <f t="shared" si="22"/>
        <v>12</v>
      </c>
    </row>
    <row r="379" spans="1:10" ht="37.200000000000003" customHeight="1">
      <c r="A379" s="103" t="s">
        <v>0</v>
      </c>
      <c r="B379" s="103"/>
      <c r="C379" s="103"/>
      <c r="D379" s="103"/>
      <c r="E379" s="103"/>
      <c r="F379" s="103"/>
      <c r="G379" s="103"/>
      <c r="J379" s="25">
        <f t="shared" ref="J379:J442" si="23">J316+2</f>
        <v>13</v>
      </c>
    </row>
    <row r="380" spans="1:10" ht="16.95" customHeight="1">
      <c r="A380" s="1" t="s">
        <v>1</v>
      </c>
      <c r="B380" s="104">
        <f>B317+1</f>
        <v>8</v>
      </c>
      <c r="C380" s="104"/>
      <c r="D380" s="104"/>
      <c r="E380" s="104"/>
      <c r="F380" s="104"/>
      <c r="G380" s="104"/>
      <c r="J380" s="25">
        <f t="shared" si="23"/>
        <v>13</v>
      </c>
    </row>
    <row r="381" spans="1:10" ht="16.95" customHeight="1">
      <c r="A381" s="1" t="s">
        <v>2</v>
      </c>
      <c r="B381" s="105" t="s">
        <v>63</v>
      </c>
      <c r="C381" s="105"/>
      <c r="D381" s="105"/>
      <c r="E381" s="106">
        <f>E318+1</f>
        <v>46210</v>
      </c>
      <c r="F381" s="106"/>
      <c r="G381" s="106"/>
      <c r="J381" s="25">
        <f t="shared" si="23"/>
        <v>13</v>
      </c>
    </row>
    <row r="382" spans="1:10" ht="16.95" customHeight="1">
      <c r="A382" s="53" t="s">
        <v>3</v>
      </c>
      <c r="B382" s="2" t="s">
        <v>67</v>
      </c>
      <c r="C382" s="98" t="s">
        <v>4</v>
      </c>
      <c r="D382" s="98"/>
      <c r="E382" s="98" t="s">
        <v>47</v>
      </c>
      <c r="F382" s="98"/>
      <c r="G382" s="98"/>
      <c r="J382" s="25">
        <f t="shared" si="23"/>
        <v>13</v>
      </c>
    </row>
    <row r="383" spans="1:10" ht="16.95" customHeight="1">
      <c r="A383" s="53" t="s">
        <v>5</v>
      </c>
      <c r="B383" s="54">
        <v>120</v>
      </c>
      <c r="C383" s="98" t="s">
        <v>6</v>
      </c>
      <c r="D383" s="98"/>
      <c r="E383" s="98" t="s">
        <v>123</v>
      </c>
      <c r="F383" s="98"/>
      <c r="G383" s="98"/>
      <c r="J383" s="25">
        <f t="shared" si="23"/>
        <v>13</v>
      </c>
    </row>
    <row r="384" spans="1:10" ht="16.95" customHeight="1">
      <c r="A384" s="53" t="s">
        <v>7</v>
      </c>
      <c r="B384" s="54">
        <f>B380</f>
        <v>8</v>
      </c>
      <c r="C384" s="100" t="s">
        <v>8</v>
      </c>
      <c r="D384" s="100"/>
      <c r="E384" s="101">
        <f>B383-B384</f>
        <v>112</v>
      </c>
      <c r="F384" s="101"/>
      <c r="G384" s="101"/>
      <c r="J384" s="25">
        <f t="shared" si="23"/>
        <v>13</v>
      </c>
    </row>
    <row r="385" spans="1:10" ht="16.95" customHeight="1">
      <c r="A385" s="53" t="s">
        <v>9</v>
      </c>
      <c r="B385" s="55">
        <v>46204</v>
      </c>
      <c r="C385" s="98" t="s">
        <v>10</v>
      </c>
      <c r="D385" s="98"/>
      <c r="E385" s="102">
        <f>B385+B383-1</f>
        <v>46323</v>
      </c>
      <c r="F385" s="102"/>
      <c r="G385" s="102"/>
      <c r="J385" s="25">
        <f t="shared" si="23"/>
        <v>13</v>
      </c>
    </row>
    <row r="386" spans="1:10" ht="16.95" customHeight="1">
      <c r="A386" s="53" t="s">
        <v>11</v>
      </c>
      <c r="B386" s="56" t="e">
        <f>HLOOKUP(B380,進度表!$Q$2:$Z$3,2,1)+B323</f>
        <v>#REF!</v>
      </c>
      <c r="C386" s="98" t="s">
        <v>12</v>
      </c>
      <c r="D386" s="98"/>
      <c r="E386" s="99" t="e">
        <f>I424/I386+E323</f>
        <v>#REF!</v>
      </c>
      <c r="F386" s="99"/>
      <c r="G386" s="99"/>
      <c r="H386" s="3" t="s">
        <v>62</v>
      </c>
      <c r="I386" s="1">
        <v>2456000</v>
      </c>
      <c r="J386" s="25">
        <f t="shared" si="23"/>
        <v>13</v>
      </c>
    </row>
    <row r="387" spans="1:10" ht="16.95" customHeight="1">
      <c r="A387" s="98" t="s">
        <v>13</v>
      </c>
      <c r="B387" s="98"/>
      <c r="C387" s="98"/>
      <c r="D387" s="98"/>
      <c r="E387" s="98"/>
      <c r="F387" s="98"/>
      <c r="G387" s="98"/>
      <c r="J387" s="25">
        <f t="shared" si="23"/>
        <v>13</v>
      </c>
    </row>
    <row r="388" spans="1:10" ht="16.95" customHeight="1">
      <c r="A388" s="52" t="s">
        <v>14</v>
      </c>
      <c r="B388" s="52" t="s">
        <v>15</v>
      </c>
      <c r="C388" s="52" t="s">
        <v>16</v>
      </c>
      <c r="D388" s="52" t="s">
        <v>17</v>
      </c>
      <c r="E388" s="52" t="s">
        <v>18</v>
      </c>
      <c r="F388" s="52" t="s">
        <v>19</v>
      </c>
      <c r="G388" s="52" t="s">
        <v>20</v>
      </c>
      <c r="H388" s="3" t="s">
        <v>21</v>
      </c>
      <c r="I388" s="3" t="s">
        <v>22</v>
      </c>
      <c r="J388" s="25">
        <f t="shared" si="23"/>
        <v>13</v>
      </c>
    </row>
    <row r="389" spans="1:10" ht="16.95" customHeight="1">
      <c r="A389" s="75" t="s">
        <v>65</v>
      </c>
      <c r="B389" s="76" t="s">
        <v>69</v>
      </c>
      <c r="C389" s="77"/>
      <c r="D389" s="78"/>
      <c r="E389" s="79"/>
      <c r="F389" s="79"/>
      <c r="G389" s="2"/>
      <c r="H389" s="37"/>
      <c r="I389" s="4"/>
      <c r="J389" s="25">
        <f t="shared" si="23"/>
        <v>13</v>
      </c>
    </row>
    <row r="390" spans="1:10" ht="34.950000000000003" customHeight="1">
      <c r="A390" s="75">
        <v>1</v>
      </c>
      <c r="B390" s="80" t="s">
        <v>91</v>
      </c>
      <c r="C390" s="77" t="s">
        <v>48</v>
      </c>
      <c r="D390" s="78">
        <v>1</v>
      </c>
      <c r="E390" s="79"/>
      <c r="F390" s="79" t="e">
        <f t="shared" ref="F390:F423" si="24">E390+F327</f>
        <v>#REF!</v>
      </c>
      <c r="G390" s="2"/>
      <c r="H390" s="37">
        <v>10508</v>
      </c>
      <c r="I390" s="4">
        <f>H390*E390</f>
        <v>0</v>
      </c>
      <c r="J390" s="25">
        <f t="shared" si="23"/>
        <v>13</v>
      </c>
    </row>
    <row r="391" spans="1:10" ht="34.799999999999997" customHeight="1">
      <c r="A391" s="75">
        <v>2</v>
      </c>
      <c r="B391" s="80" t="s">
        <v>92</v>
      </c>
      <c r="C391" s="77" t="s">
        <v>48</v>
      </c>
      <c r="D391" s="78">
        <v>1</v>
      </c>
      <c r="E391" s="79"/>
      <c r="F391" s="79" t="e">
        <f t="shared" si="24"/>
        <v>#REF!</v>
      </c>
      <c r="G391" s="2"/>
      <c r="H391" s="37">
        <v>13223</v>
      </c>
      <c r="I391" s="4">
        <f>H391*E391</f>
        <v>0</v>
      </c>
      <c r="J391" s="25">
        <f t="shared" si="23"/>
        <v>13</v>
      </c>
    </row>
    <row r="392" spans="1:10" ht="53.4" customHeight="1">
      <c r="A392" s="75">
        <v>3</v>
      </c>
      <c r="B392" s="80" t="s">
        <v>93</v>
      </c>
      <c r="C392" s="77" t="s">
        <v>48</v>
      </c>
      <c r="D392" s="78">
        <v>1</v>
      </c>
      <c r="E392" s="79"/>
      <c r="F392" s="79" t="e">
        <f t="shared" si="24"/>
        <v>#REF!</v>
      </c>
      <c r="G392" s="2"/>
      <c r="H392" s="37">
        <v>310497</v>
      </c>
      <c r="I392" s="4">
        <f t="shared" ref="I392:I423" si="25">H392*E392</f>
        <v>0</v>
      </c>
      <c r="J392" s="25">
        <f t="shared" si="23"/>
        <v>13</v>
      </c>
    </row>
    <row r="393" spans="1:10" ht="16.95" customHeight="1">
      <c r="A393" s="75">
        <v>4</v>
      </c>
      <c r="B393" s="80" t="s">
        <v>94</v>
      </c>
      <c r="C393" s="77" t="s">
        <v>48</v>
      </c>
      <c r="D393" s="78">
        <v>1</v>
      </c>
      <c r="E393" s="79"/>
      <c r="F393" s="79" t="e">
        <f t="shared" si="24"/>
        <v>#REF!</v>
      </c>
      <c r="G393" s="2"/>
      <c r="H393" s="37">
        <v>8375</v>
      </c>
      <c r="I393" s="4">
        <f t="shared" si="25"/>
        <v>0</v>
      </c>
      <c r="J393" s="25">
        <f t="shared" si="23"/>
        <v>13</v>
      </c>
    </row>
    <row r="394" spans="1:10" ht="16.95" customHeight="1">
      <c r="A394" s="75">
        <v>5</v>
      </c>
      <c r="B394" s="80" t="s">
        <v>95</v>
      </c>
      <c r="C394" s="77" t="s">
        <v>48</v>
      </c>
      <c r="D394" s="78">
        <v>1</v>
      </c>
      <c r="E394" s="79"/>
      <c r="F394" s="79" t="e">
        <f t="shared" si="24"/>
        <v>#REF!</v>
      </c>
      <c r="G394" s="2"/>
      <c r="H394" s="37">
        <v>51618</v>
      </c>
      <c r="I394" s="4">
        <f t="shared" si="25"/>
        <v>0</v>
      </c>
      <c r="J394" s="25">
        <f t="shared" si="23"/>
        <v>13</v>
      </c>
    </row>
    <row r="395" spans="1:10" ht="16.95" customHeight="1">
      <c r="A395" s="75">
        <v>6</v>
      </c>
      <c r="B395" s="80" t="s">
        <v>96</v>
      </c>
      <c r="C395" s="77" t="s">
        <v>50</v>
      </c>
      <c r="D395" s="78">
        <v>11.55</v>
      </c>
      <c r="E395" s="79"/>
      <c r="F395" s="79" t="e">
        <f t="shared" si="24"/>
        <v>#REF!</v>
      </c>
      <c r="G395" s="2"/>
      <c r="H395" s="37">
        <v>1188</v>
      </c>
      <c r="I395" s="4">
        <f t="shared" si="25"/>
        <v>0</v>
      </c>
      <c r="J395" s="25">
        <f t="shared" si="23"/>
        <v>13</v>
      </c>
    </row>
    <row r="396" spans="1:10" ht="34.950000000000003" customHeight="1">
      <c r="A396" s="75">
        <v>7</v>
      </c>
      <c r="B396" s="80" t="s">
        <v>97</v>
      </c>
      <c r="C396" s="77" t="s">
        <v>48</v>
      </c>
      <c r="D396" s="78">
        <v>1</v>
      </c>
      <c r="E396" s="79"/>
      <c r="F396" s="79" t="e">
        <f t="shared" si="24"/>
        <v>#REF!</v>
      </c>
      <c r="G396" s="2"/>
      <c r="H396" s="37">
        <v>21157</v>
      </c>
      <c r="I396" s="4">
        <f t="shared" si="25"/>
        <v>0</v>
      </c>
      <c r="J396" s="25">
        <f t="shared" si="23"/>
        <v>13</v>
      </c>
    </row>
    <row r="397" spans="1:10" ht="16.95" customHeight="1">
      <c r="A397" s="75">
        <v>8</v>
      </c>
      <c r="B397" s="80" t="s">
        <v>98</v>
      </c>
      <c r="C397" s="77" t="s">
        <v>50</v>
      </c>
      <c r="D397" s="78">
        <v>387</v>
      </c>
      <c r="E397" s="79"/>
      <c r="F397" s="79" t="e">
        <f t="shared" si="24"/>
        <v>#REF!</v>
      </c>
      <c r="G397" s="2"/>
      <c r="H397" s="37">
        <v>705</v>
      </c>
      <c r="I397" s="4">
        <f t="shared" si="25"/>
        <v>0</v>
      </c>
      <c r="J397" s="25">
        <f t="shared" si="23"/>
        <v>13</v>
      </c>
    </row>
    <row r="398" spans="1:10" ht="16.95" customHeight="1">
      <c r="A398" s="75">
        <v>9</v>
      </c>
      <c r="B398" s="80" t="s">
        <v>99</v>
      </c>
      <c r="C398" s="77" t="s">
        <v>50</v>
      </c>
      <c r="D398" s="78">
        <v>170</v>
      </c>
      <c r="E398" s="79"/>
      <c r="F398" s="79" t="e">
        <f t="shared" si="24"/>
        <v>#REF!</v>
      </c>
      <c r="G398" s="2"/>
      <c r="H398" s="37">
        <v>617</v>
      </c>
      <c r="I398" s="4">
        <f t="shared" si="25"/>
        <v>0</v>
      </c>
      <c r="J398" s="25">
        <f t="shared" si="23"/>
        <v>13</v>
      </c>
    </row>
    <row r="399" spans="1:10" ht="16.95" customHeight="1">
      <c r="A399" s="75">
        <v>10</v>
      </c>
      <c r="B399" s="80" t="s">
        <v>100</v>
      </c>
      <c r="C399" s="77" t="s">
        <v>66</v>
      </c>
      <c r="D399" s="78">
        <v>15</v>
      </c>
      <c r="E399" s="79"/>
      <c r="F399" s="79" t="e">
        <f t="shared" si="24"/>
        <v>#REF!</v>
      </c>
      <c r="G399" s="2"/>
      <c r="H399" s="37">
        <v>617</v>
      </c>
      <c r="I399" s="4">
        <f t="shared" si="25"/>
        <v>0</v>
      </c>
      <c r="J399" s="25">
        <f t="shared" si="23"/>
        <v>13</v>
      </c>
    </row>
    <row r="400" spans="1:10" ht="16.95" customHeight="1">
      <c r="A400" s="75">
        <v>11</v>
      </c>
      <c r="B400" s="80" t="s">
        <v>101</v>
      </c>
      <c r="C400" s="77" t="s">
        <v>50</v>
      </c>
      <c r="D400" s="78">
        <v>75</v>
      </c>
      <c r="E400" s="79"/>
      <c r="F400" s="79" t="e">
        <f t="shared" si="24"/>
        <v>#REF!</v>
      </c>
      <c r="G400" s="2"/>
      <c r="H400" s="37">
        <v>1146</v>
      </c>
      <c r="I400" s="4">
        <f t="shared" si="25"/>
        <v>0</v>
      </c>
      <c r="J400" s="25">
        <f t="shared" si="23"/>
        <v>13</v>
      </c>
    </row>
    <row r="401" spans="1:10" ht="16.95" customHeight="1">
      <c r="A401" s="75">
        <v>12</v>
      </c>
      <c r="B401" s="80" t="s">
        <v>102</v>
      </c>
      <c r="C401" s="77" t="s">
        <v>50</v>
      </c>
      <c r="D401" s="78">
        <v>5</v>
      </c>
      <c r="E401" s="79"/>
      <c r="F401" s="79" t="e">
        <f t="shared" si="24"/>
        <v>#REF!</v>
      </c>
      <c r="G401" s="2"/>
      <c r="H401" s="37">
        <v>1455</v>
      </c>
      <c r="I401" s="4">
        <f t="shared" si="25"/>
        <v>0</v>
      </c>
      <c r="J401" s="25">
        <f t="shared" si="23"/>
        <v>13</v>
      </c>
    </row>
    <row r="402" spans="1:10" ht="16.95" customHeight="1">
      <c r="A402" s="75">
        <v>13</v>
      </c>
      <c r="B402" s="80" t="s">
        <v>103</v>
      </c>
      <c r="C402" s="77" t="s">
        <v>50</v>
      </c>
      <c r="D402" s="78">
        <v>217</v>
      </c>
      <c r="E402" s="79"/>
      <c r="F402" s="79" t="e">
        <f t="shared" si="24"/>
        <v>#REF!</v>
      </c>
      <c r="G402" s="2"/>
      <c r="H402" s="37">
        <v>1410</v>
      </c>
      <c r="I402" s="4">
        <f t="shared" si="25"/>
        <v>0</v>
      </c>
      <c r="J402" s="25">
        <f t="shared" si="23"/>
        <v>13</v>
      </c>
    </row>
    <row r="403" spans="1:10" ht="16.95" customHeight="1">
      <c r="A403" s="75">
        <v>14</v>
      </c>
      <c r="B403" s="80" t="s">
        <v>104</v>
      </c>
      <c r="C403" s="77" t="s">
        <v>49</v>
      </c>
      <c r="D403" s="78">
        <v>84</v>
      </c>
      <c r="E403" s="79"/>
      <c r="F403" s="79" t="e">
        <f t="shared" si="24"/>
        <v>#REF!</v>
      </c>
      <c r="G403" s="2"/>
      <c r="H403" s="37">
        <v>529</v>
      </c>
      <c r="I403" s="4">
        <f t="shared" si="25"/>
        <v>0</v>
      </c>
      <c r="J403" s="25">
        <f t="shared" si="23"/>
        <v>13</v>
      </c>
    </row>
    <row r="404" spans="1:10" ht="16.95" customHeight="1">
      <c r="A404" s="75">
        <v>15</v>
      </c>
      <c r="B404" s="80" t="s">
        <v>105</v>
      </c>
      <c r="C404" s="77" t="s">
        <v>50</v>
      </c>
      <c r="D404" s="78">
        <v>1</v>
      </c>
      <c r="E404" s="79"/>
      <c r="F404" s="79" t="e">
        <f t="shared" si="24"/>
        <v>#REF!</v>
      </c>
      <c r="G404" s="2"/>
      <c r="H404" s="37">
        <v>1146</v>
      </c>
      <c r="I404" s="4">
        <f t="shared" si="25"/>
        <v>0</v>
      </c>
      <c r="J404" s="25">
        <f t="shared" si="23"/>
        <v>13</v>
      </c>
    </row>
    <row r="405" spans="1:10" ht="34.799999999999997" customHeight="1">
      <c r="A405" s="75">
        <v>16</v>
      </c>
      <c r="B405" s="80" t="s">
        <v>106</v>
      </c>
      <c r="C405" s="77" t="s">
        <v>50</v>
      </c>
      <c r="D405" s="78">
        <v>314</v>
      </c>
      <c r="E405" s="79"/>
      <c r="F405" s="79" t="e">
        <f t="shared" si="24"/>
        <v>#REF!</v>
      </c>
      <c r="G405" s="2"/>
      <c r="H405" s="37">
        <v>185</v>
      </c>
      <c r="I405" s="4">
        <f t="shared" si="25"/>
        <v>0</v>
      </c>
      <c r="J405" s="25">
        <f t="shared" si="23"/>
        <v>13</v>
      </c>
    </row>
    <row r="406" spans="1:10" ht="16.95" customHeight="1">
      <c r="A406" s="75">
        <v>17</v>
      </c>
      <c r="B406" s="80" t="s">
        <v>107</v>
      </c>
      <c r="C406" s="77" t="s">
        <v>48</v>
      </c>
      <c r="D406" s="78">
        <v>1</v>
      </c>
      <c r="E406" s="79"/>
      <c r="F406" s="79" t="e">
        <f t="shared" si="24"/>
        <v>#REF!</v>
      </c>
      <c r="G406" s="2"/>
      <c r="H406" s="37">
        <v>89918</v>
      </c>
      <c r="I406" s="4">
        <f t="shared" si="25"/>
        <v>0</v>
      </c>
      <c r="J406" s="25">
        <f t="shared" si="23"/>
        <v>13</v>
      </c>
    </row>
    <row r="407" spans="1:10" ht="16.95" customHeight="1">
      <c r="A407" s="75">
        <v>18</v>
      </c>
      <c r="B407" s="80" t="s">
        <v>108</v>
      </c>
      <c r="C407" s="77" t="s">
        <v>120</v>
      </c>
      <c r="D407" s="78">
        <v>15</v>
      </c>
      <c r="E407" s="79"/>
      <c r="F407" s="79" t="e">
        <f t="shared" si="24"/>
        <v>#REF!</v>
      </c>
      <c r="G407" s="2"/>
      <c r="H407" s="37">
        <v>661</v>
      </c>
      <c r="I407" s="4">
        <f t="shared" si="25"/>
        <v>0</v>
      </c>
      <c r="J407" s="25">
        <f t="shared" si="23"/>
        <v>13</v>
      </c>
    </row>
    <row r="408" spans="1:10" ht="16.95" customHeight="1">
      <c r="A408" s="75">
        <v>19</v>
      </c>
      <c r="B408" s="80" t="s">
        <v>109</v>
      </c>
      <c r="C408" s="77" t="s">
        <v>50</v>
      </c>
      <c r="D408" s="78">
        <v>82</v>
      </c>
      <c r="E408" s="79"/>
      <c r="F408" s="79" t="e">
        <f t="shared" si="24"/>
        <v>#REF!</v>
      </c>
      <c r="G408" s="2"/>
      <c r="H408" s="37">
        <v>2909</v>
      </c>
      <c r="I408" s="4">
        <f t="shared" si="25"/>
        <v>0</v>
      </c>
      <c r="J408" s="25">
        <f t="shared" si="23"/>
        <v>13</v>
      </c>
    </row>
    <row r="409" spans="1:10" ht="16.95" customHeight="1">
      <c r="A409" s="75">
        <v>20</v>
      </c>
      <c r="B409" s="80" t="s">
        <v>110</v>
      </c>
      <c r="C409" s="77" t="s">
        <v>121</v>
      </c>
      <c r="D409" s="78">
        <v>12</v>
      </c>
      <c r="E409" s="79"/>
      <c r="F409" s="79" t="e">
        <f t="shared" si="24"/>
        <v>#REF!</v>
      </c>
      <c r="G409" s="2"/>
      <c r="H409" s="37">
        <v>882</v>
      </c>
      <c r="I409" s="4">
        <f t="shared" si="25"/>
        <v>0</v>
      </c>
      <c r="J409" s="25">
        <f t="shared" si="23"/>
        <v>13</v>
      </c>
    </row>
    <row r="410" spans="1:10" ht="16.95" customHeight="1">
      <c r="A410" s="77">
        <v>21</v>
      </c>
      <c r="B410" s="80" t="s">
        <v>111</v>
      </c>
      <c r="C410" s="77" t="s">
        <v>122</v>
      </c>
      <c r="D410" s="78">
        <v>3</v>
      </c>
      <c r="E410" s="79"/>
      <c r="F410" s="79" t="e">
        <f t="shared" si="24"/>
        <v>#REF!</v>
      </c>
      <c r="G410" s="2"/>
      <c r="H410" s="38">
        <v>1869</v>
      </c>
      <c r="I410" s="4">
        <f t="shared" si="25"/>
        <v>0</v>
      </c>
      <c r="J410" s="25">
        <f t="shared" si="23"/>
        <v>13</v>
      </c>
    </row>
    <row r="411" spans="1:10" ht="34.950000000000003" customHeight="1">
      <c r="A411" s="75">
        <v>22</v>
      </c>
      <c r="B411" s="80" t="s">
        <v>112</v>
      </c>
      <c r="C411" s="77" t="s">
        <v>48</v>
      </c>
      <c r="D411" s="78">
        <v>1</v>
      </c>
      <c r="E411" s="79"/>
      <c r="F411" s="79" t="e">
        <f t="shared" si="24"/>
        <v>#REF!</v>
      </c>
      <c r="G411" s="2"/>
      <c r="H411" s="37">
        <v>82206</v>
      </c>
      <c r="I411" s="4">
        <f t="shared" si="25"/>
        <v>0</v>
      </c>
      <c r="J411" s="25">
        <f t="shared" si="23"/>
        <v>13</v>
      </c>
    </row>
    <row r="412" spans="1:10" ht="16.95" customHeight="1">
      <c r="A412" s="75">
        <v>23</v>
      </c>
      <c r="B412" s="80" t="s">
        <v>113</v>
      </c>
      <c r="C412" s="77" t="s">
        <v>48</v>
      </c>
      <c r="D412" s="78">
        <v>1</v>
      </c>
      <c r="E412" s="79"/>
      <c r="F412" s="79" t="e">
        <f t="shared" si="24"/>
        <v>#REF!</v>
      </c>
      <c r="G412" s="2"/>
      <c r="H412" s="37">
        <v>142723</v>
      </c>
      <c r="I412" s="4">
        <f t="shared" si="25"/>
        <v>0</v>
      </c>
      <c r="J412" s="25">
        <f t="shared" si="23"/>
        <v>13</v>
      </c>
    </row>
    <row r="413" spans="1:10" ht="16.95" customHeight="1">
      <c r="A413" s="75">
        <v>24</v>
      </c>
      <c r="B413" s="80" t="s">
        <v>114</v>
      </c>
      <c r="C413" s="77" t="s">
        <v>48</v>
      </c>
      <c r="D413" s="78">
        <v>1</v>
      </c>
      <c r="E413" s="79"/>
      <c r="F413" s="79" t="e">
        <f t="shared" si="24"/>
        <v>#REF!</v>
      </c>
      <c r="G413" s="2"/>
      <c r="H413" s="37">
        <v>37290</v>
      </c>
      <c r="I413" s="4">
        <f t="shared" si="25"/>
        <v>0</v>
      </c>
      <c r="J413" s="25">
        <f t="shared" si="23"/>
        <v>13</v>
      </c>
    </row>
    <row r="414" spans="1:10" ht="16.95" customHeight="1">
      <c r="A414" s="75">
        <v>25</v>
      </c>
      <c r="B414" s="80" t="s">
        <v>115</v>
      </c>
      <c r="C414" s="77" t="s">
        <v>48</v>
      </c>
      <c r="D414" s="78">
        <v>1</v>
      </c>
      <c r="E414" s="79"/>
      <c r="F414" s="79" t="e">
        <f t="shared" si="24"/>
        <v>#REF!</v>
      </c>
      <c r="G414" s="2"/>
      <c r="H414" s="37">
        <v>99394</v>
      </c>
      <c r="I414" s="4">
        <f t="shared" si="25"/>
        <v>0</v>
      </c>
      <c r="J414" s="25">
        <f t="shared" si="23"/>
        <v>13</v>
      </c>
    </row>
    <row r="415" spans="1:10" ht="34.950000000000003" customHeight="1">
      <c r="A415" s="75">
        <v>26</v>
      </c>
      <c r="B415" s="80" t="s">
        <v>116</v>
      </c>
      <c r="C415" s="77" t="s">
        <v>48</v>
      </c>
      <c r="D415" s="78">
        <v>1</v>
      </c>
      <c r="E415" s="79"/>
      <c r="F415" s="79" t="e">
        <f t="shared" si="24"/>
        <v>#REF!</v>
      </c>
      <c r="G415" s="2"/>
      <c r="H415" s="37">
        <v>21334</v>
      </c>
      <c r="I415" s="4">
        <f t="shared" si="25"/>
        <v>0</v>
      </c>
      <c r="J415" s="25">
        <f t="shared" si="23"/>
        <v>13</v>
      </c>
    </row>
    <row r="416" spans="1:10" ht="16.95" customHeight="1">
      <c r="A416" s="75">
        <v>27</v>
      </c>
      <c r="B416" s="80" t="s">
        <v>117</v>
      </c>
      <c r="C416" s="77" t="s">
        <v>48</v>
      </c>
      <c r="D416" s="78">
        <v>1</v>
      </c>
      <c r="E416" s="79"/>
      <c r="F416" s="79" t="e">
        <f t="shared" si="24"/>
        <v>#REF!</v>
      </c>
      <c r="G416" s="2"/>
      <c r="H416" s="37">
        <v>29620</v>
      </c>
      <c r="I416" s="4">
        <f t="shared" si="25"/>
        <v>0</v>
      </c>
      <c r="J416" s="25">
        <f t="shared" si="23"/>
        <v>13</v>
      </c>
    </row>
    <row r="417" spans="1:10" ht="16.95" customHeight="1">
      <c r="A417" s="75">
        <v>28</v>
      </c>
      <c r="B417" s="80" t="s">
        <v>118</v>
      </c>
      <c r="C417" s="77" t="s">
        <v>48</v>
      </c>
      <c r="D417" s="78">
        <v>1</v>
      </c>
      <c r="E417" s="79"/>
      <c r="F417" s="79" t="e">
        <f t="shared" si="24"/>
        <v>#REF!</v>
      </c>
      <c r="G417" s="2"/>
      <c r="H417" s="37">
        <v>18506</v>
      </c>
      <c r="I417" s="4">
        <f t="shared" si="25"/>
        <v>0</v>
      </c>
      <c r="J417" s="25">
        <f t="shared" si="23"/>
        <v>13</v>
      </c>
    </row>
    <row r="418" spans="1:10" ht="16.95" customHeight="1">
      <c r="A418" s="75">
        <v>29</v>
      </c>
      <c r="B418" s="80" t="s">
        <v>119</v>
      </c>
      <c r="C418" s="77" t="s">
        <v>48</v>
      </c>
      <c r="D418" s="78">
        <v>1</v>
      </c>
      <c r="E418" s="79"/>
      <c r="F418" s="79" t="e">
        <f t="shared" si="24"/>
        <v>#REF!</v>
      </c>
      <c r="G418" s="2"/>
      <c r="H418" s="37">
        <v>34381</v>
      </c>
      <c r="I418" s="4">
        <f t="shared" si="25"/>
        <v>0</v>
      </c>
      <c r="J418" s="25">
        <f t="shared" si="23"/>
        <v>13</v>
      </c>
    </row>
    <row r="419" spans="1:10" ht="16.95" customHeight="1">
      <c r="A419" s="75" t="s">
        <v>79</v>
      </c>
      <c r="B419" s="80" t="s">
        <v>80</v>
      </c>
      <c r="C419" s="77" t="s">
        <v>48</v>
      </c>
      <c r="D419" s="78">
        <v>1</v>
      </c>
      <c r="E419" s="79">
        <f t="shared" ref="E419:E422" si="26">1/120</f>
        <v>8.3333333333333332E-3</v>
      </c>
      <c r="F419" s="79" t="e">
        <f t="shared" si="24"/>
        <v>#REF!</v>
      </c>
      <c r="G419" s="2"/>
      <c r="H419" s="37">
        <v>21395</v>
      </c>
      <c r="I419" s="4">
        <f t="shared" si="25"/>
        <v>178.29166666666666</v>
      </c>
      <c r="J419" s="25">
        <f t="shared" si="23"/>
        <v>13</v>
      </c>
    </row>
    <row r="420" spans="1:10" ht="16.95" customHeight="1">
      <c r="A420" s="75" t="s">
        <v>81</v>
      </c>
      <c r="B420" s="80" t="s">
        <v>82</v>
      </c>
      <c r="C420" s="77" t="s">
        <v>48</v>
      </c>
      <c r="D420" s="78">
        <v>1</v>
      </c>
      <c r="E420" s="79">
        <f t="shared" si="26"/>
        <v>8.3333333333333332E-3</v>
      </c>
      <c r="F420" s="79" t="e">
        <f t="shared" si="24"/>
        <v>#REF!</v>
      </c>
      <c r="G420" s="2"/>
      <c r="H420" s="37">
        <v>21395</v>
      </c>
      <c r="I420" s="4">
        <f t="shared" si="25"/>
        <v>178.29166666666666</v>
      </c>
      <c r="J420" s="25">
        <f t="shared" si="23"/>
        <v>13</v>
      </c>
    </row>
    <row r="421" spans="1:10" ht="16.95" customHeight="1">
      <c r="A421" s="75" t="s">
        <v>83</v>
      </c>
      <c r="B421" s="80" t="s">
        <v>84</v>
      </c>
      <c r="C421" s="77" t="s">
        <v>48</v>
      </c>
      <c r="D421" s="78">
        <v>1</v>
      </c>
      <c r="E421" s="79">
        <f t="shared" si="26"/>
        <v>8.3333333333333332E-3</v>
      </c>
      <c r="F421" s="79" t="e">
        <f t="shared" si="24"/>
        <v>#REF!</v>
      </c>
      <c r="G421" s="2"/>
      <c r="H421" s="37">
        <v>149765</v>
      </c>
      <c r="I421" s="4">
        <f t="shared" si="25"/>
        <v>1248.0416666666667</v>
      </c>
      <c r="J421" s="25">
        <f t="shared" si="23"/>
        <v>13</v>
      </c>
    </row>
    <row r="422" spans="1:10" ht="16.95" customHeight="1">
      <c r="A422" s="75" t="s">
        <v>85</v>
      </c>
      <c r="B422" s="80" t="s">
        <v>86</v>
      </c>
      <c r="C422" s="77" t="s">
        <v>48</v>
      </c>
      <c r="D422" s="78">
        <v>1</v>
      </c>
      <c r="E422" s="79">
        <f t="shared" si="26"/>
        <v>8.3333333333333332E-3</v>
      </c>
      <c r="F422" s="79" t="e">
        <f t="shared" si="24"/>
        <v>#REF!</v>
      </c>
      <c r="G422" s="2"/>
      <c r="H422" s="37">
        <v>6996</v>
      </c>
      <c r="I422" s="4">
        <f t="shared" si="25"/>
        <v>58.3</v>
      </c>
      <c r="J422" s="25">
        <f t="shared" si="23"/>
        <v>13</v>
      </c>
    </row>
    <row r="423" spans="1:10" ht="16.95" customHeight="1">
      <c r="A423" s="75" t="s">
        <v>87</v>
      </c>
      <c r="B423" s="80" t="s">
        <v>88</v>
      </c>
      <c r="C423" s="77" t="s">
        <v>48</v>
      </c>
      <c r="D423" s="78">
        <v>1</v>
      </c>
      <c r="E423" s="79">
        <f>1/120</f>
        <v>8.3333333333333332E-3</v>
      </c>
      <c r="F423" s="79" t="e">
        <f t="shared" si="24"/>
        <v>#REF!</v>
      </c>
      <c r="G423" s="2"/>
      <c r="H423" s="37">
        <v>116952</v>
      </c>
      <c r="I423" s="4">
        <f t="shared" si="25"/>
        <v>974.6</v>
      </c>
      <c r="J423" s="25">
        <f t="shared" si="23"/>
        <v>13</v>
      </c>
    </row>
    <row r="424" spans="1:10" ht="16.95" customHeight="1">
      <c r="A424" s="95" t="s">
        <v>23</v>
      </c>
      <c r="B424" s="95"/>
      <c r="C424" s="50"/>
      <c r="D424" s="50"/>
      <c r="E424" s="50"/>
      <c r="F424" s="50"/>
      <c r="G424" s="50"/>
      <c r="H424" s="3" t="s">
        <v>24</v>
      </c>
      <c r="I424" s="5">
        <f>SUM(I389:I423)</f>
        <v>2637.5250000000001</v>
      </c>
      <c r="J424" s="25">
        <f t="shared" si="23"/>
        <v>13</v>
      </c>
    </row>
    <row r="425" spans="1:10" ht="16.95" customHeight="1">
      <c r="A425" s="96" t="s">
        <v>25</v>
      </c>
      <c r="B425" s="96"/>
      <c r="C425" s="50"/>
      <c r="D425" s="50"/>
      <c r="E425" s="50"/>
      <c r="F425" s="50"/>
      <c r="G425" s="50"/>
      <c r="J425" s="25">
        <f t="shared" si="23"/>
        <v>13</v>
      </c>
    </row>
    <row r="426" spans="1:10" ht="16.95" customHeight="1">
      <c r="A426" s="96" t="s">
        <v>26</v>
      </c>
      <c r="B426" s="96"/>
      <c r="C426" s="50"/>
      <c r="D426" s="50"/>
      <c r="E426" s="50"/>
      <c r="F426" s="50"/>
      <c r="G426" s="50"/>
      <c r="J426" s="25">
        <f t="shared" si="23"/>
        <v>13</v>
      </c>
    </row>
    <row r="427" spans="1:10" ht="16.95" customHeight="1">
      <c r="A427" s="95" t="s">
        <v>27</v>
      </c>
      <c r="B427" s="95"/>
      <c r="C427" s="95"/>
      <c r="D427" s="95"/>
      <c r="E427" s="95"/>
      <c r="F427" s="95"/>
      <c r="G427" s="95"/>
      <c r="J427" s="25">
        <f t="shared" si="23"/>
        <v>13</v>
      </c>
    </row>
    <row r="428" spans="1:10" ht="16.95" customHeight="1">
      <c r="A428" s="94" t="s">
        <v>28</v>
      </c>
      <c r="B428" s="94"/>
      <c r="C428" s="51" t="s">
        <v>29</v>
      </c>
      <c r="D428" s="51" t="s">
        <v>30</v>
      </c>
      <c r="E428" s="51" t="s">
        <v>18</v>
      </c>
      <c r="F428" s="51" t="s">
        <v>31</v>
      </c>
      <c r="G428" s="51" t="s">
        <v>20</v>
      </c>
      <c r="J428" s="25">
        <f t="shared" si="23"/>
        <v>13</v>
      </c>
    </row>
    <row r="429" spans="1:10" ht="16.95" customHeight="1">
      <c r="A429" s="96"/>
      <c r="B429" s="96"/>
      <c r="C429" s="50"/>
      <c r="D429" s="50"/>
      <c r="E429" s="50"/>
      <c r="F429" s="50"/>
      <c r="G429" s="51"/>
      <c r="J429" s="25">
        <f t="shared" si="23"/>
        <v>13</v>
      </c>
    </row>
    <row r="430" spans="1:10" ht="16.95" customHeight="1">
      <c r="A430" s="97"/>
      <c r="B430" s="97"/>
      <c r="C430" s="50"/>
      <c r="D430" s="50"/>
      <c r="E430" s="50"/>
      <c r="F430" s="51"/>
      <c r="G430" s="51"/>
      <c r="J430" s="25">
        <f t="shared" si="23"/>
        <v>13</v>
      </c>
    </row>
    <row r="431" spans="1:10" ht="16.95" customHeight="1">
      <c r="A431" s="95" t="s">
        <v>32</v>
      </c>
      <c r="B431" s="95"/>
      <c r="C431" s="95"/>
      <c r="D431" s="95"/>
      <c r="E431" s="95"/>
      <c r="F431" s="95"/>
      <c r="G431" s="95"/>
      <c r="J431" s="25">
        <f t="shared" si="23"/>
        <v>14</v>
      </c>
    </row>
    <row r="432" spans="1:10" ht="16.95" customHeight="1">
      <c r="A432" s="51" t="s">
        <v>33</v>
      </c>
      <c r="B432" s="51" t="s">
        <v>34</v>
      </c>
      <c r="C432" s="94" t="s">
        <v>35</v>
      </c>
      <c r="D432" s="94"/>
      <c r="E432" s="51" t="s">
        <v>36</v>
      </c>
      <c r="F432" s="51" t="s">
        <v>37</v>
      </c>
      <c r="G432" s="51" t="s">
        <v>38</v>
      </c>
      <c r="J432" s="25">
        <f t="shared" si="23"/>
        <v>14</v>
      </c>
    </row>
    <row r="433" spans="1:10" ht="16.95" customHeight="1">
      <c r="A433" s="51" t="s">
        <v>39</v>
      </c>
      <c r="B433" s="6"/>
      <c r="C433" s="94" t="e">
        <f>B433+C370</f>
        <v>#REF!</v>
      </c>
      <c r="D433" s="94"/>
      <c r="E433" s="51"/>
      <c r="F433" s="24"/>
      <c r="G433" s="24"/>
      <c r="J433" s="25">
        <f t="shared" si="23"/>
        <v>14</v>
      </c>
    </row>
    <row r="434" spans="1:10" ht="16.95" customHeight="1">
      <c r="A434" s="51" t="s">
        <v>40</v>
      </c>
      <c r="B434" s="6"/>
      <c r="C434" s="94" t="e">
        <f>B434+C371</f>
        <v>#REF!</v>
      </c>
      <c r="D434" s="94"/>
      <c r="E434" s="51"/>
      <c r="F434" s="24"/>
      <c r="G434" s="24"/>
      <c r="J434" s="25">
        <f t="shared" si="23"/>
        <v>14</v>
      </c>
    </row>
    <row r="435" spans="1:10" ht="36.6" customHeight="1">
      <c r="A435" s="95" t="s">
        <v>41</v>
      </c>
      <c r="B435" s="95"/>
      <c r="C435" s="95"/>
      <c r="D435" s="95"/>
      <c r="E435" s="95"/>
      <c r="F435" s="95"/>
      <c r="G435" s="95"/>
      <c r="J435" s="25">
        <f t="shared" si="23"/>
        <v>14</v>
      </c>
    </row>
    <row r="436" spans="1:10" ht="90" customHeight="1">
      <c r="A436" s="92" t="s">
        <v>42</v>
      </c>
      <c r="B436" s="92"/>
      <c r="C436" s="92"/>
      <c r="D436" s="92"/>
      <c r="E436" s="92"/>
      <c r="F436" s="92"/>
      <c r="G436" s="92"/>
      <c r="J436" s="25">
        <f t="shared" si="23"/>
        <v>14</v>
      </c>
    </row>
    <row r="437" spans="1:10" ht="16.95" customHeight="1">
      <c r="A437" s="95" t="s">
        <v>43</v>
      </c>
      <c r="B437" s="95"/>
      <c r="C437" s="95"/>
      <c r="D437" s="95"/>
      <c r="E437" s="95"/>
      <c r="F437" s="95"/>
      <c r="G437" s="95"/>
      <c r="J437" s="25">
        <f t="shared" si="23"/>
        <v>14</v>
      </c>
    </row>
    <row r="438" spans="1:10" ht="16.95" customHeight="1">
      <c r="A438" s="95" t="s">
        <v>44</v>
      </c>
      <c r="B438" s="95"/>
      <c r="C438" s="95"/>
      <c r="D438" s="95"/>
      <c r="E438" s="95"/>
      <c r="F438" s="95"/>
      <c r="G438" s="95"/>
      <c r="J438" s="25">
        <f t="shared" si="23"/>
        <v>14</v>
      </c>
    </row>
    <row r="439" spans="1:10" ht="16.95" customHeight="1">
      <c r="A439" s="91" t="s">
        <v>64</v>
      </c>
      <c r="B439" s="91"/>
      <c r="C439" s="91"/>
      <c r="D439" s="91"/>
      <c r="E439" s="91"/>
      <c r="F439" s="91"/>
      <c r="G439" s="91"/>
      <c r="J439" s="25">
        <f t="shared" si="23"/>
        <v>14</v>
      </c>
    </row>
    <row r="440" spans="1:10" ht="120.6" customHeight="1">
      <c r="A440" s="92" t="s">
        <v>45</v>
      </c>
      <c r="B440" s="92"/>
      <c r="C440" s="92"/>
      <c r="D440" s="92"/>
      <c r="E440" s="92"/>
      <c r="F440" s="92"/>
      <c r="G440" s="92"/>
      <c r="J440" s="25">
        <f t="shared" si="23"/>
        <v>14</v>
      </c>
    </row>
    <row r="441" spans="1:10" ht="140.4" customHeight="1">
      <c r="A441" s="93" t="s">
        <v>46</v>
      </c>
      <c r="B441" s="93"/>
      <c r="C441" s="93"/>
      <c r="D441" s="93"/>
      <c r="E441" s="93"/>
      <c r="F441" s="93"/>
      <c r="G441" s="93"/>
      <c r="J441" s="25">
        <f t="shared" si="23"/>
        <v>14</v>
      </c>
    </row>
    <row r="442" spans="1:10" ht="37.200000000000003" customHeight="1">
      <c r="A442" s="103" t="s">
        <v>0</v>
      </c>
      <c r="B442" s="103"/>
      <c r="C442" s="103"/>
      <c r="D442" s="103"/>
      <c r="E442" s="103"/>
      <c r="F442" s="103"/>
      <c r="G442" s="103"/>
      <c r="J442" s="25">
        <f t="shared" si="23"/>
        <v>15</v>
      </c>
    </row>
    <row r="443" spans="1:10" ht="16.95" customHeight="1">
      <c r="A443" s="1" t="s">
        <v>1</v>
      </c>
      <c r="B443" s="104">
        <f>B380+1</f>
        <v>9</v>
      </c>
      <c r="C443" s="104"/>
      <c r="D443" s="104"/>
      <c r="E443" s="104"/>
      <c r="F443" s="104"/>
      <c r="G443" s="104"/>
      <c r="J443" s="25">
        <f t="shared" ref="J443:J506" si="27">J380+2</f>
        <v>15</v>
      </c>
    </row>
    <row r="444" spans="1:10" ht="16.95" customHeight="1">
      <c r="A444" s="1" t="s">
        <v>2</v>
      </c>
      <c r="B444" s="105" t="s">
        <v>63</v>
      </c>
      <c r="C444" s="105"/>
      <c r="D444" s="105"/>
      <c r="E444" s="106">
        <f>E381+1</f>
        <v>46211</v>
      </c>
      <c r="F444" s="106"/>
      <c r="G444" s="106"/>
      <c r="J444" s="25">
        <f t="shared" si="27"/>
        <v>15</v>
      </c>
    </row>
    <row r="445" spans="1:10" ht="16.95" customHeight="1">
      <c r="A445" s="53" t="s">
        <v>3</v>
      </c>
      <c r="B445" s="2" t="s">
        <v>67</v>
      </c>
      <c r="C445" s="98" t="s">
        <v>4</v>
      </c>
      <c r="D445" s="98"/>
      <c r="E445" s="98" t="s">
        <v>47</v>
      </c>
      <c r="F445" s="98"/>
      <c r="G445" s="98"/>
      <c r="J445" s="25">
        <f t="shared" si="27"/>
        <v>15</v>
      </c>
    </row>
    <row r="446" spans="1:10" ht="16.95" customHeight="1">
      <c r="A446" s="53" t="s">
        <v>5</v>
      </c>
      <c r="B446" s="54">
        <v>120</v>
      </c>
      <c r="C446" s="98" t="s">
        <v>6</v>
      </c>
      <c r="D446" s="98"/>
      <c r="E446" s="98" t="s">
        <v>123</v>
      </c>
      <c r="F446" s="98"/>
      <c r="G446" s="98"/>
      <c r="J446" s="25">
        <f t="shared" si="27"/>
        <v>15</v>
      </c>
    </row>
    <row r="447" spans="1:10" ht="16.95" customHeight="1">
      <c r="A447" s="53" t="s">
        <v>7</v>
      </c>
      <c r="B447" s="54">
        <f>B443</f>
        <v>9</v>
      </c>
      <c r="C447" s="100" t="s">
        <v>8</v>
      </c>
      <c r="D447" s="100"/>
      <c r="E447" s="101">
        <f>B446-B447</f>
        <v>111</v>
      </c>
      <c r="F447" s="101"/>
      <c r="G447" s="101"/>
      <c r="J447" s="25">
        <f t="shared" si="27"/>
        <v>15</v>
      </c>
    </row>
    <row r="448" spans="1:10" ht="16.95" customHeight="1">
      <c r="A448" s="53" t="s">
        <v>9</v>
      </c>
      <c r="B448" s="55">
        <v>46204</v>
      </c>
      <c r="C448" s="98" t="s">
        <v>10</v>
      </c>
      <c r="D448" s="98"/>
      <c r="E448" s="102">
        <f>B448+B446-1</f>
        <v>46323</v>
      </c>
      <c r="F448" s="102"/>
      <c r="G448" s="102"/>
      <c r="J448" s="25">
        <f t="shared" si="27"/>
        <v>15</v>
      </c>
    </row>
    <row r="449" spans="1:10" ht="16.95" customHeight="1">
      <c r="A449" s="53" t="s">
        <v>11</v>
      </c>
      <c r="B449" s="56" t="e">
        <f>HLOOKUP(B443,進度表!$Q$2:$Z$3,2,1)+B386</f>
        <v>#REF!</v>
      </c>
      <c r="C449" s="98" t="s">
        <v>12</v>
      </c>
      <c r="D449" s="98"/>
      <c r="E449" s="99" t="e">
        <f>I487/I449+E386</f>
        <v>#REF!</v>
      </c>
      <c r="F449" s="99"/>
      <c r="G449" s="99"/>
      <c r="H449" s="3" t="s">
        <v>62</v>
      </c>
      <c r="I449" s="1">
        <v>2456000</v>
      </c>
      <c r="J449" s="25">
        <f t="shared" si="27"/>
        <v>15</v>
      </c>
    </row>
    <row r="450" spans="1:10" ht="16.95" customHeight="1">
      <c r="A450" s="98" t="s">
        <v>13</v>
      </c>
      <c r="B450" s="98"/>
      <c r="C450" s="98"/>
      <c r="D450" s="98"/>
      <c r="E450" s="98"/>
      <c r="F450" s="98"/>
      <c r="G450" s="98"/>
      <c r="J450" s="25">
        <f t="shared" si="27"/>
        <v>15</v>
      </c>
    </row>
    <row r="451" spans="1:10" ht="16.95" customHeight="1">
      <c r="A451" s="52" t="s">
        <v>14</v>
      </c>
      <c r="B451" s="52" t="s">
        <v>15</v>
      </c>
      <c r="C451" s="52" t="s">
        <v>16</v>
      </c>
      <c r="D451" s="52" t="s">
        <v>17</v>
      </c>
      <c r="E451" s="52" t="s">
        <v>18</v>
      </c>
      <c r="F451" s="52" t="s">
        <v>19</v>
      </c>
      <c r="G451" s="52" t="s">
        <v>20</v>
      </c>
      <c r="H451" s="3" t="s">
        <v>21</v>
      </c>
      <c r="I451" s="3" t="s">
        <v>22</v>
      </c>
      <c r="J451" s="25">
        <f t="shared" si="27"/>
        <v>15</v>
      </c>
    </row>
    <row r="452" spans="1:10" ht="16.95" customHeight="1">
      <c r="A452" s="75" t="s">
        <v>65</v>
      </c>
      <c r="B452" s="76" t="s">
        <v>69</v>
      </c>
      <c r="C452" s="77"/>
      <c r="D452" s="78"/>
      <c r="E452" s="79"/>
      <c r="F452" s="79"/>
      <c r="G452" s="2"/>
      <c r="H452" s="37"/>
      <c r="I452" s="4"/>
      <c r="J452" s="25">
        <f t="shared" si="27"/>
        <v>15</v>
      </c>
    </row>
    <row r="453" spans="1:10" ht="34.950000000000003" customHeight="1">
      <c r="A453" s="75">
        <v>1</v>
      </c>
      <c r="B453" s="80" t="s">
        <v>91</v>
      </c>
      <c r="C453" s="77" t="s">
        <v>48</v>
      </c>
      <c r="D453" s="78">
        <v>1</v>
      </c>
      <c r="E453" s="79"/>
      <c r="F453" s="79" t="e">
        <f t="shared" ref="F453:F486" si="28">E453+F390</f>
        <v>#REF!</v>
      </c>
      <c r="G453" s="2"/>
      <c r="H453" s="37">
        <v>10508</v>
      </c>
      <c r="I453" s="4">
        <f>H453*E453</f>
        <v>0</v>
      </c>
      <c r="J453" s="25">
        <f t="shared" si="27"/>
        <v>15</v>
      </c>
    </row>
    <row r="454" spans="1:10" ht="34.799999999999997" customHeight="1">
      <c r="A454" s="75">
        <v>2</v>
      </c>
      <c r="B454" s="80" t="s">
        <v>92</v>
      </c>
      <c r="C454" s="77" t="s">
        <v>48</v>
      </c>
      <c r="D454" s="78">
        <v>1</v>
      </c>
      <c r="E454" s="79"/>
      <c r="F454" s="79" t="e">
        <f t="shared" si="28"/>
        <v>#REF!</v>
      </c>
      <c r="G454" s="2"/>
      <c r="H454" s="37">
        <v>13223</v>
      </c>
      <c r="I454" s="4">
        <f>H454*E454</f>
        <v>0</v>
      </c>
      <c r="J454" s="25">
        <f t="shared" si="27"/>
        <v>15</v>
      </c>
    </row>
    <row r="455" spans="1:10" ht="53.4" customHeight="1">
      <c r="A455" s="75">
        <v>3</v>
      </c>
      <c r="B455" s="80" t="s">
        <v>93</v>
      </c>
      <c r="C455" s="77" t="s">
        <v>48</v>
      </c>
      <c r="D455" s="78">
        <v>1</v>
      </c>
      <c r="E455" s="79"/>
      <c r="F455" s="79" t="e">
        <f t="shared" si="28"/>
        <v>#REF!</v>
      </c>
      <c r="G455" s="2"/>
      <c r="H455" s="37">
        <v>310497</v>
      </c>
      <c r="I455" s="4">
        <f t="shared" ref="I455:I486" si="29">H455*E455</f>
        <v>0</v>
      </c>
      <c r="J455" s="25">
        <f t="shared" si="27"/>
        <v>15</v>
      </c>
    </row>
    <row r="456" spans="1:10" ht="16.95" customHeight="1">
      <c r="A456" s="75">
        <v>4</v>
      </c>
      <c r="B456" s="80" t="s">
        <v>94</v>
      </c>
      <c r="C456" s="77" t="s">
        <v>48</v>
      </c>
      <c r="D456" s="78">
        <v>1</v>
      </c>
      <c r="E456" s="79"/>
      <c r="F456" s="79" t="e">
        <f t="shared" si="28"/>
        <v>#REF!</v>
      </c>
      <c r="G456" s="2"/>
      <c r="H456" s="37">
        <v>8375</v>
      </c>
      <c r="I456" s="4">
        <f t="shared" si="29"/>
        <v>0</v>
      </c>
      <c r="J456" s="25">
        <f t="shared" si="27"/>
        <v>15</v>
      </c>
    </row>
    <row r="457" spans="1:10" ht="16.95" customHeight="1">
      <c r="A457" s="75">
        <v>5</v>
      </c>
      <c r="B457" s="80" t="s">
        <v>95</v>
      </c>
      <c r="C457" s="77" t="s">
        <v>48</v>
      </c>
      <c r="D457" s="78">
        <v>1</v>
      </c>
      <c r="E457" s="79"/>
      <c r="F457" s="79" t="e">
        <f t="shared" si="28"/>
        <v>#REF!</v>
      </c>
      <c r="G457" s="2"/>
      <c r="H457" s="37">
        <v>51618</v>
      </c>
      <c r="I457" s="4">
        <f t="shared" si="29"/>
        <v>0</v>
      </c>
      <c r="J457" s="25">
        <f t="shared" si="27"/>
        <v>15</v>
      </c>
    </row>
    <row r="458" spans="1:10" ht="16.95" customHeight="1">
      <c r="A458" s="75">
        <v>6</v>
      </c>
      <c r="B458" s="80" t="s">
        <v>96</v>
      </c>
      <c r="C458" s="77" t="s">
        <v>50</v>
      </c>
      <c r="D458" s="78">
        <v>11.55</v>
      </c>
      <c r="E458" s="79"/>
      <c r="F458" s="79" t="e">
        <f t="shared" si="28"/>
        <v>#REF!</v>
      </c>
      <c r="G458" s="2"/>
      <c r="H458" s="37">
        <v>1188</v>
      </c>
      <c r="I458" s="4">
        <f t="shared" si="29"/>
        <v>0</v>
      </c>
      <c r="J458" s="25">
        <f t="shared" si="27"/>
        <v>15</v>
      </c>
    </row>
    <row r="459" spans="1:10" ht="34.950000000000003" customHeight="1">
      <c r="A459" s="75">
        <v>7</v>
      </c>
      <c r="B459" s="80" t="s">
        <v>97</v>
      </c>
      <c r="C459" s="77" t="s">
        <v>48</v>
      </c>
      <c r="D459" s="78">
        <v>1</v>
      </c>
      <c r="E459" s="79"/>
      <c r="F459" s="79" t="e">
        <f t="shared" si="28"/>
        <v>#REF!</v>
      </c>
      <c r="G459" s="2"/>
      <c r="H459" s="37">
        <v>21157</v>
      </c>
      <c r="I459" s="4">
        <f t="shared" si="29"/>
        <v>0</v>
      </c>
      <c r="J459" s="25">
        <f t="shared" si="27"/>
        <v>15</v>
      </c>
    </row>
    <row r="460" spans="1:10" ht="16.95" customHeight="1">
      <c r="A460" s="75">
        <v>8</v>
      </c>
      <c r="B460" s="80" t="s">
        <v>98</v>
      </c>
      <c r="C460" s="77" t="s">
        <v>50</v>
      </c>
      <c r="D460" s="78">
        <v>387</v>
      </c>
      <c r="E460" s="79"/>
      <c r="F460" s="79" t="e">
        <f t="shared" si="28"/>
        <v>#REF!</v>
      </c>
      <c r="G460" s="2"/>
      <c r="H460" s="37">
        <v>705</v>
      </c>
      <c r="I460" s="4">
        <f t="shared" si="29"/>
        <v>0</v>
      </c>
      <c r="J460" s="25">
        <f t="shared" si="27"/>
        <v>15</v>
      </c>
    </row>
    <row r="461" spans="1:10" ht="16.95" customHeight="1">
      <c r="A461" s="75">
        <v>9</v>
      </c>
      <c r="B461" s="80" t="s">
        <v>99</v>
      </c>
      <c r="C461" s="77" t="s">
        <v>50</v>
      </c>
      <c r="D461" s="78">
        <v>170</v>
      </c>
      <c r="E461" s="79"/>
      <c r="F461" s="79" t="e">
        <f t="shared" si="28"/>
        <v>#REF!</v>
      </c>
      <c r="G461" s="2"/>
      <c r="H461" s="37">
        <v>617</v>
      </c>
      <c r="I461" s="4">
        <f t="shared" si="29"/>
        <v>0</v>
      </c>
      <c r="J461" s="25">
        <f t="shared" si="27"/>
        <v>15</v>
      </c>
    </row>
    <row r="462" spans="1:10" ht="16.95" customHeight="1">
      <c r="A462" s="75">
        <v>10</v>
      </c>
      <c r="B462" s="80" t="s">
        <v>100</v>
      </c>
      <c r="C462" s="77" t="s">
        <v>66</v>
      </c>
      <c r="D462" s="78">
        <v>15</v>
      </c>
      <c r="E462" s="79"/>
      <c r="F462" s="79" t="e">
        <f t="shared" si="28"/>
        <v>#REF!</v>
      </c>
      <c r="G462" s="2"/>
      <c r="H462" s="37">
        <v>617</v>
      </c>
      <c r="I462" s="4">
        <f t="shared" si="29"/>
        <v>0</v>
      </c>
      <c r="J462" s="25">
        <f t="shared" si="27"/>
        <v>15</v>
      </c>
    </row>
    <row r="463" spans="1:10" ht="16.95" customHeight="1">
      <c r="A463" s="75">
        <v>11</v>
      </c>
      <c r="B463" s="80" t="s">
        <v>101</v>
      </c>
      <c r="C463" s="77" t="s">
        <v>50</v>
      </c>
      <c r="D463" s="78">
        <v>75</v>
      </c>
      <c r="E463" s="79"/>
      <c r="F463" s="79" t="e">
        <f t="shared" si="28"/>
        <v>#REF!</v>
      </c>
      <c r="G463" s="2"/>
      <c r="H463" s="37">
        <v>1146</v>
      </c>
      <c r="I463" s="4">
        <f t="shared" si="29"/>
        <v>0</v>
      </c>
      <c r="J463" s="25">
        <f t="shared" si="27"/>
        <v>15</v>
      </c>
    </row>
    <row r="464" spans="1:10" ht="16.95" customHeight="1">
      <c r="A464" s="75">
        <v>12</v>
      </c>
      <c r="B464" s="80" t="s">
        <v>102</v>
      </c>
      <c r="C464" s="77" t="s">
        <v>50</v>
      </c>
      <c r="D464" s="78">
        <v>5</v>
      </c>
      <c r="E464" s="79"/>
      <c r="F464" s="79" t="e">
        <f t="shared" si="28"/>
        <v>#REF!</v>
      </c>
      <c r="G464" s="2"/>
      <c r="H464" s="37">
        <v>1455</v>
      </c>
      <c r="I464" s="4">
        <f t="shared" si="29"/>
        <v>0</v>
      </c>
      <c r="J464" s="25">
        <f t="shared" si="27"/>
        <v>15</v>
      </c>
    </row>
    <row r="465" spans="1:10" ht="16.95" customHeight="1">
      <c r="A465" s="75">
        <v>13</v>
      </c>
      <c r="B465" s="80" t="s">
        <v>103</v>
      </c>
      <c r="C465" s="77" t="s">
        <v>50</v>
      </c>
      <c r="D465" s="78">
        <v>217</v>
      </c>
      <c r="E465" s="79"/>
      <c r="F465" s="79" t="e">
        <f t="shared" si="28"/>
        <v>#REF!</v>
      </c>
      <c r="G465" s="2"/>
      <c r="H465" s="37">
        <v>1410</v>
      </c>
      <c r="I465" s="4">
        <f t="shared" si="29"/>
        <v>0</v>
      </c>
      <c r="J465" s="25">
        <f t="shared" si="27"/>
        <v>15</v>
      </c>
    </row>
    <row r="466" spans="1:10" ht="16.95" customHeight="1">
      <c r="A466" s="75">
        <v>14</v>
      </c>
      <c r="B466" s="80" t="s">
        <v>104</v>
      </c>
      <c r="C466" s="77" t="s">
        <v>49</v>
      </c>
      <c r="D466" s="78">
        <v>84</v>
      </c>
      <c r="E466" s="79"/>
      <c r="F466" s="79" t="e">
        <f t="shared" si="28"/>
        <v>#REF!</v>
      </c>
      <c r="G466" s="2"/>
      <c r="H466" s="37">
        <v>529</v>
      </c>
      <c r="I466" s="4">
        <f t="shared" si="29"/>
        <v>0</v>
      </c>
      <c r="J466" s="25">
        <f t="shared" si="27"/>
        <v>15</v>
      </c>
    </row>
    <row r="467" spans="1:10" ht="16.95" customHeight="1">
      <c r="A467" s="75">
        <v>15</v>
      </c>
      <c r="B467" s="80" t="s">
        <v>105</v>
      </c>
      <c r="C467" s="77" t="s">
        <v>50</v>
      </c>
      <c r="D467" s="78">
        <v>1</v>
      </c>
      <c r="E467" s="79"/>
      <c r="F467" s="79" t="e">
        <f t="shared" si="28"/>
        <v>#REF!</v>
      </c>
      <c r="G467" s="2"/>
      <c r="H467" s="37">
        <v>1146</v>
      </c>
      <c r="I467" s="4">
        <f t="shared" si="29"/>
        <v>0</v>
      </c>
      <c r="J467" s="25">
        <f t="shared" si="27"/>
        <v>15</v>
      </c>
    </row>
    <row r="468" spans="1:10" ht="34.799999999999997" customHeight="1">
      <c r="A468" s="75">
        <v>16</v>
      </c>
      <c r="B468" s="80" t="s">
        <v>106</v>
      </c>
      <c r="C468" s="77" t="s">
        <v>50</v>
      </c>
      <c r="D468" s="78">
        <v>314</v>
      </c>
      <c r="E468" s="79"/>
      <c r="F468" s="79" t="e">
        <f t="shared" si="28"/>
        <v>#REF!</v>
      </c>
      <c r="G468" s="2"/>
      <c r="H468" s="37">
        <v>185</v>
      </c>
      <c r="I468" s="4">
        <f t="shared" si="29"/>
        <v>0</v>
      </c>
      <c r="J468" s="25">
        <f t="shared" si="27"/>
        <v>15</v>
      </c>
    </row>
    <row r="469" spans="1:10" ht="16.95" customHeight="1">
      <c r="A469" s="75">
        <v>17</v>
      </c>
      <c r="B469" s="80" t="s">
        <v>107</v>
      </c>
      <c r="C469" s="77" t="s">
        <v>48</v>
      </c>
      <c r="D469" s="78">
        <v>1</v>
      </c>
      <c r="E469" s="79"/>
      <c r="F469" s="79" t="e">
        <f t="shared" si="28"/>
        <v>#REF!</v>
      </c>
      <c r="G469" s="2"/>
      <c r="H469" s="37">
        <v>89918</v>
      </c>
      <c r="I469" s="4">
        <f t="shared" si="29"/>
        <v>0</v>
      </c>
      <c r="J469" s="25">
        <f t="shared" si="27"/>
        <v>15</v>
      </c>
    </row>
    <row r="470" spans="1:10" ht="16.95" customHeight="1">
      <c r="A470" s="75">
        <v>18</v>
      </c>
      <c r="B470" s="80" t="s">
        <v>108</v>
      </c>
      <c r="C470" s="77" t="s">
        <v>120</v>
      </c>
      <c r="D470" s="78">
        <v>15</v>
      </c>
      <c r="E470" s="79"/>
      <c r="F470" s="79" t="e">
        <f t="shared" si="28"/>
        <v>#REF!</v>
      </c>
      <c r="G470" s="2"/>
      <c r="H470" s="37">
        <v>661</v>
      </c>
      <c r="I470" s="4">
        <f t="shared" si="29"/>
        <v>0</v>
      </c>
      <c r="J470" s="25">
        <f t="shared" si="27"/>
        <v>15</v>
      </c>
    </row>
    <row r="471" spans="1:10" ht="16.95" customHeight="1">
      <c r="A471" s="75">
        <v>19</v>
      </c>
      <c r="B471" s="80" t="s">
        <v>109</v>
      </c>
      <c r="C471" s="77" t="s">
        <v>50</v>
      </c>
      <c r="D471" s="78">
        <v>82</v>
      </c>
      <c r="E471" s="79"/>
      <c r="F471" s="79" t="e">
        <f t="shared" si="28"/>
        <v>#REF!</v>
      </c>
      <c r="G471" s="2"/>
      <c r="H471" s="37">
        <v>2909</v>
      </c>
      <c r="I471" s="4">
        <f t="shared" si="29"/>
        <v>0</v>
      </c>
      <c r="J471" s="25">
        <f t="shared" si="27"/>
        <v>15</v>
      </c>
    </row>
    <row r="472" spans="1:10" ht="16.95" customHeight="1">
      <c r="A472" s="75">
        <v>20</v>
      </c>
      <c r="B472" s="80" t="s">
        <v>110</v>
      </c>
      <c r="C472" s="77" t="s">
        <v>121</v>
      </c>
      <c r="D472" s="78">
        <v>12</v>
      </c>
      <c r="E472" s="79"/>
      <c r="F472" s="79" t="e">
        <f t="shared" si="28"/>
        <v>#REF!</v>
      </c>
      <c r="G472" s="2"/>
      <c r="H472" s="37">
        <v>882</v>
      </c>
      <c r="I472" s="4">
        <f t="shared" si="29"/>
        <v>0</v>
      </c>
      <c r="J472" s="25">
        <f t="shared" si="27"/>
        <v>15</v>
      </c>
    </row>
    <row r="473" spans="1:10" ht="16.95" customHeight="1">
      <c r="A473" s="77">
        <v>21</v>
      </c>
      <c r="B473" s="80" t="s">
        <v>111</v>
      </c>
      <c r="C473" s="77" t="s">
        <v>122</v>
      </c>
      <c r="D473" s="78">
        <v>3</v>
      </c>
      <c r="E473" s="79"/>
      <c r="F473" s="79" t="e">
        <f t="shared" si="28"/>
        <v>#REF!</v>
      </c>
      <c r="G473" s="2"/>
      <c r="H473" s="38">
        <v>1869</v>
      </c>
      <c r="I473" s="4">
        <f t="shared" si="29"/>
        <v>0</v>
      </c>
      <c r="J473" s="25">
        <f t="shared" si="27"/>
        <v>15</v>
      </c>
    </row>
    <row r="474" spans="1:10" ht="34.950000000000003" customHeight="1">
      <c r="A474" s="75">
        <v>22</v>
      </c>
      <c r="B474" s="80" t="s">
        <v>112</v>
      </c>
      <c r="C474" s="77" t="s">
        <v>48</v>
      </c>
      <c r="D474" s="78">
        <v>1</v>
      </c>
      <c r="E474" s="79"/>
      <c r="F474" s="79" t="e">
        <f t="shared" si="28"/>
        <v>#REF!</v>
      </c>
      <c r="G474" s="2"/>
      <c r="H474" s="37">
        <v>82206</v>
      </c>
      <c r="I474" s="4">
        <f t="shared" si="29"/>
        <v>0</v>
      </c>
      <c r="J474" s="25">
        <f t="shared" si="27"/>
        <v>15</v>
      </c>
    </row>
    <row r="475" spans="1:10" ht="16.95" customHeight="1">
      <c r="A475" s="75">
        <v>23</v>
      </c>
      <c r="B475" s="80" t="s">
        <v>113</v>
      </c>
      <c r="C475" s="77" t="s">
        <v>48</v>
      </c>
      <c r="D475" s="78">
        <v>1</v>
      </c>
      <c r="E475" s="79"/>
      <c r="F475" s="79" t="e">
        <f t="shared" si="28"/>
        <v>#REF!</v>
      </c>
      <c r="G475" s="2"/>
      <c r="H475" s="37">
        <v>142723</v>
      </c>
      <c r="I475" s="4">
        <f t="shared" si="29"/>
        <v>0</v>
      </c>
      <c r="J475" s="25">
        <f t="shared" si="27"/>
        <v>15</v>
      </c>
    </row>
    <row r="476" spans="1:10" ht="16.95" customHeight="1">
      <c r="A476" s="75">
        <v>24</v>
      </c>
      <c r="B476" s="80" t="s">
        <v>114</v>
      </c>
      <c r="C476" s="77" t="s">
        <v>48</v>
      </c>
      <c r="D476" s="78">
        <v>1</v>
      </c>
      <c r="E476" s="79"/>
      <c r="F476" s="79" t="e">
        <f t="shared" si="28"/>
        <v>#REF!</v>
      </c>
      <c r="G476" s="2"/>
      <c r="H476" s="37">
        <v>37290</v>
      </c>
      <c r="I476" s="4">
        <f t="shared" si="29"/>
        <v>0</v>
      </c>
      <c r="J476" s="25">
        <f t="shared" si="27"/>
        <v>15</v>
      </c>
    </row>
    <row r="477" spans="1:10" ht="16.95" customHeight="1">
      <c r="A477" s="75">
        <v>25</v>
      </c>
      <c r="B477" s="80" t="s">
        <v>115</v>
      </c>
      <c r="C477" s="77" t="s">
        <v>48</v>
      </c>
      <c r="D477" s="78">
        <v>1</v>
      </c>
      <c r="E477" s="79"/>
      <c r="F477" s="79" t="e">
        <f t="shared" si="28"/>
        <v>#REF!</v>
      </c>
      <c r="G477" s="2"/>
      <c r="H477" s="37">
        <v>99394</v>
      </c>
      <c r="I477" s="4">
        <f t="shared" si="29"/>
        <v>0</v>
      </c>
      <c r="J477" s="25">
        <f t="shared" si="27"/>
        <v>15</v>
      </c>
    </row>
    <row r="478" spans="1:10" ht="34.950000000000003" customHeight="1">
      <c r="A478" s="75">
        <v>26</v>
      </c>
      <c r="B478" s="80" t="s">
        <v>116</v>
      </c>
      <c r="C478" s="77" t="s">
        <v>48</v>
      </c>
      <c r="D478" s="78">
        <v>1</v>
      </c>
      <c r="E478" s="79"/>
      <c r="F478" s="79" t="e">
        <f t="shared" si="28"/>
        <v>#REF!</v>
      </c>
      <c r="G478" s="2"/>
      <c r="H478" s="37">
        <v>21334</v>
      </c>
      <c r="I478" s="4">
        <f t="shared" si="29"/>
        <v>0</v>
      </c>
      <c r="J478" s="25">
        <f t="shared" si="27"/>
        <v>15</v>
      </c>
    </row>
    <row r="479" spans="1:10" ht="16.95" customHeight="1">
      <c r="A479" s="75">
        <v>27</v>
      </c>
      <c r="B479" s="80" t="s">
        <v>117</v>
      </c>
      <c r="C479" s="77" t="s">
        <v>48</v>
      </c>
      <c r="D479" s="78">
        <v>1</v>
      </c>
      <c r="E479" s="79"/>
      <c r="F479" s="79" t="e">
        <f t="shared" si="28"/>
        <v>#REF!</v>
      </c>
      <c r="G479" s="2"/>
      <c r="H479" s="37">
        <v>29620</v>
      </c>
      <c r="I479" s="4">
        <f t="shared" si="29"/>
        <v>0</v>
      </c>
      <c r="J479" s="25">
        <f t="shared" si="27"/>
        <v>15</v>
      </c>
    </row>
    <row r="480" spans="1:10" ht="16.95" customHeight="1">
      <c r="A480" s="75">
        <v>28</v>
      </c>
      <c r="B480" s="80" t="s">
        <v>118</v>
      </c>
      <c r="C480" s="77" t="s">
        <v>48</v>
      </c>
      <c r="D480" s="78">
        <v>1</v>
      </c>
      <c r="E480" s="79"/>
      <c r="F480" s="79" t="e">
        <f t="shared" si="28"/>
        <v>#REF!</v>
      </c>
      <c r="G480" s="2"/>
      <c r="H480" s="37">
        <v>18506</v>
      </c>
      <c r="I480" s="4">
        <f t="shared" si="29"/>
        <v>0</v>
      </c>
      <c r="J480" s="25">
        <f t="shared" si="27"/>
        <v>15</v>
      </c>
    </row>
    <row r="481" spans="1:10" ht="16.95" customHeight="1">
      <c r="A481" s="75">
        <v>29</v>
      </c>
      <c r="B481" s="80" t="s">
        <v>119</v>
      </c>
      <c r="C481" s="77" t="s">
        <v>48</v>
      </c>
      <c r="D481" s="78">
        <v>1</v>
      </c>
      <c r="E481" s="79"/>
      <c r="F481" s="79" t="e">
        <f t="shared" si="28"/>
        <v>#REF!</v>
      </c>
      <c r="G481" s="2"/>
      <c r="H481" s="37">
        <v>34381</v>
      </c>
      <c r="I481" s="4">
        <f t="shared" si="29"/>
        <v>0</v>
      </c>
      <c r="J481" s="25">
        <f t="shared" si="27"/>
        <v>15</v>
      </c>
    </row>
    <row r="482" spans="1:10" ht="16.95" customHeight="1">
      <c r="A482" s="75" t="s">
        <v>79</v>
      </c>
      <c r="B482" s="80" t="s">
        <v>80</v>
      </c>
      <c r="C482" s="77" t="s">
        <v>48</v>
      </c>
      <c r="D482" s="78">
        <v>1</v>
      </c>
      <c r="E482" s="79">
        <f t="shared" ref="E482:E485" si="30">1/120</f>
        <v>8.3333333333333332E-3</v>
      </c>
      <c r="F482" s="79" t="e">
        <f t="shared" si="28"/>
        <v>#REF!</v>
      </c>
      <c r="G482" s="2"/>
      <c r="H482" s="37">
        <v>21395</v>
      </c>
      <c r="I482" s="4">
        <f t="shared" si="29"/>
        <v>178.29166666666666</v>
      </c>
      <c r="J482" s="25">
        <f t="shared" si="27"/>
        <v>15</v>
      </c>
    </row>
    <row r="483" spans="1:10" ht="16.95" customHeight="1">
      <c r="A483" s="75" t="s">
        <v>81</v>
      </c>
      <c r="B483" s="80" t="s">
        <v>82</v>
      </c>
      <c r="C483" s="77" t="s">
        <v>48</v>
      </c>
      <c r="D483" s="78">
        <v>1</v>
      </c>
      <c r="E483" s="79">
        <f t="shared" si="30"/>
        <v>8.3333333333333332E-3</v>
      </c>
      <c r="F483" s="79" t="e">
        <f t="shared" si="28"/>
        <v>#REF!</v>
      </c>
      <c r="G483" s="2"/>
      <c r="H483" s="37">
        <v>21395</v>
      </c>
      <c r="I483" s="4">
        <f t="shared" si="29"/>
        <v>178.29166666666666</v>
      </c>
      <c r="J483" s="25">
        <f t="shared" si="27"/>
        <v>15</v>
      </c>
    </row>
    <row r="484" spans="1:10" ht="16.95" customHeight="1">
      <c r="A484" s="75" t="s">
        <v>83</v>
      </c>
      <c r="B484" s="80" t="s">
        <v>84</v>
      </c>
      <c r="C484" s="77" t="s">
        <v>48</v>
      </c>
      <c r="D484" s="78">
        <v>1</v>
      </c>
      <c r="E484" s="79">
        <f t="shared" si="30"/>
        <v>8.3333333333333332E-3</v>
      </c>
      <c r="F484" s="79" t="e">
        <f t="shared" si="28"/>
        <v>#REF!</v>
      </c>
      <c r="G484" s="2"/>
      <c r="H484" s="37">
        <v>149765</v>
      </c>
      <c r="I484" s="4">
        <f t="shared" si="29"/>
        <v>1248.0416666666667</v>
      </c>
      <c r="J484" s="25">
        <f t="shared" si="27"/>
        <v>15</v>
      </c>
    </row>
    <row r="485" spans="1:10" ht="16.95" customHeight="1">
      <c r="A485" s="75" t="s">
        <v>85</v>
      </c>
      <c r="B485" s="80" t="s">
        <v>86</v>
      </c>
      <c r="C485" s="77" t="s">
        <v>48</v>
      </c>
      <c r="D485" s="78">
        <v>1</v>
      </c>
      <c r="E485" s="79">
        <f t="shared" si="30"/>
        <v>8.3333333333333332E-3</v>
      </c>
      <c r="F485" s="79" t="e">
        <f t="shared" si="28"/>
        <v>#REF!</v>
      </c>
      <c r="G485" s="2"/>
      <c r="H485" s="37">
        <v>6996</v>
      </c>
      <c r="I485" s="4">
        <f t="shared" si="29"/>
        <v>58.3</v>
      </c>
      <c r="J485" s="25">
        <f t="shared" si="27"/>
        <v>15</v>
      </c>
    </row>
    <row r="486" spans="1:10" ht="16.95" customHeight="1">
      <c r="A486" s="75" t="s">
        <v>87</v>
      </c>
      <c r="B486" s="80" t="s">
        <v>88</v>
      </c>
      <c r="C486" s="77" t="s">
        <v>48</v>
      </c>
      <c r="D486" s="78">
        <v>1</v>
      </c>
      <c r="E486" s="79">
        <f>1/120</f>
        <v>8.3333333333333332E-3</v>
      </c>
      <c r="F486" s="79" t="e">
        <f t="shared" si="28"/>
        <v>#REF!</v>
      </c>
      <c r="G486" s="2"/>
      <c r="H486" s="37">
        <v>116952</v>
      </c>
      <c r="I486" s="4">
        <f t="shared" si="29"/>
        <v>974.6</v>
      </c>
      <c r="J486" s="25">
        <f t="shared" si="27"/>
        <v>15</v>
      </c>
    </row>
    <row r="487" spans="1:10" ht="16.95" customHeight="1">
      <c r="A487" s="95" t="s">
        <v>23</v>
      </c>
      <c r="B487" s="95"/>
      <c r="C487" s="50"/>
      <c r="D487" s="50"/>
      <c r="E487" s="50"/>
      <c r="F487" s="50"/>
      <c r="G487" s="50"/>
      <c r="H487" s="3" t="s">
        <v>24</v>
      </c>
      <c r="I487" s="5">
        <f>SUM(I452:I486)</f>
        <v>2637.5250000000001</v>
      </c>
      <c r="J487" s="25">
        <f t="shared" si="27"/>
        <v>15</v>
      </c>
    </row>
    <row r="488" spans="1:10" ht="16.95" customHeight="1">
      <c r="A488" s="96" t="s">
        <v>25</v>
      </c>
      <c r="B488" s="96"/>
      <c r="C488" s="50"/>
      <c r="D488" s="50"/>
      <c r="E488" s="50"/>
      <c r="F488" s="50"/>
      <c r="G488" s="50"/>
      <c r="J488" s="25">
        <f t="shared" si="27"/>
        <v>15</v>
      </c>
    </row>
    <row r="489" spans="1:10" ht="16.95" customHeight="1">
      <c r="A489" s="96" t="s">
        <v>26</v>
      </c>
      <c r="B489" s="96"/>
      <c r="C489" s="50"/>
      <c r="D489" s="50"/>
      <c r="E489" s="50"/>
      <c r="F489" s="50"/>
      <c r="G489" s="50"/>
      <c r="J489" s="25">
        <f t="shared" si="27"/>
        <v>15</v>
      </c>
    </row>
    <row r="490" spans="1:10" ht="16.95" customHeight="1">
      <c r="A490" s="95" t="s">
        <v>27</v>
      </c>
      <c r="B490" s="95"/>
      <c r="C490" s="95"/>
      <c r="D490" s="95"/>
      <c r="E490" s="95"/>
      <c r="F490" s="95"/>
      <c r="G490" s="95"/>
      <c r="J490" s="25">
        <f t="shared" si="27"/>
        <v>15</v>
      </c>
    </row>
    <row r="491" spans="1:10" ht="16.95" customHeight="1">
      <c r="A491" s="94" t="s">
        <v>28</v>
      </c>
      <c r="B491" s="94"/>
      <c r="C491" s="51" t="s">
        <v>29</v>
      </c>
      <c r="D491" s="51" t="s">
        <v>30</v>
      </c>
      <c r="E491" s="51" t="s">
        <v>18</v>
      </c>
      <c r="F491" s="51" t="s">
        <v>31</v>
      </c>
      <c r="G491" s="51" t="s">
        <v>20</v>
      </c>
      <c r="J491" s="25">
        <f t="shared" si="27"/>
        <v>15</v>
      </c>
    </row>
    <row r="492" spans="1:10" ht="16.95" customHeight="1">
      <c r="A492" s="96"/>
      <c r="B492" s="96"/>
      <c r="C492" s="50"/>
      <c r="D492" s="50"/>
      <c r="E492" s="50"/>
      <c r="F492" s="50"/>
      <c r="G492" s="51"/>
      <c r="J492" s="25">
        <f t="shared" si="27"/>
        <v>15</v>
      </c>
    </row>
    <row r="493" spans="1:10" ht="16.95" customHeight="1">
      <c r="A493" s="97"/>
      <c r="B493" s="97"/>
      <c r="C493" s="50"/>
      <c r="D493" s="50"/>
      <c r="E493" s="50"/>
      <c r="F493" s="51"/>
      <c r="G493" s="51"/>
      <c r="J493" s="25">
        <f t="shared" si="27"/>
        <v>15</v>
      </c>
    </row>
    <row r="494" spans="1:10" ht="16.95" customHeight="1">
      <c r="A494" s="95" t="s">
        <v>32</v>
      </c>
      <c r="B494" s="95"/>
      <c r="C494" s="95"/>
      <c r="D494" s="95"/>
      <c r="E494" s="95"/>
      <c r="F494" s="95"/>
      <c r="G494" s="95"/>
      <c r="J494" s="25">
        <f t="shared" si="27"/>
        <v>16</v>
      </c>
    </row>
    <row r="495" spans="1:10" ht="16.95" customHeight="1">
      <c r="A495" s="51" t="s">
        <v>33</v>
      </c>
      <c r="B495" s="51" t="s">
        <v>34</v>
      </c>
      <c r="C495" s="94" t="s">
        <v>35</v>
      </c>
      <c r="D495" s="94"/>
      <c r="E495" s="51" t="s">
        <v>36</v>
      </c>
      <c r="F495" s="51" t="s">
        <v>37</v>
      </c>
      <c r="G495" s="51" t="s">
        <v>38</v>
      </c>
      <c r="J495" s="25">
        <f t="shared" si="27"/>
        <v>16</v>
      </c>
    </row>
    <row r="496" spans="1:10" ht="16.95" customHeight="1">
      <c r="A496" s="51" t="s">
        <v>39</v>
      </c>
      <c r="B496" s="6"/>
      <c r="C496" s="94" t="e">
        <f>B496+C433</f>
        <v>#REF!</v>
      </c>
      <c r="D496" s="94"/>
      <c r="E496" s="51"/>
      <c r="F496" s="24"/>
      <c r="G496" s="24"/>
      <c r="J496" s="25">
        <f t="shared" si="27"/>
        <v>16</v>
      </c>
    </row>
    <row r="497" spans="1:10" ht="16.95" customHeight="1">
      <c r="A497" s="51" t="s">
        <v>40</v>
      </c>
      <c r="B497" s="6"/>
      <c r="C497" s="94" t="e">
        <f>B497+C434</f>
        <v>#REF!</v>
      </c>
      <c r="D497" s="94"/>
      <c r="E497" s="51"/>
      <c r="F497" s="24"/>
      <c r="G497" s="24"/>
      <c r="J497" s="25">
        <f t="shared" si="27"/>
        <v>16</v>
      </c>
    </row>
    <row r="498" spans="1:10" ht="36.6" customHeight="1">
      <c r="A498" s="95" t="s">
        <v>41</v>
      </c>
      <c r="B498" s="95"/>
      <c r="C498" s="95"/>
      <c r="D498" s="95"/>
      <c r="E498" s="95"/>
      <c r="F498" s="95"/>
      <c r="G498" s="95"/>
      <c r="J498" s="25">
        <f t="shared" si="27"/>
        <v>16</v>
      </c>
    </row>
    <row r="499" spans="1:10" ht="90" customHeight="1">
      <c r="A499" s="92" t="s">
        <v>42</v>
      </c>
      <c r="B499" s="92"/>
      <c r="C499" s="92"/>
      <c r="D499" s="92"/>
      <c r="E499" s="92"/>
      <c r="F499" s="92"/>
      <c r="G499" s="92"/>
      <c r="J499" s="25">
        <f t="shared" si="27"/>
        <v>16</v>
      </c>
    </row>
    <row r="500" spans="1:10" ht="16.95" customHeight="1">
      <c r="A500" s="95" t="s">
        <v>43</v>
      </c>
      <c r="B500" s="95"/>
      <c r="C500" s="95"/>
      <c r="D500" s="95"/>
      <c r="E500" s="95"/>
      <c r="F500" s="95"/>
      <c r="G500" s="95"/>
      <c r="J500" s="25">
        <f t="shared" si="27"/>
        <v>16</v>
      </c>
    </row>
    <row r="501" spans="1:10" ht="16.95" customHeight="1">
      <c r="A501" s="95" t="s">
        <v>44</v>
      </c>
      <c r="B501" s="95"/>
      <c r="C501" s="95"/>
      <c r="D501" s="95"/>
      <c r="E501" s="95"/>
      <c r="F501" s="95"/>
      <c r="G501" s="95"/>
      <c r="J501" s="25">
        <f t="shared" si="27"/>
        <v>16</v>
      </c>
    </row>
    <row r="502" spans="1:10" ht="16.95" customHeight="1">
      <c r="A502" s="91" t="s">
        <v>64</v>
      </c>
      <c r="B502" s="91"/>
      <c r="C502" s="91"/>
      <c r="D502" s="91"/>
      <c r="E502" s="91"/>
      <c r="F502" s="91"/>
      <c r="G502" s="91"/>
      <c r="J502" s="25">
        <f t="shared" si="27"/>
        <v>16</v>
      </c>
    </row>
    <row r="503" spans="1:10" ht="120.6" customHeight="1">
      <c r="A503" s="92" t="s">
        <v>45</v>
      </c>
      <c r="B503" s="92"/>
      <c r="C503" s="92"/>
      <c r="D503" s="92"/>
      <c r="E503" s="92"/>
      <c r="F503" s="92"/>
      <c r="G503" s="92"/>
      <c r="J503" s="25">
        <f t="shared" si="27"/>
        <v>16</v>
      </c>
    </row>
    <row r="504" spans="1:10" ht="140.4" customHeight="1">
      <c r="A504" s="93" t="s">
        <v>46</v>
      </c>
      <c r="B504" s="93"/>
      <c r="C504" s="93"/>
      <c r="D504" s="93"/>
      <c r="E504" s="93"/>
      <c r="F504" s="93"/>
      <c r="G504" s="93"/>
      <c r="J504" s="25">
        <f t="shared" si="27"/>
        <v>16</v>
      </c>
    </row>
    <row r="505" spans="1:10" ht="37.200000000000003" customHeight="1">
      <c r="A505" s="103" t="s">
        <v>0</v>
      </c>
      <c r="B505" s="103"/>
      <c r="C505" s="103"/>
      <c r="D505" s="103"/>
      <c r="E505" s="103"/>
      <c r="F505" s="103"/>
      <c r="G505" s="103"/>
      <c r="J505" s="25">
        <f t="shared" si="27"/>
        <v>17</v>
      </c>
    </row>
    <row r="506" spans="1:10" ht="16.95" customHeight="1">
      <c r="A506" s="1" t="s">
        <v>1</v>
      </c>
      <c r="B506" s="104">
        <f>B443+1</f>
        <v>10</v>
      </c>
      <c r="C506" s="104"/>
      <c r="D506" s="104"/>
      <c r="E506" s="104"/>
      <c r="F506" s="104"/>
      <c r="G506" s="104"/>
      <c r="J506" s="25">
        <f t="shared" si="27"/>
        <v>17</v>
      </c>
    </row>
    <row r="507" spans="1:10" ht="16.95" customHeight="1">
      <c r="A507" s="1" t="s">
        <v>2</v>
      </c>
      <c r="B507" s="105" t="s">
        <v>63</v>
      </c>
      <c r="C507" s="105"/>
      <c r="D507" s="105"/>
      <c r="E507" s="106">
        <f>E444+1</f>
        <v>46212</v>
      </c>
      <c r="F507" s="106"/>
      <c r="G507" s="106"/>
      <c r="J507" s="25">
        <f t="shared" ref="J507:J570" si="31">J444+2</f>
        <v>17</v>
      </c>
    </row>
    <row r="508" spans="1:10" ht="16.95" customHeight="1">
      <c r="A508" s="53" t="s">
        <v>3</v>
      </c>
      <c r="B508" s="2" t="s">
        <v>67</v>
      </c>
      <c r="C508" s="98" t="s">
        <v>4</v>
      </c>
      <c r="D508" s="98"/>
      <c r="E508" s="98" t="s">
        <v>47</v>
      </c>
      <c r="F508" s="98"/>
      <c r="G508" s="98"/>
      <c r="J508" s="25">
        <f t="shared" si="31"/>
        <v>17</v>
      </c>
    </row>
    <row r="509" spans="1:10" ht="16.95" customHeight="1">
      <c r="A509" s="53" t="s">
        <v>5</v>
      </c>
      <c r="B509" s="54">
        <v>120</v>
      </c>
      <c r="C509" s="98" t="s">
        <v>6</v>
      </c>
      <c r="D509" s="98"/>
      <c r="E509" s="98" t="s">
        <v>123</v>
      </c>
      <c r="F509" s="98"/>
      <c r="G509" s="98"/>
      <c r="J509" s="25">
        <f t="shared" si="31"/>
        <v>17</v>
      </c>
    </row>
    <row r="510" spans="1:10" ht="16.95" customHeight="1">
      <c r="A510" s="53" t="s">
        <v>7</v>
      </c>
      <c r="B510" s="54">
        <f>B506</f>
        <v>10</v>
      </c>
      <c r="C510" s="100" t="s">
        <v>8</v>
      </c>
      <c r="D510" s="100"/>
      <c r="E510" s="101">
        <f>B509-B510</f>
        <v>110</v>
      </c>
      <c r="F510" s="101"/>
      <c r="G510" s="101"/>
      <c r="J510" s="25">
        <f t="shared" si="31"/>
        <v>17</v>
      </c>
    </row>
    <row r="511" spans="1:10" ht="16.95" customHeight="1">
      <c r="A511" s="53" t="s">
        <v>9</v>
      </c>
      <c r="B511" s="55">
        <v>46204</v>
      </c>
      <c r="C511" s="98" t="s">
        <v>10</v>
      </c>
      <c r="D511" s="98"/>
      <c r="E511" s="102">
        <f>B511+B509-1</f>
        <v>46323</v>
      </c>
      <c r="F511" s="102"/>
      <c r="G511" s="102"/>
      <c r="J511" s="25">
        <f t="shared" si="31"/>
        <v>17</v>
      </c>
    </row>
    <row r="512" spans="1:10" ht="16.95" customHeight="1">
      <c r="A512" s="53" t="s">
        <v>11</v>
      </c>
      <c r="B512" s="56" t="e">
        <f>HLOOKUP(B506,進度表!$Q$2:$Z$3,2,1)+B449</f>
        <v>#REF!</v>
      </c>
      <c r="C512" s="98" t="s">
        <v>12</v>
      </c>
      <c r="D512" s="98"/>
      <c r="E512" s="99" t="e">
        <f>I550/I512+E449</f>
        <v>#REF!</v>
      </c>
      <c r="F512" s="99"/>
      <c r="G512" s="99"/>
      <c r="H512" s="3" t="s">
        <v>62</v>
      </c>
      <c r="I512" s="1">
        <v>2456000</v>
      </c>
      <c r="J512" s="25">
        <f t="shared" si="31"/>
        <v>17</v>
      </c>
    </row>
    <row r="513" spans="1:10" ht="16.95" customHeight="1">
      <c r="A513" s="98" t="s">
        <v>13</v>
      </c>
      <c r="B513" s="98"/>
      <c r="C513" s="98"/>
      <c r="D513" s="98"/>
      <c r="E513" s="98"/>
      <c r="F513" s="98"/>
      <c r="G513" s="98"/>
      <c r="J513" s="25">
        <f t="shared" si="31"/>
        <v>17</v>
      </c>
    </row>
    <row r="514" spans="1:10" ht="16.95" customHeight="1">
      <c r="A514" s="52" t="s">
        <v>14</v>
      </c>
      <c r="B514" s="52" t="s">
        <v>15</v>
      </c>
      <c r="C514" s="52" t="s">
        <v>16</v>
      </c>
      <c r="D514" s="52" t="s">
        <v>17</v>
      </c>
      <c r="E514" s="52" t="s">
        <v>18</v>
      </c>
      <c r="F514" s="52" t="s">
        <v>19</v>
      </c>
      <c r="G514" s="52" t="s">
        <v>20</v>
      </c>
      <c r="H514" s="3" t="s">
        <v>21</v>
      </c>
      <c r="I514" s="3" t="s">
        <v>22</v>
      </c>
      <c r="J514" s="25">
        <f t="shared" si="31"/>
        <v>17</v>
      </c>
    </row>
    <row r="515" spans="1:10" ht="16.95" customHeight="1">
      <c r="A515" s="75" t="s">
        <v>65</v>
      </c>
      <c r="B515" s="76" t="s">
        <v>69</v>
      </c>
      <c r="C515" s="77"/>
      <c r="D515" s="78"/>
      <c r="E515" s="79"/>
      <c r="F515" s="79"/>
      <c r="G515" s="2"/>
      <c r="H515" s="37"/>
      <c r="I515" s="4"/>
      <c r="J515" s="25">
        <f t="shared" si="31"/>
        <v>17</v>
      </c>
    </row>
    <row r="516" spans="1:10" ht="34.950000000000003" customHeight="1">
      <c r="A516" s="75">
        <v>1</v>
      </c>
      <c r="B516" s="80" t="s">
        <v>91</v>
      </c>
      <c r="C516" s="77" t="s">
        <v>48</v>
      </c>
      <c r="D516" s="78">
        <v>1</v>
      </c>
      <c r="E516" s="79"/>
      <c r="F516" s="79" t="e">
        <f t="shared" ref="F516:F549" si="32">E516+F453</f>
        <v>#REF!</v>
      </c>
      <c r="G516" s="2"/>
      <c r="H516" s="37">
        <v>10508</v>
      </c>
      <c r="I516" s="4">
        <f>H516*E516</f>
        <v>0</v>
      </c>
      <c r="J516" s="25">
        <f t="shared" si="31"/>
        <v>17</v>
      </c>
    </row>
    <row r="517" spans="1:10" ht="34.799999999999997" customHeight="1">
      <c r="A517" s="75">
        <v>2</v>
      </c>
      <c r="B517" s="80" t="s">
        <v>92</v>
      </c>
      <c r="C517" s="77" t="s">
        <v>48</v>
      </c>
      <c r="D517" s="78">
        <v>1</v>
      </c>
      <c r="E517" s="79"/>
      <c r="F517" s="79" t="e">
        <f t="shared" si="32"/>
        <v>#REF!</v>
      </c>
      <c r="G517" s="2"/>
      <c r="H517" s="37">
        <v>13223</v>
      </c>
      <c r="I517" s="4">
        <f>H517*E517</f>
        <v>0</v>
      </c>
      <c r="J517" s="25">
        <f t="shared" si="31"/>
        <v>17</v>
      </c>
    </row>
    <row r="518" spans="1:10" ht="53.4" customHeight="1">
      <c r="A518" s="75">
        <v>3</v>
      </c>
      <c r="B518" s="80" t="s">
        <v>93</v>
      </c>
      <c r="C518" s="77" t="s">
        <v>48</v>
      </c>
      <c r="D518" s="78">
        <v>1</v>
      </c>
      <c r="E518" s="79"/>
      <c r="F518" s="79" t="e">
        <f t="shared" si="32"/>
        <v>#REF!</v>
      </c>
      <c r="G518" s="2"/>
      <c r="H518" s="37">
        <v>310497</v>
      </c>
      <c r="I518" s="4">
        <f t="shared" ref="I518:I549" si="33">H518*E518</f>
        <v>0</v>
      </c>
      <c r="J518" s="25">
        <f t="shared" si="31"/>
        <v>17</v>
      </c>
    </row>
    <row r="519" spans="1:10" ht="16.95" customHeight="1">
      <c r="A519" s="75">
        <v>4</v>
      </c>
      <c r="B519" s="80" t="s">
        <v>94</v>
      </c>
      <c r="C519" s="77" t="s">
        <v>48</v>
      </c>
      <c r="D519" s="78">
        <v>1</v>
      </c>
      <c r="E519" s="79"/>
      <c r="F519" s="79" t="e">
        <f t="shared" si="32"/>
        <v>#REF!</v>
      </c>
      <c r="G519" s="2"/>
      <c r="H519" s="37">
        <v>8375</v>
      </c>
      <c r="I519" s="4">
        <f t="shared" si="33"/>
        <v>0</v>
      </c>
      <c r="J519" s="25">
        <f t="shared" si="31"/>
        <v>17</v>
      </c>
    </row>
    <row r="520" spans="1:10" ht="16.95" customHeight="1">
      <c r="A520" s="75">
        <v>5</v>
      </c>
      <c r="B520" s="80" t="s">
        <v>95</v>
      </c>
      <c r="C520" s="77" t="s">
        <v>48</v>
      </c>
      <c r="D520" s="78">
        <v>1</v>
      </c>
      <c r="E520" s="79"/>
      <c r="F520" s="79" t="e">
        <f t="shared" si="32"/>
        <v>#REF!</v>
      </c>
      <c r="G520" s="2"/>
      <c r="H520" s="37">
        <v>51618</v>
      </c>
      <c r="I520" s="4">
        <f t="shared" si="33"/>
        <v>0</v>
      </c>
      <c r="J520" s="25">
        <f t="shared" si="31"/>
        <v>17</v>
      </c>
    </row>
    <row r="521" spans="1:10" ht="16.95" customHeight="1">
      <c r="A521" s="75">
        <v>6</v>
      </c>
      <c r="B521" s="80" t="s">
        <v>96</v>
      </c>
      <c r="C521" s="77" t="s">
        <v>50</v>
      </c>
      <c r="D521" s="78">
        <v>11.55</v>
      </c>
      <c r="E521" s="79"/>
      <c r="F521" s="79" t="e">
        <f t="shared" si="32"/>
        <v>#REF!</v>
      </c>
      <c r="G521" s="2"/>
      <c r="H521" s="37">
        <v>1188</v>
      </c>
      <c r="I521" s="4">
        <f t="shared" si="33"/>
        <v>0</v>
      </c>
      <c r="J521" s="25">
        <f t="shared" si="31"/>
        <v>17</v>
      </c>
    </row>
    <row r="522" spans="1:10" ht="34.950000000000003" customHeight="1">
      <c r="A522" s="75">
        <v>7</v>
      </c>
      <c r="B522" s="80" t="s">
        <v>97</v>
      </c>
      <c r="C522" s="77" t="s">
        <v>48</v>
      </c>
      <c r="D522" s="78">
        <v>1</v>
      </c>
      <c r="E522" s="79"/>
      <c r="F522" s="79" t="e">
        <f t="shared" si="32"/>
        <v>#REF!</v>
      </c>
      <c r="G522" s="2"/>
      <c r="H522" s="37">
        <v>21157</v>
      </c>
      <c r="I522" s="4">
        <f t="shared" si="33"/>
        <v>0</v>
      </c>
      <c r="J522" s="25">
        <f t="shared" si="31"/>
        <v>17</v>
      </c>
    </row>
    <row r="523" spans="1:10" ht="16.95" customHeight="1">
      <c r="A523" s="75">
        <v>8</v>
      </c>
      <c r="B523" s="80" t="s">
        <v>98</v>
      </c>
      <c r="C523" s="77" t="s">
        <v>50</v>
      </c>
      <c r="D523" s="78">
        <v>387</v>
      </c>
      <c r="E523" s="79"/>
      <c r="F523" s="79" t="e">
        <f t="shared" si="32"/>
        <v>#REF!</v>
      </c>
      <c r="G523" s="2"/>
      <c r="H523" s="37">
        <v>705</v>
      </c>
      <c r="I523" s="4">
        <f t="shared" si="33"/>
        <v>0</v>
      </c>
      <c r="J523" s="25">
        <f t="shared" si="31"/>
        <v>17</v>
      </c>
    </row>
    <row r="524" spans="1:10" ht="16.95" customHeight="1">
      <c r="A524" s="75">
        <v>9</v>
      </c>
      <c r="B524" s="80" t="s">
        <v>99</v>
      </c>
      <c r="C524" s="77" t="s">
        <v>50</v>
      </c>
      <c r="D524" s="78">
        <v>170</v>
      </c>
      <c r="E524" s="79"/>
      <c r="F524" s="79" t="e">
        <f t="shared" si="32"/>
        <v>#REF!</v>
      </c>
      <c r="G524" s="2"/>
      <c r="H524" s="37">
        <v>617</v>
      </c>
      <c r="I524" s="4">
        <f t="shared" si="33"/>
        <v>0</v>
      </c>
      <c r="J524" s="25">
        <f t="shared" si="31"/>
        <v>17</v>
      </c>
    </row>
    <row r="525" spans="1:10" ht="16.95" customHeight="1">
      <c r="A525" s="75">
        <v>10</v>
      </c>
      <c r="B525" s="80" t="s">
        <v>100</v>
      </c>
      <c r="C525" s="77" t="s">
        <v>66</v>
      </c>
      <c r="D525" s="78">
        <v>15</v>
      </c>
      <c r="E525" s="79"/>
      <c r="F525" s="79" t="e">
        <f t="shared" si="32"/>
        <v>#REF!</v>
      </c>
      <c r="G525" s="2"/>
      <c r="H525" s="37">
        <v>617</v>
      </c>
      <c r="I525" s="4">
        <f t="shared" si="33"/>
        <v>0</v>
      </c>
      <c r="J525" s="25">
        <f t="shared" si="31"/>
        <v>17</v>
      </c>
    </row>
    <row r="526" spans="1:10" ht="16.95" customHeight="1">
      <c r="A526" s="75">
        <v>11</v>
      </c>
      <c r="B526" s="80" t="s">
        <v>101</v>
      </c>
      <c r="C526" s="77" t="s">
        <v>50</v>
      </c>
      <c r="D526" s="78">
        <v>75</v>
      </c>
      <c r="E526" s="79"/>
      <c r="F526" s="79" t="e">
        <f t="shared" si="32"/>
        <v>#REF!</v>
      </c>
      <c r="G526" s="2"/>
      <c r="H526" s="37">
        <v>1146</v>
      </c>
      <c r="I526" s="4">
        <f t="shared" si="33"/>
        <v>0</v>
      </c>
      <c r="J526" s="25">
        <f t="shared" si="31"/>
        <v>17</v>
      </c>
    </row>
    <row r="527" spans="1:10" ht="16.95" customHeight="1">
      <c r="A527" s="75">
        <v>12</v>
      </c>
      <c r="B527" s="80" t="s">
        <v>102</v>
      </c>
      <c r="C527" s="77" t="s">
        <v>50</v>
      </c>
      <c r="D527" s="78">
        <v>5</v>
      </c>
      <c r="E527" s="79"/>
      <c r="F527" s="79" t="e">
        <f t="shared" si="32"/>
        <v>#REF!</v>
      </c>
      <c r="G527" s="2"/>
      <c r="H527" s="37">
        <v>1455</v>
      </c>
      <c r="I527" s="4">
        <f t="shared" si="33"/>
        <v>0</v>
      </c>
      <c r="J527" s="25">
        <f t="shared" si="31"/>
        <v>17</v>
      </c>
    </row>
    <row r="528" spans="1:10" ht="16.95" customHeight="1">
      <c r="A528" s="75">
        <v>13</v>
      </c>
      <c r="B528" s="80" t="s">
        <v>103</v>
      </c>
      <c r="C528" s="77" t="s">
        <v>50</v>
      </c>
      <c r="D528" s="78">
        <v>217</v>
      </c>
      <c r="E528" s="79"/>
      <c r="F528" s="79" t="e">
        <f t="shared" si="32"/>
        <v>#REF!</v>
      </c>
      <c r="G528" s="2"/>
      <c r="H528" s="37">
        <v>1410</v>
      </c>
      <c r="I528" s="4">
        <f t="shared" si="33"/>
        <v>0</v>
      </c>
      <c r="J528" s="25">
        <f t="shared" si="31"/>
        <v>17</v>
      </c>
    </row>
    <row r="529" spans="1:10" ht="16.95" customHeight="1">
      <c r="A529" s="75">
        <v>14</v>
      </c>
      <c r="B529" s="80" t="s">
        <v>104</v>
      </c>
      <c r="C529" s="77" t="s">
        <v>49</v>
      </c>
      <c r="D529" s="78">
        <v>84</v>
      </c>
      <c r="E529" s="79"/>
      <c r="F529" s="79" t="e">
        <f t="shared" si="32"/>
        <v>#REF!</v>
      </c>
      <c r="G529" s="2"/>
      <c r="H529" s="37">
        <v>529</v>
      </c>
      <c r="I529" s="4">
        <f t="shared" si="33"/>
        <v>0</v>
      </c>
      <c r="J529" s="25">
        <f t="shared" si="31"/>
        <v>17</v>
      </c>
    </row>
    <row r="530" spans="1:10" ht="16.95" customHeight="1">
      <c r="A530" s="75">
        <v>15</v>
      </c>
      <c r="B530" s="80" t="s">
        <v>105</v>
      </c>
      <c r="C530" s="77" t="s">
        <v>50</v>
      </c>
      <c r="D530" s="78">
        <v>1</v>
      </c>
      <c r="E530" s="79"/>
      <c r="F530" s="79" t="e">
        <f t="shared" si="32"/>
        <v>#REF!</v>
      </c>
      <c r="G530" s="2"/>
      <c r="H530" s="37">
        <v>1146</v>
      </c>
      <c r="I530" s="4">
        <f t="shared" si="33"/>
        <v>0</v>
      </c>
      <c r="J530" s="25">
        <f t="shared" si="31"/>
        <v>17</v>
      </c>
    </row>
    <row r="531" spans="1:10" ht="34.799999999999997" customHeight="1">
      <c r="A531" s="75">
        <v>16</v>
      </c>
      <c r="B531" s="80" t="s">
        <v>106</v>
      </c>
      <c r="C531" s="77" t="s">
        <v>50</v>
      </c>
      <c r="D531" s="78">
        <v>314</v>
      </c>
      <c r="E531" s="79"/>
      <c r="F531" s="79" t="e">
        <f t="shared" si="32"/>
        <v>#REF!</v>
      </c>
      <c r="G531" s="2"/>
      <c r="H531" s="37">
        <v>185</v>
      </c>
      <c r="I531" s="4">
        <f t="shared" si="33"/>
        <v>0</v>
      </c>
      <c r="J531" s="25">
        <f t="shared" si="31"/>
        <v>17</v>
      </c>
    </row>
    <row r="532" spans="1:10" ht="16.95" customHeight="1">
      <c r="A532" s="75">
        <v>17</v>
      </c>
      <c r="B532" s="80" t="s">
        <v>107</v>
      </c>
      <c r="C532" s="77" t="s">
        <v>48</v>
      </c>
      <c r="D532" s="78">
        <v>1</v>
      </c>
      <c r="E532" s="79"/>
      <c r="F532" s="79" t="e">
        <f t="shared" si="32"/>
        <v>#REF!</v>
      </c>
      <c r="G532" s="2"/>
      <c r="H532" s="37">
        <v>89918</v>
      </c>
      <c r="I532" s="4">
        <f t="shared" si="33"/>
        <v>0</v>
      </c>
      <c r="J532" s="25">
        <f t="shared" si="31"/>
        <v>17</v>
      </c>
    </row>
    <row r="533" spans="1:10" ht="16.95" customHeight="1">
      <c r="A533" s="75">
        <v>18</v>
      </c>
      <c r="B533" s="80" t="s">
        <v>108</v>
      </c>
      <c r="C533" s="77" t="s">
        <v>120</v>
      </c>
      <c r="D533" s="78">
        <v>15</v>
      </c>
      <c r="E533" s="79"/>
      <c r="F533" s="79" t="e">
        <f t="shared" si="32"/>
        <v>#REF!</v>
      </c>
      <c r="G533" s="2"/>
      <c r="H533" s="37">
        <v>661</v>
      </c>
      <c r="I533" s="4">
        <f t="shared" si="33"/>
        <v>0</v>
      </c>
      <c r="J533" s="25">
        <f t="shared" si="31"/>
        <v>17</v>
      </c>
    </row>
    <row r="534" spans="1:10" ht="16.95" customHeight="1">
      <c r="A534" s="75">
        <v>19</v>
      </c>
      <c r="B534" s="80" t="s">
        <v>109</v>
      </c>
      <c r="C534" s="77" t="s">
        <v>50</v>
      </c>
      <c r="D534" s="78">
        <v>82</v>
      </c>
      <c r="E534" s="79"/>
      <c r="F534" s="79" t="e">
        <f t="shared" si="32"/>
        <v>#REF!</v>
      </c>
      <c r="G534" s="2"/>
      <c r="H534" s="37">
        <v>2909</v>
      </c>
      <c r="I534" s="4">
        <f t="shared" si="33"/>
        <v>0</v>
      </c>
      <c r="J534" s="25">
        <f t="shared" si="31"/>
        <v>17</v>
      </c>
    </row>
    <row r="535" spans="1:10" ht="16.95" customHeight="1">
      <c r="A535" s="75">
        <v>20</v>
      </c>
      <c r="B535" s="80" t="s">
        <v>110</v>
      </c>
      <c r="C535" s="77" t="s">
        <v>121</v>
      </c>
      <c r="D535" s="78">
        <v>12</v>
      </c>
      <c r="E535" s="79"/>
      <c r="F535" s="79" t="e">
        <f t="shared" si="32"/>
        <v>#REF!</v>
      </c>
      <c r="G535" s="2"/>
      <c r="H535" s="37">
        <v>882</v>
      </c>
      <c r="I535" s="4">
        <f t="shared" si="33"/>
        <v>0</v>
      </c>
      <c r="J535" s="25">
        <f t="shared" si="31"/>
        <v>17</v>
      </c>
    </row>
    <row r="536" spans="1:10" ht="16.95" customHeight="1">
      <c r="A536" s="77">
        <v>21</v>
      </c>
      <c r="B536" s="80" t="s">
        <v>111</v>
      </c>
      <c r="C536" s="77" t="s">
        <v>122</v>
      </c>
      <c r="D536" s="78">
        <v>3</v>
      </c>
      <c r="E536" s="79"/>
      <c r="F536" s="79" t="e">
        <f t="shared" si="32"/>
        <v>#REF!</v>
      </c>
      <c r="G536" s="2"/>
      <c r="H536" s="38">
        <v>1869</v>
      </c>
      <c r="I536" s="4">
        <f t="shared" si="33"/>
        <v>0</v>
      </c>
      <c r="J536" s="25">
        <f t="shared" si="31"/>
        <v>17</v>
      </c>
    </row>
    <row r="537" spans="1:10" ht="34.950000000000003" customHeight="1">
      <c r="A537" s="75">
        <v>22</v>
      </c>
      <c r="B537" s="80" t="s">
        <v>112</v>
      </c>
      <c r="C537" s="77" t="s">
        <v>48</v>
      </c>
      <c r="D537" s="78">
        <v>1</v>
      </c>
      <c r="E537" s="79"/>
      <c r="F537" s="79" t="e">
        <f t="shared" si="32"/>
        <v>#REF!</v>
      </c>
      <c r="G537" s="2"/>
      <c r="H537" s="37">
        <v>82206</v>
      </c>
      <c r="I537" s="4">
        <f t="shared" si="33"/>
        <v>0</v>
      </c>
      <c r="J537" s="25">
        <f t="shared" si="31"/>
        <v>17</v>
      </c>
    </row>
    <row r="538" spans="1:10" ht="16.95" customHeight="1">
      <c r="A538" s="75">
        <v>23</v>
      </c>
      <c r="B538" s="80" t="s">
        <v>113</v>
      </c>
      <c r="C538" s="77" t="s">
        <v>48</v>
      </c>
      <c r="D538" s="78">
        <v>1</v>
      </c>
      <c r="E538" s="79"/>
      <c r="F538" s="79" t="e">
        <f t="shared" si="32"/>
        <v>#REF!</v>
      </c>
      <c r="G538" s="2"/>
      <c r="H538" s="37">
        <v>142723</v>
      </c>
      <c r="I538" s="4">
        <f t="shared" si="33"/>
        <v>0</v>
      </c>
      <c r="J538" s="25">
        <f t="shared" si="31"/>
        <v>17</v>
      </c>
    </row>
    <row r="539" spans="1:10" ht="16.95" customHeight="1">
      <c r="A539" s="75">
        <v>24</v>
      </c>
      <c r="B539" s="80" t="s">
        <v>114</v>
      </c>
      <c r="C539" s="77" t="s">
        <v>48</v>
      </c>
      <c r="D539" s="78">
        <v>1</v>
      </c>
      <c r="E539" s="79"/>
      <c r="F539" s="79" t="e">
        <f t="shared" si="32"/>
        <v>#REF!</v>
      </c>
      <c r="G539" s="2"/>
      <c r="H539" s="37">
        <v>37290</v>
      </c>
      <c r="I539" s="4">
        <f t="shared" si="33"/>
        <v>0</v>
      </c>
      <c r="J539" s="25">
        <f t="shared" si="31"/>
        <v>17</v>
      </c>
    </row>
    <row r="540" spans="1:10" ht="16.95" customHeight="1">
      <c r="A540" s="75">
        <v>25</v>
      </c>
      <c r="B540" s="80" t="s">
        <v>115</v>
      </c>
      <c r="C540" s="77" t="s">
        <v>48</v>
      </c>
      <c r="D540" s="78">
        <v>1</v>
      </c>
      <c r="E540" s="79"/>
      <c r="F540" s="79" t="e">
        <f t="shared" si="32"/>
        <v>#REF!</v>
      </c>
      <c r="G540" s="2"/>
      <c r="H540" s="37">
        <v>99394</v>
      </c>
      <c r="I540" s="4">
        <f t="shared" si="33"/>
        <v>0</v>
      </c>
      <c r="J540" s="25">
        <f t="shared" si="31"/>
        <v>17</v>
      </c>
    </row>
    <row r="541" spans="1:10" ht="34.950000000000003" customHeight="1">
      <c r="A541" s="75">
        <v>26</v>
      </c>
      <c r="B541" s="80" t="s">
        <v>116</v>
      </c>
      <c r="C541" s="77" t="s">
        <v>48</v>
      </c>
      <c r="D541" s="78">
        <v>1</v>
      </c>
      <c r="E541" s="79"/>
      <c r="F541" s="79" t="e">
        <f t="shared" si="32"/>
        <v>#REF!</v>
      </c>
      <c r="G541" s="2"/>
      <c r="H541" s="37">
        <v>21334</v>
      </c>
      <c r="I541" s="4">
        <f t="shared" si="33"/>
        <v>0</v>
      </c>
      <c r="J541" s="25">
        <f t="shared" si="31"/>
        <v>17</v>
      </c>
    </row>
    <row r="542" spans="1:10" ht="16.95" customHeight="1">
      <c r="A542" s="75">
        <v>27</v>
      </c>
      <c r="B542" s="80" t="s">
        <v>117</v>
      </c>
      <c r="C542" s="77" t="s">
        <v>48</v>
      </c>
      <c r="D542" s="78">
        <v>1</v>
      </c>
      <c r="E542" s="79"/>
      <c r="F542" s="79" t="e">
        <f t="shared" si="32"/>
        <v>#REF!</v>
      </c>
      <c r="G542" s="2"/>
      <c r="H542" s="37">
        <v>29620</v>
      </c>
      <c r="I542" s="4">
        <f t="shared" si="33"/>
        <v>0</v>
      </c>
      <c r="J542" s="25">
        <f t="shared" si="31"/>
        <v>17</v>
      </c>
    </row>
    <row r="543" spans="1:10" ht="16.95" customHeight="1">
      <c r="A543" s="75">
        <v>28</v>
      </c>
      <c r="B543" s="80" t="s">
        <v>118</v>
      </c>
      <c r="C543" s="77" t="s">
        <v>48</v>
      </c>
      <c r="D543" s="78">
        <v>1</v>
      </c>
      <c r="E543" s="79"/>
      <c r="F543" s="79" t="e">
        <f t="shared" si="32"/>
        <v>#REF!</v>
      </c>
      <c r="G543" s="2"/>
      <c r="H543" s="37">
        <v>18506</v>
      </c>
      <c r="I543" s="4">
        <f t="shared" si="33"/>
        <v>0</v>
      </c>
      <c r="J543" s="25">
        <f t="shared" si="31"/>
        <v>17</v>
      </c>
    </row>
    <row r="544" spans="1:10" ht="16.95" customHeight="1">
      <c r="A544" s="75">
        <v>29</v>
      </c>
      <c r="B544" s="80" t="s">
        <v>119</v>
      </c>
      <c r="C544" s="77" t="s">
        <v>48</v>
      </c>
      <c r="D544" s="78">
        <v>1</v>
      </c>
      <c r="E544" s="79"/>
      <c r="F544" s="79" t="e">
        <f t="shared" si="32"/>
        <v>#REF!</v>
      </c>
      <c r="G544" s="2"/>
      <c r="H544" s="37">
        <v>34381</v>
      </c>
      <c r="I544" s="4">
        <f t="shared" si="33"/>
        <v>0</v>
      </c>
      <c r="J544" s="25">
        <f t="shared" si="31"/>
        <v>17</v>
      </c>
    </row>
    <row r="545" spans="1:10" ht="16.95" customHeight="1">
      <c r="A545" s="75" t="s">
        <v>79</v>
      </c>
      <c r="B545" s="80" t="s">
        <v>80</v>
      </c>
      <c r="C545" s="77" t="s">
        <v>48</v>
      </c>
      <c r="D545" s="78">
        <v>1</v>
      </c>
      <c r="E545" s="79">
        <f t="shared" ref="E545:E548" si="34">1/120</f>
        <v>8.3333333333333332E-3</v>
      </c>
      <c r="F545" s="79" t="e">
        <f t="shared" si="32"/>
        <v>#REF!</v>
      </c>
      <c r="G545" s="2"/>
      <c r="H545" s="37">
        <v>21395</v>
      </c>
      <c r="I545" s="4">
        <f t="shared" si="33"/>
        <v>178.29166666666666</v>
      </c>
      <c r="J545" s="25">
        <f t="shared" si="31"/>
        <v>17</v>
      </c>
    </row>
    <row r="546" spans="1:10" ht="16.95" customHeight="1">
      <c r="A546" s="75" t="s">
        <v>81</v>
      </c>
      <c r="B546" s="80" t="s">
        <v>82</v>
      </c>
      <c r="C546" s="77" t="s">
        <v>48</v>
      </c>
      <c r="D546" s="78">
        <v>1</v>
      </c>
      <c r="E546" s="79">
        <f t="shared" si="34"/>
        <v>8.3333333333333332E-3</v>
      </c>
      <c r="F546" s="79" t="e">
        <f t="shared" si="32"/>
        <v>#REF!</v>
      </c>
      <c r="G546" s="2"/>
      <c r="H546" s="37">
        <v>21395</v>
      </c>
      <c r="I546" s="4">
        <f t="shared" si="33"/>
        <v>178.29166666666666</v>
      </c>
      <c r="J546" s="25">
        <f t="shared" si="31"/>
        <v>17</v>
      </c>
    </row>
    <row r="547" spans="1:10" ht="16.95" customHeight="1">
      <c r="A547" s="75" t="s">
        <v>83</v>
      </c>
      <c r="B547" s="80" t="s">
        <v>84</v>
      </c>
      <c r="C547" s="77" t="s">
        <v>48</v>
      </c>
      <c r="D547" s="78">
        <v>1</v>
      </c>
      <c r="E547" s="79">
        <f t="shared" si="34"/>
        <v>8.3333333333333332E-3</v>
      </c>
      <c r="F547" s="79" t="e">
        <f t="shared" si="32"/>
        <v>#REF!</v>
      </c>
      <c r="G547" s="2"/>
      <c r="H547" s="37">
        <v>149765</v>
      </c>
      <c r="I547" s="4">
        <f t="shared" si="33"/>
        <v>1248.0416666666667</v>
      </c>
      <c r="J547" s="25">
        <f t="shared" si="31"/>
        <v>17</v>
      </c>
    </row>
    <row r="548" spans="1:10" ht="16.95" customHeight="1">
      <c r="A548" s="75" t="s">
        <v>85</v>
      </c>
      <c r="B548" s="80" t="s">
        <v>86</v>
      </c>
      <c r="C548" s="77" t="s">
        <v>48</v>
      </c>
      <c r="D548" s="78">
        <v>1</v>
      </c>
      <c r="E548" s="79">
        <f t="shared" si="34"/>
        <v>8.3333333333333332E-3</v>
      </c>
      <c r="F548" s="79" t="e">
        <f t="shared" si="32"/>
        <v>#REF!</v>
      </c>
      <c r="G548" s="2"/>
      <c r="H548" s="37">
        <v>6996</v>
      </c>
      <c r="I548" s="4">
        <f t="shared" si="33"/>
        <v>58.3</v>
      </c>
      <c r="J548" s="25">
        <f t="shared" si="31"/>
        <v>17</v>
      </c>
    </row>
    <row r="549" spans="1:10" ht="16.95" customHeight="1">
      <c r="A549" s="75" t="s">
        <v>87</v>
      </c>
      <c r="B549" s="80" t="s">
        <v>88</v>
      </c>
      <c r="C549" s="77" t="s">
        <v>48</v>
      </c>
      <c r="D549" s="78">
        <v>1</v>
      </c>
      <c r="E549" s="79">
        <f>1/120</f>
        <v>8.3333333333333332E-3</v>
      </c>
      <c r="F549" s="79" t="e">
        <f t="shared" si="32"/>
        <v>#REF!</v>
      </c>
      <c r="G549" s="2"/>
      <c r="H549" s="37">
        <v>116952</v>
      </c>
      <c r="I549" s="4">
        <f t="shared" si="33"/>
        <v>974.6</v>
      </c>
      <c r="J549" s="25">
        <f t="shared" si="31"/>
        <v>17</v>
      </c>
    </row>
    <row r="550" spans="1:10" ht="16.95" customHeight="1">
      <c r="A550" s="95" t="s">
        <v>23</v>
      </c>
      <c r="B550" s="95"/>
      <c r="C550" s="50"/>
      <c r="D550" s="50"/>
      <c r="E550" s="50"/>
      <c r="F550" s="50"/>
      <c r="G550" s="50"/>
      <c r="H550" s="3" t="s">
        <v>24</v>
      </c>
      <c r="I550" s="5">
        <f>SUM(I515:I549)</f>
        <v>2637.5250000000001</v>
      </c>
      <c r="J550" s="25">
        <f t="shared" si="31"/>
        <v>17</v>
      </c>
    </row>
    <row r="551" spans="1:10" ht="16.95" customHeight="1">
      <c r="A551" s="96" t="s">
        <v>25</v>
      </c>
      <c r="B551" s="96"/>
      <c r="C551" s="50"/>
      <c r="D551" s="50"/>
      <c r="E551" s="50"/>
      <c r="F551" s="50"/>
      <c r="G551" s="50"/>
      <c r="J551" s="25">
        <f t="shared" si="31"/>
        <v>17</v>
      </c>
    </row>
    <row r="552" spans="1:10" ht="16.95" customHeight="1">
      <c r="A552" s="96" t="s">
        <v>26</v>
      </c>
      <c r="B552" s="96"/>
      <c r="C552" s="50"/>
      <c r="D552" s="50"/>
      <c r="E552" s="50"/>
      <c r="F552" s="50"/>
      <c r="G552" s="50"/>
      <c r="J552" s="25">
        <f t="shared" si="31"/>
        <v>17</v>
      </c>
    </row>
    <row r="553" spans="1:10" ht="16.95" customHeight="1">
      <c r="A553" s="95" t="s">
        <v>27</v>
      </c>
      <c r="B553" s="95"/>
      <c r="C553" s="95"/>
      <c r="D553" s="95"/>
      <c r="E553" s="95"/>
      <c r="F553" s="95"/>
      <c r="G553" s="95"/>
      <c r="J553" s="25">
        <f t="shared" si="31"/>
        <v>17</v>
      </c>
    </row>
    <row r="554" spans="1:10" ht="16.95" customHeight="1">
      <c r="A554" s="94" t="s">
        <v>28</v>
      </c>
      <c r="B554" s="94"/>
      <c r="C554" s="51" t="s">
        <v>29</v>
      </c>
      <c r="D554" s="51" t="s">
        <v>30</v>
      </c>
      <c r="E554" s="51" t="s">
        <v>18</v>
      </c>
      <c r="F554" s="51" t="s">
        <v>31</v>
      </c>
      <c r="G554" s="51" t="s">
        <v>20</v>
      </c>
      <c r="J554" s="25">
        <f t="shared" si="31"/>
        <v>17</v>
      </c>
    </row>
    <row r="555" spans="1:10" ht="16.95" customHeight="1">
      <c r="A555" s="96"/>
      <c r="B555" s="96"/>
      <c r="C555" s="50"/>
      <c r="D555" s="50"/>
      <c r="E555" s="50"/>
      <c r="F555" s="50"/>
      <c r="G555" s="51"/>
      <c r="J555" s="25">
        <f t="shared" si="31"/>
        <v>17</v>
      </c>
    </row>
    <row r="556" spans="1:10" ht="16.95" customHeight="1">
      <c r="A556" s="97"/>
      <c r="B556" s="97"/>
      <c r="C556" s="50"/>
      <c r="D556" s="50"/>
      <c r="E556" s="50"/>
      <c r="F556" s="51"/>
      <c r="G556" s="51"/>
      <c r="J556" s="25">
        <f t="shared" si="31"/>
        <v>17</v>
      </c>
    </row>
    <row r="557" spans="1:10" ht="16.95" customHeight="1">
      <c r="A557" s="95" t="s">
        <v>32</v>
      </c>
      <c r="B557" s="95"/>
      <c r="C557" s="95"/>
      <c r="D557" s="95"/>
      <c r="E557" s="95"/>
      <c r="F557" s="95"/>
      <c r="G557" s="95"/>
      <c r="J557" s="25">
        <f t="shared" si="31"/>
        <v>18</v>
      </c>
    </row>
    <row r="558" spans="1:10" ht="16.95" customHeight="1">
      <c r="A558" s="51" t="s">
        <v>33</v>
      </c>
      <c r="B558" s="51" t="s">
        <v>34</v>
      </c>
      <c r="C558" s="94" t="s">
        <v>35</v>
      </c>
      <c r="D558" s="94"/>
      <c r="E558" s="51" t="s">
        <v>36</v>
      </c>
      <c r="F558" s="51" t="s">
        <v>37</v>
      </c>
      <c r="G558" s="51" t="s">
        <v>38</v>
      </c>
      <c r="J558" s="25">
        <f t="shared" si="31"/>
        <v>18</v>
      </c>
    </row>
    <row r="559" spans="1:10" ht="16.95" customHeight="1">
      <c r="A559" s="51" t="s">
        <v>39</v>
      </c>
      <c r="B559" s="6"/>
      <c r="C559" s="94" t="e">
        <f>B559+C496</f>
        <v>#REF!</v>
      </c>
      <c r="D559" s="94"/>
      <c r="E559" s="51"/>
      <c r="F559" s="24"/>
      <c r="G559" s="24"/>
      <c r="J559" s="25">
        <f t="shared" si="31"/>
        <v>18</v>
      </c>
    </row>
    <row r="560" spans="1:10" ht="16.95" customHeight="1">
      <c r="A560" s="51" t="s">
        <v>40</v>
      </c>
      <c r="B560" s="6"/>
      <c r="C560" s="94" t="e">
        <f>B560+C497</f>
        <v>#REF!</v>
      </c>
      <c r="D560" s="94"/>
      <c r="E560" s="51"/>
      <c r="F560" s="24"/>
      <c r="G560" s="24"/>
      <c r="J560" s="25">
        <f t="shared" si="31"/>
        <v>18</v>
      </c>
    </row>
    <row r="561" spans="1:10" ht="36.6" customHeight="1">
      <c r="A561" s="95" t="s">
        <v>41</v>
      </c>
      <c r="B561" s="95"/>
      <c r="C561" s="95"/>
      <c r="D561" s="95"/>
      <c r="E561" s="95"/>
      <c r="F561" s="95"/>
      <c r="G561" s="95"/>
      <c r="J561" s="25">
        <f t="shared" si="31"/>
        <v>18</v>
      </c>
    </row>
    <row r="562" spans="1:10" ht="90" customHeight="1">
      <c r="A562" s="92" t="s">
        <v>42</v>
      </c>
      <c r="B562" s="92"/>
      <c r="C562" s="92"/>
      <c r="D562" s="92"/>
      <c r="E562" s="92"/>
      <c r="F562" s="92"/>
      <c r="G562" s="92"/>
      <c r="J562" s="25">
        <f t="shared" si="31"/>
        <v>18</v>
      </c>
    </row>
    <row r="563" spans="1:10" ht="16.95" customHeight="1">
      <c r="A563" s="95" t="s">
        <v>43</v>
      </c>
      <c r="B563" s="95"/>
      <c r="C563" s="95"/>
      <c r="D563" s="95"/>
      <c r="E563" s="95"/>
      <c r="F563" s="95"/>
      <c r="G563" s="95"/>
      <c r="J563" s="25">
        <f t="shared" si="31"/>
        <v>18</v>
      </c>
    </row>
    <row r="564" spans="1:10" ht="16.95" customHeight="1">
      <c r="A564" s="95" t="s">
        <v>44</v>
      </c>
      <c r="B564" s="95"/>
      <c r="C564" s="95"/>
      <c r="D564" s="95"/>
      <c r="E564" s="95"/>
      <c r="F564" s="95"/>
      <c r="G564" s="95"/>
      <c r="J564" s="25">
        <f t="shared" si="31"/>
        <v>18</v>
      </c>
    </row>
    <row r="565" spans="1:10" ht="16.95" customHeight="1">
      <c r="A565" s="91" t="s">
        <v>64</v>
      </c>
      <c r="B565" s="91"/>
      <c r="C565" s="91"/>
      <c r="D565" s="91"/>
      <c r="E565" s="91"/>
      <c r="F565" s="91"/>
      <c r="G565" s="91"/>
      <c r="J565" s="25">
        <f t="shared" si="31"/>
        <v>18</v>
      </c>
    </row>
    <row r="566" spans="1:10" ht="120.6" customHeight="1">
      <c r="A566" s="92" t="s">
        <v>45</v>
      </c>
      <c r="B566" s="92"/>
      <c r="C566" s="92"/>
      <c r="D566" s="92"/>
      <c r="E566" s="92"/>
      <c r="F566" s="92"/>
      <c r="G566" s="92"/>
      <c r="J566" s="25">
        <f t="shared" si="31"/>
        <v>18</v>
      </c>
    </row>
    <row r="567" spans="1:10" ht="140.4" customHeight="1">
      <c r="A567" s="93" t="s">
        <v>46</v>
      </c>
      <c r="B567" s="93"/>
      <c r="C567" s="93"/>
      <c r="D567" s="93"/>
      <c r="E567" s="93"/>
      <c r="F567" s="93"/>
      <c r="G567" s="93"/>
      <c r="J567" s="25">
        <f t="shared" si="31"/>
        <v>18</v>
      </c>
    </row>
    <row r="568" spans="1:10" ht="37.200000000000003" customHeight="1">
      <c r="A568" s="103" t="s">
        <v>0</v>
      </c>
      <c r="B568" s="103"/>
      <c r="C568" s="103"/>
      <c r="D568" s="103"/>
      <c r="E568" s="103"/>
      <c r="F568" s="103"/>
      <c r="G568" s="103"/>
      <c r="J568" s="25">
        <f t="shared" si="31"/>
        <v>19</v>
      </c>
    </row>
    <row r="569" spans="1:10" ht="16.95" customHeight="1">
      <c r="A569" s="1" t="s">
        <v>1</v>
      </c>
      <c r="B569" s="104">
        <f>B506+1</f>
        <v>11</v>
      </c>
      <c r="C569" s="104"/>
      <c r="D569" s="104"/>
      <c r="E569" s="104"/>
      <c r="F569" s="104"/>
      <c r="G569" s="104"/>
      <c r="J569" s="25">
        <f t="shared" si="31"/>
        <v>19</v>
      </c>
    </row>
    <row r="570" spans="1:10" ht="16.95" customHeight="1">
      <c r="A570" s="1" t="s">
        <v>2</v>
      </c>
      <c r="B570" s="105" t="s">
        <v>63</v>
      </c>
      <c r="C570" s="105"/>
      <c r="D570" s="105"/>
      <c r="E570" s="106">
        <f>E507+1</f>
        <v>46213</v>
      </c>
      <c r="F570" s="106"/>
      <c r="G570" s="106"/>
      <c r="J570" s="25">
        <f t="shared" si="31"/>
        <v>19</v>
      </c>
    </row>
    <row r="571" spans="1:10" ht="16.95" customHeight="1">
      <c r="A571" s="53" t="s">
        <v>3</v>
      </c>
      <c r="B571" s="2" t="s">
        <v>67</v>
      </c>
      <c r="C571" s="98" t="s">
        <v>4</v>
      </c>
      <c r="D571" s="98"/>
      <c r="E571" s="98" t="s">
        <v>47</v>
      </c>
      <c r="F571" s="98"/>
      <c r="G571" s="98"/>
      <c r="J571" s="25">
        <f t="shared" ref="J571:J634" si="35">J508+2</f>
        <v>19</v>
      </c>
    </row>
    <row r="572" spans="1:10" ht="16.95" customHeight="1">
      <c r="A572" s="53" t="s">
        <v>5</v>
      </c>
      <c r="B572" s="54">
        <v>120</v>
      </c>
      <c r="C572" s="98" t="s">
        <v>6</v>
      </c>
      <c r="D572" s="98"/>
      <c r="E572" s="98" t="s">
        <v>123</v>
      </c>
      <c r="F572" s="98"/>
      <c r="G572" s="98"/>
      <c r="J572" s="25">
        <f t="shared" si="35"/>
        <v>19</v>
      </c>
    </row>
    <row r="573" spans="1:10" ht="16.95" customHeight="1">
      <c r="A573" s="53" t="s">
        <v>7</v>
      </c>
      <c r="B573" s="54">
        <f>B569</f>
        <v>11</v>
      </c>
      <c r="C573" s="100" t="s">
        <v>8</v>
      </c>
      <c r="D573" s="100"/>
      <c r="E573" s="101">
        <f>B572-B573</f>
        <v>109</v>
      </c>
      <c r="F573" s="101"/>
      <c r="G573" s="101"/>
      <c r="J573" s="25">
        <f t="shared" si="35"/>
        <v>19</v>
      </c>
    </row>
    <row r="574" spans="1:10" ht="16.95" customHeight="1">
      <c r="A574" s="53" t="s">
        <v>9</v>
      </c>
      <c r="B574" s="55">
        <v>46204</v>
      </c>
      <c r="C574" s="98" t="s">
        <v>10</v>
      </c>
      <c r="D574" s="98"/>
      <c r="E574" s="102">
        <f>B574+B572-1</f>
        <v>46323</v>
      </c>
      <c r="F574" s="102"/>
      <c r="G574" s="102"/>
      <c r="J574" s="25">
        <f t="shared" si="35"/>
        <v>19</v>
      </c>
    </row>
    <row r="575" spans="1:10" ht="16.95" customHeight="1">
      <c r="A575" s="53" t="s">
        <v>11</v>
      </c>
      <c r="B575" s="56" t="e">
        <f>HLOOKUP(B569,進度表!$Q$2:$Z$3,2,1)+B512</f>
        <v>#REF!</v>
      </c>
      <c r="C575" s="98" t="s">
        <v>12</v>
      </c>
      <c r="D575" s="98"/>
      <c r="E575" s="99" t="e">
        <f>I613/I575+E512</f>
        <v>#REF!</v>
      </c>
      <c r="F575" s="99"/>
      <c r="G575" s="99"/>
      <c r="H575" s="3" t="s">
        <v>62</v>
      </c>
      <c r="I575" s="1">
        <v>2456000</v>
      </c>
      <c r="J575" s="25">
        <f t="shared" si="35"/>
        <v>19</v>
      </c>
    </row>
    <row r="576" spans="1:10" ht="16.95" customHeight="1">
      <c r="A576" s="98" t="s">
        <v>13</v>
      </c>
      <c r="B576" s="98"/>
      <c r="C576" s="98"/>
      <c r="D576" s="98"/>
      <c r="E576" s="98"/>
      <c r="F576" s="98"/>
      <c r="G576" s="98"/>
      <c r="J576" s="25">
        <f t="shared" si="35"/>
        <v>19</v>
      </c>
    </row>
    <row r="577" spans="1:10" ht="16.95" customHeight="1">
      <c r="A577" s="52" t="s">
        <v>14</v>
      </c>
      <c r="B577" s="52" t="s">
        <v>15</v>
      </c>
      <c r="C577" s="52" t="s">
        <v>16</v>
      </c>
      <c r="D577" s="52" t="s">
        <v>17</v>
      </c>
      <c r="E577" s="52" t="s">
        <v>18</v>
      </c>
      <c r="F577" s="52" t="s">
        <v>19</v>
      </c>
      <c r="G577" s="52" t="s">
        <v>20</v>
      </c>
      <c r="H577" s="3" t="s">
        <v>21</v>
      </c>
      <c r="I577" s="3" t="s">
        <v>22</v>
      </c>
      <c r="J577" s="25">
        <f t="shared" si="35"/>
        <v>19</v>
      </c>
    </row>
    <row r="578" spans="1:10" ht="16.95" customHeight="1">
      <c r="A578" s="75" t="s">
        <v>65</v>
      </c>
      <c r="B578" s="76" t="s">
        <v>69</v>
      </c>
      <c r="C578" s="77"/>
      <c r="D578" s="78"/>
      <c r="E578" s="79"/>
      <c r="F578" s="79"/>
      <c r="G578" s="2"/>
      <c r="H578" s="37"/>
      <c r="I578" s="4"/>
      <c r="J578" s="25">
        <f t="shared" si="35"/>
        <v>19</v>
      </c>
    </row>
    <row r="579" spans="1:10" ht="34.950000000000003" customHeight="1">
      <c r="A579" s="75">
        <v>1</v>
      </c>
      <c r="B579" s="80" t="s">
        <v>91</v>
      </c>
      <c r="C579" s="77" t="s">
        <v>48</v>
      </c>
      <c r="D579" s="78">
        <v>1</v>
      </c>
      <c r="E579" s="79"/>
      <c r="F579" s="79" t="e">
        <f t="shared" ref="F579:F612" si="36">E579+F516</f>
        <v>#REF!</v>
      </c>
      <c r="G579" s="2"/>
      <c r="H579" s="37">
        <v>10508</v>
      </c>
      <c r="I579" s="4">
        <f>H579*E579</f>
        <v>0</v>
      </c>
      <c r="J579" s="25">
        <f t="shared" si="35"/>
        <v>19</v>
      </c>
    </row>
    <row r="580" spans="1:10" ht="34.799999999999997" customHeight="1">
      <c r="A580" s="75">
        <v>2</v>
      </c>
      <c r="B580" s="80" t="s">
        <v>92</v>
      </c>
      <c r="C580" s="77" t="s">
        <v>48</v>
      </c>
      <c r="D580" s="78">
        <v>1</v>
      </c>
      <c r="E580" s="79"/>
      <c r="F580" s="79" t="e">
        <f t="shared" si="36"/>
        <v>#REF!</v>
      </c>
      <c r="G580" s="2"/>
      <c r="H580" s="37">
        <v>13223</v>
      </c>
      <c r="I580" s="4">
        <f>H580*E580</f>
        <v>0</v>
      </c>
      <c r="J580" s="25">
        <f t="shared" si="35"/>
        <v>19</v>
      </c>
    </row>
    <row r="581" spans="1:10" ht="53.4" customHeight="1">
      <c r="A581" s="75">
        <v>3</v>
      </c>
      <c r="B581" s="80" t="s">
        <v>93</v>
      </c>
      <c r="C581" s="77" t="s">
        <v>48</v>
      </c>
      <c r="D581" s="78">
        <v>1</v>
      </c>
      <c r="E581" s="79"/>
      <c r="F581" s="79" t="e">
        <f t="shared" si="36"/>
        <v>#REF!</v>
      </c>
      <c r="G581" s="2"/>
      <c r="H581" s="37">
        <v>310497</v>
      </c>
      <c r="I581" s="4">
        <f t="shared" ref="I581:I612" si="37">H581*E581</f>
        <v>0</v>
      </c>
      <c r="J581" s="25">
        <f t="shared" si="35"/>
        <v>19</v>
      </c>
    </row>
    <row r="582" spans="1:10" ht="16.95" customHeight="1">
      <c r="A582" s="75">
        <v>4</v>
      </c>
      <c r="B582" s="80" t="s">
        <v>94</v>
      </c>
      <c r="C582" s="77" t="s">
        <v>48</v>
      </c>
      <c r="D582" s="78">
        <v>1</v>
      </c>
      <c r="E582" s="79"/>
      <c r="F582" s="79" t="e">
        <f t="shared" si="36"/>
        <v>#REF!</v>
      </c>
      <c r="G582" s="2"/>
      <c r="H582" s="37">
        <v>8375</v>
      </c>
      <c r="I582" s="4">
        <f t="shared" si="37"/>
        <v>0</v>
      </c>
      <c r="J582" s="25">
        <f t="shared" si="35"/>
        <v>19</v>
      </c>
    </row>
    <row r="583" spans="1:10" ht="16.95" customHeight="1">
      <c r="A583" s="75">
        <v>5</v>
      </c>
      <c r="B583" s="80" t="s">
        <v>95</v>
      </c>
      <c r="C583" s="77" t="s">
        <v>48</v>
      </c>
      <c r="D583" s="78">
        <v>1</v>
      </c>
      <c r="E583" s="79"/>
      <c r="F583" s="79" t="e">
        <f t="shared" si="36"/>
        <v>#REF!</v>
      </c>
      <c r="G583" s="2"/>
      <c r="H583" s="37">
        <v>51618</v>
      </c>
      <c r="I583" s="4">
        <f t="shared" si="37"/>
        <v>0</v>
      </c>
      <c r="J583" s="25">
        <f t="shared" si="35"/>
        <v>19</v>
      </c>
    </row>
    <row r="584" spans="1:10" ht="16.95" customHeight="1">
      <c r="A584" s="75">
        <v>6</v>
      </c>
      <c r="B584" s="80" t="s">
        <v>96</v>
      </c>
      <c r="C584" s="77" t="s">
        <v>50</v>
      </c>
      <c r="D584" s="78">
        <v>11.55</v>
      </c>
      <c r="E584" s="79"/>
      <c r="F584" s="79" t="e">
        <f t="shared" si="36"/>
        <v>#REF!</v>
      </c>
      <c r="G584" s="2"/>
      <c r="H584" s="37">
        <v>1188</v>
      </c>
      <c r="I584" s="4">
        <f t="shared" si="37"/>
        <v>0</v>
      </c>
      <c r="J584" s="25">
        <f t="shared" si="35"/>
        <v>19</v>
      </c>
    </row>
    <row r="585" spans="1:10" ht="34.950000000000003" customHeight="1">
      <c r="A585" s="75">
        <v>7</v>
      </c>
      <c r="B585" s="80" t="s">
        <v>97</v>
      </c>
      <c r="C585" s="77" t="s">
        <v>48</v>
      </c>
      <c r="D585" s="78">
        <v>1</v>
      </c>
      <c r="E585" s="79"/>
      <c r="F585" s="79" t="e">
        <f t="shared" si="36"/>
        <v>#REF!</v>
      </c>
      <c r="G585" s="2"/>
      <c r="H585" s="37">
        <v>21157</v>
      </c>
      <c r="I585" s="4">
        <f t="shared" si="37"/>
        <v>0</v>
      </c>
      <c r="J585" s="25">
        <f t="shared" si="35"/>
        <v>19</v>
      </c>
    </row>
    <row r="586" spans="1:10" ht="16.95" customHeight="1">
      <c r="A586" s="75">
        <v>8</v>
      </c>
      <c r="B586" s="80" t="s">
        <v>98</v>
      </c>
      <c r="C586" s="77" t="s">
        <v>50</v>
      </c>
      <c r="D586" s="78">
        <v>387</v>
      </c>
      <c r="E586" s="79"/>
      <c r="F586" s="79" t="e">
        <f t="shared" si="36"/>
        <v>#REF!</v>
      </c>
      <c r="G586" s="2"/>
      <c r="H586" s="37">
        <v>705</v>
      </c>
      <c r="I586" s="4">
        <f t="shared" si="37"/>
        <v>0</v>
      </c>
      <c r="J586" s="25">
        <f t="shared" si="35"/>
        <v>19</v>
      </c>
    </row>
    <row r="587" spans="1:10" ht="16.95" customHeight="1">
      <c r="A587" s="75">
        <v>9</v>
      </c>
      <c r="B587" s="80" t="s">
        <v>99</v>
      </c>
      <c r="C587" s="77" t="s">
        <v>50</v>
      </c>
      <c r="D587" s="78">
        <v>170</v>
      </c>
      <c r="E587" s="79"/>
      <c r="F587" s="79" t="e">
        <f t="shared" si="36"/>
        <v>#REF!</v>
      </c>
      <c r="G587" s="2"/>
      <c r="H587" s="37">
        <v>617</v>
      </c>
      <c r="I587" s="4">
        <f t="shared" si="37"/>
        <v>0</v>
      </c>
      <c r="J587" s="25">
        <f t="shared" si="35"/>
        <v>19</v>
      </c>
    </row>
    <row r="588" spans="1:10" ht="16.95" customHeight="1">
      <c r="A588" s="75">
        <v>10</v>
      </c>
      <c r="B588" s="80" t="s">
        <v>100</v>
      </c>
      <c r="C588" s="77" t="s">
        <v>66</v>
      </c>
      <c r="D588" s="78">
        <v>15</v>
      </c>
      <c r="E588" s="79"/>
      <c r="F588" s="79" t="e">
        <f t="shared" si="36"/>
        <v>#REF!</v>
      </c>
      <c r="G588" s="2"/>
      <c r="H588" s="37">
        <v>617</v>
      </c>
      <c r="I588" s="4">
        <f t="shared" si="37"/>
        <v>0</v>
      </c>
      <c r="J588" s="25">
        <f t="shared" si="35"/>
        <v>19</v>
      </c>
    </row>
    <row r="589" spans="1:10" ht="16.95" customHeight="1">
      <c r="A589" s="75">
        <v>11</v>
      </c>
      <c r="B589" s="80" t="s">
        <v>101</v>
      </c>
      <c r="C589" s="77" t="s">
        <v>50</v>
      </c>
      <c r="D589" s="78">
        <v>75</v>
      </c>
      <c r="E589" s="79"/>
      <c r="F589" s="79" t="e">
        <f t="shared" si="36"/>
        <v>#REF!</v>
      </c>
      <c r="G589" s="2"/>
      <c r="H589" s="37">
        <v>1146</v>
      </c>
      <c r="I589" s="4">
        <f t="shared" si="37"/>
        <v>0</v>
      </c>
      <c r="J589" s="25">
        <f t="shared" si="35"/>
        <v>19</v>
      </c>
    </row>
    <row r="590" spans="1:10" ht="16.95" customHeight="1">
      <c r="A590" s="75">
        <v>12</v>
      </c>
      <c r="B590" s="80" t="s">
        <v>102</v>
      </c>
      <c r="C590" s="77" t="s">
        <v>50</v>
      </c>
      <c r="D590" s="78">
        <v>5</v>
      </c>
      <c r="E590" s="79"/>
      <c r="F590" s="79" t="e">
        <f t="shared" si="36"/>
        <v>#REF!</v>
      </c>
      <c r="G590" s="2"/>
      <c r="H590" s="37">
        <v>1455</v>
      </c>
      <c r="I590" s="4">
        <f t="shared" si="37"/>
        <v>0</v>
      </c>
      <c r="J590" s="25">
        <f t="shared" si="35"/>
        <v>19</v>
      </c>
    </row>
    <row r="591" spans="1:10" ht="16.95" customHeight="1">
      <c r="A591" s="75">
        <v>13</v>
      </c>
      <c r="B591" s="80" t="s">
        <v>103</v>
      </c>
      <c r="C591" s="77" t="s">
        <v>50</v>
      </c>
      <c r="D591" s="78">
        <v>217</v>
      </c>
      <c r="E591" s="79"/>
      <c r="F591" s="79" t="e">
        <f t="shared" si="36"/>
        <v>#REF!</v>
      </c>
      <c r="G591" s="2"/>
      <c r="H591" s="37">
        <v>1410</v>
      </c>
      <c r="I591" s="4">
        <f t="shared" si="37"/>
        <v>0</v>
      </c>
      <c r="J591" s="25">
        <f t="shared" si="35"/>
        <v>19</v>
      </c>
    </row>
    <row r="592" spans="1:10" ht="16.95" customHeight="1">
      <c r="A592" s="75">
        <v>14</v>
      </c>
      <c r="B592" s="80" t="s">
        <v>104</v>
      </c>
      <c r="C592" s="77" t="s">
        <v>49</v>
      </c>
      <c r="D592" s="78">
        <v>84</v>
      </c>
      <c r="E592" s="79"/>
      <c r="F592" s="79" t="e">
        <f t="shared" si="36"/>
        <v>#REF!</v>
      </c>
      <c r="G592" s="2"/>
      <c r="H592" s="37">
        <v>529</v>
      </c>
      <c r="I592" s="4">
        <f t="shared" si="37"/>
        <v>0</v>
      </c>
      <c r="J592" s="25">
        <f t="shared" si="35"/>
        <v>19</v>
      </c>
    </row>
    <row r="593" spans="1:10" ht="16.95" customHeight="1">
      <c r="A593" s="75">
        <v>15</v>
      </c>
      <c r="B593" s="80" t="s">
        <v>105</v>
      </c>
      <c r="C593" s="77" t="s">
        <v>50</v>
      </c>
      <c r="D593" s="78">
        <v>1</v>
      </c>
      <c r="E593" s="79"/>
      <c r="F593" s="79" t="e">
        <f t="shared" si="36"/>
        <v>#REF!</v>
      </c>
      <c r="G593" s="2"/>
      <c r="H593" s="37">
        <v>1146</v>
      </c>
      <c r="I593" s="4">
        <f t="shared" si="37"/>
        <v>0</v>
      </c>
      <c r="J593" s="25">
        <f t="shared" si="35"/>
        <v>19</v>
      </c>
    </row>
    <row r="594" spans="1:10" ht="34.799999999999997" customHeight="1">
      <c r="A594" s="75">
        <v>16</v>
      </c>
      <c r="B594" s="80" t="s">
        <v>106</v>
      </c>
      <c r="C594" s="77" t="s">
        <v>50</v>
      </c>
      <c r="D594" s="78">
        <v>314</v>
      </c>
      <c r="E594" s="79"/>
      <c r="F594" s="79" t="e">
        <f t="shared" si="36"/>
        <v>#REF!</v>
      </c>
      <c r="G594" s="2"/>
      <c r="H594" s="37">
        <v>185</v>
      </c>
      <c r="I594" s="4">
        <f t="shared" si="37"/>
        <v>0</v>
      </c>
      <c r="J594" s="25">
        <f t="shared" si="35"/>
        <v>19</v>
      </c>
    </row>
    <row r="595" spans="1:10" ht="16.95" customHeight="1">
      <c r="A595" s="75">
        <v>17</v>
      </c>
      <c r="B595" s="80" t="s">
        <v>107</v>
      </c>
      <c r="C595" s="77" t="s">
        <v>48</v>
      </c>
      <c r="D595" s="78">
        <v>1</v>
      </c>
      <c r="E595" s="79"/>
      <c r="F595" s="79" t="e">
        <f t="shared" si="36"/>
        <v>#REF!</v>
      </c>
      <c r="G595" s="2"/>
      <c r="H595" s="37">
        <v>89918</v>
      </c>
      <c r="I595" s="4">
        <f t="shared" si="37"/>
        <v>0</v>
      </c>
      <c r="J595" s="25">
        <f t="shared" si="35"/>
        <v>19</v>
      </c>
    </row>
    <row r="596" spans="1:10" ht="16.95" customHeight="1">
      <c r="A596" s="75">
        <v>18</v>
      </c>
      <c r="B596" s="80" t="s">
        <v>108</v>
      </c>
      <c r="C596" s="77" t="s">
        <v>120</v>
      </c>
      <c r="D596" s="78">
        <v>15</v>
      </c>
      <c r="E596" s="79"/>
      <c r="F596" s="79" t="e">
        <f t="shared" si="36"/>
        <v>#REF!</v>
      </c>
      <c r="G596" s="2"/>
      <c r="H596" s="37">
        <v>661</v>
      </c>
      <c r="I596" s="4">
        <f t="shared" si="37"/>
        <v>0</v>
      </c>
      <c r="J596" s="25">
        <f t="shared" si="35"/>
        <v>19</v>
      </c>
    </row>
    <row r="597" spans="1:10" ht="16.95" customHeight="1">
      <c r="A597" s="75">
        <v>19</v>
      </c>
      <c r="B597" s="80" t="s">
        <v>109</v>
      </c>
      <c r="C597" s="77" t="s">
        <v>50</v>
      </c>
      <c r="D597" s="78">
        <v>82</v>
      </c>
      <c r="E597" s="79"/>
      <c r="F597" s="79" t="e">
        <f t="shared" si="36"/>
        <v>#REF!</v>
      </c>
      <c r="G597" s="2"/>
      <c r="H597" s="37">
        <v>2909</v>
      </c>
      <c r="I597" s="4">
        <f t="shared" si="37"/>
        <v>0</v>
      </c>
      <c r="J597" s="25">
        <f t="shared" si="35"/>
        <v>19</v>
      </c>
    </row>
    <row r="598" spans="1:10" ht="16.95" customHeight="1">
      <c r="A598" s="75">
        <v>20</v>
      </c>
      <c r="B598" s="80" t="s">
        <v>110</v>
      </c>
      <c r="C598" s="77" t="s">
        <v>121</v>
      </c>
      <c r="D598" s="78">
        <v>12</v>
      </c>
      <c r="E598" s="79"/>
      <c r="F598" s="79" t="e">
        <f t="shared" si="36"/>
        <v>#REF!</v>
      </c>
      <c r="G598" s="2"/>
      <c r="H598" s="37">
        <v>882</v>
      </c>
      <c r="I598" s="4">
        <f t="shared" si="37"/>
        <v>0</v>
      </c>
      <c r="J598" s="25">
        <f t="shared" si="35"/>
        <v>19</v>
      </c>
    </row>
    <row r="599" spans="1:10" ht="16.95" customHeight="1">
      <c r="A599" s="77">
        <v>21</v>
      </c>
      <c r="B599" s="80" t="s">
        <v>111</v>
      </c>
      <c r="C599" s="77" t="s">
        <v>122</v>
      </c>
      <c r="D599" s="78">
        <v>3</v>
      </c>
      <c r="E599" s="79"/>
      <c r="F599" s="79" t="e">
        <f t="shared" si="36"/>
        <v>#REF!</v>
      </c>
      <c r="G599" s="2"/>
      <c r="H599" s="38">
        <v>1869</v>
      </c>
      <c r="I599" s="4">
        <f t="shared" si="37"/>
        <v>0</v>
      </c>
      <c r="J599" s="25">
        <f t="shared" si="35"/>
        <v>19</v>
      </c>
    </row>
    <row r="600" spans="1:10" ht="34.950000000000003" customHeight="1">
      <c r="A600" s="75">
        <v>22</v>
      </c>
      <c r="B600" s="80" t="s">
        <v>112</v>
      </c>
      <c r="C600" s="77" t="s">
        <v>48</v>
      </c>
      <c r="D600" s="78">
        <v>1</v>
      </c>
      <c r="E600" s="79"/>
      <c r="F600" s="79" t="e">
        <f t="shared" si="36"/>
        <v>#REF!</v>
      </c>
      <c r="G600" s="2"/>
      <c r="H600" s="37">
        <v>82206</v>
      </c>
      <c r="I600" s="4">
        <f t="shared" si="37"/>
        <v>0</v>
      </c>
      <c r="J600" s="25">
        <f t="shared" si="35"/>
        <v>19</v>
      </c>
    </row>
    <row r="601" spans="1:10" ht="16.95" customHeight="1">
      <c r="A601" s="75">
        <v>23</v>
      </c>
      <c r="B601" s="80" t="s">
        <v>113</v>
      </c>
      <c r="C601" s="77" t="s">
        <v>48</v>
      </c>
      <c r="D601" s="78">
        <v>1</v>
      </c>
      <c r="E601" s="79"/>
      <c r="F601" s="79" t="e">
        <f t="shared" si="36"/>
        <v>#REF!</v>
      </c>
      <c r="G601" s="2"/>
      <c r="H601" s="37">
        <v>142723</v>
      </c>
      <c r="I601" s="4">
        <f t="shared" si="37"/>
        <v>0</v>
      </c>
      <c r="J601" s="25">
        <f t="shared" si="35"/>
        <v>19</v>
      </c>
    </row>
    <row r="602" spans="1:10" ht="16.95" customHeight="1">
      <c r="A602" s="75">
        <v>24</v>
      </c>
      <c r="B602" s="80" t="s">
        <v>114</v>
      </c>
      <c r="C602" s="77" t="s">
        <v>48</v>
      </c>
      <c r="D602" s="78">
        <v>1</v>
      </c>
      <c r="E602" s="79"/>
      <c r="F602" s="79" t="e">
        <f t="shared" si="36"/>
        <v>#REF!</v>
      </c>
      <c r="G602" s="2"/>
      <c r="H602" s="37">
        <v>37290</v>
      </c>
      <c r="I602" s="4">
        <f t="shared" si="37"/>
        <v>0</v>
      </c>
      <c r="J602" s="25">
        <f t="shared" si="35"/>
        <v>19</v>
      </c>
    </row>
    <row r="603" spans="1:10" ht="16.95" customHeight="1">
      <c r="A603" s="75">
        <v>25</v>
      </c>
      <c r="B603" s="80" t="s">
        <v>115</v>
      </c>
      <c r="C603" s="77" t="s">
        <v>48</v>
      </c>
      <c r="D603" s="78">
        <v>1</v>
      </c>
      <c r="E603" s="79"/>
      <c r="F603" s="79" t="e">
        <f t="shared" si="36"/>
        <v>#REF!</v>
      </c>
      <c r="G603" s="2"/>
      <c r="H603" s="37">
        <v>99394</v>
      </c>
      <c r="I603" s="4">
        <f t="shared" si="37"/>
        <v>0</v>
      </c>
      <c r="J603" s="25">
        <f t="shared" si="35"/>
        <v>19</v>
      </c>
    </row>
    <row r="604" spans="1:10" ht="34.950000000000003" customHeight="1">
      <c r="A604" s="75">
        <v>26</v>
      </c>
      <c r="B604" s="80" t="s">
        <v>116</v>
      </c>
      <c r="C604" s="77" t="s">
        <v>48</v>
      </c>
      <c r="D604" s="78">
        <v>1</v>
      </c>
      <c r="E604" s="79"/>
      <c r="F604" s="79" t="e">
        <f t="shared" si="36"/>
        <v>#REF!</v>
      </c>
      <c r="G604" s="2"/>
      <c r="H604" s="37">
        <v>21334</v>
      </c>
      <c r="I604" s="4">
        <f t="shared" si="37"/>
        <v>0</v>
      </c>
      <c r="J604" s="25">
        <f t="shared" si="35"/>
        <v>19</v>
      </c>
    </row>
    <row r="605" spans="1:10" ht="16.95" customHeight="1">
      <c r="A605" s="75">
        <v>27</v>
      </c>
      <c r="B605" s="80" t="s">
        <v>117</v>
      </c>
      <c r="C605" s="77" t="s">
        <v>48</v>
      </c>
      <c r="D605" s="78">
        <v>1</v>
      </c>
      <c r="E605" s="79"/>
      <c r="F605" s="79" t="e">
        <f t="shared" si="36"/>
        <v>#REF!</v>
      </c>
      <c r="G605" s="2"/>
      <c r="H605" s="37">
        <v>29620</v>
      </c>
      <c r="I605" s="4">
        <f t="shared" si="37"/>
        <v>0</v>
      </c>
      <c r="J605" s="25">
        <f t="shared" si="35"/>
        <v>19</v>
      </c>
    </row>
    <row r="606" spans="1:10" ht="16.95" customHeight="1">
      <c r="A606" s="75">
        <v>28</v>
      </c>
      <c r="B606" s="80" t="s">
        <v>118</v>
      </c>
      <c r="C606" s="77" t="s">
        <v>48</v>
      </c>
      <c r="D606" s="78">
        <v>1</v>
      </c>
      <c r="E606" s="79"/>
      <c r="F606" s="79" t="e">
        <f t="shared" si="36"/>
        <v>#REF!</v>
      </c>
      <c r="G606" s="2"/>
      <c r="H606" s="37">
        <v>18506</v>
      </c>
      <c r="I606" s="4">
        <f t="shared" si="37"/>
        <v>0</v>
      </c>
      <c r="J606" s="25">
        <f t="shared" si="35"/>
        <v>19</v>
      </c>
    </row>
    <row r="607" spans="1:10" ht="16.95" customHeight="1">
      <c r="A607" s="75">
        <v>29</v>
      </c>
      <c r="B607" s="80" t="s">
        <v>119</v>
      </c>
      <c r="C607" s="77" t="s">
        <v>48</v>
      </c>
      <c r="D607" s="78">
        <v>1</v>
      </c>
      <c r="E607" s="79"/>
      <c r="F607" s="79" t="e">
        <f t="shared" si="36"/>
        <v>#REF!</v>
      </c>
      <c r="G607" s="2"/>
      <c r="H607" s="37">
        <v>34381</v>
      </c>
      <c r="I607" s="4">
        <f t="shared" si="37"/>
        <v>0</v>
      </c>
      <c r="J607" s="25">
        <f t="shared" si="35"/>
        <v>19</v>
      </c>
    </row>
    <row r="608" spans="1:10" ht="16.95" customHeight="1">
      <c r="A608" s="75" t="s">
        <v>79</v>
      </c>
      <c r="B608" s="80" t="s">
        <v>80</v>
      </c>
      <c r="C608" s="77" t="s">
        <v>48</v>
      </c>
      <c r="D608" s="78">
        <v>1</v>
      </c>
      <c r="E608" s="79">
        <f t="shared" ref="E608:E611" si="38">1/120</f>
        <v>8.3333333333333332E-3</v>
      </c>
      <c r="F608" s="79" t="e">
        <f t="shared" si="36"/>
        <v>#REF!</v>
      </c>
      <c r="G608" s="2"/>
      <c r="H608" s="37">
        <v>21395</v>
      </c>
      <c r="I608" s="4">
        <f t="shared" si="37"/>
        <v>178.29166666666666</v>
      </c>
      <c r="J608" s="25">
        <f t="shared" si="35"/>
        <v>19</v>
      </c>
    </row>
    <row r="609" spans="1:10" ht="16.95" customHeight="1">
      <c r="A609" s="75" t="s">
        <v>81</v>
      </c>
      <c r="B609" s="80" t="s">
        <v>82</v>
      </c>
      <c r="C609" s="77" t="s">
        <v>48</v>
      </c>
      <c r="D609" s="78">
        <v>1</v>
      </c>
      <c r="E609" s="79">
        <f t="shared" si="38"/>
        <v>8.3333333333333332E-3</v>
      </c>
      <c r="F609" s="79" t="e">
        <f t="shared" si="36"/>
        <v>#REF!</v>
      </c>
      <c r="G609" s="2"/>
      <c r="H609" s="37">
        <v>21395</v>
      </c>
      <c r="I609" s="4">
        <f t="shared" si="37"/>
        <v>178.29166666666666</v>
      </c>
      <c r="J609" s="25">
        <f t="shared" si="35"/>
        <v>19</v>
      </c>
    </row>
    <row r="610" spans="1:10" ht="16.95" customHeight="1">
      <c r="A610" s="75" t="s">
        <v>83</v>
      </c>
      <c r="B610" s="80" t="s">
        <v>84</v>
      </c>
      <c r="C610" s="77" t="s">
        <v>48</v>
      </c>
      <c r="D610" s="78">
        <v>1</v>
      </c>
      <c r="E610" s="79">
        <f t="shared" si="38"/>
        <v>8.3333333333333332E-3</v>
      </c>
      <c r="F610" s="79" t="e">
        <f t="shared" si="36"/>
        <v>#REF!</v>
      </c>
      <c r="G610" s="2"/>
      <c r="H610" s="37">
        <v>149765</v>
      </c>
      <c r="I610" s="4">
        <f t="shared" si="37"/>
        <v>1248.0416666666667</v>
      </c>
      <c r="J610" s="25">
        <f t="shared" si="35"/>
        <v>19</v>
      </c>
    </row>
    <row r="611" spans="1:10" ht="16.95" customHeight="1">
      <c r="A611" s="75" t="s">
        <v>85</v>
      </c>
      <c r="B611" s="80" t="s">
        <v>86</v>
      </c>
      <c r="C611" s="77" t="s">
        <v>48</v>
      </c>
      <c r="D611" s="78">
        <v>1</v>
      </c>
      <c r="E611" s="79">
        <f t="shared" si="38"/>
        <v>8.3333333333333332E-3</v>
      </c>
      <c r="F611" s="79" t="e">
        <f t="shared" si="36"/>
        <v>#REF!</v>
      </c>
      <c r="G611" s="2"/>
      <c r="H611" s="37">
        <v>6996</v>
      </c>
      <c r="I611" s="4">
        <f t="shared" si="37"/>
        <v>58.3</v>
      </c>
      <c r="J611" s="25">
        <f t="shared" si="35"/>
        <v>19</v>
      </c>
    </row>
    <row r="612" spans="1:10" ht="16.95" customHeight="1">
      <c r="A612" s="75" t="s">
        <v>87</v>
      </c>
      <c r="B612" s="80" t="s">
        <v>88</v>
      </c>
      <c r="C612" s="77" t="s">
        <v>48</v>
      </c>
      <c r="D612" s="78">
        <v>1</v>
      </c>
      <c r="E612" s="79">
        <f>1/120</f>
        <v>8.3333333333333332E-3</v>
      </c>
      <c r="F612" s="79" t="e">
        <f t="shared" si="36"/>
        <v>#REF!</v>
      </c>
      <c r="G612" s="2"/>
      <c r="H612" s="37">
        <v>116952</v>
      </c>
      <c r="I612" s="4">
        <f t="shared" si="37"/>
        <v>974.6</v>
      </c>
      <c r="J612" s="25">
        <f t="shared" si="35"/>
        <v>19</v>
      </c>
    </row>
    <row r="613" spans="1:10" ht="16.95" customHeight="1">
      <c r="A613" s="95" t="s">
        <v>23</v>
      </c>
      <c r="B613" s="95"/>
      <c r="C613" s="50"/>
      <c r="D613" s="50"/>
      <c r="E613" s="50"/>
      <c r="F613" s="50"/>
      <c r="G613" s="50"/>
      <c r="H613" s="3" t="s">
        <v>24</v>
      </c>
      <c r="I613" s="5">
        <f>SUM(I578:I612)</f>
        <v>2637.5250000000001</v>
      </c>
      <c r="J613" s="25">
        <f t="shared" si="35"/>
        <v>19</v>
      </c>
    </row>
    <row r="614" spans="1:10" ht="16.95" customHeight="1">
      <c r="A614" s="96" t="s">
        <v>25</v>
      </c>
      <c r="B614" s="96"/>
      <c r="C614" s="50"/>
      <c r="D614" s="50"/>
      <c r="E614" s="50"/>
      <c r="F614" s="50"/>
      <c r="G614" s="50"/>
      <c r="J614" s="25">
        <f t="shared" si="35"/>
        <v>19</v>
      </c>
    </row>
    <row r="615" spans="1:10" ht="16.95" customHeight="1">
      <c r="A615" s="96" t="s">
        <v>26</v>
      </c>
      <c r="B615" s="96"/>
      <c r="C615" s="50"/>
      <c r="D615" s="50"/>
      <c r="E615" s="50"/>
      <c r="F615" s="50"/>
      <c r="G615" s="50"/>
      <c r="J615" s="25">
        <f t="shared" si="35"/>
        <v>19</v>
      </c>
    </row>
    <row r="616" spans="1:10" ht="16.95" customHeight="1">
      <c r="A616" s="95" t="s">
        <v>27</v>
      </c>
      <c r="B616" s="95"/>
      <c r="C616" s="95"/>
      <c r="D616" s="95"/>
      <c r="E616" s="95"/>
      <c r="F616" s="95"/>
      <c r="G616" s="95"/>
      <c r="J616" s="25">
        <f t="shared" si="35"/>
        <v>19</v>
      </c>
    </row>
    <row r="617" spans="1:10" ht="16.95" customHeight="1">
      <c r="A617" s="94" t="s">
        <v>28</v>
      </c>
      <c r="B617" s="94"/>
      <c r="C617" s="51" t="s">
        <v>29</v>
      </c>
      <c r="D617" s="51" t="s">
        <v>30</v>
      </c>
      <c r="E617" s="51" t="s">
        <v>18</v>
      </c>
      <c r="F617" s="51" t="s">
        <v>31</v>
      </c>
      <c r="G617" s="51" t="s">
        <v>20</v>
      </c>
      <c r="J617" s="25">
        <f t="shared" si="35"/>
        <v>19</v>
      </c>
    </row>
    <row r="618" spans="1:10" ht="16.95" customHeight="1">
      <c r="A618" s="96"/>
      <c r="B618" s="96"/>
      <c r="C618" s="50"/>
      <c r="D618" s="50"/>
      <c r="E618" s="50"/>
      <c r="F618" s="50"/>
      <c r="G618" s="51"/>
      <c r="J618" s="25">
        <f t="shared" si="35"/>
        <v>19</v>
      </c>
    </row>
    <row r="619" spans="1:10" ht="16.95" customHeight="1">
      <c r="A619" s="97"/>
      <c r="B619" s="97"/>
      <c r="C619" s="50"/>
      <c r="D619" s="50"/>
      <c r="E619" s="50"/>
      <c r="F619" s="51"/>
      <c r="G619" s="51"/>
      <c r="J619" s="25">
        <f t="shared" si="35"/>
        <v>19</v>
      </c>
    </row>
    <row r="620" spans="1:10" ht="16.95" customHeight="1">
      <c r="A620" s="95" t="s">
        <v>32</v>
      </c>
      <c r="B620" s="95"/>
      <c r="C620" s="95"/>
      <c r="D620" s="95"/>
      <c r="E620" s="95"/>
      <c r="F620" s="95"/>
      <c r="G620" s="95"/>
      <c r="J620" s="25">
        <f t="shared" si="35"/>
        <v>20</v>
      </c>
    </row>
    <row r="621" spans="1:10" ht="16.95" customHeight="1">
      <c r="A621" s="51" t="s">
        <v>33</v>
      </c>
      <c r="B621" s="51" t="s">
        <v>34</v>
      </c>
      <c r="C621" s="94" t="s">
        <v>35</v>
      </c>
      <c r="D621" s="94"/>
      <c r="E621" s="51" t="s">
        <v>36</v>
      </c>
      <c r="F621" s="51" t="s">
        <v>37</v>
      </c>
      <c r="G621" s="51" t="s">
        <v>38</v>
      </c>
      <c r="J621" s="25">
        <f t="shared" si="35"/>
        <v>20</v>
      </c>
    </row>
    <row r="622" spans="1:10" ht="16.95" customHeight="1">
      <c r="A622" s="51" t="s">
        <v>39</v>
      </c>
      <c r="B622" s="6"/>
      <c r="C622" s="94" t="e">
        <f>B622+C559</f>
        <v>#REF!</v>
      </c>
      <c r="D622" s="94"/>
      <c r="E622" s="51"/>
      <c r="F622" s="24"/>
      <c r="G622" s="24"/>
      <c r="J622" s="25">
        <f t="shared" si="35"/>
        <v>20</v>
      </c>
    </row>
    <row r="623" spans="1:10" ht="16.95" customHeight="1">
      <c r="A623" s="51" t="s">
        <v>40</v>
      </c>
      <c r="B623" s="6"/>
      <c r="C623" s="94" t="e">
        <f>B623+C560</f>
        <v>#REF!</v>
      </c>
      <c r="D623" s="94"/>
      <c r="E623" s="51"/>
      <c r="F623" s="24"/>
      <c r="G623" s="24"/>
      <c r="J623" s="25">
        <f t="shared" si="35"/>
        <v>20</v>
      </c>
    </row>
    <row r="624" spans="1:10" ht="36.6" customHeight="1">
      <c r="A624" s="95" t="s">
        <v>41</v>
      </c>
      <c r="B624" s="95"/>
      <c r="C624" s="95"/>
      <c r="D624" s="95"/>
      <c r="E624" s="95"/>
      <c r="F624" s="95"/>
      <c r="G624" s="95"/>
      <c r="J624" s="25">
        <f t="shared" si="35"/>
        <v>20</v>
      </c>
    </row>
    <row r="625" spans="1:10" ht="90" customHeight="1">
      <c r="A625" s="92" t="s">
        <v>42</v>
      </c>
      <c r="B625" s="92"/>
      <c r="C625" s="92"/>
      <c r="D625" s="92"/>
      <c r="E625" s="92"/>
      <c r="F625" s="92"/>
      <c r="G625" s="92"/>
      <c r="J625" s="25">
        <f t="shared" si="35"/>
        <v>20</v>
      </c>
    </row>
    <row r="626" spans="1:10" ht="16.95" customHeight="1">
      <c r="A626" s="95" t="s">
        <v>43</v>
      </c>
      <c r="B626" s="95"/>
      <c r="C626" s="95"/>
      <c r="D626" s="95"/>
      <c r="E626" s="95"/>
      <c r="F626" s="95"/>
      <c r="G626" s="95"/>
      <c r="J626" s="25">
        <f t="shared" si="35"/>
        <v>20</v>
      </c>
    </row>
    <row r="627" spans="1:10" ht="16.95" customHeight="1">
      <c r="A627" s="95" t="s">
        <v>44</v>
      </c>
      <c r="B627" s="95"/>
      <c r="C627" s="95"/>
      <c r="D627" s="95"/>
      <c r="E627" s="95"/>
      <c r="F627" s="95"/>
      <c r="G627" s="95"/>
      <c r="J627" s="25">
        <f t="shared" si="35"/>
        <v>20</v>
      </c>
    </row>
    <row r="628" spans="1:10" ht="16.95" customHeight="1">
      <c r="A628" s="91" t="s">
        <v>64</v>
      </c>
      <c r="B628" s="91"/>
      <c r="C628" s="91"/>
      <c r="D628" s="91"/>
      <c r="E628" s="91"/>
      <c r="F628" s="91"/>
      <c r="G628" s="91"/>
      <c r="J628" s="25">
        <f t="shared" si="35"/>
        <v>20</v>
      </c>
    </row>
    <row r="629" spans="1:10" ht="120.6" customHeight="1">
      <c r="A629" s="92" t="s">
        <v>45</v>
      </c>
      <c r="B629" s="92"/>
      <c r="C629" s="92"/>
      <c r="D629" s="92"/>
      <c r="E629" s="92"/>
      <c r="F629" s="92"/>
      <c r="G629" s="92"/>
      <c r="J629" s="25">
        <f t="shared" si="35"/>
        <v>20</v>
      </c>
    </row>
    <row r="630" spans="1:10" ht="140.4" customHeight="1">
      <c r="A630" s="93" t="s">
        <v>46</v>
      </c>
      <c r="B630" s="93"/>
      <c r="C630" s="93"/>
      <c r="D630" s="93"/>
      <c r="E630" s="93"/>
      <c r="F630" s="93"/>
      <c r="G630" s="93"/>
      <c r="J630" s="25">
        <f t="shared" si="35"/>
        <v>20</v>
      </c>
    </row>
    <row r="631" spans="1:10" ht="37.200000000000003" customHeight="1">
      <c r="A631" s="103" t="s">
        <v>0</v>
      </c>
      <c r="B631" s="103"/>
      <c r="C631" s="103"/>
      <c r="D631" s="103"/>
      <c r="E631" s="103"/>
      <c r="F631" s="103"/>
      <c r="G631" s="103"/>
      <c r="J631" s="25">
        <f t="shared" si="35"/>
        <v>21</v>
      </c>
    </row>
    <row r="632" spans="1:10" ht="16.95" customHeight="1">
      <c r="A632" s="1" t="s">
        <v>1</v>
      </c>
      <c r="B632" s="104">
        <f>B569+1</f>
        <v>12</v>
      </c>
      <c r="C632" s="104"/>
      <c r="D632" s="104"/>
      <c r="E632" s="104"/>
      <c r="F632" s="104"/>
      <c r="G632" s="104"/>
      <c r="J632" s="25">
        <f t="shared" si="35"/>
        <v>21</v>
      </c>
    </row>
    <row r="633" spans="1:10" ht="16.95" customHeight="1">
      <c r="A633" s="1" t="s">
        <v>2</v>
      </c>
      <c r="B633" s="105" t="s">
        <v>63</v>
      </c>
      <c r="C633" s="105"/>
      <c r="D633" s="105"/>
      <c r="E633" s="106">
        <f>E570+1</f>
        <v>46214</v>
      </c>
      <c r="F633" s="106"/>
      <c r="G633" s="106"/>
      <c r="J633" s="25">
        <f t="shared" si="35"/>
        <v>21</v>
      </c>
    </row>
    <row r="634" spans="1:10" ht="16.95" customHeight="1">
      <c r="A634" s="53" t="s">
        <v>3</v>
      </c>
      <c r="B634" s="2" t="s">
        <v>67</v>
      </c>
      <c r="C634" s="98" t="s">
        <v>4</v>
      </c>
      <c r="D634" s="98"/>
      <c r="E634" s="98" t="s">
        <v>47</v>
      </c>
      <c r="F634" s="98"/>
      <c r="G634" s="98"/>
      <c r="J634" s="25">
        <f t="shared" si="35"/>
        <v>21</v>
      </c>
    </row>
    <row r="635" spans="1:10" ht="16.95" customHeight="1">
      <c r="A635" s="53" t="s">
        <v>5</v>
      </c>
      <c r="B635" s="54">
        <v>120</v>
      </c>
      <c r="C635" s="98" t="s">
        <v>6</v>
      </c>
      <c r="D635" s="98"/>
      <c r="E635" s="98" t="s">
        <v>123</v>
      </c>
      <c r="F635" s="98"/>
      <c r="G635" s="98"/>
      <c r="J635" s="25">
        <f t="shared" ref="J635:J698" si="39">J572+2</f>
        <v>21</v>
      </c>
    </row>
    <row r="636" spans="1:10" ht="16.95" customHeight="1">
      <c r="A636" s="53" t="s">
        <v>7</v>
      </c>
      <c r="B636" s="54">
        <f>B632</f>
        <v>12</v>
      </c>
      <c r="C636" s="100" t="s">
        <v>8</v>
      </c>
      <c r="D636" s="100"/>
      <c r="E636" s="101">
        <f>B635-B636</f>
        <v>108</v>
      </c>
      <c r="F636" s="101"/>
      <c r="G636" s="101"/>
      <c r="J636" s="25">
        <f t="shared" si="39"/>
        <v>21</v>
      </c>
    </row>
    <row r="637" spans="1:10" ht="16.95" customHeight="1">
      <c r="A637" s="53" t="s">
        <v>9</v>
      </c>
      <c r="B637" s="55">
        <v>46204</v>
      </c>
      <c r="C637" s="98" t="s">
        <v>10</v>
      </c>
      <c r="D637" s="98"/>
      <c r="E637" s="102">
        <f>B637+B635-1</f>
        <v>46323</v>
      </c>
      <c r="F637" s="102"/>
      <c r="G637" s="102"/>
      <c r="J637" s="25">
        <f t="shared" si="39"/>
        <v>21</v>
      </c>
    </row>
    <row r="638" spans="1:10" ht="16.95" customHeight="1">
      <c r="A638" s="53" t="s">
        <v>11</v>
      </c>
      <c r="B638" s="56" t="e">
        <f>HLOOKUP(B632,進度表!$Q$2:$Z$3,2,1)+B575</f>
        <v>#REF!</v>
      </c>
      <c r="C638" s="98" t="s">
        <v>12</v>
      </c>
      <c r="D638" s="98"/>
      <c r="E638" s="99" t="e">
        <f>I676/I638+E575</f>
        <v>#REF!</v>
      </c>
      <c r="F638" s="99"/>
      <c r="G638" s="99"/>
      <c r="H638" s="3" t="s">
        <v>62</v>
      </c>
      <c r="I638" s="1">
        <v>2456000</v>
      </c>
      <c r="J638" s="25">
        <f t="shared" si="39"/>
        <v>21</v>
      </c>
    </row>
    <row r="639" spans="1:10" ht="16.95" customHeight="1">
      <c r="A639" s="98" t="s">
        <v>13</v>
      </c>
      <c r="B639" s="98"/>
      <c r="C639" s="98"/>
      <c r="D639" s="98"/>
      <c r="E639" s="98"/>
      <c r="F639" s="98"/>
      <c r="G639" s="98"/>
      <c r="J639" s="25">
        <f t="shared" si="39"/>
        <v>21</v>
      </c>
    </row>
    <row r="640" spans="1:10" ht="16.95" customHeight="1">
      <c r="A640" s="52" t="s">
        <v>14</v>
      </c>
      <c r="B640" s="52" t="s">
        <v>15</v>
      </c>
      <c r="C640" s="52" t="s">
        <v>16</v>
      </c>
      <c r="D640" s="52" t="s">
        <v>17</v>
      </c>
      <c r="E640" s="52" t="s">
        <v>18</v>
      </c>
      <c r="F640" s="52" t="s">
        <v>19</v>
      </c>
      <c r="G640" s="52" t="s">
        <v>20</v>
      </c>
      <c r="H640" s="3" t="s">
        <v>21</v>
      </c>
      <c r="I640" s="3" t="s">
        <v>22</v>
      </c>
      <c r="J640" s="25">
        <f t="shared" si="39"/>
        <v>21</v>
      </c>
    </row>
    <row r="641" spans="1:10" ht="16.95" customHeight="1">
      <c r="A641" s="75" t="s">
        <v>65</v>
      </c>
      <c r="B641" s="76" t="s">
        <v>69</v>
      </c>
      <c r="C641" s="77"/>
      <c r="D641" s="78"/>
      <c r="E641" s="79"/>
      <c r="F641" s="79"/>
      <c r="G641" s="2"/>
      <c r="H641" s="37"/>
      <c r="I641" s="4"/>
      <c r="J641" s="25">
        <f t="shared" si="39"/>
        <v>21</v>
      </c>
    </row>
    <row r="642" spans="1:10" ht="34.950000000000003" customHeight="1">
      <c r="A642" s="75">
        <v>1</v>
      </c>
      <c r="B642" s="80" t="s">
        <v>91</v>
      </c>
      <c r="C642" s="77" t="s">
        <v>48</v>
      </c>
      <c r="D642" s="78">
        <v>1</v>
      </c>
      <c r="E642" s="79"/>
      <c r="F642" s="79" t="e">
        <f t="shared" ref="F642:F675" si="40">E642+F579</f>
        <v>#REF!</v>
      </c>
      <c r="G642" s="2"/>
      <c r="H642" s="37">
        <v>10508</v>
      </c>
      <c r="I642" s="4">
        <f>H642*E642</f>
        <v>0</v>
      </c>
      <c r="J642" s="25">
        <f t="shared" si="39"/>
        <v>21</v>
      </c>
    </row>
    <row r="643" spans="1:10" ht="34.799999999999997" customHeight="1">
      <c r="A643" s="75">
        <v>2</v>
      </c>
      <c r="B643" s="80" t="s">
        <v>92</v>
      </c>
      <c r="C643" s="77" t="s">
        <v>48</v>
      </c>
      <c r="D643" s="78">
        <v>1</v>
      </c>
      <c r="E643" s="79"/>
      <c r="F643" s="79" t="e">
        <f t="shared" si="40"/>
        <v>#REF!</v>
      </c>
      <c r="G643" s="2"/>
      <c r="H643" s="37">
        <v>13223</v>
      </c>
      <c r="I643" s="4">
        <f>H643*E643</f>
        <v>0</v>
      </c>
      <c r="J643" s="25">
        <f t="shared" si="39"/>
        <v>21</v>
      </c>
    </row>
    <row r="644" spans="1:10" ht="53.4" customHeight="1">
      <c r="A644" s="75">
        <v>3</v>
      </c>
      <c r="B644" s="80" t="s">
        <v>93</v>
      </c>
      <c r="C644" s="77" t="s">
        <v>48</v>
      </c>
      <c r="D644" s="78">
        <v>1</v>
      </c>
      <c r="E644" s="79"/>
      <c r="F644" s="79" t="e">
        <f t="shared" si="40"/>
        <v>#REF!</v>
      </c>
      <c r="G644" s="2"/>
      <c r="H644" s="37">
        <v>310497</v>
      </c>
      <c r="I644" s="4">
        <f t="shared" ref="I644:I675" si="41">H644*E644</f>
        <v>0</v>
      </c>
      <c r="J644" s="25">
        <f t="shared" si="39"/>
        <v>21</v>
      </c>
    </row>
    <row r="645" spans="1:10" ht="16.95" customHeight="1">
      <c r="A645" s="75">
        <v>4</v>
      </c>
      <c r="B645" s="80" t="s">
        <v>94</v>
      </c>
      <c r="C645" s="77" t="s">
        <v>48</v>
      </c>
      <c r="D645" s="78">
        <v>1</v>
      </c>
      <c r="E645" s="79"/>
      <c r="F645" s="79" t="e">
        <f t="shared" si="40"/>
        <v>#REF!</v>
      </c>
      <c r="G645" s="2"/>
      <c r="H645" s="37">
        <v>8375</v>
      </c>
      <c r="I645" s="4">
        <f t="shared" si="41"/>
        <v>0</v>
      </c>
      <c r="J645" s="25">
        <f t="shared" si="39"/>
        <v>21</v>
      </c>
    </row>
    <row r="646" spans="1:10" ht="16.95" customHeight="1">
      <c r="A646" s="75">
        <v>5</v>
      </c>
      <c r="B646" s="80" t="s">
        <v>95</v>
      </c>
      <c r="C646" s="77" t="s">
        <v>48</v>
      </c>
      <c r="D646" s="78">
        <v>1</v>
      </c>
      <c r="E646" s="79"/>
      <c r="F646" s="79" t="e">
        <f t="shared" si="40"/>
        <v>#REF!</v>
      </c>
      <c r="G646" s="2"/>
      <c r="H646" s="37">
        <v>51618</v>
      </c>
      <c r="I646" s="4">
        <f t="shared" si="41"/>
        <v>0</v>
      </c>
      <c r="J646" s="25">
        <f t="shared" si="39"/>
        <v>21</v>
      </c>
    </row>
    <row r="647" spans="1:10" ht="16.95" customHeight="1">
      <c r="A647" s="75">
        <v>6</v>
      </c>
      <c r="B647" s="80" t="s">
        <v>96</v>
      </c>
      <c r="C647" s="77" t="s">
        <v>50</v>
      </c>
      <c r="D647" s="78">
        <v>11.55</v>
      </c>
      <c r="E647" s="79"/>
      <c r="F647" s="79" t="e">
        <f t="shared" si="40"/>
        <v>#REF!</v>
      </c>
      <c r="G647" s="2"/>
      <c r="H647" s="37">
        <v>1188</v>
      </c>
      <c r="I647" s="4">
        <f t="shared" si="41"/>
        <v>0</v>
      </c>
      <c r="J647" s="25">
        <f t="shared" si="39"/>
        <v>21</v>
      </c>
    </row>
    <row r="648" spans="1:10" ht="34.950000000000003" customHeight="1">
      <c r="A648" s="75">
        <v>7</v>
      </c>
      <c r="B648" s="80" t="s">
        <v>97</v>
      </c>
      <c r="C648" s="77" t="s">
        <v>48</v>
      </c>
      <c r="D648" s="78">
        <v>1</v>
      </c>
      <c r="E648" s="79"/>
      <c r="F648" s="79" t="e">
        <f t="shared" si="40"/>
        <v>#REF!</v>
      </c>
      <c r="G648" s="2"/>
      <c r="H648" s="37">
        <v>21157</v>
      </c>
      <c r="I648" s="4">
        <f t="shared" si="41"/>
        <v>0</v>
      </c>
      <c r="J648" s="25">
        <f t="shared" si="39"/>
        <v>21</v>
      </c>
    </row>
    <row r="649" spans="1:10" ht="16.95" customHeight="1">
      <c r="A649" s="75">
        <v>8</v>
      </c>
      <c r="B649" s="80" t="s">
        <v>98</v>
      </c>
      <c r="C649" s="77" t="s">
        <v>50</v>
      </c>
      <c r="D649" s="78">
        <v>387</v>
      </c>
      <c r="E649" s="79"/>
      <c r="F649" s="79" t="e">
        <f t="shared" si="40"/>
        <v>#REF!</v>
      </c>
      <c r="G649" s="2"/>
      <c r="H649" s="37">
        <v>705</v>
      </c>
      <c r="I649" s="4">
        <f t="shared" si="41"/>
        <v>0</v>
      </c>
      <c r="J649" s="25">
        <f t="shared" si="39"/>
        <v>21</v>
      </c>
    </row>
    <row r="650" spans="1:10" ht="16.95" customHeight="1">
      <c r="A650" s="75">
        <v>9</v>
      </c>
      <c r="B650" s="80" t="s">
        <v>99</v>
      </c>
      <c r="C650" s="77" t="s">
        <v>50</v>
      </c>
      <c r="D650" s="78">
        <v>170</v>
      </c>
      <c r="E650" s="79"/>
      <c r="F650" s="79" t="e">
        <f t="shared" si="40"/>
        <v>#REF!</v>
      </c>
      <c r="G650" s="2"/>
      <c r="H650" s="37">
        <v>617</v>
      </c>
      <c r="I650" s="4">
        <f t="shared" si="41"/>
        <v>0</v>
      </c>
      <c r="J650" s="25">
        <f t="shared" si="39"/>
        <v>21</v>
      </c>
    </row>
    <row r="651" spans="1:10" ht="16.95" customHeight="1">
      <c r="A651" s="75">
        <v>10</v>
      </c>
      <c r="B651" s="80" t="s">
        <v>100</v>
      </c>
      <c r="C651" s="77" t="s">
        <v>66</v>
      </c>
      <c r="D651" s="78">
        <v>15</v>
      </c>
      <c r="E651" s="79"/>
      <c r="F651" s="79" t="e">
        <f t="shared" si="40"/>
        <v>#REF!</v>
      </c>
      <c r="G651" s="2"/>
      <c r="H651" s="37">
        <v>617</v>
      </c>
      <c r="I651" s="4">
        <f t="shared" si="41"/>
        <v>0</v>
      </c>
      <c r="J651" s="25">
        <f t="shared" si="39"/>
        <v>21</v>
      </c>
    </row>
    <row r="652" spans="1:10" ht="16.95" customHeight="1">
      <c r="A652" s="75">
        <v>11</v>
      </c>
      <c r="B652" s="80" t="s">
        <v>101</v>
      </c>
      <c r="C652" s="77" t="s">
        <v>50</v>
      </c>
      <c r="D652" s="78">
        <v>75</v>
      </c>
      <c r="E652" s="79"/>
      <c r="F652" s="79" t="e">
        <f t="shared" si="40"/>
        <v>#REF!</v>
      </c>
      <c r="G652" s="2"/>
      <c r="H652" s="37">
        <v>1146</v>
      </c>
      <c r="I652" s="4">
        <f t="shared" si="41"/>
        <v>0</v>
      </c>
      <c r="J652" s="25">
        <f t="shared" si="39"/>
        <v>21</v>
      </c>
    </row>
    <row r="653" spans="1:10" ht="16.95" customHeight="1">
      <c r="A653" s="75">
        <v>12</v>
      </c>
      <c r="B653" s="80" t="s">
        <v>102</v>
      </c>
      <c r="C653" s="77" t="s">
        <v>50</v>
      </c>
      <c r="D653" s="78">
        <v>5</v>
      </c>
      <c r="E653" s="79"/>
      <c r="F653" s="79" t="e">
        <f t="shared" si="40"/>
        <v>#REF!</v>
      </c>
      <c r="G653" s="2"/>
      <c r="H653" s="37">
        <v>1455</v>
      </c>
      <c r="I653" s="4">
        <f t="shared" si="41"/>
        <v>0</v>
      </c>
      <c r="J653" s="25">
        <f t="shared" si="39"/>
        <v>21</v>
      </c>
    </row>
    <row r="654" spans="1:10" ht="16.95" customHeight="1">
      <c r="A654" s="75">
        <v>13</v>
      </c>
      <c r="B654" s="80" t="s">
        <v>103</v>
      </c>
      <c r="C654" s="77" t="s">
        <v>50</v>
      </c>
      <c r="D654" s="78">
        <v>217</v>
      </c>
      <c r="E654" s="79"/>
      <c r="F654" s="79" t="e">
        <f t="shared" si="40"/>
        <v>#REF!</v>
      </c>
      <c r="G654" s="2"/>
      <c r="H654" s="37">
        <v>1410</v>
      </c>
      <c r="I654" s="4">
        <f t="shared" si="41"/>
        <v>0</v>
      </c>
      <c r="J654" s="25">
        <f t="shared" si="39"/>
        <v>21</v>
      </c>
    </row>
    <row r="655" spans="1:10" ht="16.95" customHeight="1">
      <c r="A655" s="75">
        <v>14</v>
      </c>
      <c r="B655" s="80" t="s">
        <v>104</v>
      </c>
      <c r="C655" s="77" t="s">
        <v>49</v>
      </c>
      <c r="D655" s="78">
        <v>84</v>
      </c>
      <c r="E655" s="79"/>
      <c r="F655" s="79" t="e">
        <f t="shared" si="40"/>
        <v>#REF!</v>
      </c>
      <c r="G655" s="2"/>
      <c r="H655" s="37">
        <v>529</v>
      </c>
      <c r="I655" s="4">
        <f t="shared" si="41"/>
        <v>0</v>
      </c>
      <c r="J655" s="25">
        <f t="shared" si="39"/>
        <v>21</v>
      </c>
    </row>
    <row r="656" spans="1:10" ht="16.95" customHeight="1">
      <c r="A656" s="75">
        <v>15</v>
      </c>
      <c r="B656" s="80" t="s">
        <v>105</v>
      </c>
      <c r="C656" s="77" t="s">
        <v>50</v>
      </c>
      <c r="D656" s="78">
        <v>1</v>
      </c>
      <c r="E656" s="79"/>
      <c r="F656" s="79" t="e">
        <f t="shared" si="40"/>
        <v>#REF!</v>
      </c>
      <c r="G656" s="2"/>
      <c r="H656" s="37">
        <v>1146</v>
      </c>
      <c r="I656" s="4">
        <f t="shared" si="41"/>
        <v>0</v>
      </c>
      <c r="J656" s="25">
        <f t="shared" si="39"/>
        <v>21</v>
      </c>
    </row>
    <row r="657" spans="1:10" ht="34.799999999999997" customHeight="1">
      <c r="A657" s="75">
        <v>16</v>
      </c>
      <c r="B657" s="80" t="s">
        <v>106</v>
      </c>
      <c r="C657" s="77" t="s">
        <v>50</v>
      </c>
      <c r="D657" s="78">
        <v>314</v>
      </c>
      <c r="E657" s="79"/>
      <c r="F657" s="79" t="e">
        <f t="shared" si="40"/>
        <v>#REF!</v>
      </c>
      <c r="G657" s="2"/>
      <c r="H657" s="37">
        <v>185</v>
      </c>
      <c r="I657" s="4">
        <f t="shared" si="41"/>
        <v>0</v>
      </c>
      <c r="J657" s="25">
        <f t="shared" si="39"/>
        <v>21</v>
      </c>
    </row>
    <row r="658" spans="1:10" ht="16.95" customHeight="1">
      <c r="A658" s="75">
        <v>17</v>
      </c>
      <c r="B658" s="80" t="s">
        <v>107</v>
      </c>
      <c r="C658" s="77" t="s">
        <v>48</v>
      </c>
      <c r="D658" s="78">
        <v>1</v>
      </c>
      <c r="E658" s="79"/>
      <c r="F658" s="79" t="e">
        <f t="shared" si="40"/>
        <v>#REF!</v>
      </c>
      <c r="G658" s="2"/>
      <c r="H658" s="37">
        <v>89918</v>
      </c>
      <c r="I658" s="4">
        <f t="shared" si="41"/>
        <v>0</v>
      </c>
      <c r="J658" s="25">
        <f t="shared" si="39"/>
        <v>21</v>
      </c>
    </row>
    <row r="659" spans="1:10" ht="16.95" customHeight="1">
      <c r="A659" s="75">
        <v>18</v>
      </c>
      <c r="B659" s="80" t="s">
        <v>108</v>
      </c>
      <c r="C659" s="77" t="s">
        <v>120</v>
      </c>
      <c r="D659" s="78">
        <v>15</v>
      </c>
      <c r="E659" s="79"/>
      <c r="F659" s="79" t="e">
        <f t="shared" si="40"/>
        <v>#REF!</v>
      </c>
      <c r="G659" s="2"/>
      <c r="H659" s="37">
        <v>661</v>
      </c>
      <c r="I659" s="4">
        <f t="shared" si="41"/>
        <v>0</v>
      </c>
      <c r="J659" s="25">
        <f t="shared" si="39"/>
        <v>21</v>
      </c>
    </row>
    <row r="660" spans="1:10" ht="16.95" customHeight="1">
      <c r="A660" s="75">
        <v>19</v>
      </c>
      <c r="B660" s="80" t="s">
        <v>109</v>
      </c>
      <c r="C660" s="77" t="s">
        <v>50</v>
      </c>
      <c r="D660" s="78">
        <v>82</v>
      </c>
      <c r="E660" s="79"/>
      <c r="F660" s="79" t="e">
        <f t="shared" si="40"/>
        <v>#REF!</v>
      </c>
      <c r="G660" s="2"/>
      <c r="H660" s="37">
        <v>2909</v>
      </c>
      <c r="I660" s="4">
        <f t="shared" si="41"/>
        <v>0</v>
      </c>
      <c r="J660" s="25">
        <f t="shared" si="39"/>
        <v>21</v>
      </c>
    </row>
    <row r="661" spans="1:10" ht="16.95" customHeight="1">
      <c r="A661" s="75">
        <v>20</v>
      </c>
      <c r="B661" s="80" t="s">
        <v>110</v>
      </c>
      <c r="C661" s="77" t="s">
        <v>121</v>
      </c>
      <c r="D661" s="78">
        <v>12</v>
      </c>
      <c r="E661" s="79"/>
      <c r="F661" s="79" t="e">
        <f t="shared" si="40"/>
        <v>#REF!</v>
      </c>
      <c r="G661" s="2"/>
      <c r="H661" s="37">
        <v>882</v>
      </c>
      <c r="I661" s="4">
        <f t="shared" si="41"/>
        <v>0</v>
      </c>
      <c r="J661" s="25">
        <f t="shared" si="39"/>
        <v>21</v>
      </c>
    </row>
    <row r="662" spans="1:10" ht="16.95" customHeight="1">
      <c r="A662" s="77">
        <v>21</v>
      </c>
      <c r="B662" s="80" t="s">
        <v>111</v>
      </c>
      <c r="C662" s="77" t="s">
        <v>122</v>
      </c>
      <c r="D662" s="78">
        <v>3</v>
      </c>
      <c r="E662" s="79"/>
      <c r="F662" s="79" t="e">
        <f t="shared" si="40"/>
        <v>#REF!</v>
      </c>
      <c r="G662" s="2"/>
      <c r="H662" s="38">
        <v>1869</v>
      </c>
      <c r="I662" s="4">
        <f t="shared" si="41"/>
        <v>0</v>
      </c>
      <c r="J662" s="25">
        <f t="shared" si="39"/>
        <v>21</v>
      </c>
    </row>
    <row r="663" spans="1:10" ht="34.950000000000003" customHeight="1">
      <c r="A663" s="75">
        <v>22</v>
      </c>
      <c r="B663" s="80" t="s">
        <v>112</v>
      </c>
      <c r="C663" s="77" t="s">
        <v>48</v>
      </c>
      <c r="D663" s="78">
        <v>1</v>
      </c>
      <c r="E663" s="79"/>
      <c r="F663" s="79" t="e">
        <f t="shared" si="40"/>
        <v>#REF!</v>
      </c>
      <c r="G663" s="2"/>
      <c r="H663" s="37">
        <v>82206</v>
      </c>
      <c r="I663" s="4">
        <f t="shared" si="41"/>
        <v>0</v>
      </c>
      <c r="J663" s="25">
        <f t="shared" si="39"/>
        <v>21</v>
      </c>
    </row>
    <row r="664" spans="1:10" ht="16.95" customHeight="1">
      <c r="A664" s="75">
        <v>23</v>
      </c>
      <c r="B664" s="80" t="s">
        <v>113</v>
      </c>
      <c r="C664" s="77" t="s">
        <v>48</v>
      </c>
      <c r="D664" s="78">
        <v>1</v>
      </c>
      <c r="E664" s="79"/>
      <c r="F664" s="79" t="e">
        <f t="shared" si="40"/>
        <v>#REF!</v>
      </c>
      <c r="G664" s="2"/>
      <c r="H664" s="37">
        <v>142723</v>
      </c>
      <c r="I664" s="4">
        <f t="shared" si="41"/>
        <v>0</v>
      </c>
      <c r="J664" s="25">
        <f t="shared" si="39"/>
        <v>21</v>
      </c>
    </row>
    <row r="665" spans="1:10" ht="16.95" customHeight="1">
      <c r="A665" s="75">
        <v>24</v>
      </c>
      <c r="B665" s="80" t="s">
        <v>114</v>
      </c>
      <c r="C665" s="77" t="s">
        <v>48</v>
      </c>
      <c r="D665" s="78">
        <v>1</v>
      </c>
      <c r="E665" s="79"/>
      <c r="F665" s="79" t="e">
        <f t="shared" si="40"/>
        <v>#REF!</v>
      </c>
      <c r="G665" s="2"/>
      <c r="H665" s="37">
        <v>37290</v>
      </c>
      <c r="I665" s="4">
        <f t="shared" si="41"/>
        <v>0</v>
      </c>
      <c r="J665" s="25">
        <f t="shared" si="39"/>
        <v>21</v>
      </c>
    </row>
    <row r="666" spans="1:10" ht="16.95" customHeight="1">
      <c r="A666" s="75">
        <v>25</v>
      </c>
      <c r="B666" s="80" t="s">
        <v>115</v>
      </c>
      <c r="C666" s="77" t="s">
        <v>48</v>
      </c>
      <c r="D666" s="78">
        <v>1</v>
      </c>
      <c r="E666" s="79"/>
      <c r="F666" s="79" t="e">
        <f t="shared" si="40"/>
        <v>#REF!</v>
      </c>
      <c r="G666" s="2"/>
      <c r="H666" s="37">
        <v>99394</v>
      </c>
      <c r="I666" s="4">
        <f t="shared" si="41"/>
        <v>0</v>
      </c>
      <c r="J666" s="25">
        <f t="shared" si="39"/>
        <v>21</v>
      </c>
    </row>
    <row r="667" spans="1:10" ht="34.950000000000003" customHeight="1">
      <c r="A667" s="75">
        <v>26</v>
      </c>
      <c r="B667" s="80" t="s">
        <v>116</v>
      </c>
      <c r="C667" s="77" t="s">
        <v>48</v>
      </c>
      <c r="D667" s="78">
        <v>1</v>
      </c>
      <c r="E667" s="79"/>
      <c r="F667" s="79" t="e">
        <f t="shared" si="40"/>
        <v>#REF!</v>
      </c>
      <c r="G667" s="2"/>
      <c r="H667" s="37">
        <v>21334</v>
      </c>
      <c r="I667" s="4">
        <f t="shared" si="41"/>
        <v>0</v>
      </c>
      <c r="J667" s="25">
        <f t="shared" si="39"/>
        <v>21</v>
      </c>
    </row>
    <row r="668" spans="1:10" ht="16.95" customHeight="1">
      <c r="A668" s="75">
        <v>27</v>
      </c>
      <c r="B668" s="80" t="s">
        <v>117</v>
      </c>
      <c r="C668" s="77" t="s">
        <v>48</v>
      </c>
      <c r="D668" s="78">
        <v>1</v>
      </c>
      <c r="E668" s="79"/>
      <c r="F668" s="79" t="e">
        <f t="shared" si="40"/>
        <v>#REF!</v>
      </c>
      <c r="G668" s="2"/>
      <c r="H668" s="37">
        <v>29620</v>
      </c>
      <c r="I668" s="4">
        <f t="shared" si="41"/>
        <v>0</v>
      </c>
      <c r="J668" s="25">
        <f t="shared" si="39"/>
        <v>21</v>
      </c>
    </row>
    <row r="669" spans="1:10" ht="16.95" customHeight="1">
      <c r="A669" s="75">
        <v>28</v>
      </c>
      <c r="B669" s="80" t="s">
        <v>118</v>
      </c>
      <c r="C669" s="77" t="s">
        <v>48</v>
      </c>
      <c r="D669" s="78">
        <v>1</v>
      </c>
      <c r="E669" s="79"/>
      <c r="F669" s="79" t="e">
        <f t="shared" si="40"/>
        <v>#REF!</v>
      </c>
      <c r="G669" s="2"/>
      <c r="H669" s="37">
        <v>18506</v>
      </c>
      <c r="I669" s="4">
        <f t="shared" si="41"/>
        <v>0</v>
      </c>
      <c r="J669" s="25">
        <f t="shared" si="39"/>
        <v>21</v>
      </c>
    </row>
    <row r="670" spans="1:10" ht="16.95" customHeight="1">
      <c r="A670" s="75">
        <v>29</v>
      </c>
      <c r="B670" s="80" t="s">
        <v>119</v>
      </c>
      <c r="C670" s="77" t="s">
        <v>48</v>
      </c>
      <c r="D670" s="78">
        <v>1</v>
      </c>
      <c r="E670" s="79"/>
      <c r="F670" s="79" t="e">
        <f t="shared" si="40"/>
        <v>#REF!</v>
      </c>
      <c r="G670" s="2"/>
      <c r="H670" s="37">
        <v>34381</v>
      </c>
      <c r="I670" s="4">
        <f t="shared" si="41"/>
        <v>0</v>
      </c>
      <c r="J670" s="25">
        <f t="shared" si="39"/>
        <v>21</v>
      </c>
    </row>
    <row r="671" spans="1:10" ht="16.95" customHeight="1">
      <c r="A671" s="75" t="s">
        <v>79</v>
      </c>
      <c r="B671" s="80" t="s">
        <v>80</v>
      </c>
      <c r="C671" s="77" t="s">
        <v>48</v>
      </c>
      <c r="D671" s="78">
        <v>1</v>
      </c>
      <c r="E671" s="79">
        <f t="shared" ref="E671:E674" si="42">1/120</f>
        <v>8.3333333333333332E-3</v>
      </c>
      <c r="F671" s="79" t="e">
        <f t="shared" si="40"/>
        <v>#REF!</v>
      </c>
      <c r="G671" s="2"/>
      <c r="H671" s="37">
        <v>21395</v>
      </c>
      <c r="I671" s="4">
        <f t="shared" si="41"/>
        <v>178.29166666666666</v>
      </c>
      <c r="J671" s="25">
        <f t="shared" si="39"/>
        <v>21</v>
      </c>
    </row>
    <row r="672" spans="1:10" ht="16.95" customHeight="1">
      <c r="A672" s="75" t="s">
        <v>81</v>
      </c>
      <c r="B672" s="80" t="s">
        <v>82</v>
      </c>
      <c r="C672" s="77" t="s">
        <v>48</v>
      </c>
      <c r="D672" s="78">
        <v>1</v>
      </c>
      <c r="E672" s="79">
        <f t="shared" si="42"/>
        <v>8.3333333333333332E-3</v>
      </c>
      <c r="F672" s="79" t="e">
        <f t="shared" si="40"/>
        <v>#REF!</v>
      </c>
      <c r="G672" s="2"/>
      <c r="H672" s="37">
        <v>21395</v>
      </c>
      <c r="I672" s="4">
        <f t="shared" si="41"/>
        <v>178.29166666666666</v>
      </c>
      <c r="J672" s="25">
        <f t="shared" si="39"/>
        <v>21</v>
      </c>
    </row>
    <row r="673" spans="1:10" ht="16.95" customHeight="1">
      <c r="A673" s="75" t="s">
        <v>83</v>
      </c>
      <c r="B673" s="80" t="s">
        <v>84</v>
      </c>
      <c r="C673" s="77" t="s">
        <v>48</v>
      </c>
      <c r="D673" s="78">
        <v>1</v>
      </c>
      <c r="E673" s="79">
        <f t="shared" si="42"/>
        <v>8.3333333333333332E-3</v>
      </c>
      <c r="F673" s="79" t="e">
        <f t="shared" si="40"/>
        <v>#REF!</v>
      </c>
      <c r="G673" s="2"/>
      <c r="H673" s="37">
        <v>149765</v>
      </c>
      <c r="I673" s="4">
        <f t="shared" si="41"/>
        <v>1248.0416666666667</v>
      </c>
      <c r="J673" s="25">
        <f t="shared" si="39"/>
        <v>21</v>
      </c>
    </row>
    <row r="674" spans="1:10" ht="16.95" customHeight="1">
      <c r="A674" s="75" t="s">
        <v>85</v>
      </c>
      <c r="B674" s="80" t="s">
        <v>86</v>
      </c>
      <c r="C674" s="77" t="s">
        <v>48</v>
      </c>
      <c r="D674" s="78">
        <v>1</v>
      </c>
      <c r="E674" s="79">
        <f t="shared" si="42"/>
        <v>8.3333333333333332E-3</v>
      </c>
      <c r="F674" s="79" t="e">
        <f t="shared" si="40"/>
        <v>#REF!</v>
      </c>
      <c r="G674" s="2"/>
      <c r="H674" s="37">
        <v>6996</v>
      </c>
      <c r="I674" s="4">
        <f t="shared" si="41"/>
        <v>58.3</v>
      </c>
      <c r="J674" s="25">
        <f t="shared" si="39"/>
        <v>21</v>
      </c>
    </row>
    <row r="675" spans="1:10" ht="16.95" customHeight="1">
      <c r="A675" s="75" t="s">
        <v>87</v>
      </c>
      <c r="B675" s="80" t="s">
        <v>88</v>
      </c>
      <c r="C675" s="77" t="s">
        <v>48</v>
      </c>
      <c r="D675" s="78">
        <v>1</v>
      </c>
      <c r="E675" s="79">
        <f>1/120</f>
        <v>8.3333333333333332E-3</v>
      </c>
      <c r="F675" s="79" t="e">
        <f t="shared" si="40"/>
        <v>#REF!</v>
      </c>
      <c r="G675" s="2"/>
      <c r="H675" s="37">
        <v>116952</v>
      </c>
      <c r="I675" s="4">
        <f t="shared" si="41"/>
        <v>974.6</v>
      </c>
      <c r="J675" s="25">
        <f t="shared" si="39"/>
        <v>21</v>
      </c>
    </row>
    <row r="676" spans="1:10" ht="16.95" customHeight="1">
      <c r="A676" s="95" t="s">
        <v>23</v>
      </c>
      <c r="B676" s="95"/>
      <c r="C676" s="50"/>
      <c r="D676" s="50"/>
      <c r="E676" s="50"/>
      <c r="F676" s="50"/>
      <c r="G676" s="50"/>
      <c r="H676" s="3" t="s">
        <v>24</v>
      </c>
      <c r="I676" s="5">
        <f>SUM(I641:I675)</f>
        <v>2637.5250000000001</v>
      </c>
      <c r="J676" s="25">
        <f t="shared" si="39"/>
        <v>21</v>
      </c>
    </row>
    <row r="677" spans="1:10" ht="16.95" customHeight="1">
      <c r="A677" s="96" t="s">
        <v>25</v>
      </c>
      <c r="B677" s="96"/>
      <c r="C677" s="50"/>
      <c r="D677" s="50"/>
      <c r="E677" s="50"/>
      <c r="F677" s="50"/>
      <c r="G677" s="50"/>
      <c r="J677" s="25">
        <f t="shared" si="39"/>
        <v>21</v>
      </c>
    </row>
    <row r="678" spans="1:10" ht="16.95" customHeight="1">
      <c r="A678" s="96" t="s">
        <v>26</v>
      </c>
      <c r="B678" s="96"/>
      <c r="C678" s="50"/>
      <c r="D678" s="50"/>
      <c r="E678" s="50"/>
      <c r="F678" s="50"/>
      <c r="G678" s="50"/>
      <c r="J678" s="25">
        <f t="shared" si="39"/>
        <v>21</v>
      </c>
    </row>
    <row r="679" spans="1:10" ht="16.95" customHeight="1">
      <c r="A679" s="95" t="s">
        <v>27</v>
      </c>
      <c r="B679" s="95"/>
      <c r="C679" s="95"/>
      <c r="D679" s="95"/>
      <c r="E679" s="95"/>
      <c r="F679" s="95"/>
      <c r="G679" s="95"/>
      <c r="J679" s="25">
        <f t="shared" si="39"/>
        <v>21</v>
      </c>
    </row>
    <row r="680" spans="1:10" ht="16.95" customHeight="1">
      <c r="A680" s="94" t="s">
        <v>28</v>
      </c>
      <c r="B680" s="94"/>
      <c r="C680" s="51" t="s">
        <v>29</v>
      </c>
      <c r="D680" s="51" t="s">
        <v>30</v>
      </c>
      <c r="E680" s="51" t="s">
        <v>18</v>
      </c>
      <c r="F680" s="51" t="s">
        <v>31</v>
      </c>
      <c r="G680" s="51" t="s">
        <v>20</v>
      </c>
      <c r="J680" s="25">
        <f t="shared" si="39"/>
        <v>21</v>
      </c>
    </row>
    <row r="681" spans="1:10" ht="16.95" customHeight="1">
      <c r="A681" s="96"/>
      <c r="B681" s="96"/>
      <c r="C681" s="50"/>
      <c r="D681" s="50"/>
      <c r="E681" s="50"/>
      <c r="F681" s="50"/>
      <c r="G681" s="51"/>
      <c r="J681" s="25">
        <f t="shared" si="39"/>
        <v>21</v>
      </c>
    </row>
    <row r="682" spans="1:10" ht="16.95" customHeight="1">
      <c r="A682" s="97"/>
      <c r="B682" s="97"/>
      <c r="C682" s="50"/>
      <c r="D682" s="50"/>
      <c r="E682" s="50"/>
      <c r="F682" s="51"/>
      <c r="G682" s="51"/>
      <c r="J682" s="25">
        <f t="shared" si="39"/>
        <v>21</v>
      </c>
    </row>
    <row r="683" spans="1:10" ht="16.95" customHeight="1">
      <c r="A683" s="95" t="s">
        <v>32</v>
      </c>
      <c r="B683" s="95"/>
      <c r="C683" s="95"/>
      <c r="D683" s="95"/>
      <c r="E683" s="95"/>
      <c r="F683" s="95"/>
      <c r="G683" s="95"/>
      <c r="J683" s="25">
        <f t="shared" si="39"/>
        <v>22</v>
      </c>
    </row>
    <row r="684" spans="1:10" ht="16.95" customHeight="1">
      <c r="A684" s="51" t="s">
        <v>33</v>
      </c>
      <c r="B684" s="51" t="s">
        <v>34</v>
      </c>
      <c r="C684" s="94" t="s">
        <v>35</v>
      </c>
      <c r="D684" s="94"/>
      <c r="E684" s="51" t="s">
        <v>36</v>
      </c>
      <c r="F684" s="51" t="s">
        <v>37</v>
      </c>
      <c r="G684" s="51" t="s">
        <v>38</v>
      </c>
      <c r="J684" s="25">
        <f t="shared" si="39"/>
        <v>22</v>
      </c>
    </row>
    <row r="685" spans="1:10" ht="16.95" customHeight="1">
      <c r="A685" s="51" t="s">
        <v>39</v>
      </c>
      <c r="B685" s="6"/>
      <c r="C685" s="94" t="e">
        <f>B685+C622</f>
        <v>#REF!</v>
      </c>
      <c r="D685" s="94"/>
      <c r="E685" s="51"/>
      <c r="F685" s="24"/>
      <c r="G685" s="24"/>
      <c r="J685" s="25">
        <f t="shared" si="39"/>
        <v>22</v>
      </c>
    </row>
    <row r="686" spans="1:10" ht="16.95" customHeight="1">
      <c r="A686" s="51" t="s">
        <v>40</v>
      </c>
      <c r="B686" s="6"/>
      <c r="C686" s="94" t="e">
        <f>B686+C623</f>
        <v>#REF!</v>
      </c>
      <c r="D686" s="94"/>
      <c r="E686" s="51"/>
      <c r="F686" s="24"/>
      <c r="G686" s="24"/>
      <c r="J686" s="25">
        <f t="shared" si="39"/>
        <v>22</v>
      </c>
    </row>
    <row r="687" spans="1:10" ht="36.6" customHeight="1">
      <c r="A687" s="95" t="s">
        <v>41</v>
      </c>
      <c r="B687" s="95"/>
      <c r="C687" s="95"/>
      <c r="D687" s="95"/>
      <c r="E687" s="95"/>
      <c r="F687" s="95"/>
      <c r="G687" s="95"/>
      <c r="J687" s="25">
        <f t="shared" si="39"/>
        <v>22</v>
      </c>
    </row>
    <row r="688" spans="1:10" ht="90" customHeight="1">
      <c r="A688" s="92" t="s">
        <v>42</v>
      </c>
      <c r="B688" s="92"/>
      <c r="C688" s="92"/>
      <c r="D688" s="92"/>
      <c r="E688" s="92"/>
      <c r="F688" s="92"/>
      <c r="G688" s="92"/>
      <c r="J688" s="25">
        <f t="shared" si="39"/>
        <v>22</v>
      </c>
    </row>
    <row r="689" spans="1:10" ht="16.95" customHeight="1">
      <c r="A689" s="95" t="s">
        <v>43</v>
      </c>
      <c r="B689" s="95"/>
      <c r="C689" s="95"/>
      <c r="D689" s="95"/>
      <c r="E689" s="95"/>
      <c r="F689" s="95"/>
      <c r="G689" s="95"/>
      <c r="J689" s="25">
        <f t="shared" si="39"/>
        <v>22</v>
      </c>
    </row>
    <row r="690" spans="1:10" ht="16.95" customHeight="1">
      <c r="A690" s="95" t="s">
        <v>44</v>
      </c>
      <c r="B690" s="95"/>
      <c r="C690" s="95"/>
      <c r="D690" s="95"/>
      <c r="E690" s="95"/>
      <c r="F690" s="95"/>
      <c r="G690" s="95"/>
      <c r="J690" s="25">
        <f t="shared" si="39"/>
        <v>22</v>
      </c>
    </row>
    <row r="691" spans="1:10" ht="16.95" customHeight="1">
      <c r="A691" s="91" t="s">
        <v>64</v>
      </c>
      <c r="B691" s="91"/>
      <c r="C691" s="91"/>
      <c r="D691" s="91"/>
      <c r="E691" s="91"/>
      <c r="F691" s="91"/>
      <c r="G691" s="91"/>
      <c r="J691" s="25">
        <f t="shared" si="39"/>
        <v>22</v>
      </c>
    </row>
    <row r="692" spans="1:10" ht="120.6" customHeight="1">
      <c r="A692" s="92" t="s">
        <v>45</v>
      </c>
      <c r="B692" s="92"/>
      <c r="C692" s="92"/>
      <c r="D692" s="92"/>
      <c r="E692" s="92"/>
      <c r="F692" s="92"/>
      <c r="G692" s="92"/>
      <c r="J692" s="25">
        <f t="shared" si="39"/>
        <v>22</v>
      </c>
    </row>
    <row r="693" spans="1:10" ht="140.4" customHeight="1">
      <c r="A693" s="93" t="s">
        <v>46</v>
      </c>
      <c r="B693" s="93"/>
      <c r="C693" s="93"/>
      <c r="D693" s="93"/>
      <c r="E693" s="93"/>
      <c r="F693" s="93"/>
      <c r="G693" s="93"/>
      <c r="J693" s="25">
        <f t="shared" si="39"/>
        <v>22</v>
      </c>
    </row>
    <row r="694" spans="1:10" ht="37.200000000000003" customHeight="1">
      <c r="A694" s="103" t="s">
        <v>0</v>
      </c>
      <c r="B694" s="103"/>
      <c r="C694" s="103"/>
      <c r="D694" s="103"/>
      <c r="E694" s="103"/>
      <c r="F694" s="103"/>
      <c r="G694" s="103"/>
      <c r="J694" s="25">
        <f t="shared" si="39"/>
        <v>23</v>
      </c>
    </row>
    <row r="695" spans="1:10" ht="16.95" customHeight="1">
      <c r="A695" s="1" t="s">
        <v>1</v>
      </c>
      <c r="B695" s="104">
        <f>B632+1</f>
        <v>13</v>
      </c>
      <c r="C695" s="104"/>
      <c r="D695" s="104"/>
      <c r="E695" s="104"/>
      <c r="F695" s="104"/>
      <c r="G695" s="104"/>
      <c r="J695" s="25">
        <f t="shared" si="39"/>
        <v>23</v>
      </c>
    </row>
    <row r="696" spans="1:10" ht="16.95" customHeight="1">
      <c r="A696" s="1" t="s">
        <v>2</v>
      </c>
      <c r="B696" s="105" t="s">
        <v>63</v>
      </c>
      <c r="C696" s="105"/>
      <c r="D696" s="105"/>
      <c r="E696" s="106">
        <f>E633+1</f>
        <v>46215</v>
      </c>
      <c r="F696" s="106"/>
      <c r="G696" s="106"/>
      <c r="J696" s="25">
        <f t="shared" si="39"/>
        <v>23</v>
      </c>
    </row>
    <row r="697" spans="1:10" ht="16.95" customHeight="1">
      <c r="A697" s="53" t="s">
        <v>3</v>
      </c>
      <c r="B697" s="2" t="s">
        <v>67</v>
      </c>
      <c r="C697" s="98" t="s">
        <v>4</v>
      </c>
      <c r="D697" s="98"/>
      <c r="E697" s="98" t="s">
        <v>47</v>
      </c>
      <c r="F697" s="98"/>
      <c r="G697" s="98"/>
      <c r="J697" s="25">
        <f t="shared" si="39"/>
        <v>23</v>
      </c>
    </row>
    <row r="698" spans="1:10" ht="16.95" customHeight="1">
      <c r="A698" s="53" t="s">
        <v>5</v>
      </c>
      <c r="B698" s="54">
        <v>120</v>
      </c>
      <c r="C698" s="98" t="s">
        <v>6</v>
      </c>
      <c r="D698" s="98"/>
      <c r="E698" s="98" t="s">
        <v>123</v>
      </c>
      <c r="F698" s="98"/>
      <c r="G698" s="98"/>
      <c r="J698" s="25">
        <f t="shared" si="39"/>
        <v>23</v>
      </c>
    </row>
    <row r="699" spans="1:10" ht="16.95" customHeight="1">
      <c r="A699" s="53" t="s">
        <v>7</v>
      </c>
      <c r="B699" s="54">
        <f>B695</f>
        <v>13</v>
      </c>
      <c r="C699" s="100" t="s">
        <v>8</v>
      </c>
      <c r="D699" s="100"/>
      <c r="E699" s="101">
        <f>B698-B699</f>
        <v>107</v>
      </c>
      <c r="F699" s="101"/>
      <c r="G699" s="101"/>
      <c r="J699" s="25">
        <f t="shared" ref="J699:J762" si="43">J636+2</f>
        <v>23</v>
      </c>
    </row>
    <row r="700" spans="1:10" ht="16.95" customHeight="1">
      <c r="A700" s="53" t="s">
        <v>9</v>
      </c>
      <c r="B700" s="55">
        <v>46204</v>
      </c>
      <c r="C700" s="98" t="s">
        <v>10</v>
      </c>
      <c r="D700" s="98"/>
      <c r="E700" s="102">
        <f>B700+B698-1</f>
        <v>46323</v>
      </c>
      <c r="F700" s="102"/>
      <c r="G700" s="102"/>
      <c r="J700" s="25">
        <f t="shared" si="43"/>
        <v>23</v>
      </c>
    </row>
    <row r="701" spans="1:10" ht="16.95" customHeight="1">
      <c r="A701" s="53" t="s">
        <v>11</v>
      </c>
      <c r="B701" s="56" t="e">
        <f>HLOOKUP(B695,進度表!$Q$2:$Z$3,2,1)+B638</f>
        <v>#REF!</v>
      </c>
      <c r="C701" s="98" t="s">
        <v>12</v>
      </c>
      <c r="D701" s="98"/>
      <c r="E701" s="99" t="e">
        <f>I739/I701+E638</f>
        <v>#REF!</v>
      </c>
      <c r="F701" s="99"/>
      <c r="G701" s="99"/>
      <c r="H701" s="3" t="s">
        <v>62</v>
      </c>
      <c r="I701" s="1">
        <v>2456000</v>
      </c>
      <c r="J701" s="25">
        <f t="shared" si="43"/>
        <v>23</v>
      </c>
    </row>
    <row r="702" spans="1:10" ht="16.95" customHeight="1">
      <c r="A702" s="98" t="s">
        <v>13</v>
      </c>
      <c r="B702" s="98"/>
      <c r="C702" s="98"/>
      <c r="D702" s="98"/>
      <c r="E702" s="98"/>
      <c r="F702" s="98"/>
      <c r="G702" s="98"/>
      <c r="J702" s="25">
        <f t="shared" si="43"/>
        <v>23</v>
      </c>
    </row>
    <row r="703" spans="1:10" ht="16.95" customHeight="1">
      <c r="A703" s="52" t="s">
        <v>14</v>
      </c>
      <c r="B703" s="52" t="s">
        <v>15</v>
      </c>
      <c r="C703" s="52" t="s">
        <v>16</v>
      </c>
      <c r="D703" s="52" t="s">
        <v>17</v>
      </c>
      <c r="E703" s="52" t="s">
        <v>18</v>
      </c>
      <c r="F703" s="52" t="s">
        <v>19</v>
      </c>
      <c r="G703" s="52" t="s">
        <v>20</v>
      </c>
      <c r="H703" s="3" t="s">
        <v>21</v>
      </c>
      <c r="I703" s="3" t="s">
        <v>22</v>
      </c>
      <c r="J703" s="25">
        <f t="shared" si="43"/>
        <v>23</v>
      </c>
    </row>
    <row r="704" spans="1:10" ht="16.95" customHeight="1">
      <c r="A704" s="75" t="s">
        <v>65</v>
      </c>
      <c r="B704" s="76" t="s">
        <v>69</v>
      </c>
      <c r="C704" s="77"/>
      <c r="D704" s="78"/>
      <c r="E704" s="79"/>
      <c r="F704" s="79"/>
      <c r="G704" s="2"/>
      <c r="H704" s="37"/>
      <c r="I704" s="4"/>
      <c r="J704" s="25">
        <f t="shared" si="43"/>
        <v>23</v>
      </c>
    </row>
    <row r="705" spans="1:10" ht="34.950000000000003" customHeight="1">
      <c r="A705" s="75">
        <v>1</v>
      </c>
      <c r="B705" s="80" t="s">
        <v>91</v>
      </c>
      <c r="C705" s="77" t="s">
        <v>48</v>
      </c>
      <c r="D705" s="78">
        <v>1</v>
      </c>
      <c r="E705" s="79"/>
      <c r="F705" s="79" t="e">
        <f t="shared" ref="F705:F738" si="44">E705+F642</f>
        <v>#REF!</v>
      </c>
      <c r="G705" s="2"/>
      <c r="H705" s="37">
        <v>10508</v>
      </c>
      <c r="I705" s="4">
        <f>H705*E705</f>
        <v>0</v>
      </c>
      <c r="J705" s="25">
        <f t="shared" si="43"/>
        <v>23</v>
      </c>
    </row>
    <row r="706" spans="1:10" ht="34.799999999999997" customHeight="1">
      <c r="A706" s="75">
        <v>2</v>
      </c>
      <c r="B706" s="80" t="s">
        <v>92</v>
      </c>
      <c r="C706" s="77" t="s">
        <v>48</v>
      </c>
      <c r="D706" s="78">
        <v>1</v>
      </c>
      <c r="E706" s="79"/>
      <c r="F706" s="79" t="e">
        <f t="shared" si="44"/>
        <v>#REF!</v>
      </c>
      <c r="G706" s="2"/>
      <c r="H706" s="37">
        <v>13223</v>
      </c>
      <c r="I706" s="4">
        <f>H706*E706</f>
        <v>0</v>
      </c>
      <c r="J706" s="25">
        <f t="shared" si="43"/>
        <v>23</v>
      </c>
    </row>
    <row r="707" spans="1:10" ht="53.4" customHeight="1">
      <c r="A707" s="75">
        <v>3</v>
      </c>
      <c r="B707" s="80" t="s">
        <v>93</v>
      </c>
      <c r="C707" s="77" t="s">
        <v>48</v>
      </c>
      <c r="D707" s="78">
        <v>1</v>
      </c>
      <c r="E707" s="79"/>
      <c r="F707" s="79" t="e">
        <f t="shared" si="44"/>
        <v>#REF!</v>
      </c>
      <c r="G707" s="2"/>
      <c r="H707" s="37">
        <v>310497</v>
      </c>
      <c r="I707" s="4">
        <f t="shared" ref="I707:I738" si="45">H707*E707</f>
        <v>0</v>
      </c>
      <c r="J707" s="25">
        <f t="shared" si="43"/>
        <v>23</v>
      </c>
    </row>
    <row r="708" spans="1:10" ht="16.95" customHeight="1">
      <c r="A708" s="75">
        <v>4</v>
      </c>
      <c r="B708" s="80" t="s">
        <v>94</v>
      </c>
      <c r="C708" s="77" t="s">
        <v>48</v>
      </c>
      <c r="D708" s="78">
        <v>1</v>
      </c>
      <c r="E708" s="79"/>
      <c r="F708" s="79" t="e">
        <f t="shared" si="44"/>
        <v>#REF!</v>
      </c>
      <c r="G708" s="2"/>
      <c r="H708" s="37">
        <v>8375</v>
      </c>
      <c r="I708" s="4">
        <f t="shared" si="45"/>
        <v>0</v>
      </c>
      <c r="J708" s="25">
        <f t="shared" si="43"/>
        <v>23</v>
      </c>
    </row>
    <row r="709" spans="1:10" ht="16.95" customHeight="1">
      <c r="A709" s="75">
        <v>5</v>
      </c>
      <c r="B709" s="80" t="s">
        <v>95</v>
      </c>
      <c r="C709" s="77" t="s">
        <v>48</v>
      </c>
      <c r="D709" s="78">
        <v>1</v>
      </c>
      <c r="E709" s="79"/>
      <c r="F709" s="79" t="e">
        <f t="shared" si="44"/>
        <v>#REF!</v>
      </c>
      <c r="G709" s="2"/>
      <c r="H709" s="37">
        <v>51618</v>
      </c>
      <c r="I709" s="4">
        <f t="shared" si="45"/>
        <v>0</v>
      </c>
      <c r="J709" s="25">
        <f t="shared" si="43"/>
        <v>23</v>
      </c>
    </row>
    <row r="710" spans="1:10" ht="16.95" customHeight="1">
      <c r="A710" s="75">
        <v>6</v>
      </c>
      <c r="B710" s="80" t="s">
        <v>96</v>
      </c>
      <c r="C710" s="77" t="s">
        <v>50</v>
      </c>
      <c r="D710" s="78">
        <v>11.55</v>
      </c>
      <c r="E710" s="79"/>
      <c r="F710" s="79" t="e">
        <f t="shared" si="44"/>
        <v>#REF!</v>
      </c>
      <c r="G710" s="2"/>
      <c r="H710" s="37">
        <v>1188</v>
      </c>
      <c r="I710" s="4">
        <f t="shared" si="45"/>
        <v>0</v>
      </c>
      <c r="J710" s="25">
        <f t="shared" si="43"/>
        <v>23</v>
      </c>
    </row>
    <row r="711" spans="1:10" ht="34.950000000000003" customHeight="1">
      <c r="A711" s="75">
        <v>7</v>
      </c>
      <c r="B711" s="80" t="s">
        <v>97</v>
      </c>
      <c r="C711" s="77" t="s">
        <v>48</v>
      </c>
      <c r="D711" s="78">
        <v>1</v>
      </c>
      <c r="E711" s="79"/>
      <c r="F711" s="79" t="e">
        <f t="shared" si="44"/>
        <v>#REF!</v>
      </c>
      <c r="G711" s="2"/>
      <c r="H711" s="37">
        <v>21157</v>
      </c>
      <c r="I711" s="4">
        <f t="shared" si="45"/>
        <v>0</v>
      </c>
      <c r="J711" s="25">
        <f t="shared" si="43"/>
        <v>23</v>
      </c>
    </row>
    <row r="712" spans="1:10" ht="16.95" customHeight="1">
      <c r="A712" s="75">
        <v>8</v>
      </c>
      <c r="B712" s="80" t="s">
        <v>98</v>
      </c>
      <c r="C712" s="77" t="s">
        <v>50</v>
      </c>
      <c r="D712" s="78">
        <v>387</v>
      </c>
      <c r="E712" s="79"/>
      <c r="F712" s="79" t="e">
        <f t="shared" si="44"/>
        <v>#REF!</v>
      </c>
      <c r="G712" s="2"/>
      <c r="H712" s="37">
        <v>705</v>
      </c>
      <c r="I712" s="4">
        <f t="shared" si="45"/>
        <v>0</v>
      </c>
      <c r="J712" s="25">
        <f t="shared" si="43"/>
        <v>23</v>
      </c>
    </row>
    <row r="713" spans="1:10" ht="16.95" customHeight="1">
      <c r="A713" s="75">
        <v>9</v>
      </c>
      <c r="B713" s="80" t="s">
        <v>99</v>
      </c>
      <c r="C713" s="77" t="s">
        <v>50</v>
      </c>
      <c r="D713" s="78">
        <v>170</v>
      </c>
      <c r="E713" s="79"/>
      <c r="F713" s="79" t="e">
        <f t="shared" si="44"/>
        <v>#REF!</v>
      </c>
      <c r="G713" s="2"/>
      <c r="H713" s="37">
        <v>617</v>
      </c>
      <c r="I713" s="4">
        <f t="shared" si="45"/>
        <v>0</v>
      </c>
      <c r="J713" s="25">
        <f t="shared" si="43"/>
        <v>23</v>
      </c>
    </row>
    <row r="714" spans="1:10" ht="16.95" customHeight="1">
      <c r="A714" s="75">
        <v>10</v>
      </c>
      <c r="B714" s="80" t="s">
        <v>100</v>
      </c>
      <c r="C714" s="77" t="s">
        <v>66</v>
      </c>
      <c r="D714" s="78">
        <v>15</v>
      </c>
      <c r="E714" s="79"/>
      <c r="F714" s="79" t="e">
        <f t="shared" si="44"/>
        <v>#REF!</v>
      </c>
      <c r="G714" s="2"/>
      <c r="H714" s="37">
        <v>617</v>
      </c>
      <c r="I714" s="4">
        <f t="shared" si="45"/>
        <v>0</v>
      </c>
      <c r="J714" s="25">
        <f t="shared" si="43"/>
        <v>23</v>
      </c>
    </row>
    <row r="715" spans="1:10" ht="16.95" customHeight="1">
      <c r="A715" s="75">
        <v>11</v>
      </c>
      <c r="B715" s="80" t="s">
        <v>101</v>
      </c>
      <c r="C715" s="77" t="s">
        <v>50</v>
      </c>
      <c r="D715" s="78">
        <v>75</v>
      </c>
      <c r="E715" s="79"/>
      <c r="F715" s="79" t="e">
        <f t="shared" si="44"/>
        <v>#REF!</v>
      </c>
      <c r="G715" s="2"/>
      <c r="H715" s="37">
        <v>1146</v>
      </c>
      <c r="I715" s="4">
        <f t="shared" si="45"/>
        <v>0</v>
      </c>
      <c r="J715" s="25">
        <f t="shared" si="43"/>
        <v>23</v>
      </c>
    </row>
    <row r="716" spans="1:10" ht="16.95" customHeight="1">
      <c r="A716" s="75">
        <v>12</v>
      </c>
      <c r="B716" s="80" t="s">
        <v>102</v>
      </c>
      <c r="C716" s="77" t="s">
        <v>50</v>
      </c>
      <c r="D716" s="78">
        <v>5</v>
      </c>
      <c r="E716" s="79"/>
      <c r="F716" s="79" t="e">
        <f t="shared" si="44"/>
        <v>#REF!</v>
      </c>
      <c r="G716" s="2"/>
      <c r="H716" s="37">
        <v>1455</v>
      </c>
      <c r="I716" s="4">
        <f t="shared" si="45"/>
        <v>0</v>
      </c>
      <c r="J716" s="25">
        <f t="shared" si="43"/>
        <v>23</v>
      </c>
    </row>
    <row r="717" spans="1:10" ht="16.95" customHeight="1">
      <c r="A717" s="75">
        <v>13</v>
      </c>
      <c r="B717" s="80" t="s">
        <v>103</v>
      </c>
      <c r="C717" s="77" t="s">
        <v>50</v>
      </c>
      <c r="D717" s="78">
        <v>217</v>
      </c>
      <c r="E717" s="79"/>
      <c r="F717" s="79" t="e">
        <f t="shared" si="44"/>
        <v>#REF!</v>
      </c>
      <c r="G717" s="2"/>
      <c r="H717" s="37">
        <v>1410</v>
      </c>
      <c r="I717" s="4">
        <f t="shared" si="45"/>
        <v>0</v>
      </c>
      <c r="J717" s="25">
        <f t="shared" si="43"/>
        <v>23</v>
      </c>
    </row>
    <row r="718" spans="1:10" ht="16.95" customHeight="1">
      <c r="A718" s="75">
        <v>14</v>
      </c>
      <c r="B718" s="80" t="s">
        <v>104</v>
      </c>
      <c r="C718" s="77" t="s">
        <v>49</v>
      </c>
      <c r="D718" s="78">
        <v>84</v>
      </c>
      <c r="E718" s="79"/>
      <c r="F718" s="79" t="e">
        <f t="shared" si="44"/>
        <v>#REF!</v>
      </c>
      <c r="G718" s="2"/>
      <c r="H718" s="37">
        <v>529</v>
      </c>
      <c r="I718" s="4">
        <f t="shared" si="45"/>
        <v>0</v>
      </c>
      <c r="J718" s="25">
        <f t="shared" si="43"/>
        <v>23</v>
      </c>
    </row>
    <row r="719" spans="1:10" ht="16.95" customHeight="1">
      <c r="A719" s="75">
        <v>15</v>
      </c>
      <c r="B719" s="80" t="s">
        <v>105</v>
      </c>
      <c r="C719" s="77" t="s">
        <v>50</v>
      </c>
      <c r="D719" s="78">
        <v>1</v>
      </c>
      <c r="E719" s="79"/>
      <c r="F719" s="79" t="e">
        <f t="shared" si="44"/>
        <v>#REF!</v>
      </c>
      <c r="G719" s="2"/>
      <c r="H719" s="37">
        <v>1146</v>
      </c>
      <c r="I719" s="4">
        <f t="shared" si="45"/>
        <v>0</v>
      </c>
      <c r="J719" s="25">
        <f t="shared" si="43"/>
        <v>23</v>
      </c>
    </row>
    <row r="720" spans="1:10" ht="34.799999999999997" customHeight="1">
      <c r="A720" s="75">
        <v>16</v>
      </c>
      <c r="B720" s="80" t="s">
        <v>106</v>
      </c>
      <c r="C720" s="77" t="s">
        <v>50</v>
      </c>
      <c r="D720" s="78">
        <v>314</v>
      </c>
      <c r="E720" s="79"/>
      <c r="F720" s="79" t="e">
        <f t="shared" si="44"/>
        <v>#REF!</v>
      </c>
      <c r="G720" s="2"/>
      <c r="H720" s="37">
        <v>185</v>
      </c>
      <c r="I720" s="4">
        <f t="shared" si="45"/>
        <v>0</v>
      </c>
      <c r="J720" s="25">
        <f t="shared" si="43"/>
        <v>23</v>
      </c>
    </row>
    <row r="721" spans="1:10" ht="16.95" customHeight="1">
      <c r="A721" s="75">
        <v>17</v>
      </c>
      <c r="B721" s="80" t="s">
        <v>107</v>
      </c>
      <c r="C721" s="77" t="s">
        <v>48</v>
      </c>
      <c r="D721" s="78">
        <v>1</v>
      </c>
      <c r="E721" s="79"/>
      <c r="F721" s="79" t="e">
        <f t="shared" si="44"/>
        <v>#REF!</v>
      </c>
      <c r="G721" s="2"/>
      <c r="H721" s="37">
        <v>89918</v>
      </c>
      <c r="I721" s="4">
        <f t="shared" si="45"/>
        <v>0</v>
      </c>
      <c r="J721" s="25">
        <f t="shared" si="43"/>
        <v>23</v>
      </c>
    </row>
    <row r="722" spans="1:10" ht="16.95" customHeight="1">
      <c r="A722" s="75">
        <v>18</v>
      </c>
      <c r="B722" s="80" t="s">
        <v>108</v>
      </c>
      <c r="C722" s="77" t="s">
        <v>120</v>
      </c>
      <c r="D722" s="78">
        <v>15</v>
      </c>
      <c r="E722" s="79"/>
      <c r="F722" s="79" t="e">
        <f t="shared" si="44"/>
        <v>#REF!</v>
      </c>
      <c r="G722" s="2"/>
      <c r="H722" s="37">
        <v>661</v>
      </c>
      <c r="I722" s="4">
        <f t="shared" si="45"/>
        <v>0</v>
      </c>
      <c r="J722" s="25">
        <f t="shared" si="43"/>
        <v>23</v>
      </c>
    </row>
    <row r="723" spans="1:10" ht="16.95" customHeight="1">
      <c r="A723" s="75">
        <v>19</v>
      </c>
      <c r="B723" s="80" t="s">
        <v>109</v>
      </c>
      <c r="C723" s="77" t="s">
        <v>50</v>
      </c>
      <c r="D723" s="78">
        <v>82</v>
      </c>
      <c r="E723" s="79"/>
      <c r="F723" s="79" t="e">
        <f t="shared" si="44"/>
        <v>#REF!</v>
      </c>
      <c r="G723" s="2"/>
      <c r="H723" s="37">
        <v>2909</v>
      </c>
      <c r="I723" s="4">
        <f t="shared" si="45"/>
        <v>0</v>
      </c>
      <c r="J723" s="25">
        <f t="shared" si="43"/>
        <v>23</v>
      </c>
    </row>
    <row r="724" spans="1:10" ht="16.95" customHeight="1">
      <c r="A724" s="75">
        <v>20</v>
      </c>
      <c r="B724" s="80" t="s">
        <v>110</v>
      </c>
      <c r="C724" s="77" t="s">
        <v>121</v>
      </c>
      <c r="D724" s="78">
        <v>12</v>
      </c>
      <c r="E724" s="79"/>
      <c r="F724" s="79" t="e">
        <f t="shared" si="44"/>
        <v>#REF!</v>
      </c>
      <c r="G724" s="2"/>
      <c r="H724" s="37">
        <v>882</v>
      </c>
      <c r="I724" s="4">
        <f t="shared" si="45"/>
        <v>0</v>
      </c>
      <c r="J724" s="25">
        <f t="shared" si="43"/>
        <v>23</v>
      </c>
    </row>
    <row r="725" spans="1:10" ht="16.95" customHeight="1">
      <c r="A725" s="77">
        <v>21</v>
      </c>
      <c r="B725" s="80" t="s">
        <v>111</v>
      </c>
      <c r="C725" s="77" t="s">
        <v>122</v>
      </c>
      <c r="D725" s="78">
        <v>3</v>
      </c>
      <c r="E725" s="79"/>
      <c r="F725" s="79" t="e">
        <f t="shared" si="44"/>
        <v>#REF!</v>
      </c>
      <c r="G725" s="2"/>
      <c r="H725" s="38">
        <v>1869</v>
      </c>
      <c r="I725" s="4">
        <f t="shared" si="45"/>
        <v>0</v>
      </c>
      <c r="J725" s="25">
        <f t="shared" si="43"/>
        <v>23</v>
      </c>
    </row>
    <row r="726" spans="1:10" ht="34.950000000000003" customHeight="1">
      <c r="A726" s="75">
        <v>22</v>
      </c>
      <c r="B726" s="80" t="s">
        <v>112</v>
      </c>
      <c r="C726" s="77" t="s">
        <v>48</v>
      </c>
      <c r="D726" s="78">
        <v>1</v>
      </c>
      <c r="E726" s="79"/>
      <c r="F726" s="79" t="e">
        <f t="shared" si="44"/>
        <v>#REF!</v>
      </c>
      <c r="G726" s="2"/>
      <c r="H726" s="37">
        <v>82206</v>
      </c>
      <c r="I726" s="4">
        <f t="shared" si="45"/>
        <v>0</v>
      </c>
      <c r="J726" s="25">
        <f t="shared" si="43"/>
        <v>23</v>
      </c>
    </row>
    <row r="727" spans="1:10" ht="16.95" customHeight="1">
      <c r="A727" s="75">
        <v>23</v>
      </c>
      <c r="B727" s="80" t="s">
        <v>113</v>
      </c>
      <c r="C727" s="77" t="s">
        <v>48</v>
      </c>
      <c r="D727" s="78">
        <v>1</v>
      </c>
      <c r="E727" s="79"/>
      <c r="F727" s="79" t="e">
        <f t="shared" si="44"/>
        <v>#REF!</v>
      </c>
      <c r="G727" s="2"/>
      <c r="H727" s="37">
        <v>142723</v>
      </c>
      <c r="I727" s="4">
        <f t="shared" si="45"/>
        <v>0</v>
      </c>
      <c r="J727" s="25">
        <f t="shared" si="43"/>
        <v>23</v>
      </c>
    </row>
    <row r="728" spans="1:10" ht="16.95" customHeight="1">
      <c r="A728" s="75">
        <v>24</v>
      </c>
      <c r="B728" s="80" t="s">
        <v>114</v>
      </c>
      <c r="C728" s="77" t="s">
        <v>48</v>
      </c>
      <c r="D728" s="78">
        <v>1</v>
      </c>
      <c r="E728" s="79"/>
      <c r="F728" s="79" t="e">
        <f t="shared" si="44"/>
        <v>#REF!</v>
      </c>
      <c r="G728" s="2"/>
      <c r="H728" s="37">
        <v>37290</v>
      </c>
      <c r="I728" s="4">
        <f t="shared" si="45"/>
        <v>0</v>
      </c>
      <c r="J728" s="25">
        <f t="shared" si="43"/>
        <v>23</v>
      </c>
    </row>
    <row r="729" spans="1:10" ht="16.95" customHeight="1">
      <c r="A729" s="75">
        <v>25</v>
      </c>
      <c r="B729" s="80" t="s">
        <v>115</v>
      </c>
      <c r="C729" s="77" t="s">
        <v>48</v>
      </c>
      <c r="D729" s="78">
        <v>1</v>
      </c>
      <c r="E729" s="79"/>
      <c r="F729" s="79" t="e">
        <f t="shared" si="44"/>
        <v>#REF!</v>
      </c>
      <c r="G729" s="2"/>
      <c r="H729" s="37">
        <v>99394</v>
      </c>
      <c r="I729" s="4">
        <f t="shared" si="45"/>
        <v>0</v>
      </c>
      <c r="J729" s="25">
        <f t="shared" si="43"/>
        <v>23</v>
      </c>
    </row>
    <row r="730" spans="1:10" ht="34.950000000000003" customHeight="1">
      <c r="A730" s="75">
        <v>26</v>
      </c>
      <c r="B730" s="80" t="s">
        <v>116</v>
      </c>
      <c r="C730" s="77" t="s">
        <v>48</v>
      </c>
      <c r="D730" s="78">
        <v>1</v>
      </c>
      <c r="E730" s="79"/>
      <c r="F730" s="79" t="e">
        <f t="shared" si="44"/>
        <v>#REF!</v>
      </c>
      <c r="G730" s="2"/>
      <c r="H730" s="37">
        <v>21334</v>
      </c>
      <c r="I730" s="4">
        <f t="shared" si="45"/>
        <v>0</v>
      </c>
      <c r="J730" s="25">
        <f t="shared" si="43"/>
        <v>23</v>
      </c>
    </row>
    <row r="731" spans="1:10" ht="16.95" customHeight="1">
      <c r="A731" s="75">
        <v>27</v>
      </c>
      <c r="B731" s="80" t="s">
        <v>117</v>
      </c>
      <c r="C731" s="77" t="s">
        <v>48</v>
      </c>
      <c r="D731" s="78">
        <v>1</v>
      </c>
      <c r="E731" s="79"/>
      <c r="F731" s="79" t="e">
        <f t="shared" si="44"/>
        <v>#REF!</v>
      </c>
      <c r="G731" s="2"/>
      <c r="H731" s="37">
        <v>29620</v>
      </c>
      <c r="I731" s="4">
        <f t="shared" si="45"/>
        <v>0</v>
      </c>
      <c r="J731" s="25">
        <f t="shared" si="43"/>
        <v>23</v>
      </c>
    </row>
    <row r="732" spans="1:10" ht="16.95" customHeight="1">
      <c r="A732" s="75">
        <v>28</v>
      </c>
      <c r="B732" s="80" t="s">
        <v>118</v>
      </c>
      <c r="C732" s="77" t="s">
        <v>48</v>
      </c>
      <c r="D732" s="78">
        <v>1</v>
      </c>
      <c r="E732" s="79"/>
      <c r="F732" s="79" t="e">
        <f t="shared" si="44"/>
        <v>#REF!</v>
      </c>
      <c r="G732" s="2"/>
      <c r="H732" s="37">
        <v>18506</v>
      </c>
      <c r="I732" s="4">
        <f t="shared" si="45"/>
        <v>0</v>
      </c>
      <c r="J732" s="25">
        <f t="shared" si="43"/>
        <v>23</v>
      </c>
    </row>
    <row r="733" spans="1:10" ht="16.95" customHeight="1">
      <c r="A733" s="75">
        <v>29</v>
      </c>
      <c r="B733" s="80" t="s">
        <v>119</v>
      </c>
      <c r="C733" s="77" t="s">
        <v>48</v>
      </c>
      <c r="D733" s="78">
        <v>1</v>
      </c>
      <c r="E733" s="79"/>
      <c r="F733" s="79" t="e">
        <f t="shared" si="44"/>
        <v>#REF!</v>
      </c>
      <c r="G733" s="2"/>
      <c r="H733" s="37">
        <v>34381</v>
      </c>
      <c r="I733" s="4">
        <f t="shared" si="45"/>
        <v>0</v>
      </c>
      <c r="J733" s="25">
        <f t="shared" si="43"/>
        <v>23</v>
      </c>
    </row>
    <row r="734" spans="1:10" ht="16.95" customHeight="1">
      <c r="A734" s="75" t="s">
        <v>79</v>
      </c>
      <c r="B734" s="80" t="s">
        <v>80</v>
      </c>
      <c r="C734" s="77" t="s">
        <v>48</v>
      </c>
      <c r="D734" s="78">
        <v>1</v>
      </c>
      <c r="E734" s="79">
        <f t="shared" ref="E734:E737" si="46">1/120</f>
        <v>8.3333333333333332E-3</v>
      </c>
      <c r="F734" s="79" t="e">
        <f t="shared" si="44"/>
        <v>#REF!</v>
      </c>
      <c r="G734" s="2"/>
      <c r="H734" s="37">
        <v>21395</v>
      </c>
      <c r="I734" s="4">
        <f t="shared" si="45"/>
        <v>178.29166666666666</v>
      </c>
      <c r="J734" s="25">
        <f t="shared" si="43"/>
        <v>23</v>
      </c>
    </row>
    <row r="735" spans="1:10" ht="16.95" customHeight="1">
      <c r="A735" s="75" t="s">
        <v>81</v>
      </c>
      <c r="B735" s="80" t="s">
        <v>82</v>
      </c>
      <c r="C735" s="77" t="s">
        <v>48</v>
      </c>
      <c r="D735" s="78">
        <v>1</v>
      </c>
      <c r="E735" s="79">
        <f t="shared" si="46"/>
        <v>8.3333333333333332E-3</v>
      </c>
      <c r="F735" s="79" t="e">
        <f t="shared" si="44"/>
        <v>#REF!</v>
      </c>
      <c r="G735" s="2"/>
      <c r="H735" s="37">
        <v>21395</v>
      </c>
      <c r="I735" s="4">
        <f t="shared" si="45"/>
        <v>178.29166666666666</v>
      </c>
      <c r="J735" s="25">
        <f t="shared" si="43"/>
        <v>23</v>
      </c>
    </row>
    <row r="736" spans="1:10" ht="16.95" customHeight="1">
      <c r="A736" s="75" t="s">
        <v>83</v>
      </c>
      <c r="B736" s="80" t="s">
        <v>84</v>
      </c>
      <c r="C736" s="77" t="s">
        <v>48</v>
      </c>
      <c r="D736" s="78">
        <v>1</v>
      </c>
      <c r="E736" s="79">
        <f t="shared" si="46"/>
        <v>8.3333333333333332E-3</v>
      </c>
      <c r="F736" s="79" t="e">
        <f t="shared" si="44"/>
        <v>#REF!</v>
      </c>
      <c r="G736" s="2"/>
      <c r="H736" s="37">
        <v>149765</v>
      </c>
      <c r="I736" s="4">
        <f t="shared" si="45"/>
        <v>1248.0416666666667</v>
      </c>
      <c r="J736" s="25">
        <f t="shared" si="43"/>
        <v>23</v>
      </c>
    </row>
    <row r="737" spans="1:10" ht="16.95" customHeight="1">
      <c r="A737" s="75" t="s">
        <v>85</v>
      </c>
      <c r="B737" s="80" t="s">
        <v>86</v>
      </c>
      <c r="C737" s="77" t="s">
        <v>48</v>
      </c>
      <c r="D737" s="78">
        <v>1</v>
      </c>
      <c r="E737" s="79">
        <f t="shared" si="46"/>
        <v>8.3333333333333332E-3</v>
      </c>
      <c r="F737" s="79" t="e">
        <f t="shared" si="44"/>
        <v>#REF!</v>
      </c>
      <c r="G737" s="2"/>
      <c r="H737" s="37">
        <v>6996</v>
      </c>
      <c r="I737" s="4">
        <f t="shared" si="45"/>
        <v>58.3</v>
      </c>
      <c r="J737" s="25">
        <f t="shared" si="43"/>
        <v>23</v>
      </c>
    </row>
    <row r="738" spans="1:10" ht="16.95" customHeight="1">
      <c r="A738" s="75" t="s">
        <v>87</v>
      </c>
      <c r="B738" s="80" t="s">
        <v>88</v>
      </c>
      <c r="C738" s="77" t="s">
        <v>48</v>
      </c>
      <c r="D738" s="78">
        <v>1</v>
      </c>
      <c r="E738" s="79">
        <f>1/120</f>
        <v>8.3333333333333332E-3</v>
      </c>
      <c r="F738" s="79" t="e">
        <f t="shared" si="44"/>
        <v>#REF!</v>
      </c>
      <c r="G738" s="2"/>
      <c r="H738" s="37">
        <v>116952</v>
      </c>
      <c r="I738" s="4">
        <f t="shared" si="45"/>
        <v>974.6</v>
      </c>
      <c r="J738" s="25">
        <f t="shared" si="43"/>
        <v>23</v>
      </c>
    </row>
    <row r="739" spans="1:10" ht="16.95" customHeight="1">
      <c r="A739" s="95" t="s">
        <v>23</v>
      </c>
      <c r="B739" s="95"/>
      <c r="C739" s="50"/>
      <c r="D739" s="50"/>
      <c r="E739" s="50"/>
      <c r="F739" s="50"/>
      <c r="G739" s="50"/>
      <c r="H739" s="3" t="s">
        <v>24</v>
      </c>
      <c r="I739" s="5">
        <f>SUM(I704:I738)</f>
        <v>2637.5250000000001</v>
      </c>
      <c r="J739" s="25">
        <f t="shared" si="43"/>
        <v>23</v>
      </c>
    </row>
    <row r="740" spans="1:10" ht="16.95" customHeight="1">
      <c r="A740" s="96" t="s">
        <v>25</v>
      </c>
      <c r="B740" s="96"/>
      <c r="C740" s="50"/>
      <c r="D740" s="50"/>
      <c r="E740" s="50"/>
      <c r="F740" s="50"/>
      <c r="G740" s="50"/>
      <c r="J740" s="25">
        <f t="shared" si="43"/>
        <v>23</v>
      </c>
    </row>
    <row r="741" spans="1:10" ht="16.95" customHeight="1">
      <c r="A741" s="96" t="s">
        <v>26</v>
      </c>
      <c r="B741" s="96"/>
      <c r="C741" s="50"/>
      <c r="D741" s="50"/>
      <c r="E741" s="50"/>
      <c r="F741" s="50"/>
      <c r="G741" s="50"/>
      <c r="J741" s="25">
        <f t="shared" si="43"/>
        <v>23</v>
      </c>
    </row>
    <row r="742" spans="1:10" ht="16.95" customHeight="1">
      <c r="A742" s="95" t="s">
        <v>27</v>
      </c>
      <c r="B742" s="95"/>
      <c r="C742" s="95"/>
      <c r="D742" s="95"/>
      <c r="E742" s="95"/>
      <c r="F742" s="95"/>
      <c r="G742" s="95"/>
      <c r="J742" s="25">
        <f t="shared" si="43"/>
        <v>23</v>
      </c>
    </row>
    <row r="743" spans="1:10" ht="16.95" customHeight="1">
      <c r="A743" s="94" t="s">
        <v>28</v>
      </c>
      <c r="B743" s="94"/>
      <c r="C743" s="51" t="s">
        <v>29</v>
      </c>
      <c r="D743" s="51" t="s">
        <v>30</v>
      </c>
      <c r="E743" s="51" t="s">
        <v>18</v>
      </c>
      <c r="F743" s="51" t="s">
        <v>31</v>
      </c>
      <c r="G743" s="51" t="s">
        <v>20</v>
      </c>
      <c r="J743" s="25">
        <f t="shared" si="43"/>
        <v>23</v>
      </c>
    </row>
    <row r="744" spans="1:10" ht="16.95" customHeight="1">
      <c r="A744" s="96"/>
      <c r="B744" s="96"/>
      <c r="C744" s="50"/>
      <c r="D744" s="50"/>
      <c r="E744" s="50"/>
      <c r="F744" s="50"/>
      <c r="G744" s="51"/>
      <c r="J744" s="25">
        <f t="shared" si="43"/>
        <v>23</v>
      </c>
    </row>
    <row r="745" spans="1:10" ht="16.95" customHeight="1">
      <c r="A745" s="97"/>
      <c r="B745" s="97"/>
      <c r="C745" s="50"/>
      <c r="D745" s="50"/>
      <c r="E745" s="50"/>
      <c r="F745" s="51"/>
      <c r="G745" s="51"/>
      <c r="J745" s="25">
        <f t="shared" si="43"/>
        <v>23</v>
      </c>
    </row>
    <row r="746" spans="1:10" ht="16.95" customHeight="1">
      <c r="A746" s="95" t="s">
        <v>32</v>
      </c>
      <c r="B746" s="95"/>
      <c r="C746" s="95"/>
      <c r="D746" s="95"/>
      <c r="E746" s="95"/>
      <c r="F746" s="95"/>
      <c r="G746" s="95"/>
      <c r="J746" s="25">
        <f t="shared" si="43"/>
        <v>24</v>
      </c>
    </row>
    <row r="747" spans="1:10" ht="16.95" customHeight="1">
      <c r="A747" s="51" t="s">
        <v>33</v>
      </c>
      <c r="B747" s="51" t="s">
        <v>34</v>
      </c>
      <c r="C747" s="94" t="s">
        <v>35</v>
      </c>
      <c r="D747" s="94"/>
      <c r="E747" s="51" t="s">
        <v>36</v>
      </c>
      <c r="F747" s="51" t="s">
        <v>37</v>
      </c>
      <c r="G747" s="51" t="s">
        <v>38</v>
      </c>
      <c r="J747" s="25">
        <f t="shared" si="43"/>
        <v>24</v>
      </c>
    </row>
    <row r="748" spans="1:10" ht="16.95" customHeight="1">
      <c r="A748" s="51" t="s">
        <v>39</v>
      </c>
      <c r="B748" s="6"/>
      <c r="C748" s="94" t="e">
        <f>B748+C685</f>
        <v>#REF!</v>
      </c>
      <c r="D748" s="94"/>
      <c r="E748" s="51"/>
      <c r="F748" s="24"/>
      <c r="G748" s="24"/>
      <c r="J748" s="25">
        <f t="shared" si="43"/>
        <v>24</v>
      </c>
    </row>
    <row r="749" spans="1:10" ht="16.95" customHeight="1">
      <c r="A749" s="51" t="s">
        <v>40</v>
      </c>
      <c r="B749" s="6"/>
      <c r="C749" s="94" t="e">
        <f>B749+C686</f>
        <v>#REF!</v>
      </c>
      <c r="D749" s="94"/>
      <c r="E749" s="51"/>
      <c r="F749" s="24"/>
      <c r="G749" s="24"/>
      <c r="J749" s="25">
        <f t="shared" si="43"/>
        <v>24</v>
      </c>
    </row>
    <row r="750" spans="1:10" ht="36.6" customHeight="1">
      <c r="A750" s="95" t="s">
        <v>41</v>
      </c>
      <c r="B750" s="95"/>
      <c r="C750" s="95"/>
      <c r="D750" s="95"/>
      <c r="E750" s="95"/>
      <c r="F750" s="95"/>
      <c r="G750" s="95"/>
      <c r="J750" s="25">
        <f t="shared" si="43"/>
        <v>24</v>
      </c>
    </row>
    <row r="751" spans="1:10" ht="90" customHeight="1">
      <c r="A751" s="92" t="s">
        <v>42</v>
      </c>
      <c r="B751" s="92"/>
      <c r="C751" s="92"/>
      <c r="D751" s="92"/>
      <c r="E751" s="92"/>
      <c r="F751" s="92"/>
      <c r="G751" s="92"/>
      <c r="J751" s="25">
        <f t="shared" si="43"/>
        <v>24</v>
      </c>
    </row>
    <row r="752" spans="1:10" ht="16.95" customHeight="1">
      <c r="A752" s="95" t="s">
        <v>43</v>
      </c>
      <c r="B752" s="95"/>
      <c r="C752" s="95"/>
      <c r="D752" s="95"/>
      <c r="E752" s="95"/>
      <c r="F752" s="95"/>
      <c r="G752" s="95"/>
      <c r="J752" s="25">
        <f t="shared" si="43"/>
        <v>24</v>
      </c>
    </row>
    <row r="753" spans="1:10" ht="16.95" customHeight="1">
      <c r="A753" s="95" t="s">
        <v>44</v>
      </c>
      <c r="B753" s="95"/>
      <c r="C753" s="95"/>
      <c r="D753" s="95"/>
      <c r="E753" s="95"/>
      <c r="F753" s="95"/>
      <c r="G753" s="95"/>
      <c r="J753" s="25">
        <f t="shared" si="43"/>
        <v>24</v>
      </c>
    </row>
    <row r="754" spans="1:10" ht="16.95" customHeight="1">
      <c r="A754" s="91" t="s">
        <v>64</v>
      </c>
      <c r="B754" s="91"/>
      <c r="C754" s="91"/>
      <c r="D754" s="91"/>
      <c r="E754" s="91"/>
      <c r="F754" s="91"/>
      <c r="G754" s="91"/>
      <c r="J754" s="25">
        <f t="shared" si="43"/>
        <v>24</v>
      </c>
    </row>
    <row r="755" spans="1:10" ht="120.6" customHeight="1">
      <c r="A755" s="92" t="s">
        <v>45</v>
      </c>
      <c r="B755" s="92"/>
      <c r="C755" s="92"/>
      <c r="D755" s="92"/>
      <c r="E755" s="92"/>
      <c r="F755" s="92"/>
      <c r="G755" s="92"/>
      <c r="J755" s="25">
        <f t="shared" si="43"/>
        <v>24</v>
      </c>
    </row>
    <row r="756" spans="1:10" ht="140.4" customHeight="1">
      <c r="A756" s="93" t="s">
        <v>46</v>
      </c>
      <c r="B756" s="93"/>
      <c r="C756" s="93"/>
      <c r="D756" s="93"/>
      <c r="E756" s="93"/>
      <c r="F756" s="93"/>
      <c r="G756" s="93"/>
      <c r="J756" s="25">
        <f t="shared" si="43"/>
        <v>24</v>
      </c>
    </row>
    <row r="757" spans="1:10" ht="37.200000000000003" customHeight="1">
      <c r="A757" s="103" t="s">
        <v>0</v>
      </c>
      <c r="B757" s="103"/>
      <c r="C757" s="103"/>
      <c r="D757" s="103"/>
      <c r="E757" s="103"/>
      <c r="F757" s="103"/>
      <c r="G757" s="103"/>
      <c r="J757" s="25">
        <f t="shared" si="43"/>
        <v>25</v>
      </c>
    </row>
    <row r="758" spans="1:10" ht="16.95" customHeight="1">
      <c r="A758" s="1" t="s">
        <v>1</v>
      </c>
      <c r="B758" s="104">
        <f>B695+1</f>
        <v>14</v>
      </c>
      <c r="C758" s="104"/>
      <c r="D758" s="104"/>
      <c r="E758" s="104"/>
      <c r="F758" s="104"/>
      <c r="G758" s="104"/>
      <c r="J758" s="25">
        <f t="shared" si="43"/>
        <v>25</v>
      </c>
    </row>
    <row r="759" spans="1:10" ht="16.95" customHeight="1">
      <c r="A759" s="1" t="s">
        <v>2</v>
      </c>
      <c r="B759" s="105" t="s">
        <v>63</v>
      </c>
      <c r="C759" s="105"/>
      <c r="D759" s="105"/>
      <c r="E759" s="106">
        <f>E696+1</f>
        <v>46216</v>
      </c>
      <c r="F759" s="106"/>
      <c r="G759" s="106"/>
      <c r="J759" s="25">
        <f t="shared" si="43"/>
        <v>25</v>
      </c>
    </row>
    <row r="760" spans="1:10" ht="16.95" customHeight="1">
      <c r="A760" s="53" t="s">
        <v>3</v>
      </c>
      <c r="B760" s="2" t="s">
        <v>67</v>
      </c>
      <c r="C760" s="98" t="s">
        <v>4</v>
      </c>
      <c r="D760" s="98"/>
      <c r="E760" s="98" t="s">
        <v>47</v>
      </c>
      <c r="F760" s="98"/>
      <c r="G760" s="98"/>
      <c r="J760" s="25">
        <f t="shared" si="43"/>
        <v>25</v>
      </c>
    </row>
    <row r="761" spans="1:10" ht="16.95" customHeight="1">
      <c r="A761" s="53" t="s">
        <v>5</v>
      </c>
      <c r="B761" s="54">
        <v>120</v>
      </c>
      <c r="C761" s="98" t="s">
        <v>6</v>
      </c>
      <c r="D761" s="98"/>
      <c r="E761" s="98" t="s">
        <v>123</v>
      </c>
      <c r="F761" s="98"/>
      <c r="G761" s="98"/>
      <c r="J761" s="25">
        <f t="shared" si="43"/>
        <v>25</v>
      </c>
    </row>
    <row r="762" spans="1:10" ht="16.95" customHeight="1">
      <c r="A762" s="53" t="s">
        <v>7</v>
      </c>
      <c r="B762" s="54">
        <f>B758</f>
        <v>14</v>
      </c>
      <c r="C762" s="100" t="s">
        <v>8</v>
      </c>
      <c r="D762" s="100"/>
      <c r="E762" s="101">
        <f>B761-B762</f>
        <v>106</v>
      </c>
      <c r="F762" s="101"/>
      <c r="G762" s="101"/>
      <c r="J762" s="25">
        <f t="shared" si="43"/>
        <v>25</v>
      </c>
    </row>
    <row r="763" spans="1:10" ht="16.95" customHeight="1">
      <c r="A763" s="53" t="s">
        <v>9</v>
      </c>
      <c r="B763" s="55">
        <v>46204</v>
      </c>
      <c r="C763" s="98" t="s">
        <v>10</v>
      </c>
      <c r="D763" s="98"/>
      <c r="E763" s="102">
        <f>B763+B761-1</f>
        <v>46323</v>
      </c>
      <c r="F763" s="102"/>
      <c r="G763" s="102"/>
      <c r="J763" s="25">
        <f t="shared" ref="J763:J826" si="47">J700+2</f>
        <v>25</v>
      </c>
    </row>
    <row r="764" spans="1:10" ht="16.95" customHeight="1">
      <c r="A764" s="53" t="s">
        <v>11</v>
      </c>
      <c r="B764" s="56" t="e">
        <f>HLOOKUP(B758,進度表!$Q$2:$Z$3,2,1)+B701</f>
        <v>#REF!</v>
      </c>
      <c r="C764" s="98" t="s">
        <v>12</v>
      </c>
      <c r="D764" s="98"/>
      <c r="E764" s="99" t="e">
        <f>I802/I764+E701</f>
        <v>#REF!</v>
      </c>
      <c r="F764" s="99"/>
      <c r="G764" s="99"/>
      <c r="H764" s="3" t="s">
        <v>62</v>
      </c>
      <c r="I764" s="1">
        <v>2456000</v>
      </c>
      <c r="J764" s="25">
        <f t="shared" si="47"/>
        <v>25</v>
      </c>
    </row>
    <row r="765" spans="1:10" ht="16.95" customHeight="1">
      <c r="A765" s="98" t="s">
        <v>13</v>
      </c>
      <c r="B765" s="98"/>
      <c r="C765" s="98"/>
      <c r="D765" s="98"/>
      <c r="E765" s="98"/>
      <c r="F765" s="98"/>
      <c r="G765" s="98"/>
      <c r="J765" s="25">
        <f t="shared" si="47"/>
        <v>25</v>
      </c>
    </row>
    <row r="766" spans="1:10" ht="16.95" customHeight="1">
      <c r="A766" s="52" t="s">
        <v>14</v>
      </c>
      <c r="B766" s="52" t="s">
        <v>15</v>
      </c>
      <c r="C766" s="52" t="s">
        <v>16</v>
      </c>
      <c r="D766" s="52" t="s">
        <v>17</v>
      </c>
      <c r="E766" s="52" t="s">
        <v>18</v>
      </c>
      <c r="F766" s="52" t="s">
        <v>19</v>
      </c>
      <c r="G766" s="52" t="s">
        <v>20</v>
      </c>
      <c r="H766" s="3" t="s">
        <v>21</v>
      </c>
      <c r="I766" s="3" t="s">
        <v>22</v>
      </c>
      <c r="J766" s="25">
        <f t="shared" si="47"/>
        <v>25</v>
      </c>
    </row>
    <row r="767" spans="1:10" ht="16.95" customHeight="1">
      <c r="A767" s="75" t="s">
        <v>65</v>
      </c>
      <c r="B767" s="76" t="s">
        <v>69</v>
      </c>
      <c r="C767" s="77"/>
      <c r="D767" s="78"/>
      <c r="E767" s="79"/>
      <c r="F767" s="79"/>
      <c r="G767" s="2"/>
      <c r="H767" s="37"/>
      <c r="I767" s="4"/>
      <c r="J767" s="25">
        <f t="shared" si="47"/>
        <v>25</v>
      </c>
    </row>
    <row r="768" spans="1:10" ht="34.950000000000003" customHeight="1">
      <c r="A768" s="75">
        <v>1</v>
      </c>
      <c r="B768" s="80" t="s">
        <v>91</v>
      </c>
      <c r="C768" s="77" t="s">
        <v>48</v>
      </c>
      <c r="D768" s="78">
        <v>1</v>
      </c>
      <c r="E768" s="79"/>
      <c r="F768" s="79" t="e">
        <f t="shared" ref="F768:F801" si="48">E768+F705</f>
        <v>#REF!</v>
      </c>
      <c r="G768" s="2"/>
      <c r="H768" s="37">
        <v>10508</v>
      </c>
      <c r="I768" s="4">
        <f>H768*E768</f>
        <v>0</v>
      </c>
      <c r="J768" s="25">
        <f t="shared" si="47"/>
        <v>25</v>
      </c>
    </row>
    <row r="769" spans="1:10" ht="34.799999999999997" customHeight="1">
      <c r="A769" s="75">
        <v>2</v>
      </c>
      <c r="B769" s="80" t="s">
        <v>92</v>
      </c>
      <c r="C769" s="77" t="s">
        <v>48</v>
      </c>
      <c r="D769" s="78">
        <v>1</v>
      </c>
      <c r="E769" s="79"/>
      <c r="F769" s="79" t="e">
        <f t="shared" si="48"/>
        <v>#REF!</v>
      </c>
      <c r="G769" s="2"/>
      <c r="H769" s="37">
        <v>13223</v>
      </c>
      <c r="I769" s="4">
        <f>H769*E769</f>
        <v>0</v>
      </c>
      <c r="J769" s="25">
        <f t="shared" si="47"/>
        <v>25</v>
      </c>
    </row>
    <row r="770" spans="1:10" ht="53.4" customHeight="1">
      <c r="A770" s="75">
        <v>3</v>
      </c>
      <c r="B770" s="80" t="s">
        <v>93</v>
      </c>
      <c r="C770" s="77" t="s">
        <v>48</v>
      </c>
      <c r="D770" s="78">
        <v>1</v>
      </c>
      <c r="E770" s="79"/>
      <c r="F770" s="79" t="e">
        <f t="shared" si="48"/>
        <v>#REF!</v>
      </c>
      <c r="G770" s="2"/>
      <c r="H770" s="37">
        <v>310497</v>
      </c>
      <c r="I770" s="4">
        <f t="shared" ref="I770:I801" si="49">H770*E770</f>
        <v>0</v>
      </c>
      <c r="J770" s="25">
        <f t="shared" si="47"/>
        <v>25</v>
      </c>
    </row>
    <row r="771" spans="1:10" ht="16.95" customHeight="1">
      <c r="A771" s="75">
        <v>4</v>
      </c>
      <c r="B771" s="80" t="s">
        <v>94</v>
      </c>
      <c r="C771" s="77" t="s">
        <v>48</v>
      </c>
      <c r="D771" s="78">
        <v>1</v>
      </c>
      <c r="E771" s="79"/>
      <c r="F771" s="79" t="e">
        <f t="shared" si="48"/>
        <v>#REF!</v>
      </c>
      <c r="G771" s="2"/>
      <c r="H771" s="37">
        <v>8375</v>
      </c>
      <c r="I771" s="4">
        <f t="shared" si="49"/>
        <v>0</v>
      </c>
      <c r="J771" s="25">
        <f t="shared" si="47"/>
        <v>25</v>
      </c>
    </row>
    <row r="772" spans="1:10" ht="16.95" customHeight="1">
      <c r="A772" s="75">
        <v>5</v>
      </c>
      <c r="B772" s="80" t="s">
        <v>95</v>
      </c>
      <c r="C772" s="77" t="s">
        <v>48</v>
      </c>
      <c r="D772" s="78">
        <v>1</v>
      </c>
      <c r="E772" s="79"/>
      <c r="F772" s="79" t="e">
        <f t="shared" si="48"/>
        <v>#REF!</v>
      </c>
      <c r="G772" s="2"/>
      <c r="H772" s="37">
        <v>51618</v>
      </c>
      <c r="I772" s="4">
        <f t="shared" si="49"/>
        <v>0</v>
      </c>
      <c r="J772" s="25">
        <f t="shared" si="47"/>
        <v>25</v>
      </c>
    </row>
    <row r="773" spans="1:10" ht="16.95" customHeight="1">
      <c r="A773" s="75">
        <v>6</v>
      </c>
      <c r="B773" s="80" t="s">
        <v>96</v>
      </c>
      <c r="C773" s="77" t="s">
        <v>50</v>
      </c>
      <c r="D773" s="78">
        <v>11.55</v>
      </c>
      <c r="E773" s="79"/>
      <c r="F773" s="79" t="e">
        <f t="shared" si="48"/>
        <v>#REF!</v>
      </c>
      <c r="G773" s="2"/>
      <c r="H773" s="37">
        <v>1188</v>
      </c>
      <c r="I773" s="4">
        <f t="shared" si="49"/>
        <v>0</v>
      </c>
      <c r="J773" s="25">
        <f t="shared" si="47"/>
        <v>25</v>
      </c>
    </row>
    <row r="774" spans="1:10" ht="34.950000000000003" customHeight="1">
      <c r="A774" s="75">
        <v>7</v>
      </c>
      <c r="B774" s="80" t="s">
        <v>97</v>
      </c>
      <c r="C774" s="77" t="s">
        <v>48</v>
      </c>
      <c r="D774" s="78">
        <v>1</v>
      </c>
      <c r="E774" s="79"/>
      <c r="F774" s="79" t="e">
        <f t="shared" si="48"/>
        <v>#REF!</v>
      </c>
      <c r="G774" s="2"/>
      <c r="H774" s="37">
        <v>21157</v>
      </c>
      <c r="I774" s="4">
        <f t="shared" si="49"/>
        <v>0</v>
      </c>
      <c r="J774" s="25">
        <f t="shared" si="47"/>
        <v>25</v>
      </c>
    </row>
    <row r="775" spans="1:10" ht="16.95" customHeight="1">
      <c r="A775" s="75">
        <v>8</v>
      </c>
      <c r="B775" s="80" t="s">
        <v>98</v>
      </c>
      <c r="C775" s="77" t="s">
        <v>50</v>
      </c>
      <c r="D775" s="78">
        <v>387</v>
      </c>
      <c r="E775" s="79"/>
      <c r="F775" s="79" t="e">
        <f t="shared" si="48"/>
        <v>#REF!</v>
      </c>
      <c r="G775" s="2"/>
      <c r="H775" s="37">
        <v>705</v>
      </c>
      <c r="I775" s="4">
        <f t="shared" si="49"/>
        <v>0</v>
      </c>
      <c r="J775" s="25">
        <f t="shared" si="47"/>
        <v>25</v>
      </c>
    </row>
    <row r="776" spans="1:10" ht="16.95" customHeight="1">
      <c r="A776" s="75">
        <v>9</v>
      </c>
      <c r="B776" s="80" t="s">
        <v>99</v>
      </c>
      <c r="C776" s="77" t="s">
        <v>50</v>
      </c>
      <c r="D776" s="78">
        <v>170</v>
      </c>
      <c r="E776" s="79"/>
      <c r="F776" s="79" t="e">
        <f t="shared" si="48"/>
        <v>#REF!</v>
      </c>
      <c r="G776" s="2"/>
      <c r="H776" s="37">
        <v>617</v>
      </c>
      <c r="I776" s="4">
        <f t="shared" si="49"/>
        <v>0</v>
      </c>
      <c r="J776" s="25">
        <f t="shared" si="47"/>
        <v>25</v>
      </c>
    </row>
    <row r="777" spans="1:10" ht="16.95" customHeight="1">
      <c r="A777" s="75">
        <v>10</v>
      </c>
      <c r="B777" s="80" t="s">
        <v>100</v>
      </c>
      <c r="C777" s="77" t="s">
        <v>66</v>
      </c>
      <c r="D777" s="78">
        <v>15</v>
      </c>
      <c r="E777" s="79"/>
      <c r="F777" s="79" t="e">
        <f t="shared" si="48"/>
        <v>#REF!</v>
      </c>
      <c r="G777" s="2"/>
      <c r="H777" s="37">
        <v>617</v>
      </c>
      <c r="I777" s="4">
        <f t="shared" si="49"/>
        <v>0</v>
      </c>
      <c r="J777" s="25">
        <f t="shared" si="47"/>
        <v>25</v>
      </c>
    </row>
    <row r="778" spans="1:10" ht="16.95" customHeight="1">
      <c r="A778" s="75">
        <v>11</v>
      </c>
      <c r="B778" s="80" t="s">
        <v>101</v>
      </c>
      <c r="C778" s="77" t="s">
        <v>50</v>
      </c>
      <c r="D778" s="78">
        <v>75</v>
      </c>
      <c r="E778" s="79"/>
      <c r="F778" s="79" t="e">
        <f t="shared" si="48"/>
        <v>#REF!</v>
      </c>
      <c r="G778" s="2"/>
      <c r="H778" s="37">
        <v>1146</v>
      </c>
      <c r="I778" s="4">
        <f t="shared" si="49"/>
        <v>0</v>
      </c>
      <c r="J778" s="25">
        <f t="shared" si="47"/>
        <v>25</v>
      </c>
    </row>
    <row r="779" spans="1:10" ht="16.95" customHeight="1">
      <c r="A779" s="75">
        <v>12</v>
      </c>
      <c r="B779" s="80" t="s">
        <v>102</v>
      </c>
      <c r="C779" s="77" t="s">
        <v>50</v>
      </c>
      <c r="D779" s="78">
        <v>5</v>
      </c>
      <c r="E779" s="79"/>
      <c r="F779" s="79" t="e">
        <f t="shared" si="48"/>
        <v>#REF!</v>
      </c>
      <c r="G779" s="2"/>
      <c r="H779" s="37">
        <v>1455</v>
      </c>
      <c r="I779" s="4">
        <f t="shared" si="49"/>
        <v>0</v>
      </c>
      <c r="J779" s="25">
        <f t="shared" si="47"/>
        <v>25</v>
      </c>
    </row>
    <row r="780" spans="1:10" ht="16.95" customHeight="1">
      <c r="A780" s="75">
        <v>13</v>
      </c>
      <c r="B780" s="80" t="s">
        <v>103</v>
      </c>
      <c r="C780" s="77" t="s">
        <v>50</v>
      </c>
      <c r="D780" s="78">
        <v>217</v>
      </c>
      <c r="E780" s="79"/>
      <c r="F780" s="79" t="e">
        <f t="shared" si="48"/>
        <v>#REF!</v>
      </c>
      <c r="G780" s="2"/>
      <c r="H780" s="37">
        <v>1410</v>
      </c>
      <c r="I780" s="4">
        <f t="shared" si="49"/>
        <v>0</v>
      </c>
      <c r="J780" s="25">
        <f t="shared" si="47"/>
        <v>25</v>
      </c>
    </row>
    <row r="781" spans="1:10" ht="16.95" customHeight="1">
      <c r="A781" s="75">
        <v>14</v>
      </c>
      <c r="B781" s="80" t="s">
        <v>104</v>
      </c>
      <c r="C781" s="77" t="s">
        <v>49</v>
      </c>
      <c r="D781" s="78">
        <v>84</v>
      </c>
      <c r="E781" s="79"/>
      <c r="F781" s="79" t="e">
        <f t="shared" si="48"/>
        <v>#REF!</v>
      </c>
      <c r="G781" s="2"/>
      <c r="H781" s="37">
        <v>529</v>
      </c>
      <c r="I781" s="4">
        <f t="shared" si="49"/>
        <v>0</v>
      </c>
      <c r="J781" s="25">
        <f t="shared" si="47"/>
        <v>25</v>
      </c>
    </row>
    <row r="782" spans="1:10" ht="16.95" customHeight="1">
      <c r="A782" s="75">
        <v>15</v>
      </c>
      <c r="B782" s="80" t="s">
        <v>105</v>
      </c>
      <c r="C782" s="77" t="s">
        <v>50</v>
      </c>
      <c r="D782" s="78">
        <v>1</v>
      </c>
      <c r="E782" s="79"/>
      <c r="F782" s="79" t="e">
        <f t="shared" si="48"/>
        <v>#REF!</v>
      </c>
      <c r="G782" s="2"/>
      <c r="H782" s="37">
        <v>1146</v>
      </c>
      <c r="I782" s="4">
        <f t="shared" si="49"/>
        <v>0</v>
      </c>
      <c r="J782" s="25">
        <f t="shared" si="47"/>
        <v>25</v>
      </c>
    </row>
    <row r="783" spans="1:10" ht="34.799999999999997" customHeight="1">
      <c r="A783" s="75">
        <v>16</v>
      </c>
      <c r="B783" s="80" t="s">
        <v>106</v>
      </c>
      <c r="C783" s="77" t="s">
        <v>50</v>
      </c>
      <c r="D783" s="78">
        <v>314</v>
      </c>
      <c r="E783" s="79"/>
      <c r="F783" s="79" t="e">
        <f t="shared" si="48"/>
        <v>#REF!</v>
      </c>
      <c r="G783" s="2"/>
      <c r="H783" s="37">
        <v>185</v>
      </c>
      <c r="I783" s="4">
        <f t="shared" si="49"/>
        <v>0</v>
      </c>
      <c r="J783" s="25">
        <f t="shared" si="47"/>
        <v>25</v>
      </c>
    </row>
    <row r="784" spans="1:10" ht="16.95" customHeight="1">
      <c r="A784" s="75">
        <v>17</v>
      </c>
      <c r="B784" s="80" t="s">
        <v>107</v>
      </c>
      <c r="C784" s="77" t="s">
        <v>48</v>
      </c>
      <c r="D784" s="78">
        <v>1</v>
      </c>
      <c r="E784" s="79"/>
      <c r="F784" s="79" t="e">
        <f t="shared" si="48"/>
        <v>#REF!</v>
      </c>
      <c r="G784" s="2"/>
      <c r="H784" s="37">
        <v>89918</v>
      </c>
      <c r="I784" s="4">
        <f t="shared" si="49"/>
        <v>0</v>
      </c>
      <c r="J784" s="25">
        <f t="shared" si="47"/>
        <v>25</v>
      </c>
    </row>
    <row r="785" spans="1:10" ht="16.95" customHeight="1">
      <c r="A785" s="75">
        <v>18</v>
      </c>
      <c r="B785" s="80" t="s">
        <v>108</v>
      </c>
      <c r="C785" s="77" t="s">
        <v>120</v>
      </c>
      <c r="D785" s="78">
        <v>15</v>
      </c>
      <c r="E785" s="79"/>
      <c r="F785" s="79" t="e">
        <f t="shared" si="48"/>
        <v>#REF!</v>
      </c>
      <c r="G785" s="2"/>
      <c r="H785" s="37">
        <v>661</v>
      </c>
      <c r="I785" s="4">
        <f t="shared" si="49"/>
        <v>0</v>
      </c>
      <c r="J785" s="25">
        <f t="shared" si="47"/>
        <v>25</v>
      </c>
    </row>
    <row r="786" spans="1:10" ht="16.95" customHeight="1">
      <c r="A786" s="75">
        <v>19</v>
      </c>
      <c r="B786" s="80" t="s">
        <v>109</v>
      </c>
      <c r="C786" s="77" t="s">
        <v>50</v>
      </c>
      <c r="D786" s="78">
        <v>82</v>
      </c>
      <c r="E786" s="79"/>
      <c r="F786" s="79" t="e">
        <f t="shared" si="48"/>
        <v>#REF!</v>
      </c>
      <c r="G786" s="2"/>
      <c r="H786" s="37">
        <v>2909</v>
      </c>
      <c r="I786" s="4">
        <f t="shared" si="49"/>
        <v>0</v>
      </c>
      <c r="J786" s="25">
        <f t="shared" si="47"/>
        <v>25</v>
      </c>
    </row>
    <row r="787" spans="1:10" ht="16.95" customHeight="1">
      <c r="A787" s="75">
        <v>20</v>
      </c>
      <c r="B787" s="80" t="s">
        <v>110</v>
      </c>
      <c r="C787" s="77" t="s">
        <v>121</v>
      </c>
      <c r="D787" s="78">
        <v>12</v>
      </c>
      <c r="E787" s="79"/>
      <c r="F787" s="79" t="e">
        <f t="shared" si="48"/>
        <v>#REF!</v>
      </c>
      <c r="G787" s="2"/>
      <c r="H787" s="37">
        <v>882</v>
      </c>
      <c r="I787" s="4">
        <f t="shared" si="49"/>
        <v>0</v>
      </c>
      <c r="J787" s="25">
        <f t="shared" si="47"/>
        <v>25</v>
      </c>
    </row>
    <row r="788" spans="1:10" ht="16.95" customHeight="1">
      <c r="A788" s="77">
        <v>21</v>
      </c>
      <c r="B788" s="80" t="s">
        <v>111</v>
      </c>
      <c r="C788" s="77" t="s">
        <v>122</v>
      </c>
      <c r="D788" s="78">
        <v>3</v>
      </c>
      <c r="E788" s="79"/>
      <c r="F788" s="79" t="e">
        <f t="shared" si="48"/>
        <v>#REF!</v>
      </c>
      <c r="G788" s="2"/>
      <c r="H788" s="38">
        <v>1869</v>
      </c>
      <c r="I788" s="4">
        <f t="shared" si="49"/>
        <v>0</v>
      </c>
      <c r="J788" s="25">
        <f t="shared" si="47"/>
        <v>25</v>
      </c>
    </row>
    <row r="789" spans="1:10" ht="34.950000000000003" customHeight="1">
      <c r="A789" s="75">
        <v>22</v>
      </c>
      <c r="B789" s="80" t="s">
        <v>112</v>
      </c>
      <c r="C789" s="77" t="s">
        <v>48</v>
      </c>
      <c r="D789" s="78">
        <v>1</v>
      </c>
      <c r="E789" s="79"/>
      <c r="F789" s="79" t="e">
        <f t="shared" si="48"/>
        <v>#REF!</v>
      </c>
      <c r="G789" s="2"/>
      <c r="H789" s="37">
        <v>82206</v>
      </c>
      <c r="I789" s="4">
        <f t="shared" si="49"/>
        <v>0</v>
      </c>
      <c r="J789" s="25">
        <f t="shared" si="47"/>
        <v>25</v>
      </c>
    </row>
    <row r="790" spans="1:10" ht="16.95" customHeight="1">
      <c r="A790" s="75">
        <v>23</v>
      </c>
      <c r="B790" s="80" t="s">
        <v>113</v>
      </c>
      <c r="C790" s="77" t="s">
        <v>48</v>
      </c>
      <c r="D790" s="78">
        <v>1</v>
      </c>
      <c r="E790" s="79"/>
      <c r="F790" s="79" t="e">
        <f t="shared" si="48"/>
        <v>#REF!</v>
      </c>
      <c r="G790" s="2"/>
      <c r="H790" s="37">
        <v>142723</v>
      </c>
      <c r="I790" s="4">
        <f t="shared" si="49"/>
        <v>0</v>
      </c>
      <c r="J790" s="25">
        <f t="shared" si="47"/>
        <v>25</v>
      </c>
    </row>
    <row r="791" spans="1:10" ht="16.95" customHeight="1">
      <c r="A791" s="75">
        <v>24</v>
      </c>
      <c r="B791" s="80" t="s">
        <v>114</v>
      </c>
      <c r="C791" s="77" t="s">
        <v>48</v>
      </c>
      <c r="D791" s="78">
        <v>1</v>
      </c>
      <c r="E791" s="79"/>
      <c r="F791" s="79" t="e">
        <f t="shared" si="48"/>
        <v>#REF!</v>
      </c>
      <c r="G791" s="2"/>
      <c r="H791" s="37">
        <v>37290</v>
      </c>
      <c r="I791" s="4">
        <f t="shared" si="49"/>
        <v>0</v>
      </c>
      <c r="J791" s="25">
        <f t="shared" si="47"/>
        <v>25</v>
      </c>
    </row>
    <row r="792" spans="1:10" ht="16.95" customHeight="1">
      <c r="A792" s="75">
        <v>25</v>
      </c>
      <c r="B792" s="80" t="s">
        <v>115</v>
      </c>
      <c r="C792" s="77" t="s">
        <v>48</v>
      </c>
      <c r="D792" s="78">
        <v>1</v>
      </c>
      <c r="E792" s="79"/>
      <c r="F792" s="79" t="e">
        <f t="shared" si="48"/>
        <v>#REF!</v>
      </c>
      <c r="G792" s="2"/>
      <c r="H792" s="37">
        <v>99394</v>
      </c>
      <c r="I792" s="4">
        <f t="shared" si="49"/>
        <v>0</v>
      </c>
      <c r="J792" s="25">
        <f t="shared" si="47"/>
        <v>25</v>
      </c>
    </row>
    <row r="793" spans="1:10" ht="34.950000000000003" customHeight="1">
      <c r="A793" s="75">
        <v>26</v>
      </c>
      <c r="B793" s="80" t="s">
        <v>116</v>
      </c>
      <c r="C793" s="77" t="s">
        <v>48</v>
      </c>
      <c r="D793" s="78">
        <v>1</v>
      </c>
      <c r="E793" s="79"/>
      <c r="F793" s="79" t="e">
        <f t="shared" si="48"/>
        <v>#REF!</v>
      </c>
      <c r="G793" s="2"/>
      <c r="H793" s="37">
        <v>21334</v>
      </c>
      <c r="I793" s="4">
        <f t="shared" si="49"/>
        <v>0</v>
      </c>
      <c r="J793" s="25">
        <f t="shared" si="47"/>
        <v>25</v>
      </c>
    </row>
    <row r="794" spans="1:10" ht="16.95" customHeight="1">
      <c r="A794" s="75">
        <v>27</v>
      </c>
      <c r="B794" s="80" t="s">
        <v>117</v>
      </c>
      <c r="C794" s="77" t="s">
        <v>48</v>
      </c>
      <c r="D794" s="78">
        <v>1</v>
      </c>
      <c r="E794" s="79"/>
      <c r="F794" s="79" t="e">
        <f t="shared" si="48"/>
        <v>#REF!</v>
      </c>
      <c r="G794" s="2"/>
      <c r="H794" s="37">
        <v>29620</v>
      </c>
      <c r="I794" s="4">
        <f t="shared" si="49"/>
        <v>0</v>
      </c>
      <c r="J794" s="25">
        <f t="shared" si="47"/>
        <v>25</v>
      </c>
    </row>
    <row r="795" spans="1:10" ht="16.95" customHeight="1">
      <c r="A795" s="75">
        <v>28</v>
      </c>
      <c r="B795" s="80" t="s">
        <v>118</v>
      </c>
      <c r="C795" s="77" t="s">
        <v>48</v>
      </c>
      <c r="D795" s="78">
        <v>1</v>
      </c>
      <c r="E795" s="79"/>
      <c r="F795" s="79" t="e">
        <f t="shared" si="48"/>
        <v>#REF!</v>
      </c>
      <c r="G795" s="2"/>
      <c r="H795" s="37">
        <v>18506</v>
      </c>
      <c r="I795" s="4">
        <f t="shared" si="49"/>
        <v>0</v>
      </c>
      <c r="J795" s="25">
        <f t="shared" si="47"/>
        <v>25</v>
      </c>
    </row>
    <row r="796" spans="1:10" ht="16.95" customHeight="1">
      <c r="A796" s="75">
        <v>29</v>
      </c>
      <c r="B796" s="80" t="s">
        <v>119</v>
      </c>
      <c r="C796" s="77" t="s">
        <v>48</v>
      </c>
      <c r="D796" s="78">
        <v>1</v>
      </c>
      <c r="E796" s="79"/>
      <c r="F796" s="79" t="e">
        <f t="shared" si="48"/>
        <v>#REF!</v>
      </c>
      <c r="G796" s="2"/>
      <c r="H796" s="37">
        <v>34381</v>
      </c>
      <c r="I796" s="4">
        <f t="shared" si="49"/>
        <v>0</v>
      </c>
      <c r="J796" s="25">
        <f t="shared" si="47"/>
        <v>25</v>
      </c>
    </row>
    <row r="797" spans="1:10" ht="16.95" customHeight="1">
      <c r="A797" s="75" t="s">
        <v>79</v>
      </c>
      <c r="B797" s="80" t="s">
        <v>80</v>
      </c>
      <c r="C797" s="77" t="s">
        <v>48</v>
      </c>
      <c r="D797" s="78">
        <v>1</v>
      </c>
      <c r="E797" s="79">
        <f t="shared" ref="E797:E800" si="50">1/120</f>
        <v>8.3333333333333332E-3</v>
      </c>
      <c r="F797" s="79" t="e">
        <f t="shared" si="48"/>
        <v>#REF!</v>
      </c>
      <c r="G797" s="2"/>
      <c r="H797" s="37">
        <v>21395</v>
      </c>
      <c r="I797" s="4">
        <f t="shared" si="49"/>
        <v>178.29166666666666</v>
      </c>
      <c r="J797" s="25">
        <f t="shared" si="47"/>
        <v>25</v>
      </c>
    </row>
    <row r="798" spans="1:10" ht="16.95" customHeight="1">
      <c r="A798" s="75" t="s">
        <v>81</v>
      </c>
      <c r="B798" s="80" t="s">
        <v>82</v>
      </c>
      <c r="C798" s="77" t="s">
        <v>48</v>
      </c>
      <c r="D798" s="78">
        <v>1</v>
      </c>
      <c r="E798" s="79">
        <f t="shared" si="50"/>
        <v>8.3333333333333332E-3</v>
      </c>
      <c r="F798" s="79" t="e">
        <f t="shared" si="48"/>
        <v>#REF!</v>
      </c>
      <c r="G798" s="2"/>
      <c r="H798" s="37">
        <v>21395</v>
      </c>
      <c r="I798" s="4">
        <f t="shared" si="49"/>
        <v>178.29166666666666</v>
      </c>
      <c r="J798" s="25">
        <f t="shared" si="47"/>
        <v>25</v>
      </c>
    </row>
    <row r="799" spans="1:10" ht="16.95" customHeight="1">
      <c r="A799" s="75" t="s">
        <v>83</v>
      </c>
      <c r="B799" s="80" t="s">
        <v>84</v>
      </c>
      <c r="C799" s="77" t="s">
        <v>48</v>
      </c>
      <c r="D799" s="78">
        <v>1</v>
      </c>
      <c r="E799" s="79">
        <f t="shared" si="50"/>
        <v>8.3333333333333332E-3</v>
      </c>
      <c r="F799" s="79" t="e">
        <f t="shared" si="48"/>
        <v>#REF!</v>
      </c>
      <c r="G799" s="2"/>
      <c r="H799" s="37">
        <v>149765</v>
      </c>
      <c r="I799" s="4">
        <f t="shared" si="49"/>
        <v>1248.0416666666667</v>
      </c>
      <c r="J799" s="25">
        <f t="shared" si="47"/>
        <v>25</v>
      </c>
    </row>
    <row r="800" spans="1:10" ht="16.95" customHeight="1">
      <c r="A800" s="75" t="s">
        <v>85</v>
      </c>
      <c r="B800" s="80" t="s">
        <v>86</v>
      </c>
      <c r="C800" s="77" t="s">
        <v>48</v>
      </c>
      <c r="D800" s="78">
        <v>1</v>
      </c>
      <c r="E800" s="79">
        <f t="shared" si="50"/>
        <v>8.3333333333333332E-3</v>
      </c>
      <c r="F800" s="79" t="e">
        <f t="shared" si="48"/>
        <v>#REF!</v>
      </c>
      <c r="G800" s="2"/>
      <c r="H800" s="37">
        <v>6996</v>
      </c>
      <c r="I800" s="4">
        <f t="shared" si="49"/>
        <v>58.3</v>
      </c>
      <c r="J800" s="25">
        <f t="shared" si="47"/>
        <v>25</v>
      </c>
    </row>
    <row r="801" spans="1:10" ht="16.95" customHeight="1">
      <c r="A801" s="75" t="s">
        <v>87</v>
      </c>
      <c r="B801" s="80" t="s">
        <v>88</v>
      </c>
      <c r="C801" s="77" t="s">
        <v>48</v>
      </c>
      <c r="D801" s="78">
        <v>1</v>
      </c>
      <c r="E801" s="79">
        <f>1/120</f>
        <v>8.3333333333333332E-3</v>
      </c>
      <c r="F801" s="79" t="e">
        <f t="shared" si="48"/>
        <v>#REF!</v>
      </c>
      <c r="G801" s="2"/>
      <c r="H801" s="37">
        <v>116952</v>
      </c>
      <c r="I801" s="4">
        <f t="shared" si="49"/>
        <v>974.6</v>
      </c>
      <c r="J801" s="25">
        <f t="shared" si="47"/>
        <v>25</v>
      </c>
    </row>
    <row r="802" spans="1:10" ht="16.95" customHeight="1">
      <c r="A802" s="95" t="s">
        <v>23</v>
      </c>
      <c r="B802" s="95"/>
      <c r="C802" s="50"/>
      <c r="D802" s="50"/>
      <c r="E802" s="50"/>
      <c r="F802" s="50"/>
      <c r="G802" s="50"/>
      <c r="H802" s="3" t="s">
        <v>24</v>
      </c>
      <c r="I802" s="5">
        <f>SUM(I767:I801)</f>
        <v>2637.5250000000001</v>
      </c>
      <c r="J802" s="25">
        <f t="shared" si="47"/>
        <v>25</v>
      </c>
    </row>
    <row r="803" spans="1:10" ht="16.95" customHeight="1">
      <c r="A803" s="96" t="s">
        <v>25</v>
      </c>
      <c r="B803" s="96"/>
      <c r="C803" s="50"/>
      <c r="D803" s="50"/>
      <c r="E803" s="50"/>
      <c r="F803" s="50"/>
      <c r="G803" s="50"/>
      <c r="J803" s="25">
        <f t="shared" si="47"/>
        <v>25</v>
      </c>
    </row>
    <row r="804" spans="1:10" ht="16.95" customHeight="1">
      <c r="A804" s="96" t="s">
        <v>26</v>
      </c>
      <c r="B804" s="96"/>
      <c r="C804" s="50"/>
      <c r="D804" s="50"/>
      <c r="E804" s="50"/>
      <c r="F804" s="50"/>
      <c r="G804" s="50"/>
      <c r="J804" s="25">
        <f t="shared" si="47"/>
        <v>25</v>
      </c>
    </row>
    <row r="805" spans="1:10" ht="16.95" customHeight="1">
      <c r="A805" s="95" t="s">
        <v>27</v>
      </c>
      <c r="B805" s="95"/>
      <c r="C805" s="95"/>
      <c r="D805" s="95"/>
      <c r="E805" s="95"/>
      <c r="F805" s="95"/>
      <c r="G805" s="95"/>
      <c r="J805" s="25">
        <f t="shared" si="47"/>
        <v>25</v>
      </c>
    </row>
    <row r="806" spans="1:10" ht="16.95" customHeight="1">
      <c r="A806" s="94" t="s">
        <v>28</v>
      </c>
      <c r="B806" s="94"/>
      <c r="C806" s="51" t="s">
        <v>29</v>
      </c>
      <c r="D806" s="51" t="s">
        <v>30</v>
      </c>
      <c r="E806" s="51" t="s">
        <v>18</v>
      </c>
      <c r="F806" s="51" t="s">
        <v>31</v>
      </c>
      <c r="G806" s="51" t="s">
        <v>20</v>
      </c>
      <c r="J806" s="25">
        <f t="shared" si="47"/>
        <v>25</v>
      </c>
    </row>
    <row r="807" spans="1:10" ht="16.95" customHeight="1">
      <c r="A807" s="96"/>
      <c r="B807" s="96"/>
      <c r="C807" s="50"/>
      <c r="D807" s="50"/>
      <c r="E807" s="50"/>
      <c r="F807" s="50"/>
      <c r="G807" s="51"/>
      <c r="J807" s="25">
        <f t="shared" si="47"/>
        <v>25</v>
      </c>
    </row>
    <row r="808" spans="1:10" ht="16.95" customHeight="1">
      <c r="A808" s="97"/>
      <c r="B808" s="97"/>
      <c r="C808" s="50"/>
      <c r="D808" s="50"/>
      <c r="E808" s="50"/>
      <c r="F808" s="51"/>
      <c r="G808" s="51"/>
      <c r="J808" s="25">
        <f t="shared" si="47"/>
        <v>25</v>
      </c>
    </row>
    <row r="809" spans="1:10" ht="16.95" customHeight="1">
      <c r="A809" s="95" t="s">
        <v>32</v>
      </c>
      <c r="B809" s="95"/>
      <c r="C809" s="95"/>
      <c r="D809" s="95"/>
      <c r="E809" s="95"/>
      <c r="F809" s="95"/>
      <c r="G809" s="95"/>
      <c r="J809" s="25">
        <f t="shared" si="47"/>
        <v>26</v>
      </c>
    </row>
    <row r="810" spans="1:10" ht="16.95" customHeight="1">
      <c r="A810" s="51" t="s">
        <v>33</v>
      </c>
      <c r="B810" s="51" t="s">
        <v>34</v>
      </c>
      <c r="C810" s="94" t="s">
        <v>35</v>
      </c>
      <c r="D810" s="94"/>
      <c r="E810" s="51" t="s">
        <v>36</v>
      </c>
      <c r="F810" s="51" t="s">
        <v>37</v>
      </c>
      <c r="G810" s="51" t="s">
        <v>38</v>
      </c>
      <c r="J810" s="25">
        <f t="shared" si="47"/>
        <v>26</v>
      </c>
    </row>
    <row r="811" spans="1:10" ht="16.95" customHeight="1">
      <c r="A811" s="51" t="s">
        <v>39</v>
      </c>
      <c r="B811" s="6"/>
      <c r="C811" s="94" t="e">
        <f>B811+C748</f>
        <v>#REF!</v>
      </c>
      <c r="D811" s="94"/>
      <c r="E811" s="51"/>
      <c r="F811" s="24"/>
      <c r="G811" s="24"/>
      <c r="J811" s="25">
        <f t="shared" si="47"/>
        <v>26</v>
      </c>
    </row>
    <row r="812" spans="1:10" ht="16.95" customHeight="1">
      <c r="A812" s="51" t="s">
        <v>40</v>
      </c>
      <c r="B812" s="6"/>
      <c r="C812" s="94" t="e">
        <f>B812+C749</f>
        <v>#REF!</v>
      </c>
      <c r="D812" s="94"/>
      <c r="E812" s="51"/>
      <c r="F812" s="24"/>
      <c r="G812" s="24"/>
      <c r="J812" s="25">
        <f t="shared" si="47"/>
        <v>26</v>
      </c>
    </row>
    <row r="813" spans="1:10" ht="36.6" customHeight="1">
      <c r="A813" s="95" t="s">
        <v>41</v>
      </c>
      <c r="B813" s="95"/>
      <c r="C813" s="95"/>
      <c r="D813" s="95"/>
      <c r="E813" s="95"/>
      <c r="F813" s="95"/>
      <c r="G813" s="95"/>
      <c r="J813" s="25">
        <f t="shared" si="47"/>
        <v>26</v>
      </c>
    </row>
    <row r="814" spans="1:10" ht="90" customHeight="1">
      <c r="A814" s="92" t="s">
        <v>42</v>
      </c>
      <c r="B814" s="92"/>
      <c r="C814" s="92"/>
      <c r="D814" s="92"/>
      <c r="E814" s="92"/>
      <c r="F814" s="92"/>
      <c r="G814" s="92"/>
      <c r="J814" s="25">
        <f t="shared" si="47"/>
        <v>26</v>
      </c>
    </row>
    <row r="815" spans="1:10" ht="16.95" customHeight="1">
      <c r="A815" s="95" t="s">
        <v>43</v>
      </c>
      <c r="B815" s="95"/>
      <c r="C815" s="95"/>
      <c r="D815" s="95"/>
      <c r="E815" s="95"/>
      <c r="F815" s="95"/>
      <c r="G815" s="95"/>
      <c r="J815" s="25">
        <f t="shared" si="47"/>
        <v>26</v>
      </c>
    </row>
    <row r="816" spans="1:10" ht="16.95" customHeight="1">
      <c r="A816" s="95" t="s">
        <v>44</v>
      </c>
      <c r="B816" s="95"/>
      <c r="C816" s="95"/>
      <c r="D816" s="95"/>
      <c r="E816" s="95"/>
      <c r="F816" s="95"/>
      <c r="G816" s="95"/>
      <c r="J816" s="25">
        <f t="shared" si="47"/>
        <v>26</v>
      </c>
    </row>
    <row r="817" spans="1:10" ht="16.95" customHeight="1">
      <c r="A817" s="91" t="s">
        <v>64</v>
      </c>
      <c r="B817" s="91"/>
      <c r="C817" s="91"/>
      <c r="D817" s="91"/>
      <c r="E817" s="91"/>
      <c r="F817" s="91"/>
      <c r="G817" s="91"/>
      <c r="J817" s="25">
        <f t="shared" si="47"/>
        <v>26</v>
      </c>
    </row>
    <row r="818" spans="1:10" ht="120.6" customHeight="1">
      <c r="A818" s="92" t="s">
        <v>45</v>
      </c>
      <c r="B818" s="92"/>
      <c r="C818" s="92"/>
      <c r="D818" s="92"/>
      <c r="E818" s="92"/>
      <c r="F818" s="92"/>
      <c r="G818" s="92"/>
      <c r="J818" s="25">
        <f t="shared" si="47"/>
        <v>26</v>
      </c>
    </row>
    <row r="819" spans="1:10" ht="140.4" customHeight="1">
      <c r="A819" s="93" t="s">
        <v>46</v>
      </c>
      <c r="B819" s="93"/>
      <c r="C819" s="93"/>
      <c r="D819" s="93"/>
      <c r="E819" s="93"/>
      <c r="F819" s="93"/>
      <c r="G819" s="93"/>
      <c r="J819" s="25">
        <f t="shared" si="47"/>
        <v>26</v>
      </c>
    </row>
    <row r="820" spans="1:10" ht="37.200000000000003" customHeight="1">
      <c r="A820" s="103" t="s">
        <v>0</v>
      </c>
      <c r="B820" s="103"/>
      <c r="C820" s="103"/>
      <c r="D820" s="103"/>
      <c r="E820" s="103"/>
      <c r="F820" s="103"/>
      <c r="G820" s="103"/>
      <c r="J820" s="25">
        <f t="shared" si="47"/>
        <v>27</v>
      </c>
    </row>
    <row r="821" spans="1:10" ht="16.95" customHeight="1">
      <c r="A821" s="1" t="s">
        <v>1</v>
      </c>
      <c r="B821" s="104">
        <f>B758+1</f>
        <v>15</v>
      </c>
      <c r="C821" s="104"/>
      <c r="D821" s="104"/>
      <c r="E821" s="104"/>
      <c r="F821" s="104"/>
      <c r="G821" s="104"/>
      <c r="J821" s="25">
        <f t="shared" si="47"/>
        <v>27</v>
      </c>
    </row>
    <row r="822" spans="1:10" ht="16.95" customHeight="1">
      <c r="A822" s="1" t="s">
        <v>2</v>
      </c>
      <c r="B822" s="105" t="s">
        <v>63</v>
      </c>
      <c r="C822" s="105"/>
      <c r="D822" s="105"/>
      <c r="E822" s="106">
        <f>E759+1</f>
        <v>46217</v>
      </c>
      <c r="F822" s="106"/>
      <c r="G822" s="106"/>
      <c r="J822" s="25">
        <f t="shared" si="47"/>
        <v>27</v>
      </c>
    </row>
    <row r="823" spans="1:10" ht="16.95" customHeight="1">
      <c r="A823" s="53" t="s">
        <v>3</v>
      </c>
      <c r="B823" s="2" t="s">
        <v>67</v>
      </c>
      <c r="C823" s="98" t="s">
        <v>4</v>
      </c>
      <c r="D823" s="98"/>
      <c r="E823" s="98" t="s">
        <v>47</v>
      </c>
      <c r="F823" s="98"/>
      <c r="G823" s="98"/>
      <c r="J823" s="25">
        <f t="shared" si="47"/>
        <v>27</v>
      </c>
    </row>
    <row r="824" spans="1:10" ht="16.95" customHeight="1">
      <c r="A824" s="53" t="s">
        <v>5</v>
      </c>
      <c r="B824" s="54">
        <v>120</v>
      </c>
      <c r="C824" s="98" t="s">
        <v>6</v>
      </c>
      <c r="D824" s="98"/>
      <c r="E824" s="98" t="s">
        <v>123</v>
      </c>
      <c r="F824" s="98"/>
      <c r="G824" s="98"/>
      <c r="J824" s="25">
        <f t="shared" si="47"/>
        <v>27</v>
      </c>
    </row>
    <row r="825" spans="1:10" ht="16.95" customHeight="1">
      <c r="A825" s="53" t="s">
        <v>7</v>
      </c>
      <c r="B825" s="54">
        <f>B821</f>
        <v>15</v>
      </c>
      <c r="C825" s="100" t="s">
        <v>8</v>
      </c>
      <c r="D825" s="100"/>
      <c r="E825" s="101">
        <f>B824-B825</f>
        <v>105</v>
      </c>
      <c r="F825" s="101"/>
      <c r="G825" s="101"/>
      <c r="J825" s="25">
        <f t="shared" si="47"/>
        <v>27</v>
      </c>
    </row>
    <row r="826" spans="1:10" ht="16.95" customHeight="1">
      <c r="A826" s="53" t="s">
        <v>9</v>
      </c>
      <c r="B826" s="55">
        <v>46204</v>
      </c>
      <c r="C826" s="98" t="s">
        <v>10</v>
      </c>
      <c r="D826" s="98"/>
      <c r="E826" s="102">
        <f>B826+B824-1</f>
        <v>46323</v>
      </c>
      <c r="F826" s="102"/>
      <c r="G826" s="102"/>
      <c r="J826" s="25">
        <f t="shared" si="47"/>
        <v>27</v>
      </c>
    </row>
    <row r="827" spans="1:10" ht="16.95" customHeight="1">
      <c r="A827" s="53" t="s">
        <v>11</v>
      </c>
      <c r="B827" s="56" t="e">
        <f>HLOOKUP(B821,進度表!$Q$2:$Z$3,2,1)+B764</f>
        <v>#REF!</v>
      </c>
      <c r="C827" s="98" t="s">
        <v>12</v>
      </c>
      <c r="D827" s="98"/>
      <c r="E827" s="99" t="e">
        <f>I865/I827+E764</f>
        <v>#REF!</v>
      </c>
      <c r="F827" s="99"/>
      <c r="G827" s="99"/>
      <c r="H827" s="3" t="s">
        <v>62</v>
      </c>
      <c r="I827" s="1">
        <v>2456000</v>
      </c>
      <c r="J827" s="25">
        <f t="shared" ref="J827:J890" si="51">J764+2</f>
        <v>27</v>
      </c>
    </row>
    <row r="828" spans="1:10" ht="16.95" customHeight="1">
      <c r="A828" s="98" t="s">
        <v>13</v>
      </c>
      <c r="B828" s="98"/>
      <c r="C828" s="98"/>
      <c r="D828" s="98"/>
      <c r="E828" s="98"/>
      <c r="F828" s="98"/>
      <c r="G828" s="98"/>
      <c r="J828" s="25">
        <f t="shared" si="51"/>
        <v>27</v>
      </c>
    </row>
    <row r="829" spans="1:10" ht="16.95" customHeight="1">
      <c r="A829" s="52" t="s">
        <v>14</v>
      </c>
      <c r="B829" s="52" t="s">
        <v>15</v>
      </c>
      <c r="C829" s="52" t="s">
        <v>16</v>
      </c>
      <c r="D829" s="52" t="s">
        <v>17</v>
      </c>
      <c r="E829" s="52" t="s">
        <v>18</v>
      </c>
      <c r="F829" s="52" t="s">
        <v>19</v>
      </c>
      <c r="G829" s="52" t="s">
        <v>20</v>
      </c>
      <c r="H829" s="3" t="s">
        <v>21</v>
      </c>
      <c r="I829" s="3" t="s">
        <v>22</v>
      </c>
      <c r="J829" s="25">
        <f t="shared" si="51"/>
        <v>27</v>
      </c>
    </row>
    <row r="830" spans="1:10" ht="16.95" customHeight="1">
      <c r="A830" s="75" t="s">
        <v>65</v>
      </c>
      <c r="B830" s="76" t="s">
        <v>69</v>
      </c>
      <c r="C830" s="77"/>
      <c r="D830" s="78"/>
      <c r="E830" s="79"/>
      <c r="F830" s="79"/>
      <c r="G830" s="2"/>
      <c r="H830" s="37"/>
      <c r="I830" s="4"/>
      <c r="J830" s="25">
        <f t="shared" si="51"/>
        <v>27</v>
      </c>
    </row>
    <row r="831" spans="1:10" ht="34.950000000000003" customHeight="1">
      <c r="A831" s="75">
        <v>1</v>
      </c>
      <c r="B831" s="80" t="s">
        <v>91</v>
      </c>
      <c r="C831" s="77" t="s">
        <v>48</v>
      </c>
      <c r="D831" s="78">
        <v>1</v>
      </c>
      <c r="E831" s="79"/>
      <c r="F831" s="79" t="e">
        <f t="shared" ref="F831:F864" si="52">E831+F768</f>
        <v>#REF!</v>
      </c>
      <c r="G831" s="2"/>
      <c r="H831" s="37">
        <v>10508</v>
      </c>
      <c r="I831" s="4">
        <f>H831*E831</f>
        <v>0</v>
      </c>
      <c r="J831" s="25">
        <f t="shared" si="51"/>
        <v>27</v>
      </c>
    </row>
    <row r="832" spans="1:10" ht="34.799999999999997" customHeight="1">
      <c r="A832" s="75">
        <v>2</v>
      </c>
      <c r="B832" s="80" t="s">
        <v>92</v>
      </c>
      <c r="C832" s="77" t="s">
        <v>48</v>
      </c>
      <c r="D832" s="78">
        <v>1</v>
      </c>
      <c r="E832" s="79"/>
      <c r="F832" s="79" t="e">
        <f t="shared" si="52"/>
        <v>#REF!</v>
      </c>
      <c r="G832" s="2"/>
      <c r="H832" s="37">
        <v>13223</v>
      </c>
      <c r="I832" s="4">
        <f>H832*E832</f>
        <v>0</v>
      </c>
      <c r="J832" s="25">
        <f t="shared" si="51"/>
        <v>27</v>
      </c>
    </row>
    <row r="833" spans="1:10" ht="53.4" customHeight="1">
      <c r="A833" s="75">
        <v>3</v>
      </c>
      <c r="B833" s="80" t="s">
        <v>93</v>
      </c>
      <c r="C833" s="77" t="s">
        <v>48</v>
      </c>
      <c r="D833" s="78">
        <v>1</v>
      </c>
      <c r="E833" s="79"/>
      <c r="F833" s="79" t="e">
        <f t="shared" si="52"/>
        <v>#REF!</v>
      </c>
      <c r="G833" s="2"/>
      <c r="H833" s="37">
        <v>310497</v>
      </c>
      <c r="I833" s="4">
        <f t="shared" ref="I833:I864" si="53">H833*E833</f>
        <v>0</v>
      </c>
      <c r="J833" s="25">
        <f t="shared" si="51"/>
        <v>27</v>
      </c>
    </row>
    <row r="834" spans="1:10" ht="16.95" customHeight="1">
      <c r="A834" s="75">
        <v>4</v>
      </c>
      <c r="B834" s="80" t="s">
        <v>94</v>
      </c>
      <c r="C834" s="77" t="s">
        <v>48</v>
      </c>
      <c r="D834" s="78">
        <v>1</v>
      </c>
      <c r="E834" s="79"/>
      <c r="F834" s="79" t="e">
        <f t="shared" si="52"/>
        <v>#REF!</v>
      </c>
      <c r="G834" s="2"/>
      <c r="H834" s="37">
        <v>8375</v>
      </c>
      <c r="I834" s="4">
        <f t="shared" si="53"/>
        <v>0</v>
      </c>
      <c r="J834" s="25">
        <f t="shared" si="51"/>
        <v>27</v>
      </c>
    </row>
    <row r="835" spans="1:10" ht="16.95" customHeight="1">
      <c r="A835" s="75">
        <v>5</v>
      </c>
      <c r="B835" s="80" t="s">
        <v>95</v>
      </c>
      <c r="C835" s="77" t="s">
        <v>48</v>
      </c>
      <c r="D835" s="78">
        <v>1</v>
      </c>
      <c r="E835" s="79"/>
      <c r="F835" s="79" t="e">
        <f t="shared" si="52"/>
        <v>#REF!</v>
      </c>
      <c r="G835" s="2"/>
      <c r="H835" s="37">
        <v>51618</v>
      </c>
      <c r="I835" s="4">
        <f t="shared" si="53"/>
        <v>0</v>
      </c>
      <c r="J835" s="25">
        <f t="shared" si="51"/>
        <v>27</v>
      </c>
    </row>
    <row r="836" spans="1:10" ht="16.95" customHeight="1">
      <c r="A836" s="75">
        <v>6</v>
      </c>
      <c r="B836" s="80" t="s">
        <v>96</v>
      </c>
      <c r="C836" s="77" t="s">
        <v>50</v>
      </c>
      <c r="D836" s="78">
        <v>11.55</v>
      </c>
      <c r="E836" s="79"/>
      <c r="F836" s="79" t="e">
        <f t="shared" si="52"/>
        <v>#REF!</v>
      </c>
      <c r="G836" s="2"/>
      <c r="H836" s="37">
        <v>1188</v>
      </c>
      <c r="I836" s="4">
        <f t="shared" si="53"/>
        <v>0</v>
      </c>
      <c r="J836" s="25">
        <f t="shared" si="51"/>
        <v>27</v>
      </c>
    </row>
    <row r="837" spans="1:10" ht="34.950000000000003" customHeight="1">
      <c r="A837" s="75">
        <v>7</v>
      </c>
      <c r="B837" s="80" t="s">
        <v>97</v>
      </c>
      <c r="C837" s="77" t="s">
        <v>48</v>
      </c>
      <c r="D837" s="78">
        <v>1</v>
      </c>
      <c r="E837" s="79"/>
      <c r="F837" s="79" t="e">
        <f t="shared" si="52"/>
        <v>#REF!</v>
      </c>
      <c r="G837" s="2"/>
      <c r="H837" s="37">
        <v>21157</v>
      </c>
      <c r="I837" s="4">
        <f t="shared" si="53"/>
        <v>0</v>
      </c>
      <c r="J837" s="25">
        <f t="shared" si="51"/>
        <v>27</v>
      </c>
    </row>
    <row r="838" spans="1:10" ht="16.95" customHeight="1">
      <c r="A838" s="75">
        <v>8</v>
      </c>
      <c r="B838" s="80" t="s">
        <v>98</v>
      </c>
      <c r="C838" s="77" t="s">
        <v>50</v>
      </c>
      <c r="D838" s="78">
        <v>387</v>
      </c>
      <c r="E838" s="79"/>
      <c r="F838" s="79" t="e">
        <f t="shared" si="52"/>
        <v>#REF!</v>
      </c>
      <c r="G838" s="2"/>
      <c r="H838" s="37">
        <v>705</v>
      </c>
      <c r="I838" s="4">
        <f t="shared" si="53"/>
        <v>0</v>
      </c>
      <c r="J838" s="25">
        <f t="shared" si="51"/>
        <v>27</v>
      </c>
    </row>
    <row r="839" spans="1:10" ht="16.95" customHeight="1">
      <c r="A839" s="75">
        <v>9</v>
      </c>
      <c r="B839" s="80" t="s">
        <v>99</v>
      </c>
      <c r="C839" s="77" t="s">
        <v>50</v>
      </c>
      <c r="D839" s="78">
        <v>170</v>
      </c>
      <c r="E839" s="79"/>
      <c r="F839" s="79" t="e">
        <f t="shared" si="52"/>
        <v>#REF!</v>
      </c>
      <c r="G839" s="2"/>
      <c r="H839" s="37">
        <v>617</v>
      </c>
      <c r="I839" s="4">
        <f t="shared" si="53"/>
        <v>0</v>
      </c>
      <c r="J839" s="25">
        <f t="shared" si="51"/>
        <v>27</v>
      </c>
    </row>
    <row r="840" spans="1:10" ht="16.95" customHeight="1">
      <c r="A840" s="75">
        <v>10</v>
      </c>
      <c r="B840" s="80" t="s">
        <v>100</v>
      </c>
      <c r="C840" s="77" t="s">
        <v>66</v>
      </c>
      <c r="D840" s="78">
        <v>15</v>
      </c>
      <c r="E840" s="79"/>
      <c r="F840" s="79" t="e">
        <f t="shared" si="52"/>
        <v>#REF!</v>
      </c>
      <c r="G840" s="2"/>
      <c r="H840" s="37">
        <v>617</v>
      </c>
      <c r="I840" s="4">
        <f t="shared" si="53"/>
        <v>0</v>
      </c>
      <c r="J840" s="25">
        <f t="shared" si="51"/>
        <v>27</v>
      </c>
    </row>
    <row r="841" spans="1:10" ht="16.95" customHeight="1">
      <c r="A841" s="75">
        <v>11</v>
      </c>
      <c r="B841" s="80" t="s">
        <v>101</v>
      </c>
      <c r="C841" s="77" t="s">
        <v>50</v>
      </c>
      <c r="D841" s="78">
        <v>75</v>
      </c>
      <c r="E841" s="79"/>
      <c r="F841" s="79" t="e">
        <f t="shared" si="52"/>
        <v>#REF!</v>
      </c>
      <c r="G841" s="2"/>
      <c r="H841" s="37">
        <v>1146</v>
      </c>
      <c r="I841" s="4">
        <f t="shared" si="53"/>
        <v>0</v>
      </c>
      <c r="J841" s="25">
        <f t="shared" si="51"/>
        <v>27</v>
      </c>
    </row>
    <row r="842" spans="1:10" ht="16.95" customHeight="1">
      <c r="A842" s="75">
        <v>12</v>
      </c>
      <c r="B842" s="80" t="s">
        <v>102</v>
      </c>
      <c r="C842" s="77" t="s">
        <v>50</v>
      </c>
      <c r="D842" s="78">
        <v>5</v>
      </c>
      <c r="E842" s="79"/>
      <c r="F842" s="79" t="e">
        <f t="shared" si="52"/>
        <v>#REF!</v>
      </c>
      <c r="G842" s="2"/>
      <c r="H842" s="37">
        <v>1455</v>
      </c>
      <c r="I842" s="4">
        <f t="shared" si="53"/>
        <v>0</v>
      </c>
      <c r="J842" s="25">
        <f t="shared" si="51"/>
        <v>27</v>
      </c>
    </row>
    <row r="843" spans="1:10" ht="16.95" customHeight="1">
      <c r="A843" s="75">
        <v>13</v>
      </c>
      <c r="B843" s="80" t="s">
        <v>103</v>
      </c>
      <c r="C843" s="77" t="s">
        <v>50</v>
      </c>
      <c r="D843" s="78">
        <v>217</v>
      </c>
      <c r="E843" s="79"/>
      <c r="F843" s="79" t="e">
        <f t="shared" si="52"/>
        <v>#REF!</v>
      </c>
      <c r="G843" s="2"/>
      <c r="H843" s="37">
        <v>1410</v>
      </c>
      <c r="I843" s="4">
        <f t="shared" si="53"/>
        <v>0</v>
      </c>
      <c r="J843" s="25">
        <f t="shared" si="51"/>
        <v>27</v>
      </c>
    </row>
    <row r="844" spans="1:10" ht="16.95" customHeight="1">
      <c r="A844" s="75">
        <v>14</v>
      </c>
      <c r="B844" s="80" t="s">
        <v>104</v>
      </c>
      <c r="C844" s="77" t="s">
        <v>49</v>
      </c>
      <c r="D844" s="78">
        <v>84</v>
      </c>
      <c r="E844" s="79"/>
      <c r="F844" s="79" t="e">
        <f t="shared" si="52"/>
        <v>#REF!</v>
      </c>
      <c r="G844" s="2"/>
      <c r="H844" s="37">
        <v>529</v>
      </c>
      <c r="I844" s="4">
        <f t="shared" si="53"/>
        <v>0</v>
      </c>
      <c r="J844" s="25">
        <f t="shared" si="51"/>
        <v>27</v>
      </c>
    </row>
    <row r="845" spans="1:10" ht="16.95" customHeight="1">
      <c r="A845" s="75">
        <v>15</v>
      </c>
      <c r="B845" s="80" t="s">
        <v>105</v>
      </c>
      <c r="C845" s="77" t="s">
        <v>50</v>
      </c>
      <c r="D845" s="78">
        <v>1</v>
      </c>
      <c r="E845" s="79"/>
      <c r="F845" s="79" t="e">
        <f t="shared" si="52"/>
        <v>#REF!</v>
      </c>
      <c r="G845" s="2"/>
      <c r="H845" s="37">
        <v>1146</v>
      </c>
      <c r="I845" s="4">
        <f t="shared" si="53"/>
        <v>0</v>
      </c>
      <c r="J845" s="25">
        <f t="shared" si="51"/>
        <v>27</v>
      </c>
    </row>
    <row r="846" spans="1:10" ht="34.799999999999997" customHeight="1">
      <c r="A846" s="75">
        <v>16</v>
      </c>
      <c r="B846" s="80" t="s">
        <v>106</v>
      </c>
      <c r="C846" s="77" t="s">
        <v>50</v>
      </c>
      <c r="D846" s="78">
        <v>314</v>
      </c>
      <c r="E846" s="79"/>
      <c r="F846" s="79" t="e">
        <f t="shared" si="52"/>
        <v>#REF!</v>
      </c>
      <c r="G846" s="2"/>
      <c r="H846" s="37">
        <v>185</v>
      </c>
      <c r="I846" s="4">
        <f t="shared" si="53"/>
        <v>0</v>
      </c>
      <c r="J846" s="25">
        <f t="shared" si="51"/>
        <v>27</v>
      </c>
    </row>
    <row r="847" spans="1:10" ht="16.95" customHeight="1">
      <c r="A847" s="75">
        <v>17</v>
      </c>
      <c r="B847" s="80" t="s">
        <v>107</v>
      </c>
      <c r="C847" s="77" t="s">
        <v>48</v>
      </c>
      <c r="D847" s="78">
        <v>1</v>
      </c>
      <c r="E847" s="79"/>
      <c r="F847" s="79" t="e">
        <f t="shared" si="52"/>
        <v>#REF!</v>
      </c>
      <c r="G847" s="2"/>
      <c r="H847" s="37">
        <v>89918</v>
      </c>
      <c r="I847" s="4">
        <f t="shared" si="53"/>
        <v>0</v>
      </c>
      <c r="J847" s="25">
        <f t="shared" si="51"/>
        <v>27</v>
      </c>
    </row>
    <row r="848" spans="1:10" ht="16.95" customHeight="1">
      <c r="A848" s="75">
        <v>18</v>
      </c>
      <c r="B848" s="80" t="s">
        <v>108</v>
      </c>
      <c r="C848" s="77" t="s">
        <v>120</v>
      </c>
      <c r="D848" s="78">
        <v>15</v>
      </c>
      <c r="E848" s="79"/>
      <c r="F848" s="79" t="e">
        <f t="shared" si="52"/>
        <v>#REF!</v>
      </c>
      <c r="G848" s="2"/>
      <c r="H848" s="37">
        <v>661</v>
      </c>
      <c r="I848" s="4">
        <f t="shared" si="53"/>
        <v>0</v>
      </c>
      <c r="J848" s="25">
        <f t="shared" si="51"/>
        <v>27</v>
      </c>
    </row>
    <row r="849" spans="1:10" ht="16.95" customHeight="1">
      <c r="A849" s="75">
        <v>19</v>
      </c>
      <c r="B849" s="80" t="s">
        <v>109</v>
      </c>
      <c r="C849" s="77" t="s">
        <v>50</v>
      </c>
      <c r="D849" s="78">
        <v>82</v>
      </c>
      <c r="E849" s="79"/>
      <c r="F849" s="79" t="e">
        <f t="shared" si="52"/>
        <v>#REF!</v>
      </c>
      <c r="G849" s="2"/>
      <c r="H849" s="37">
        <v>2909</v>
      </c>
      <c r="I849" s="4">
        <f t="shared" si="53"/>
        <v>0</v>
      </c>
      <c r="J849" s="25">
        <f t="shared" si="51"/>
        <v>27</v>
      </c>
    </row>
    <row r="850" spans="1:10" ht="16.95" customHeight="1">
      <c r="A850" s="75">
        <v>20</v>
      </c>
      <c r="B850" s="80" t="s">
        <v>110</v>
      </c>
      <c r="C850" s="77" t="s">
        <v>121</v>
      </c>
      <c r="D850" s="78">
        <v>12</v>
      </c>
      <c r="E850" s="79"/>
      <c r="F850" s="79" t="e">
        <f t="shared" si="52"/>
        <v>#REF!</v>
      </c>
      <c r="G850" s="2"/>
      <c r="H850" s="37">
        <v>882</v>
      </c>
      <c r="I850" s="4">
        <f t="shared" si="53"/>
        <v>0</v>
      </c>
      <c r="J850" s="25">
        <f t="shared" si="51"/>
        <v>27</v>
      </c>
    </row>
    <row r="851" spans="1:10" ht="16.95" customHeight="1">
      <c r="A851" s="77">
        <v>21</v>
      </c>
      <c r="B851" s="80" t="s">
        <v>111</v>
      </c>
      <c r="C851" s="77" t="s">
        <v>122</v>
      </c>
      <c r="D851" s="78">
        <v>3</v>
      </c>
      <c r="E851" s="79"/>
      <c r="F851" s="79" t="e">
        <f t="shared" si="52"/>
        <v>#REF!</v>
      </c>
      <c r="G851" s="2"/>
      <c r="H851" s="38">
        <v>1869</v>
      </c>
      <c r="I851" s="4">
        <f t="shared" si="53"/>
        <v>0</v>
      </c>
      <c r="J851" s="25">
        <f t="shared" si="51"/>
        <v>27</v>
      </c>
    </row>
    <row r="852" spans="1:10" ht="34.950000000000003" customHeight="1">
      <c r="A852" s="75">
        <v>22</v>
      </c>
      <c r="B852" s="80" t="s">
        <v>112</v>
      </c>
      <c r="C852" s="77" t="s">
        <v>48</v>
      </c>
      <c r="D852" s="78">
        <v>1</v>
      </c>
      <c r="E852" s="79"/>
      <c r="F852" s="79" t="e">
        <f t="shared" si="52"/>
        <v>#REF!</v>
      </c>
      <c r="G852" s="2"/>
      <c r="H852" s="37">
        <v>82206</v>
      </c>
      <c r="I852" s="4">
        <f t="shared" si="53"/>
        <v>0</v>
      </c>
      <c r="J852" s="25">
        <f t="shared" si="51"/>
        <v>27</v>
      </c>
    </row>
    <row r="853" spans="1:10" ht="16.95" customHeight="1">
      <c r="A853" s="75">
        <v>23</v>
      </c>
      <c r="B853" s="80" t="s">
        <v>113</v>
      </c>
      <c r="C853" s="77" t="s">
        <v>48</v>
      </c>
      <c r="D853" s="78">
        <v>1</v>
      </c>
      <c r="E853" s="79"/>
      <c r="F853" s="79" t="e">
        <f t="shared" si="52"/>
        <v>#REF!</v>
      </c>
      <c r="G853" s="2"/>
      <c r="H853" s="37">
        <v>142723</v>
      </c>
      <c r="I853" s="4">
        <f t="shared" si="53"/>
        <v>0</v>
      </c>
      <c r="J853" s="25">
        <f t="shared" si="51"/>
        <v>27</v>
      </c>
    </row>
    <row r="854" spans="1:10" ht="16.95" customHeight="1">
      <c r="A854" s="75">
        <v>24</v>
      </c>
      <c r="B854" s="80" t="s">
        <v>114</v>
      </c>
      <c r="C854" s="77" t="s">
        <v>48</v>
      </c>
      <c r="D854" s="78">
        <v>1</v>
      </c>
      <c r="E854" s="79"/>
      <c r="F854" s="79" t="e">
        <f t="shared" si="52"/>
        <v>#REF!</v>
      </c>
      <c r="G854" s="2"/>
      <c r="H854" s="37">
        <v>37290</v>
      </c>
      <c r="I854" s="4">
        <f t="shared" si="53"/>
        <v>0</v>
      </c>
      <c r="J854" s="25">
        <f t="shared" si="51"/>
        <v>27</v>
      </c>
    </row>
    <row r="855" spans="1:10" ht="16.95" customHeight="1">
      <c r="A855" s="75">
        <v>25</v>
      </c>
      <c r="B855" s="80" t="s">
        <v>115</v>
      </c>
      <c r="C855" s="77" t="s">
        <v>48</v>
      </c>
      <c r="D855" s="78">
        <v>1</v>
      </c>
      <c r="E855" s="79"/>
      <c r="F855" s="79" t="e">
        <f t="shared" si="52"/>
        <v>#REF!</v>
      </c>
      <c r="G855" s="2"/>
      <c r="H855" s="37">
        <v>99394</v>
      </c>
      <c r="I855" s="4">
        <f t="shared" si="53"/>
        <v>0</v>
      </c>
      <c r="J855" s="25">
        <f t="shared" si="51"/>
        <v>27</v>
      </c>
    </row>
    <row r="856" spans="1:10" ht="34.950000000000003" customHeight="1">
      <c r="A856" s="75">
        <v>26</v>
      </c>
      <c r="B856" s="80" t="s">
        <v>116</v>
      </c>
      <c r="C856" s="77" t="s">
        <v>48</v>
      </c>
      <c r="D856" s="78">
        <v>1</v>
      </c>
      <c r="E856" s="79"/>
      <c r="F856" s="79" t="e">
        <f t="shared" si="52"/>
        <v>#REF!</v>
      </c>
      <c r="G856" s="2"/>
      <c r="H856" s="37">
        <v>21334</v>
      </c>
      <c r="I856" s="4">
        <f t="shared" si="53"/>
        <v>0</v>
      </c>
      <c r="J856" s="25">
        <f t="shared" si="51"/>
        <v>27</v>
      </c>
    </row>
    <row r="857" spans="1:10" ht="16.95" customHeight="1">
      <c r="A857" s="75">
        <v>27</v>
      </c>
      <c r="B857" s="80" t="s">
        <v>117</v>
      </c>
      <c r="C857" s="77" t="s">
        <v>48</v>
      </c>
      <c r="D857" s="78">
        <v>1</v>
      </c>
      <c r="E857" s="79"/>
      <c r="F857" s="79" t="e">
        <f t="shared" si="52"/>
        <v>#REF!</v>
      </c>
      <c r="G857" s="2"/>
      <c r="H857" s="37">
        <v>29620</v>
      </c>
      <c r="I857" s="4">
        <f t="shared" si="53"/>
        <v>0</v>
      </c>
      <c r="J857" s="25">
        <f t="shared" si="51"/>
        <v>27</v>
      </c>
    </row>
    <row r="858" spans="1:10" ht="16.95" customHeight="1">
      <c r="A858" s="75">
        <v>28</v>
      </c>
      <c r="B858" s="80" t="s">
        <v>118</v>
      </c>
      <c r="C858" s="77" t="s">
        <v>48</v>
      </c>
      <c r="D858" s="78">
        <v>1</v>
      </c>
      <c r="E858" s="79"/>
      <c r="F858" s="79" t="e">
        <f t="shared" si="52"/>
        <v>#REF!</v>
      </c>
      <c r="G858" s="2"/>
      <c r="H858" s="37">
        <v>18506</v>
      </c>
      <c r="I858" s="4">
        <f t="shared" si="53"/>
        <v>0</v>
      </c>
      <c r="J858" s="25">
        <f t="shared" si="51"/>
        <v>27</v>
      </c>
    </row>
    <row r="859" spans="1:10" ht="16.95" customHeight="1">
      <c r="A859" s="75">
        <v>29</v>
      </c>
      <c r="B859" s="80" t="s">
        <v>119</v>
      </c>
      <c r="C859" s="77" t="s">
        <v>48</v>
      </c>
      <c r="D859" s="78">
        <v>1</v>
      </c>
      <c r="E859" s="79"/>
      <c r="F859" s="79" t="e">
        <f t="shared" si="52"/>
        <v>#REF!</v>
      </c>
      <c r="G859" s="2"/>
      <c r="H859" s="37">
        <v>34381</v>
      </c>
      <c r="I859" s="4">
        <f t="shared" si="53"/>
        <v>0</v>
      </c>
      <c r="J859" s="25">
        <f t="shared" si="51"/>
        <v>27</v>
      </c>
    </row>
    <row r="860" spans="1:10" ht="16.95" customHeight="1">
      <c r="A860" s="75" t="s">
        <v>79</v>
      </c>
      <c r="B860" s="80" t="s">
        <v>80</v>
      </c>
      <c r="C860" s="77" t="s">
        <v>48</v>
      </c>
      <c r="D860" s="78">
        <v>1</v>
      </c>
      <c r="E860" s="79">
        <f t="shared" ref="E860:E863" si="54">1/120</f>
        <v>8.3333333333333332E-3</v>
      </c>
      <c r="F860" s="79" t="e">
        <f t="shared" si="52"/>
        <v>#REF!</v>
      </c>
      <c r="G860" s="2"/>
      <c r="H860" s="37">
        <v>21395</v>
      </c>
      <c r="I860" s="4">
        <f t="shared" si="53"/>
        <v>178.29166666666666</v>
      </c>
      <c r="J860" s="25">
        <f t="shared" si="51"/>
        <v>27</v>
      </c>
    </row>
    <row r="861" spans="1:10" ht="16.95" customHeight="1">
      <c r="A861" s="75" t="s">
        <v>81</v>
      </c>
      <c r="B861" s="80" t="s">
        <v>82</v>
      </c>
      <c r="C861" s="77" t="s">
        <v>48</v>
      </c>
      <c r="D861" s="78">
        <v>1</v>
      </c>
      <c r="E861" s="79">
        <f t="shared" si="54"/>
        <v>8.3333333333333332E-3</v>
      </c>
      <c r="F861" s="79" t="e">
        <f t="shared" si="52"/>
        <v>#REF!</v>
      </c>
      <c r="G861" s="2"/>
      <c r="H861" s="37">
        <v>21395</v>
      </c>
      <c r="I861" s="4">
        <f t="shared" si="53"/>
        <v>178.29166666666666</v>
      </c>
      <c r="J861" s="25">
        <f t="shared" si="51"/>
        <v>27</v>
      </c>
    </row>
    <row r="862" spans="1:10" ht="16.95" customHeight="1">
      <c r="A862" s="75" t="s">
        <v>83</v>
      </c>
      <c r="B862" s="80" t="s">
        <v>84</v>
      </c>
      <c r="C862" s="77" t="s">
        <v>48</v>
      </c>
      <c r="D862" s="78">
        <v>1</v>
      </c>
      <c r="E862" s="79">
        <f t="shared" si="54"/>
        <v>8.3333333333333332E-3</v>
      </c>
      <c r="F862" s="79" t="e">
        <f t="shared" si="52"/>
        <v>#REF!</v>
      </c>
      <c r="G862" s="2"/>
      <c r="H862" s="37">
        <v>149765</v>
      </c>
      <c r="I862" s="4">
        <f t="shared" si="53"/>
        <v>1248.0416666666667</v>
      </c>
      <c r="J862" s="25">
        <f t="shared" si="51"/>
        <v>27</v>
      </c>
    </row>
    <row r="863" spans="1:10" ht="16.95" customHeight="1">
      <c r="A863" s="75" t="s">
        <v>85</v>
      </c>
      <c r="B863" s="80" t="s">
        <v>86</v>
      </c>
      <c r="C863" s="77" t="s">
        <v>48</v>
      </c>
      <c r="D863" s="78">
        <v>1</v>
      </c>
      <c r="E863" s="79">
        <f t="shared" si="54"/>
        <v>8.3333333333333332E-3</v>
      </c>
      <c r="F863" s="79" t="e">
        <f t="shared" si="52"/>
        <v>#REF!</v>
      </c>
      <c r="G863" s="2"/>
      <c r="H863" s="37">
        <v>6996</v>
      </c>
      <c r="I863" s="4">
        <f t="shared" si="53"/>
        <v>58.3</v>
      </c>
      <c r="J863" s="25">
        <f t="shared" si="51"/>
        <v>27</v>
      </c>
    </row>
    <row r="864" spans="1:10" ht="16.95" customHeight="1">
      <c r="A864" s="75" t="s">
        <v>87</v>
      </c>
      <c r="B864" s="80" t="s">
        <v>88</v>
      </c>
      <c r="C864" s="77" t="s">
        <v>48</v>
      </c>
      <c r="D864" s="78">
        <v>1</v>
      </c>
      <c r="E864" s="79">
        <f>1/120</f>
        <v>8.3333333333333332E-3</v>
      </c>
      <c r="F864" s="79" t="e">
        <f t="shared" si="52"/>
        <v>#REF!</v>
      </c>
      <c r="G864" s="2"/>
      <c r="H864" s="37">
        <v>116952</v>
      </c>
      <c r="I864" s="4">
        <f t="shared" si="53"/>
        <v>974.6</v>
      </c>
      <c r="J864" s="25">
        <f t="shared" si="51"/>
        <v>27</v>
      </c>
    </row>
    <row r="865" spans="1:10" ht="16.95" customHeight="1">
      <c r="A865" s="95" t="s">
        <v>23</v>
      </c>
      <c r="B865" s="95"/>
      <c r="C865" s="50"/>
      <c r="D865" s="50"/>
      <c r="E865" s="50"/>
      <c r="F865" s="50"/>
      <c r="G865" s="50"/>
      <c r="H865" s="3" t="s">
        <v>24</v>
      </c>
      <c r="I865" s="5">
        <f>SUM(I830:I864)</f>
        <v>2637.5250000000001</v>
      </c>
      <c r="J865" s="25">
        <f t="shared" si="51"/>
        <v>27</v>
      </c>
    </row>
    <row r="866" spans="1:10" ht="16.95" customHeight="1">
      <c r="A866" s="96" t="s">
        <v>25</v>
      </c>
      <c r="B866" s="96"/>
      <c r="C866" s="50"/>
      <c r="D866" s="50"/>
      <c r="E866" s="50"/>
      <c r="F866" s="50"/>
      <c r="G866" s="50"/>
      <c r="J866" s="25">
        <f t="shared" si="51"/>
        <v>27</v>
      </c>
    </row>
    <row r="867" spans="1:10" ht="16.95" customHeight="1">
      <c r="A867" s="96" t="s">
        <v>26</v>
      </c>
      <c r="B867" s="96"/>
      <c r="C867" s="50"/>
      <c r="D867" s="50"/>
      <c r="E867" s="50"/>
      <c r="F867" s="50"/>
      <c r="G867" s="50"/>
      <c r="J867" s="25">
        <f t="shared" si="51"/>
        <v>27</v>
      </c>
    </row>
    <row r="868" spans="1:10" ht="16.95" customHeight="1">
      <c r="A868" s="95" t="s">
        <v>27</v>
      </c>
      <c r="B868" s="95"/>
      <c r="C868" s="95"/>
      <c r="D868" s="95"/>
      <c r="E868" s="95"/>
      <c r="F868" s="95"/>
      <c r="G868" s="95"/>
      <c r="J868" s="25">
        <f t="shared" si="51"/>
        <v>27</v>
      </c>
    </row>
    <row r="869" spans="1:10" ht="16.95" customHeight="1">
      <c r="A869" s="94" t="s">
        <v>28</v>
      </c>
      <c r="B869" s="94"/>
      <c r="C869" s="51" t="s">
        <v>29</v>
      </c>
      <c r="D869" s="51" t="s">
        <v>30</v>
      </c>
      <c r="E869" s="51" t="s">
        <v>18</v>
      </c>
      <c r="F869" s="51" t="s">
        <v>31</v>
      </c>
      <c r="G869" s="51" t="s">
        <v>20</v>
      </c>
      <c r="J869" s="25">
        <f t="shared" si="51"/>
        <v>27</v>
      </c>
    </row>
    <row r="870" spans="1:10" ht="16.95" customHeight="1">
      <c r="A870" s="96"/>
      <c r="B870" s="96"/>
      <c r="C870" s="50"/>
      <c r="D870" s="50"/>
      <c r="E870" s="50"/>
      <c r="F870" s="50"/>
      <c r="G870" s="51"/>
      <c r="J870" s="25">
        <f t="shared" si="51"/>
        <v>27</v>
      </c>
    </row>
    <row r="871" spans="1:10" ht="16.95" customHeight="1">
      <c r="A871" s="97"/>
      <c r="B871" s="97"/>
      <c r="C871" s="50"/>
      <c r="D871" s="50"/>
      <c r="E871" s="50"/>
      <c r="F871" s="51"/>
      <c r="G871" s="51"/>
      <c r="J871" s="25">
        <f t="shared" si="51"/>
        <v>27</v>
      </c>
    </row>
    <row r="872" spans="1:10" ht="16.95" customHeight="1">
      <c r="A872" s="95" t="s">
        <v>32</v>
      </c>
      <c r="B872" s="95"/>
      <c r="C872" s="95"/>
      <c r="D872" s="95"/>
      <c r="E872" s="95"/>
      <c r="F872" s="95"/>
      <c r="G872" s="95"/>
      <c r="J872" s="25">
        <f t="shared" si="51"/>
        <v>28</v>
      </c>
    </row>
    <row r="873" spans="1:10" ht="16.95" customHeight="1">
      <c r="A873" s="51" t="s">
        <v>33</v>
      </c>
      <c r="B873" s="51" t="s">
        <v>34</v>
      </c>
      <c r="C873" s="94" t="s">
        <v>35</v>
      </c>
      <c r="D873" s="94"/>
      <c r="E873" s="51" t="s">
        <v>36</v>
      </c>
      <c r="F873" s="51" t="s">
        <v>37</v>
      </c>
      <c r="G873" s="51" t="s">
        <v>38</v>
      </c>
      <c r="J873" s="25">
        <f t="shared" si="51"/>
        <v>28</v>
      </c>
    </row>
    <row r="874" spans="1:10" ht="16.95" customHeight="1">
      <c r="A874" s="51" t="s">
        <v>39</v>
      </c>
      <c r="B874" s="6"/>
      <c r="C874" s="94" t="e">
        <f>B874+C811</f>
        <v>#REF!</v>
      </c>
      <c r="D874" s="94"/>
      <c r="E874" s="51"/>
      <c r="F874" s="24"/>
      <c r="G874" s="24"/>
      <c r="J874" s="25">
        <f t="shared" si="51"/>
        <v>28</v>
      </c>
    </row>
    <row r="875" spans="1:10" ht="16.95" customHeight="1">
      <c r="A875" s="51" t="s">
        <v>40</v>
      </c>
      <c r="B875" s="6"/>
      <c r="C875" s="94" t="e">
        <f>B875+C812</f>
        <v>#REF!</v>
      </c>
      <c r="D875" s="94"/>
      <c r="E875" s="51"/>
      <c r="F875" s="24"/>
      <c r="G875" s="24"/>
      <c r="J875" s="25">
        <f t="shared" si="51"/>
        <v>28</v>
      </c>
    </row>
    <row r="876" spans="1:10" ht="36.6" customHeight="1">
      <c r="A876" s="95" t="s">
        <v>41</v>
      </c>
      <c r="B876" s="95"/>
      <c r="C876" s="95"/>
      <c r="D876" s="95"/>
      <c r="E876" s="95"/>
      <c r="F876" s="95"/>
      <c r="G876" s="95"/>
      <c r="J876" s="25">
        <f t="shared" si="51"/>
        <v>28</v>
      </c>
    </row>
    <row r="877" spans="1:10" ht="90" customHeight="1">
      <c r="A877" s="92" t="s">
        <v>42</v>
      </c>
      <c r="B877" s="92"/>
      <c r="C877" s="92"/>
      <c r="D877" s="92"/>
      <c r="E877" s="92"/>
      <c r="F877" s="92"/>
      <c r="G877" s="92"/>
      <c r="J877" s="25">
        <f t="shared" si="51"/>
        <v>28</v>
      </c>
    </row>
    <row r="878" spans="1:10" ht="16.95" customHeight="1">
      <c r="A878" s="95" t="s">
        <v>43</v>
      </c>
      <c r="B878" s="95"/>
      <c r="C878" s="95"/>
      <c r="D878" s="95"/>
      <c r="E878" s="95"/>
      <c r="F878" s="95"/>
      <c r="G878" s="95"/>
      <c r="J878" s="25">
        <f t="shared" si="51"/>
        <v>28</v>
      </c>
    </row>
    <row r="879" spans="1:10" ht="16.95" customHeight="1">
      <c r="A879" s="95" t="s">
        <v>44</v>
      </c>
      <c r="B879" s="95"/>
      <c r="C879" s="95"/>
      <c r="D879" s="95"/>
      <c r="E879" s="95"/>
      <c r="F879" s="95"/>
      <c r="G879" s="95"/>
      <c r="J879" s="25">
        <f t="shared" si="51"/>
        <v>28</v>
      </c>
    </row>
    <row r="880" spans="1:10" ht="16.95" customHeight="1">
      <c r="A880" s="91" t="s">
        <v>64</v>
      </c>
      <c r="B880" s="91"/>
      <c r="C880" s="91"/>
      <c r="D880" s="91"/>
      <c r="E880" s="91"/>
      <c r="F880" s="91"/>
      <c r="G880" s="91"/>
      <c r="J880" s="25">
        <f t="shared" si="51"/>
        <v>28</v>
      </c>
    </row>
    <row r="881" spans="1:10" ht="120.6" customHeight="1">
      <c r="A881" s="92" t="s">
        <v>45</v>
      </c>
      <c r="B881" s="92"/>
      <c r="C881" s="92"/>
      <c r="D881" s="92"/>
      <c r="E881" s="92"/>
      <c r="F881" s="92"/>
      <c r="G881" s="92"/>
      <c r="J881" s="25">
        <f t="shared" si="51"/>
        <v>28</v>
      </c>
    </row>
    <row r="882" spans="1:10" ht="140.4" customHeight="1">
      <c r="A882" s="93" t="s">
        <v>46</v>
      </c>
      <c r="B882" s="93"/>
      <c r="C882" s="93"/>
      <c r="D882" s="93"/>
      <c r="E882" s="93"/>
      <c r="F882" s="93"/>
      <c r="G882" s="93"/>
      <c r="J882" s="25">
        <f t="shared" si="51"/>
        <v>28</v>
      </c>
    </row>
    <row r="883" spans="1:10" ht="37.200000000000003" customHeight="1">
      <c r="A883" s="103" t="s">
        <v>0</v>
      </c>
      <c r="B883" s="103"/>
      <c r="C883" s="103"/>
      <c r="D883" s="103"/>
      <c r="E883" s="103"/>
      <c r="F883" s="103"/>
      <c r="G883" s="103"/>
      <c r="J883" s="25">
        <f t="shared" si="51"/>
        <v>29</v>
      </c>
    </row>
    <row r="884" spans="1:10" ht="16.95" customHeight="1">
      <c r="A884" s="1" t="s">
        <v>1</v>
      </c>
      <c r="B884" s="104">
        <f>B821+1</f>
        <v>16</v>
      </c>
      <c r="C884" s="104"/>
      <c r="D884" s="104"/>
      <c r="E884" s="104"/>
      <c r="F884" s="104"/>
      <c r="G884" s="104"/>
      <c r="J884" s="25">
        <f t="shared" si="51"/>
        <v>29</v>
      </c>
    </row>
    <row r="885" spans="1:10" ht="16.95" customHeight="1">
      <c r="A885" s="1" t="s">
        <v>2</v>
      </c>
      <c r="B885" s="105" t="s">
        <v>63</v>
      </c>
      <c r="C885" s="105"/>
      <c r="D885" s="105"/>
      <c r="E885" s="106">
        <f>E822+1</f>
        <v>46218</v>
      </c>
      <c r="F885" s="106"/>
      <c r="G885" s="106"/>
      <c r="J885" s="25">
        <f t="shared" si="51"/>
        <v>29</v>
      </c>
    </row>
    <row r="886" spans="1:10" ht="16.95" customHeight="1">
      <c r="A886" s="53" t="s">
        <v>3</v>
      </c>
      <c r="B886" s="2" t="s">
        <v>67</v>
      </c>
      <c r="C886" s="98" t="s">
        <v>4</v>
      </c>
      <c r="D886" s="98"/>
      <c r="E886" s="98" t="s">
        <v>47</v>
      </c>
      <c r="F886" s="98"/>
      <c r="G886" s="98"/>
      <c r="J886" s="25">
        <f t="shared" si="51"/>
        <v>29</v>
      </c>
    </row>
    <row r="887" spans="1:10" ht="16.95" customHeight="1">
      <c r="A887" s="53" t="s">
        <v>5</v>
      </c>
      <c r="B887" s="54">
        <v>120</v>
      </c>
      <c r="C887" s="98" t="s">
        <v>6</v>
      </c>
      <c r="D887" s="98"/>
      <c r="E887" s="98" t="s">
        <v>123</v>
      </c>
      <c r="F887" s="98"/>
      <c r="G887" s="98"/>
      <c r="J887" s="25">
        <f t="shared" si="51"/>
        <v>29</v>
      </c>
    </row>
    <row r="888" spans="1:10" ht="16.95" customHeight="1">
      <c r="A888" s="53" t="s">
        <v>7</v>
      </c>
      <c r="B888" s="54">
        <f>B884</f>
        <v>16</v>
      </c>
      <c r="C888" s="100" t="s">
        <v>8</v>
      </c>
      <c r="D888" s="100"/>
      <c r="E888" s="101">
        <f>B887-B888</f>
        <v>104</v>
      </c>
      <c r="F888" s="101"/>
      <c r="G888" s="101"/>
      <c r="J888" s="25">
        <f t="shared" si="51"/>
        <v>29</v>
      </c>
    </row>
    <row r="889" spans="1:10" ht="16.95" customHeight="1">
      <c r="A889" s="53" t="s">
        <v>9</v>
      </c>
      <c r="B889" s="55">
        <v>46204</v>
      </c>
      <c r="C889" s="98" t="s">
        <v>10</v>
      </c>
      <c r="D889" s="98"/>
      <c r="E889" s="102">
        <f>B889+B887-1</f>
        <v>46323</v>
      </c>
      <c r="F889" s="102"/>
      <c r="G889" s="102"/>
      <c r="J889" s="25">
        <f t="shared" si="51"/>
        <v>29</v>
      </c>
    </row>
    <row r="890" spans="1:10" ht="16.95" customHeight="1">
      <c r="A890" s="53" t="s">
        <v>11</v>
      </c>
      <c r="B890" s="56" t="e">
        <f>HLOOKUP(B884,進度表!$Q$2:$Z$3,2,1)+B827</f>
        <v>#REF!</v>
      </c>
      <c r="C890" s="98" t="s">
        <v>12</v>
      </c>
      <c r="D890" s="98"/>
      <c r="E890" s="99" t="e">
        <f>I928/I890+E827</f>
        <v>#REF!</v>
      </c>
      <c r="F890" s="99"/>
      <c r="G890" s="99"/>
      <c r="H890" s="3" t="s">
        <v>62</v>
      </c>
      <c r="I890" s="1">
        <v>2456000</v>
      </c>
      <c r="J890" s="25">
        <f t="shared" si="51"/>
        <v>29</v>
      </c>
    </row>
    <row r="891" spans="1:10" ht="16.95" customHeight="1">
      <c r="A891" s="98" t="s">
        <v>13</v>
      </c>
      <c r="B891" s="98"/>
      <c r="C891" s="98"/>
      <c r="D891" s="98"/>
      <c r="E891" s="98"/>
      <c r="F891" s="98"/>
      <c r="G891" s="98"/>
      <c r="J891" s="25">
        <f t="shared" ref="J891:J954" si="55">J828+2</f>
        <v>29</v>
      </c>
    </row>
    <row r="892" spans="1:10" ht="16.95" customHeight="1">
      <c r="A892" s="52" t="s">
        <v>14</v>
      </c>
      <c r="B892" s="52" t="s">
        <v>15</v>
      </c>
      <c r="C892" s="52" t="s">
        <v>16</v>
      </c>
      <c r="D892" s="52" t="s">
        <v>17</v>
      </c>
      <c r="E892" s="52" t="s">
        <v>18</v>
      </c>
      <c r="F892" s="52" t="s">
        <v>19</v>
      </c>
      <c r="G892" s="52" t="s">
        <v>20</v>
      </c>
      <c r="H892" s="3" t="s">
        <v>21</v>
      </c>
      <c r="I892" s="3" t="s">
        <v>22</v>
      </c>
      <c r="J892" s="25">
        <f t="shared" si="55"/>
        <v>29</v>
      </c>
    </row>
    <row r="893" spans="1:10" ht="16.95" customHeight="1">
      <c r="A893" s="75" t="s">
        <v>65</v>
      </c>
      <c r="B893" s="76" t="s">
        <v>69</v>
      </c>
      <c r="C893" s="77"/>
      <c r="D893" s="78"/>
      <c r="E893" s="79"/>
      <c r="F893" s="79"/>
      <c r="G893" s="2"/>
      <c r="H893" s="37"/>
      <c r="I893" s="4"/>
      <c r="J893" s="25">
        <f t="shared" si="55"/>
        <v>29</v>
      </c>
    </row>
    <row r="894" spans="1:10" ht="34.950000000000003" customHeight="1">
      <c r="A894" s="75">
        <v>1</v>
      </c>
      <c r="B894" s="80" t="s">
        <v>91</v>
      </c>
      <c r="C894" s="77" t="s">
        <v>48</v>
      </c>
      <c r="D894" s="78">
        <v>1</v>
      </c>
      <c r="E894" s="79"/>
      <c r="F894" s="79" t="e">
        <f t="shared" ref="F894:F927" si="56">E894+F831</f>
        <v>#REF!</v>
      </c>
      <c r="G894" s="2"/>
      <c r="H894" s="37">
        <v>10508</v>
      </c>
      <c r="I894" s="4">
        <f>H894*E894</f>
        <v>0</v>
      </c>
      <c r="J894" s="25">
        <f t="shared" si="55"/>
        <v>29</v>
      </c>
    </row>
    <row r="895" spans="1:10" ht="34.799999999999997" customHeight="1">
      <c r="A895" s="75">
        <v>2</v>
      </c>
      <c r="B895" s="80" t="s">
        <v>92</v>
      </c>
      <c r="C895" s="77" t="s">
        <v>48</v>
      </c>
      <c r="D895" s="78">
        <v>1</v>
      </c>
      <c r="E895" s="79"/>
      <c r="F895" s="79" t="e">
        <f t="shared" si="56"/>
        <v>#REF!</v>
      </c>
      <c r="G895" s="2"/>
      <c r="H895" s="37">
        <v>13223</v>
      </c>
      <c r="I895" s="4">
        <f>H895*E895</f>
        <v>0</v>
      </c>
      <c r="J895" s="25">
        <f t="shared" si="55"/>
        <v>29</v>
      </c>
    </row>
    <row r="896" spans="1:10" ht="53.4" customHeight="1">
      <c r="A896" s="75">
        <v>3</v>
      </c>
      <c r="B896" s="80" t="s">
        <v>93</v>
      </c>
      <c r="C896" s="77" t="s">
        <v>48</v>
      </c>
      <c r="D896" s="78">
        <v>1</v>
      </c>
      <c r="E896" s="79"/>
      <c r="F896" s="79" t="e">
        <f t="shared" si="56"/>
        <v>#REF!</v>
      </c>
      <c r="G896" s="2"/>
      <c r="H896" s="37">
        <v>310497</v>
      </c>
      <c r="I896" s="4">
        <f t="shared" ref="I896:I927" si="57">H896*E896</f>
        <v>0</v>
      </c>
      <c r="J896" s="25">
        <f t="shared" si="55"/>
        <v>29</v>
      </c>
    </row>
    <row r="897" spans="1:10" ht="16.95" customHeight="1">
      <c r="A897" s="75">
        <v>4</v>
      </c>
      <c r="B897" s="80" t="s">
        <v>94</v>
      </c>
      <c r="C897" s="77" t="s">
        <v>48</v>
      </c>
      <c r="D897" s="78">
        <v>1</v>
      </c>
      <c r="E897" s="79"/>
      <c r="F897" s="79" t="e">
        <f t="shared" si="56"/>
        <v>#REF!</v>
      </c>
      <c r="G897" s="2"/>
      <c r="H897" s="37">
        <v>8375</v>
      </c>
      <c r="I897" s="4">
        <f t="shared" si="57"/>
        <v>0</v>
      </c>
      <c r="J897" s="25">
        <f t="shared" si="55"/>
        <v>29</v>
      </c>
    </row>
    <row r="898" spans="1:10" ht="16.95" customHeight="1">
      <c r="A898" s="75">
        <v>5</v>
      </c>
      <c r="B898" s="80" t="s">
        <v>95</v>
      </c>
      <c r="C898" s="77" t="s">
        <v>48</v>
      </c>
      <c r="D898" s="78">
        <v>1</v>
      </c>
      <c r="E898" s="79"/>
      <c r="F898" s="79" t="e">
        <f t="shared" si="56"/>
        <v>#REF!</v>
      </c>
      <c r="G898" s="2"/>
      <c r="H898" s="37">
        <v>51618</v>
      </c>
      <c r="I898" s="4">
        <f t="shared" si="57"/>
        <v>0</v>
      </c>
      <c r="J898" s="25">
        <f t="shared" si="55"/>
        <v>29</v>
      </c>
    </row>
    <row r="899" spans="1:10" ht="16.95" customHeight="1">
      <c r="A899" s="75">
        <v>6</v>
      </c>
      <c r="B899" s="80" t="s">
        <v>96</v>
      </c>
      <c r="C899" s="77" t="s">
        <v>50</v>
      </c>
      <c r="D899" s="78">
        <v>11.55</v>
      </c>
      <c r="E899" s="79"/>
      <c r="F899" s="79" t="e">
        <f t="shared" si="56"/>
        <v>#REF!</v>
      </c>
      <c r="G899" s="2"/>
      <c r="H899" s="37">
        <v>1188</v>
      </c>
      <c r="I899" s="4">
        <f t="shared" si="57"/>
        <v>0</v>
      </c>
      <c r="J899" s="25">
        <f t="shared" si="55"/>
        <v>29</v>
      </c>
    </row>
    <row r="900" spans="1:10" ht="34.950000000000003" customHeight="1">
      <c r="A900" s="75">
        <v>7</v>
      </c>
      <c r="B900" s="80" t="s">
        <v>97</v>
      </c>
      <c r="C900" s="77" t="s">
        <v>48</v>
      </c>
      <c r="D900" s="78">
        <v>1</v>
      </c>
      <c r="E900" s="79"/>
      <c r="F900" s="79" t="e">
        <f t="shared" si="56"/>
        <v>#REF!</v>
      </c>
      <c r="G900" s="2"/>
      <c r="H900" s="37">
        <v>21157</v>
      </c>
      <c r="I900" s="4">
        <f t="shared" si="57"/>
        <v>0</v>
      </c>
      <c r="J900" s="25">
        <f t="shared" si="55"/>
        <v>29</v>
      </c>
    </row>
    <row r="901" spans="1:10" ht="16.95" customHeight="1">
      <c r="A901" s="75">
        <v>8</v>
      </c>
      <c r="B901" s="80" t="s">
        <v>98</v>
      </c>
      <c r="C901" s="77" t="s">
        <v>50</v>
      </c>
      <c r="D901" s="78">
        <v>387</v>
      </c>
      <c r="E901" s="79"/>
      <c r="F901" s="79" t="e">
        <f t="shared" si="56"/>
        <v>#REF!</v>
      </c>
      <c r="G901" s="2"/>
      <c r="H901" s="37">
        <v>705</v>
      </c>
      <c r="I901" s="4">
        <f t="shared" si="57"/>
        <v>0</v>
      </c>
      <c r="J901" s="25">
        <f t="shared" si="55"/>
        <v>29</v>
      </c>
    </row>
    <row r="902" spans="1:10" ht="16.95" customHeight="1">
      <c r="A902" s="75">
        <v>9</v>
      </c>
      <c r="B902" s="80" t="s">
        <v>99</v>
      </c>
      <c r="C902" s="77" t="s">
        <v>50</v>
      </c>
      <c r="D902" s="78">
        <v>170</v>
      </c>
      <c r="E902" s="79"/>
      <c r="F902" s="79" t="e">
        <f t="shared" si="56"/>
        <v>#REF!</v>
      </c>
      <c r="G902" s="2"/>
      <c r="H902" s="37">
        <v>617</v>
      </c>
      <c r="I902" s="4">
        <f t="shared" si="57"/>
        <v>0</v>
      </c>
      <c r="J902" s="25">
        <f t="shared" si="55"/>
        <v>29</v>
      </c>
    </row>
    <row r="903" spans="1:10" ht="16.95" customHeight="1">
      <c r="A903" s="75">
        <v>10</v>
      </c>
      <c r="B903" s="80" t="s">
        <v>100</v>
      </c>
      <c r="C903" s="77" t="s">
        <v>66</v>
      </c>
      <c r="D903" s="78">
        <v>15</v>
      </c>
      <c r="E903" s="79"/>
      <c r="F903" s="79" t="e">
        <f t="shared" si="56"/>
        <v>#REF!</v>
      </c>
      <c r="G903" s="2"/>
      <c r="H903" s="37">
        <v>617</v>
      </c>
      <c r="I903" s="4">
        <f t="shared" si="57"/>
        <v>0</v>
      </c>
      <c r="J903" s="25">
        <f t="shared" si="55"/>
        <v>29</v>
      </c>
    </row>
    <row r="904" spans="1:10" ht="16.95" customHeight="1">
      <c r="A904" s="75">
        <v>11</v>
      </c>
      <c r="B904" s="80" t="s">
        <v>101</v>
      </c>
      <c r="C904" s="77" t="s">
        <v>50</v>
      </c>
      <c r="D904" s="78">
        <v>75</v>
      </c>
      <c r="E904" s="79"/>
      <c r="F904" s="79" t="e">
        <f t="shared" si="56"/>
        <v>#REF!</v>
      </c>
      <c r="G904" s="2"/>
      <c r="H904" s="37">
        <v>1146</v>
      </c>
      <c r="I904" s="4">
        <f t="shared" si="57"/>
        <v>0</v>
      </c>
      <c r="J904" s="25">
        <f t="shared" si="55"/>
        <v>29</v>
      </c>
    </row>
    <row r="905" spans="1:10" ht="16.95" customHeight="1">
      <c r="A905" s="75">
        <v>12</v>
      </c>
      <c r="B905" s="80" t="s">
        <v>102</v>
      </c>
      <c r="C905" s="77" t="s">
        <v>50</v>
      </c>
      <c r="D905" s="78">
        <v>5</v>
      </c>
      <c r="E905" s="79"/>
      <c r="F905" s="79" t="e">
        <f t="shared" si="56"/>
        <v>#REF!</v>
      </c>
      <c r="G905" s="2"/>
      <c r="H905" s="37">
        <v>1455</v>
      </c>
      <c r="I905" s="4">
        <f t="shared" si="57"/>
        <v>0</v>
      </c>
      <c r="J905" s="25">
        <f t="shared" si="55"/>
        <v>29</v>
      </c>
    </row>
    <row r="906" spans="1:10" ht="16.95" customHeight="1">
      <c r="A906" s="75">
        <v>13</v>
      </c>
      <c r="B906" s="80" t="s">
        <v>103</v>
      </c>
      <c r="C906" s="77" t="s">
        <v>50</v>
      </c>
      <c r="D906" s="78">
        <v>217</v>
      </c>
      <c r="E906" s="79"/>
      <c r="F906" s="79" t="e">
        <f t="shared" si="56"/>
        <v>#REF!</v>
      </c>
      <c r="G906" s="2"/>
      <c r="H906" s="37">
        <v>1410</v>
      </c>
      <c r="I906" s="4">
        <f t="shared" si="57"/>
        <v>0</v>
      </c>
      <c r="J906" s="25">
        <f t="shared" si="55"/>
        <v>29</v>
      </c>
    </row>
    <row r="907" spans="1:10" ht="16.95" customHeight="1">
      <c r="A907" s="75">
        <v>14</v>
      </c>
      <c r="B907" s="80" t="s">
        <v>104</v>
      </c>
      <c r="C907" s="77" t="s">
        <v>49</v>
      </c>
      <c r="D907" s="78">
        <v>84</v>
      </c>
      <c r="E907" s="79"/>
      <c r="F907" s="79" t="e">
        <f t="shared" si="56"/>
        <v>#REF!</v>
      </c>
      <c r="G907" s="2"/>
      <c r="H907" s="37">
        <v>529</v>
      </c>
      <c r="I907" s="4">
        <f t="shared" si="57"/>
        <v>0</v>
      </c>
      <c r="J907" s="25">
        <f t="shared" si="55"/>
        <v>29</v>
      </c>
    </row>
    <row r="908" spans="1:10" ht="16.95" customHeight="1">
      <c r="A908" s="75">
        <v>15</v>
      </c>
      <c r="B908" s="80" t="s">
        <v>105</v>
      </c>
      <c r="C908" s="77" t="s">
        <v>50</v>
      </c>
      <c r="D908" s="78">
        <v>1</v>
      </c>
      <c r="E908" s="79"/>
      <c r="F908" s="79" t="e">
        <f t="shared" si="56"/>
        <v>#REF!</v>
      </c>
      <c r="G908" s="2"/>
      <c r="H908" s="37">
        <v>1146</v>
      </c>
      <c r="I908" s="4">
        <f t="shared" si="57"/>
        <v>0</v>
      </c>
      <c r="J908" s="25">
        <f t="shared" si="55"/>
        <v>29</v>
      </c>
    </row>
    <row r="909" spans="1:10" ht="34.799999999999997" customHeight="1">
      <c r="A909" s="75">
        <v>16</v>
      </c>
      <c r="B909" s="80" t="s">
        <v>106</v>
      </c>
      <c r="C909" s="77" t="s">
        <v>50</v>
      </c>
      <c r="D909" s="78">
        <v>314</v>
      </c>
      <c r="E909" s="79"/>
      <c r="F909" s="79" t="e">
        <f t="shared" si="56"/>
        <v>#REF!</v>
      </c>
      <c r="G909" s="2"/>
      <c r="H909" s="37">
        <v>185</v>
      </c>
      <c r="I909" s="4">
        <f t="shared" si="57"/>
        <v>0</v>
      </c>
      <c r="J909" s="25">
        <f t="shared" si="55"/>
        <v>29</v>
      </c>
    </row>
    <row r="910" spans="1:10" ht="16.95" customHeight="1">
      <c r="A910" s="75">
        <v>17</v>
      </c>
      <c r="B910" s="80" t="s">
        <v>107</v>
      </c>
      <c r="C910" s="77" t="s">
        <v>48</v>
      </c>
      <c r="D910" s="78">
        <v>1</v>
      </c>
      <c r="E910" s="79"/>
      <c r="F910" s="79" t="e">
        <f t="shared" si="56"/>
        <v>#REF!</v>
      </c>
      <c r="G910" s="2"/>
      <c r="H910" s="37">
        <v>89918</v>
      </c>
      <c r="I910" s="4">
        <f t="shared" si="57"/>
        <v>0</v>
      </c>
      <c r="J910" s="25">
        <f t="shared" si="55"/>
        <v>29</v>
      </c>
    </row>
    <row r="911" spans="1:10" ht="16.95" customHeight="1">
      <c r="A911" s="75">
        <v>18</v>
      </c>
      <c r="B911" s="80" t="s">
        <v>108</v>
      </c>
      <c r="C911" s="77" t="s">
        <v>120</v>
      </c>
      <c r="D911" s="78">
        <v>15</v>
      </c>
      <c r="E911" s="79"/>
      <c r="F911" s="79" t="e">
        <f t="shared" si="56"/>
        <v>#REF!</v>
      </c>
      <c r="G911" s="2"/>
      <c r="H911" s="37">
        <v>661</v>
      </c>
      <c r="I911" s="4">
        <f t="shared" si="57"/>
        <v>0</v>
      </c>
      <c r="J911" s="25">
        <f t="shared" si="55"/>
        <v>29</v>
      </c>
    </row>
    <row r="912" spans="1:10" ht="16.95" customHeight="1">
      <c r="A912" s="75">
        <v>19</v>
      </c>
      <c r="B912" s="80" t="s">
        <v>109</v>
      </c>
      <c r="C912" s="77" t="s">
        <v>50</v>
      </c>
      <c r="D912" s="78">
        <v>82</v>
      </c>
      <c r="E912" s="79"/>
      <c r="F912" s="79" t="e">
        <f t="shared" si="56"/>
        <v>#REF!</v>
      </c>
      <c r="G912" s="2"/>
      <c r="H912" s="37">
        <v>2909</v>
      </c>
      <c r="I912" s="4">
        <f t="shared" si="57"/>
        <v>0</v>
      </c>
      <c r="J912" s="25">
        <f t="shared" si="55"/>
        <v>29</v>
      </c>
    </row>
    <row r="913" spans="1:10" ht="16.95" customHeight="1">
      <c r="A913" s="75">
        <v>20</v>
      </c>
      <c r="B913" s="80" t="s">
        <v>110</v>
      </c>
      <c r="C913" s="77" t="s">
        <v>121</v>
      </c>
      <c r="D913" s="78">
        <v>12</v>
      </c>
      <c r="E913" s="79"/>
      <c r="F913" s="79" t="e">
        <f t="shared" si="56"/>
        <v>#REF!</v>
      </c>
      <c r="G913" s="2"/>
      <c r="H913" s="37">
        <v>882</v>
      </c>
      <c r="I913" s="4">
        <f t="shared" si="57"/>
        <v>0</v>
      </c>
      <c r="J913" s="25">
        <f t="shared" si="55"/>
        <v>29</v>
      </c>
    </row>
    <row r="914" spans="1:10" ht="16.95" customHeight="1">
      <c r="A914" s="77">
        <v>21</v>
      </c>
      <c r="B914" s="80" t="s">
        <v>111</v>
      </c>
      <c r="C914" s="77" t="s">
        <v>122</v>
      </c>
      <c r="D914" s="78">
        <v>3</v>
      </c>
      <c r="E914" s="79"/>
      <c r="F914" s="79" t="e">
        <f t="shared" si="56"/>
        <v>#REF!</v>
      </c>
      <c r="G914" s="2"/>
      <c r="H914" s="38">
        <v>1869</v>
      </c>
      <c r="I914" s="4">
        <f t="shared" si="57"/>
        <v>0</v>
      </c>
      <c r="J914" s="25">
        <f t="shared" si="55"/>
        <v>29</v>
      </c>
    </row>
    <row r="915" spans="1:10" ht="34.950000000000003" customHeight="1">
      <c r="A915" s="75">
        <v>22</v>
      </c>
      <c r="B915" s="80" t="s">
        <v>112</v>
      </c>
      <c r="C915" s="77" t="s">
        <v>48</v>
      </c>
      <c r="D915" s="78">
        <v>1</v>
      </c>
      <c r="E915" s="79"/>
      <c r="F915" s="79" t="e">
        <f t="shared" si="56"/>
        <v>#REF!</v>
      </c>
      <c r="G915" s="2"/>
      <c r="H915" s="37">
        <v>82206</v>
      </c>
      <c r="I915" s="4">
        <f t="shared" si="57"/>
        <v>0</v>
      </c>
      <c r="J915" s="25">
        <f t="shared" si="55"/>
        <v>29</v>
      </c>
    </row>
    <row r="916" spans="1:10" ht="16.95" customHeight="1">
      <c r="A916" s="75">
        <v>23</v>
      </c>
      <c r="B916" s="80" t="s">
        <v>113</v>
      </c>
      <c r="C916" s="77" t="s">
        <v>48</v>
      </c>
      <c r="D916" s="78">
        <v>1</v>
      </c>
      <c r="E916" s="79"/>
      <c r="F916" s="79" t="e">
        <f t="shared" si="56"/>
        <v>#REF!</v>
      </c>
      <c r="G916" s="2"/>
      <c r="H916" s="37">
        <v>142723</v>
      </c>
      <c r="I916" s="4">
        <f t="shared" si="57"/>
        <v>0</v>
      </c>
      <c r="J916" s="25">
        <f t="shared" si="55"/>
        <v>29</v>
      </c>
    </row>
    <row r="917" spans="1:10" ht="16.95" customHeight="1">
      <c r="A917" s="75">
        <v>24</v>
      </c>
      <c r="B917" s="80" t="s">
        <v>114</v>
      </c>
      <c r="C917" s="77" t="s">
        <v>48</v>
      </c>
      <c r="D917" s="78">
        <v>1</v>
      </c>
      <c r="E917" s="79"/>
      <c r="F917" s="79" t="e">
        <f t="shared" si="56"/>
        <v>#REF!</v>
      </c>
      <c r="G917" s="2"/>
      <c r="H917" s="37">
        <v>37290</v>
      </c>
      <c r="I917" s="4">
        <f t="shared" si="57"/>
        <v>0</v>
      </c>
      <c r="J917" s="25">
        <f t="shared" si="55"/>
        <v>29</v>
      </c>
    </row>
    <row r="918" spans="1:10" ht="16.95" customHeight="1">
      <c r="A918" s="75">
        <v>25</v>
      </c>
      <c r="B918" s="80" t="s">
        <v>115</v>
      </c>
      <c r="C918" s="77" t="s">
        <v>48</v>
      </c>
      <c r="D918" s="78">
        <v>1</v>
      </c>
      <c r="E918" s="79"/>
      <c r="F918" s="79" t="e">
        <f t="shared" si="56"/>
        <v>#REF!</v>
      </c>
      <c r="G918" s="2"/>
      <c r="H918" s="37">
        <v>99394</v>
      </c>
      <c r="I918" s="4">
        <f t="shared" si="57"/>
        <v>0</v>
      </c>
      <c r="J918" s="25">
        <f t="shared" si="55"/>
        <v>29</v>
      </c>
    </row>
    <row r="919" spans="1:10" ht="34.950000000000003" customHeight="1">
      <c r="A919" s="75">
        <v>26</v>
      </c>
      <c r="B919" s="80" t="s">
        <v>116</v>
      </c>
      <c r="C919" s="77" t="s">
        <v>48</v>
      </c>
      <c r="D919" s="78">
        <v>1</v>
      </c>
      <c r="E919" s="79"/>
      <c r="F919" s="79" t="e">
        <f t="shared" si="56"/>
        <v>#REF!</v>
      </c>
      <c r="G919" s="2"/>
      <c r="H919" s="37">
        <v>21334</v>
      </c>
      <c r="I919" s="4">
        <f t="shared" si="57"/>
        <v>0</v>
      </c>
      <c r="J919" s="25">
        <f t="shared" si="55"/>
        <v>29</v>
      </c>
    </row>
    <row r="920" spans="1:10" ht="16.95" customHeight="1">
      <c r="A920" s="75">
        <v>27</v>
      </c>
      <c r="B920" s="80" t="s">
        <v>117</v>
      </c>
      <c r="C920" s="77" t="s">
        <v>48</v>
      </c>
      <c r="D920" s="78">
        <v>1</v>
      </c>
      <c r="E920" s="79"/>
      <c r="F920" s="79" t="e">
        <f t="shared" si="56"/>
        <v>#REF!</v>
      </c>
      <c r="G920" s="2"/>
      <c r="H920" s="37">
        <v>29620</v>
      </c>
      <c r="I920" s="4">
        <f t="shared" si="57"/>
        <v>0</v>
      </c>
      <c r="J920" s="25">
        <f t="shared" si="55"/>
        <v>29</v>
      </c>
    </row>
    <row r="921" spans="1:10" ht="16.95" customHeight="1">
      <c r="A921" s="75">
        <v>28</v>
      </c>
      <c r="B921" s="80" t="s">
        <v>118</v>
      </c>
      <c r="C921" s="77" t="s">
        <v>48</v>
      </c>
      <c r="D921" s="78">
        <v>1</v>
      </c>
      <c r="E921" s="79"/>
      <c r="F921" s="79" t="e">
        <f t="shared" si="56"/>
        <v>#REF!</v>
      </c>
      <c r="G921" s="2"/>
      <c r="H921" s="37">
        <v>18506</v>
      </c>
      <c r="I921" s="4">
        <f t="shared" si="57"/>
        <v>0</v>
      </c>
      <c r="J921" s="25">
        <f t="shared" si="55"/>
        <v>29</v>
      </c>
    </row>
    <row r="922" spans="1:10" ht="16.95" customHeight="1">
      <c r="A922" s="75">
        <v>29</v>
      </c>
      <c r="B922" s="80" t="s">
        <v>119</v>
      </c>
      <c r="C922" s="77" t="s">
        <v>48</v>
      </c>
      <c r="D922" s="78">
        <v>1</v>
      </c>
      <c r="E922" s="79"/>
      <c r="F922" s="79" t="e">
        <f t="shared" si="56"/>
        <v>#REF!</v>
      </c>
      <c r="G922" s="2"/>
      <c r="H922" s="37">
        <v>34381</v>
      </c>
      <c r="I922" s="4">
        <f t="shared" si="57"/>
        <v>0</v>
      </c>
      <c r="J922" s="25">
        <f t="shared" si="55"/>
        <v>29</v>
      </c>
    </row>
    <row r="923" spans="1:10" ht="16.95" customHeight="1">
      <c r="A923" s="75" t="s">
        <v>79</v>
      </c>
      <c r="B923" s="80" t="s">
        <v>80</v>
      </c>
      <c r="C923" s="77" t="s">
        <v>48</v>
      </c>
      <c r="D923" s="78">
        <v>1</v>
      </c>
      <c r="E923" s="79">
        <f t="shared" ref="E923:E926" si="58">1/120</f>
        <v>8.3333333333333332E-3</v>
      </c>
      <c r="F923" s="79" t="e">
        <f t="shared" si="56"/>
        <v>#REF!</v>
      </c>
      <c r="G923" s="2"/>
      <c r="H923" s="37">
        <v>21395</v>
      </c>
      <c r="I923" s="4">
        <f t="shared" si="57"/>
        <v>178.29166666666666</v>
      </c>
      <c r="J923" s="25">
        <f t="shared" si="55"/>
        <v>29</v>
      </c>
    </row>
    <row r="924" spans="1:10" ht="16.95" customHeight="1">
      <c r="A924" s="75" t="s">
        <v>81</v>
      </c>
      <c r="B924" s="80" t="s">
        <v>82</v>
      </c>
      <c r="C924" s="77" t="s">
        <v>48</v>
      </c>
      <c r="D924" s="78">
        <v>1</v>
      </c>
      <c r="E924" s="79">
        <f t="shared" si="58"/>
        <v>8.3333333333333332E-3</v>
      </c>
      <c r="F924" s="79" t="e">
        <f t="shared" si="56"/>
        <v>#REF!</v>
      </c>
      <c r="G924" s="2"/>
      <c r="H924" s="37">
        <v>21395</v>
      </c>
      <c r="I924" s="4">
        <f t="shared" si="57"/>
        <v>178.29166666666666</v>
      </c>
      <c r="J924" s="25">
        <f t="shared" si="55"/>
        <v>29</v>
      </c>
    </row>
    <row r="925" spans="1:10" ht="16.95" customHeight="1">
      <c r="A925" s="75" t="s">
        <v>83</v>
      </c>
      <c r="B925" s="80" t="s">
        <v>84</v>
      </c>
      <c r="C925" s="77" t="s">
        <v>48</v>
      </c>
      <c r="D925" s="78">
        <v>1</v>
      </c>
      <c r="E925" s="79">
        <f t="shared" si="58"/>
        <v>8.3333333333333332E-3</v>
      </c>
      <c r="F925" s="79" t="e">
        <f t="shared" si="56"/>
        <v>#REF!</v>
      </c>
      <c r="G925" s="2"/>
      <c r="H925" s="37">
        <v>149765</v>
      </c>
      <c r="I925" s="4">
        <f t="shared" si="57"/>
        <v>1248.0416666666667</v>
      </c>
      <c r="J925" s="25">
        <f t="shared" si="55"/>
        <v>29</v>
      </c>
    </row>
    <row r="926" spans="1:10" ht="16.95" customHeight="1">
      <c r="A926" s="75" t="s">
        <v>85</v>
      </c>
      <c r="B926" s="80" t="s">
        <v>86</v>
      </c>
      <c r="C926" s="77" t="s">
        <v>48</v>
      </c>
      <c r="D926" s="78">
        <v>1</v>
      </c>
      <c r="E926" s="79">
        <f t="shared" si="58"/>
        <v>8.3333333333333332E-3</v>
      </c>
      <c r="F926" s="79" t="e">
        <f t="shared" si="56"/>
        <v>#REF!</v>
      </c>
      <c r="G926" s="2"/>
      <c r="H926" s="37">
        <v>6996</v>
      </c>
      <c r="I926" s="4">
        <f t="shared" si="57"/>
        <v>58.3</v>
      </c>
      <c r="J926" s="25">
        <f t="shared" si="55"/>
        <v>29</v>
      </c>
    </row>
    <row r="927" spans="1:10" ht="16.95" customHeight="1">
      <c r="A927" s="75" t="s">
        <v>87</v>
      </c>
      <c r="B927" s="80" t="s">
        <v>88</v>
      </c>
      <c r="C927" s="77" t="s">
        <v>48</v>
      </c>
      <c r="D927" s="78">
        <v>1</v>
      </c>
      <c r="E927" s="79">
        <f>1/120</f>
        <v>8.3333333333333332E-3</v>
      </c>
      <c r="F927" s="79" t="e">
        <f t="shared" si="56"/>
        <v>#REF!</v>
      </c>
      <c r="G927" s="2"/>
      <c r="H927" s="37">
        <v>116952</v>
      </c>
      <c r="I927" s="4">
        <f t="shared" si="57"/>
        <v>974.6</v>
      </c>
      <c r="J927" s="25">
        <f t="shared" si="55"/>
        <v>29</v>
      </c>
    </row>
    <row r="928" spans="1:10" ht="16.95" customHeight="1">
      <c r="A928" s="95" t="s">
        <v>23</v>
      </c>
      <c r="B928" s="95"/>
      <c r="C928" s="50"/>
      <c r="D928" s="50"/>
      <c r="E928" s="50"/>
      <c r="F928" s="50"/>
      <c r="G928" s="50"/>
      <c r="H928" s="3" t="s">
        <v>24</v>
      </c>
      <c r="I928" s="5">
        <f>SUM(I893:I927)</f>
        <v>2637.5250000000001</v>
      </c>
      <c r="J928" s="25">
        <f t="shared" si="55"/>
        <v>29</v>
      </c>
    </row>
    <row r="929" spans="1:10" ht="16.95" customHeight="1">
      <c r="A929" s="96" t="s">
        <v>25</v>
      </c>
      <c r="B929" s="96"/>
      <c r="C929" s="50"/>
      <c r="D929" s="50"/>
      <c r="E929" s="50"/>
      <c r="F929" s="50"/>
      <c r="G929" s="50"/>
      <c r="J929" s="25">
        <f t="shared" si="55"/>
        <v>29</v>
      </c>
    </row>
    <row r="930" spans="1:10" ht="16.95" customHeight="1">
      <c r="A930" s="96" t="s">
        <v>26</v>
      </c>
      <c r="B930" s="96"/>
      <c r="C930" s="50"/>
      <c r="D930" s="50"/>
      <c r="E930" s="50"/>
      <c r="F930" s="50"/>
      <c r="G930" s="50"/>
      <c r="J930" s="25">
        <f t="shared" si="55"/>
        <v>29</v>
      </c>
    </row>
    <row r="931" spans="1:10" ht="16.95" customHeight="1">
      <c r="A931" s="95" t="s">
        <v>27</v>
      </c>
      <c r="B931" s="95"/>
      <c r="C931" s="95"/>
      <c r="D931" s="95"/>
      <c r="E931" s="95"/>
      <c r="F931" s="95"/>
      <c r="G931" s="95"/>
      <c r="J931" s="25">
        <f t="shared" si="55"/>
        <v>29</v>
      </c>
    </row>
    <row r="932" spans="1:10" ht="16.95" customHeight="1">
      <c r="A932" s="94" t="s">
        <v>28</v>
      </c>
      <c r="B932" s="94"/>
      <c r="C932" s="51" t="s">
        <v>29</v>
      </c>
      <c r="D932" s="51" t="s">
        <v>30</v>
      </c>
      <c r="E932" s="51" t="s">
        <v>18</v>
      </c>
      <c r="F932" s="51" t="s">
        <v>31</v>
      </c>
      <c r="G932" s="51" t="s">
        <v>20</v>
      </c>
      <c r="J932" s="25">
        <f t="shared" si="55"/>
        <v>29</v>
      </c>
    </row>
    <row r="933" spans="1:10" ht="16.95" customHeight="1">
      <c r="A933" s="96"/>
      <c r="B933" s="96"/>
      <c r="C933" s="50"/>
      <c r="D933" s="50"/>
      <c r="E933" s="50"/>
      <c r="F933" s="50"/>
      <c r="G933" s="51"/>
      <c r="J933" s="25">
        <f t="shared" si="55"/>
        <v>29</v>
      </c>
    </row>
    <row r="934" spans="1:10" ht="16.95" customHeight="1">
      <c r="A934" s="97"/>
      <c r="B934" s="97"/>
      <c r="C934" s="50"/>
      <c r="D934" s="50"/>
      <c r="E934" s="50"/>
      <c r="F934" s="51"/>
      <c r="G934" s="51"/>
      <c r="J934" s="25">
        <f t="shared" si="55"/>
        <v>29</v>
      </c>
    </row>
    <row r="935" spans="1:10" ht="16.95" customHeight="1">
      <c r="A935" s="95" t="s">
        <v>32</v>
      </c>
      <c r="B935" s="95"/>
      <c r="C935" s="95"/>
      <c r="D935" s="95"/>
      <c r="E935" s="95"/>
      <c r="F935" s="95"/>
      <c r="G935" s="95"/>
      <c r="J935" s="25">
        <f t="shared" si="55"/>
        <v>30</v>
      </c>
    </row>
    <row r="936" spans="1:10" ht="16.95" customHeight="1">
      <c r="A936" s="51" t="s">
        <v>33</v>
      </c>
      <c r="B936" s="51" t="s">
        <v>34</v>
      </c>
      <c r="C936" s="94" t="s">
        <v>35</v>
      </c>
      <c r="D936" s="94"/>
      <c r="E936" s="51" t="s">
        <v>36</v>
      </c>
      <c r="F936" s="51" t="s">
        <v>37</v>
      </c>
      <c r="G936" s="51" t="s">
        <v>38</v>
      </c>
      <c r="J936" s="25">
        <f t="shared" si="55"/>
        <v>30</v>
      </c>
    </row>
    <row r="937" spans="1:10" ht="16.95" customHeight="1">
      <c r="A937" s="51" t="s">
        <v>39</v>
      </c>
      <c r="B937" s="6"/>
      <c r="C937" s="94" t="e">
        <f>B937+C874</f>
        <v>#REF!</v>
      </c>
      <c r="D937" s="94"/>
      <c r="E937" s="51"/>
      <c r="F937" s="24"/>
      <c r="G937" s="24"/>
      <c r="J937" s="25">
        <f t="shared" si="55"/>
        <v>30</v>
      </c>
    </row>
    <row r="938" spans="1:10" ht="16.95" customHeight="1">
      <c r="A938" s="51" t="s">
        <v>40</v>
      </c>
      <c r="B938" s="6"/>
      <c r="C938" s="94" t="e">
        <f>B938+C875</f>
        <v>#REF!</v>
      </c>
      <c r="D938" s="94"/>
      <c r="E938" s="51"/>
      <c r="F938" s="24"/>
      <c r="G938" s="24"/>
      <c r="J938" s="25">
        <f t="shared" si="55"/>
        <v>30</v>
      </c>
    </row>
    <row r="939" spans="1:10" ht="36.6" customHeight="1">
      <c r="A939" s="95" t="s">
        <v>41</v>
      </c>
      <c r="B939" s="95"/>
      <c r="C939" s="95"/>
      <c r="D939" s="95"/>
      <c r="E939" s="95"/>
      <c r="F939" s="95"/>
      <c r="G939" s="95"/>
      <c r="J939" s="25">
        <f t="shared" si="55"/>
        <v>30</v>
      </c>
    </row>
    <row r="940" spans="1:10" ht="90" customHeight="1">
      <c r="A940" s="92" t="s">
        <v>42</v>
      </c>
      <c r="B940" s="92"/>
      <c r="C940" s="92"/>
      <c r="D940" s="92"/>
      <c r="E940" s="92"/>
      <c r="F940" s="92"/>
      <c r="G940" s="92"/>
      <c r="J940" s="25">
        <f t="shared" si="55"/>
        <v>30</v>
      </c>
    </row>
    <row r="941" spans="1:10" ht="16.95" customHeight="1">
      <c r="A941" s="95" t="s">
        <v>43</v>
      </c>
      <c r="B941" s="95"/>
      <c r="C941" s="95"/>
      <c r="D941" s="95"/>
      <c r="E941" s="95"/>
      <c r="F941" s="95"/>
      <c r="G941" s="95"/>
      <c r="J941" s="25">
        <f t="shared" si="55"/>
        <v>30</v>
      </c>
    </row>
    <row r="942" spans="1:10" ht="16.95" customHeight="1">
      <c r="A942" s="95" t="s">
        <v>44</v>
      </c>
      <c r="B942" s="95"/>
      <c r="C942" s="95"/>
      <c r="D942" s="95"/>
      <c r="E942" s="95"/>
      <c r="F942" s="95"/>
      <c r="G942" s="95"/>
      <c r="J942" s="25">
        <f t="shared" si="55"/>
        <v>30</v>
      </c>
    </row>
    <row r="943" spans="1:10" ht="16.95" customHeight="1">
      <c r="A943" s="91" t="s">
        <v>64</v>
      </c>
      <c r="B943" s="91"/>
      <c r="C943" s="91"/>
      <c r="D943" s="91"/>
      <c r="E943" s="91"/>
      <c r="F943" s="91"/>
      <c r="G943" s="91"/>
      <c r="J943" s="25">
        <f t="shared" si="55"/>
        <v>30</v>
      </c>
    </row>
    <row r="944" spans="1:10" ht="120.6" customHeight="1">
      <c r="A944" s="92" t="s">
        <v>45</v>
      </c>
      <c r="B944" s="92"/>
      <c r="C944" s="92"/>
      <c r="D944" s="92"/>
      <c r="E944" s="92"/>
      <c r="F944" s="92"/>
      <c r="G944" s="92"/>
      <c r="J944" s="25">
        <f t="shared" si="55"/>
        <v>30</v>
      </c>
    </row>
    <row r="945" spans="1:10" ht="140.4" customHeight="1">
      <c r="A945" s="93" t="s">
        <v>46</v>
      </c>
      <c r="B945" s="93"/>
      <c r="C945" s="93"/>
      <c r="D945" s="93"/>
      <c r="E945" s="93"/>
      <c r="F945" s="93"/>
      <c r="G945" s="93"/>
      <c r="J945" s="25">
        <f t="shared" si="55"/>
        <v>30</v>
      </c>
    </row>
    <row r="946" spans="1:10" ht="37.200000000000003" customHeight="1">
      <c r="A946" s="103" t="s">
        <v>0</v>
      </c>
      <c r="B946" s="103"/>
      <c r="C946" s="103"/>
      <c r="D946" s="103"/>
      <c r="E946" s="103"/>
      <c r="F946" s="103"/>
      <c r="G946" s="103"/>
      <c r="J946" s="25">
        <f t="shared" si="55"/>
        <v>31</v>
      </c>
    </row>
    <row r="947" spans="1:10" ht="16.95" customHeight="1">
      <c r="A947" s="1" t="s">
        <v>1</v>
      </c>
      <c r="B947" s="104">
        <f>B884+1</f>
        <v>17</v>
      </c>
      <c r="C947" s="104"/>
      <c r="D947" s="104"/>
      <c r="E947" s="104"/>
      <c r="F947" s="104"/>
      <c r="G947" s="104"/>
      <c r="J947" s="25">
        <f t="shared" si="55"/>
        <v>31</v>
      </c>
    </row>
    <row r="948" spans="1:10" ht="16.95" customHeight="1">
      <c r="A948" s="1" t="s">
        <v>2</v>
      </c>
      <c r="B948" s="105" t="s">
        <v>63</v>
      </c>
      <c r="C948" s="105"/>
      <c r="D948" s="105"/>
      <c r="E948" s="106">
        <f>E885+1</f>
        <v>46219</v>
      </c>
      <c r="F948" s="106"/>
      <c r="G948" s="106"/>
      <c r="J948" s="25">
        <f t="shared" si="55"/>
        <v>31</v>
      </c>
    </row>
    <row r="949" spans="1:10" ht="16.95" customHeight="1">
      <c r="A949" s="53" t="s">
        <v>3</v>
      </c>
      <c r="B949" s="2" t="s">
        <v>67</v>
      </c>
      <c r="C949" s="98" t="s">
        <v>4</v>
      </c>
      <c r="D949" s="98"/>
      <c r="E949" s="98" t="s">
        <v>47</v>
      </c>
      <c r="F949" s="98"/>
      <c r="G949" s="98"/>
      <c r="J949" s="25">
        <f t="shared" si="55"/>
        <v>31</v>
      </c>
    </row>
    <row r="950" spans="1:10" ht="16.95" customHeight="1">
      <c r="A950" s="53" t="s">
        <v>5</v>
      </c>
      <c r="B950" s="54">
        <v>120</v>
      </c>
      <c r="C950" s="98" t="s">
        <v>6</v>
      </c>
      <c r="D950" s="98"/>
      <c r="E950" s="98" t="s">
        <v>123</v>
      </c>
      <c r="F950" s="98"/>
      <c r="G950" s="98"/>
      <c r="J950" s="25">
        <f t="shared" si="55"/>
        <v>31</v>
      </c>
    </row>
    <row r="951" spans="1:10" ht="16.95" customHeight="1">
      <c r="A951" s="53" t="s">
        <v>7</v>
      </c>
      <c r="B951" s="54">
        <f>B947</f>
        <v>17</v>
      </c>
      <c r="C951" s="100" t="s">
        <v>8</v>
      </c>
      <c r="D951" s="100"/>
      <c r="E951" s="101">
        <f>B950-B951</f>
        <v>103</v>
      </c>
      <c r="F951" s="101"/>
      <c r="G951" s="101"/>
      <c r="J951" s="25">
        <f t="shared" si="55"/>
        <v>31</v>
      </c>
    </row>
    <row r="952" spans="1:10" ht="16.95" customHeight="1">
      <c r="A952" s="53" t="s">
        <v>9</v>
      </c>
      <c r="B952" s="55">
        <v>46204</v>
      </c>
      <c r="C952" s="98" t="s">
        <v>10</v>
      </c>
      <c r="D952" s="98"/>
      <c r="E952" s="102">
        <f>B952+B950-1</f>
        <v>46323</v>
      </c>
      <c r="F952" s="102"/>
      <c r="G952" s="102"/>
      <c r="J952" s="25">
        <f t="shared" si="55"/>
        <v>31</v>
      </c>
    </row>
    <row r="953" spans="1:10" ht="16.95" customHeight="1">
      <c r="A953" s="53" t="s">
        <v>11</v>
      </c>
      <c r="B953" s="56" t="e">
        <f>HLOOKUP(B947,進度表!$Q$2:$Z$3,2,1)+B890</f>
        <v>#REF!</v>
      </c>
      <c r="C953" s="98" t="s">
        <v>12</v>
      </c>
      <c r="D953" s="98"/>
      <c r="E953" s="99" t="e">
        <f>I991/I953+E890</f>
        <v>#REF!</v>
      </c>
      <c r="F953" s="99"/>
      <c r="G953" s="99"/>
      <c r="H953" s="3" t="s">
        <v>62</v>
      </c>
      <c r="I953" s="1">
        <v>2456000</v>
      </c>
      <c r="J953" s="25">
        <f t="shared" si="55"/>
        <v>31</v>
      </c>
    </row>
    <row r="954" spans="1:10" ht="16.95" customHeight="1">
      <c r="A954" s="98" t="s">
        <v>13</v>
      </c>
      <c r="B954" s="98"/>
      <c r="C954" s="98"/>
      <c r="D954" s="98"/>
      <c r="E954" s="98"/>
      <c r="F954" s="98"/>
      <c r="G954" s="98"/>
      <c r="J954" s="25">
        <f t="shared" si="55"/>
        <v>31</v>
      </c>
    </row>
    <row r="955" spans="1:10" ht="16.95" customHeight="1">
      <c r="A955" s="52" t="s">
        <v>14</v>
      </c>
      <c r="B955" s="52" t="s">
        <v>15</v>
      </c>
      <c r="C955" s="52" t="s">
        <v>16</v>
      </c>
      <c r="D955" s="52" t="s">
        <v>17</v>
      </c>
      <c r="E955" s="52" t="s">
        <v>18</v>
      </c>
      <c r="F955" s="52" t="s">
        <v>19</v>
      </c>
      <c r="G955" s="52" t="s">
        <v>20</v>
      </c>
      <c r="H955" s="3" t="s">
        <v>21</v>
      </c>
      <c r="I955" s="3" t="s">
        <v>22</v>
      </c>
      <c r="J955" s="25">
        <f t="shared" ref="J955:J1018" si="59">J892+2</f>
        <v>31</v>
      </c>
    </row>
    <row r="956" spans="1:10" ht="16.95" customHeight="1">
      <c r="A956" s="75" t="s">
        <v>65</v>
      </c>
      <c r="B956" s="76" t="s">
        <v>69</v>
      </c>
      <c r="C956" s="77"/>
      <c r="D956" s="78"/>
      <c r="E956" s="79"/>
      <c r="F956" s="79"/>
      <c r="G956" s="2"/>
      <c r="H956" s="37"/>
      <c r="I956" s="4"/>
      <c r="J956" s="25">
        <f t="shared" si="59"/>
        <v>31</v>
      </c>
    </row>
    <row r="957" spans="1:10" ht="34.950000000000003" customHeight="1">
      <c r="A957" s="75">
        <v>1</v>
      </c>
      <c r="B957" s="80" t="s">
        <v>91</v>
      </c>
      <c r="C957" s="77" t="s">
        <v>48</v>
      </c>
      <c r="D957" s="78">
        <v>1</v>
      </c>
      <c r="E957" s="79"/>
      <c r="F957" s="79" t="e">
        <f t="shared" ref="F957:F990" si="60">E957+F894</f>
        <v>#REF!</v>
      </c>
      <c r="G957" s="2"/>
      <c r="H957" s="37">
        <v>10508</v>
      </c>
      <c r="I957" s="4">
        <f>H957*E957</f>
        <v>0</v>
      </c>
      <c r="J957" s="25">
        <f t="shared" si="59"/>
        <v>31</v>
      </c>
    </row>
    <row r="958" spans="1:10" ht="34.799999999999997" customHeight="1">
      <c r="A958" s="75">
        <v>2</v>
      </c>
      <c r="B958" s="80" t="s">
        <v>92</v>
      </c>
      <c r="C958" s="77" t="s">
        <v>48</v>
      </c>
      <c r="D958" s="78">
        <v>1</v>
      </c>
      <c r="E958" s="79"/>
      <c r="F958" s="79" t="e">
        <f t="shared" si="60"/>
        <v>#REF!</v>
      </c>
      <c r="G958" s="2"/>
      <c r="H958" s="37">
        <v>13223</v>
      </c>
      <c r="I958" s="4">
        <f>H958*E958</f>
        <v>0</v>
      </c>
      <c r="J958" s="25">
        <f t="shared" si="59"/>
        <v>31</v>
      </c>
    </row>
    <row r="959" spans="1:10" ht="53.4" customHeight="1">
      <c r="A959" s="75">
        <v>3</v>
      </c>
      <c r="B959" s="80" t="s">
        <v>93</v>
      </c>
      <c r="C959" s="77" t="s">
        <v>48</v>
      </c>
      <c r="D959" s="78">
        <v>1</v>
      </c>
      <c r="E959" s="79"/>
      <c r="F959" s="79" t="e">
        <f t="shared" si="60"/>
        <v>#REF!</v>
      </c>
      <c r="G959" s="2"/>
      <c r="H959" s="37">
        <v>310497</v>
      </c>
      <c r="I959" s="4">
        <f t="shared" ref="I959:I990" si="61">H959*E959</f>
        <v>0</v>
      </c>
      <c r="J959" s="25">
        <f t="shared" si="59"/>
        <v>31</v>
      </c>
    </row>
    <row r="960" spans="1:10" ht="16.95" customHeight="1">
      <c r="A960" s="75">
        <v>4</v>
      </c>
      <c r="B960" s="80" t="s">
        <v>94</v>
      </c>
      <c r="C960" s="77" t="s">
        <v>48</v>
      </c>
      <c r="D960" s="78">
        <v>1</v>
      </c>
      <c r="E960" s="79"/>
      <c r="F960" s="79" t="e">
        <f t="shared" si="60"/>
        <v>#REF!</v>
      </c>
      <c r="G960" s="2"/>
      <c r="H960" s="37">
        <v>8375</v>
      </c>
      <c r="I960" s="4">
        <f t="shared" si="61"/>
        <v>0</v>
      </c>
      <c r="J960" s="25">
        <f t="shared" si="59"/>
        <v>31</v>
      </c>
    </row>
    <row r="961" spans="1:10" ht="16.95" customHeight="1">
      <c r="A961" s="75">
        <v>5</v>
      </c>
      <c r="B961" s="80" t="s">
        <v>95</v>
      </c>
      <c r="C961" s="77" t="s">
        <v>48</v>
      </c>
      <c r="D961" s="78">
        <v>1</v>
      </c>
      <c r="E961" s="79"/>
      <c r="F961" s="79" t="e">
        <f t="shared" si="60"/>
        <v>#REF!</v>
      </c>
      <c r="G961" s="2"/>
      <c r="H961" s="37">
        <v>51618</v>
      </c>
      <c r="I961" s="4">
        <f t="shared" si="61"/>
        <v>0</v>
      </c>
      <c r="J961" s="25">
        <f t="shared" si="59"/>
        <v>31</v>
      </c>
    </row>
    <row r="962" spans="1:10" ht="16.95" customHeight="1">
      <c r="A962" s="75">
        <v>6</v>
      </c>
      <c r="B962" s="80" t="s">
        <v>96</v>
      </c>
      <c r="C962" s="77" t="s">
        <v>50</v>
      </c>
      <c r="D962" s="78">
        <v>11.55</v>
      </c>
      <c r="E962" s="79"/>
      <c r="F962" s="79" t="e">
        <f t="shared" si="60"/>
        <v>#REF!</v>
      </c>
      <c r="G962" s="2"/>
      <c r="H962" s="37">
        <v>1188</v>
      </c>
      <c r="I962" s="4">
        <f t="shared" si="61"/>
        <v>0</v>
      </c>
      <c r="J962" s="25">
        <f t="shared" si="59"/>
        <v>31</v>
      </c>
    </row>
    <row r="963" spans="1:10" ht="34.950000000000003" customHeight="1">
      <c r="A963" s="75">
        <v>7</v>
      </c>
      <c r="B963" s="80" t="s">
        <v>97</v>
      </c>
      <c r="C963" s="77" t="s">
        <v>48</v>
      </c>
      <c r="D963" s="78">
        <v>1</v>
      </c>
      <c r="E963" s="79"/>
      <c r="F963" s="79" t="e">
        <f t="shared" si="60"/>
        <v>#REF!</v>
      </c>
      <c r="G963" s="2"/>
      <c r="H963" s="37">
        <v>21157</v>
      </c>
      <c r="I963" s="4">
        <f t="shared" si="61"/>
        <v>0</v>
      </c>
      <c r="J963" s="25">
        <f t="shared" si="59"/>
        <v>31</v>
      </c>
    </row>
    <row r="964" spans="1:10" ht="16.95" customHeight="1">
      <c r="A964" s="75">
        <v>8</v>
      </c>
      <c r="B964" s="80" t="s">
        <v>98</v>
      </c>
      <c r="C964" s="77" t="s">
        <v>50</v>
      </c>
      <c r="D964" s="78">
        <v>387</v>
      </c>
      <c r="E964" s="79"/>
      <c r="F964" s="79" t="e">
        <f t="shared" si="60"/>
        <v>#REF!</v>
      </c>
      <c r="G964" s="2"/>
      <c r="H964" s="37">
        <v>705</v>
      </c>
      <c r="I964" s="4">
        <f t="shared" si="61"/>
        <v>0</v>
      </c>
      <c r="J964" s="25">
        <f t="shared" si="59"/>
        <v>31</v>
      </c>
    </row>
    <row r="965" spans="1:10" ht="16.95" customHeight="1">
      <c r="A965" s="75">
        <v>9</v>
      </c>
      <c r="B965" s="80" t="s">
        <v>99</v>
      </c>
      <c r="C965" s="77" t="s">
        <v>50</v>
      </c>
      <c r="D965" s="78">
        <v>170</v>
      </c>
      <c r="E965" s="79"/>
      <c r="F965" s="79" t="e">
        <f t="shared" si="60"/>
        <v>#REF!</v>
      </c>
      <c r="G965" s="2"/>
      <c r="H965" s="37">
        <v>617</v>
      </c>
      <c r="I965" s="4">
        <f t="shared" si="61"/>
        <v>0</v>
      </c>
      <c r="J965" s="25">
        <f t="shared" si="59"/>
        <v>31</v>
      </c>
    </row>
    <row r="966" spans="1:10" ht="16.95" customHeight="1">
      <c r="A966" s="75">
        <v>10</v>
      </c>
      <c r="B966" s="80" t="s">
        <v>100</v>
      </c>
      <c r="C966" s="77" t="s">
        <v>66</v>
      </c>
      <c r="D966" s="78">
        <v>15</v>
      </c>
      <c r="E966" s="79"/>
      <c r="F966" s="79" t="e">
        <f t="shared" si="60"/>
        <v>#REF!</v>
      </c>
      <c r="G966" s="2"/>
      <c r="H966" s="37">
        <v>617</v>
      </c>
      <c r="I966" s="4">
        <f t="shared" si="61"/>
        <v>0</v>
      </c>
      <c r="J966" s="25">
        <f t="shared" si="59"/>
        <v>31</v>
      </c>
    </row>
    <row r="967" spans="1:10" ht="16.95" customHeight="1">
      <c r="A967" s="75">
        <v>11</v>
      </c>
      <c r="B967" s="80" t="s">
        <v>101</v>
      </c>
      <c r="C967" s="77" t="s">
        <v>50</v>
      </c>
      <c r="D967" s="78">
        <v>75</v>
      </c>
      <c r="E967" s="79"/>
      <c r="F967" s="79" t="e">
        <f t="shared" si="60"/>
        <v>#REF!</v>
      </c>
      <c r="G967" s="2"/>
      <c r="H967" s="37">
        <v>1146</v>
      </c>
      <c r="I967" s="4">
        <f t="shared" si="61"/>
        <v>0</v>
      </c>
      <c r="J967" s="25">
        <f t="shared" si="59"/>
        <v>31</v>
      </c>
    </row>
    <row r="968" spans="1:10" ht="16.95" customHeight="1">
      <c r="A968" s="75">
        <v>12</v>
      </c>
      <c r="B968" s="80" t="s">
        <v>102</v>
      </c>
      <c r="C968" s="77" t="s">
        <v>50</v>
      </c>
      <c r="D968" s="78">
        <v>5</v>
      </c>
      <c r="E968" s="79"/>
      <c r="F968" s="79" t="e">
        <f t="shared" si="60"/>
        <v>#REF!</v>
      </c>
      <c r="G968" s="2"/>
      <c r="H968" s="37">
        <v>1455</v>
      </c>
      <c r="I968" s="4">
        <f t="shared" si="61"/>
        <v>0</v>
      </c>
      <c r="J968" s="25">
        <f t="shared" si="59"/>
        <v>31</v>
      </c>
    </row>
    <row r="969" spans="1:10" ht="16.95" customHeight="1">
      <c r="A969" s="75">
        <v>13</v>
      </c>
      <c r="B969" s="80" t="s">
        <v>103</v>
      </c>
      <c r="C969" s="77" t="s">
        <v>50</v>
      </c>
      <c r="D969" s="78">
        <v>217</v>
      </c>
      <c r="E969" s="79"/>
      <c r="F969" s="79" t="e">
        <f t="shared" si="60"/>
        <v>#REF!</v>
      </c>
      <c r="G969" s="2"/>
      <c r="H969" s="37">
        <v>1410</v>
      </c>
      <c r="I969" s="4">
        <f t="shared" si="61"/>
        <v>0</v>
      </c>
      <c r="J969" s="25">
        <f t="shared" si="59"/>
        <v>31</v>
      </c>
    </row>
    <row r="970" spans="1:10" ht="16.95" customHeight="1">
      <c r="A970" s="75">
        <v>14</v>
      </c>
      <c r="B970" s="80" t="s">
        <v>104</v>
      </c>
      <c r="C970" s="77" t="s">
        <v>49</v>
      </c>
      <c r="D970" s="78">
        <v>84</v>
      </c>
      <c r="E970" s="79"/>
      <c r="F970" s="79" t="e">
        <f t="shared" si="60"/>
        <v>#REF!</v>
      </c>
      <c r="G970" s="2"/>
      <c r="H970" s="37">
        <v>529</v>
      </c>
      <c r="I970" s="4">
        <f t="shared" si="61"/>
        <v>0</v>
      </c>
      <c r="J970" s="25">
        <f t="shared" si="59"/>
        <v>31</v>
      </c>
    </row>
    <row r="971" spans="1:10" ht="16.95" customHeight="1">
      <c r="A971" s="75">
        <v>15</v>
      </c>
      <c r="B971" s="80" t="s">
        <v>105</v>
      </c>
      <c r="C971" s="77" t="s">
        <v>50</v>
      </c>
      <c r="D971" s="78">
        <v>1</v>
      </c>
      <c r="E971" s="79"/>
      <c r="F971" s="79" t="e">
        <f t="shared" si="60"/>
        <v>#REF!</v>
      </c>
      <c r="G971" s="2"/>
      <c r="H971" s="37">
        <v>1146</v>
      </c>
      <c r="I971" s="4">
        <f t="shared" si="61"/>
        <v>0</v>
      </c>
      <c r="J971" s="25">
        <f t="shared" si="59"/>
        <v>31</v>
      </c>
    </row>
    <row r="972" spans="1:10" ht="34.799999999999997" customHeight="1">
      <c r="A972" s="75">
        <v>16</v>
      </c>
      <c r="B972" s="80" t="s">
        <v>106</v>
      </c>
      <c r="C972" s="77" t="s">
        <v>50</v>
      </c>
      <c r="D972" s="78">
        <v>314</v>
      </c>
      <c r="E972" s="79"/>
      <c r="F972" s="79" t="e">
        <f t="shared" si="60"/>
        <v>#REF!</v>
      </c>
      <c r="G972" s="2"/>
      <c r="H972" s="37">
        <v>185</v>
      </c>
      <c r="I972" s="4">
        <f t="shared" si="61"/>
        <v>0</v>
      </c>
      <c r="J972" s="25">
        <f t="shared" si="59"/>
        <v>31</v>
      </c>
    </row>
    <row r="973" spans="1:10" ht="16.95" customHeight="1">
      <c r="A973" s="75">
        <v>17</v>
      </c>
      <c r="B973" s="80" t="s">
        <v>107</v>
      </c>
      <c r="C973" s="77" t="s">
        <v>48</v>
      </c>
      <c r="D973" s="78">
        <v>1</v>
      </c>
      <c r="E973" s="79"/>
      <c r="F973" s="79" t="e">
        <f t="shared" si="60"/>
        <v>#REF!</v>
      </c>
      <c r="G973" s="2"/>
      <c r="H973" s="37">
        <v>89918</v>
      </c>
      <c r="I973" s="4">
        <f t="shared" si="61"/>
        <v>0</v>
      </c>
      <c r="J973" s="25">
        <f t="shared" si="59"/>
        <v>31</v>
      </c>
    </row>
    <row r="974" spans="1:10" ht="16.95" customHeight="1">
      <c r="A974" s="75">
        <v>18</v>
      </c>
      <c r="B974" s="80" t="s">
        <v>108</v>
      </c>
      <c r="C974" s="77" t="s">
        <v>120</v>
      </c>
      <c r="D974" s="78">
        <v>15</v>
      </c>
      <c r="E974" s="79"/>
      <c r="F974" s="79" t="e">
        <f t="shared" si="60"/>
        <v>#REF!</v>
      </c>
      <c r="G974" s="2"/>
      <c r="H974" s="37">
        <v>661</v>
      </c>
      <c r="I974" s="4">
        <f t="shared" si="61"/>
        <v>0</v>
      </c>
      <c r="J974" s="25">
        <f t="shared" si="59"/>
        <v>31</v>
      </c>
    </row>
    <row r="975" spans="1:10" ht="16.95" customHeight="1">
      <c r="A975" s="75">
        <v>19</v>
      </c>
      <c r="B975" s="80" t="s">
        <v>109</v>
      </c>
      <c r="C975" s="77" t="s">
        <v>50</v>
      </c>
      <c r="D975" s="78">
        <v>82</v>
      </c>
      <c r="E975" s="79"/>
      <c r="F975" s="79" t="e">
        <f t="shared" si="60"/>
        <v>#REF!</v>
      </c>
      <c r="G975" s="2"/>
      <c r="H975" s="37">
        <v>2909</v>
      </c>
      <c r="I975" s="4">
        <f t="shared" si="61"/>
        <v>0</v>
      </c>
      <c r="J975" s="25">
        <f t="shared" si="59"/>
        <v>31</v>
      </c>
    </row>
    <row r="976" spans="1:10" ht="16.95" customHeight="1">
      <c r="A976" s="75">
        <v>20</v>
      </c>
      <c r="B976" s="80" t="s">
        <v>110</v>
      </c>
      <c r="C976" s="77" t="s">
        <v>121</v>
      </c>
      <c r="D976" s="78">
        <v>12</v>
      </c>
      <c r="E976" s="79"/>
      <c r="F976" s="79" t="e">
        <f t="shared" si="60"/>
        <v>#REF!</v>
      </c>
      <c r="G976" s="2"/>
      <c r="H976" s="37">
        <v>882</v>
      </c>
      <c r="I976" s="4">
        <f t="shared" si="61"/>
        <v>0</v>
      </c>
      <c r="J976" s="25">
        <f t="shared" si="59"/>
        <v>31</v>
      </c>
    </row>
    <row r="977" spans="1:10" ht="16.95" customHeight="1">
      <c r="A977" s="77">
        <v>21</v>
      </c>
      <c r="B977" s="80" t="s">
        <v>111</v>
      </c>
      <c r="C977" s="77" t="s">
        <v>122</v>
      </c>
      <c r="D977" s="78">
        <v>3</v>
      </c>
      <c r="E977" s="79"/>
      <c r="F977" s="79" t="e">
        <f t="shared" si="60"/>
        <v>#REF!</v>
      </c>
      <c r="G977" s="2"/>
      <c r="H977" s="38">
        <v>1869</v>
      </c>
      <c r="I977" s="4">
        <f t="shared" si="61"/>
        <v>0</v>
      </c>
      <c r="J977" s="25">
        <f t="shared" si="59"/>
        <v>31</v>
      </c>
    </row>
    <row r="978" spans="1:10" ht="34.950000000000003" customHeight="1">
      <c r="A978" s="75">
        <v>22</v>
      </c>
      <c r="B978" s="80" t="s">
        <v>112</v>
      </c>
      <c r="C978" s="77" t="s">
        <v>48</v>
      </c>
      <c r="D978" s="78">
        <v>1</v>
      </c>
      <c r="E978" s="79"/>
      <c r="F978" s="79" t="e">
        <f t="shared" si="60"/>
        <v>#REF!</v>
      </c>
      <c r="G978" s="2"/>
      <c r="H978" s="37">
        <v>82206</v>
      </c>
      <c r="I978" s="4">
        <f t="shared" si="61"/>
        <v>0</v>
      </c>
      <c r="J978" s="25">
        <f t="shared" si="59"/>
        <v>31</v>
      </c>
    </row>
    <row r="979" spans="1:10" ht="16.95" customHeight="1">
      <c r="A979" s="75">
        <v>23</v>
      </c>
      <c r="B979" s="80" t="s">
        <v>113</v>
      </c>
      <c r="C979" s="77" t="s">
        <v>48</v>
      </c>
      <c r="D979" s="78">
        <v>1</v>
      </c>
      <c r="E979" s="79"/>
      <c r="F979" s="79" t="e">
        <f t="shared" si="60"/>
        <v>#REF!</v>
      </c>
      <c r="G979" s="2"/>
      <c r="H979" s="37">
        <v>142723</v>
      </c>
      <c r="I979" s="4">
        <f t="shared" si="61"/>
        <v>0</v>
      </c>
      <c r="J979" s="25">
        <f t="shared" si="59"/>
        <v>31</v>
      </c>
    </row>
    <row r="980" spans="1:10" ht="16.95" customHeight="1">
      <c r="A980" s="75">
        <v>24</v>
      </c>
      <c r="B980" s="80" t="s">
        <v>114</v>
      </c>
      <c r="C980" s="77" t="s">
        <v>48</v>
      </c>
      <c r="D980" s="78">
        <v>1</v>
      </c>
      <c r="E980" s="79"/>
      <c r="F980" s="79" t="e">
        <f t="shared" si="60"/>
        <v>#REF!</v>
      </c>
      <c r="G980" s="2"/>
      <c r="H980" s="37">
        <v>37290</v>
      </c>
      <c r="I980" s="4">
        <f t="shared" si="61"/>
        <v>0</v>
      </c>
      <c r="J980" s="25">
        <f t="shared" si="59"/>
        <v>31</v>
      </c>
    </row>
    <row r="981" spans="1:10" ht="16.95" customHeight="1">
      <c r="A981" s="75">
        <v>25</v>
      </c>
      <c r="B981" s="80" t="s">
        <v>115</v>
      </c>
      <c r="C981" s="77" t="s">
        <v>48</v>
      </c>
      <c r="D981" s="78">
        <v>1</v>
      </c>
      <c r="E981" s="79"/>
      <c r="F981" s="79" t="e">
        <f t="shared" si="60"/>
        <v>#REF!</v>
      </c>
      <c r="G981" s="2"/>
      <c r="H981" s="37">
        <v>99394</v>
      </c>
      <c r="I981" s="4">
        <f t="shared" si="61"/>
        <v>0</v>
      </c>
      <c r="J981" s="25">
        <f t="shared" si="59"/>
        <v>31</v>
      </c>
    </row>
    <row r="982" spans="1:10" ht="34.950000000000003" customHeight="1">
      <c r="A982" s="75">
        <v>26</v>
      </c>
      <c r="B982" s="80" t="s">
        <v>116</v>
      </c>
      <c r="C982" s="77" t="s">
        <v>48</v>
      </c>
      <c r="D982" s="78">
        <v>1</v>
      </c>
      <c r="E982" s="79"/>
      <c r="F982" s="79" t="e">
        <f t="shared" si="60"/>
        <v>#REF!</v>
      </c>
      <c r="G982" s="2"/>
      <c r="H982" s="37">
        <v>21334</v>
      </c>
      <c r="I982" s="4">
        <f t="shared" si="61"/>
        <v>0</v>
      </c>
      <c r="J982" s="25">
        <f t="shared" si="59"/>
        <v>31</v>
      </c>
    </row>
    <row r="983" spans="1:10" ht="16.95" customHeight="1">
      <c r="A983" s="75">
        <v>27</v>
      </c>
      <c r="B983" s="80" t="s">
        <v>117</v>
      </c>
      <c r="C983" s="77" t="s">
        <v>48</v>
      </c>
      <c r="D983" s="78">
        <v>1</v>
      </c>
      <c r="E983" s="79"/>
      <c r="F983" s="79" t="e">
        <f t="shared" si="60"/>
        <v>#REF!</v>
      </c>
      <c r="G983" s="2"/>
      <c r="H983" s="37">
        <v>29620</v>
      </c>
      <c r="I983" s="4">
        <f t="shared" si="61"/>
        <v>0</v>
      </c>
      <c r="J983" s="25">
        <f t="shared" si="59"/>
        <v>31</v>
      </c>
    </row>
    <row r="984" spans="1:10" ht="16.95" customHeight="1">
      <c r="A984" s="75">
        <v>28</v>
      </c>
      <c r="B984" s="80" t="s">
        <v>118</v>
      </c>
      <c r="C984" s="77" t="s">
        <v>48</v>
      </c>
      <c r="D984" s="78">
        <v>1</v>
      </c>
      <c r="E984" s="79"/>
      <c r="F984" s="79" t="e">
        <f t="shared" si="60"/>
        <v>#REF!</v>
      </c>
      <c r="G984" s="2"/>
      <c r="H984" s="37">
        <v>18506</v>
      </c>
      <c r="I984" s="4">
        <f t="shared" si="61"/>
        <v>0</v>
      </c>
      <c r="J984" s="25">
        <f t="shared" si="59"/>
        <v>31</v>
      </c>
    </row>
    <row r="985" spans="1:10" ht="16.95" customHeight="1">
      <c r="A985" s="75">
        <v>29</v>
      </c>
      <c r="B985" s="80" t="s">
        <v>119</v>
      </c>
      <c r="C985" s="77" t="s">
        <v>48</v>
      </c>
      <c r="D985" s="78">
        <v>1</v>
      </c>
      <c r="E985" s="79"/>
      <c r="F985" s="79" t="e">
        <f t="shared" si="60"/>
        <v>#REF!</v>
      </c>
      <c r="G985" s="2"/>
      <c r="H985" s="37">
        <v>34381</v>
      </c>
      <c r="I985" s="4">
        <f t="shared" si="61"/>
        <v>0</v>
      </c>
      <c r="J985" s="25">
        <f t="shared" si="59"/>
        <v>31</v>
      </c>
    </row>
    <row r="986" spans="1:10" ht="16.95" customHeight="1">
      <c r="A986" s="75" t="s">
        <v>79</v>
      </c>
      <c r="B986" s="80" t="s">
        <v>80</v>
      </c>
      <c r="C986" s="77" t="s">
        <v>48</v>
      </c>
      <c r="D986" s="78">
        <v>1</v>
      </c>
      <c r="E986" s="79">
        <f t="shared" ref="E986:E989" si="62">1/120</f>
        <v>8.3333333333333332E-3</v>
      </c>
      <c r="F986" s="79" t="e">
        <f t="shared" si="60"/>
        <v>#REF!</v>
      </c>
      <c r="G986" s="2"/>
      <c r="H986" s="37">
        <v>21395</v>
      </c>
      <c r="I986" s="4">
        <f t="shared" si="61"/>
        <v>178.29166666666666</v>
      </c>
      <c r="J986" s="25">
        <f t="shared" si="59"/>
        <v>31</v>
      </c>
    </row>
    <row r="987" spans="1:10" ht="16.95" customHeight="1">
      <c r="A987" s="75" t="s">
        <v>81</v>
      </c>
      <c r="B987" s="80" t="s">
        <v>82</v>
      </c>
      <c r="C987" s="77" t="s">
        <v>48</v>
      </c>
      <c r="D987" s="78">
        <v>1</v>
      </c>
      <c r="E987" s="79">
        <f t="shared" si="62"/>
        <v>8.3333333333333332E-3</v>
      </c>
      <c r="F987" s="79" t="e">
        <f t="shared" si="60"/>
        <v>#REF!</v>
      </c>
      <c r="G987" s="2"/>
      <c r="H987" s="37">
        <v>21395</v>
      </c>
      <c r="I987" s="4">
        <f t="shared" si="61"/>
        <v>178.29166666666666</v>
      </c>
      <c r="J987" s="25">
        <f t="shared" si="59"/>
        <v>31</v>
      </c>
    </row>
    <row r="988" spans="1:10" ht="16.95" customHeight="1">
      <c r="A988" s="75" t="s">
        <v>83</v>
      </c>
      <c r="B988" s="80" t="s">
        <v>84</v>
      </c>
      <c r="C988" s="77" t="s">
        <v>48</v>
      </c>
      <c r="D988" s="78">
        <v>1</v>
      </c>
      <c r="E988" s="79">
        <f t="shared" si="62"/>
        <v>8.3333333333333332E-3</v>
      </c>
      <c r="F988" s="79" t="e">
        <f t="shared" si="60"/>
        <v>#REF!</v>
      </c>
      <c r="G988" s="2"/>
      <c r="H988" s="37">
        <v>149765</v>
      </c>
      <c r="I988" s="4">
        <f t="shared" si="61"/>
        <v>1248.0416666666667</v>
      </c>
      <c r="J988" s="25">
        <f t="shared" si="59"/>
        <v>31</v>
      </c>
    </row>
    <row r="989" spans="1:10" ht="16.95" customHeight="1">
      <c r="A989" s="75" t="s">
        <v>85</v>
      </c>
      <c r="B989" s="80" t="s">
        <v>86</v>
      </c>
      <c r="C989" s="77" t="s">
        <v>48</v>
      </c>
      <c r="D989" s="78">
        <v>1</v>
      </c>
      <c r="E989" s="79">
        <f t="shared" si="62"/>
        <v>8.3333333333333332E-3</v>
      </c>
      <c r="F989" s="79" t="e">
        <f t="shared" si="60"/>
        <v>#REF!</v>
      </c>
      <c r="G989" s="2"/>
      <c r="H989" s="37">
        <v>6996</v>
      </c>
      <c r="I989" s="4">
        <f t="shared" si="61"/>
        <v>58.3</v>
      </c>
      <c r="J989" s="25">
        <f t="shared" si="59"/>
        <v>31</v>
      </c>
    </row>
    <row r="990" spans="1:10" ht="16.95" customHeight="1">
      <c r="A990" s="75" t="s">
        <v>87</v>
      </c>
      <c r="B990" s="80" t="s">
        <v>88</v>
      </c>
      <c r="C990" s="77" t="s">
        <v>48</v>
      </c>
      <c r="D990" s="78">
        <v>1</v>
      </c>
      <c r="E990" s="79">
        <f>1/120</f>
        <v>8.3333333333333332E-3</v>
      </c>
      <c r="F990" s="79" t="e">
        <f t="shared" si="60"/>
        <v>#REF!</v>
      </c>
      <c r="G990" s="2"/>
      <c r="H990" s="37">
        <v>116952</v>
      </c>
      <c r="I990" s="4">
        <f t="shared" si="61"/>
        <v>974.6</v>
      </c>
      <c r="J990" s="25">
        <f t="shared" si="59"/>
        <v>31</v>
      </c>
    </row>
    <row r="991" spans="1:10" ht="16.95" customHeight="1">
      <c r="A991" s="95" t="s">
        <v>23</v>
      </c>
      <c r="B991" s="95"/>
      <c r="C991" s="50"/>
      <c r="D991" s="50"/>
      <c r="E991" s="50"/>
      <c r="F991" s="50"/>
      <c r="G991" s="50"/>
      <c r="H991" s="3" t="s">
        <v>24</v>
      </c>
      <c r="I991" s="5">
        <f>SUM(I956:I990)</f>
        <v>2637.5250000000001</v>
      </c>
      <c r="J991" s="25">
        <f t="shared" si="59"/>
        <v>31</v>
      </c>
    </row>
    <row r="992" spans="1:10" ht="16.95" customHeight="1">
      <c r="A992" s="96" t="s">
        <v>25</v>
      </c>
      <c r="B992" s="96"/>
      <c r="C992" s="50"/>
      <c r="D992" s="50"/>
      <c r="E992" s="50"/>
      <c r="F992" s="50"/>
      <c r="G992" s="50"/>
      <c r="J992" s="25">
        <f t="shared" si="59"/>
        <v>31</v>
      </c>
    </row>
    <row r="993" spans="1:10" ht="16.95" customHeight="1">
      <c r="A993" s="96" t="s">
        <v>26</v>
      </c>
      <c r="B993" s="96"/>
      <c r="C993" s="50"/>
      <c r="D993" s="50"/>
      <c r="E993" s="50"/>
      <c r="F993" s="50"/>
      <c r="G993" s="50"/>
      <c r="J993" s="25">
        <f t="shared" si="59"/>
        <v>31</v>
      </c>
    </row>
    <row r="994" spans="1:10" ht="16.95" customHeight="1">
      <c r="A994" s="95" t="s">
        <v>27</v>
      </c>
      <c r="B994" s="95"/>
      <c r="C994" s="95"/>
      <c r="D994" s="95"/>
      <c r="E994" s="95"/>
      <c r="F994" s="95"/>
      <c r="G994" s="95"/>
      <c r="J994" s="25">
        <f t="shared" si="59"/>
        <v>31</v>
      </c>
    </row>
    <row r="995" spans="1:10" ht="16.95" customHeight="1">
      <c r="A995" s="94" t="s">
        <v>28</v>
      </c>
      <c r="B995" s="94"/>
      <c r="C995" s="51" t="s">
        <v>29</v>
      </c>
      <c r="D995" s="51" t="s">
        <v>30</v>
      </c>
      <c r="E995" s="51" t="s">
        <v>18</v>
      </c>
      <c r="F995" s="51" t="s">
        <v>31</v>
      </c>
      <c r="G995" s="51" t="s">
        <v>20</v>
      </c>
      <c r="J995" s="25">
        <f t="shared" si="59"/>
        <v>31</v>
      </c>
    </row>
    <row r="996" spans="1:10" ht="16.95" customHeight="1">
      <c r="A996" s="96"/>
      <c r="B996" s="96"/>
      <c r="C996" s="50"/>
      <c r="D996" s="50"/>
      <c r="E996" s="50"/>
      <c r="F996" s="50"/>
      <c r="G996" s="51"/>
      <c r="J996" s="25">
        <f t="shared" si="59"/>
        <v>31</v>
      </c>
    </row>
    <row r="997" spans="1:10" ht="16.95" customHeight="1">
      <c r="A997" s="97"/>
      <c r="B997" s="97"/>
      <c r="C997" s="50"/>
      <c r="D997" s="50"/>
      <c r="E997" s="50"/>
      <c r="F997" s="51"/>
      <c r="G997" s="51"/>
      <c r="J997" s="25">
        <f t="shared" si="59"/>
        <v>31</v>
      </c>
    </row>
    <row r="998" spans="1:10" ht="16.95" customHeight="1">
      <c r="A998" s="95" t="s">
        <v>32</v>
      </c>
      <c r="B998" s="95"/>
      <c r="C998" s="95"/>
      <c r="D998" s="95"/>
      <c r="E998" s="95"/>
      <c r="F998" s="95"/>
      <c r="G998" s="95"/>
      <c r="J998" s="25">
        <f t="shared" si="59"/>
        <v>32</v>
      </c>
    </row>
    <row r="999" spans="1:10" ht="16.95" customHeight="1">
      <c r="A999" s="51" t="s">
        <v>33</v>
      </c>
      <c r="B999" s="51" t="s">
        <v>34</v>
      </c>
      <c r="C999" s="94" t="s">
        <v>35</v>
      </c>
      <c r="D999" s="94"/>
      <c r="E999" s="51" t="s">
        <v>36</v>
      </c>
      <c r="F999" s="51" t="s">
        <v>37</v>
      </c>
      <c r="G999" s="51" t="s">
        <v>38</v>
      </c>
      <c r="J999" s="25">
        <f t="shared" si="59"/>
        <v>32</v>
      </c>
    </row>
    <row r="1000" spans="1:10" ht="16.95" customHeight="1">
      <c r="A1000" s="51" t="s">
        <v>39</v>
      </c>
      <c r="B1000" s="6"/>
      <c r="C1000" s="94" t="e">
        <f>B1000+C937</f>
        <v>#REF!</v>
      </c>
      <c r="D1000" s="94"/>
      <c r="E1000" s="51"/>
      <c r="F1000" s="24"/>
      <c r="G1000" s="24"/>
      <c r="J1000" s="25">
        <f t="shared" si="59"/>
        <v>32</v>
      </c>
    </row>
    <row r="1001" spans="1:10" ht="16.95" customHeight="1">
      <c r="A1001" s="51" t="s">
        <v>40</v>
      </c>
      <c r="B1001" s="6"/>
      <c r="C1001" s="94" t="e">
        <f>B1001+C938</f>
        <v>#REF!</v>
      </c>
      <c r="D1001" s="94"/>
      <c r="E1001" s="51"/>
      <c r="F1001" s="24"/>
      <c r="G1001" s="24"/>
      <c r="J1001" s="25">
        <f t="shared" si="59"/>
        <v>32</v>
      </c>
    </row>
    <row r="1002" spans="1:10" ht="36.6" customHeight="1">
      <c r="A1002" s="95" t="s">
        <v>41</v>
      </c>
      <c r="B1002" s="95"/>
      <c r="C1002" s="95"/>
      <c r="D1002" s="95"/>
      <c r="E1002" s="95"/>
      <c r="F1002" s="95"/>
      <c r="G1002" s="95"/>
      <c r="J1002" s="25">
        <f t="shared" si="59"/>
        <v>32</v>
      </c>
    </row>
    <row r="1003" spans="1:10" ht="90" customHeight="1">
      <c r="A1003" s="92" t="s">
        <v>42</v>
      </c>
      <c r="B1003" s="92"/>
      <c r="C1003" s="92"/>
      <c r="D1003" s="92"/>
      <c r="E1003" s="92"/>
      <c r="F1003" s="92"/>
      <c r="G1003" s="92"/>
      <c r="J1003" s="25">
        <f t="shared" si="59"/>
        <v>32</v>
      </c>
    </row>
    <row r="1004" spans="1:10" ht="16.95" customHeight="1">
      <c r="A1004" s="95" t="s">
        <v>43</v>
      </c>
      <c r="B1004" s="95"/>
      <c r="C1004" s="95"/>
      <c r="D1004" s="95"/>
      <c r="E1004" s="95"/>
      <c r="F1004" s="95"/>
      <c r="G1004" s="95"/>
      <c r="J1004" s="25">
        <f t="shared" si="59"/>
        <v>32</v>
      </c>
    </row>
    <row r="1005" spans="1:10" ht="16.95" customHeight="1">
      <c r="A1005" s="95" t="s">
        <v>44</v>
      </c>
      <c r="B1005" s="95"/>
      <c r="C1005" s="95"/>
      <c r="D1005" s="95"/>
      <c r="E1005" s="95"/>
      <c r="F1005" s="95"/>
      <c r="G1005" s="95"/>
      <c r="J1005" s="25">
        <f t="shared" si="59"/>
        <v>32</v>
      </c>
    </row>
    <row r="1006" spans="1:10" ht="16.95" customHeight="1">
      <c r="A1006" s="91" t="s">
        <v>64</v>
      </c>
      <c r="B1006" s="91"/>
      <c r="C1006" s="91"/>
      <c r="D1006" s="91"/>
      <c r="E1006" s="91"/>
      <c r="F1006" s="91"/>
      <c r="G1006" s="91"/>
      <c r="J1006" s="25">
        <f t="shared" si="59"/>
        <v>32</v>
      </c>
    </row>
    <row r="1007" spans="1:10" ht="120.6" customHeight="1">
      <c r="A1007" s="92" t="s">
        <v>45</v>
      </c>
      <c r="B1007" s="92"/>
      <c r="C1007" s="92"/>
      <c r="D1007" s="92"/>
      <c r="E1007" s="92"/>
      <c r="F1007" s="92"/>
      <c r="G1007" s="92"/>
      <c r="J1007" s="25">
        <f t="shared" si="59"/>
        <v>32</v>
      </c>
    </row>
    <row r="1008" spans="1:10" ht="140.4" customHeight="1">
      <c r="A1008" s="93" t="s">
        <v>46</v>
      </c>
      <c r="B1008" s="93"/>
      <c r="C1008" s="93"/>
      <c r="D1008" s="93"/>
      <c r="E1008" s="93"/>
      <c r="F1008" s="93"/>
      <c r="G1008" s="93"/>
      <c r="J1008" s="25">
        <f t="shared" si="59"/>
        <v>32</v>
      </c>
    </row>
    <row r="1009" spans="1:10" ht="37.200000000000003" customHeight="1">
      <c r="A1009" s="103" t="s">
        <v>0</v>
      </c>
      <c r="B1009" s="103"/>
      <c r="C1009" s="103"/>
      <c r="D1009" s="103"/>
      <c r="E1009" s="103"/>
      <c r="F1009" s="103"/>
      <c r="G1009" s="103"/>
      <c r="J1009" s="25">
        <f t="shared" si="59"/>
        <v>33</v>
      </c>
    </row>
    <row r="1010" spans="1:10" ht="16.95" customHeight="1">
      <c r="A1010" s="1" t="s">
        <v>1</v>
      </c>
      <c r="B1010" s="104">
        <f>B947+1</f>
        <v>18</v>
      </c>
      <c r="C1010" s="104"/>
      <c r="D1010" s="104"/>
      <c r="E1010" s="104"/>
      <c r="F1010" s="104"/>
      <c r="G1010" s="104"/>
      <c r="J1010" s="25">
        <f t="shared" si="59"/>
        <v>33</v>
      </c>
    </row>
    <row r="1011" spans="1:10" ht="16.95" customHeight="1">
      <c r="A1011" s="1" t="s">
        <v>2</v>
      </c>
      <c r="B1011" s="105" t="s">
        <v>63</v>
      </c>
      <c r="C1011" s="105"/>
      <c r="D1011" s="105"/>
      <c r="E1011" s="106">
        <f>E948+1</f>
        <v>46220</v>
      </c>
      <c r="F1011" s="106"/>
      <c r="G1011" s="106"/>
      <c r="J1011" s="25">
        <f t="shared" si="59"/>
        <v>33</v>
      </c>
    </row>
    <row r="1012" spans="1:10" ht="16.95" customHeight="1">
      <c r="A1012" s="53" t="s">
        <v>3</v>
      </c>
      <c r="B1012" s="2" t="s">
        <v>67</v>
      </c>
      <c r="C1012" s="98" t="s">
        <v>4</v>
      </c>
      <c r="D1012" s="98"/>
      <c r="E1012" s="98" t="s">
        <v>47</v>
      </c>
      <c r="F1012" s="98"/>
      <c r="G1012" s="98"/>
      <c r="J1012" s="25">
        <f t="shared" si="59"/>
        <v>33</v>
      </c>
    </row>
    <row r="1013" spans="1:10" ht="16.95" customHeight="1">
      <c r="A1013" s="53" t="s">
        <v>5</v>
      </c>
      <c r="B1013" s="54">
        <v>120</v>
      </c>
      <c r="C1013" s="98" t="s">
        <v>6</v>
      </c>
      <c r="D1013" s="98"/>
      <c r="E1013" s="98" t="s">
        <v>123</v>
      </c>
      <c r="F1013" s="98"/>
      <c r="G1013" s="98"/>
      <c r="J1013" s="25">
        <f t="shared" si="59"/>
        <v>33</v>
      </c>
    </row>
    <row r="1014" spans="1:10" ht="16.95" customHeight="1">
      <c r="A1014" s="53" t="s">
        <v>7</v>
      </c>
      <c r="B1014" s="54">
        <f>B1010</f>
        <v>18</v>
      </c>
      <c r="C1014" s="100" t="s">
        <v>8</v>
      </c>
      <c r="D1014" s="100"/>
      <c r="E1014" s="101">
        <f>B1013-B1014</f>
        <v>102</v>
      </c>
      <c r="F1014" s="101"/>
      <c r="G1014" s="101"/>
      <c r="J1014" s="25">
        <f t="shared" si="59"/>
        <v>33</v>
      </c>
    </row>
    <row r="1015" spans="1:10" ht="16.95" customHeight="1">
      <c r="A1015" s="53" t="s">
        <v>9</v>
      </c>
      <c r="B1015" s="55">
        <v>46204</v>
      </c>
      <c r="C1015" s="98" t="s">
        <v>10</v>
      </c>
      <c r="D1015" s="98"/>
      <c r="E1015" s="102">
        <f>B1015+B1013-1</f>
        <v>46323</v>
      </c>
      <c r="F1015" s="102"/>
      <c r="G1015" s="102"/>
      <c r="J1015" s="25">
        <f t="shared" si="59"/>
        <v>33</v>
      </c>
    </row>
    <row r="1016" spans="1:10" ht="16.95" customHeight="1">
      <c r="A1016" s="53" t="s">
        <v>11</v>
      </c>
      <c r="B1016" s="56" t="e">
        <f>HLOOKUP(B1010,進度表!$Q$2:$Z$3,2,1)+B953</f>
        <v>#REF!</v>
      </c>
      <c r="C1016" s="98" t="s">
        <v>12</v>
      </c>
      <c r="D1016" s="98"/>
      <c r="E1016" s="99" t="e">
        <f>I1054/I1016+E953</f>
        <v>#REF!</v>
      </c>
      <c r="F1016" s="99"/>
      <c r="G1016" s="99"/>
      <c r="H1016" s="3" t="s">
        <v>62</v>
      </c>
      <c r="I1016" s="1">
        <v>2456000</v>
      </c>
      <c r="J1016" s="25">
        <f t="shared" si="59"/>
        <v>33</v>
      </c>
    </row>
    <row r="1017" spans="1:10" ht="16.95" customHeight="1">
      <c r="A1017" s="98" t="s">
        <v>13</v>
      </c>
      <c r="B1017" s="98"/>
      <c r="C1017" s="98"/>
      <c r="D1017" s="98"/>
      <c r="E1017" s="98"/>
      <c r="F1017" s="98"/>
      <c r="G1017" s="98"/>
      <c r="J1017" s="25">
        <f t="shared" si="59"/>
        <v>33</v>
      </c>
    </row>
    <row r="1018" spans="1:10" ht="16.95" customHeight="1">
      <c r="A1018" s="52" t="s">
        <v>14</v>
      </c>
      <c r="B1018" s="52" t="s">
        <v>15</v>
      </c>
      <c r="C1018" s="52" t="s">
        <v>16</v>
      </c>
      <c r="D1018" s="52" t="s">
        <v>17</v>
      </c>
      <c r="E1018" s="52" t="s">
        <v>18</v>
      </c>
      <c r="F1018" s="52" t="s">
        <v>19</v>
      </c>
      <c r="G1018" s="52" t="s">
        <v>20</v>
      </c>
      <c r="H1018" s="3" t="s">
        <v>21</v>
      </c>
      <c r="I1018" s="3" t="s">
        <v>22</v>
      </c>
      <c r="J1018" s="25">
        <f t="shared" si="59"/>
        <v>33</v>
      </c>
    </row>
    <row r="1019" spans="1:10" ht="16.95" customHeight="1">
      <c r="A1019" s="75" t="s">
        <v>65</v>
      </c>
      <c r="B1019" s="76" t="s">
        <v>69</v>
      </c>
      <c r="C1019" s="77"/>
      <c r="D1019" s="78"/>
      <c r="E1019" s="79"/>
      <c r="F1019" s="79"/>
      <c r="G1019" s="2"/>
      <c r="H1019" s="37"/>
      <c r="I1019" s="4"/>
      <c r="J1019" s="25">
        <f t="shared" ref="J1019:J1082" si="63">J956+2</f>
        <v>33</v>
      </c>
    </row>
    <row r="1020" spans="1:10" ht="34.950000000000003" customHeight="1">
      <c r="A1020" s="75">
        <v>1</v>
      </c>
      <c r="B1020" s="80" t="s">
        <v>91</v>
      </c>
      <c r="C1020" s="77" t="s">
        <v>48</v>
      </c>
      <c r="D1020" s="78">
        <v>1</v>
      </c>
      <c r="E1020" s="79"/>
      <c r="F1020" s="79" t="e">
        <f t="shared" ref="F1020:F1053" si="64">E1020+F957</f>
        <v>#REF!</v>
      </c>
      <c r="G1020" s="2"/>
      <c r="H1020" s="37">
        <v>10508</v>
      </c>
      <c r="I1020" s="4">
        <f>H1020*E1020</f>
        <v>0</v>
      </c>
      <c r="J1020" s="25">
        <f t="shared" si="63"/>
        <v>33</v>
      </c>
    </row>
    <row r="1021" spans="1:10" ht="34.799999999999997" customHeight="1">
      <c r="A1021" s="75">
        <v>2</v>
      </c>
      <c r="B1021" s="80" t="s">
        <v>92</v>
      </c>
      <c r="C1021" s="77" t="s">
        <v>48</v>
      </c>
      <c r="D1021" s="78">
        <v>1</v>
      </c>
      <c r="E1021" s="79"/>
      <c r="F1021" s="79" t="e">
        <f t="shared" si="64"/>
        <v>#REF!</v>
      </c>
      <c r="G1021" s="2"/>
      <c r="H1021" s="37">
        <v>13223</v>
      </c>
      <c r="I1021" s="4">
        <f>H1021*E1021</f>
        <v>0</v>
      </c>
      <c r="J1021" s="25">
        <f t="shared" si="63"/>
        <v>33</v>
      </c>
    </row>
    <row r="1022" spans="1:10" ht="53.4" customHeight="1">
      <c r="A1022" s="75">
        <v>3</v>
      </c>
      <c r="B1022" s="80" t="s">
        <v>93</v>
      </c>
      <c r="C1022" s="77" t="s">
        <v>48</v>
      </c>
      <c r="D1022" s="78">
        <v>1</v>
      </c>
      <c r="E1022" s="79"/>
      <c r="F1022" s="79" t="e">
        <f t="shared" si="64"/>
        <v>#REF!</v>
      </c>
      <c r="G1022" s="2"/>
      <c r="H1022" s="37">
        <v>310497</v>
      </c>
      <c r="I1022" s="4">
        <f t="shared" ref="I1022:I1053" si="65">H1022*E1022</f>
        <v>0</v>
      </c>
      <c r="J1022" s="25">
        <f t="shared" si="63"/>
        <v>33</v>
      </c>
    </row>
    <row r="1023" spans="1:10" ht="16.95" customHeight="1">
      <c r="A1023" s="75">
        <v>4</v>
      </c>
      <c r="B1023" s="80" t="s">
        <v>94</v>
      </c>
      <c r="C1023" s="77" t="s">
        <v>48</v>
      </c>
      <c r="D1023" s="78">
        <v>1</v>
      </c>
      <c r="E1023" s="79"/>
      <c r="F1023" s="79" t="e">
        <f t="shared" si="64"/>
        <v>#REF!</v>
      </c>
      <c r="G1023" s="2"/>
      <c r="H1023" s="37">
        <v>8375</v>
      </c>
      <c r="I1023" s="4">
        <f t="shared" si="65"/>
        <v>0</v>
      </c>
      <c r="J1023" s="25">
        <f t="shared" si="63"/>
        <v>33</v>
      </c>
    </row>
    <row r="1024" spans="1:10" ht="16.95" customHeight="1">
      <c r="A1024" s="75">
        <v>5</v>
      </c>
      <c r="B1024" s="80" t="s">
        <v>95</v>
      </c>
      <c r="C1024" s="77" t="s">
        <v>48</v>
      </c>
      <c r="D1024" s="78">
        <v>1</v>
      </c>
      <c r="E1024" s="79"/>
      <c r="F1024" s="79" t="e">
        <f t="shared" si="64"/>
        <v>#REF!</v>
      </c>
      <c r="G1024" s="2"/>
      <c r="H1024" s="37">
        <v>51618</v>
      </c>
      <c r="I1024" s="4">
        <f t="shared" si="65"/>
        <v>0</v>
      </c>
      <c r="J1024" s="25">
        <f t="shared" si="63"/>
        <v>33</v>
      </c>
    </row>
    <row r="1025" spans="1:10" ht="16.95" customHeight="1">
      <c r="A1025" s="75">
        <v>6</v>
      </c>
      <c r="B1025" s="80" t="s">
        <v>96</v>
      </c>
      <c r="C1025" s="77" t="s">
        <v>50</v>
      </c>
      <c r="D1025" s="78">
        <v>11.55</v>
      </c>
      <c r="E1025" s="79"/>
      <c r="F1025" s="79" t="e">
        <f t="shared" si="64"/>
        <v>#REF!</v>
      </c>
      <c r="G1025" s="2"/>
      <c r="H1025" s="37">
        <v>1188</v>
      </c>
      <c r="I1025" s="4">
        <f t="shared" si="65"/>
        <v>0</v>
      </c>
      <c r="J1025" s="25">
        <f t="shared" si="63"/>
        <v>33</v>
      </c>
    </row>
    <row r="1026" spans="1:10" ht="34.950000000000003" customHeight="1">
      <c r="A1026" s="75">
        <v>7</v>
      </c>
      <c r="B1026" s="80" t="s">
        <v>97</v>
      </c>
      <c r="C1026" s="77" t="s">
        <v>48</v>
      </c>
      <c r="D1026" s="78">
        <v>1</v>
      </c>
      <c r="E1026" s="79"/>
      <c r="F1026" s="79" t="e">
        <f t="shared" si="64"/>
        <v>#REF!</v>
      </c>
      <c r="G1026" s="2"/>
      <c r="H1026" s="37">
        <v>21157</v>
      </c>
      <c r="I1026" s="4">
        <f t="shared" si="65"/>
        <v>0</v>
      </c>
      <c r="J1026" s="25">
        <f t="shared" si="63"/>
        <v>33</v>
      </c>
    </row>
    <row r="1027" spans="1:10" ht="16.95" customHeight="1">
      <c r="A1027" s="75">
        <v>8</v>
      </c>
      <c r="B1027" s="80" t="s">
        <v>98</v>
      </c>
      <c r="C1027" s="77" t="s">
        <v>50</v>
      </c>
      <c r="D1027" s="78">
        <v>387</v>
      </c>
      <c r="E1027" s="79"/>
      <c r="F1027" s="79" t="e">
        <f t="shared" si="64"/>
        <v>#REF!</v>
      </c>
      <c r="G1027" s="2"/>
      <c r="H1027" s="37">
        <v>705</v>
      </c>
      <c r="I1027" s="4">
        <f t="shared" si="65"/>
        <v>0</v>
      </c>
      <c r="J1027" s="25">
        <f t="shared" si="63"/>
        <v>33</v>
      </c>
    </row>
    <row r="1028" spans="1:10" ht="16.95" customHeight="1">
      <c r="A1028" s="75">
        <v>9</v>
      </c>
      <c r="B1028" s="80" t="s">
        <v>99</v>
      </c>
      <c r="C1028" s="77" t="s">
        <v>50</v>
      </c>
      <c r="D1028" s="78">
        <v>170</v>
      </c>
      <c r="E1028" s="79"/>
      <c r="F1028" s="79" t="e">
        <f t="shared" si="64"/>
        <v>#REF!</v>
      </c>
      <c r="G1028" s="2"/>
      <c r="H1028" s="37">
        <v>617</v>
      </c>
      <c r="I1028" s="4">
        <f t="shared" si="65"/>
        <v>0</v>
      </c>
      <c r="J1028" s="25">
        <f t="shared" si="63"/>
        <v>33</v>
      </c>
    </row>
    <row r="1029" spans="1:10" ht="16.95" customHeight="1">
      <c r="A1029" s="75">
        <v>10</v>
      </c>
      <c r="B1029" s="80" t="s">
        <v>100</v>
      </c>
      <c r="C1029" s="77" t="s">
        <v>66</v>
      </c>
      <c r="D1029" s="78">
        <v>15</v>
      </c>
      <c r="E1029" s="79"/>
      <c r="F1029" s="79" t="e">
        <f t="shared" si="64"/>
        <v>#REF!</v>
      </c>
      <c r="G1029" s="2"/>
      <c r="H1029" s="37">
        <v>617</v>
      </c>
      <c r="I1029" s="4">
        <f t="shared" si="65"/>
        <v>0</v>
      </c>
      <c r="J1029" s="25">
        <f t="shared" si="63"/>
        <v>33</v>
      </c>
    </row>
    <row r="1030" spans="1:10" ht="16.95" customHeight="1">
      <c r="A1030" s="75">
        <v>11</v>
      </c>
      <c r="B1030" s="80" t="s">
        <v>101</v>
      </c>
      <c r="C1030" s="77" t="s">
        <v>50</v>
      </c>
      <c r="D1030" s="78">
        <v>75</v>
      </c>
      <c r="E1030" s="79"/>
      <c r="F1030" s="79" t="e">
        <f t="shared" si="64"/>
        <v>#REF!</v>
      </c>
      <c r="G1030" s="2"/>
      <c r="H1030" s="37">
        <v>1146</v>
      </c>
      <c r="I1030" s="4">
        <f t="shared" si="65"/>
        <v>0</v>
      </c>
      <c r="J1030" s="25">
        <f t="shared" si="63"/>
        <v>33</v>
      </c>
    </row>
    <row r="1031" spans="1:10" ht="16.95" customHeight="1">
      <c r="A1031" s="75">
        <v>12</v>
      </c>
      <c r="B1031" s="80" t="s">
        <v>102</v>
      </c>
      <c r="C1031" s="77" t="s">
        <v>50</v>
      </c>
      <c r="D1031" s="78">
        <v>5</v>
      </c>
      <c r="E1031" s="79"/>
      <c r="F1031" s="79" t="e">
        <f t="shared" si="64"/>
        <v>#REF!</v>
      </c>
      <c r="G1031" s="2"/>
      <c r="H1031" s="37">
        <v>1455</v>
      </c>
      <c r="I1031" s="4">
        <f t="shared" si="65"/>
        <v>0</v>
      </c>
      <c r="J1031" s="25">
        <f t="shared" si="63"/>
        <v>33</v>
      </c>
    </row>
    <row r="1032" spans="1:10" ht="16.95" customHeight="1">
      <c r="A1032" s="75">
        <v>13</v>
      </c>
      <c r="B1032" s="80" t="s">
        <v>103</v>
      </c>
      <c r="C1032" s="77" t="s">
        <v>50</v>
      </c>
      <c r="D1032" s="78">
        <v>217</v>
      </c>
      <c r="E1032" s="79"/>
      <c r="F1032" s="79" t="e">
        <f t="shared" si="64"/>
        <v>#REF!</v>
      </c>
      <c r="G1032" s="2"/>
      <c r="H1032" s="37">
        <v>1410</v>
      </c>
      <c r="I1032" s="4">
        <f t="shared" si="65"/>
        <v>0</v>
      </c>
      <c r="J1032" s="25">
        <f t="shared" si="63"/>
        <v>33</v>
      </c>
    </row>
    <row r="1033" spans="1:10" ht="16.95" customHeight="1">
      <c r="A1033" s="75">
        <v>14</v>
      </c>
      <c r="B1033" s="80" t="s">
        <v>104</v>
      </c>
      <c r="C1033" s="77" t="s">
        <v>49</v>
      </c>
      <c r="D1033" s="78">
        <v>84</v>
      </c>
      <c r="E1033" s="79"/>
      <c r="F1033" s="79" t="e">
        <f t="shared" si="64"/>
        <v>#REF!</v>
      </c>
      <c r="G1033" s="2"/>
      <c r="H1033" s="37">
        <v>529</v>
      </c>
      <c r="I1033" s="4">
        <f t="shared" si="65"/>
        <v>0</v>
      </c>
      <c r="J1033" s="25">
        <f t="shared" si="63"/>
        <v>33</v>
      </c>
    </row>
    <row r="1034" spans="1:10" ht="16.95" customHeight="1">
      <c r="A1034" s="75">
        <v>15</v>
      </c>
      <c r="B1034" s="80" t="s">
        <v>105</v>
      </c>
      <c r="C1034" s="77" t="s">
        <v>50</v>
      </c>
      <c r="D1034" s="78">
        <v>1</v>
      </c>
      <c r="E1034" s="79"/>
      <c r="F1034" s="79" t="e">
        <f t="shared" si="64"/>
        <v>#REF!</v>
      </c>
      <c r="G1034" s="2"/>
      <c r="H1034" s="37">
        <v>1146</v>
      </c>
      <c r="I1034" s="4">
        <f t="shared" si="65"/>
        <v>0</v>
      </c>
      <c r="J1034" s="25">
        <f t="shared" si="63"/>
        <v>33</v>
      </c>
    </row>
    <row r="1035" spans="1:10" ht="34.799999999999997" customHeight="1">
      <c r="A1035" s="75">
        <v>16</v>
      </c>
      <c r="B1035" s="80" t="s">
        <v>106</v>
      </c>
      <c r="C1035" s="77" t="s">
        <v>50</v>
      </c>
      <c r="D1035" s="78">
        <v>314</v>
      </c>
      <c r="E1035" s="79"/>
      <c r="F1035" s="79" t="e">
        <f t="shared" si="64"/>
        <v>#REF!</v>
      </c>
      <c r="G1035" s="2"/>
      <c r="H1035" s="37">
        <v>185</v>
      </c>
      <c r="I1035" s="4">
        <f t="shared" si="65"/>
        <v>0</v>
      </c>
      <c r="J1035" s="25">
        <f t="shared" si="63"/>
        <v>33</v>
      </c>
    </row>
    <row r="1036" spans="1:10" ht="16.95" customHeight="1">
      <c r="A1036" s="75">
        <v>17</v>
      </c>
      <c r="B1036" s="80" t="s">
        <v>107</v>
      </c>
      <c r="C1036" s="77" t="s">
        <v>48</v>
      </c>
      <c r="D1036" s="78">
        <v>1</v>
      </c>
      <c r="E1036" s="79"/>
      <c r="F1036" s="79" t="e">
        <f t="shared" si="64"/>
        <v>#REF!</v>
      </c>
      <c r="G1036" s="2"/>
      <c r="H1036" s="37">
        <v>89918</v>
      </c>
      <c r="I1036" s="4">
        <f t="shared" si="65"/>
        <v>0</v>
      </c>
      <c r="J1036" s="25">
        <f t="shared" si="63"/>
        <v>33</v>
      </c>
    </row>
    <row r="1037" spans="1:10" ht="16.95" customHeight="1">
      <c r="A1037" s="75">
        <v>18</v>
      </c>
      <c r="B1037" s="80" t="s">
        <v>108</v>
      </c>
      <c r="C1037" s="77" t="s">
        <v>120</v>
      </c>
      <c r="D1037" s="78">
        <v>15</v>
      </c>
      <c r="E1037" s="79"/>
      <c r="F1037" s="79" t="e">
        <f t="shared" si="64"/>
        <v>#REF!</v>
      </c>
      <c r="G1037" s="2"/>
      <c r="H1037" s="37">
        <v>661</v>
      </c>
      <c r="I1037" s="4">
        <f t="shared" si="65"/>
        <v>0</v>
      </c>
      <c r="J1037" s="25">
        <f t="shared" si="63"/>
        <v>33</v>
      </c>
    </row>
    <row r="1038" spans="1:10" ht="16.95" customHeight="1">
      <c r="A1038" s="75">
        <v>19</v>
      </c>
      <c r="B1038" s="80" t="s">
        <v>109</v>
      </c>
      <c r="C1038" s="77" t="s">
        <v>50</v>
      </c>
      <c r="D1038" s="78">
        <v>82</v>
      </c>
      <c r="E1038" s="79"/>
      <c r="F1038" s="79" t="e">
        <f t="shared" si="64"/>
        <v>#REF!</v>
      </c>
      <c r="G1038" s="2"/>
      <c r="H1038" s="37">
        <v>2909</v>
      </c>
      <c r="I1038" s="4">
        <f t="shared" si="65"/>
        <v>0</v>
      </c>
      <c r="J1038" s="25">
        <f t="shared" si="63"/>
        <v>33</v>
      </c>
    </row>
    <row r="1039" spans="1:10" ht="16.95" customHeight="1">
      <c r="A1039" s="75">
        <v>20</v>
      </c>
      <c r="B1039" s="80" t="s">
        <v>110</v>
      </c>
      <c r="C1039" s="77" t="s">
        <v>121</v>
      </c>
      <c r="D1039" s="78">
        <v>12</v>
      </c>
      <c r="E1039" s="79"/>
      <c r="F1039" s="79" t="e">
        <f t="shared" si="64"/>
        <v>#REF!</v>
      </c>
      <c r="G1039" s="2"/>
      <c r="H1039" s="37">
        <v>882</v>
      </c>
      <c r="I1039" s="4">
        <f t="shared" si="65"/>
        <v>0</v>
      </c>
      <c r="J1039" s="25">
        <f t="shared" si="63"/>
        <v>33</v>
      </c>
    </row>
    <row r="1040" spans="1:10" ht="16.95" customHeight="1">
      <c r="A1040" s="77">
        <v>21</v>
      </c>
      <c r="B1040" s="80" t="s">
        <v>111</v>
      </c>
      <c r="C1040" s="77" t="s">
        <v>122</v>
      </c>
      <c r="D1040" s="78">
        <v>3</v>
      </c>
      <c r="E1040" s="79"/>
      <c r="F1040" s="79" t="e">
        <f t="shared" si="64"/>
        <v>#REF!</v>
      </c>
      <c r="G1040" s="2"/>
      <c r="H1040" s="38">
        <v>1869</v>
      </c>
      <c r="I1040" s="4">
        <f t="shared" si="65"/>
        <v>0</v>
      </c>
      <c r="J1040" s="25">
        <f t="shared" si="63"/>
        <v>33</v>
      </c>
    </row>
    <row r="1041" spans="1:10" ht="34.950000000000003" customHeight="1">
      <c r="A1041" s="75">
        <v>22</v>
      </c>
      <c r="B1041" s="80" t="s">
        <v>112</v>
      </c>
      <c r="C1041" s="77" t="s">
        <v>48</v>
      </c>
      <c r="D1041" s="78">
        <v>1</v>
      </c>
      <c r="E1041" s="79"/>
      <c r="F1041" s="79" t="e">
        <f t="shared" si="64"/>
        <v>#REF!</v>
      </c>
      <c r="G1041" s="2"/>
      <c r="H1041" s="37">
        <v>82206</v>
      </c>
      <c r="I1041" s="4">
        <f t="shared" si="65"/>
        <v>0</v>
      </c>
      <c r="J1041" s="25">
        <f t="shared" si="63"/>
        <v>33</v>
      </c>
    </row>
    <row r="1042" spans="1:10" ht="16.95" customHeight="1">
      <c r="A1042" s="75">
        <v>23</v>
      </c>
      <c r="B1042" s="80" t="s">
        <v>113</v>
      </c>
      <c r="C1042" s="77" t="s">
        <v>48</v>
      </c>
      <c r="D1042" s="78">
        <v>1</v>
      </c>
      <c r="E1042" s="79"/>
      <c r="F1042" s="79" t="e">
        <f t="shared" si="64"/>
        <v>#REF!</v>
      </c>
      <c r="G1042" s="2"/>
      <c r="H1042" s="37">
        <v>142723</v>
      </c>
      <c r="I1042" s="4">
        <f t="shared" si="65"/>
        <v>0</v>
      </c>
      <c r="J1042" s="25">
        <f t="shared" si="63"/>
        <v>33</v>
      </c>
    </row>
    <row r="1043" spans="1:10" ht="16.95" customHeight="1">
      <c r="A1043" s="75">
        <v>24</v>
      </c>
      <c r="B1043" s="80" t="s">
        <v>114</v>
      </c>
      <c r="C1043" s="77" t="s">
        <v>48</v>
      </c>
      <c r="D1043" s="78">
        <v>1</v>
      </c>
      <c r="E1043" s="79"/>
      <c r="F1043" s="79" t="e">
        <f t="shared" si="64"/>
        <v>#REF!</v>
      </c>
      <c r="G1043" s="2"/>
      <c r="H1043" s="37">
        <v>37290</v>
      </c>
      <c r="I1043" s="4">
        <f t="shared" si="65"/>
        <v>0</v>
      </c>
      <c r="J1043" s="25">
        <f t="shared" si="63"/>
        <v>33</v>
      </c>
    </row>
    <row r="1044" spans="1:10" ht="16.95" customHeight="1">
      <c r="A1044" s="75">
        <v>25</v>
      </c>
      <c r="B1044" s="80" t="s">
        <v>115</v>
      </c>
      <c r="C1044" s="77" t="s">
        <v>48</v>
      </c>
      <c r="D1044" s="78">
        <v>1</v>
      </c>
      <c r="E1044" s="79"/>
      <c r="F1044" s="79" t="e">
        <f t="shared" si="64"/>
        <v>#REF!</v>
      </c>
      <c r="G1044" s="2"/>
      <c r="H1044" s="37">
        <v>99394</v>
      </c>
      <c r="I1044" s="4">
        <f t="shared" si="65"/>
        <v>0</v>
      </c>
      <c r="J1044" s="25">
        <f t="shared" si="63"/>
        <v>33</v>
      </c>
    </row>
    <row r="1045" spans="1:10" ht="34.950000000000003" customHeight="1">
      <c r="A1045" s="75">
        <v>26</v>
      </c>
      <c r="B1045" s="80" t="s">
        <v>116</v>
      </c>
      <c r="C1045" s="77" t="s">
        <v>48</v>
      </c>
      <c r="D1045" s="78">
        <v>1</v>
      </c>
      <c r="E1045" s="79"/>
      <c r="F1045" s="79" t="e">
        <f t="shared" si="64"/>
        <v>#REF!</v>
      </c>
      <c r="G1045" s="2"/>
      <c r="H1045" s="37">
        <v>21334</v>
      </c>
      <c r="I1045" s="4">
        <f t="shared" si="65"/>
        <v>0</v>
      </c>
      <c r="J1045" s="25">
        <f t="shared" si="63"/>
        <v>33</v>
      </c>
    </row>
    <row r="1046" spans="1:10" ht="16.95" customHeight="1">
      <c r="A1046" s="75">
        <v>27</v>
      </c>
      <c r="B1046" s="80" t="s">
        <v>117</v>
      </c>
      <c r="C1046" s="77" t="s">
        <v>48</v>
      </c>
      <c r="D1046" s="78">
        <v>1</v>
      </c>
      <c r="E1046" s="79"/>
      <c r="F1046" s="79" t="e">
        <f t="shared" si="64"/>
        <v>#REF!</v>
      </c>
      <c r="G1046" s="2"/>
      <c r="H1046" s="37">
        <v>29620</v>
      </c>
      <c r="I1046" s="4">
        <f t="shared" si="65"/>
        <v>0</v>
      </c>
      <c r="J1046" s="25">
        <f t="shared" si="63"/>
        <v>33</v>
      </c>
    </row>
    <row r="1047" spans="1:10" ht="16.95" customHeight="1">
      <c r="A1047" s="75">
        <v>28</v>
      </c>
      <c r="B1047" s="80" t="s">
        <v>118</v>
      </c>
      <c r="C1047" s="77" t="s">
        <v>48</v>
      </c>
      <c r="D1047" s="78">
        <v>1</v>
      </c>
      <c r="E1047" s="79"/>
      <c r="F1047" s="79" t="e">
        <f t="shared" si="64"/>
        <v>#REF!</v>
      </c>
      <c r="G1047" s="2"/>
      <c r="H1047" s="37">
        <v>18506</v>
      </c>
      <c r="I1047" s="4">
        <f t="shared" si="65"/>
        <v>0</v>
      </c>
      <c r="J1047" s="25">
        <f t="shared" si="63"/>
        <v>33</v>
      </c>
    </row>
    <row r="1048" spans="1:10" ht="16.95" customHeight="1">
      <c r="A1048" s="75">
        <v>29</v>
      </c>
      <c r="B1048" s="80" t="s">
        <v>119</v>
      </c>
      <c r="C1048" s="77" t="s">
        <v>48</v>
      </c>
      <c r="D1048" s="78">
        <v>1</v>
      </c>
      <c r="E1048" s="79"/>
      <c r="F1048" s="79" t="e">
        <f t="shared" si="64"/>
        <v>#REF!</v>
      </c>
      <c r="G1048" s="2"/>
      <c r="H1048" s="37">
        <v>34381</v>
      </c>
      <c r="I1048" s="4">
        <f t="shared" si="65"/>
        <v>0</v>
      </c>
      <c r="J1048" s="25">
        <f t="shared" si="63"/>
        <v>33</v>
      </c>
    </row>
    <row r="1049" spans="1:10" ht="16.95" customHeight="1">
      <c r="A1049" s="75" t="s">
        <v>79</v>
      </c>
      <c r="B1049" s="80" t="s">
        <v>80</v>
      </c>
      <c r="C1049" s="77" t="s">
        <v>48</v>
      </c>
      <c r="D1049" s="78">
        <v>1</v>
      </c>
      <c r="E1049" s="79">
        <f t="shared" ref="E1049:E1052" si="66">1/120</f>
        <v>8.3333333333333332E-3</v>
      </c>
      <c r="F1049" s="79" t="e">
        <f t="shared" si="64"/>
        <v>#REF!</v>
      </c>
      <c r="G1049" s="2"/>
      <c r="H1049" s="37">
        <v>21395</v>
      </c>
      <c r="I1049" s="4">
        <f t="shared" si="65"/>
        <v>178.29166666666666</v>
      </c>
      <c r="J1049" s="25">
        <f t="shared" si="63"/>
        <v>33</v>
      </c>
    </row>
    <row r="1050" spans="1:10" ht="16.95" customHeight="1">
      <c r="A1050" s="75" t="s">
        <v>81</v>
      </c>
      <c r="B1050" s="80" t="s">
        <v>82</v>
      </c>
      <c r="C1050" s="77" t="s">
        <v>48</v>
      </c>
      <c r="D1050" s="78">
        <v>1</v>
      </c>
      <c r="E1050" s="79">
        <f t="shared" si="66"/>
        <v>8.3333333333333332E-3</v>
      </c>
      <c r="F1050" s="79" t="e">
        <f t="shared" si="64"/>
        <v>#REF!</v>
      </c>
      <c r="G1050" s="2"/>
      <c r="H1050" s="37">
        <v>21395</v>
      </c>
      <c r="I1050" s="4">
        <f t="shared" si="65"/>
        <v>178.29166666666666</v>
      </c>
      <c r="J1050" s="25">
        <f t="shared" si="63"/>
        <v>33</v>
      </c>
    </row>
    <row r="1051" spans="1:10" ht="16.95" customHeight="1">
      <c r="A1051" s="75" t="s">
        <v>83</v>
      </c>
      <c r="B1051" s="80" t="s">
        <v>84</v>
      </c>
      <c r="C1051" s="77" t="s">
        <v>48</v>
      </c>
      <c r="D1051" s="78">
        <v>1</v>
      </c>
      <c r="E1051" s="79">
        <f t="shared" si="66"/>
        <v>8.3333333333333332E-3</v>
      </c>
      <c r="F1051" s="79" t="e">
        <f t="shared" si="64"/>
        <v>#REF!</v>
      </c>
      <c r="G1051" s="2"/>
      <c r="H1051" s="37">
        <v>149765</v>
      </c>
      <c r="I1051" s="4">
        <f t="shared" si="65"/>
        <v>1248.0416666666667</v>
      </c>
      <c r="J1051" s="25">
        <f t="shared" si="63"/>
        <v>33</v>
      </c>
    </row>
    <row r="1052" spans="1:10" ht="16.95" customHeight="1">
      <c r="A1052" s="75" t="s">
        <v>85</v>
      </c>
      <c r="B1052" s="80" t="s">
        <v>86</v>
      </c>
      <c r="C1052" s="77" t="s">
        <v>48</v>
      </c>
      <c r="D1052" s="78">
        <v>1</v>
      </c>
      <c r="E1052" s="79">
        <f t="shared" si="66"/>
        <v>8.3333333333333332E-3</v>
      </c>
      <c r="F1052" s="79" t="e">
        <f t="shared" si="64"/>
        <v>#REF!</v>
      </c>
      <c r="G1052" s="2"/>
      <c r="H1052" s="37">
        <v>6996</v>
      </c>
      <c r="I1052" s="4">
        <f t="shared" si="65"/>
        <v>58.3</v>
      </c>
      <c r="J1052" s="25">
        <f t="shared" si="63"/>
        <v>33</v>
      </c>
    </row>
    <row r="1053" spans="1:10" ht="16.95" customHeight="1">
      <c r="A1053" s="75" t="s">
        <v>87</v>
      </c>
      <c r="B1053" s="80" t="s">
        <v>88</v>
      </c>
      <c r="C1053" s="77" t="s">
        <v>48</v>
      </c>
      <c r="D1053" s="78">
        <v>1</v>
      </c>
      <c r="E1053" s="79">
        <f>1/120</f>
        <v>8.3333333333333332E-3</v>
      </c>
      <c r="F1053" s="79" t="e">
        <f t="shared" si="64"/>
        <v>#REF!</v>
      </c>
      <c r="G1053" s="2"/>
      <c r="H1053" s="37">
        <v>116952</v>
      </c>
      <c r="I1053" s="4">
        <f t="shared" si="65"/>
        <v>974.6</v>
      </c>
      <c r="J1053" s="25">
        <f t="shared" si="63"/>
        <v>33</v>
      </c>
    </row>
    <row r="1054" spans="1:10" ht="16.95" customHeight="1">
      <c r="A1054" s="95" t="s">
        <v>23</v>
      </c>
      <c r="B1054" s="95"/>
      <c r="C1054" s="50"/>
      <c r="D1054" s="50"/>
      <c r="E1054" s="50"/>
      <c r="F1054" s="50"/>
      <c r="G1054" s="50"/>
      <c r="H1054" s="3" t="s">
        <v>24</v>
      </c>
      <c r="I1054" s="5">
        <f>SUM(I1019:I1053)</f>
        <v>2637.5250000000001</v>
      </c>
      <c r="J1054" s="25">
        <f t="shared" si="63"/>
        <v>33</v>
      </c>
    </row>
    <row r="1055" spans="1:10" ht="16.95" customHeight="1">
      <c r="A1055" s="96" t="s">
        <v>25</v>
      </c>
      <c r="B1055" s="96"/>
      <c r="C1055" s="50"/>
      <c r="D1055" s="50"/>
      <c r="E1055" s="50"/>
      <c r="F1055" s="50"/>
      <c r="G1055" s="50"/>
      <c r="J1055" s="25">
        <f t="shared" si="63"/>
        <v>33</v>
      </c>
    </row>
    <row r="1056" spans="1:10" ht="16.95" customHeight="1">
      <c r="A1056" s="96" t="s">
        <v>26</v>
      </c>
      <c r="B1056" s="96"/>
      <c r="C1056" s="50"/>
      <c r="D1056" s="50"/>
      <c r="E1056" s="50"/>
      <c r="F1056" s="50"/>
      <c r="G1056" s="50"/>
      <c r="J1056" s="25">
        <f t="shared" si="63"/>
        <v>33</v>
      </c>
    </row>
    <row r="1057" spans="1:10" ht="16.95" customHeight="1">
      <c r="A1057" s="95" t="s">
        <v>27</v>
      </c>
      <c r="B1057" s="95"/>
      <c r="C1057" s="95"/>
      <c r="D1057" s="95"/>
      <c r="E1057" s="95"/>
      <c r="F1057" s="95"/>
      <c r="G1057" s="95"/>
      <c r="J1057" s="25">
        <f t="shared" si="63"/>
        <v>33</v>
      </c>
    </row>
    <row r="1058" spans="1:10" ht="16.95" customHeight="1">
      <c r="A1058" s="94" t="s">
        <v>28</v>
      </c>
      <c r="B1058" s="94"/>
      <c r="C1058" s="51" t="s">
        <v>29</v>
      </c>
      <c r="D1058" s="51" t="s">
        <v>30</v>
      </c>
      <c r="E1058" s="51" t="s">
        <v>18</v>
      </c>
      <c r="F1058" s="51" t="s">
        <v>31</v>
      </c>
      <c r="G1058" s="51" t="s">
        <v>20</v>
      </c>
      <c r="J1058" s="25">
        <f t="shared" si="63"/>
        <v>33</v>
      </c>
    </row>
    <row r="1059" spans="1:10" ht="16.95" customHeight="1">
      <c r="A1059" s="96"/>
      <c r="B1059" s="96"/>
      <c r="C1059" s="50"/>
      <c r="D1059" s="50"/>
      <c r="E1059" s="50"/>
      <c r="F1059" s="50"/>
      <c r="G1059" s="51"/>
      <c r="J1059" s="25">
        <f t="shared" si="63"/>
        <v>33</v>
      </c>
    </row>
    <row r="1060" spans="1:10" ht="16.95" customHeight="1">
      <c r="A1060" s="97"/>
      <c r="B1060" s="97"/>
      <c r="C1060" s="50"/>
      <c r="D1060" s="50"/>
      <c r="E1060" s="50"/>
      <c r="F1060" s="51"/>
      <c r="G1060" s="51"/>
      <c r="J1060" s="25">
        <f t="shared" si="63"/>
        <v>33</v>
      </c>
    </row>
    <row r="1061" spans="1:10" ht="16.95" customHeight="1">
      <c r="A1061" s="95" t="s">
        <v>32</v>
      </c>
      <c r="B1061" s="95"/>
      <c r="C1061" s="95"/>
      <c r="D1061" s="95"/>
      <c r="E1061" s="95"/>
      <c r="F1061" s="95"/>
      <c r="G1061" s="95"/>
      <c r="J1061" s="25">
        <f t="shared" si="63"/>
        <v>34</v>
      </c>
    </row>
    <row r="1062" spans="1:10" ht="16.95" customHeight="1">
      <c r="A1062" s="51" t="s">
        <v>33</v>
      </c>
      <c r="B1062" s="51" t="s">
        <v>34</v>
      </c>
      <c r="C1062" s="94" t="s">
        <v>35</v>
      </c>
      <c r="D1062" s="94"/>
      <c r="E1062" s="51" t="s">
        <v>36</v>
      </c>
      <c r="F1062" s="51" t="s">
        <v>37</v>
      </c>
      <c r="G1062" s="51" t="s">
        <v>38</v>
      </c>
      <c r="J1062" s="25">
        <f t="shared" si="63"/>
        <v>34</v>
      </c>
    </row>
    <row r="1063" spans="1:10" ht="16.95" customHeight="1">
      <c r="A1063" s="51" t="s">
        <v>39</v>
      </c>
      <c r="B1063" s="6"/>
      <c r="C1063" s="94" t="e">
        <f>B1063+C1000</f>
        <v>#REF!</v>
      </c>
      <c r="D1063" s="94"/>
      <c r="E1063" s="51"/>
      <c r="F1063" s="24"/>
      <c r="G1063" s="24"/>
      <c r="J1063" s="25">
        <f t="shared" si="63"/>
        <v>34</v>
      </c>
    </row>
    <row r="1064" spans="1:10" ht="16.95" customHeight="1">
      <c r="A1064" s="51" t="s">
        <v>40</v>
      </c>
      <c r="B1064" s="6"/>
      <c r="C1064" s="94" t="e">
        <f>B1064+C1001</f>
        <v>#REF!</v>
      </c>
      <c r="D1064" s="94"/>
      <c r="E1064" s="51"/>
      <c r="F1064" s="24"/>
      <c r="G1064" s="24"/>
      <c r="J1064" s="25">
        <f t="shared" si="63"/>
        <v>34</v>
      </c>
    </row>
    <row r="1065" spans="1:10" ht="36.6" customHeight="1">
      <c r="A1065" s="95" t="s">
        <v>41</v>
      </c>
      <c r="B1065" s="95"/>
      <c r="C1065" s="95"/>
      <c r="D1065" s="95"/>
      <c r="E1065" s="95"/>
      <c r="F1065" s="95"/>
      <c r="G1065" s="95"/>
      <c r="J1065" s="25">
        <f t="shared" si="63"/>
        <v>34</v>
      </c>
    </row>
    <row r="1066" spans="1:10" ht="90" customHeight="1">
      <c r="A1066" s="92" t="s">
        <v>42</v>
      </c>
      <c r="B1066" s="92"/>
      <c r="C1066" s="92"/>
      <c r="D1066" s="92"/>
      <c r="E1066" s="92"/>
      <c r="F1066" s="92"/>
      <c r="G1066" s="92"/>
      <c r="J1066" s="25">
        <f t="shared" si="63"/>
        <v>34</v>
      </c>
    </row>
    <row r="1067" spans="1:10" ht="16.95" customHeight="1">
      <c r="A1067" s="95" t="s">
        <v>43</v>
      </c>
      <c r="B1067" s="95"/>
      <c r="C1067" s="95"/>
      <c r="D1067" s="95"/>
      <c r="E1067" s="95"/>
      <c r="F1067" s="95"/>
      <c r="G1067" s="95"/>
      <c r="J1067" s="25">
        <f t="shared" si="63"/>
        <v>34</v>
      </c>
    </row>
    <row r="1068" spans="1:10" ht="16.95" customHeight="1">
      <c r="A1068" s="95" t="s">
        <v>44</v>
      </c>
      <c r="B1068" s="95"/>
      <c r="C1068" s="95"/>
      <c r="D1068" s="95"/>
      <c r="E1068" s="95"/>
      <c r="F1068" s="95"/>
      <c r="G1068" s="95"/>
      <c r="J1068" s="25">
        <f t="shared" si="63"/>
        <v>34</v>
      </c>
    </row>
    <row r="1069" spans="1:10" ht="16.95" customHeight="1">
      <c r="A1069" s="91" t="s">
        <v>64</v>
      </c>
      <c r="B1069" s="91"/>
      <c r="C1069" s="91"/>
      <c r="D1069" s="91"/>
      <c r="E1069" s="91"/>
      <c r="F1069" s="91"/>
      <c r="G1069" s="91"/>
      <c r="J1069" s="25">
        <f t="shared" si="63"/>
        <v>34</v>
      </c>
    </row>
    <row r="1070" spans="1:10" ht="120.6" customHeight="1">
      <c r="A1070" s="92" t="s">
        <v>45</v>
      </c>
      <c r="B1070" s="92"/>
      <c r="C1070" s="92"/>
      <c r="D1070" s="92"/>
      <c r="E1070" s="92"/>
      <c r="F1070" s="92"/>
      <c r="G1070" s="92"/>
      <c r="J1070" s="25">
        <f t="shared" si="63"/>
        <v>34</v>
      </c>
    </row>
    <row r="1071" spans="1:10" ht="140.4" customHeight="1">
      <c r="A1071" s="93" t="s">
        <v>46</v>
      </c>
      <c r="B1071" s="93"/>
      <c r="C1071" s="93"/>
      <c r="D1071" s="93"/>
      <c r="E1071" s="93"/>
      <c r="F1071" s="93"/>
      <c r="G1071" s="93"/>
      <c r="J1071" s="25">
        <f t="shared" si="63"/>
        <v>34</v>
      </c>
    </row>
    <row r="1072" spans="1:10" ht="37.200000000000003" customHeight="1">
      <c r="A1072" s="103" t="s">
        <v>0</v>
      </c>
      <c r="B1072" s="103"/>
      <c r="C1072" s="103"/>
      <c r="D1072" s="103"/>
      <c r="E1072" s="103"/>
      <c r="F1072" s="103"/>
      <c r="G1072" s="103"/>
      <c r="J1072" s="25">
        <f t="shared" si="63"/>
        <v>35</v>
      </c>
    </row>
    <row r="1073" spans="1:10" ht="16.95" customHeight="1">
      <c r="A1073" s="1" t="s">
        <v>1</v>
      </c>
      <c r="B1073" s="104">
        <f>B1010+1</f>
        <v>19</v>
      </c>
      <c r="C1073" s="104"/>
      <c r="D1073" s="104"/>
      <c r="E1073" s="104"/>
      <c r="F1073" s="104"/>
      <c r="G1073" s="104"/>
      <c r="J1073" s="25">
        <f t="shared" si="63"/>
        <v>35</v>
      </c>
    </row>
    <row r="1074" spans="1:10" ht="16.95" customHeight="1">
      <c r="A1074" s="1" t="s">
        <v>2</v>
      </c>
      <c r="B1074" s="105" t="s">
        <v>63</v>
      </c>
      <c r="C1074" s="105"/>
      <c r="D1074" s="105"/>
      <c r="E1074" s="106">
        <f>E1011+1</f>
        <v>46221</v>
      </c>
      <c r="F1074" s="106"/>
      <c r="G1074" s="106"/>
      <c r="J1074" s="25">
        <f t="shared" si="63"/>
        <v>35</v>
      </c>
    </row>
    <row r="1075" spans="1:10" ht="16.95" customHeight="1">
      <c r="A1075" s="53" t="s">
        <v>3</v>
      </c>
      <c r="B1075" s="2" t="s">
        <v>67</v>
      </c>
      <c r="C1075" s="98" t="s">
        <v>4</v>
      </c>
      <c r="D1075" s="98"/>
      <c r="E1075" s="98" t="s">
        <v>47</v>
      </c>
      <c r="F1075" s="98"/>
      <c r="G1075" s="98"/>
      <c r="J1075" s="25">
        <f t="shared" si="63"/>
        <v>35</v>
      </c>
    </row>
    <row r="1076" spans="1:10" ht="16.95" customHeight="1">
      <c r="A1076" s="53" t="s">
        <v>5</v>
      </c>
      <c r="B1076" s="54">
        <v>120</v>
      </c>
      <c r="C1076" s="98" t="s">
        <v>6</v>
      </c>
      <c r="D1076" s="98"/>
      <c r="E1076" s="98" t="s">
        <v>123</v>
      </c>
      <c r="F1076" s="98"/>
      <c r="G1076" s="98"/>
      <c r="J1076" s="25">
        <f t="shared" si="63"/>
        <v>35</v>
      </c>
    </row>
    <row r="1077" spans="1:10" ht="16.95" customHeight="1">
      <c r="A1077" s="53" t="s">
        <v>7</v>
      </c>
      <c r="B1077" s="54">
        <f>B1073</f>
        <v>19</v>
      </c>
      <c r="C1077" s="100" t="s">
        <v>8</v>
      </c>
      <c r="D1077" s="100"/>
      <c r="E1077" s="101">
        <f>B1076-B1077</f>
        <v>101</v>
      </c>
      <c r="F1077" s="101"/>
      <c r="G1077" s="101"/>
      <c r="J1077" s="25">
        <f t="shared" si="63"/>
        <v>35</v>
      </c>
    </row>
    <row r="1078" spans="1:10" ht="16.95" customHeight="1">
      <c r="A1078" s="53" t="s">
        <v>9</v>
      </c>
      <c r="B1078" s="55">
        <v>46204</v>
      </c>
      <c r="C1078" s="98" t="s">
        <v>10</v>
      </c>
      <c r="D1078" s="98"/>
      <c r="E1078" s="102">
        <f>B1078+B1076-1</f>
        <v>46323</v>
      </c>
      <c r="F1078" s="102"/>
      <c r="G1078" s="102"/>
      <c r="J1078" s="25">
        <f t="shared" si="63"/>
        <v>35</v>
      </c>
    </row>
    <row r="1079" spans="1:10" ht="16.95" customHeight="1">
      <c r="A1079" s="53" t="s">
        <v>11</v>
      </c>
      <c r="B1079" s="56" t="e">
        <f>HLOOKUP(B1073,進度表!$Q$2:$Z$3,2,1)+B1016</f>
        <v>#REF!</v>
      </c>
      <c r="C1079" s="98" t="s">
        <v>12</v>
      </c>
      <c r="D1079" s="98"/>
      <c r="E1079" s="99" t="e">
        <f>I1117/I1079+E1016</f>
        <v>#REF!</v>
      </c>
      <c r="F1079" s="99"/>
      <c r="G1079" s="99"/>
      <c r="H1079" s="3" t="s">
        <v>62</v>
      </c>
      <c r="I1079" s="1">
        <v>2456000</v>
      </c>
      <c r="J1079" s="25">
        <f t="shared" si="63"/>
        <v>35</v>
      </c>
    </row>
    <row r="1080" spans="1:10" ht="16.95" customHeight="1">
      <c r="A1080" s="98" t="s">
        <v>13</v>
      </c>
      <c r="B1080" s="98"/>
      <c r="C1080" s="98"/>
      <c r="D1080" s="98"/>
      <c r="E1080" s="98"/>
      <c r="F1080" s="98"/>
      <c r="G1080" s="98"/>
      <c r="J1080" s="25">
        <f t="shared" si="63"/>
        <v>35</v>
      </c>
    </row>
    <row r="1081" spans="1:10" ht="16.95" customHeight="1">
      <c r="A1081" s="52" t="s">
        <v>14</v>
      </c>
      <c r="B1081" s="52" t="s">
        <v>15</v>
      </c>
      <c r="C1081" s="52" t="s">
        <v>16</v>
      </c>
      <c r="D1081" s="52" t="s">
        <v>17</v>
      </c>
      <c r="E1081" s="52" t="s">
        <v>18</v>
      </c>
      <c r="F1081" s="52" t="s">
        <v>19</v>
      </c>
      <c r="G1081" s="52" t="s">
        <v>20</v>
      </c>
      <c r="H1081" s="3" t="s">
        <v>21</v>
      </c>
      <c r="I1081" s="3" t="s">
        <v>22</v>
      </c>
      <c r="J1081" s="25">
        <f t="shared" si="63"/>
        <v>35</v>
      </c>
    </row>
    <row r="1082" spans="1:10" ht="16.95" customHeight="1">
      <c r="A1082" s="75" t="s">
        <v>65</v>
      </c>
      <c r="B1082" s="76" t="s">
        <v>69</v>
      </c>
      <c r="C1082" s="77"/>
      <c r="D1082" s="78"/>
      <c r="E1082" s="79"/>
      <c r="F1082" s="79"/>
      <c r="G1082" s="2"/>
      <c r="H1082" s="37"/>
      <c r="I1082" s="4"/>
      <c r="J1082" s="25">
        <f t="shared" si="63"/>
        <v>35</v>
      </c>
    </row>
    <row r="1083" spans="1:10" ht="34.950000000000003" customHeight="1">
      <c r="A1083" s="75">
        <v>1</v>
      </c>
      <c r="B1083" s="80" t="s">
        <v>91</v>
      </c>
      <c r="C1083" s="77" t="s">
        <v>48</v>
      </c>
      <c r="D1083" s="78">
        <v>1</v>
      </c>
      <c r="E1083" s="79"/>
      <c r="F1083" s="79" t="e">
        <f t="shared" ref="F1083:F1116" si="67">E1083+F1020</f>
        <v>#REF!</v>
      </c>
      <c r="G1083" s="2"/>
      <c r="H1083" s="37">
        <v>10508</v>
      </c>
      <c r="I1083" s="4">
        <f>H1083*E1083</f>
        <v>0</v>
      </c>
      <c r="J1083" s="25">
        <f t="shared" ref="J1083:J1146" si="68">J1020+2</f>
        <v>35</v>
      </c>
    </row>
    <row r="1084" spans="1:10" ht="34.799999999999997" customHeight="1">
      <c r="A1084" s="75">
        <v>2</v>
      </c>
      <c r="B1084" s="80" t="s">
        <v>92</v>
      </c>
      <c r="C1084" s="77" t="s">
        <v>48</v>
      </c>
      <c r="D1084" s="78">
        <v>1</v>
      </c>
      <c r="E1084" s="79"/>
      <c r="F1084" s="79" t="e">
        <f t="shared" si="67"/>
        <v>#REF!</v>
      </c>
      <c r="G1084" s="2"/>
      <c r="H1084" s="37">
        <v>13223</v>
      </c>
      <c r="I1084" s="4">
        <f>H1084*E1084</f>
        <v>0</v>
      </c>
      <c r="J1084" s="25">
        <f t="shared" si="68"/>
        <v>35</v>
      </c>
    </row>
    <row r="1085" spans="1:10" ht="53.4" customHeight="1">
      <c r="A1085" s="75">
        <v>3</v>
      </c>
      <c r="B1085" s="80" t="s">
        <v>93</v>
      </c>
      <c r="C1085" s="77" t="s">
        <v>48</v>
      </c>
      <c r="D1085" s="78">
        <v>1</v>
      </c>
      <c r="E1085" s="79"/>
      <c r="F1085" s="79" t="e">
        <f t="shared" si="67"/>
        <v>#REF!</v>
      </c>
      <c r="G1085" s="2"/>
      <c r="H1085" s="37">
        <v>310497</v>
      </c>
      <c r="I1085" s="4">
        <f t="shared" ref="I1085:I1116" si="69">H1085*E1085</f>
        <v>0</v>
      </c>
      <c r="J1085" s="25">
        <f t="shared" si="68"/>
        <v>35</v>
      </c>
    </row>
    <row r="1086" spans="1:10" ht="16.95" customHeight="1">
      <c r="A1086" s="75">
        <v>4</v>
      </c>
      <c r="B1086" s="80" t="s">
        <v>94</v>
      </c>
      <c r="C1086" s="77" t="s">
        <v>48</v>
      </c>
      <c r="D1086" s="78">
        <v>1</v>
      </c>
      <c r="E1086" s="79"/>
      <c r="F1086" s="79" t="e">
        <f t="shared" si="67"/>
        <v>#REF!</v>
      </c>
      <c r="G1086" s="2"/>
      <c r="H1086" s="37">
        <v>8375</v>
      </c>
      <c r="I1086" s="4">
        <f t="shared" si="69"/>
        <v>0</v>
      </c>
      <c r="J1086" s="25">
        <f t="shared" si="68"/>
        <v>35</v>
      </c>
    </row>
    <row r="1087" spans="1:10" ht="16.95" customHeight="1">
      <c r="A1087" s="75">
        <v>5</v>
      </c>
      <c r="B1087" s="80" t="s">
        <v>95</v>
      </c>
      <c r="C1087" s="77" t="s">
        <v>48</v>
      </c>
      <c r="D1087" s="78">
        <v>1</v>
      </c>
      <c r="E1087" s="79"/>
      <c r="F1087" s="79" t="e">
        <f t="shared" si="67"/>
        <v>#REF!</v>
      </c>
      <c r="G1087" s="2"/>
      <c r="H1087" s="37">
        <v>51618</v>
      </c>
      <c r="I1087" s="4">
        <f t="shared" si="69"/>
        <v>0</v>
      </c>
      <c r="J1087" s="25">
        <f t="shared" si="68"/>
        <v>35</v>
      </c>
    </row>
    <row r="1088" spans="1:10" ht="16.95" customHeight="1">
      <c r="A1088" s="75">
        <v>6</v>
      </c>
      <c r="B1088" s="80" t="s">
        <v>96</v>
      </c>
      <c r="C1088" s="77" t="s">
        <v>50</v>
      </c>
      <c r="D1088" s="78">
        <v>11.55</v>
      </c>
      <c r="E1088" s="79"/>
      <c r="F1088" s="79" t="e">
        <f t="shared" si="67"/>
        <v>#REF!</v>
      </c>
      <c r="G1088" s="2"/>
      <c r="H1088" s="37">
        <v>1188</v>
      </c>
      <c r="I1088" s="4">
        <f t="shared" si="69"/>
        <v>0</v>
      </c>
      <c r="J1088" s="25">
        <f t="shared" si="68"/>
        <v>35</v>
      </c>
    </row>
    <row r="1089" spans="1:10" ht="34.950000000000003" customHeight="1">
      <c r="A1089" s="75">
        <v>7</v>
      </c>
      <c r="B1089" s="80" t="s">
        <v>97</v>
      </c>
      <c r="C1089" s="77" t="s">
        <v>48</v>
      </c>
      <c r="D1089" s="78">
        <v>1</v>
      </c>
      <c r="E1089" s="79"/>
      <c r="F1089" s="79" t="e">
        <f t="shared" si="67"/>
        <v>#REF!</v>
      </c>
      <c r="G1089" s="2"/>
      <c r="H1089" s="37">
        <v>21157</v>
      </c>
      <c r="I1089" s="4">
        <f t="shared" si="69"/>
        <v>0</v>
      </c>
      <c r="J1089" s="25">
        <f t="shared" si="68"/>
        <v>35</v>
      </c>
    </row>
    <row r="1090" spans="1:10" ht="16.95" customHeight="1">
      <c r="A1090" s="75">
        <v>8</v>
      </c>
      <c r="B1090" s="80" t="s">
        <v>98</v>
      </c>
      <c r="C1090" s="77" t="s">
        <v>50</v>
      </c>
      <c r="D1090" s="78">
        <v>387</v>
      </c>
      <c r="E1090" s="79"/>
      <c r="F1090" s="79" t="e">
        <f t="shared" si="67"/>
        <v>#REF!</v>
      </c>
      <c r="G1090" s="2"/>
      <c r="H1090" s="37">
        <v>705</v>
      </c>
      <c r="I1090" s="4">
        <f t="shared" si="69"/>
        <v>0</v>
      </c>
      <c r="J1090" s="25">
        <f t="shared" si="68"/>
        <v>35</v>
      </c>
    </row>
    <row r="1091" spans="1:10" ht="16.95" customHeight="1">
      <c r="A1091" s="75">
        <v>9</v>
      </c>
      <c r="B1091" s="80" t="s">
        <v>99</v>
      </c>
      <c r="C1091" s="77" t="s">
        <v>50</v>
      </c>
      <c r="D1091" s="78">
        <v>170</v>
      </c>
      <c r="E1091" s="79"/>
      <c r="F1091" s="79" t="e">
        <f t="shared" si="67"/>
        <v>#REF!</v>
      </c>
      <c r="G1091" s="2"/>
      <c r="H1091" s="37">
        <v>617</v>
      </c>
      <c r="I1091" s="4">
        <f t="shared" si="69"/>
        <v>0</v>
      </c>
      <c r="J1091" s="25">
        <f t="shared" si="68"/>
        <v>35</v>
      </c>
    </row>
    <row r="1092" spans="1:10" ht="16.95" customHeight="1">
      <c r="A1092" s="75">
        <v>10</v>
      </c>
      <c r="B1092" s="80" t="s">
        <v>100</v>
      </c>
      <c r="C1092" s="77" t="s">
        <v>66</v>
      </c>
      <c r="D1092" s="78">
        <v>15</v>
      </c>
      <c r="E1092" s="79"/>
      <c r="F1092" s="79" t="e">
        <f t="shared" si="67"/>
        <v>#REF!</v>
      </c>
      <c r="G1092" s="2"/>
      <c r="H1092" s="37">
        <v>617</v>
      </c>
      <c r="I1092" s="4">
        <f t="shared" si="69"/>
        <v>0</v>
      </c>
      <c r="J1092" s="25">
        <f t="shared" si="68"/>
        <v>35</v>
      </c>
    </row>
    <row r="1093" spans="1:10" ht="16.95" customHeight="1">
      <c r="A1093" s="75">
        <v>11</v>
      </c>
      <c r="B1093" s="80" t="s">
        <v>101</v>
      </c>
      <c r="C1093" s="77" t="s">
        <v>50</v>
      </c>
      <c r="D1093" s="78">
        <v>75</v>
      </c>
      <c r="E1093" s="79"/>
      <c r="F1093" s="79" t="e">
        <f t="shared" si="67"/>
        <v>#REF!</v>
      </c>
      <c r="G1093" s="2"/>
      <c r="H1093" s="37">
        <v>1146</v>
      </c>
      <c r="I1093" s="4">
        <f t="shared" si="69"/>
        <v>0</v>
      </c>
      <c r="J1093" s="25">
        <f t="shared" si="68"/>
        <v>35</v>
      </c>
    </row>
    <row r="1094" spans="1:10" ht="16.95" customHeight="1">
      <c r="A1094" s="75">
        <v>12</v>
      </c>
      <c r="B1094" s="80" t="s">
        <v>102</v>
      </c>
      <c r="C1094" s="77" t="s">
        <v>50</v>
      </c>
      <c r="D1094" s="78">
        <v>5</v>
      </c>
      <c r="E1094" s="79"/>
      <c r="F1094" s="79" t="e">
        <f t="shared" si="67"/>
        <v>#REF!</v>
      </c>
      <c r="G1094" s="2"/>
      <c r="H1094" s="37">
        <v>1455</v>
      </c>
      <c r="I1094" s="4">
        <f t="shared" si="69"/>
        <v>0</v>
      </c>
      <c r="J1094" s="25">
        <f t="shared" si="68"/>
        <v>35</v>
      </c>
    </row>
    <row r="1095" spans="1:10" ht="16.95" customHeight="1">
      <c r="A1095" s="75">
        <v>13</v>
      </c>
      <c r="B1095" s="80" t="s">
        <v>103</v>
      </c>
      <c r="C1095" s="77" t="s">
        <v>50</v>
      </c>
      <c r="D1095" s="78">
        <v>217</v>
      </c>
      <c r="E1095" s="79"/>
      <c r="F1095" s="79" t="e">
        <f t="shared" si="67"/>
        <v>#REF!</v>
      </c>
      <c r="G1095" s="2"/>
      <c r="H1095" s="37">
        <v>1410</v>
      </c>
      <c r="I1095" s="4">
        <f t="shared" si="69"/>
        <v>0</v>
      </c>
      <c r="J1095" s="25">
        <f t="shared" si="68"/>
        <v>35</v>
      </c>
    </row>
    <row r="1096" spans="1:10" ht="16.95" customHeight="1">
      <c r="A1096" s="75">
        <v>14</v>
      </c>
      <c r="B1096" s="80" t="s">
        <v>104</v>
      </c>
      <c r="C1096" s="77" t="s">
        <v>49</v>
      </c>
      <c r="D1096" s="78">
        <v>84</v>
      </c>
      <c r="E1096" s="79"/>
      <c r="F1096" s="79" t="e">
        <f t="shared" si="67"/>
        <v>#REF!</v>
      </c>
      <c r="G1096" s="2"/>
      <c r="H1096" s="37">
        <v>529</v>
      </c>
      <c r="I1096" s="4">
        <f t="shared" si="69"/>
        <v>0</v>
      </c>
      <c r="J1096" s="25">
        <f t="shared" si="68"/>
        <v>35</v>
      </c>
    </row>
    <row r="1097" spans="1:10" ht="16.95" customHeight="1">
      <c r="A1097" s="75">
        <v>15</v>
      </c>
      <c r="B1097" s="80" t="s">
        <v>105</v>
      </c>
      <c r="C1097" s="77" t="s">
        <v>50</v>
      </c>
      <c r="D1097" s="78">
        <v>1</v>
      </c>
      <c r="E1097" s="79"/>
      <c r="F1097" s="79" t="e">
        <f t="shared" si="67"/>
        <v>#REF!</v>
      </c>
      <c r="G1097" s="2"/>
      <c r="H1097" s="37">
        <v>1146</v>
      </c>
      <c r="I1097" s="4">
        <f t="shared" si="69"/>
        <v>0</v>
      </c>
      <c r="J1097" s="25">
        <f t="shared" si="68"/>
        <v>35</v>
      </c>
    </row>
    <row r="1098" spans="1:10" ht="34.799999999999997" customHeight="1">
      <c r="A1098" s="75">
        <v>16</v>
      </c>
      <c r="B1098" s="80" t="s">
        <v>106</v>
      </c>
      <c r="C1098" s="77" t="s">
        <v>50</v>
      </c>
      <c r="D1098" s="78">
        <v>314</v>
      </c>
      <c r="E1098" s="79"/>
      <c r="F1098" s="79" t="e">
        <f t="shared" si="67"/>
        <v>#REF!</v>
      </c>
      <c r="G1098" s="2"/>
      <c r="H1098" s="37">
        <v>185</v>
      </c>
      <c r="I1098" s="4">
        <f t="shared" si="69"/>
        <v>0</v>
      </c>
      <c r="J1098" s="25">
        <f t="shared" si="68"/>
        <v>35</v>
      </c>
    </row>
    <row r="1099" spans="1:10" ht="16.95" customHeight="1">
      <c r="A1099" s="75">
        <v>17</v>
      </c>
      <c r="B1099" s="80" t="s">
        <v>107</v>
      </c>
      <c r="C1099" s="77" t="s">
        <v>48</v>
      </c>
      <c r="D1099" s="78">
        <v>1</v>
      </c>
      <c r="E1099" s="79"/>
      <c r="F1099" s="79" t="e">
        <f t="shared" si="67"/>
        <v>#REF!</v>
      </c>
      <c r="G1099" s="2"/>
      <c r="H1099" s="37">
        <v>89918</v>
      </c>
      <c r="I1099" s="4">
        <f t="shared" si="69"/>
        <v>0</v>
      </c>
      <c r="J1099" s="25">
        <f t="shared" si="68"/>
        <v>35</v>
      </c>
    </row>
    <row r="1100" spans="1:10" ht="16.95" customHeight="1">
      <c r="A1100" s="75">
        <v>18</v>
      </c>
      <c r="B1100" s="80" t="s">
        <v>108</v>
      </c>
      <c r="C1100" s="77" t="s">
        <v>120</v>
      </c>
      <c r="D1100" s="78">
        <v>15</v>
      </c>
      <c r="E1100" s="79"/>
      <c r="F1100" s="79" t="e">
        <f t="shared" si="67"/>
        <v>#REF!</v>
      </c>
      <c r="G1100" s="2"/>
      <c r="H1100" s="37">
        <v>661</v>
      </c>
      <c r="I1100" s="4">
        <f t="shared" si="69"/>
        <v>0</v>
      </c>
      <c r="J1100" s="25">
        <f t="shared" si="68"/>
        <v>35</v>
      </c>
    </row>
    <row r="1101" spans="1:10" ht="16.95" customHeight="1">
      <c r="A1101" s="75">
        <v>19</v>
      </c>
      <c r="B1101" s="80" t="s">
        <v>109</v>
      </c>
      <c r="C1101" s="77" t="s">
        <v>50</v>
      </c>
      <c r="D1101" s="78">
        <v>82</v>
      </c>
      <c r="E1101" s="79"/>
      <c r="F1101" s="79" t="e">
        <f t="shared" si="67"/>
        <v>#REF!</v>
      </c>
      <c r="G1101" s="2"/>
      <c r="H1101" s="37">
        <v>2909</v>
      </c>
      <c r="I1101" s="4">
        <f t="shared" si="69"/>
        <v>0</v>
      </c>
      <c r="J1101" s="25">
        <f t="shared" si="68"/>
        <v>35</v>
      </c>
    </row>
    <row r="1102" spans="1:10" ht="16.95" customHeight="1">
      <c r="A1102" s="75">
        <v>20</v>
      </c>
      <c r="B1102" s="80" t="s">
        <v>110</v>
      </c>
      <c r="C1102" s="77" t="s">
        <v>121</v>
      </c>
      <c r="D1102" s="78">
        <v>12</v>
      </c>
      <c r="E1102" s="79"/>
      <c r="F1102" s="79" t="e">
        <f t="shared" si="67"/>
        <v>#REF!</v>
      </c>
      <c r="G1102" s="2"/>
      <c r="H1102" s="37">
        <v>882</v>
      </c>
      <c r="I1102" s="4">
        <f t="shared" si="69"/>
        <v>0</v>
      </c>
      <c r="J1102" s="25">
        <f t="shared" si="68"/>
        <v>35</v>
      </c>
    </row>
    <row r="1103" spans="1:10" ht="16.95" customHeight="1">
      <c r="A1103" s="77">
        <v>21</v>
      </c>
      <c r="B1103" s="80" t="s">
        <v>111</v>
      </c>
      <c r="C1103" s="77" t="s">
        <v>122</v>
      </c>
      <c r="D1103" s="78">
        <v>3</v>
      </c>
      <c r="E1103" s="79"/>
      <c r="F1103" s="79" t="e">
        <f t="shared" si="67"/>
        <v>#REF!</v>
      </c>
      <c r="G1103" s="2"/>
      <c r="H1103" s="38">
        <v>1869</v>
      </c>
      <c r="I1103" s="4">
        <f t="shared" si="69"/>
        <v>0</v>
      </c>
      <c r="J1103" s="25">
        <f t="shared" si="68"/>
        <v>35</v>
      </c>
    </row>
    <row r="1104" spans="1:10" ht="34.950000000000003" customHeight="1">
      <c r="A1104" s="75">
        <v>22</v>
      </c>
      <c r="B1104" s="80" t="s">
        <v>112</v>
      </c>
      <c r="C1104" s="77" t="s">
        <v>48</v>
      </c>
      <c r="D1104" s="78">
        <v>1</v>
      </c>
      <c r="E1104" s="79"/>
      <c r="F1104" s="79" t="e">
        <f t="shared" si="67"/>
        <v>#REF!</v>
      </c>
      <c r="G1104" s="2"/>
      <c r="H1104" s="37">
        <v>82206</v>
      </c>
      <c r="I1104" s="4">
        <f t="shared" si="69"/>
        <v>0</v>
      </c>
      <c r="J1104" s="25">
        <f t="shared" si="68"/>
        <v>35</v>
      </c>
    </row>
    <row r="1105" spans="1:10" ht="16.95" customHeight="1">
      <c r="A1105" s="75">
        <v>23</v>
      </c>
      <c r="B1105" s="80" t="s">
        <v>113</v>
      </c>
      <c r="C1105" s="77" t="s">
        <v>48</v>
      </c>
      <c r="D1105" s="78">
        <v>1</v>
      </c>
      <c r="E1105" s="79"/>
      <c r="F1105" s="79" t="e">
        <f t="shared" si="67"/>
        <v>#REF!</v>
      </c>
      <c r="G1105" s="2"/>
      <c r="H1105" s="37">
        <v>142723</v>
      </c>
      <c r="I1105" s="4">
        <f t="shared" si="69"/>
        <v>0</v>
      </c>
      <c r="J1105" s="25">
        <f t="shared" si="68"/>
        <v>35</v>
      </c>
    </row>
    <row r="1106" spans="1:10" ht="16.95" customHeight="1">
      <c r="A1106" s="75">
        <v>24</v>
      </c>
      <c r="B1106" s="80" t="s">
        <v>114</v>
      </c>
      <c r="C1106" s="77" t="s">
        <v>48</v>
      </c>
      <c r="D1106" s="78">
        <v>1</v>
      </c>
      <c r="E1106" s="79"/>
      <c r="F1106" s="79" t="e">
        <f t="shared" si="67"/>
        <v>#REF!</v>
      </c>
      <c r="G1106" s="2"/>
      <c r="H1106" s="37">
        <v>37290</v>
      </c>
      <c r="I1106" s="4">
        <f t="shared" si="69"/>
        <v>0</v>
      </c>
      <c r="J1106" s="25">
        <f t="shared" si="68"/>
        <v>35</v>
      </c>
    </row>
    <row r="1107" spans="1:10" ht="16.95" customHeight="1">
      <c r="A1107" s="75">
        <v>25</v>
      </c>
      <c r="B1107" s="80" t="s">
        <v>115</v>
      </c>
      <c r="C1107" s="77" t="s">
        <v>48</v>
      </c>
      <c r="D1107" s="78">
        <v>1</v>
      </c>
      <c r="E1107" s="79"/>
      <c r="F1107" s="79" t="e">
        <f t="shared" si="67"/>
        <v>#REF!</v>
      </c>
      <c r="G1107" s="2"/>
      <c r="H1107" s="37">
        <v>99394</v>
      </c>
      <c r="I1107" s="4">
        <f t="shared" si="69"/>
        <v>0</v>
      </c>
      <c r="J1107" s="25">
        <f t="shared" si="68"/>
        <v>35</v>
      </c>
    </row>
    <row r="1108" spans="1:10" ht="34.950000000000003" customHeight="1">
      <c r="A1108" s="75">
        <v>26</v>
      </c>
      <c r="B1108" s="80" t="s">
        <v>116</v>
      </c>
      <c r="C1108" s="77" t="s">
        <v>48</v>
      </c>
      <c r="D1108" s="78">
        <v>1</v>
      </c>
      <c r="E1108" s="79"/>
      <c r="F1108" s="79" t="e">
        <f t="shared" si="67"/>
        <v>#REF!</v>
      </c>
      <c r="G1108" s="2"/>
      <c r="H1108" s="37">
        <v>21334</v>
      </c>
      <c r="I1108" s="4">
        <f t="shared" si="69"/>
        <v>0</v>
      </c>
      <c r="J1108" s="25">
        <f t="shared" si="68"/>
        <v>35</v>
      </c>
    </row>
    <row r="1109" spans="1:10" ht="16.95" customHeight="1">
      <c r="A1109" s="75">
        <v>27</v>
      </c>
      <c r="B1109" s="80" t="s">
        <v>117</v>
      </c>
      <c r="C1109" s="77" t="s">
        <v>48</v>
      </c>
      <c r="D1109" s="78">
        <v>1</v>
      </c>
      <c r="E1109" s="79"/>
      <c r="F1109" s="79" t="e">
        <f t="shared" si="67"/>
        <v>#REF!</v>
      </c>
      <c r="G1109" s="2"/>
      <c r="H1109" s="37">
        <v>29620</v>
      </c>
      <c r="I1109" s="4">
        <f t="shared" si="69"/>
        <v>0</v>
      </c>
      <c r="J1109" s="25">
        <f t="shared" si="68"/>
        <v>35</v>
      </c>
    </row>
    <row r="1110" spans="1:10" ht="16.95" customHeight="1">
      <c r="A1110" s="75">
        <v>28</v>
      </c>
      <c r="B1110" s="80" t="s">
        <v>118</v>
      </c>
      <c r="C1110" s="77" t="s">
        <v>48</v>
      </c>
      <c r="D1110" s="78">
        <v>1</v>
      </c>
      <c r="E1110" s="79"/>
      <c r="F1110" s="79" t="e">
        <f t="shared" si="67"/>
        <v>#REF!</v>
      </c>
      <c r="G1110" s="2"/>
      <c r="H1110" s="37">
        <v>18506</v>
      </c>
      <c r="I1110" s="4">
        <f t="shared" si="69"/>
        <v>0</v>
      </c>
      <c r="J1110" s="25">
        <f t="shared" si="68"/>
        <v>35</v>
      </c>
    </row>
    <row r="1111" spans="1:10" ht="16.95" customHeight="1">
      <c r="A1111" s="75">
        <v>29</v>
      </c>
      <c r="B1111" s="80" t="s">
        <v>119</v>
      </c>
      <c r="C1111" s="77" t="s">
        <v>48</v>
      </c>
      <c r="D1111" s="78">
        <v>1</v>
      </c>
      <c r="E1111" s="79"/>
      <c r="F1111" s="79" t="e">
        <f t="shared" si="67"/>
        <v>#REF!</v>
      </c>
      <c r="G1111" s="2"/>
      <c r="H1111" s="37">
        <v>34381</v>
      </c>
      <c r="I1111" s="4">
        <f t="shared" si="69"/>
        <v>0</v>
      </c>
      <c r="J1111" s="25">
        <f t="shared" si="68"/>
        <v>35</v>
      </c>
    </row>
    <row r="1112" spans="1:10" ht="16.95" customHeight="1">
      <c r="A1112" s="75" t="s">
        <v>79</v>
      </c>
      <c r="B1112" s="80" t="s">
        <v>80</v>
      </c>
      <c r="C1112" s="77" t="s">
        <v>48</v>
      </c>
      <c r="D1112" s="78">
        <v>1</v>
      </c>
      <c r="E1112" s="79">
        <f t="shared" ref="E1112:E1115" si="70">1/120</f>
        <v>8.3333333333333332E-3</v>
      </c>
      <c r="F1112" s="79" t="e">
        <f t="shared" si="67"/>
        <v>#REF!</v>
      </c>
      <c r="G1112" s="2"/>
      <c r="H1112" s="37">
        <v>21395</v>
      </c>
      <c r="I1112" s="4">
        <f t="shared" si="69"/>
        <v>178.29166666666666</v>
      </c>
      <c r="J1112" s="25">
        <f t="shared" si="68"/>
        <v>35</v>
      </c>
    </row>
    <row r="1113" spans="1:10" ht="16.95" customHeight="1">
      <c r="A1113" s="75" t="s">
        <v>81</v>
      </c>
      <c r="B1113" s="80" t="s">
        <v>82</v>
      </c>
      <c r="C1113" s="77" t="s">
        <v>48</v>
      </c>
      <c r="D1113" s="78">
        <v>1</v>
      </c>
      <c r="E1113" s="79">
        <f t="shared" si="70"/>
        <v>8.3333333333333332E-3</v>
      </c>
      <c r="F1113" s="79" t="e">
        <f t="shared" si="67"/>
        <v>#REF!</v>
      </c>
      <c r="G1113" s="2"/>
      <c r="H1113" s="37">
        <v>21395</v>
      </c>
      <c r="I1113" s="4">
        <f t="shared" si="69"/>
        <v>178.29166666666666</v>
      </c>
      <c r="J1113" s="25">
        <f t="shared" si="68"/>
        <v>35</v>
      </c>
    </row>
    <row r="1114" spans="1:10" ht="16.95" customHeight="1">
      <c r="A1114" s="75" t="s">
        <v>83</v>
      </c>
      <c r="B1114" s="80" t="s">
        <v>84</v>
      </c>
      <c r="C1114" s="77" t="s">
        <v>48</v>
      </c>
      <c r="D1114" s="78">
        <v>1</v>
      </c>
      <c r="E1114" s="79">
        <f t="shared" si="70"/>
        <v>8.3333333333333332E-3</v>
      </c>
      <c r="F1114" s="79" t="e">
        <f t="shared" si="67"/>
        <v>#REF!</v>
      </c>
      <c r="G1114" s="2"/>
      <c r="H1114" s="37">
        <v>149765</v>
      </c>
      <c r="I1114" s="4">
        <f t="shared" si="69"/>
        <v>1248.0416666666667</v>
      </c>
      <c r="J1114" s="25">
        <f t="shared" si="68"/>
        <v>35</v>
      </c>
    </row>
    <row r="1115" spans="1:10" ht="16.95" customHeight="1">
      <c r="A1115" s="75" t="s">
        <v>85</v>
      </c>
      <c r="B1115" s="80" t="s">
        <v>86</v>
      </c>
      <c r="C1115" s="77" t="s">
        <v>48</v>
      </c>
      <c r="D1115" s="78">
        <v>1</v>
      </c>
      <c r="E1115" s="79">
        <f t="shared" si="70"/>
        <v>8.3333333333333332E-3</v>
      </c>
      <c r="F1115" s="79" t="e">
        <f t="shared" si="67"/>
        <v>#REF!</v>
      </c>
      <c r="G1115" s="2"/>
      <c r="H1115" s="37">
        <v>6996</v>
      </c>
      <c r="I1115" s="4">
        <f t="shared" si="69"/>
        <v>58.3</v>
      </c>
      <c r="J1115" s="25">
        <f t="shared" si="68"/>
        <v>35</v>
      </c>
    </row>
    <row r="1116" spans="1:10" ht="16.95" customHeight="1">
      <c r="A1116" s="75" t="s">
        <v>87</v>
      </c>
      <c r="B1116" s="80" t="s">
        <v>88</v>
      </c>
      <c r="C1116" s="77" t="s">
        <v>48</v>
      </c>
      <c r="D1116" s="78">
        <v>1</v>
      </c>
      <c r="E1116" s="79">
        <f>1/120</f>
        <v>8.3333333333333332E-3</v>
      </c>
      <c r="F1116" s="79" t="e">
        <f t="shared" si="67"/>
        <v>#REF!</v>
      </c>
      <c r="G1116" s="2"/>
      <c r="H1116" s="37">
        <v>116952</v>
      </c>
      <c r="I1116" s="4">
        <f t="shared" si="69"/>
        <v>974.6</v>
      </c>
      <c r="J1116" s="25">
        <f t="shared" si="68"/>
        <v>35</v>
      </c>
    </row>
    <row r="1117" spans="1:10" ht="16.95" customHeight="1">
      <c r="A1117" s="95" t="s">
        <v>23</v>
      </c>
      <c r="B1117" s="95"/>
      <c r="C1117" s="50"/>
      <c r="D1117" s="50"/>
      <c r="E1117" s="50"/>
      <c r="F1117" s="50"/>
      <c r="G1117" s="50"/>
      <c r="H1117" s="3" t="s">
        <v>24</v>
      </c>
      <c r="I1117" s="5">
        <f>SUM(I1082:I1116)</f>
        <v>2637.5250000000001</v>
      </c>
      <c r="J1117" s="25">
        <f t="shared" si="68"/>
        <v>35</v>
      </c>
    </row>
    <row r="1118" spans="1:10" ht="16.95" customHeight="1">
      <c r="A1118" s="96" t="s">
        <v>25</v>
      </c>
      <c r="B1118" s="96"/>
      <c r="C1118" s="50"/>
      <c r="D1118" s="50"/>
      <c r="E1118" s="50"/>
      <c r="F1118" s="50"/>
      <c r="G1118" s="50"/>
      <c r="J1118" s="25">
        <f t="shared" si="68"/>
        <v>35</v>
      </c>
    </row>
    <row r="1119" spans="1:10" ht="16.95" customHeight="1">
      <c r="A1119" s="96" t="s">
        <v>26</v>
      </c>
      <c r="B1119" s="96"/>
      <c r="C1119" s="50"/>
      <c r="D1119" s="50"/>
      <c r="E1119" s="50"/>
      <c r="F1119" s="50"/>
      <c r="G1119" s="50"/>
      <c r="J1119" s="25">
        <f t="shared" si="68"/>
        <v>35</v>
      </c>
    </row>
    <row r="1120" spans="1:10" ht="16.95" customHeight="1">
      <c r="A1120" s="95" t="s">
        <v>27</v>
      </c>
      <c r="B1120" s="95"/>
      <c r="C1120" s="95"/>
      <c r="D1120" s="95"/>
      <c r="E1120" s="95"/>
      <c r="F1120" s="95"/>
      <c r="G1120" s="95"/>
      <c r="J1120" s="25">
        <f t="shared" si="68"/>
        <v>35</v>
      </c>
    </row>
    <row r="1121" spans="1:10" ht="16.95" customHeight="1">
      <c r="A1121" s="94" t="s">
        <v>28</v>
      </c>
      <c r="B1121" s="94"/>
      <c r="C1121" s="51" t="s">
        <v>29</v>
      </c>
      <c r="D1121" s="51" t="s">
        <v>30</v>
      </c>
      <c r="E1121" s="51" t="s">
        <v>18</v>
      </c>
      <c r="F1121" s="51" t="s">
        <v>31</v>
      </c>
      <c r="G1121" s="51" t="s">
        <v>20</v>
      </c>
      <c r="J1121" s="25">
        <f t="shared" si="68"/>
        <v>35</v>
      </c>
    </row>
    <row r="1122" spans="1:10" ht="16.95" customHeight="1">
      <c r="A1122" s="96"/>
      <c r="B1122" s="96"/>
      <c r="C1122" s="50"/>
      <c r="D1122" s="50"/>
      <c r="E1122" s="50"/>
      <c r="F1122" s="50"/>
      <c r="G1122" s="51"/>
      <c r="J1122" s="25">
        <f t="shared" si="68"/>
        <v>35</v>
      </c>
    </row>
    <row r="1123" spans="1:10" ht="16.95" customHeight="1">
      <c r="A1123" s="97"/>
      <c r="B1123" s="97"/>
      <c r="C1123" s="50"/>
      <c r="D1123" s="50"/>
      <c r="E1123" s="50"/>
      <c r="F1123" s="51"/>
      <c r="G1123" s="51"/>
      <c r="J1123" s="25">
        <f t="shared" si="68"/>
        <v>35</v>
      </c>
    </row>
    <row r="1124" spans="1:10" ht="16.95" customHeight="1">
      <c r="A1124" s="95" t="s">
        <v>32</v>
      </c>
      <c r="B1124" s="95"/>
      <c r="C1124" s="95"/>
      <c r="D1124" s="95"/>
      <c r="E1124" s="95"/>
      <c r="F1124" s="95"/>
      <c r="G1124" s="95"/>
      <c r="J1124" s="25">
        <f t="shared" si="68"/>
        <v>36</v>
      </c>
    </row>
    <row r="1125" spans="1:10" ht="16.95" customHeight="1">
      <c r="A1125" s="51" t="s">
        <v>33</v>
      </c>
      <c r="B1125" s="51" t="s">
        <v>34</v>
      </c>
      <c r="C1125" s="94" t="s">
        <v>35</v>
      </c>
      <c r="D1125" s="94"/>
      <c r="E1125" s="51" t="s">
        <v>36</v>
      </c>
      <c r="F1125" s="51" t="s">
        <v>37</v>
      </c>
      <c r="G1125" s="51" t="s">
        <v>38</v>
      </c>
      <c r="J1125" s="25">
        <f t="shared" si="68"/>
        <v>36</v>
      </c>
    </row>
    <row r="1126" spans="1:10" ht="16.95" customHeight="1">
      <c r="A1126" s="51" t="s">
        <v>39</v>
      </c>
      <c r="B1126" s="6"/>
      <c r="C1126" s="94" t="e">
        <f>B1126+C1063</f>
        <v>#REF!</v>
      </c>
      <c r="D1126" s="94"/>
      <c r="E1126" s="51"/>
      <c r="F1126" s="24"/>
      <c r="G1126" s="24"/>
      <c r="J1126" s="25">
        <f t="shared" si="68"/>
        <v>36</v>
      </c>
    </row>
    <row r="1127" spans="1:10" ht="16.95" customHeight="1">
      <c r="A1127" s="51" t="s">
        <v>40</v>
      </c>
      <c r="B1127" s="6"/>
      <c r="C1127" s="94" t="e">
        <f>B1127+C1064</f>
        <v>#REF!</v>
      </c>
      <c r="D1127" s="94"/>
      <c r="E1127" s="51"/>
      <c r="F1127" s="24"/>
      <c r="G1127" s="24"/>
      <c r="J1127" s="25">
        <f t="shared" si="68"/>
        <v>36</v>
      </c>
    </row>
    <row r="1128" spans="1:10" ht="36.6" customHeight="1">
      <c r="A1128" s="95" t="s">
        <v>41</v>
      </c>
      <c r="B1128" s="95"/>
      <c r="C1128" s="95"/>
      <c r="D1128" s="95"/>
      <c r="E1128" s="95"/>
      <c r="F1128" s="95"/>
      <c r="G1128" s="95"/>
      <c r="J1128" s="25">
        <f t="shared" si="68"/>
        <v>36</v>
      </c>
    </row>
    <row r="1129" spans="1:10" ht="90" customHeight="1">
      <c r="A1129" s="92" t="s">
        <v>42</v>
      </c>
      <c r="B1129" s="92"/>
      <c r="C1129" s="92"/>
      <c r="D1129" s="92"/>
      <c r="E1129" s="92"/>
      <c r="F1129" s="92"/>
      <c r="G1129" s="92"/>
      <c r="J1129" s="25">
        <f t="shared" si="68"/>
        <v>36</v>
      </c>
    </row>
    <row r="1130" spans="1:10" ht="16.95" customHeight="1">
      <c r="A1130" s="95" t="s">
        <v>43</v>
      </c>
      <c r="B1130" s="95"/>
      <c r="C1130" s="95"/>
      <c r="D1130" s="95"/>
      <c r="E1130" s="95"/>
      <c r="F1130" s="95"/>
      <c r="G1130" s="95"/>
      <c r="J1130" s="25">
        <f t="shared" si="68"/>
        <v>36</v>
      </c>
    </row>
    <row r="1131" spans="1:10" ht="16.95" customHeight="1">
      <c r="A1131" s="95" t="s">
        <v>44</v>
      </c>
      <c r="B1131" s="95"/>
      <c r="C1131" s="95"/>
      <c r="D1131" s="95"/>
      <c r="E1131" s="95"/>
      <c r="F1131" s="95"/>
      <c r="G1131" s="95"/>
      <c r="J1131" s="25">
        <f t="shared" si="68"/>
        <v>36</v>
      </c>
    </row>
    <row r="1132" spans="1:10" ht="16.95" customHeight="1">
      <c r="A1132" s="91" t="s">
        <v>64</v>
      </c>
      <c r="B1132" s="91"/>
      <c r="C1132" s="91"/>
      <c r="D1132" s="91"/>
      <c r="E1132" s="91"/>
      <c r="F1132" s="91"/>
      <c r="G1132" s="91"/>
      <c r="J1132" s="25">
        <f t="shared" si="68"/>
        <v>36</v>
      </c>
    </row>
    <row r="1133" spans="1:10" ht="120.6" customHeight="1">
      <c r="A1133" s="92" t="s">
        <v>45</v>
      </c>
      <c r="B1133" s="92"/>
      <c r="C1133" s="92"/>
      <c r="D1133" s="92"/>
      <c r="E1133" s="92"/>
      <c r="F1133" s="92"/>
      <c r="G1133" s="92"/>
      <c r="J1133" s="25">
        <f t="shared" si="68"/>
        <v>36</v>
      </c>
    </row>
    <row r="1134" spans="1:10" ht="140.4" customHeight="1">
      <c r="A1134" s="93" t="s">
        <v>46</v>
      </c>
      <c r="B1134" s="93"/>
      <c r="C1134" s="93"/>
      <c r="D1134" s="93"/>
      <c r="E1134" s="93"/>
      <c r="F1134" s="93"/>
      <c r="G1134" s="93"/>
      <c r="J1134" s="25">
        <f t="shared" si="68"/>
        <v>36</v>
      </c>
    </row>
    <row r="1135" spans="1:10" ht="37.200000000000003" customHeight="1">
      <c r="A1135" s="103" t="s">
        <v>0</v>
      </c>
      <c r="B1135" s="103"/>
      <c r="C1135" s="103"/>
      <c r="D1135" s="103"/>
      <c r="E1135" s="103"/>
      <c r="F1135" s="103"/>
      <c r="G1135" s="103"/>
      <c r="J1135" s="25">
        <f t="shared" si="68"/>
        <v>37</v>
      </c>
    </row>
    <row r="1136" spans="1:10" ht="16.95" customHeight="1">
      <c r="A1136" s="1" t="s">
        <v>1</v>
      </c>
      <c r="B1136" s="104">
        <f>B1073+1</f>
        <v>20</v>
      </c>
      <c r="C1136" s="104"/>
      <c r="D1136" s="104"/>
      <c r="E1136" s="104"/>
      <c r="F1136" s="104"/>
      <c r="G1136" s="104"/>
      <c r="J1136" s="25">
        <f t="shared" si="68"/>
        <v>37</v>
      </c>
    </row>
    <row r="1137" spans="1:10" ht="16.95" customHeight="1">
      <c r="A1137" s="1" t="s">
        <v>2</v>
      </c>
      <c r="B1137" s="105" t="s">
        <v>63</v>
      </c>
      <c r="C1137" s="105"/>
      <c r="D1137" s="105"/>
      <c r="E1137" s="106">
        <f>E1074+1</f>
        <v>46222</v>
      </c>
      <c r="F1137" s="106"/>
      <c r="G1137" s="106"/>
      <c r="J1137" s="25">
        <f t="shared" si="68"/>
        <v>37</v>
      </c>
    </row>
    <row r="1138" spans="1:10" ht="16.95" customHeight="1">
      <c r="A1138" s="53" t="s">
        <v>3</v>
      </c>
      <c r="B1138" s="2" t="s">
        <v>67</v>
      </c>
      <c r="C1138" s="98" t="s">
        <v>4</v>
      </c>
      <c r="D1138" s="98"/>
      <c r="E1138" s="98" t="s">
        <v>47</v>
      </c>
      <c r="F1138" s="98"/>
      <c r="G1138" s="98"/>
      <c r="J1138" s="25">
        <f t="shared" si="68"/>
        <v>37</v>
      </c>
    </row>
    <row r="1139" spans="1:10" ht="16.95" customHeight="1">
      <c r="A1139" s="53" t="s">
        <v>5</v>
      </c>
      <c r="B1139" s="54">
        <v>120</v>
      </c>
      <c r="C1139" s="98" t="s">
        <v>6</v>
      </c>
      <c r="D1139" s="98"/>
      <c r="E1139" s="98" t="s">
        <v>123</v>
      </c>
      <c r="F1139" s="98"/>
      <c r="G1139" s="98"/>
      <c r="J1139" s="25">
        <f t="shared" si="68"/>
        <v>37</v>
      </c>
    </row>
    <row r="1140" spans="1:10" ht="16.95" customHeight="1">
      <c r="A1140" s="53" t="s">
        <v>7</v>
      </c>
      <c r="B1140" s="54">
        <f>B1136</f>
        <v>20</v>
      </c>
      <c r="C1140" s="100" t="s">
        <v>8</v>
      </c>
      <c r="D1140" s="100"/>
      <c r="E1140" s="101">
        <f>B1139-B1140</f>
        <v>100</v>
      </c>
      <c r="F1140" s="101"/>
      <c r="G1140" s="101"/>
      <c r="J1140" s="25">
        <f t="shared" si="68"/>
        <v>37</v>
      </c>
    </row>
    <row r="1141" spans="1:10" ht="16.95" customHeight="1">
      <c r="A1141" s="53" t="s">
        <v>9</v>
      </c>
      <c r="B1141" s="55">
        <v>46204</v>
      </c>
      <c r="C1141" s="98" t="s">
        <v>10</v>
      </c>
      <c r="D1141" s="98"/>
      <c r="E1141" s="102">
        <f>B1141+B1139-1</f>
        <v>46323</v>
      </c>
      <c r="F1141" s="102"/>
      <c r="G1141" s="102"/>
      <c r="J1141" s="25">
        <f t="shared" si="68"/>
        <v>37</v>
      </c>
    </row>
    <row r="1142" spans="1:10" ht="16.95" customHeight="1">
      <c r="A1142" s="53" t="s">
        <v>11</v>
      </c>
      <c r="B1142" s="56" t="e">
        <f>HLOOKUP(B1136,進度表!$Q$2:$Z$3,2,1)+B1079</f>
        <v>#REF!</v>
      </c>
      <c r="C1142" s="98" t="s">
        <v>12</v>
      </c>
      <c r="D1142" s="98"/>
      <c r="E1142" s="99" t="e">
        <f>I1180/I1142+E1079</f>
        <v>#REF!</v>
      </c>
      <c r="F1142" s="99"/>
      <c r="G1142" s="99"/>
      <c r="H1142" s="3" t="s">
        <v>62</v>
      </c>
      <c r="I1142" s="1">
        <v>2456000</v>
      </c>
      <c r="J1142" s="25">
        <f t="shared" si="68"/>
        <v>37</v>
      </c>
    </row>
    <row r="1143" spans="1:10" ht="16.95" customHeight="1">
      <c r="A1143" s="98" t="s">
        <v>13</v>
      </c>
      <c r="B1143" s="98"/>
      <c r="C1143" s="98"/>
      <c r="D1143" s="98"/>
      <c r="E1143" s="98"/>
      <c r="F1143" s="98"/>
      <c r="G1143" s="98"/>
      <c r="J1143" s="25">
        <f t="shared" si="68"/>
        <v>37</v>
      </c>
    </row>
    <row r="1144" spans="1:10" ht="16.95" customHeight="1">
      <c r="A1144" s="52" t="s">
        <v>14</v>
      </c>
      <c r="B1144" s="52" t="s">
        <v>15</v>
      </c>
      <c r="C1144" s="52" t="s">
        <v>16</v>
      </c>
      <c r="D1144" s="52" t="s">
        <v>17</v>
      </c>
      <c r="E1144" s="52" t="s">
        <v>18</v>
      </c>
      <c r="F1144" s="52" t="s">
        <v>19</v>
      </c>
      <c r="G1144" s="52" t="s">
        <v>20</v>
      </c>
      <c r="H1144" s="3" t="s">
        <v>21</v>
      </c>
      <c r="I1144" s="3" t="s">
        <v>22</v>
      </c>
      <c r="J1144" s="25">
        <f t="shared" si="68"/>
        <v>37</v>
      </c>
    </row>
    <row r="1145" spans="1:10" ht="16.95" customHeight="1">
      <c r="A1145" s="75" t="s">
        <v>65</v>
      </c>
      <c r="B1145" s="76" t="s">
        <v>69</v>
      </c>
      <c r="C1145" s="77"/>
      <c r="D1145" s="78"/>
      <c r="E1145" s="79"/>
      <c r="F1145" s="79"/>
      <c r="G1145" s="2"/>
      <c r="H1145" s="37"/>
      <c r="I1145" s="4"/>
      <c r="J1145" s="25">
        <f t="shared" si="68"/>
        <v>37</v>
      </c>
    </row>
    <row r="1146" spans="1:10" ht="34.950000000000003" customHeight="1">
      <c r="A1146" s="75">
        <v>1</v>
      </c>
      <c r="B1146" s="80" t="s">
        <v>91</v>
      </c>
      <c r="C1146" s="77" t="s">
        <v>48</v>
      </c>
      <c r="D1146" s="78">
        <v>1</v>
      </c>
      <c r="E1146" s="79"/>
      <c r="F1146" s="79" t="e">
        <f t="shared" ref="F1146:F1179" si="71">E1146+F1083</f>
        <v>#REF!</v>
      </c>
      <c r="G1146" s="2"/>
      <c r="H1146" s="37">
        <v>10508</v>
      </c>
      <c r="I1146" s="4">
        <f>H1146*E1146</f>
        <v>0</v>
      </c>
      <c r="J1146" s="25">
        <f t="shared" si="68"/>
        <v>37</v>
      </c>
    </row>
    <row r="1147" spans="1:10" ht="34.799999999999997" customHeight="1">
      <c r="A1147" s="75">
        <v>2</v>
      </c>
      <c r="B1147" s="80" t="s">
        <v>92</v>
      </c>
      <c r="C1147" s="77" t="s">
        <v>48</v>
      </c>
      <c r="D1147" s="78">
        <v>1</v>
      </c>
      <c r="E1147" s="79"/>
      <c r="F1147" s="79" t="e">
        <f t="shared" si="71"/>
        <v>#REF!</v>
      </c>
      <c r="G1147" s="2"/>
      <c r="H1147" s="37">
        <v>13223</v>
      </c>
      <c r="I1147" s="4">
        <f>H1147*E1147</f>
        <v>0</v>
      </c>
      <c r="J1147" s="25">
        <f t="shared" ref="J1147:J1210" si="72">J1084+2</f>
        <v>37</v>
      </c>
    </row>
    <row r="1148" spans="1:10" ht="53.4" customHeight="1">
      <c r="A1148" s="75">
        <v>3</v>
      </c>
      <c r="B1148" s="80" t="s">
        <v>93</v>
      </c>
      <c r="C1148" s="77" t="s">
        <v>48</v>
      </c>
      <c r="D1148" s="78">
        <v>1</v>
      </c>
      <c r="E1148" s="79"/>
      <c r="F1148" s="79" t="e">
        <f t="shared" si="71"/>
        <v>#REF!</v>
      </c>
      <c r="G1148" s="2"/>
      <c r="H1148" s="37">
        <v>310497</v>
      </c>
      <c r="I1148" s="4">
        <f t="shared" ref="I1148:I1179" si="73">H1148*E1148</f>
        <v>0</v>
      </c>
      <c r="J1148" s="25">
        <f t="shared" si="72"/>
        <v>37</v>
      </c>
    </row>
    <row r="1149" spans="1:10" ht="16.95" customHeight="1">
      <c r="A1149" s="75">
        <v>4</v>
      </c>
      <c r="B1149" s="80" t="s">
        <v>94</v>
      </c>
      <c r="C1149" s="77" t="s">
        <v>48</v>
      </c>
      <c r="D1149" s="78">
        <v>1</v>
      </c>
      <c r="E1149" s="79"/>
      <c r="F1149" s="79" t="e">
        <f t="shared" si="71"/>
        <v>#REF!</v>
      </c>
      <c r="G1149" s="2"/>
      <c r="H1149" s="37">
        <v>8375</v>
      </c>
      <c r="I1149" s="4">
        <f t="shared" si="73"/>
        <v>0</v>
      </c>
      <c r="J1149" s="25">
        <f t="shared" si="72"/>
        <v>37</v>
      </c>
    </row>
    <row r="1150" spans="1:10" ht="16.95" customHeight="1">
      <c r="A1150" s="75">
        <v>5</v>
      </c>
      <c r="B1150" s="80" t="s">
        <v>95</v>
      </c>
      <c r="C1150" s="77" t="s">
        <v>48</v>
      </c>
      <c r="D1150" s="78">
        <v>1</v>
      </c>
      <c r="E1150" s="79"/>
      <c r="F1150" s="79" t="e">
        <f t="shared" si="71"/>
        <v>#REF!</v>
      </c>
      <c r="G1150" s="2"/>
      <c r="H1150" s="37">
        <v>51618</v>
      </c>
      <c r="I1150" s="4">
        <f t="shared" si="73"/>
        <v>0</v>
      </c>
      <c r="J1150" s="25">
        <f t="shared" si="72"/>
        <v>37</v>
      </c>
    </row>
    <row r="1151" spans="1:10" ht="16.95" customHeight="1">
      <c r="A1151" s="75">
        <v>6</v>
      </c>
      <c r="B1151" s="80" t="s">
        <v>96</v>
      </c>
      <c r="C1151" s="77" t="s">
        <v>50</v>
      </c>
      <c r="D1151" s="78">
        <v>11.55</v>
      </c>
      <c r="E1151" s="79"/>
      <c r="F1151" s="79" t="e">
        <f t="shared" si="71"/>
        <v>#REF!</v>
      </c>
      <c r="G1151" s="2"/>
      <c r="H1151" s="37">
        <v>1188</v>
      </c>
      <c r="I1151" s="4">
        <f t="shared" si="73"/>
        <v>0</v>
      </c>
      <c r="J1151" s="25">
        <f t="shared" si="72"/>
        <v>37</v>
      </c>
    </row>
    <row r="1152" spans="1:10" ht="34.950000000000003" customHeight="1">
      <c r="A1152" s="75">
        <v>7</v>
      </c>
      <c r="B1152" s="80" t="s">
        <v>97</v>
      </c>
      <c r="C1152" s="77" t="s">
        <v>48</v>
      </c>
      <c r="D1152" s="78">
        <v>1</v>
      </c>
      <c r="E1152" s="79"/>
      <c r="F1152" s="79" t="e">
        <f t="shared" si="71"/>
        <v>#REF!</v>
      </c>
      <c r="G1152" s="2"/>
      <c r="H1152" s="37">
        <v>21157</v>
      </c>
      <c r="I1152" s="4">
        <f t="shared" si="73"/>
        <v>0</v>
      </c>
      <c r="J1152" s="25">
        <f t="shared" si="72"/>
        <v>37</v>
      </c>
    </row>
    <row r="1153" spans="1:10" ht="16.95" customHeight="1">
      <c r="A1153" s="75">
        <v>8</v>
      </c>
      <c r="B1153" s="80" t="s">
        <v>98</v>
      </c>
      <c r="C1153" s="77" t="s">
        <v>50</v>
      </c>
      <c r="D1153" s="78">
        <v>387</v>
      </c>
      <c r="E1153" s="79"/>
      <c r="F1153" s="79" t="e">
        <f t="shared" si="71"/>
        <v>#REF!</v>
      </c>
      <c r="G1153" s="2"/>
      <c r="H1153" s="37">
        <v>705</v>
      </c>
      <c r="I1153" s="4">
        <f t="shared" si="73"/>
        <v>0</v>
      </c>
      <c r="J1153" s="25">
        <f t="shared" si="72"/>
        <v>37</v>
      </c>
    </row>
    <row r="1154" spans="1:10" ht="16.95" customHeight="1">
      <c r="A1154" s="75">
        <v>9</v>
      </c>
      <c r="B1154" s="80" t="s">
        <v>99</v>
      </c>
      <c r="C1154" s="77" t="s">
        <v>50</v>
      </c>
      <c r="D1154" s="78">
        <v>170</v>
      </c>
      <c r="E1154" s="79"/>
      <c r="F1154" s="79" t="e">
        <f t="shared" si="71"/>
        <v>#REF!</v>
      </c>
      <c r="G1154" s="2"/>
      <c r="H1154" s="37">
        <v>617</v>
      </c>
      <c r="I1154" s="4">
        <f t="shared" si="73"/>
        <v>0</v>
      </c>
      <c r="J1154" s="25">
        <f t="shared" si="72"/>
        <v>37</v>
      </c>
    </row>
    <row r="1155" spans="1:10" ht="16.95" customHeight="1">
      <c r="A1155" s="75">
        <v>10</v>
      </c>
      <c r="B1155" s="80" t="s">
        <v>100</v>
      </c>
      <c r="C1155" s="77" t="s">
        <v>66</v>
      </c>
      <c r="D1155" s="78">
        <v>15</v>
      </c>
      <c r="E1155" s="79"/>
      <c r="F1155" s="79" t="e">
        <f t="shared" si="71"/>
        <v>#REF!</v>
      </c>
      <c r="G1155" s="2"/>
      <c r="H1155" s="37">
        <v>617</v>
      </c>
      <c r="I1155" s="4">
        <f t="shared" si="73"/>
        <v>0</v>
      </c>
      <c r="J1155" s="25">
        <f t="shared" si="72"/>
        <v>37</v>
      </c>
    </row>
    <row r="1156" spans="1:10" ht="16.95" customHeight="1">
      <c r="A1156" s="75">
        <v>11</v>
      </c>
      <c r="B1156" s="80" t="s">
        <v>101</v>
      </c>
      <c r="C1156" s="77" t="s">
        <v>50</v>
      </c>
      <c r="D1156" s="78">
        <v>75</v>
      </c>
      <c r="E1156" s="79"/>
      <c r="F1156" s="79" t="e">
        <f t="shared" si="71"/>
        <v>#REF!</v>
      </c>
      <c r="G1156" s="2"/>
      <c r="H1156" s="37">
        <v>1146</v>
      </c>
      <c r="I1156" s="4">
        <f t="shared" si="73"/>
        <v>0</v>
      </c>
      <c r="J1156" s="25">
        <f t="shared" si="72"/>
        <v>37</v>
      </c>
    </row>
    <row r="1157" spans="1:10" ht="16.95" customHeight="1">
      <c r="A1157" s="75">
        <v>12</v>
      </c>
      <c r="B1157" s="80" t="s">
        <v>102</v>
      </c>
      <c r="C1157" s="77" t="s">
        <v>50</v>
      </c>
      <c r="D1157" s="78">
        <v>5</v>
      </c>
      <c r="E1157" s="79"/>
      <c r="F1157" s="79" t="e">
        <f t="shared" si="71"/>
        <v>#REF!</v>
      </c>
      <c r="G1157" s="2"/>
      <c r="H1157" s="37">
        <v>1455</v>
      </c>
      <c r="I1157" s="4">
        <f t="shared" si="73"/>
        <v>0</v>
      </c>
      <c r="J1157" s="25">
        <f t="shared" si="72"/>
        <v>37</v>
      </c>
    </row>
    <row r="1158" spans="1:10" ht="16.95" customHeight="1">
      <c r="A1158" s="75">
        <v>13</v>
      </c>
      <c r="B1158" s="80" t="s">
        <v>103</v>
      </c>
      <c r="C1158" s="77" t="s">
        <v>50</v>
      </c>
      <c r="D1158" s="78">
        <v>217</v>
      </c>
      <c r="E1158" s="79"/>
      <c r="F1158" s="79" t="e">
        <f t="shared" si="71"/>
        <v>#REF!</v>
      </c>
      <c r="G1158" s="2"/>
      <c r="H1158" s="37">
        <v>1410</v>
      </c>
      <c r="I1158" s="4">
        <f t="shared" si="73"/>
        <v>0</v>
      </c>
      <c r="J1158" s="25">
        <f t="shared" si="72"/>
        <v>37</v>
      </c>
    </row>
    <row r="1159" spans="1:10" ht="16.95" customHeight="1">
      <c r="A1159" s="75">
        <v>14</v>
      </c>
      <c r="B1159" s="80" t="s">
        <v>104</v>
      </c>
      <c r="C1159" s="77" t="s">
        <v>49</v>
      </c>
      <c r="D1159" s="78">
        <v>84</v>
      </c>
      <c r="E1159" s="79"/>
      <c r="F1159" s="79" t="e">
        <f t="shared" si="71"/>
        <v>#REF!</v>
      </c>
      <c r="G1159" s="2"/>
      <c r="H1159" s="37">
        <v>529</v>
      </c>
      <c r="I1159" s="4">
        <f t="shared" si="73"/>
        <v>0</v>
      </c>
      <c r="J1159" s="25">
        <f t="shared" si="72"/>
        <v>37</v>
      </c>
    </row>
    <row r="1160" spans="1:10" ht="16.95" customHeight="1">
      <c r="A1160" s="75">
        <v>15</v>
      </c>
      <c r="B1160" s="80" t="s">
        <v>105</v>
      </c>
      <c r="C1160" s="77" t="s">
        <v>50</v>
      </c>
      <c r="D1160" s="78">
        <v>1</v>
      </c>
      <c r="E1160" s="79"/>
      <c r="F1160" s="79" t="e">
        <f t="shared" si="71"/>
        <v>#REF!</v>
      </c>
      <c r="G1160" s="2"/>
      <c r="H1160" s="37">
        <v>1146</v>
      </c>
      <c r="I1160" s="4">
        <f t="shared" si="73"/>
        <v>0</v>
      </c>
      <c r="J1160" s="25">
        <f t="shared" si="72"/>
        <v>37</v>
      </c>
    </row>
    <row r="1161" spans="1:10" ht="34.799999999999997" customHeight="1">
      <c r="A1161" s="75">
        <v>16</v>
      </c>
      <c r="B1161" s="80" t="s">
        <v>106</v>
      </c>
      <c r="C1161" s="77" t="s">
        <v>50</v>
      </c>
      <c r="D1161" s="78">
        <v>314</v>
      </c>
      <c r="E1161" s="79"/>
      <c r="F1161" s="79" t="e">
        <f t="shared" si="71"/>
        <v>#REF!</v>
      </c>
      <c r="G1161" s="2"/>
      <c r="H1161" s="37">
        <v>185</v>
      </c>
      <c r="I1161" s="4">
        <f t="shared" si="73"/>
        <v>0</v>
      </c>
      <c r="J1161" s="25">
        <f t="shared" si="72"/>
        <v>37</v>
      </c>
    </row>
    <row r="1162" spans="1:10" ht="16.95" customHeight="1">
      <c r="A1162" s="75">
        <v>17</v>
      </c>
      <c r="B1162" s="80" t="s">
        <v>107</v>
      </c>
      <c r="C1162" s="77" t="s">
        <v>48</v>
      </c>
      <c r="D1162" s="78">
        <v>1</v>
      </c>
      <c r="E1162" s="79"/>
      <c r="F1162" s="79" t="e">
        <f t="shared" si="71"/>
        <v>#REF!</v>
      </c>
      <c r="G1162" s="2"/>
      <c r="H1162" s="37">
        <v>89918</v>
      </c>
      <c r="I1162" s="4">
        <f t="shared" si="73"/>
        <v>0</v>
      </c>
      <c r="J1162" s="25">
        <f t="shared" si="72"/>
        <v>37</v>
      </c>
    </row>
    <row r="1163" spans="1:10" ht="16.95" customHeight="1">
      <c r="A1163" s="75">
        <v>18</v>
      </c>
      <c r="B1163" s="80" t="s">
        <v>108</v>
      </c>
      <c r="C1163" s="77" t="s">
        <v>120</v>
      </c>
      <c r="D1163" s="78">
        <v>15</v>
      </c>
      <c r="E1163" s="79"/>
      <c r="F1163" s="79" t="e">
        <f t="shared" si="71"/>
        <v>#REF!</v>
      </c>
      <c r="G1163" s="2"/>
      <c r="H1163" s="37">
        <v>661</v>
      </c>
      <c r="I1163" s="4">
        <f t="shared" si="73"/>
        <v>0</v>
      </c>
      <c r="J1163" s="25">
        <f t="shared" si="72"/>
        <v>37</v>
      </c>
    </row>
    <row r="1164" spans="1:10" ht="16.95" customHeight="1">
      <c r="A1164" s="75">
        <v>19</v>
      </c>
      <c r="B1164" s="80" t="s">
        <v>109</v>
      </c>
      <c r="C1164" s="77" t="s">
        <v>50</v>
      </c>
      <c r="D1164" s="78">
        <v>82</v>
      </c>
      <c r="E1164" s="79"/>
      <c r="F1164" s="79" t="e">
        <f t="shared" si="71"/>
        <v>#REF!</v>
      </c>
      <c r="G1164" s="2"/>
      <c r="H1164" s="37">
        <v>2909</v>
      </c>
      <c r="I1164" s="4">
        <f t="shared" si="73"/>
        <v>0</v>
      </c>
      <c r="J1164" s="25">
        <f t="shared" si="72"/>
        <v>37</v>
      </c>
    </row>
    <row r="1165" spans="1:10" ht="16.95" customHeight="1">
      <c r="A1165" s="75">
        <v>20</v>
      </c>
      <c r="B1165" s="80" t="s">
        <v>110</v>
      </c>
      <c r="C1165" s="77" t="s">
        <v>121</v>
      </c>
      <c r="D1165" s="78">
        <v>12</v>
      </c>
      <c r="E1165" s="79"/>
      <c r="F1165" s="79" t="e">
        <f t="shared" si="71"/>
        <v>#REF!</v>
      </c>
      <c r="G1165" s="2"/>
      <c r="H1165" s="37">
        <v>882</v>
      </c>
      <c r="I1165" s="4">
        <f t="shared" si="73"/>
        <v>0</v>
      </c>
      <c r="J1165" s="25">
        <f t="shared" si="72"/>
        <v>37</v>
      </c>
    </row>
    <row r="1166" spans="1:10" ht="16.95" customHeight="1">
      <c r="A1166" s="77">
        <v>21</v>
      </c>
      <c r="B1166" s="80" t="s">
        <v>111</v>
      </c>
      <c r="C1166" s="77" t="s">
        <v>122</v>
      </c>
      <c r="D1166" s="78">
        <v>3</v>
      </c>
      <c r="E1166" s="79"/>
      <c r="F1166" s="79" t="e">
        <f t="shared" si="71"/>
        <v>#REF!</v>
      </c>
      <c r="G1166" s="2"/>
      <c r="H1166" s="38">
        <v>1869</v>
      </c>
      <c r="I1166" s="4">
        <f t="shared" si="73"/>
        <v>0</v>
      </c>
      <c r="J1166" s="25">
        <f t="shared" si="72"/>
        <v>37</v>
      </c>
    </row>
    <row r="1167" spans="1:10" ht="34.950000000000003" customHeight="1">
      <c r="A1167" s="75">
        <v>22</v>
      </c>
      <c r="B1167" s="80" t="s">
        <v>112</v>
      </c>
      <c r="C1167" s="77" t="s">
        <v>48</v>
      </c>
      <c r="D1167" s="78">
        <v>1</v>
      </c>
      <c r="E1167" s="79"/>
      <c r="F1167" s="79" t="e">
        <f t="shared" si="71"/>
        <v>#REF!</v>
      </c>
      <c r="G1167" s="2"/>
      <c r="H1167" s="37">
        <v>82206</v>
      </c>
      <c r="I1167" s="4">
        <f t="shared" si="73"/>
        <v>0</v>
      </c>
      <c r="J1167" s="25">
        <f t="shared" si="72"/>
        <v>37</v>
      </c>
    </row>
    <row r="1168" spans="1:10" ht="16.95" customHeight="1">
      <c r="A1168" s="75">
        <v>23</v>
      </c>
      <c r="B1168" s="80" t="s">
        <v>113</v>
      </c>
      <c r="C1168" s="77" t="s">
        <v>48</v>
      </c>
      <c r="D1168" s="78">
        <v>1</v>
      </c>
      <c r="E1168" s="79"/>
      <c r="F1168" s="79" t="e">
        <f t="shared" si="71"/>
        <v>#REF!</v>
      </c>
      <c r="G1168" s="2"/>
      <c r="H1168" s="37">
        <v>142723</v>
      </c>
      <c r="I1168" s="4">
        <f t="shared" si="73"/>
        <v>0</v>
      </c>
      <c r="J1168" s="25">
        <f t="shared" si="72"/>
        <v>37</v>
      </c>
    </row>
    <row r="1169" spans="1:10" ht="16.95" customHeight="1">
      <c r="A1169" s="75">
        <v>24</v>
      </c>
      <c r="B1169" s="80" t="s">
        <v>114</v>
      </c>
      <c r="C1169" s="77" t="s">
        <v>48</v>
      </c>
      <c r="D1169" s="78">
        <v>1</v>
      </c>
      <c r="E1169" s="79"/>
      <c r="F1169" s="79" t="e">
        <f t="shared" si="71"/>
        <v>#REF!</v>
      </c>
      <c r="G1169" s="2"/>
      <c r="H1169" s="37">
        <v>37290</v>
      </c>
      <c r="I1169" s="4">
        <f t="shared" si="73"/>
        <v>0</v>
      </c>
      <c r="J1169" s="25">
        <f t="shared" si="72"/>
        <v>37</v>
      </c>
    </row>
    <row r="1170" spans="1:10" ht="16.95" customHeight="1">
      <c r="A1170" s="75">
        <v>25</v>
      </c>
      <c r="B1170" s="80" t="s">
        <v>115</v>
      </c>
      <c r="C1170" s="77" t="s">
        <v>48</v>
      </c>
      <c r="D1170" s="78">
        <v>1</v>
      </c>
      <c r="E1170" s="79"/>
      <c r="F1170" s="79" t="e">
        <f t="shared" si="71"/>
        <v>#REF!</v>
      </c>
      <c r="G1170" s="2"/>
      <c r="H1170" s="37">
        <v>99394</v>
      </c>
      <c r="I1170" s="4">
        <f t="shared" si="73"/>
        <v>0</v>
      </c>
      <c r="J1170" s="25">
        <f t="shared" si="72"/>
        <v>37</v>
      </c>
    </row>
    <row r="1171" spans="1:10" ht="34.950000000000003" customHeight="1">
      <c r="A1171" s="75">
        <v>26</v>
      </c>
      <c r="B1171" s="80" t="s">
        <v>116</v>
      </c>
      <c r="C1171" s="77" t="s">
        <v>48</v>
      </c>
      <c r="D1171" s="78">
        <v>1</v>
      </c>
      <c r="E1171" s="79"/>
      <c r="F1171" s="79" t="e">
        <f t="shared" si="71"/>
        <v>#REF!</v>
      </c>
      <c r="G1171" s="2"/>
      <c r="H1171" s="37">
        <v>21334</v>
      </c>
      <c r="I1171" s="4">
        <f t="shared" si="73"/>
        <v>0</v>
      </c>
      <c r="J1171" s="25">
        <f t="shared" si="72"/>
        <v>37</v>
      </c>
    </row>
    <row r="1172" spans="1:10" ht="16.95" customHeight="1">
      <c r="A1172" s="75">
        <v>27</v>
      </c>
      <c r="B1172" s="80" t="s">
        <v>117</v>
      </c>
      <c r="C1172" s="77" t="s">
        <v>48</v>
      </c>
      <c r="D1172" s="78">
        <v>1</v>
      </c>
      <c r="E1172" s="79"/>
      <c r="F1172" s="79" t="e">
        <f t="shared" si="71"/>
        <v>#REF!</v>
      </c>
      <c r="G1172" s="2"/>
      <c r="H1172" s="37">
        <v>29620</v>
      </c>
      <c r="I1172" s="4">
        <f t="shared" si="73"/>
        <v>0</v>
      </c>
      <c r="J1172" s="25">
        <f t="shared" si="72"/>
        <v>37</v>
      </c>
    </row>
    <row r="1173" spans="1:10" ht="16.95" customHeight="1">
      <c r="A1173" s="75">
        <v>28</v>
      </c>
      <c r="B1173" s="80" t="s">
        <v>118</v>
      </c>
      <c r="C1173" s="77" t="s">
        <v>48</v>
      </c>
      <c r="D1173" s="78">
        <v>1</v>
      </c>
      <c r="E1173" s="79"/>
      <c r="F1173" s="79" t="e">
        <f t="shared" si="71"/>
        <v>#REF!</v>
      </c>
      <c r="G1173" s="2"/>
      <c r="H1173" s="37">
        <v>18506</v>
      </c>
      <c r="I1173" s="4">
        <f t="shared" si="73"/>
        <v>0</v>
      </c>
      <c r="J1173" s="25">
        <f t="shared" si="72"/>
        <v>37</v>
      </c>
    </row>
    <row r="1174" spans="1:10" ht="16.95" customHeight="1">
      <c r="A1174" s="75">
        <v>29</v>
      </c>
      <c r="B1174" s="80" t="s">
        <v>119</v>
      </c>
      <c r="C1174" s="77" t="s">
        <v>48</v>
      </c>
      <c r="D1174" s="78">
        <v>1</v>
      </c>
      <c r="E1174" s="79"/>
      <c r="F1174" s="79" t="e">
        <f t="shared" si="71"/>
        <v>#REF!</v>
      </c>
      <c r="G1174" s="2"/>
      <c r="H1174" s="37">
        <v>34381</v>
      </c>
      <c r="I1174" s="4">
        <f t="shared" si="73"/>
        <v>0</v>
      </c>
      <c r="J1174" s="25">
        <f t="shared" si="72"/>
        <v>37</v>
      </c>
    </row>
    <row r="1175" spans="1:10" ht="16.95" customHeight="1">
      <c r="A1175" s="75" t="s">
        <v>79</v>
      </c>
      <c r="B1175" s="80" t="s">
        <v>80</v>
      </c>
      <c r="C1175" s="77" t="s">
        <v>48</v>
      </c>
      <c r="D1175" s="78">
        <v>1</v>
      </c>
      <c r="E1175" s="79">
        <f t="shared" ref="E1175:E1178" si="74">1/120</f>
        <v>8.3333333333333332E-3</v>
      </c>
      <c r="F1175" s="79" t="e">
        <f t="shared" si="71"/>
        <v>#REF!</v>
      </c>
      <c r="G1175" s="2"/>
      <c r="H1175" s="37">
        <v>21395</v>
      </c>
      <c r="I1175" s="4">
        <f t="shared" si="73"/>
        <v>178.29166666666666</v>
      </c>
      <c r="J1175" s="25">
        <f t="shared" si="72"/>
        <v>37</v>
      </c>
    </row>
    <row r="1176" spans="1:10" ht="16.95" customHeight="1">
      <c r="A1176" s="75" t="s">
        <v>81</v>
      </c>
      <c r="B1176" s="80" t="s">
        <v>82</v>
      </c>
      <c r="C1176" s="77" t="s">
        <v>48</v>
      </c>
      <c r="D1176" s="78">
        <v>1</v>
      </c>
      <c r="E1176" s="79">
        <f t="shared" si="74"/>
        <v>8.3333333333333332E-3</v>
      </c>
      <c r="F1176" s="79" t="e">
        <f t="shared" si="71"/>
        <v>#REF!</v>
      </c>
      <c r="G1176" s="2"/>
      <c r="H1176" s="37">
        <v>21395</v>
      </c>
      <c r="I1176" s="4">
        <f t="shared" si="73"/>
        <v>178.29166666666666</v>
      </c>
      <c r="J1176" s="25">
        <f t="shared" si="72"/>
        <v>37</v>
      </c>
    </row>
    <row r="1177" spans="1:10" ht="16.95" customHeight="1">
      <c r="A1177" s="75" t="s">
        <v>83</v>
      </c>
      <c r="B1177" s="80" t="s">
        <v>84</v>
      </c>
      <c r="C1177" s="77" t="s">
        <v>48</v>
      </c>
      <c r="D1177" s="78">
        <v>1</v>
      </c>
      <c r="E1177" s="79">
        <f t="shared" si="74"/>
        <v>8.3333333333333332E-3</v>
      </c>
      <c r="F1177" s="79" t="e">
        <f t="shared" si="71"/>
        <v>#REF!</v>
      </c>
      <c r="G1177" s="2"/>
      <c r="H1177" s="37">
        <v>149765</v>
      </c>
      <c r="I1177" s="4">
        <f t="shared" si="73"/>
        <v>1248.0416666666667</v>
      </c>
      <c r="J1177" s="25">
        <f t="shared" si="72"/>
        <v>37</v>
      </c>
    </row>
    <row r="1178" spans="1:10" ht="16.95" customHeight="1">
      <c r="A1178" s="75" t="s">
        <v>85</v>
      </c>
      <c r="B1178" s="80" t="s">
        <v>86</v>
      </c>
      <c r="C1178" s="77" t="s">
        <v>48</v>
      </c>
      <c r="D1178" s="78">
        <v>1</v>
      </c>
      <c r="E1178" s="79">
        <f t="shared" si="74"/>
        <v>8.3333333333333332E-3</v>
      </c>
      <c r="F1178" s="79" t="e">
        <f t="shared" si="71"/>
        <v>#REF!</v>
      </c>
      <c r="G1178" s="2"/>
      <c r="H1178" s="37">
        <v>6996</v>
      </c>
      <c r="I1178" s="4">
        <f t="shared" si="73"/>
        <v>58.3</v>
      </c>
      <c r="J1178" s="25">
        <f t="shared" si="72"/>
        <v>37</v>
      </c>
    </row>
    <row r="1179" spans="1:10" ht="16.95" customHeight="1">
      <c r="A1179" s="75" t="s">
        <v>87</v>
      </c>
      <c r="B1179" s="80" t="s">
        <v>88</v>
      </c>
      <c r="C1179" s="77" t="s">
        <v>48</v>
      </c>
      <c r="D1179" s="78">
        <v>1</v>
      </c>
      <c r="E1179" s="79">
        <f>1/120</f>
        <v>8.3333333333333332E-3</v>
      </c>
      <c r="F1179" s="79" t="e">
        <f t="shared" si="71"/>
        <v>#REF!</v>
      </c>
      <c r="G1179" s="2"/>
      <c r="H1179" s="37">
        <v>116952</v>
      </c>
      <c r="I1179" s="4">
        <f t="shared" si="73"/>
        <v>974.6</v>
      </c>
      <c r="J1179" s="25">
        <f t="shared" si="72"/>
        <v>37</v>
      </c>
    </row>
    <row r="1180" spans="1:10" ht="16.95" customHeight="1">
      <c r="A1180" s="95" t="s">
        <v>23</v>
      </c>
      <c r="B1180" s="95"/>
      <c r="C1180" s="50"/>
      <c r="D1180" s="50"/>
      <c r="E1180" s="50"/>
      <c r="F1180" s="50"/>
      <c r="G1180" s="50"/>
      <c r="H1180" s="3" t="s">
        <v>24</v>
      </c>
      <c r="I1180" s="5">
        <f>SUM(I1145:I1179)</f>
        <v>2637.5250000000001</v>
      </c>
      <c r="J1180" s="25">
        <f t="shared" si="72"/>
        <v>37</v>
      </c>
    </row>
    <row r="1181" spans="1:10" ht="16.95" customHeight="1">
      <c r="A1181" s="96" t="s">
        <v>25</v>
      </c>
      <c r="B1181" s="96"/>
      <c r="C1181" s="50"/>
      <c r="D1181" s="50"/>
      <c r="E1181" s="50"/>
      <c r="F1181" s="50"/>
      <c r="G1181" s="50"/>
      <c r="J1181" s="25">
        <f t="shared" si="72"/>
        <v>37</v>
      </c>
    </row>
    <row r="1182" spans="1:10" ht="16.95" customHeight="1">
      <c r="A1182" s="96" t="s">
        <v>26</v>
      </c>
      <c r="B1182" s="96"/>
      <c r="C1182" s="50"/>
      <c r="D1182" s="50"/>
      <c r="E1182" s="50"/>
      <c r="F1182" s="50"/>
      <c r="G1182" s="50"/>
      <c r="J1182" s="25">
        <f t="shared" si="72"/>
        <v>37</v>
      </c>
    </row>
    <row r="1183" spans="1:10" ht="16.95" customHeight="1">
      <c r="A1183" s="95" t="s">
        <v>27</v>
      </c>
      <c r="B1183" s="95"/>
      <c r="C1183" s="95"/>
      <c r="D1183" s="95"/>
      <c r="E1183" s="95"/>
      <c r="F1183" s="95"/>
      <c r="G1183" s="95"/>
      <c r="J1183" s="25">
        <f t="shared" si="72"/>
        <v>37</v>
      </c>
    </row>
    <row r="1184" spans="1:10" ht="16.95" customHeight="1">
      <c r="A1184" s="94" t="s">
        <v>28</v>
      </c>
      <c r="B1184" s="94"/>
      <c r="C1184" s="51" t="s">
        <v>29</v>
      </c>
      <c r="D1184" s="51" t="s">
        <v>30</v>
      </c>
      <c r="E1184" s="51" t="s">
        <v>18</v>
      </c>
      <c r="F1184" s="51" t="s">
        <v>31</v>
      </c>
      <c r="G1184" s="51" t="s">
        <v>20</v>
      </c>
      <c r="J1184" s="25">
        <f t="shared" si="72"/>
        <v>37</v>
      </c>
    </row>
    <row r="1185" spans="1:10" ht="16.95" customHeight="1">
      <c r="A1185" s="96"/>
      <c r="B1185" s="96"/>
      <c r="C1185" s="50"/>
      <c r="D1185" s="50"/>
      <c r="E1185" s="50"/>
      <c r="F1185" s="50"/>
      <c r="G1185" s="51"/>
      <c r="J1185" s="25">
        <f t="shared" si="72"/>
        <v>37</v>
      </c>
    </row>
    <row r="1186" spans="1:10" ht="16.95" customHeight="1">
      <c r="A1186" s="97"/>
      <c r="B1186" s="97"/>
      <c r="C1186" s="50"/>
      <c r="D1186" s="50"/>
      <c r="E1186" s="50"/>
      <c r="F1186" s="51"/>
      <c r="G1186" s="51"/>
      <c r="J1186" s="25">
        <f t="shared" si="72"/>
        <v>37</v>
      </c>
    </row>
    <row r="1187" spans="1:10" ht="16.95" customHeight="1">
      <c r="A1187" s="95" t="s">
        <v>32</v>
      </c>
      <c r="B1187" s="95"/>
      <c r="C1187" s="95"/>
      <c r="D1187" s="95"/>
      <c r="E1187" s="95"/>
      <c r="F1187" s="95"/>
      <c r="G1187" s="95"/>
      <c r="J1187" s="25">
        <f t="shared" si="72"/>
        <v>38</v>
      </c>
    </row>
    <row r="1188" spans="1:10" ht="16.95" customHeight="1">
      <c r="A1188" s="51" t="s">
        <v>33</v>
      </c>
      <c r="B1188" s="51" t="s">
        <v>34</v>
      </c>
      <c r="C1188" s="94" t="s">
        <v>35</v>
      </c>
      <c r="D1188" s="94"/>
      <c r="E1188" s="51" t="s">
        <v>36</v>
      </c>
      <c r="F1188" s="51" t="s">
        <v>37</v>
      </c>
      <c r="G1188" s="51" t="s">
        <v>38</v>
      </c>
      <c r="J1188" s="25">
        <f t="shared" si="72"/>
        <v>38</v>
      </c>
    </row>
    <row r="1189" spans="1:10" ht="16.95" customHeight="1">
      <c r="A1189" s="51" t="s">
        <v>39</v>
      </c>
      <c r="B1189" s="6"/>
      <c r="C1189" s="94" t="e">
        <f>B1189+C1126</f>
        <v>#REF!</v>
      </c>
      <c r="D1189" s="94"/>
      <c r="E1189" s="51"/>
      <c r="F1189" s="24"/>
      <c r="G1189" s="24"/>
      <c r="J1189" s="25">
        <f t="shared" si="72"/>
        <v>38</v>
      </c>
    </row>
    <row r="1190" spans="1:10" ht="16.95" customHeight="1">
      <c r="A1190" s="51" t="s">
        <v>40</v>
      </c>
      <c r="B1190" s="6"/>
      <c r="C1190" s="94" t="e">
        <f>B1190+C1127</f>
        <v>#REF!</v>
      </c>
      <c r="D1190" s="94"/>
      <c r="E1190" s="51"/>
      <c r="F1190" s="24"/>
      <c r="G1190" s="24"/>
      <c r="J1190" s="25">
        <f t="shared" si="72"/>
        <v>38</v>
      </c>
    </row>
    <row r="1191" spans="1:10" ht="36.6" customHeight="1">
      <c r="A1191" s="95" t="s">
        <v>41</v>
      </c>
      <c r="B1191" s="95"/>
      <c r="C1191" s="95"/>
      <c r="D1191" s="95"/>
      <c r="E1191" s="95"/>
      <c r="F1191" s="95"/>
      <c r="G1191" s="95"/>
      <c r="J1191" s="25">
        <f t="shared" si="72"/>
        <v>38</v>
      </c>
    </row>
    <row r="1192" spans="1:10" ht="90" customHeight="1">
      <c r="A1192" s="92" t="s">
        <v>42</v>
      </c>
      <c r="B1192" s="92"/>
      <c r="C1192" s="92"/>
      <c r="D1192" s="92"/>
      <c r="E1192" s="92"/>
      <c r="F1192" s="92"/>
      <c r="G1192" s="92"/>
      <c r="J1192" s="25">
        <f t="shared" si="72"/>
        <v>38</v>
      </c>
    </row>
    <row r="1193" spans="1:10" ht="16.95" customHeight="1">
      <c r="A1193" s="95" t="s">
        <v>43</v>
      </c>
      <c r="B1193" s="95"/>
      <c r="C1193" s="95"/>
      <c r="D1193" s="95"/>
      <c r="E1193" s="95"/>
      <c r="F1193" s="95"/>
      <c r="G1193" s="95"/>
      <c r="J1193" s="25">
        <f t="shared" si="72"/>
        <v>38</v>
      </c>
    </row>
    <row r="1194" spans="1:10" ht="16.95" customHeight="1">
      <c r="A1194" s="95" t="s">
        <v>44</v>
      </c>
      <c r="B1194" s="95"/>
      <c r="C1194" s="95"/>
      <c r="D1194" s="95"/>
      <c r="E1194" s="95"/>
      <c r="F1194" s="95"/>
      <c r="G1194" s="95"/>
      <c r="J1194" s="25">
        <f t="shared" si="72"/>
        <v>38</v>
      </c>
    </row>
    <row r="1195" spans="1:10" ht="16.95" customHeight="1">
      <c r="A1195" s="91" t="s">
        <v>64</v>
      </c>
      <c r="B1195" s="91"/>
      <c r="C1195" s="91"/>
      <c r="D1195" s="91"/>
      <c r="E1195" s="91"/>
      <c r="F1195" s="91"/>
      <c r="G1195" s="91"/>
      <c r="J1195" s="25">
        <f t="shared" si="72"/>
        <v>38</v>
      </c>
    </row>
    <row r="1196" spans="1:10" ht="120.6" customHeight="1">
      <c r="A1196" s="92" t="s">
        <v>45</v>
      </c>
      <c r="B1196" s="92"/>
      <c r="C1196" s="92"/>
      <c r="D1196" s="92"/>
      <c r="E1196" s="92"/>
      <c r="F1196" s="92"/>
      <c r="G1196" s="92"/>
      <c r="J1196" s="25">
        <f t="shared" si="72"/>
        <v>38</v>
      </c>
    </row>
    <row r="1197" spans="1:10" ht="140.4" customHeight="1">
      <c r="A1197" s="93" t="s">
        <v>46</v>
      </c>
      <c r="B1197" s="93"/>
      <c r="C1197" s="93"/>
      <c r="D1197" s="93"/>
      <c r="E1197" s="93"/>
      <c r="F1197" s="93"/>
      <c r="G1197" s="93"/>
      <c r="J1197" s="25">
        <f t="shared" si="72"/>
        <v>38</v>
      </c>
    </row>
    <row r="1198" spans="1:10" ht="37.200000000000003" customHeight="1">
      <c r="A1198" s="103" t="s">
        <v>0</v>
      </c>
      <c r="B1198" s="103"/>
      <c r="C1198" s="103"/>
      <c r="D1198" s="103"/>
      <c r="E1198" s="103"/>
      <c r="F1198" s="103"/>
      <c r="G1198" s="103"/>
      <c r="J1198" s="25">
        <f t="shared" si="72"/>
        <v>39</v>
      </c>
    </row>
    <row r="1199" spans="1:10" ht="16.95" customHeight="1">
      <c r="A1199" s="1" t="s">
        <v>1</v>
      </c>
      <c r="B1199" s="104">
        <f>B1136+1</f>
        <v>21</v>
      </c>
      <c r="C1199" s="104"/>
      <c r="D1199" s="104"/>
      <c r="E1199" s="104"/>
      <c r="F1199" s="104"/>
      <c r="G1199" s="104"/>
      <c r="J1199" s="25">
        <f t="shared" si="72"/>
        <v>39</v>
      </c>
    </row>
    <row r="1200" spans="1:10" ht="16.95" customHeight="1">
      <c r="A1200" s="1" t="s">
        <v>2</v>
      </c>
      <c r="B1200" s="105" t="s">
        <v>63</v>
      </c>
      <c r="C1200" s="105"/>
      <c r="D1200" s="105"/>
      <c r="E1200" s="106">
        <f>E1137+1</f>
        <v>46223</v>
      </c>
      <c r="F1200" s="106"/>
      <c r="G1200" s="106"/>
      <c r="J1200" s="25">
        <f t="shared" si="72"/>
        <v>39</v>
      </c>
    </row>
    <row r="1201" spans="1:10" ht="16.95" customHeight="1">
      <c r="A1201" s="53" t="s">
        <v>3</v>
      </c>
      <c r="B1201" s="2" t="s">
        <v>67</v>
      </c>
      <c r="C1201" s="98" t="s">
        <v>4</v>
      </c>
      <c r="D1201" s="98"/>
      <c r="E1201" s="98" t="s">
        <v>47</v>
      </c>
      <c r="F1201" s="98"/>
      <c r="G1201" s="98"/>
      <c r="J1201" s="25">
        <f t="shared" si="72"/>
        <v>39</v>
      </c>
    </row>
    <row r="1202" spans="1:10" ht="16.95" customHeight="1">
      <c r="A1202" s="53" t="s">
        <v>5</v>
      </c>
      <c r="B1202" s="54">
        <v>120</v>
      </c>
      <c r="C1202" s="98" t="s">
        <v>6</v>
      </c>
      <c r="D1202" s="98"/>
      <c r="E1202" s="98" t="s">
        <v>123</v>
      </c>
      <c r="F1202" s="98"/>
      <c r="G1202" s="98"/>
      <c r="J1202" s="25">
        <f t="shared" si="72"/>
        <v>39</v>
      </c>
    </row>
    <row r="1203" spans="1:10" ht="16.95" customHeight="1">
      <c r="A1203" s="53" t="s">
        <v>7</v>
      </c>
      <c r="B1203" s="54">
        <f>B1199</f>
        <v>21</v>
      </c>
      <c r="C1203" s="100" t="s">
        <v>8</v>
      </c>
      <c r="D1203" s="100"/>
      <c r="E1203" s="101">
        <f>B1202-B1203</f>
        <v>99</v>
      </c>
      <c r="F1203" s="101"/>
      <c r="G1203" s="101"/>
      <c r="J1203" s="25">
        <f t="shared" si="72"/>
        <v>39</v>
      </c>
    </row>
    <row r="1204" spans="1:10" ht="16.95" customHeight="1">
      <c r="A1204" s="53" t="s">
        <v>9</v>
      </c>
      <c r="B1204" s="55">
        <v>46204</v>
      </c>
      <c r="C1204" s="98" t="s">
        <v>10</v>
      </c>
      <c r="D1204" s="98"/>
      <c r="E1204" s="102">
        <f>B1204+B1202-1</f>
        <v>46323</v>
      </c>
      <c r="F1204" s="102"/>
      <c r="G1204" s="102"/>
      <c r="J1204" s="25">
        <f t="shared" si="72"/>
        <v>39</v>
      </c>
    </row>
    <row r="1205" spans="1:10" ht="16.95" customHeight="1">
      <c r="A1205" s="53" t="s">
        <v>11</v>
      </c>
      <c r="B1205" s="56" t="e">
        <f>HLOOKUP(B1199,進度表!$Q$2:$Z$3,2,1)+B1142</f>
        <v>#REF!</v>
      </c>
      <c r="C1205" s="98" t="s">
        <v>12</v>
      </c>
      <c r="D1205" s="98"/>
      <c r="E1205" s="99" t="e">
        <f>I1243/I1205+E1142</f>
        <v>#REF!</v>
      </c>
      <c r="F1205" s="99"/>
      <c r="G1205" s="99"/>
      <c r="H1205" s="3" t="s">
        <v>62</v>
      </c>
      <c r="I1205" s="1">
        <v>2456000</v>
      </c>
      <c r="J1205" s="25">
        <f t="shared" si="72"/>
        <v>39</v>
      </c>
    </row>
    <row r="1206" spans="1:10" ht="16.95" customHeight="1">
      <c r="A1206" s="98" t="s">
        <v>13</v>
      </c>
      <c r="B1206" s="98"/>
      <c r="C1206" s="98"/>
      <c r="D1206" s="98"/>
      <c r="E1206" s="98"/>
      <c r="F1206" s="98"/>
      <c r="G1206" s="98"/>
      <c r="J1206" s="25">
        <f t="shared" si="72"/>
        <v>39</v>
      </c>
    </row>
    <row r="1207" spans="1:10" ht="16.95" customHeight="1">
      <c r="A1207" s="52" t="s">
        <v>14</v>
      </c>
      <c r="B1207" s="52" t="s">
        <v>15</v>
      </c>
      <c r="C1207" s="52" t="s">
        <v>16</v>
      </c>
      <c r="D1207" s="52" t="s">
        <v>17</v>
      </c>
      <c r="E1207" s="52" t="s">
        <v>18</v>
      </c>
      <c r="F1207" s="52" t="s">
        <v>19</v>
      </c>
      <c r="G1207" s="52" t="s">
        <v>20</v>
      </c>
      <c r="H1207" s="3" t="s">
        <v>21</v>
      </c>
      <c r="I1207" s="3" t="s">
        <v>22</v>
      </c>
      <c r="J1207" s="25">
        <f t="shared" si="72"/>
        <v>39</v>
      </c>
    </row>
    <row r="1208" spans="1:10" ht="16.95" customHeight="1">
      <c r="A1208" s="75" t="s">
        <v>65</v>
      </c>
      <c r="B1208" s="76" t="s">
        <v>69</v>
      </c>
      <c r="C1208" s="77"/>
      <c r="D1208" s="78"/>
      <c r="E1208" s="79"/>
      <c r="F1208" s="79"/>
      <c r="G1208" s="2"/>
      <c r="H1208" s="37"/>
      <c r="I1208" s="4"/>
      <c r="J1208" s="25">
        <f t="shared" si="72"/>
        <v>39</v>
      </c>
    </row>
    <row r="1209" spans="1:10" ht="34.950000000000003" customHeight="1">
      <c r="A1209" s="75">
        <v>1</v>
      </c>
      <c r="B1209" s="80" t="s">
        <v>91</v>
      </c>
      <c r="C1209" s="77" t="s">
        <v>48</v>
      </c>
      <c r="D1209" s="78">
        <v>1</v>
      </c>
      <c r="E1209" s="79"/>
      <c r="F1209" s="79" t="e">
        <f t="shared" ref="F1209:F1242" si="75">E1209+F1146</f>
        <v>#REF!</v>
      </c>
      <c r="G1209" s="2"/>
      <c r="H1209" s="37">
        <v>10508</v>
      </c>
      <c r="I1209" s="4">
        <f>H1209*E1209</f>
        <v>0</v>
      </c>
      <c r="J1209" s="25">
        <f t="shared" si="72"/>
        <v>39</v>
      </c>
    </row>
    <row r="1210" spans="1:10" ht="34.799999999999997" customHeight="1">
      <c r="A1210" s="75">
        <v>2</v>
      </c>
      <c r="B1210" s="80" t="s">
        <v>92</v>
      </c>
      <c r="C1210" s="77" t="s">
        <v>48</v>
      </c>
      <c r="D1210" s="78">
        <v>1</v>
      </c>
      <c r="E1210" s="79"/>
      <c r="F1210" s="79" t="e">
        <f t="shared" si="75"/>
        <v>#REF!</v>
      </c>
      <c r="G1210" s="2"/>
      <c r="H1210" s="37">
        <v>13223</v>
      </c>
      <c r="I1210" s="4">
        <f>H1210*E1210</f>
        <v>0</v>
      </c>
      <c r="J1210" s="25">
        <f t="shared" si="72"/>
        <v>39</v>
      </c>
    </row>
    <row r="1211" spans="1:10" ht="53.4" customHeight="1">
      <c r="A1211" s="75">
        <v>3</v>
      </c>
      <c r="B1211" s="80" t="s">
        <v>93</v>
      </c>
      <c r="C1211" s="77" t="s">
        <v>48</v>
      </c>
      <c r="D1211" s="78">
        <v>1</v>
      </c>
      <c r="E1211" s="79"/>
      <c r="F1211" s="79" t="e">
        <f t="shared" si="75"/>
        <v>#REF!</v>
      </c>
      <c r="G1211" s="2"/>
      <c r="H1211" s="37">
        <v>310497</v>
      </c>
      <c r="I1211" s="4">
        <f t="shared" ref="I1211:I1242" si="76">H1211*E1211</f>
        <v>0</v>
      </c>
      <c r="J1211" s="25">
        <f t="shared" ref="J1211:J1274" si="77">J1148+2</f>
        <v>39</v>
      </c>
    </row>
    <row r="1212" spans="1:10" ht="16.95" customHeight="1">
      <c r="A1212" s="75">
        <v>4</v>
      </c>
      <c r="B1212" s="80" t="s">
        <v>94</v>
      </c>
      <c r="C1212" s="77" t="s">
        <v>48</v>
      </c>
      <c r="D1212" s="78">
        <v>1</v>
      </c>
      <c r="E1212" s="79"/>
      <c r="F1212" s="79" t="e">
        <f t="shared" si="75"/>
        <v>#REF!</v>
      </c>
      <c r="G1212" s="2"/>
      <c r="H1212" s="37">
        <v>8375</v>
      </c>
      <c r="I1212" s="4">
        <f t="shared" si="76"/>
        <v>0</v>
      </c>
      <c r="J1212" s="25">
        <f t="shared" si="77"/>
        <v>39</v>
      </c>
    </row>
    <row r="1213" spans="1:10" ht="16.95" customHeight="1">
      <c r="A1213" s="75">
        <v>5</v>
      </c>
      <c r="B1213" s="80" t="s">
        <v>95</v>
      </c>
      <c r="C1213" s="77" t="s">
        <v>48</v>
      </c>
      <c r="D1213" s="78">
        <v>1</v>
      </c>
      <c r="E1213" s="79"/>
      <c r="F1213" s="79" t="e">
        <f t="shared" si="75"/>
        <v>#REF!</v>
      </c>
      <c r="G1213" s="2"/>
      <c r="H1213" s="37">
        <v>51618</v>
      </c>
      <c r="I1213" s="4">
        <f t="shared" si="76"/>
        <v>0</v>
      </c>
      <c r="J1213" s="25">
        <f t="shared" si="77"/>
        <v>39</v>
      </c>
    </row>
    <row r="1214" spans="1:10" ht="16.95" customHeight="1">
      <c r="A1214" s="75">
        <v>6</v>
      </c>
      <c r="B1214" s="80" t="s">
        <v>96</v>
      </c>
      <c r="C1214" s="77" t="s">
        <v>50</v>
      </c>
      <c r="D1214" s="78">
        <v>11.55</v>
      </c>
      <c r="E1214" s="79"/>
      <c r="F1214" s="79" t="e">
        <f t="shared" si="75"/>
        <v>#REF!</v>
      </c>
      <c r="G1214" s="2"/>
      <c r="H1214" s="37">
        <v>1188</v>
      </c>
      <c r="I1214" s="4">
        <f t="shared" si="76"/>
        <v>0</v>
      </c>
      <c r="J1214" s="25">
        <f t="shared" si="77"/>
        <v>39</v>
      </c>
    </row>
    <row r="1215" spans="1:10" ht="34.950000000000003" customHeight="1">
      <c r="A1215" s="75">
        <v>7</v>
      </c>
      <c r="B1215" s="80" t="s">
        <v>97</v>
      </c>
      <c r="C1215" s="77" t="s">
        <v>48</v>
      </c>
      <c r="D1215" s="78">
        <v>1</v>
      </c>
      <c r="E1215" s="79"/>
      <c r="F1215" s="79" t="e">
        <f t="shared" si="75"/>
        <v>#REF!</v>
      </c>
      <c r="G1215" s="2"/>
      <c r="H1215" s="37">
        <v>21157</v>
      </c>
      <c r="I1215" s="4">
        <f t="shared" si="76"/>
        <v>0</v>
      </c>
      <c r="J1215" s="25">
        <f t="shared" si="77"/>
        <v>39</v>
      </c>
    </row>
    <row r="1216" spans="1:10" ht="16.95" customHeight="1">
      <c r="A1216" s="75">
        <v>8</v>
      </c>
      <c r="B1216" s="80" t="s">
        <v>98</v>
      </c>
      <c r="C1216" s="77" t="s">
        <v>50</v>
      </c>
      <c r="D1216" s="78">
        <v>387</v>
      </c>
      <c r="E1216" s="79"/>
      <c r="F1216" s="79" t="e">
        <f t="shared" si="75"/>
        <v>#REF!</v>
      </c>
      <c r="G1216" s="2"/>
      <c r="H1216" s="37">
        <v>705</v>
      </c>
      <c r="I1216" s="4">
        <f t="shared" si="76"/>
        <v>0</v>
      </c>
      <c r="J1216" s="25">
        <f t="shared" si="77"/>
        <v>39</v>
      </c>
    </row>
    <row r="1217" spans="1:10" ht="16.95" customHeight="1">
      <c r="A1217" s="75">
        <v>9</v>
      </c>
      <c r="B1217" s="80" t="s">
        <v>99</v>
      </c>
      <c r="C1217" s="77" t="s">
        <v>50</v>
      </c>
      <c r="D1217" s="78">
        <v>170</v>
      </c>
      <c r="E1217" s="79"/>
      <c r="F1217" s="79" t="e">
        <f t="shared" si="75"/>
        <v>#REF!</v>
      </c>
      <c r="G1217" s="2"/>
      <c r="H1217" s="37">
        <v>617</v>
      </c>
      <c r="I1217" s="4">
        <f t="shared" si="76"/>
        <v>0</v>
      </c>
      <c r="J1217" s="25">
        <f t="shared" si="77"/>
        <v>39</v>
      </c>
    </row>
    <row r="1218" spans="1:10" ht="16.95" customHeight="1">
      <c r="A1218" s="75">
        <v>10</v>
      </c>
      <c r="B1218" s="80" t="s">
        <v>100</v>
      </c>
      <c r="C1218" s="77" t="s">
        <v>66</v>
      </c>
      <c r="D1218" s="78">
        <v>15</v>
      </c>
      <c r="E1218" s="79"/>
      <c r="F1218" s="79" t="e">
        <f t="shared" si="75"/>
        <v>#REF!</v>
      </c>
      <c r="G1218" s="2"/>
      <c r="H1218" s="37">
        <v>617</v>
      </c>
      <c r="I1218" s="4">
        <f t="shared" si="76"/>
        <v>0</v>
      </c>
      <c r="J1218" s="25">
        <f t="shared" si="77"/>
        <v>39</v>
      </c>
    </row>
    <row r="1219" spans="1:10" ht="16.95" customHeight="1">
      <c r="A1219" s="75">
        <v>11</v>
      </c>
      <c r="B1219" s="80" t="s">
        <v>101</v>
      </c>
      <c r="C1219" s="77" t="s">
        <v>50</v>
      </c>
      <c r="D1219" s="78">
        <v>75</v>
      </c>
      <c r="E1219" s="79"/>
      <c r="F1219" s="79" t="e">
        <f t="shared" si="75"/>
        <v>#REF!</v>
      </c>
      <c r="G1219" s="2"/>
      <c r="H1219" s="37">
        <v>1146</v>
      </c>
      <c r="I1219" s="4">
        <f t="shared" si="76"/>
        <v>0</v>
      </c>
      <c r="J1219" s="25">
        <f t="shared" si="77"/>
        <v>39</v>
      </c>
    </row>
    <row r="1220" spans="1:10" ht="16.95" customHeight="1">
      <c r="A1220" s="75">
        <v>12</v>
      </c>
      <c r="B1220" s="80" t="s">
        <v>102</v>
      </c>
      <c r="C1220" s="77" t="s">
        <v>50</v>
      </c>
      <c r="D1220" s="78">
        <v>5</v>
      </c>
      <c r="E1220" s="79"/>
      <c r="F1220" s="79" t="e">
        <f t="shared" si="75"/>
        <v>#REF!</v>
      </c>
      <c r="G1220" s="2"/>
      <c r="H1220" s="37">
        <v>1455</v>
      </c>
      <c r="I1220" s="4">
        <f t="shared" si="76"/>
        <v>0</v>
      </c>
      <c r="J1220" s="25">
        <f t="shared" si="77"/>
        <v>39</v>
      </c>
    </row>
    <row r="1221" spans="1:10" ht="16.95" customHeight="1">
      <c r="A1221" s="75">
        <v>13</v>
      </c>
      <c r="B1221" s="80" t="s">
        <v>103</v>
      </c>
      <c r="C1221" s="77" t="s">
        <v>50</v>
      </c>
      <c r="D1221" s="78">
        <v>217</v>
      </c>
      <c r="E1221" s="79"/>
      <c r="F1221" s="79" t="e">
        <f t="shared" si="75"/>
        <v>#REF!</v>
      </c>
      <c r="G1221" s="2"/>
      <c r="H1221" s="37">
        <v>1410</v>
      </c>
      <c r="I1221" s="4">
        <f t="shared" si="76"/>
        <v>0</v>
      </c>
      <c r="J1221" s="25">
        <f t="shared" si="77"/>
        <v>39</v>
      </c>
    </row>
    <row r="1222" spans="1:10" ht="16.95" customHeight="1">
      <c r="A1222" s="75">
        <v>14</v>
      </c>
      <c r="B1222" s="80" t="s">
        <v>104</v>
      </c>
      <c r="C1222" s="77" t="s">
        <v>49</v>
      </c>
      <c r="D1222" s="78">
        <v>84</v>
      </c>
      <c r="E1222" s="79"/>
      <c r="F1222" s="79" t="e">
        <f t="shared" si="75"/>
        <v>#REF!</v>
      </c>
      <c r="G1222" s="2"/>
      <c r="H1222" s="37">
        <v>529</v>
      </c>
      <c r="I1222" s="4">
        <f t="shared" si="76"/>
        <v>0</v>
      </c>
      <c r="J1222" s="25">
        <f t="shared" si="77"/>
        <v>39</v>
      </c>
    </row>
    <row r="1223" spans="1:10" ht="16.95" customHeight="1">
      <c r="A1223" s="75">
        <v>15</v>
      </c>
      <c r="B1223" s="80" t="s">
        <v>105</v>
      </c>
      <c r="C1223" s="77" t="s">
        <v>50</v>
      </c>
      <c r="D1223" s="78">
        <v>1</v>
      </c>
      <c r="E1223" s="79"/>
      <c r="F1223" s="79" t="e">
        <f t="shared" si="75"/>
        <v>#REF!</v>
      </c>
      <c r="G1223" s="2"/>
      <c r="H1223" s="37">
        <v>1146</v>
      </c>
      <c r="I1223" s="4">
        <f t="shared" si="76"/>
        <v>0</v>
      </c>
      <c r="J1223" s="25">
        <f t="shared" si="77"/>
        <v>39</v>
      </c>
    </row>
    <row r="1224" spans="1:10" ht="34.799999999999997" customHeight="1">
      <c r="A1224" s="75">
        <v>16</v>
      </c>
      <c r="B1224" s="80" t="s">
        <v>106</v>
      </c>
      <c r="C1224" s="77" t="s">
        <v>50</v>
      </c>
      <c r="D1224" s="78">
        <v>314</v>
      </c>
      <c r="E1224" s="79"/>
      <c r="F1224" s="79" t="e">
        <f t="shared" si="75"/>
        <v>#REF!</v>
      </c>
      <c r="G1224" s="2"/>
      <c r="H1224" s="37">
        <v>185</v>
      </c>
      <c r="I1224" s="4">
        <f t="shared" si="76"/>
        <v>0</v>
      </c>
      <c r="J1224" s="25">
        <f t="shared" si="77"/>
        <v>39</v>
      </c>
    </row>
    <row r="1225" spans="1:10" ht="16.95" customHeight="1">
      <c r="A1225" s="75">
        <v>17</v>
      </c>
      <c r="B1225" s="80" t="s">
        <v>107</v>
      </c>
      <c r="C1225" s="77" t="s">
        <v>48</v>
      </c>
      <c r="D1225" s="78">
        <v>1</v>
      </c>
      <c r="E1225" s="79"/>
      <c r="F1225" s="79" t="e">
        <f t="shared" si="75"/>
        <v>#REF!</v>
      </c>
      <c r="G1225" s="2"/>
      <c r="H1225" s="37">
        <v>89918</v>
      </c>
      <c r="I1225" s="4">
        <f t="shared" si="76"/>
        <v>0</v>
      </c>
      <c r="J1225" s="25">
        <f t="shared" si="77"/>
        <v>39</v>
      </c>
    </row>
    <row r="1226" spans="1:10" ht="16.95" customHeight="1">
      <c r="A1226" s="75">
        <v>18</v>
      </c>
      <c r="B1226" s="80" t="s">
        <v>108</v>
      </c>
      <c r="C1226" s="77" t="s">
        <v>120</v>
      </c>
      <c r="D1226" s="78">
        <v>15</v>
      </c>
      <c r="E1226" s="79"/>
      <c r="F1226" s="79" t="e">
        <f t="shared" si="75"/>
        <v>#REF!</v>
      </c>
      <c r="G1226" s="2"/>
      <c r="H1226" s="37">
        <v>661</v>
      </c>
      <c r="I1226" s="4">
        <f t="shared" si="76"/>
        <v>0</v>
      </c>
      <c r="J1226" s="25">
        <f t="shared" si="77"/>
        <v>39</v>
      </c>
    </row>
    <row r="1227" spans="1:10" ht="16.95" customHeight="1">
      <c r="A1227" s="75">
        <v>19</v>
      </c>
      <c r="B1227" s="80" t="s">
        <v>109</v>
      </c>
      <c r="C1227" s="77" t="s">
        <v>50</v>
      </c>
      <c r="D1227" s="78">
        <v>82</v>
      </c>
      <c r="E1227" s="79"/>
      <c r="F1227" s="79" t="e">
        <f t="shared" si="75"/>
        <v>#REF!</v>
      </c>
      <c r="G1227" s="2"/>
      <c r="H1227" s="37">
        <v>2909</v>
      </c>
      <c r="I1227" s="4">
        <f t="shared" si="76"/>
        <v>0</v>
      </c>
      <c r="J1227" s="25">
        <f t="shared" si="77"/>
        <v>39</v>
      </c>
    </row>
    <row r="1228" spans="1:10" ht="16.95" customHeight="1">
      <c r="A1228" s="75">
        <v>20</v>
      </c>
      <c r="B1228" s="80" t="s">
        <v>110</v>
      </c>
      <c r="C1228" s="77" t="s">
        <v>121</v>
      </c>
      <c r="D1228" s="78">
        <v>12</v>
      </c>
      <c r="E1228" s="79"/>
      <c r="F1228" s="79" t="e">
        <f t="shared" si="75"/>
        <v>#REF!</v>
      </c>
      <c r="G1228" s="2"/>
      <c r="H1228" s="37">
        <v>882</v>
      </c>
      <c r="I1228" s="4">
        <f t="shared" si="76"/>
        <v>0</v>
      </c>
      <c r="J1228" s="25">
        <f t="shared" si="77"/>
        <v>39</v>
      </c>
    </row>
    <row r="1229" spans="1:10" ht="16.95" customHeight="1">
      <c r="A1229" s="77">
        <v>21</v>
      </c>
      <c r="B1229" s="80" t="s">
        <v>111</v>
      </c>
      <c r="C1229" s="77" t="s">
        <v>122</v>
      </c>
      <c r="D1229" s="78">
        <v>3</v>
      </c>
      <c r="E1229" s="79"/>
      <c r="F1229" s="79" t="e">
        <f t="shared" si="75"/>
        <v>#REF!</v>
      </c>
      <c r="G1229" s="2"/>
      <c r="H1229" s="38">
        <v>1869</v>
      </c>
      <c r="I1229" s="4">
        <f t="shared" si="76"/>
        <v>0</v>
      </c>
      <c r="J1229" s="25">
        <f t="shared" si="77"/>
        <v>39</v>
      </c>
    </row>
    <row r="1230" spans="1:10" ht="34.950000000000003" customHeight="1">
      <c r="A1230" s="75">
        <v>22</v>
      </c>
      <c r="B1230" s="80" t="s">
        <v>112</v>
      </c>
      <c r="C1230" s="77" t="s">
        <v>48</v>
      </c>
      <c r="D1230" s="78">
        <v>1</v>
      </c>
      <c r="E1230" s="79"/>
      <c r="F1230" s="79" t="e">
        <f t="shared" si="75"/>
        <v>#REF!</v>
      </c>
      <c r="G1230" s="2"/>
      <c r="H1230" s="37">
        <v>82206</v>
      </c>
      <c r="I1230" s="4">
        <f t="shared" si="76"/>
        <v>0</v>
      </c>
      <c r="J1230" s="25">
        <f t="shared" si="77"/>
        <v>39</v>
      </c>
    </row>
    <row r="1231" spans="1:10" ht="16.95" customHeight="1">
      <c r="A1231" s="75">
        <v>23</v>
      </c>
      <c r="B1231" s="80" t="s">
        <v>113</v>
      </c>
      <c r="C1231" s="77" t="s">
        <v>48</v>
      </c>
      <c r="D1231" s="78">
        <v>1</v>
      </c>
      <c r="E1231" s="79"/>
      <c r="F1231" s="79" t="e">
        <f t="shared" si="75"/>
        <v>#REF!</v>
      </c>
      <c r="G1231" s="2"/>
      <c r="H1231" s="37">
        <v>142723</v>
      </c>
      <c r="I1231" s="4">
        <f t="shared" si="76"/>
        <v>0</v>
      </c>
      <c r="J1231" s="25">
        <f t="shared" si="77"/>
        <v>39</v>
      </c>
    </row>
    <row r="1232" spans="1:10" ht="16.95" customHeight="1">
      <c r="A1232" s="75">
        <v>24</v>
      </c>
      <c r="B1232" s="80" t="s">
        <v>114</v>
      </c>
      <c r="C1232" s="77" t="s">
        <v>48</v>
      </c>
      <c r="D1232" s="78">
        <v>1</v>
      </c>
      <c r="E1232" s="79"/>
      <c r="F1232" s="79" t="e">
        <f t="shared" si="75"/>
        <v>#REF!</v>
      </c>
      <c r="G1232" s="2"/>
      <c r="H1232" s="37">
        <v>37290</v>
      </c>
      <c r="I1232" s="4">
        <f t="shared" si="76"/>
        <v>0</v>
      </c>
      <c r="J1232" s="25">
        <f t="shared" si="77"/>
        <v>39</v>
      </c>
    </row>
    <row r="1233" spans="1:10" ht="16.95" customHeight="1">
      <c r="A1233" s="75">
        <v>25</v>
      </c>
      <c r="B1233" s="80" t="s">
        <v>115</v>
      </c>
      <c r="C1233" s="77" t="s">
        <v>48</v>
      </c>
      <c r="D1233" s="78">
        <v>1</v>
      </c>
      <c r="E1233" s="79"/>
      <c r="F1233" s="79" t="e">
        <f t="shared" si="75"/>
        <v>#REF!</v>
      </c>
      <c r="G1233" s="2"/>
      <c r="H1233" s="37">
        <v>99394</v>
      </c>
      <c r="I1233" s="4">
        <f t="shared" si="76"/>
        <v>0</v>
      </c>
      <c r="J1233" s="25">
        <f t="shared" si="77"/>
        <v>39</v>
      </c>
    </row>
    <row r="1234" spans="1:10" ht="34.950000000000003" customHeight="1">
      <c r="A1234" s="75">
        <v>26</v>
      </c>
      <c r="B1234" s="80" t="s">
        <v>116</v>
      </c>
      <c r="C1234" s="77" t="s">
        <v>48</v>
      </c>
      <c r="D1234" s="78">
        <v>1</v>
      </c>
      <c r="E1234" s="79"/>
      <c r="F1234" s="79" t="e">
        <f t="shared" si="75"/>
        <v>#REF!</v>
      </c>
      <c r="G1234" s="2"/>
      <c r="H1234" s="37">
        <v>21334</v>
      </c>
      <c r="I1234" s="4">
        <f t="shared" si="76"/>
        <v>0</v>
      </c>
      <c r="J1234" s="25">
        <f t="shared" si="77"/>
        <v>39</v>
      </c>
    </row>
    <row r="1235" spans="1:10" ht="16.95" customHeight="1">
      <c r="A1235" s="75">
        <v>27</v>
      </c>
      <c r="B1235" s="80" t="s">
        <v>117</v>
      </c>
      <c r="C1235" s="77" t="s">
        <v>48</v>
      </c>
      <c r="D1235" s="78">
        <v>1</v>
      </c>
      <c r="E1235" s="79"/>
      <c r="F1235" s="79" t="e">
        <f t="shared" si="75"/>
        <v>#REF!</v>
      </c>
      <c r="G1235" s="2"/>
      <c r="H1235" s="37">
        <v>29620</v>
      </c>
      <c r="I1235" s="4">
        <f t="shared" si="76"/>
        <v>0</v>
      </c>
      <c r="J1235" s="25">
        <f t="shared" si="77"/>
        <v>39</v>
      </c>
    </row>
    <row r="1236" spans="1:10" ht="16.95" customHeight="1">
      <c r="A1236" s="75">
        <v>28</v>
      </c>
      <c r="B1236" s="80" t="s">
        <v>118</v>
      </c>
      <c r="C1236" s="77" t="s">
        <v>48</v>
      </c>
      <c r="D1236" s="78">
        <v>1</v>
      </c>
      <c r="E1236" s="79"/>
      <c r="F1236" s="79" t="e">
        <f t="shared" si="75"/>
        <v>#REF!</v>
      </c>
      <c r="G1236" s="2"/>
      <c r="H1236" s="37">
        <v>18506</v>
      </c>
      <c r="I1236" s="4">
        <f t="shared" si="76"/>
        <v>0</v>
      </c>
      <c r="J1236" s="25">
        <f t="shared" si="77"/>
        <v>39</v>
      </c>
    </row>
    <row r="1237" spans="1:10" ht="16.95" customHeight="1">
      <c r="A1237" s="75">
        <v>29</v>
      </c>
      <c r="B1237" s="80" t="s">
        <v>119</v>
      </c>
      <c r="C1237" s="77" t="s">
        <v>48</v>
      </c>
      <c r="D1237" s="78">
        <v>1</v>
      </c>
      <c r="E1237" s="79"/>
      <c r="F1237" s="79" t="e">
        <f t="shared" si="75"/>
        <v>#REF!</v>
      </c>
      <c r="G1237" s="2"/>
      <c r="H1237" s="37">
        <v>34381</v>
      </c>
      <c r="I1237" s="4">
        <f t="shared" si="76"/>
        <v>0</v>
      </c>
      <c r="J1237" s="25">
        <f t="shared" si="77"/>
        <v>39</v>
      </c>
    </row>
    <row r="1238" spans="1:10" ht="16.95" customHeight="1">
      <c r="A1238" s="75" t="s">
        <v>79</v>
      </c>
      <c r="B1238" s="80" t="s">
        <v>80</v>
      </c>
      <c r="C1238" s="77" t="s">
        <v>48</v>
      </c>
      <c r="D1238" s="78">
        <v>1</v>
      </c>
      <c r="E1238" s="79">
        <f t="shared" ref="E1238:E1241" si="78">1/120</f>
        <v>8.3333333333333332E-3</v>
      </c>
      <c r="F1238" s="79" t="e">
        <f t="shared" si="75"/>
        <v>#REF!</v>
      </c>
      <c r="G1238" s="2"/>
      <c r="H1238" s="37">
        <v>21395</v>
      </c>
      <c r="I1238" s="4">
        <f t="shared" si="76"/>
        <v>178.29166666666666</v>
      </c>
      <c r="J1238" s="25">
        <f t="shared" si="77"/>
        <v>39</v>
      </c>
    </row>
    <row r="1239" spans="1:10" ht="16.95" customHeight="1">
      <c r="A1239" s="75" t="s">
        <v>81</v>
      </c>
      <c r="B1239" s="80" t="s">
        <v>82</v>
      </c>
      <c r="C1239" s="77" t="s">
        <v>48</v>
      </c>
      <c r="D1239" s="78">
        <v>1</v>
      </c>
      <c r="E1239" s="79">
        <f t="shared" si="78"/>
        <v>8.3333333333333332E-3</v>
      </c>
      <c r="F1239" s="79" t="e">
        <f t="shared" si="75"/>
        <v>#REF!</v>
      </c>
      <c r="G1239" s="2"/>
      <c r="H1239" s="37">
        <v>21395</v>
      </c>
      <c r="I1239" s="4">
        <f t="shared" si="76"/>
        <v>178.29166666666666</v>
      </c>
      <c r="J1239" s="25">
        <f t="shared" si="77"/>
        <v>39</v>
      </c>
    </row>
    <row r="1240" spans="1:10" ht="16.95" customHeight="1">
      <c r="A1240" s="75" t="s">
        <v>83</v>
      </c>
      <c r="B1240" s="80" t="s">
        <v>84</v>
      </c>
      <c r="C1240" s="77" t="s">
        <v>48</v>
      </c>
      <c r="D1240" s="78">
        <v>1</v>
      </c>
      <c r="E1240" s="79">
        <f t="shared" si="78"/>
        <v>8.3333333333333332E-3</v>
      </c>
      <c r="F1240" s="79" t="e">
        <f t="shared" si="75"/>
        <v>#REF!</v>
      </c>
      <c r="G1240" s="2"/>
      <c r="H1240" s="37">
        <v>149765</v>
      </c>
      <c r="I1240" s="4">
        <f t="shared" si="76"/>
        <v>1248.0416666666667</v>
      </c>
      <c r="J1240" s="25">
        <f t="shared" si="77"/>
        <v>39</v>
      </c>
    </row>
    <row r="1241" spans="1:10" ht="16.95" customHeight="1">
      <c r="A1241" s="75" t="s">
        <v>85</v>
      </c>
      <c r="B1241" s="80" t="s">
        <v>86</v>
      </c>
      <c r="C1241" s="77" t="s">
        <v>48</v>
      </c>
      <c r="D1241" s="78">
        <v>1</v>
      </c>
      <c r="E1241" s="79">
        <f t="shared" si="78"/>
        <v>8.3333333333333332E-3</v>
      </c>
      <c r="F1241" s="79" t="e">
        <f t="shared" si="75"/>
        <v>#REF!</v>
      </c>
      <c r="G1241" s="2"/>
      <c r="H1241" s="37">
        <v>6996</v>
      </c>
      <c r="I1241" s="4">
        <f t="shared" si="76"/>
        <v>58.3</v>
      </c>
      <c r="J1241" s="25">
        <f t="shared" si="77"/>
        <v>39</v>
      </c>
    </row>
    <row r="1242" spans="1:10" ht="16.95" customHeight="1">
      <c r="A1242" s="75" t="s">
        <v>87</v>
      </c>
      <c r="B1242" s="80" t="s">
        <v>88</v>
      </c>
      <c r="C1242" s="77" t="s">
        <v>48</v>
      </c>
      <c r="D1242" s="78">
        <v>1</v>
      </c>
      <c r="E1242" s="79">
        <f>1/120</f>
        <v>8.3333333333333332E-3</v>
      </c>
      <c r="F1242" s="79" t="e">
        <f t="shared" si="75"/>
        <v>#REF!</v>
      </c>
      <c r="G1242" s="2"/>
      <c r="H1242" s="37">
        <v>116952</v>
      </c>
      <c r="I1242" s="4">
        <f t="shared" si="76"/>
        <v>974.6</v>
      </c>
      <c r="J1242" s="25">
        <f t="shared" si="77"/>
        <v>39</v>
      </c>
    </row>
    <row r="1243" spans="1:10" ht="16.95" customHeight="1">
      <c r="A1243" s="95" t="s">
        <v>23</v>
      </c>
      <c r="B1243" s="95"/>
      <c r="C1243" s="50"/>
      <c r="D1243" s="50"/>
      <c r="E1243" s="50"/>
      <c r="F1243" s="50"/>
      <c r="G1243" s="50"/>
      <c r="H1243" s="3" t="s">
        <v>24</v>
      </c>
      <c r="I1243" s="5">
        <f>SUM(I1208:I1242)</f>
        <v>2637.5250000000001</v>
      </c>
      <c r="J1243" s="25">
        <f t="shared" si="77"/>
        <v>39</v>
      </c>
    </row>
    <row r="1244" spans="1:10" ht="16.95" customHeight="1">
      <c r="A1244" s="96" t="s">
        <v>25</v>
      </c>
      <c r="B1244" s="96"/>
      <c r="C1244" s="50"/>
      <c r="D1244" s="50"/>
      <c r="E1244" s="50"/>
      <c r="F1244" s="50"/>
      <c r="G1244" s="50"/>
      <c r="J1244" s="25">
        <f t="shared" si="77"/>
        <v>39</v>
      </c>
    </row>
    <row r="1245" spans="1:10" ht="16.95" customHeight="1">
      <c r="A1245" s="96" t="s">
        <v>26</v>
      </c>
      <c r="B1245" s="96"/>
      <c r="C1245" s="50"/>
      <c r="D1245" s="50"/>
      <c r="E1245" s="50"/>
      <c r="F1245" s="50"/>
      <c r="G1245" s="50"/>
      <c r="J1245" s="25">
        <f t="shared" si="77"/>
        <v>39</v>
      </c>
    </row>
    <row r="1246" spans="1:10" ht="16.95" customHeight="1">
      <c r="A1246" s="95" t="s">
        <v>27</v>
      </c>
      <c r="B1246" s="95"/>
      <c r="C1246" s="95"/>
      <c r="D1246" s="95"/>
      <c r="E1246" s="95"/>
      <c r="F1246" s="95"/>
      <c r="G1246" s="95"/>
      <c r="J1246" s="25">
        <f t="shared" si="77"/>
        <v>39</v>
      </c>
    </row>
    <row r="1247" spans="1:10" ht="16.95" customHeight="1">
      <c r="A1247" s="94" t="s">
        <v>28</v>
      </c>
      <c r="B1247" s="94"/>
      <c r="C1247" s="51" t="s">
        <v>29</v>
      </c>
      <c r="D1247" s="51" t="s">
        <v>30</v>
      </c>
      <c r="E1247" s="51" t="s">
        <v>18</v>
      </c>
      <c r="F1247" s="51" t="s">
        <v>31</v>
      </c>
      <c r="G1247" s="51" t="s">
        <v>20</v>
      </c>
      <c r="J1247" s="25">
        <f t="shared" si="77"/>
        <v>39</v>
      </c>
    </row>
    <row r="1248" spans="1:10" ht="16.95" customHeight="1">
      <c r="A1248" s="96"/>
      <c r="B1248" s="96"/>
      <c r="C1248" s="50"/>
      <c r="D1248" s="50"/>
      <c r="E1248" s="50"/>
      <c r="F1248" s="50"/>
      <c r="G1248" s="51"/>
      <c r="J1248" s="25">
        <f t="shared" si="77"/>
        <v>39</v>
      </c>
    </row>
    <row r="1249" spans="1:10" ht="16.95" customHeight="1">
      <c r="A1249" s="97"/>
      <c r="B1249" s="97"/>
      <c r="C1249" s="50"/>
      <c r="D1249" s="50"/>
      <c r="E1249" s="50"/>
      <c r="F1249" s="51"/>
      <c r="G1249" s="51"/>
      <c r="J1249" s="25">
        <f t="shared" si="77"/>
        <v>39</v>
      </c>
    </row>
    <row r="1250" spans="1:10" ht="16.95" customHeight="1">
      <c r="A1250" s="95" t="s">
        <v>32</v>
      </c>
      <c r="B1250" s="95"/>
      <c r="C1250" s="95"/>
      <c r="D1250" s="95"/>
      <c r="E1250" s="95"/>
      <c r="F1250" s="95"/>
      <c r="G1250" s="95"/>
      <c r="J1250" s="25">
        <f t="shared" si="77"/>
        <v>40</v>
      </c>
    </row>
    <row r="1251" spans="1:10" ht="16.95" customHeight="1">
      <c r="A1251" s="51" t="s">
        <v>33</v>
      </c>
      <c r="B1251" s="51" t="s">
        <v>34</v>
      </c>
      <c r="C1251" s="94" t="s">
        <v>35</v>
      </c>
      <c r="D1251" s="94"/>
      <c r="E1251" s="51" t="s">
        <v>36</v>
      </c>
      <c r="F1251" s="51" t="s">
        <v>37</v>
      </c>
      <c r="G1251" s="51" t="s">
        <v>38</v>
      </c>
      <c r="J1251" s="25">
        <f t="shared" si="77"/>
        <v>40</v>
      </c>
    </row>
    <row r="1252" spans="1:10" ht="16.95" customHeight="1">
      <c r="A1252" s="51" t="s">
        <v>39</v>
      </c>
      <c r="B1252" s="6"/>
      <c r="C1252" s="94" t="e">
        <f>B1252+C1189</f>
        <v>#REF!</v>
      </c>
      <c r="D1252" s="94"/>
      <c r="E1252" s="51"/>
      <c r="F1252" s="24"/>
      <c r="G1252" s="24"/>
      <c r="J1252" s="25">
        <f t="shared" si="77"/>
        <v>40</v>
      </c>
    </row>
    <row r="1253" spans="1:10" ht="16.95" customHeight="1">
      <c r="A1253" s="51" t="s">
        <v>40</v>
      </c>
      <c r="B1253" s="6"/>
      <c r="C1253" s="94" t="e">
        <f>B1253+C1190</f>
        <v>#REF!</v>
      </c>
      <c r="D1253" s="94"/>
      <c r="E1253" s="51"/>
      <c r="F1253" s="24"/>
      <c r="G1253" s="24"/>
      <c r="J1253" s="25">
        <f t="shared" si="77"/>
        <v>40</v>
      </c>
    </row>
    <row r="1254" spans="1:10" ht="36.6" customHeight="1">
      <c r="A1254" s="95" t="s">
        <v>41</v>
      </c>
      <c r="B1254" s="95"/>
      <c r="C1254" s="95"/>
      <c r="D1254" s="95"/>
      <c r="E1254" s="95"/>
      <c r="F1254" s="95"/>
      <c r="G1254" s="95"/>
      <c r="J1254" s="25">
        <f t="shared" si="77"/>
        <v>40</v>
      </c>
    </row>
    <row r="1255" spans="1:10" ht="90" customHeight="1">
      <c r="A1255" s="92" t="s">
        <v>42</v>
      </c>
      <c r="B1255" s="92"/>
      <c r="C1255" s="92"/>
      <c r="D1255" s="92"/>
      <c r="E1255" s="92"/>
      <c r="F1255" s="92"/>
      <c r="G1255" s="92"/>
      <c r="J1255" s="25">
        <f t="shared" si="77"/>
        <v>40</v>
      </c>
    </row>
    <row r="1256" spans="1:10" ht="16.95" customHeight="1">
      <c r="A1256" s="95" t="s">
        <v>43</v>
      </c>
      <c r="B1256" s="95"/>
      <c r="C1256" s="95"/>
      <c r="D1256" s="95"/>
      <c r="E1256" s="95"/>
      <c r="F1256" s="95"/>
      <c r="G1256" s="95"/>
      <c r="J1256" s="25">
        <f t="shared" si="77"/>
        <v>40</v>
      </c>
    </row>
    <row r="1257" spans="1:10" ht="16.95" customHeight="1">
      <c r="A1257" s="95" t="s">
        <v>44</v>
      </c>
      <c r="B1257" s="95"/>
      <c r="C1257" s="95"/>
      <c r="D1257" s="95"/>
      <c r="E1257" s="95"/>
      <c r="F1257" s="95"/>
      <c r="G1257" s="95"/>
      <c r="J1257" s="25">
        <f t="shared" si="77"/>
        <v>40</v>
      </c>
    </row>
    <row r="1258" spans="1:10" ht="16.95" customHeight="1">
      <c r="A1258" s="91" t="s">
        <v>64</v>
      </c>
      <c r="B1258" s="91"/>
      <c r="C1258" s="91"/>
      <c r="D1258" s="91"/>
      <c r="E1258" s="91"/>
      <c r="F1258" s="91"/>
      <c r="G1258" s="91"/>
      <c r="J1258" s="25">
        <f t="shared" si="77"/>
        <v>40</v>
      </c>
    </row>
    <row r="1259" spans="1:10" ht="120.6" customHeight="1">
      <c r="A1259" s="92" t="s">
        <v>45</v>
      </c>
      <c r="B1259" s="92"/>
      <c r="C1259" s="92"/>
      <c r="D1259" s="92"/>
      <c r="E1259" s="92"/>
      <c r="F1259" s="92"/>
      <c r="G1259" s="92"/>
      <c r="J1259" s="25">
        <f t="shared" si="77"/>
        <v>40</v>
      </c>
    </row>
    <row r="1260" spans="1:10" ht="140.4" customHeight="1">
      <c r="A1260" s="93" t="s">
        <v>46</v>
      </c>
      <c r="B1260" s="93"/>
      <c r="C1260" s="93"/>
      <c r="D1260" s="93"/>
      <c r="E1260" s="93"/>
      <c r="F1260" s="93"/>
      <c r="G1260" s="93"/>
      <c r="J1260" s="25">
        <f t="shared" si="77"/>
        <v>40</v>
      </c>
    </row>
    <row r="1261" spans="1:10" ht="37.200000000000003" customHeight="1">
      <c r="A1261" s="103" t="s">
        <v>0</v>
      </c>
      <c r="B1261" s="103"/>
      <c r="C1261" s="103"/>
      <c r="D1261" s="103"/>
      <c r="E1261" s="103"/>
      <c r="F1261" s="103"/>
      <c r="G1261" s="103"/>
      <c r="J1261" s="25">
        <f t="shared" si="77"/>
        <v>41</v>
      </c>
    </row>
    <row r="1262" spans="1:10" ht="16.95" customHeight="1">
      <c r="A1262" s="1" t="s">
        <v>1</v>
      </c>
      <c r="B1262" s="104">
        <f>B1199+1</f>
        <v>22</v>
      </c>
      <c r="C1262" s="104"/>
      <c r="D1262" s="104"/>
      <c r="E1262" s="104"/>
      <c r="F1262" s="104"/>
      <c r="G1262" s="104"/>
      <c r="J1262" s="25">
        <f t="shared" si="77"/>
        <v>41</v>
      </c>
    </row>
    <row r="1263" spans="1:10" ht="16.95" customHeight="1">
      <c r="A1263" s="1" t="s">
        <v>2</v>
      </c>
      <c r="B1263" s="105" t="s">
        <v>63</v>
      </c>
      <c r="C1263" s="105"/>
      <c r="D1263" s="105"/>
      <c r="E1263" s="106">
        <f>E1200+1</f>
        <v>46224</v>
      </c>
      <c r="F1263" s="106"/>
      <c r="G1263" s="106"/>
      <c r="J1263" s="25">
        <f t="shared" si="77"/>
        <v>41</v>
      </c>
    </row>
    <row r="1264" spans="1:10" ht="16.95" customHeight="1">
      <c r="A1264" s="53" t="s">
        <v>3</v>
      </c>
      <c r="B1264" s="2" t="s">
        <v>67</v>
      </c>
      <c r="C1264" s="98" t="s">
        <v>4</v>
      </c>
      <c r="D1264" s="98"/>
      <c r="E1264" s="98" t="s">
        <v>47</v>
      </c>
      <c r="F1264" s="98"/>
      <c r="G1264" s="98"/>
      <c r="J1264" s="25">
        <f t="shared" si="77"/>
        <v>41</v>
      </c>
    </row>
    <row r="1265" spans="1:10" ht="16.95" customHeight="1">
      <c r="A1265" s="53" t="s">
        <v>5</v>
      </c>
      <c r="B1265" s="54">
        <v>120</v>
      </c>
      <c r="C1265" s="98" t="s">
        <v>6</v>
      </c>
      <c r="D1265" s="98"/>
      <c r="E1265" s="98" t="s">
        <v>123</v>
      </c>
      <c r="F1265" s="98"/>
      <c r="G1265" s="98"/>
      <c r="J1265" s="25">
        <f t="shared" si="77"/>
        <v>41</v>
      </c>
    </row>
    <row r="1266" spans="1:10" ht="16.95" customHeight="1">
      <c r="A1266" s="53" t="s">
        <v>7</v>
      </c>
      <c r="B1266" s="54">
        <f>B1262</f>
        <v>22</v>
      </c>
      <c r="C1266" s="100" t="s">
        <v>8</v>
      </c>
      <c r="D1266" s="100"/>
      <c r="E1266" s="101">
        <f>B1265-B1266</f>
        <v>98</v>
      </c>
      <c r="F1266" s="101"/>
      <c r="G1266" s="101"/>
      <c r="J1266" s="25">
        <f t="shared" si="77"/>
        <v>41</v>
      </c>
    </row>
    <row r="1267" spans="1:10" ht="16.95" customHeight="1">
      <c r="A1267" s="53" t="s">
        <v>9</v>
      </c>
      <c r="B1267" s="55">
        <v>46204</v>
      </c>
      <c r="C1267" s="98" t="s">
        <v>10</v>
      </c>
      <c r="D1267" s="98"/>
      <c r="E1267" s="102">
        <f>B1267+B1265-1</f>
        <v>46323</v>
      </c>
      <c r="F1267" s="102"/>
      <c r="G1267" s="102"/>
      <c r="J1267" s="25">
        <f t="shared" si="77"/>
        <v>41</v>
      </c>
    </row>
    <row r="1268" spans="1:10" ht="16.95" customHeight="1">
      <c r="A1268" s="53" t="s">
        <v>11</v>
      </c>
      <c r="B1268" s="56" t="e">
        <f>HLOOKUP(B1262,進度表!$Q$2:$Z$3,2,1)+B1205</f>
        <v>#REF!</v>
      </c>
      <c r="C1268" s="98" t="s">
        <v>12</v>
      </c>
      <c r="D1268" s="98"/>
      <c r="E1268" s="99" t="e">
        <f>I1306/I1268+E1205</f>
        <v>#REF!</v>
      </c>
      <c r="F1268" s="99"/>
      <c r="G1268" s="99"/>
      <c r="H1268" s="3" t="s">
        <v>62</v>
      </c>
      <c r="I1268" s="1">
        <v>2456000</v>
      </c>
      <c r="J1268" s="25">
        <f t="shared" si="77"/>
        <v>41</v>
      </c>
    </row>
    <row r="1269" spans="1:10" ht="16.95" customHeight="1">
      <c r="A1269" s="98" t="s">
        <v>13</v>
      </c>
      <c r="B1269" s="98"/>
      <c r="C1269" s="98"/>
      <c r="D1269" s="98"/>
      <c r="E1269" s="98"/>
      <c r="F1269" s="98"/>
      <c r="G1269" s="98"/>
      <c r="J1269" s="25">
        <f t="shared" si="77"/>
        <v>41</v>
      </c>
    </row>
    <row r="1270" spans="1:10" ht="16.95" customHeight="1">
      <c r="A1270" s="52" t="s">
        <v>14</v>
      </c>
      <c r="B1270" s="52" t="s">
        <v>15</v>
      </c>
      <c r="C1270" s="52" t="s">
        <v>16</v>
      </c>
      <c r="D1270" s="52" t="s">
        <v>17</v>
      </c>
      <c r="E1270" s="52" t="s">
        <v>18</v>
      </c>
      <c r="F1270" s="52" t="s">
        <v>19</v>
      </c>
      <c r="G1270" s="52" t="s">
        <v>20</v>
      </c>
      <c r="H1270" s="3" t="s">
        <v>21</v>
      </c>
      <c r="I1270" s="3" t="s">
        <v>22</v>
      </c>
      <c r="J1270" s="25">
        <f t="shared" si="77"/>
        <v>41</v>
      </c>
    </row>
    <row r="1271" spans="1:10" ht="16.95" customHeight="1">
      <c r="A1271" s="75" t="s">
        <v>65</v>
      </c>
      <c r="B1271" s="76" t="s">
        <v>69</v>
      </c>
      <c r="C1271" s="77"/>
      <c r="D1271" s="78"/>
      <c r="E1271" s="79"/>
      <c r="F1271" s="79"/>
      <c r="G1271" s="2"/>
      <c r="H1271" s="37"/>
      <c r="I1271" s="4"/>
      <c r="J1271" s="25">
        <f t="shared" si="77"/>
        <v>41</v>
      </c>
    </row>
    <row r="1272" spans="1:10" ht="34.950000000000003" customHeight="1">
      <c r="A1272" s="75">
        <v>1</v>
      </c>
      <c r="B1272" s="80" t="s">
        <v>91</v>
      </c>
      <c r="C1272" s="77" t="s">
        <v>48</v>
      </c>
      <c r="D1272" s="78">
        <v>1</v>
      </c>
      <c r="E1272" s="79"/>
      <c r="F1272" s="79" t="e">
        <f t="shared" ref="F1272:F1305" si="79">E1272+F1209</f>
        <v>#REF!</v>
      </c>
      <c r="G1272" s="2"/>
      <c r="H1272" s="37">
        <v>10508</v>
      </c>
      <c r="I1272" s="4">
        <f>H1272*E1272</f>
        <v>0</v>
      </c>
      <c r="J1272" s="25">
        <f t="shared" si="77"/>
        <v>41</v>
      </c>
    </row>
    <row r="1273" spans="1:10" ht="34.799999999999997" customHeight="1">
      <c r="A1273" s="75">
        <v>2</v>
      </c>
      <c r="B1273" s="80" t="s">
        <v>92</v>
      </c>
      <c r="C1273" s="77" t="s">
        <v>48</v>
      </c>
      <c r="D1273" s="78">
        <v>1</v>
      </c>
      <c r="E1273" s="79"/>
      <c r="F1273" s="79" t="e">
        <f t="shared" si="79"/>
        <v>#REF!</v>
      </c>
      <c r="G1273" s="2"/>
      <c r="H1273" s="37">
        <v>13223</v>
      </c>
      <c r="I1273" s="4">
        <f>H1273*E1273</f>
        <v>0</v>
      </c>
      <c r="J1273" s="25">
        <f t="shared" si="77"/>
        <v>41</v>
      </c>
    </row>
    <row r="1274" spans="1:10" ht="53.4" customHeight="1">
      <c r="A1274" s="75">
        <v>3</v>
      </c>
      <c r="B1274" s="80" t="s">
        <v>93</v>
      </c>
      <c r="C1274" s="77" t="s">
        <v>48</v>
      </c>
      <c r="D1274" s="78">
        <v>1</v>
      </c>
      <c r="E1274" s="79"/>
      <c r="F1274" s="79" t="e">
        <f t="shared" si="79"/>
        <v>#REF!</v>
      </c>
      <c r="G1274" s="2"/>
      <c r="H1274" s="37">
        <v>310497</v>
      </c>
      <c r="I1274" s="4">
        <f t="shared" ref="I1274:I1305" si="80">H1274*E1274</f>
        <v>0</v>
      </c>
      <c r="J1274" s="25">
        <f t="shared" si="77"/>
        <v>41</v>
      </c>
    </row>
    <row r="1275" spans="1:10" ht="16.95" customHeight="1">
      <c r="A1275" s="75">
        <v>4</v>
      </c>
      <c r="B1275" s="80" t="s">
        <v>94</v>
      </c>
      <c r="C1275" s="77" t="s">
        <v>48</v>
      </c>
      <c r="D1275" s="78">
        <v>1</v>
      </c>
      <c r="E1275" s="79"/>
      <c r="F1275" s="79" t="e">
        <f t="shared" si="79"/>
        <v>#REF!</v>
      </c>
      <c r="G1275" s="2"/>
      <c r="H1275" s="37">
        <v>8375</v>
      </c>
      <c r="I1275" s="4">
        <f t="shared" si="80"/>
        <v>0</v>
      </c>
      <c r="J1275" s="25">
        <f t="shared" ref="J1275:J1338" si="81">J1212+2</f>
        <v>41</v>
      </c>
    </row>
    <row r="1276" spans="1:10" ht="16.95" customHeight="1">
      <c r="A1276" s="75">
        <v>5</v>
      </c>
      <c r="B1276" s="80" t="s">
        <v>95</v>
      </c>
      <c r="C1276" s="77" t="s">
        <v>48</v>
      </c>
      <c r="D1276" s="78">
        <v>1</v>
      </c>
      <c r="E1276" s="79"/>
      <c r="F1276" s="79" t="e">
        <f t="shared" si="79"/>
        <v>#REF!</v>
      </c>
      <c r="G1276" s="2"/>
      <c r="H1276" s="37">
        <v>51618</v>
      </c>
      <c r="I1276" s="4">
        <f t="shared" si="80"/>
        <v>0</v>
      </c>
      <c r="J1276" s="25">
        <f t="shared" si="81"/>
        <v>41</v>
      </c>
    </row>
    <row r="1277" spans="1:10" ht="16.95" customHeight="1">
      <c r="A1277" s="75">
        <v>6</v>
      </c>
      <c r="B1277" s="80" t="s">
        <v>96</v>
      </c>
      <c r="C1277" s="77" t="s">
        <v>50</v>
      </c>
      <c r="D1277" s="78">
        <v>11.55</v>
      </c>
      <c r="E1277" s="79"/>
      <c r="F1277" s="79" t="e">
        <f t="shared" si="79"/>
        <v>#REF!</v>
      </c>
      <c r="G1277" s="2"/>
      <c r="H1277" s="37">
        <v>1188</v>
      </c>
      <c r="I1277" s="4">
        <f t="shared" si="80"/>
        <v>0</v>
      </c>
      <c r="J1277" s="25">
        <f t="shared" si="81"/>
        <v>41</v>
      </c>
    </row>
    <row r="1278" spans="1:10" ht="34.950000000000003" customHeight="1">
      <c r="A1278" s="75">
        <v>7</v>
      </c>
      <c r="B1278" s="80" t="s">
        <v>97</v>
      </c>
      <c r="C1278" s="77" t="s">
        <v>48</v>
      </c>
      <c r="D1278" s="78">
        <v>1</v>
      </c>
      <c r="E1278" s="79"/>
      <c r="F1278" s="79" t="e">
        <f t="shared" si="79"/>
        <v>#REF!</v>
      </c>
      <c r="G1278" s="2"/>
      <c r="H1278" s="37">
        <v>21157</v>
      </c>
      <c r="I1278" s="4">
        <f t="shared" si="80"/>
        <v>0</v>
      </c>
      <c r="J1278" s="25">
        <f t="shared" si="81"/>
        <v>41</v>
      </c>
    </row>
    <row r="1279" spans="1:10" ht="16.95" customHeight="1">
      <c r="A1279" s="75">
        <v>8</v>
      </c>
      <c r="B1279" s="80" t="s">
        <v>98</v>
      </c>
      <c r="C1279" s="77" t="s">
        <v>50</v>
      </c>
      <c r="D1279" s="78">
        <v>387</v>
      </c>
      <c r="E1279" s="79"/>
      <c r="F1279" s="79" t="e">
        <f t="shared" si="79"/>
        <v>#REF!</v>
      </c>
      <c r="G1279" s="2"/>
      <c r="H1279" s="37">
        <v>705</v>
      </c>
      <c r="I1279" s="4">
        <f t="shared" si="80"/>
        <v>0</v>
      </c>
      <c r="J1279" s="25">
        <f t="shared" si="81"/>
        <v>41</v>
      </c>
    </row>
    <row r="1280" spans="1:10" ht="16.95" customHeight="1">
      <c r="A1280" s="75">
        <v>9</v>
      </c>
      <c r="B1280" s="80" t="s">
        <v>99</v>
      </c>
      <c r="C1280" s="77" t="s">
        <v>50</v>
      </c>
      <c r="D1280" s="78">
        <v>170</v>
      </c>
      <c r="E1280" s="79"/>
      <c r="F1280" s="79" t="e">
        <f t="shared" si="79"/>
        <v>#REF!</v>
      </c>
      <c r="G1280" s="2"/>
      <c r="H1280" s="37">
        <v>617</v>
      </c>
      <c r="I1280" s="4">
        <f t="shared" si="80"/>
        <v>0</v>
      </c>
      <c r="J1280" s="25">
        <f t="shared" si="81"/>
        <v>41</v>
      </c>
    </row>
    <row r="1281" spans="1:10" ht="16.95" customHeight="1">
      <c r="A1281" s="75">
        <v>10</v>
      </c>
      <c r="B1281" s="80" t="s">
        <v>100</v>
      </c>
      <c r="C1281" s="77" t="s">
        <v>66</v>
      </c>
      <c r="D1281" s="78">
        <v>15</v>
      </c>
      <c r="E1281" s="79"/>
      <c r="F1281" s="79" t="e">
        <f t="shared" si="79"/>
        <v>#REF!</v>
      </c>
      <c r="G1281" s="2"/>
      <c r="H1281" s="37">
        <v>617</v>
      </c>
      <c r="I1281" s="4">
        <f t="shared" si="80"/>
        <v>0</v>
      </c>
      <c r="J1281" s="25">
        <f t="shared" si="81"/>
        <v>41</v>
      </c>
    </row>
    <row r="1282" spans="1:10" ht="16.95" customHeight="1">
      <c r="A1282" s="75">
        <v>11</v>
      </c>
      <c r="B1282" s="80" t="s">
        <v>101</v>
      </c>
      <c r="C1282" s="77" t="s">
        <v>50</v>
      </c>
      <c r="D1282" s="78">
        <v>75</v>
      </c>
      <c r="E1282" s="79"/>
      <c r="F1282" s="79" t="e">
        <f t="shared" si="79"/>
        <v>#REF!</v>
      </c>
      <c r="G1282" s="2"/>
      <c r="H1282" s="37">
        <v>1146</v>
      </c>
      <c r="I1282" s="4">
        <f t="shared" si="80"/>
        <v>0</v>
      </c>
      <c r="J1282" s="25">
        <f t="shared" si="81"/>
        <v>41</v>
      </c>
    </row>
    <row r="1283" spans="1:10" ht="16.95" customHeight="1">
      <c r="A1283" s="75">
        <v>12</v>
      </c>
      <c r="B1283" s="80" t="s">
        <v>102</v>
      </c>
      <c r="C1283" s="77" t="s">
        <v>50</v>
      </c>
      <c r="D1283" s="78">
        <v>5</v>
      </c>
      <c r="E1283" s="79"/>
      <c r="F1283" s="79" t="e">
        <f t="shared" si="79"/>
        <v>#REF!</v>
      </c>
      <c r="G1283" s="2"/>
      <c r="H1283" s="37">
        <v>1455</v>
      </c>
      <c r="I1283" s="4">
        <f t="shared" si="80"/>
        <v>0</v>
      </c>
      <c r="J1283" s="25">
        <f t="shared" si="81"/>
        <v>41</v>
      </c>
    </row>
    <row r="1284" spans="1:10" ht="16.95" customHeight="1">
      <c r="A1284" s="75">
        <v>13</v>
      </c>
      <c r="B1284" s="80" t="s">
        <v>103</v>
      </c>
      <c r="C1284" s="77" t="s">
        <v>50</v>
      </c>
      <c r="D1284" s="78">
        <v>217</v>
      </c>
      <c r="E1284" s="79"/>
      <c r="F1284" s="79" t="e">
        <f t="shared" si="79"/>
        <v>#REF!</v>
      </c>
      <c r="G1284" s="2"/>
      <c r="H1284" s="37">
        <v>1410</v>
      </c>
      <c r="I1284" s="4">
        <f t="shared" si="80"/>
        <v>0</v>
      </c>
      <c r="J1284" s="25">
        <f t="shared" si="81"/>
        <v>41</v>
      </c>
    </row>
    <row r="1285" spans="1:10" ht="16.95" customHeight="1">
      <c r="A1285" s="75">
        <v>14</v>
      </c>
      <c r="B1285" s="80" t="s">
        <v>104</v>
      </c>
      <c r="C1285" s="77" t="s">
        <v>49</v>
      </c>
      <c r="D1285" s="78">
        <v>84</v>
      </c>
      <c r="E1285" s="79"/>
      <c r="F1285" s="79" t="e">
        <f t="shared" si="79"/>
        <v>#REF!</v>
      </c>
      <c r="G1285" s="2"/>
      <c r="H1285" s="37">
        <v>529</v>
      </c>
      <c r="I1285" s="4">
        <f t="shared" si="80"/>
        <v>0</v>
      </c>
      <c r="J1285" s="25">
        <f t="shared" si="81"/>
        <v>41</v>
      </c>
    </row>
    <row r="1286" spans="1:10" ht="16.95" customHeight="1">
      <c r="A1286" s="75">
        <v>15</v>
      </c>
      <c r="B1286" s="80" t="s">
        <v>105</v>
      </c>
      <c r="C1286" s="77" t="s">
        <v>50</v>
      </c>
      <c r="D1286" s="78">
        <v>1</v>
      </c>
      <c r="E1286" s="79"/>
      <c r="F1286" s="79" t="e">
        <f t="shared" si="79"/>
        <v>#REF!</v>
      </c>
      <c r="G1286" s="2"/>
      <c r="H1286" s="37">
        <v>1146</v>
      </c>
      <c r="I1286" s="4">
        <f t="shared" si="80"/>
        <v>0</v>
      </c>
      <c r="J1286" s="25">
        <f t="shared" si="81"/>
        <v>41</v>
      </c>
    </row>
    <row r="1287" spans="1:10" ht="34.799999999999997" customHeight="1">
      <c r="A1287" s="75">
        <v>16</v>
      </c>
      <c r="B1287" s="80" t="s">
        <v>106</v>
      </c>
      <c r="C1287" s="77" t="s">
        <v>50</v>
      </c>
      <c r="D1287" s="78">
        <v>314</v>
      </c>
      <c r="E1287" s="79"/>
      <c r="F1287" s="79" t="e">
        <f t="shared" si="79"/>
        <v>#REF!</v>
      </c>
      <c r="G1287" s="2"/>
      <c r="H1287" s="37">
        <v>185</v>
      </c>
      <c r="I1287" s="4">
        <f t="shared" si="80"/>
        <v>0</v>
      </c>
      <c r="J1287" s="25">
        <f t="shared" si="81"/>
        <v>41</v>
      </c>
    </row>
    <row r="1288" spans="1:10" ht="16.95" customHeight="1">
      <c r="A1288" s="75">
        <v>17</v>
      </c>
      <c r="B1288" s="80" t="s">
        <v>107</v>
      </c>
      <c r="C1288" s="77" t="s">
        <v>48</v>
      </c>
      <c r="D1288" s="78">
        <v>1</v>
      </c>
      <c r="E1288" s="79"/>
      <c r="F1288" s="79" t="e">
        <f t="shared" si="79"/>
        <v>#REF!</v>
      </c>
      <c r="G1288" s="2"/>
      <c r="H1288" s="37">
        <v>89918</v>
      </c>
      <c r="I1288" s="4">
        <f t="shared" si="80"/>
        <v>0</v>
      </c>
      <c r="J1288" s="25">
        <f t="shared" si="81"/>
        <v>41</v>
      </c>
    </row>
    <row r="1289" spans="1:10" ht="16.95" customHeight="1">
      <c r="A1289" s="75">
        <v>18</v>
      </c>
      <c r="B1289" s="80" t="s">
        <v>108</v>
      </c>
      <c r="C1289" s="77" t="s">
        <v>120</v>
      </c>
      <c r="D1289" s="78">
        <v>15</v>
      </c>
      <c r="E1289" s="79"/>
      <c r="F1289" s="79" t="e">
        <f t="shared" si="79"/>
        <v>#REF!</v>
      </c>
      <c r="G1289" s="2"/>
      <c r="H1289" s="37">
        <v>661</v>
      </c>
      <c r="I1289" s="4">
        <f t="shared" si="80"/>
        <v>0</v>
      </c>
      <c r="J1289" s="25">
        <f t="shared" si="81"/>
        <v>41</v>
      </c>
    </row>
    <row r="1290" spans="1:10" ht="16.95" customHeight="1">
      <c r="A1290" s="75">
        <v>19</v>
      </c>
      <c r="B1290" s="80" t="s">
        <v>109</v>
      </c>
      <c r="C1290" s="77" t="s">
        <v>50</v>
      </c>
      <c r="D1290" s="78">
        <v>82</v>
      </c>
      <c r="E1290" s="79"/>
      <c r="F1290" s="79" t="e">
        <f t="shared" si="79"/>
        <v>#REF!</v>
      </c>
      <c r="G1290" s="2"/>
      <c r="H1290" s="37">
        <v>2909</v>
      </c>
      <c r="I1290" s="4">
        <f t="shared" si="80"/>
        <v>0</v>
      </c>
      <c r="J1290" s="25">
        <f t="shared" si="81"/>
        <v>41</v>
      </c>
    </row>
    <row r="1291" spans="1:10" ht="16.95" customHeight="1">
      <c r="A1291" s="75">
        <v>20</v>
      </c>
      <c r="B1291" s="80" t="s">
        <v>110</v>
      </c>
      <c r="C1291" s="77" t="s">
        <v>121</v>
      </c>
      <c r="D1291" s="78">
        <v>12</v>
      </c>
      <c r="E1291" s="79"/>
      <c r="F1291" s="79" t="e">
        <f t="shared" si="79"/>
        <v>#REF!</v>
      </c>
      <c r="G1291" s="2"/>
      <c r="H1291" s="37">
        <v>882</v>
      </c>
      <c r="I1291" s="4">
        <f t="shared" si="80"/>
        <v>0</v>
      </c>
      <c r="J1291" s="25">
        <f t="shared" si="81"/>
        <v>41</v>
      </c>
    </row>
    <row r="1292" spans="1:10" ht="16.95" customHeight="1">
      <c r="A1292" s="77">
        <v>21</v>
      </c>
      <c r="B1292" s="80" t="s">
        <v>111</v>
      </c>
      <c r="C1292" s="77" t="s">
        <v>122</v>
      </c>
      <c r="D1292" s="78">
        <v>3</v>
      </c>
      <c r="E1292" s="79"/>
      <c r="F1292" s="79" t="e">
        <f t="shared" si="79"/>
        <v>#REF!</v>
      </c>
      <c r="G1292" s="2"/>
      <c r="H1292" s="38">
        <v>1869</v>
      </c>
      <c r="I1292" s="4">
        <f t="shared" si="80"/>
        <v>0</v>
      </c>
      <c r="J1292" s="25">
        <f t="shared" si="81"/>
        <v>41</v>
      </c>
    </row>
    <row r="1293" spans="1:10" ht="34.950000000000003" customHeight="1">
      <c r="A1293" s="75">
        <v>22</v>
      </c>
      <c r="B1293" s="80" t="s">
        <v>112</v>
      </c>
      <c r="C1293" s="77" t="s">
        <v>48</v>
      </c>
      <c r="D1293" s="78">
        <v>1</v>
      </c>
      <c r="E1293" s="79"/>
      <c r="F1293" s="79" t="e">
        <f t="shared" si="79"/>
        <v>#REF!</v>
      </c>
      <c r="G1293" s="2"/>
      <c r="H1293" s="37">
        <v>82206</v>
      </c>
      <c r="I1293" s="4">
        <f t="shared" si="80"/>
        <v>0</v>
      </c>
      <c r="J1293" s="25">
        <f t="shared" si="81"/>
        <v>41</v>
      </c>
    </row>
    <row r="1294" spans="1:10" ht="16.95" customHeight="1">
      <c r="A1294" s="75">
        <v>23</v>
      </c>
      <c r="B1294" s="80" t="s">
        <v>113</v>
      </c>
      <c r="C1294" s="77" t="s">
        <v>48</v>
      </c>
      <c r="D1294" s="78">
        <v>1</v>
      </c>
      <c r="E1294" s="79"/>
      <c r="F1294" s="79" t="e">
        <f t="shared" si="79"/>
        <v>#REF!</v>
      </c>
      <c r="G1294" s="2"/>
      <c r="H1294" s="37">
        <v>142723</v>
      </c>
      <c r="I1294" s="4">
        <f t="shared" si="80"/>
        <v>0</v>
      </c>
      <c r="J1294" s="25">
        <f t="shared" si="81"/>
        <v>41</v>
      </c>
    </row>
    <row r="1295" spans="1:10" ht="16.95" customHeight="1">
      <c r="A1295" s="75">
        <v>24</v>
      </c>
      <c r="B1295" s="80" t="s">
        <v>114</v>
      </c>
      <c r="C1295" s="77" t="s">
        <v>48</v>
      </c>
      <c r="D1295" s="78">
        <v>1</v>
      </c>
      <c r="E1295" s="79"/>
      <c r="F1295" s="79" t="e">
        <f t="shared" si="79"/>
        <v>#REF!</v>
      </c>
      <c r="G1295" s="2"/>
      <c r="H1295" s="37">
        <v>37290</v>
      </c>
      <c r="I1295" s="4">
        <f t="shared" si="80"/>
        <v>0</v>
      </c>
      <c r="J1295" s="25">
        <f t="shared" si="81"/>
        <v>41</v>
      </c>
    </row>
    <row r="1296" spans="1:10" ht="16.95" customHeight="1">
      <c r="A1296" s="75">
        <v>25</v>
      </c>
      <c r="B1296" s="80" t="s">
        <v>115</v>
      </c>
      <c r="C1296" s="77" t="s">
        <v>48</v>
      </c>
      <c r="D1296" s="78">
        <v>1</v>
      </c>
      <c r="E1296" s="79"/>
      <c r="F1296" s="79" t="e">
        <f t="shared" si="79"/>
        <v>#REF!</v>
      </c>
      <c r="G1296" s="2"/>
      <c r="H1296" s="37">
        <v>99394</v>
      </c>
      <c r="I1296" s="4">
        <f t="shared" si="80"/>
        <v>0</v>
      </c>
      <c r="J1296" s="25">
        <f t="shared" si="81"/>
        <v>41</v>
      </c>
    </row>
    <row r="1297" spans="1:10" ht="34.950000000000003" customHeight="1">
      <c r="A1297" s="75">
        <v>26</v>
      </c>
      <c r="B1297" s="80" t="s">
        <v>116</v>
      </c>
      <c r="C1297" s="77" t="s">
        <v>48</v>
      </c>
      <c r="D1297" s="78">
        <v>1</v>
      </c>
      <c r="E1297" s="79"/>
      <c r="F1297" s="79" t="e">
        <f t="shared" si="79"/>
        <v>#REF!</v>
      </c>
      <c r="G1297" s="2"/>
      <c r="H1297" s="37">
        <v>21334</v>
      </c>
      <c r="I1297" s="4">
        <f t="shared" si="80"/>
        <v>0</v>
      </c>
      <c r="J1297" s="25">
        <f t="shared" si="81"/>
        <v>41</v>
      </c>
    </row>
    <row r="1298" spans="1:10" ht="16.95" customHeight="1">
      <c r="A1298" s="75">
        <v>27</v>
      </c>
      <c r="B1298" s="80" t="s">
        <v>117</v>
      </c>
      <c r="C1298" s="77" t="s">
        <v>48</v>
      </c>
      <c r="D1298" s="78">
        <v>1</v>
      </c>
      <c r="E1298" s="79"/>
      <c r="F1298" s="79" t="e">
        <f t="shared" si="79"/>
        <v>#REF!</v>
      </c>
      <c r="G1298" s="2"/>
      <c r="H1298" s="37">
        <v>29620</v>
      </c>
      <c r="I1298" s="4">
        <f t="shared" si="80"/>
        <v>0</v>
      </c>
      <c r="J1298" s="25">
        <f t="shared" si="81"/>
        <v>41</v>
      </c>
    </row>
    <row r="1299" spans="1:10" ht="16.95" customHeight="1">
      <c r="A1299" s="75">
        <v>28</v>
      </c>
      <c r="B1299" s="80" t="s">
        <v>118</v>
      </c>
      <c r="C1299" s="77" t="s">
        <v>48</v>
      </c>
      <c r="D1299" s="78">
        <v>1</v>
      </c>
      <c r="E1299" s="79"/>
      <c r="F1299" s="79" t="e">
        <f t="shared" si="79"/>
        <v>#REF!</v>
      </c>
      <c r="G1299" s="2"/>
      <c r="H1299" s="37">
        <v>18506</v>
      </c>
      <c r="I1299" s="4">
        <f t="shared" si="80"/>
        <v>0</v>
      </c>
      <c r="J1299" s="25">
        <f t="shared" si="81"/>
        <v>41</v>
      </c>
    </row>
    <row r="1300" spans="1:10" ht="16.95" customHeight="1">
      <c r="A1300" s="75">
        <v>29</v>
      </c>
      <c r="B1300" s="80" t="s">
        <v>119</v>
      </c>
      <c r="C1300" s="77" t="s">
        <v>48</v>
      </c>
      <c r="D1300" s="78">
        <v>1</v>
      </c>
      <c r="E1300" s="79"/>
      <c r="F1300" s="79" t="e">
        <f t="shared" si="79"/>
        <v>#REF!</v>
      </c>
      <c r="G1300" s="2"/>
      <c r="H1300" s="37">
        <v>34381</v>
      </c>
      <c r="I1300" s="4">
        <f t="shared" si="80"/>
        <v>0</v>
      </c>
      <c r="J1300" s="25">
        <f t="shared" si="81"/>
        <v>41</v>
      </c>
    </row>
    <row r="1301" spans="1:10" ht="16.95" customHeight="1">
      <c r="A1301" s="75" t="s">
        <v>79</v>
      </c>
      <c r="B1301" s="80" t="s">
        <v>80</v>
      </c>
      <c r="C1301" s="77" t="s">
        <v>48</v>
      </c>
      <c r="D1301" s="78">
        <v>1</v>
      </c>
      <c r="E1301" s="79">
        <f t="shared" ref="E1301:E1304" si="82">1/120</f>
        <v>8.3333333333333332E-3</v>
      </c>
      <c r="F1301" s="79" t="e">
        <f t="shared" si="79"/>
        <v>#REF!</v>
      </c>
      <c r="G1301" s="2"/>
      <c r="H1301" s="37">
        <v>21395</v>
      </c>
      <c r="I1301" s="4">
        <f t="shared" si="80"/>
        <v>178.29166666666666</v>
      </c>
      <c r="J1301" s="25">
        <f t="shared" si="81"/>
        <v>41</v>
      </c>
    </row>
    <row r="1302" spans="1:10" ht="16.95" customHeight="1">
      <c r="A1302" s="75" t="s">
        <v>81</v>
      </c>
      <c r="B1302" s="80" t="s">
        <v>82</v>
      </c>
      <c r="C1302" s="77" t="s">
        <v>48</v>
      </c>
      <c r="D1302" s="78">
        <v>1</v>
      </c>
      <c r="E1302" s="79">
        <f t="shared" si="82"/>
        <v>8.3333333333333332E-3</v>
      </c>
      <c r="F1302" s="79" t="e">
        <f t="shared" si="79"/>
        <v>#REF!</v>
      </c>
      <c r="G1302" s="2"/>
      <c r="H1302" s="37">
        <v>21395</v>
      </c>
      <c r="I1302" s="4">
        <f t="shared" si="80"/>
        <v>178.29166666666666</v>
      </c>
      <c r="J1302" s="25">
        <f t="shared" si="81"/>
        <v>41</v>
      </c>
    </row>
    <row r="1303" spans="1:10" ht="16.95" customHeight="1">
      <c r="A1303" s="75" t="s">
        <v>83</v>
      </c>
      <c r="B1303" s="80" t="s">
        <v>84</v>
      </c>
      <c r="C1303" s="77" t="s">
        <v>48</v>
      </c>
      <c r="D1303" s="78">
        <v>1</v>
      </c>
      <c r="E1303" s="79">
        <f t="shared" si="82"/>
        <v>8.3333333333333332E-3</v>
      </c>
      <c r="F1303" s="79" t="e">
        <f t="shared" si="79"/>
        <v>#REF!</v>
      </c>
      <c r="G1303" s="2"/>
      <c r="H1303" s="37">
        <v>149765</v>
      </c>
      <c r="I1303" s="4">
        <f t="shared" si="80"/>
        <v>1248.0416666666667</v>
      </c>
      <c r="J1303" s="25">
        <f t="shared" si="81"/>
        <v>41</v>
      </c>
    </row>
    <row r="1304" spans="1:10" ht="16.95" customHeight="1">
      <c r="A1304" s="75" t="s">
        <v>85</v>
      </c>
      <c r="B1304" s="80" t="s">
        <v>86</v>
      </c>
      <c r="C1304" s="77" t="s">
        <v>48</v>
      </c>
      <c r="D1304" s="78">
        <v>1</v>
      </c>
      <c r="E1304" s="79">
        <f t="shared" si="82"/>
        <v>8.3333333333333332E-3</v>
      </c>
      <c r="F1304" s="79" t="e">
        <f t="shared" si="79"/>
        <v>#REF!</v>
      </c>
      <c r="G1304" s="2"/>
      <c r="H1304" s="37">
        <v>6996</v>
      </c>
      <c r="I1304" s="4">
        <f t="shared" si="80"/>
        <v>58.3</v>
      </c>
      <c r="J1304" s="25">
        <f t="shared" si="81"/>
        <v>41</v>
      </c>
    </row>
    <row r="1305" spans="1:10" ht="16.95" customHeight="1">
      <c r="A1305" s="75" t="s">
        <v>87</v>
      </c>
      <c r="B1305" s="80" t="s">
        <v>88</v>
      </c>
      <c r="C1305" s="77" t="s">
        <v>48</v>
      </c>
      <c r="D1305" s="78">
        <v>1</v>
      </c>
      <c r="E1305" s="79">
        <f>1/120</f>
        <v>8.3333333333333332E-3</v>
      </c>
      <c r="F1305" s="79" t="e">
        <f t="shared" si="79"/>
        <v>#REF!</v>
      </c>
      <c r="G1305" s="2"/>
      <c r="H1305" s="37">
        <v>116952</v>
      </c>
      <c r="I1305" s="4">
        <f t="shared" si="80"/>
        <v>974.6</v>
      </c>
      <c r="J1305" s="25">
        <f t="shared" si="81"/>
        <v>41</v>
      </c>
    </row>
    <row r="1306" spans="1:10" ht="16.95" customHeight="1">
      <c r="A1306" s="95" t="s">
        <v>23</v>
      </c>
      <c r="B1306" s="95"/>
      <c r="C1306" s="50"/>
      <c r="D1306" s="50"/>
      <c r="E1306" s="50"/>
      <c r="F1306" s="50"/>
      <c r="G1306" s="50"/>
      <c r="H1306" s="3" t="s">
        <v>24</v>
      </c>
      <c r="I1306" s="5">
        <f>SUM(I1271:I1305)</f>
        <v>2637.5250000000001</v>
      </c>
      <c r="J1306" s="25">
        <f t="shared" si="81"/>
        <v>41</v>
      </c>
    </row>
    <row r="1307" spans="1:10" ht="16.95" customHeight="1">
      <c r="A1307" s="96" t="s">
        <v>25</v>
      </c>
      <c r="B1307" s="96"/>
      <c r="C1307" s="50"/>
      <c r="D1307" s="50"/>
      <c r="E1307" s="50"/>
      <c r="F1307" s="50"/>
      <c r="G1307" s="50"/>
      <c r="J1307" s="25">
        <f t="shared" si="81"/>
        <v>41</v>
      </c>
    </row>
    <row r="1308" spans="1:10" ht="16.95" customHeight="1">
      <c r="A1308" s="96" t="s">
        <v>26</v>
      </c>
      <c r="B1308" s="96"/>
      <c r="C1308" s="50"/>
      <c r="D1308" s="50"/>
      <c r="E1308" s="50"/>
      <c r="F1308" s="50"/>
      <c r="G1308" s="50"/>
      <c r="J1308" s="25">
        <f t="shared" si="81"/>
        <v>41</v>
      </c>
    </row>
    <row r="1309" spans="1:10" ht="16.95" customHeight="1">
      <c r="A1309" s="95" t="s">
        <v>27</v>
      </c>
      <c r="B1309" s="95"/>
      <c r="C1309" s="95"/>
      <c r="D1309" s="95"/>
      <c r="E1309" s="95"/>
      <c r="F1309" s="95"/>
      <c r="G1309" s="95"/>
      <c r="J1309" s="25">
        <f t="shared" si="81"/>
        <v>41</v>
      </c>
    </row>
    <row r="1310" spans="1:10" ht="16.95" customHeight="1">
      <c r="A1310" s="94" t="s">
        <v>28</v>
      </c>
      <c r="B1310" s="94"/>
      <c r="C1310" s="51" t="s">
        <v>29</v>
      </c>
      <c r="D1310" s="51" t="s">
        <v>30</v>
      </c>
      <c r="E1310" s="51" t="s">
        <v>18</v>
      </c>
      <c r="F1310" s="51" t="s">
        <v>31</v>
      </c>
      <c r="G1310" s="51" t="s">
        <v>20</v>
      </c>
      <c r="J1310" s="25">
        <f t="shared" si="81"/>
        <v>41</v>
      </c>
    </row>
    <row r="1311" spans="1:10" ht="16.95" customHeight="1">
      <c r="A1311" s="96"/>
      <c r="B1311" s="96"/>
      <c r="C1311" s="50"/>
      <c r="D1311" s="50"/>
      <c r="E1311" s="50"/>
      <c r="F1311" s="50"/>
      <c r="G1311" s="51"/>
      <c r="J1311" s="25">
        <f t="shared" si="81"/>
        <v>41</v>
      </c>
    </row>
    <row r="1312" spans="1:10" ht="16.95" customHeight="1">
      <c r="A1312" s="97"/>
      <c r="B1312" s="97"/>
      <c r="C1312" s="50"/>
      <c r="D1312" s="50"/>
      <c r="E1312" s="50"/>
      <c r="F1312" s="51"/>
      <c r="G1312" s="51"/>
      <c r="J1312" s="25">
        <f t="shared" si="81"/>
        <v>41</v>
      </c>
    </row>
    <row r="1313" spans="1:10" ht="16.95" customHeight="1">
      <c r="A1313" s="95" t="s">
        <v>32</v>
      </c>
      <c r="B1313" s="95"/>
      <c r="C1313" s="95"/>
      <c r="D1313" s="95"/>
      <c r="E1313" s="95"/>
      <c r="F1313" s="95"/>
      <c r="G1313" s="95"/>
      <c r="J1313" s="25">
        <f t="shared" si="81"/>
        <v>42</v>
      </c>
    </row>
    <row r="1314" spans="1:10" ht="16.95" customHeight="1">
      <c r="A1314" s="51" t="s">
        <v>33</v>
      </c>
      <c r="B1314" s="51" t="s">
        <v>34</v>
      </c>
      <c r="C1314" s="94" t="s">
        <v>35</v>
      </c>
      <c r="D1314" s="94"/>
      <c r="E1314" s="51" t="s">
        <v>36</v>
      </c>
      <c r="F1314" s="51" t="s">
        <v>37</v>
      </c>
      <c r="G1314" s="51" t="s">
        <v>38</v>
      </c>
      <c r="J1314" s="25">
        <f t="shared" si="81"/>
        <v>42</v>
      </c>
    </row>
    <row r="1315" spans="1:10" ht="16.95" customHeight="1">
      <c r="A1315" s="51" t="s">
        <v>39</v>
      </c>
      <c r="B1315" s="6"/>
      <c r="C1315" s="94" t="e">
        <f>B1315+C1252</f>
        <v>#REF!</v>
      </c>
      <c r="D1315" s="94"/>
      <c r="E1315" s="51"/>
      <c r="F1315" s="24"/>
      <c r="G1315" s="24"/>
      <c r="J1315" s="25">
        <f t="shared" si="81"/>
        <v>42</v>
      </c>
    </row>
    <row r="1316" spans="1:10" ht="16.95" customHeight="1">
      <c r="A1316" s="51" t="s">
        <v>40</v>
      </c>
      <c r="B1316" s="6"/>
      <c r="C1316" s="94" t="e">
        <f>B1316+C1253</f>
        <v>#REF!</v>
      </c>
      <c r="D1316" s="94"/>
      <c r="E1316" s="51"/>
      <c r="F1316" s="24"/>
      <c r="G1316" s="24"/>
      <c r="J1316" s="25">
        <f t="shared" si="81"/>
        <v>42</v>
      </c>
    </row>
    <row r="1317" spans="1:10" ht="36.6" customHeight="1">
      <c r="A1317" s="95" t="s">
        <v>41</v>
      </c>
      <c r="B1317" s="95"/>
      <c r="C1317" s="95"/>
      <c r="D1317" s="95"/>
      <c r="E1317" s="95"/>
      <c r="F1317" s="95"/>
      <c r="G1317" s="95"/>
      <c r="J1317" s="25">
        <f t="shared" si="81"/>
        <v>42</v>
      </c>
    </row>
    <row r="1318" spans="1:10" ht="90" customHeight="1">
      <c r="A1318" s="92" t="s">
        <v>42</v>
      </c>
      <c r="B1318" s="92"/>
      <c r="C1318" s="92"/>
      <c r="D1318" s="92"/>
      <c r="E1318" s="92"/>
      <c r="F1318" s="92"/>
      <c r="G1318" s="92"/>
      <c r="J1318" s="25">
        <f t="shared" si="81"/>
        <v>42</v>
      </c>
    </row>
    <row r="1319" spans="1:10" ht="16.95" customHeight="1">
      <c r="A1319" s="95" t="s">
        <v>43</v>
      </c>
      <c r="B1319" s="95"/>
      <c r="C1319" s="95"/>
      <c r="D1319" s="95"/>
      <c r="E1319" s="95"/>
      <c r="F1319" s="95"/>
      <c r="G1319" s="95"/>
      <c r="J1319" s="25">
        <f t="shared" si="81"/>
        <v>42</v>
      </c>
    </row>
    <row r="1320" spans="1:10" ht="16.95" customHeight="1">
      <c r="A1320" s="95" t="s">
        <v>44</v>
      </c>
      <c r="B1320" s="95"/>
      <c r="C1320" s="95"/>
      <c r="D1320" s="95"/>
      <c r="E1320" s="95"/>
      <c r="F1320" s="95"/>
      <c r="G1320" s="95"/>
      <c r="J1320" s="25">
        <f t="shared" si="81"/>
        <v>42</v>
      </c>
    </row>
    <row r="1321" spans="1:10" ht="16.95" customHeight="1">
      <c r="A1321" s="91" t="s">
        <v>64</v>
      </c>
      <c r="B1321" s="91"/>
      <c r="C1321" s="91"/>
      <c r="D1321" s="91"/>
      <c r="E1321" s="91"/>
      <c r="F1321" s="91"/>
      <c r="G1321" s="91"/>
      <c r="J1321" s="25">
        <f t="shared" si="81"/>
        <v>42</v>
      </c>
    </row>
    <row r="1322" spans="1:10" ht="120.6" customHeight="1">
      <c r="A1322" s="92" t="s">
        <v>45</v>
      </c>
      <c r="B1322" s="92"/>
      <c r="C1322" s="92"/>
      <c r="D1322" s="92"/>
      <c r="E1322" s="92"/>
      <c r="F1322" s="92"/>
      <c r="G1322" s="92"/>
      <c r="J1322" s="25">
        <f t="shared" si="81"/>
        <v>42</v>
      </c>
    </row>
    <row r="1323" spans="1:10" ht="140.4" customHeight="1">
      <c r="A1323" s="93" t="s">
        <v>46</v>
      </c>
      <c r="B1323" s="93"/>
      <c r="C1323" s="93"/>
      <c r="D1323" s="93"/>
      <c r="E1323" s="93"/>
      <c r="F1323" s="93"/>
      <c r="G1323" s="93"/>
      <c r="J1323" s="25">
        <f t="shared" si="81"/>
        <v>42</v>
      </c>
    </row>
    <row r="1324" spans="1:10" ht="37.200000000000003" customHeight="1">
      <c r="A1324" s="103" t="s">
        <v>0</v>
      </c>
      <c r="B1324" s="103"/>
      <c r="C1324" s="103"/>
      <c r="D1324" s="103"/>
      <c r="E1324" s="103"/>
      <c r="F1324" s="103"/>
      <c r="G1324" s="103"/>
      <c r="J1324" s="25">
        <f t="shared" si="81"/>
        <v>43</v>
      </c>
    </row>
    <row r="1325" spans="1:10" ht="16.95" customHeight="1">
      <c r="A1325" s="1" t="s">
        <v>1</v>
      </c>
      <c r="B1325" s="104">
        <f>B1262+1</f>
        <v>23</v>
      </c>
      <c r="C1325" s="104"/>
      <c r="D1325" s="104"/>
      <c r="E1325" s="104"/>
      <c r="F1325" s="104"/>
      <c r="G1325" s="104"/>
      <c r="J1325" s="25">
        <f t="shared" si="81"/>
        <v>43</v>
      </c>
    </row>
    <row r="1326" spans="1:10" ht="16.95" customHeight="1">
      <c r="A1326" s="1" t="s">
        <v>2</v>
      </c>
      <c r="B1326" s="105" t="s">
        <v>63</v>
      </c>
      <c r="C1326" s="105"/>
      <c r="D1326" s="105"/>
      <c r="E1326" s="106">
        <f>E1263+1</f>
        <v>46225</v>
      </c>
      <c r="F1326" s="106"/>
      <c r="G1326" s="106"/>
      <c r="J1326" s="25">
        <f t="shared" si="81"/>
        <v>43</v>
      </c>
    </row>
    <row r="1327" spans="1:10" ht="16.95" customHeight="1">
      <c r="A1327" s="53" t="s">
        <v>3</v>
      </c>
      <c r="B1327" s="2" t="s">
        <v>67</v>
      </c>
      <c r="C1327" s="98" t="s">
        <v>4</v>
      </c>
      <c r="D1327" s="98"/>
      <c r="E1327" s="98" t="s">
        <v>47</v>
      </c>
      <c r="F1327" s="98"/>
      <c r="G1327" s="98"/>
      <c r="J1327" s="25">
        <f t="shared" si="81"/>
        <v>43</v>
      </c>
    </row>
    <row r="1328" spans="1:10" ht="16.95" customHeight="1">
      <c r="A1328" s="53" t="s">
        <v>5</v>
      </c>
      <c r="B1328" s="54">
        <v>120</v>
      </c>
      <c r="C1328" s="98" t="s">
        <v>6</v>
      </c>
      <c r="D1328" s="98"/>
      <c r="E1328" s="98" t="s">
        <v>123</v>
      </c>
      <c r="F1328" s="98"/>
      <c r="G1328" s="98"/>
      <c r="J1328" s="25">
        <f t="shared" si="81"/>
        <v>43</v>
      </c>
    </row>
    <row r="1329" spans="1:10" ht="16.95" customHeight="1">
      <c r="A1329" s="53" t="s">
        <v>7</v>
      </c>
      <c r="B1329" s="54">
        <f>B1325</f>
        <v>23</v>
      </c>
      <c r="C1329" s="100" t="s">
        <v>8</v>
      </c>
      <c r="D1329" s="100"/>
      <c r="E1329" s="101">
        <f>B1328-B1329</f>
        <v>97</v>
      </c>
      <c r="F1329" s="101"/>
      <c r="G1329" s="101"/>
      <c r="J1329" s="25">
        <f t="shared" si="81"/>
        <v>43</v>
      </c>
    </row>
    <row r="1330" spans="1:10" ht="16.95" customHeight="1">
      <c r="A1330" s="53" t="s">
        <v>9</v>
      </c>
      <c r="B1330" s="55">
        <v>46204</v>
      </c>
      <c r="C1330" s="98" t="s">
        <v>10</v>
      </c>
      <c r="D1330" s="98"/>
      <c r="E1330" s="102">
        <f>B1330+B1328-1</f>
        <v>46323</v>
      </c>
      <c r="F1330" s="102"/>
      <c r="G1330" s="102"/>
      <c r="J1330" s="25">
        <f t="shared" si="81"/>
        <v>43</v>
      </c>
    </row>
    <row r="1331" spans="1:10" ht="16.95" customHeight="1">
      <c r="A1331" s="53" t="s">
        <v>11</v>
      </c>
      <c r="B1331" s="56" t="e">
        <f>HLOOKUP(B1325,進度表!$Q$2:$Z$3,2,1)+B1268</f>
        <v>#REF!</v>
      </c>
      <c r="C1331" s="98" t="s">
        <v>12</v>
      </c>
      <c r="D1331" s="98"/>
      <c r="E1331" s="99" t="e">
        <f>I1369/I1331+E1268</f>
        <v>#REF!</v>
      </c>
      <c r="F1331" s="99"/>
      <c r="G1331" s="99"/>
      <c r="H1331" s="3" t="s">
        <v>62</v>
      </c>
      <c r="I1331" s="1">
        <v>2456000</v>
      </c>
      <c r="J1331" s="25">
        <f t="shared" si="81"/>
        <v>43</v>
      </c>
    </row>
    <row r="1332" spans="1:10" ht="16.95" customHeight="1">
      <c r="A1332" s="98" t="s">
        <v>13</v>
      </c>
      <c r="B1332" s="98"/>
      <c r="C1332" s="98"/>
      <c r="D1332" s="98"/>
      <c r="E1332" s="98"/>
      <c r="F1332" s="98"/>
      <c r="G1332" s="98"/>
      <c r="J1332" s="25">
        <f t="shared" si="81"/>
        <v>43</v>
      </c>
    </row>
    <row r="1333" spans="1:10" ht="16.95" customHeight="1">
      <c r="A1333" s="52" t="s">
        <v>14</v>
      </c>
      <c r="B1333" s="52" t="s">
        <v>15</v>
      </c>
      <c r="C1333" s="52" t="s">
        <v>16</v>
      </c>
      <c r="D1333" s="52" t="s">
        <v>17</v>
      </c>
      <c r="E1333" s="52" t="s">
        <v>18</v>
      </c>
      <c r="F1333" s="52" t="s">
        <v>19</v>
      </c>
      <c r="G1333" s="52" t="s">
        <v>20</v>
      </c>
      <c r="H1333" s="3" t="s">
        <v>21</v>
      </c>
      <c r="I1333" s="3" t="s">
        <v>22</v>
      </c>
      <c r="J1333" s="25">
        <f t="shared" si="81"/>
        <v>43</v>
      </c>
    </row>
    <row r="1334" spans="1:10" ht="16.95" customHeight="1">
      <c r="A1334" s="75" t="s">
        <v>65</v>
      </c>
      <c r="B1334" s="76" t="s">
        <v>69</v>
      </c>
      <c r="C1334" s="77"/>
      <c r="D1334" s="78"/>
      <c r="E1334" s="79"/>
      <c r="F1334" s="79"/>
      <c r="G1334" s="2"/>
      <c r="H1334" s="37"/>
      <c r="I1334" s="4"/>
      <c r="J1334" s="25">
        <f t="shared" si="81"/>
        <v>43</v>
      </c>
    </row>
    <row r="1335" spans="1:10" ht="34.950000000000003" customHeight="1">
      <c r="A1335" s="75">
        <v>1</v>
      </c>
      <c r="B1335" s="80" t="s">
        <v>91</v>
      </c>
      <c r="C1335" s="77" t="s">
        <v>48</v>
      </c>
      <c r="D1335" s="78">
        <v>1</v>
      </c>
      <c r="E1335" s="79"/>
      <c r="F1335" s="79" t="e">
        <f t="shared" ref="F1335:F1368" si="83">E1335+F1272</f>
        <v>#REF!</v>
      </c>
      <c r="G1335" s="2"/>
      <c r="H1335" s="37">
        <v>10508</v>
      </c>
      <c r="I1335" s="4">
        <f>H1335*E1335</f>
        <v>0</v>
      </c>
      <c r="J1335" s="25">
        <f t="shared" si="81"/>
        <v>43</v>
      </c>
    </row>
    <row r="1336" spans="1:10" ht="34.799999999999997" customHeight="1">
      <c r="A1336" s="75">
        <v>2</v>
      </c>
      <c r="B1336" s="80" t="s">
        <v>92</v>
      </c>
      <c r="C1336" s="77" t="s">
        <v>48</v>
      </c>
      <c r="D1336" s="78">
        <v>1</v>
      </c>
      <c r="E1336" s="79"/>
      <c r="F1336" s="79" t="e">
        <f t="shared" si="83"/>
        <v>#REF!</v>
      </c>
      <c r="G1336" s="2"/>
      <c r="H1336" s="37">
        <v>13223</v>
      </c>
      <c r="I1336" s="4">
        <f>H1336*E1336</f>
        <v>0</v>
      </c>
      <c r="J1336" s="25">
        <f t="shared" si="81"/>
        <v>43</v>
      </c>
    </row>
    <row r="1337" spans="1:10" ht="53.4" customHeight="1">
      <c r="A1337" s="75">
        <v>3</v>
      </c>
      <c r="B1337" s="80" t="s">
        <v>93</v>
      </c>
      <c r="C1337" s="77" t="s">
        <v>48</v>
      </c>
      <c r="D1337" s="78">
        <v>1</v>
      </c>
      <c r="E1337" s="79"/>
      <c r="F1337" s="79" t="e">
        <f t="shared" si="83"/>
        <v>#REF!</v>
      </c>
      <c r="G1337" s="2"/>
      <c r="H1337" s="37">
        <v>310497</v>
      </c>
      <c r="I1337" s="4">
        <f t="shared" ref="I1337:I1368" si="84">H1337*E1337</f>
        <v>0</v>
      </c>
      <c r="J1337" s="25">
        <f t="shared" si="81"/>
        <v>43</v>
      </c>
    </row>
    <row r="1338" spans="1:10" ht="16.95" customHeight="1">
      <c r="A1338" s="75">
        <v>4</v>
      </c>
      <c r="B1338" s="80" t="s">
        <v>94</v>
      </c>
      <c r="C1338" s="77" t="s">
        <v>48</v>
      </c>
      <c r="D1338" s="78">
        <v>1</v>
      </c>
      <c r="E1338" s="79"/>
      <c r="F1338" s="79" t="e">
        <f t="shared" si="83"/>
        <v>#REF!</v>
      </c>
      <c r="G1338" s="2"/>
      <c r="H1338" s="37">
        <v>8375</v>
      </c>
      <c r="I1338" s="4">
        <f t="shared" si="84"/>
        <v>0</v>
      </c>
      <c r="J1338" s="25">
        <f t="shared" si="81"/>
        <v>43</v>
      </c>
    </row>
    <row r="1339" spans="1:10" ht="16.95" customHeight="1">
      <c r="A1339" s="75">
        <v>5</v>
      </c>
      <c r="B1339" s="80" t="s">
        <v>95</v>
      </c>
      <c r="C1339" s="77" t="s">
        <v>48</v>
      </c>
      <c r="D1339" s="78">
        <v>1</v>
      </c>
      <c r="E1339" s="79"/>
      <c r="F1339" s="79" t="e">
        <f t="shared" si="83"/>
        <v>#REF!</v>
      </c>
      <c r="G1339" s="2"/>
      <c r="H1339" s="37">
        <v>51618</v>
      </c>
      <c r="I1339" s="4">
        <f t="shared" si="84"/>
        <v>0</v>
      </c>
      <c r="J1339" s="25">
        <f t="shared" ref="J1339:J1402" si="85">J1276+2</f>
        <v>43</v>
      </c>
    </row>
    <row r="1340" spans="1:10" ht="16.95" customHeight="1">
      <c r="A1340" s="75">
        <v>6</v>
      </c>
      <c r="B1340" s="80" t="s">
        <v>96</v>
      </c>
      <c r="C1340" s="77" t="s">
        <v>50</v>
      </c>
      <c r="D1340" s="78">
        <v>11.55</v>
      </c>
      <c r="E1340" s="79"/>
      <c r="F1340" s="79" t="e">
        <f t="shared" si="83"/>
        <v>#REF!</v>
      </c>
      <c r="G1340" s="2"/>
      <c r="H1340" s="37">
        <v>1188</v>
      </c>
      <c r="I1340" s="4">
        <f t="shared" si="84"/>
        <v>0</v>
      </c>
      <c r="J1340" s="25">
        <f t="shared" si="85"/>
        <v>43</v>
      </c>
    </row>
    <row r="1341" spans="1:10" ht="34.950000000000003" customHeight="1">
      <c r="A1341" s="75">
        <v>7</v>
      </c>
      <c r="B1341" s="80" t="s">
        <v>97</v>
      </c>
      <c r="C1341" s="77" t="s">
        <v>48</v>
      </c>
      <c r="D1341" s="78">
        <v>1</v>
      </c>
      <c r="E1341" s="79"/>
      <c r="F1341" s="79" t="e">
        <f t="shared" si="83"/>
        <v>#REF!</v>
      </c>
      <c r="G1341" s="2"/>
      <c r="H1341" s="37">
        <v>21157</v>
      </c>
      <c r="I1341" s="4">
        <f t="shared" si="84"/>
        <v>0</v>
      </c>
      <c r="J1341" s="25">
        <f t="shared" si="85"/>
        <v>43</v>
      </c>
    </row>
    <row r="1342" spans="1:10" ht="16.95" customHeight="1">
      <c r="A1342" s="75">
        <v>8</v>
      </c>
      <c r="B1342" s="80" t="s">
        <v>98</v>
      </c>
      <c r="C1342" s="77" t="s">
        <v>50</v>
      </c>
      <c r="D1342" s="78">
        <v>387</v>
      </c>
      <c r="E1342" s="79"/>
      <c r="F1342" s="79" t="e">
        <f t="shared" si="83"/>
        <v>#REF!</v>
      </c>
      <c r="G1342" s="2"/>
      <c r="H1342" s="37">
        <v>705</v>
      </c>
      <c r="I1342" s="4">
        <f t="shared" si="84"/>
        <v>0</v>
      </c>
      <c r="J1342" s="25">
        <f t="shared" si="85"/>
        <v>43</v>
      </c>
    </row>
    <row r="1343" spans="1:10" ht="16.95" customHeight="1">
      <c r="A1343" s="75">
        <v>9</v>
      </c>
      <c r="B1343" s="80" t="s">
        <v>99</v>
      </c>
      <c r="C1343" s="77" t="s">
        <v>50</v>
      </c>
      <c r="D1343" s="78">
        <v>170</v>
      </c>
      <c r="E1343" s="79"/>
      <c r="F1343" s="79" t="e">
        <f t="shared" si="83"/>
        <v>#REF!</v>
      </c>
      <c r="G1343" s="2"/>
      <c r="H1343" s="37">
        <v>617</v>
      </c>
      <c r="I1343" s="4">
        <f t="shared" si="84"/>
        <v>0</v>
      </c>
      <c r="J1343" s="25">
        <f t="shared" si="85"/>
        <v>43</v>
      </c>
    </row>
    <row r="1344" spans="1:10" ht="16.95" customHeight="1">
      <c r="A1344" s="75">
        <v>10</v>
      </c>
      <c r="B1344" s="80" t="s">
        <v>100</v>
      </c>
      <c r="C1344" s="77" t="s">
        <v>66</v>
      </c>
      <c r="D1344" s="78">
        <v>15</v>
      </c>
      <c r="E1344" s="79"/>
      <c r="F1344" s="79" t="e">
        <f t="shared" si="83"/>
        <v>#REF!</v>
      </c>
      <c r="G1344" s="2"/>
      <c r="H1344" s="37">
        <v>617</v>
      </c>
      <c r="I1344" s="4">
        <f t="shared" si="84"/>
        <v>0</v>
      </c>
      <c r="J1344" s="25">
        <f t="shared" si="85"/>
        <v>43</v>
      </c>
    </row>
    <row r="1345" spans="1:10" ht="16.95" customHeight="1">
      <c r="A1345" s="75">
        <v>11</v>
      </c>
      <c r="B1345" s="80" t="s">
        <v>101</v>
      </c>
      <c r="C1345" s="77" t="s">
        <v>50</v>
      </c>
      <c r="D1345" s="78">
        <v>75</v>
      </c>
      <c r="E1345" s="79"/>
      <c r="F1345" s="79" t="e">
        <f t="shared" si="83"/>
        <v>#REF!</v>
      </c>
      <c r="G1345" s="2"/>
      <c r="H1345" s="37">
        <v>1146</v>
      </c>
      <c r="I1345" s="4">
        <f t="shared" si="84"/>
        <v>0</v>
      </c>
      <c r="J1345" s="25">
        <f t="shared" si="85"/>
        <v>43</v>
      </c>
    </row>
    <row r="1346" spans="1:10" ht="16.95" customHeight="1">
      <c r="A1346" s="75">
        <v>12</v>
      </c>
      <c r="B1346" s="80" t="s">
        <v>102</v>
      </c>
      <c r="C1346" s="77" t="s">
        <v>50</v>
      </c>
      <c r="D1346" s="78">
        <v>5</v>
      </c>
      <c r="E1346" s="79"/>
      <c r="F1346" s="79" t="e">
        <f t="shared" si="83"/>
        <v>#REF!</v>
      </c>
      <c r="G1346" s="2"/>
      <c r="H1346" s="37">
        <v>1455</v>
      </c>
      <c r="I1346" s="4">
        <f t="shared" si="84"/>
        <v>0</v>
      </c>
      <c r="J1346" s="25">
        <f t="shared" si="85"/>
        <v>43</v>
      </c>
    </row>
    <row r="1347" spans="1:10" ht="16.95" customHeight="1">
      <c r="A1347" s="75">
        <v>13</v>
      </c>
      <c r="B1347" s="80" t="s">
        <v>103</v>
      </c>
      <c r="C1347" s="77" t="s">
        <v>50</v>
      </c>
      <c r="D1347" s="78">
        <v>217</v>
      </c>
      <c r="E1347" s="79"/>
      <c r="F1347" s="79" t="e">
        <f t="shared" si="83"/>
        <v>#REF!</v>
      </c>
      <c r="G1347" s="2"/>
      <c r="H1347" s="37">
        <v>1410</v>
      </c>
      <c r="I1347" s="4">
        <f t="shared" si="84"/>
        <v>0</v>
      </c>
      <c r="J1347" s="25">
        <f t="shared" si="85"/>
        <v>43</v>
      </c>
    </row>
    <row r="1348" spans="1:10" ht="16.95" customHeight="1">
      <c r="A1348" s="75">
        <v>14</v>
      </c>
      <c r="B1348" s="80" t="s">
        <v>104</v>
      </c>
      <c r="C1348" s="77" t="s">
        <v>49</v>
      </c>
      <c r="D1348" s="78">
        <v>84</v>
      </c>
      <c r="E1348" s="79"/>
      <c r="F1348" s="79" t="e">
        <f t="shared" si="83"/>
        <v>#REF!</v>
      </c>
      <c r="G1348" s="2"/>
      <c r="H1348" s="37">
        <v>529</v>
      </c>
      <c r="I1348" s="4">
        <f t="shared" si="84"/>
        <v>0</v>
      </c>
      <c r="J1348" s="25">
        <f t="shared" si="85"/>
        <v>43</v>
      </c>
    </row>
    <row r="1349" spans="1:10" ht="16.95" customHeight="1">
      <c r="A1349" s="75">
        <v>15</v>
      </c>
      <c r="B1349" s="80" t="s">
        <v>105</v>
      </c>
      <c r="C1349" s="77" t="s">
        <v>50</v>
      </c>
      <c r="D1349" s="78">
        <v>1</v>
      </c>
      <c r="E1349" s="79"/>
      <c r="F1349" s="79" t="e">
        <f t="shared" si="83"/>
        <v>#REF!</v>
      </c>
      <c r="G1349" s="2"/>
      <c r="H1349" s="37">
        <v>1146</v>
      </c>
      <c r="I1349" s="4">
        <f t="shared" si="84"/>
        <v>0</v>
      </c>
      <c r="J1349" s="25">
        <f t="shared" si="85"/>
        <v>43</v>
      </c>
    </row>
    <row r="1350" spans="1:10" ht="34.799999999999997" customHeight="1">
      <c r="A1350" s="75">
        <v>16</v>
      </c>
      <c r="B1350" s="80" t="s">
        <v>106</v>
      </c>
      <c r="C1350" s="77" t="s">
        <v>50</v>
      </c>
      <c r="D1350" s="78">
        <v>314</v>
      </c>
      <c r="E1350" s="79"/>
      <c r="F1350" s="79" t="e">
        <f t="shared" si="83"/>
        <v>#REF!</v>
      </c>
      <c r="G1350" s="2"/>
      <c r="H1350" s="37">
        <v>185</v>
      </c>
      <c r="I1350" s="4">
        <f t="shared" si="84"/>
        <v>0</v>
      </c>
      <c r="J1350" s="25">
        <f t="shared" si="85"/>
        <v>43</v>
      </c>
    </row>
    <row r="1351" spans="1:10" ht="16.95" customHeight="1">
      <c r="A1351" s="75">
        <v>17</v>
      </c>
      <c r="B1351" s="80" t="s">
        <v>107</v>
      </c>
      <c r="C1351" s="77" t="s">
        <v>48</v>
      </c>
      <c r="D1351" s="78">
        <v>1</v>
      </c>
      <c r="E1351" s="79"/>
      <c r="F1351" s="79" t="e">
        <f t="shared" si="83"/>
        <v>#REF!</v>
      </c>
      <c r="G1351" s="2"/>
      <c r="H1351" s="37">
        <v>89918</v>
      </c>
      <c r="I1351" s="4">
        <f t="shared" si="84"/>
        <v>0</v>
      </c>
      <c r="J1351" s="25">
        <f t="shared" si="85"/>
        <v>43</v>
      </c>
    </row>
    <row r="1352" spans="1:10" ht="16.95" customHeight="1">
      <c r="A1352" s="75">
        <v>18</v>
      </c>
      <c r="B1352" s="80" t="s">
        <v>108</v>
      </c>
      <c r="C1352" s="77" t="s">
        <v>120</v>
      </c>
      <c r="D1352" s="78">
        <v>15</v>
      </c>
      <c r="E1352" s="79"/>
      <c r="F1352" s="79" t="e">
        <f t="shared" si="83"/>
        <v>#REF!</v>
      </c>
      <c r="G1352" s="2"/>
      <c r="H1352" s="37">
        <v>661</v>
      </c>
      <c r="I1352" s="4">
        <f t="shared" si="84"/>
        <v>0</v>
      </c>
      <c r="J1352" s="25">
        <f t="shared" si="85"/>
        <v>43</v>
      </c>
    </row>
    <row r="1353" spans="1:10" ht="16.95" customHeight="1">
      <c r="A1353" s="75">
        <v>19</v>
      </c>
      <c r="B1353" s="80" t="s">
        <v>109</v>
      </c>
      <c r="C1353" s="77" t="s">
        <v>50</v>
      </c>
      <c r="D1353" s="78">
        <v>82</v>
      </c>
      <c r="E1353" s="79"/>
      <c r="F1353" s="79" t="e">
        <f t="shared" si="83"/>
        <v>#REF!</v>
      </c>
      <c r="G1353" s="2"/>
      <c r="H1353" s="37">
        <v>2909</v>
      </c>
      <c r="I1353" s="4">
        <f t="shared" si="84"/>
        <v>0</v>
      </c>
      <c r="J1353" s="25">
        <f t="shared" si="85"/>
        <v>43</v>
      </c>
    </row>
    <row r="1354" spans="1:10" ht="16.95" customHeight="1">
      <c r="A1354" s="75">
        <v>20</v>
      </c>
      <c r="B1354" s="80" t="s">
        <v>110</v>
      </c>
      <c r="C1354" s="77" t="s">
        <v>121</v>
      </c>
      <c r="D1354" s="78">
        <v>12</v>
      </c>
      <c r="E1354" s="79"/>
      <c r="F1354" s="79" t="e">
        <f t="shared" si="83"/>
        <v>#REF!</v>
      </c>
      <c r="G1354" s="2"/>
      <c r="H1354" s="37">
        <v>882</v>
      </c>
      <c r="I1354" s="4">
        <f t="shared" si="84"/>
        <v>0</v>
      </c>
      <c r="J1354" s="25">
        <f t="shared" si="85"/>
        <v>43</v>
      </c>
    </row>
    <row r="1355" spans="1:10" ht="16.95" customHeight="1">
      <c r="A1355" s="77">
        <v>21</v>
      </c>
      <c r="B1355" s="80" t="s">
        <v>111</v>
      </c>
      <c r="C1355" s="77" t="s">
        <v>122</v>
      </c>
      <c r="D1355" s="78">
        <v>3</v>
      </c>
      <c r="E1355" s="79"/>
      <c r="F1355" s="79" t="e">
        <f t="shared" si="83"/>
        <v>#REF!</v>
      </c>
      <c r="G1355" s="2"/>
      <c r="H1355" s="38">
        <v>1869</v>
      </c>
      <c r="I1355" s="4">
        <f t="shared" si="84"/>
        <v>0</v>
      </c>
      <c r="J1355" s="25">
        <f t="shared" si="85"/>
        <v>43</v>
      </c>
    </row>
    <row r="1356" spans="1:10" ht="34.950000000000003" customHeight="1">
      <c r="A1356" s="75">
        <v>22</v>
      </c>
      <c r="B1356" s="80" t="s">
        <v>112</v>
      </c>
      <c r="C1356" s="77" t="s">
        <v>48</v>
      </c>
      <c r="D1356" s="78">
        <v>1</v>
      </c>
      <c r="E1356" s="79"/>
      <c r="F1356" s="79" t="e">
        <f t="shared" si="83"/>
        <v>#REF!</v>
      </c>
      <c r="G1356" s="2"/>
      <c r="H1356" s="37">
        <v>82206</v>
      </c>
      <c r="I1356" s="4">
        <f t="shared" si="84"/>
        <v>0</v>
      </c>
      <c r="J1356" s="25">
        <f t="shared" si="85"/>
        <v>43</v>
      </c>
    </row>
    <row r="1357" spans="1:10" ht="16.95" customHeight="1">
      <c r="A1357" s="75">
        <v>23</v>
      </c>
      <c r="B1357" s="80" t="s">
        <v>113</v>
      </c>
      <c r="C1357" s="77" t="s">
        <v>48</v>
      </c>
      <c r="D1357" s="78">
        <v>1</v>
      </c>
      <c r="E1357" s="79"/>
      <c r="F1357" s="79" t="e">
        <f t="shared" si="83"/>
        <v>#REF!</v>
      </c>
      <c r="G1357" s="2"/>
      <c r="H1357" s="37">
        <v>142723</v>
      </c>
      <c r="I1357" s="4">
        <f t="shared" si="84"/>
        <v>0</v>
      </c>
      <c r="J1357" s="25">
        <f t="shared" si="85"/>
        <v>43</v>
      </c>
    </row>
    <row r="1358" spans="1:10" ht="16.95" customHeight="1">
      <c r="A1358" s="75">
        <v>24</v>
      </c>
      <c r="B1358" s="80" t="s">
        <v>114</v>
      </c>
      <c r="C1358" s="77" t="s">
        <v>48</v>
      </c>
      <c r="D1358" s="78">
        <v>1</v>
      </c>
      <c r="E1358" s="79"/>
      <c r="F1358" s="79" t="e">
        <f t="shared" si="83"/>
        <v>#REF!</v>
      </c>
      <c r="G1358" s="2"/>
      <c r="H1358" s="37">
        <v>37290</v>
      </c>
      <c r="I1358" s="4">
        <f t="shared" si="84"/>
        <v>0</v>
      </c>
      <c r="J1358" s="25">
        <f t="shared" si="85"/>
        <v>43</v>
      </c>
    </row>
    <row r="1359" spans="1:10" ht="16.95" customHeight="1">
      <c r="A1359" s="75">
        <v>25</v>
      </c>
      <c r="B1359" s="80" t="s">
        <v>115</v>
      </c>
      <c r="C1359" s="77" t="s">
        <v>48</v>
      </c>
      <c r="D1359" s="78">
        <v>1</v>
      </c>
      <c r="E1359" s="79"/>
      <c r="F1359" s="79" t="e">
        <f t="shared" si="83"/>
        <v>#REF!</v>
      </c>
      <c r="G1359" s="2"/>
      <c r="H1359" s="37">
        <v>99394</v>
      </c>
      <c r="I1359" s="4">
        <f t="shared" si="84"/>
        <v>0</v>
      </c>
      <c r="J1359" s="25">
        <f t="shared" si="85"/>
        <v>43</v>
      </c>
    </row>
    <row r="1360" spans="1:10" ht="34.950000000000003" customHeight="1">
      <c r="A1360" s="75">
        <v>26</v>
      </c>
      <c r="B1360" s="80" t="s">
        <v>116</v>
      </c>
      <c r="C1360" s="77" t="s">
        <v>48</v>
      </c>
      <c r="D1360" s="78">
        <v>1</v>
      </c>
      <c r="E1360" s="79"/>
      <c r="F1360" s="79" t="e">
        <f t="shared" si="83"/>
        <v>#REF!</v>
      </c>
      <c r="G1360" s="2"/>
      <c r="H1360" s="37">
        <v>21334</v>
      </c>
      <c r="I1360" s="4">
        <f t="shared" si="84"/>
        <v>0</v>
      </c>
      <c r="J1360" s="25">
        <f t="shared" si="85"/>
        <v>43</v>
      </c>
    </row>
    <row r="1361" spans="1:10" ht="16.95" customHeight="1">
      <c r="A1361" s="75">
        <v>27</v>
      </c>
      <c r="B1361" s="80" t="s">
        <v>117</v>
      </c>
      <c r="C1361" s="77" t="s">
        <v>48</v>
      </c>
      <c r="D1361" s="78">
        <v>1</v>
      </c>
      <c r="E1361" s="79"/>
      <c r="F1361" s="79" t="e">
        <f t="shared" si="83"/>
        <v>#REF!</v>
      </c>
      <c r="G1361" s="2"/>
      <c r="H1361" s="37">
        <v>29620</v>
      </c>
      <c r="I1361" s="4">
        <f t="shared" si="84"/>
        <v>0</v>
      </c>
      <c r="J1361" s="25">
        <f t="shared" si="85"/>
        <v>43</v>
      </c>
    </row>
    <row r="1362" spans="1:10" ht="16.95" customHeight="1">
      <c r="A1362" s="75">
        <v>28</v>
      </c>
      <c r="B1362" s="80" t="s">
        <v>118</v>
      </c>
      <c r="C1362" s="77" t="s">
        <v>48</v>
      </c>
      <c r="D1362" s="78">
        <v>1</v>
      </c>
      <c r="E1362" s="79"/>
      <c r="F1362" s="79" t="e">
        <f t="shared" si="83"/>
        <v>#REF!</v>
      </c>
      <c r="G1362" s="2"/>
      <c r="H1362" s="37">
        <v>18506</v>
      </c>
      <c r="I1362" s="4">
        <f t="shared" si="84"/>
        <v>0</v>
      </c>
      <c r="J1362" s="25">
        <f t="shared" si="85"/>
        <v>43</v>
      </c>
    </row>
    <row r="1363" spans="1:10" ht="16.95" customHeight="1">
      <c r="A1363" s="75">
        <v>29</v>
      </c>
      <c r="B1363" s="80" t="s">
        <v>119</v>
      </c>
      <c r="C1363" s="77" t="s">
        <v>48</v>
      </c>
      <c r="D1363" s="78">
        <v>1</v>
      </c>
      <c r="E1363" s="79"/>
      <c r="F1363" s="79" t="e">
        <f t="shared" si="83"/>
        <v>#REF!</v>
      </c>
      <c r="G1363" s="2"/>
      <c r="H1363" s="37">
        <v>34381</v>
      </c>
      <c r="I1363" s="4">
        <f t="shared" si="84"/>
        <v>0</v>
      </c>
      <c r="J1363" s="25">
        <f t="shared" si="85"/>
        <v>43</v>
      </c>
    </row>
    <row r="1364" spans="1:10" ht="16.95" customHeight="1">
      <c r="A1364" s="75" t="s">
        <v>79</v>
      </c>
      <c r="B1364" s="80" t="s">
        <v>80</v>
      </c>
      <c r="C1364" s="77" t="s">
        <v>48</v>
      </c>
      <c r="D1364" s="78">
        <v>1</v>
      </c>
      <c r="E1364" s="79">
        <f t="shared" ref="E1364:E1367" si="86">1/120</f>
        <v>8.3333333333333332E-3</v>
      </c>
      <c r="F1364" s="79" t="e">
        <f t="shared" si="83"/>
        <v>#REF!</v>
      </c>
      <c r="G1364" s="2"/>
      <c r="H1364" s="37">
        <v>21395</v>
      </c>
      <c r="I1364" s="4">
        <f t="shared" si="84"/>
        <v>178.29166666666666</v>
      </c>
      <c r="J1364" s="25">
        <f t="shared" si="85"/>
        <v>43</v>
      </c>
    </row>
    <row r="1365" spans="1:10" ht="16.95" customHeight="1">
      <c r="A1365" s="75" t="s">
        <v>81</v>
      </c>
      <c r="B1365" s="80" t="s">
        <v>82</v>
      </c>
      <c r="C1365" s="77" t="s">
        <v>48</v>
      </c>
      <c r="D1365" s="78">
        <v>1</v>
      </c>
      <c r="E1365" s="79">
        <f t="shared" si="86"/>
        <v>8.3333333333333332E-3</v>
      </c>
      <c r="F1365" s="79" t="e">
        <f t="shared" si="83"/>
        <v>#REF!</v>
      </c>
      <c r="G1365" s="2"/>
      <c r="H1365" s="37">
        <v>21395</v>
      </c>
      <c r="I1365" s="4">
        <f t="shared" si="84"/>
        <v>178.29166666666666</v>
      </c>
      <c r="J1365" s="25">
        <f t="shared" si="85"/>
        <v>43</v>
      </c>
    </row>
    <row r="1366" spans="1:10" ht="16.95" customHeight="1">
      <c r="A1366" s="75" t="s">
        <v>83</v>
      </c>
      <c r="B1366" s="80" t="s">
        <v>84</v>
      </c>
      <c r="C1366" s="77" t="s">
        <v>48</v>
      </c>
      <c r="D1366" s="78">
        <v>1</v>
      </c>
      <c r="E1366" s="79">
        <f t="shared" si="86"/>
        <v>8.3333333333333332E-3</v>
      </c>
      <c r="F1366" s="79" t="e">
        <f t="shared" si="83"/>
        <v>#REF!</v>
      </c>
      <c r="G1366" s="2"/>
      <c r="H1366" s="37">
        <v>149765</v>
      </c>
      <c r="I1366" s="4">
        <f t="shared" si="84"/>
        <v>1248.0416666666667</v>
      </c>
      <c r="J1366" s="25">
        <f t="shared" si="85"/>
        <v>43</v>
      </c>
    </row>
    <row r="1367" spans="1:10" ht="16.95" customHeight="1">
      <c r="A1367" s="75" t="s">
        <v>85</v>
      </c>
      <c r="B1367" s="80" t="s">
        <v>86</v>
      </c>
      <c r="C1367" s="77" t="s">
        <v>48</v>
      </c>
      <c r="D1367" s="78">
        <v>1</v>
      </c>
      <c r="E1367" s="79">
        <f t="shared" si="86"/>
        <v>8.3333333333333332E-3</v>
      </c>
      <c r="F1367" s="79" t="e">
        <f t="shared" si="83"/>
        <v>#REF!</v>
      </c>
      <c r="G1367" s="2"/>
      <c r="H1367" s="37">
        <v>6996</v>
      </c>
      <c r="I1367" s="4">
        <f t="shared" si="84"/>
        <v>58.3</v>
      </c>
      <c r="J1367" s="25">
        <f t="shared" si="85"/>
        <v>43</v>
      </c>
    </row>
    <row r="1368" spans="1:10" ht="16.95" customHeight="1">
      <c r="A1368" s="75" t="s">
        <v>87</v>
      </c>
      <c r="B1368" s="80" t="s">
        <v>88</v>
      </c>
      <c r="C1368" s="77" t="s">
        <v>48</v>
      </c>
      <c r="D1368" s="78">
        <v>1</v>
      </c>
      <c r="E1368" s="79">
        <f>1/120</f>
        <v>8.3333333333333332E-3</v>
      </c>
      <c r="F1368" s="79" t="e">
        <f t="shared" si="83"/>
        <v>#REF!</v>
      </c>
      <c r="G1368" s="2"/>
      <c r="H1368" s="37">
        <v>116952</v>
      </c>
      <c r="I1368" s="4">
        <f t="shared" si="84"/>
        <v>974.6</v>
      </c>
      <c r="J1368" s="25">
        <f t="shared" si="85"/>
        <v>43</v>
      </c>
    </row>
    <row r="1369" spans="1:10" ht="16.95" customHeight="1">
      <c r="A1369" s="95" t="s">
        <v>23</v>
      </c>
      <c r="B1369" s="95"/>
      <c r="C1369" s="50"/>
      <c r="D1369" s="50"/>
      <c r="E1369" s="50"/>
      <c r="F1369" s="50"/>
      <c r="G1369" s="50"/>
      <c r="H1369" s="3" t="s">
        <v>24</v>
      </c>
      <c r="I1369" s="5">
        <f>SUM(I1334:I1368)</f>
        <v>2637.5250000000001</v>
      </c>
      <c r="J1369" s="25">
        <f t="shared" si="85"/>
        <v>43</v>
      </c>
    </row>
    <row r="1370" spans="1:10" ht="16.95" customHeight="1">
      <c r="A1370" s="96" t="s">
        <v>25</v>
      </c>
      <c r="B1370" s="96"/>
      <c r="C1370" s="50"/>
      <c r="D1370" s="50"/>
      <c r="E1370" s="50"/>
      <c r="F1370" s="50"/>
      <c r="G1370" s="50"/>
      <c r="J1370" s="25">
        <f t="shared" si="85"/>
        <v>43</v>
      </c>
    </row>
    <row r="1371" spans="1:10" ht="16.95" customHeight="1">
      <c r="A1371" s="96" t="s">
        <v>26</v>
      </c>
      <c r="B1371" s="96"/>
      <c r="C1371" s="50"/>
      <c r="D1371" s="50"/>
      <c r="E1371" s="50"/>
      <c r="F1371" s="50"/>
      <c r="G1371" s="50"/>
      <c r="J1371" s="25">
        <f t="shared" si="85"/>
        <v>43</v>
      </c>
    </row>
    <row r="1372" spans="1:10" ht="16.95" customHeight="1">
      <c r="A1372" s="95" t="s">
        <v>27</v>
      </c>
      <c r="B1372" s="95"/>
      <c r="C1372" s="95"/>
      <c r="D1372" s="95"/>
      <c r="E1372" s="95"/>
      <c r="F1372" s="95"/>
      <c r="G1372" s="95"/>
      <c r="J1372" s="25">
        <f t="shared" si="85"/>
        <v>43</v>
      </c>
    </row>
    <row r="1373" spans="1:10" ht="16.95" customHeight="1">
      <c r="A1373" s="94" t="s">
        <v>28</v>
      </c>
      <c r="B1373" s="94"/>
      <c r="C1373" s="51" t="s">
        <v>29</v>
      </c>
      <c r="D1373" s="51" t="s">
        <v>30</v>
      </c>
      <c r="E1373" s="51" t="s">
        <v>18</v>
      </c>
      <c r="F1373" s="51" t="s">
        <v>31</v>
      </c>
      <c r="G1373" s="51" t="s">
        <v>20</v>
      </c>
      <c r="J1373" s="25">
        <f t="shared" si="85"/>
        <v>43</v>
      </c>
    </row>
    <row r="1374" spans="1:10" ht="16.95" customHeight="1">
      <c r="A1374" s="96"/>
      <c r="B1374" s="96"/>
      <c r="C1374" s="50"/>
      <c r="D1374" s="50"/>
      <c r="E1374" s="50"/>
      <c r="F1374" s="50"/>
      <c r="G1374" s="51"/>
      <c r="J1374" s="25">
        <f t="shared" si="85"/>
        <v>43</v>
      </c>
    </row>
    <row r="1375" spans="1:10" ht="16.95" customHeight="1">
      <c r="A1375" s="97"/>
      <c r="B1375" s="97"/>
      <c r="C1375" s="50"/>
      <c r="D1375" s="50"/>
      <c r="E1375" s="50"/>
      <c r="F1375" s="51"/>
      <c r="G1375" s="51"/>
      <c r="J1375" s="25">
        <f t="shared" si="85"/>
        <v>43</v>
      </c>
    </row>
    <row r="1376" spans="1:10" ht="16.95" customHeight="1">
      <c r="A1376" s="95" t="s">
        <v>32</v>
      </c>
      <c r="B1376" s="95"/>
      <c r="C1376" s="95"/>
      <c r="D1376" s="95"/>
      <c r="E1376" s="95"/>
      <c r="F1376" s="95"/>
      <c r="G1376" s="95"/>
      <c r="J1376" s="25">
        <f t="shared" si="85"/>
        <v>44</v>
      </c>
    </row>
    <row r="1377" spans="1:10" ht="16.95" customHeight="1">
      <c r="A1377" s="51" t="s">
        <v>33</v>
      </c>
      <c r="B1377" s="51" t="s">
        <v>34</v>
      </c>
      <c r="C1377" s="94" t="s">
        <v>35</v>
      </c>
      <c r="D1377" s="94"/>
      <c r="E1377" s="51" t="s">
        <v>36</v>
      </c>
      <c r="F1377" s="51" t="s">
        <v>37</v>
      </c>
      <c r="G1377" s="51" t="s">
        <v>38</v>
      </c>
      <c r="J1377" s="25">
        <f t="shared" si="85"/>
        <v>44</v>
      </c>
    </row>
    <row r="1378" spans="1:10" ht="16.95" customHeight="1">
      <c r="A1378" s="51" t="s">
        <v>39</v>
      </c>
      <c r="B1378" s="6"/>
      <c r="C1378" s="94" t="e">
        <f>B1378+C1315</f>
        <v>#REF!</v>
      </c>
      <c r="D1378" s="94"/>
      <c r="E1378" s="51"/>
      <c r="F1378" s="24"/>
      <c r="G1378" s="24"/>
      <c r="J1378" s="25">
        <f t="shared" si="85"/>
        <v>44</v>
      </c>
    </row>
    <row r="1379" spans="1:10" ht="16.95" customHeight="1">
      <c r="A1379" s="51" t="s">
        <v>40</v>
      </c>
      <c r="B1379" s="6"/>
      <c r="C1379" s="94" t="e">
        <f>B1379+C1316</f>
        <v>#REF!</v>
      </c>
      <c r="D1379" s="94"/>
      <c r="E1379" s="51"/>
      <c r="F1379" s="24"/>
      <c r="G1379" s="24"/>
      <c r="J1379" s="25">
        <f t="shared" si="85"/>
        <v>44</v>
      </c>
    </row>
    <row r="1380" spans="1:10" ht="36.6" customHeight="1">
      <c r="A1380" s="95" t="s">
        <v>41</v>
      </c>
      <c r="B1380" s="95"/>
      <c r="C1380" s="95"/>
      <c r="D1380" s="95"/>
      <c r="E1380" s="95"/>
      <c r="F1380" s="95"/>
      <c r="G1380" s="95"/>
      <c r="J1380" s="25">
        <f t="shared" si="85"/>
        <v>44</v>
      </c>
    </row>
    <row r="1381" spans="1:10" ht="90" customHeight="1">
      <c r="A1381" s="92" t="s">
        <v>42</v>
      </c>
      <c r="B1381" s="92"/>
      <c r="C1381" s="92"/>
      <c r="D1381" s="92"/>
      <c r="E1381" s="92"/>
      <c r="F1381" s="92"/>
      <c r="G1381" s="92"/>
      <c r="J1381" s="25">
        <f t="shared" si="85"/>
        <v>44</v>
      </c>
    </row>
    <row r="1382" spans="1:10" ht="16.95" customHeight="1">
      <c r="A1382" s="95" t="s">
        <v>43</v>
      </c>
      <c r="B1382" s="95"/>
      <c r="C1382" s="95"/>
      <c r="D1382" s="95"/>
      <c r="E1382" s="95"/>
      <c r="F1382" s="95"/>
      <c r="G1382" s="95"/>
      <c r="J1382" s="25">
        <f t="shared" si="85"/>
        <v>44</v>
      </c>
    </row>
    <row r="1383" spans="1:10" ht="16.95" customHeight="1">
      <c r="A1383" s="95" t="s">
        <v>44</v>
      </c>
      <c r="B1383" s="95"/>
      <c r="C1383" s="95"/>
      <c r="D1383" s="95"/>
      <c r="E1383" s="95"/>
      <c r="F1383" s="95"/>
      <c r="G1383" s="95"/>
      <c r="J1383" s="25">
        <f t="shared" si="85"/>
        <v>44</v>
      </c>
    </row>
    <row r="1384" spans="1:10" ht="16.95" customHeight="1">
      <c r="A1384" s="91" t="s">
        <v>64</v>
      </c>
      <c r="B1384" s="91"/>
      <c r="C1384" s="91"/>
      <c r="D1384" s="91"/>
      <c r="E1384" s="91"/>
      <c r="F1384" s="91"/>
      <c r="G1384" s="91"/>
      <c r="J1384" s="25">
        <f t="shared" si="85"/>
        <v>44</v>
      </c>
    </row>
    <row r="1385" spans="1:10" ht="120.6" customHeight="1">
      <c r="A1385" s="92" t="s">
        <v>45</v>
      </c>
      <c r="B1385" s="92"/>
      <c r="C1385" s="92"/>
      <c r="D1385" s="92"/>
      <c r="E1385" s="92"/>
      <c r="F1385" s="92"/>
      <c r="G1385" s="92"/>
      <c r="J1385" s="25">
        <f t="shared" si="85"/>
        <v>44</v>
      </c>
    </row>
    <row r="1386" spans="1:10" ht="140.4" customHeight="1">
      <c r="A1386" s="93" t="s">
        <v>46</v>
      </c>
      <c r="B1386" s="93"/>
      <c r="C1386" s="93"/>
      <c r="D1386" s="93"/>
      <c r="E1386" s="93"/>
      <c r="F1386" s="93"/>
      <c r="G1386" s="93"/>
      <c r="J1386" s="25">
        <f t="shared" si="85"/>
        <v>44</v>
      </c>
    </row>
    <row r="1387" spans="1:10" ht="37.200000000000003" customHeight="1">
      <c r="A1387" s="103" t="s">
        <v>0</v>
      </c>
      <c r="B1387" s="103"/>
      <c r="C1387" s="103"/>
      <c r="D1387" s="103"/>
      <c r="E1387" s="103"/>
      <c r="F1387" s="103"/>
      <c r="G1387" s="103"/>
      <c r="J1387" s="25">
        <f t="shared" si="85"/>
        <v>45</v>
      </c>
    </row>
    <row r="1388" spans="1:10" ht="16.95" customHeight="1">
      <c r="A1388" s="1" t="s">
        <v>1</v>
      </c>
      <c r="B1388" s="104">
        <f>B1325+1</f>
        <v>24</v>
      </c>
      <c r="C1388" s="104"/>
      <c r="D1388" s="104"/>
      <c r="E1388" s="104"/>
      <c r="F1388" s="104"/>
      <c r="G1388" s="104"/>
      <c r="J1388" s="25">
        <f t="shared" si="85"/>
        <v>45</v>
      </c>
    </row>
    <row r="1389" spans="1:10" ht="16.95" customHeight="1">
      <c r="A1389" s="1" t="s">
        <v>2</v>
      </c>
      <c r="B1389" s="105" t="s">
        <v>63</v>
      </c>
      <c r="C1389" s="105"/>
      <c r="D1389" s="105"/>
      <c r="E1389" s="106">
        <f>E1326+1</f>
        <v>46226</v>
      </c>
      <c r="F1389" s="106"/>
      <c r="G1389" s="106"/>
      <c r="J1389" s="25">
        <f t="shared" si="85"/>
        <v>45</v>
      </c>
    </row>
    <row r="1390" spans="1:10" ht="16.95" customHeight="1">
      <c r="A1390" s="53" t="s">
        <v>3</v>
      </c>
      <c r="B1390" s="2" t="s">
        <v>67</v>
      </c>
      <c r="C1390" s="98" t="s">
        <v>4</v>
      </c>
      <c r="D1390" s="98"/>
      <c r="E1390" s="98" t="s">
        <v>47</v>
      </c>
      <c r="F1390" s="98"/>
      <c r="G1390" s="98"/>
      <c r="J1390" s="25">
        <f t="shared" si="85"/>
        <v>45</v>
      </c>
    </row>
    <row r="1391" spans="1:10" ht="16.95" customHeight="1">
      <c r="A1391" s="53" t="s">
        <v>5</v>
      </c>
      <c r="B1391" s="54">
        <v>120</v>
      </c>
      <c r="C1391" s="98" t="s">
        <v>6</v>
      </c>
      <c r="D1391" s="98"/>
      <c r="E1391" s="98" t="s">
        <v>123</v>
      </c>
      <c r="F1391" s="98"/>
      <c r="G1391" s="98"/>
      <c r="J1391" s="25">
        <f t="shared" si="85"/>
        <v>45</v>
      </c>
    </row>
    <row r="1392" spans="1:10" ht="16.95" customHeight="1">
      <c r="A1392" s="53" t="s">
        <v>7</v>
      </c>
      <c r="B1392" s="54">
        <f>B1388</f>
        <v>24</v>
      </c>
      <c r="C1392" s="100" t="s">
        <v>8</v>
      </c>
      <c r="D1392" s="100"/>
      <c r="E1392" s="101">
        <f>B1391-B1392</f>
        <v>96</v>
      </c>
      <c r="F1392" s="101"/>
      <c r="G1392" s="101"/>
      <c r="J1392" s="25">
        <f t="shared" si="85"/>
        <v>45</v>
      </c>
    </row>
    <row r="1393" spans="1:10" ht="16.95" customHeight="1">
      <c r="A1393" s="53" t="s">
        <v>9</v>
      </c>
      <c r="B1393" s="55">
        <v>46204</v>
      </c>
      <c r="C1393" s="98" t="s">
        <v>10</v>
      </c>
      <c r="D1393" s="98"/>
      <c r="E1393" s="102">
        <f>B1393+B1391-1</f>
        <v>46323</v>
      </c>
      <c r="F1393" s="102"/>
      <c r="G1393" s="102"/>
      <c r="J1393" s="25">
        <f t="shared" si="85"/>
        <v>45</v>
      </c>
    </row>
    <row r="1394" spans="1:10" ht="16.95" customHeight="1">
      <c r="A1394" s="53" t="s">
        <v>11</v>
      </c>
      <c r="B1394" s="56" t="e">
        <f>HLOOKUP(B1388,進度表!$Q$2:$Z$3,2,1)+B1331</f>
        <v>#REF!</v>
      </c>
      <c r="C1394" s="98" t="s">
        <v>12</v>
      </c>
      <c r="D1394" s="98"/>
      <c r="E1394" s="99" t="e">
        <f>I1432/I1394+E1331</f>
        <v>#REF!</v>
      </c>
      <c r="F1394" s="99"/>
      <c r="G1394" s="99"/>
      <c r="H1394" s="3" t="s">
        <v>62</v>
      </c>
      <c r="I1394" s="1">
        <v>2456000</v>
      </c>
      <c r="J1394" s="25">
        <f t="shared" si="85"/>
        <v>45</v>
      </c>
    </row>
    <row r="1395" spans="1:10" ht="16.95" customHeight="1">
      <c r="A1395" s="98" t="s">
        <v>13</v>
      </c>
      <c r="B1395" s="98"/>
      <c r="C1395" s="98"/>
      <c r="D1395" s="98"/>
      <c r="E1395" s="98"/>
      <c r="F1395" s="98"/>
      <c r="G1395" s="98"/>
      <c r="J1395" s="25">
        <f t="shared" si="85"/>
        <v>45</v>
      </c>
    </row>
    <row r="1396" spans="1:10" ht="16.95" customHeight="1">
      <c r="A1396" s="52" t="s">
        <v>14</v>
      </c>
      <c r="B1396" s="52" t="s">
        <v>15</v>
      </c>
      <c r="C1396" s="52" t="s">
        <v>16</v>
      </c>
      <c r="D1396" s="52" t="s">
        <v>17</v>
      </c>
      <c r="E1396" s="52" t="s">
        <v>18</v>
      </c>
      <c r="F1396" s="52" t="s">
        <v>19</v>
      </c>
      <c r="G1396" s="52" t="s">
        <v>20</v>
      </c>
      <c r="H1396" s="3" t="s">
        <v>21</v>
      </c>
      <c r="I1396" s="3" t="s">
        <v>22</v>
      </c>
      <c r="J1396" s="25">
        <f t="shared" si="85"/>
        <v>45</v>
      </c>
    </row>
    <row r="1397" spans="1:10" ht="16.95" customHeight="1">
      <c r="A1397" s="75" t="s">
        <v>65</v>
      </c>
      <c r="B1397" s="76" t="s">
        <v>69</v>
      </c>
      <c r="C1397" s="77"/>
      <c r="D1397" s="78"/>
      <c r="E1397" s="79"/>
      <c r="F1397" s="79"/>
      <c r="G1397" s="2"/>
      <c r="H1397" s="37"/>
      <c r="I1397" s="4"/>
      <c r="J1397" s="25">
        <f t="shared" si="85"/>
        <v>45</v>
      </c>
    </row>
    <row r="1398" spans="1:10" ht="34.950000000000003" customHeight="1">
      <c r="A1398" s="75">
        <v>1</v>
      </c>
      <c r="B1398" s="80" t="s">
        <v>91</v>
      </c>
      <c r="C1398" s="77" t="s">
        <v>48</v>
      </c>
      <c r="D1398" s="78">
        <v>1</v>
      </c>
      <c r="E1398" s="79"/>
      <c r="F1398" s="79" t="e">
        <f t="shared" ref="F1398:F1431" si="87">E1398+F1335</f>
        <v>#REF!</v>
      </c>
      <c r="G1398" s="2"/>
      <c r="H1398" s="37">
        <v>10508</v>
      </c>
      <c r="I1398" s="4">
        <f>H1398*E1398</f>
        <v>0</v>
      </c>
      <c r="J1398" s="25">
        <f t="shared" si="85"/>
        <v>45</v>
      </c>
    </row>
    <row r="1399" spans="1:10" ht="34.799999999999997" customHeight="1">
      <c r="A1399" s="75">
        <v>2</v>
      </c>
      <c r="B1399" s="80" t="s">
        <v>92</v>
      </c>
      <c r="C1399" s="77" t="s">
        <v>48</v>
      </c>
      <c r="D1399" s="78">
        <v>1</v>
      </c>
      <c r="E1399" s="79"/>
      <c r="F1399" s="79" t="e">
        <f t="shared" si="87"/>
        <v>#REF!</v>
      </c>
      <c r="G1399" s="2"/>
      <c r="H1399" s="37">
        <v>13223</v>
      </c>
      <c r="I1399" s="4">
        <f>H1399*E1399</f>
        <v>0</v>
      </c>
      <c r="J1399" s="25">
        <f t="shared" si="85"/>
        <v>45</v>
      </c>
    </row>
    <row r="1400" spans="1:10" ht="53.4" customHeight="1">
      <c r="A1400" s="75">
        <v>3</v>
      </c>
      <c r="B1400" s="80" t="s">
        <v>93</v>
      </c>
      <c r="C1400" s="77" t="s">
        <v>48</v>
      </c>
      <c r="D1400" s="78">
        <v>1</v>
      </c>
      <c r="E1400" s="79"/>
      <c r="F1400" s="79" t="e">
        <f t="shared" si="87"/>
        <v>#REF!</v>
      </c>
      <c r="G1400" s="2"/>
      <c r="H1400" s="37">
        <v>310497</v>
      </c>
      <c r="I1400" s="4">
        <f t="shared" ref="I1400:I1431" si="88">H1400*E1400</f>
        <v>0</v>
      </c>
      <c r="J1400" s="25">
        <f t="shared" si="85"/>
        <v>45</v>
      </c>
    </row>
    <row r="1401" spans="1:10" ht="16.95" customHeight="1">
      <c r="A1401" s="75">
        <v>4</v>
      </c>
      <c r="B1401" s="80" t="s">
        <v>94</v>
      </c>
      <c r="C1401" s="77" t="s">
        <v>48</v>
      </c>
      <c r="D1401" s="78">
        <v>1</v>
      </c>
      <c r="E1401" s="79"/>
      <c r="F1401" s="79" t="e">
        <f t="shared" si="87"/>
        <v>#REF!</v>
      </c>
      <c r="G1401" s="2"/>
      <c r="H1401" s="37">
        <v>8375</v>
      </c>
      <c r="I1401" s="4">
        <f t="shared" si="88"/>
        <v>0</v>
      </c>
      <c r="J1401" s="25">
        <f t="shared" si="85"/>
        <v>45</v>
      </c>
    </row>
    <row r="1402" spans="1:10" ht="16.95" customHeight="1">
      <c r="A1402" s="75">
        <v>5</v>
      </c>
      <c r="B1402" s="80" t="s">
        <v>95</v>
      </c>
      <c r="C1402" s="77" t="s">
        <v>48</v>
      </c>
      <c r="D1402" s="78">
        <v>1</v>
      </c>
      <c r="E1402" s="79"/>
      <c r="F1402" s="79" t="e">
        <f t="shared" si="87"/>
        <v>#REF!</v>
      </c>
      <c r="G1402" s="2"/>
      <c r="H1402" s="37">
        <v>51618</v>
      </c>
      <c r="I1402" s="4">
        <f t="shared" si="88"/>
        <v>0</v>
      </c>
      <c r="J1402" s="25">
        <f t="shared" si="85"/>
        <v>45</v>
      </c>
    </row>
    <row r="1403" spans="1:10" ht="16.95" customHeight="1">
      <c r="A1403" s="75">
        <v>6</v>
      </c>
      <c r="B1403" s="80" t="s">
        <v>96</v>
      </c>
      <c r="C1403" s="77" t="s">
        <v>50</v>
      </c>
      <c r="D1403" s="78">
        <v>11.55</v>
      </c>
      <c r="E1403" s="79"/>
      <c r="F1403" s="79" t="e">
        <f t="shared" si="87"/>
        <v>#REF!</v>
      </c>
      <c r="G1403" s="2"/>
      <c r="H1403" s="37">
        <v>1188</v>
      </c>
      <c r="I1403" s="4">
        <f t="shared" si="88"/>
        <v>0</v>
      </c>
      <c r="J1403" s="25">
        <f t="shared" ref="J1403:J1466" si="89">J1340+2</f>
        <v>45</v>
      </c>
    </row>
    <row r="1404" spans="1:10" ht="34.950000000000003" customHeight="1">
      <c r="A1404" s="75">
        <v>7</v>
      </c>
      <c r="B1404" s="80" t="s">
        <v>97</v>
      </c>
      <c r="C1404" s="77" t="s">
        <v>48</v>
      </c>
      <c r="D1404" s="78">
        <v>1</v>
      </c>
      <c r="E1404" s="79"/>
      <c r="F1404" s="79" t="e">
        <f t="shared" si="87"/>
        <v>#REF!</v>
      </c>
      <c r="G1404" s="2"/>
      <c r="H1404" s="37">
        <v>21157</v>
      </c>
      <c r="I1404" s="4">
        <f t="shared" si="88"/>
        <v>0</v>
      </c>
      <c r="J1404" s="25">
        <f t="shared" si="89"/>
        <v>45</v>
      </c>
    </row>
    <row r="1405" spans="1:10" ht="16.95" customHeight="1">
      <c r="A1405" s="75">
        <v>8</v>
      </c>
      <c r="B1405" s="80" t="s">
        <v>98</v>
      </c>
      <c r="C1405" s="77" t="s">
        <v>50</v>
      </c>
      <c r="D1405" s="78">
        <v>387</v>
      </c>
      <c r="E1405" s="79"/>
      <c r="F1405" s="79" t="e">
        <f t="shared" si="87"/>
        <v>#REF!</v>
      </c>
      <c r="G1405" s="2"/>
      <c r="H1405" s="37">
        <v>705</v>
      </c>
      <c r="I1405" s="4">
        <f t="shared" si="88"/>
        <v>0</v>
      </c>
      <c r="J1405" s="25">
        <f t="shared" si="89"/>
        <v>45</v>
      </c>
    </row>
    <row r="1406" spans="1:10" ht="16.95" customHeight="1">
      <c r="A1406" s="75">
        <v>9</v>
      </c>
      <c r="B1406" s="80" t="s">
        <v>99</v>
      </c>
      <c r="C1406" s="77" t="s">
        <v>50</v>
      </c>
      <c r="D1406" s="78">
        <v>170</v>
      </c>
      <c r="E1406" s="79"/>
      <c r="F1406" s="79" t="e">
        <f t="shared" si="87"/>
        <v>#REF!</v>
      </c>
      <c r="G1406" s="2"/>
      <c r="H1406" s="37">
        <v>617</v>
      </c>
      <c r="I1406" s="4">
        <f t="shared" si="88"/>
        <v>0</v>
      </c>
      <c r="J1406" s="25">
        <f t="shared" si="89"/>
        <v>45</v>
      </c>
    </row>
    <row r="1407" spans="1:10" ht="16.95" customHeight="1">
      <c r="A1407" s="75">
        <v>10</v>
      </c>
      <c r="B1407" s="80" t="s">
        <v>100</v>
      </c>
      <c r="C1407" s="77" t="s">
        <v>66</v>
      </c>
      <c r="D1407" s="78">
        <v>15</v>
      </c>
      <c r="E1407" s="79"/>
      <c r="F1407" s="79" t="e">
        <f t="shared" si="87"/>
        <v>#REF!</v>
      </c>
      <c r="G1407" s="2"/>
      <c r="H1407" s="37">
        <v>617</v>
      </c>
      <c r="I1407" s="4">
        <f t="shared" si="88"/>
        <v>0</v>
      </c>
      <c r="J1407" s="25">
        <f t="shared" si="89"/>
        <v>45</v>
      </c>
    </row>
    <row r="1408" spans="1:10" ht="16.95" customHeight="1">
      <c r="A1408" s="75">
        <v>11</v>
      </c>
      <c r="B1408" s="80" t="s">
        <v>101</v>
      </c>
      <c r="C1408" s="77" t="s">
        <v>50</v>
      </c>
      <c r="D1408" s="78">
        <v>75</v>
      </c>
      <c r="E1408" s="79"/>
      <c r="F1408" s="79" t="e">
        <f t="shared" si="87"/>
        <v>#REF!</v>
      </c>
      <c r="G1408" s="2"/>
      <c r="H1408" s="37">
        <v>1146</v>
      </c>
      <c r="I1408" s="4">
        <f t="shared" si="88"/>
        <v>0</v>
      </c>
      <c r="J1408" s="25">
        <f t="shared" si="89"/>
        <v>45</v>
      </c>
    </row>
    <row r="1409" spans="1:10" ht="16.95" customHeight="1">
      <c r="A1409" s="75">
        <v>12</v>
      </c>
      <c r="B1409" s="80" t="s">
        <v>102</v>
      </c>
      <c r="C1409" s="77" t="s">
        <v>50</v>
      </c>
      <c r="D1409" s="78">
        <v>5</v>
      </c>
      <c r="E1409" s="79"/>
      <c r="F1409" s="79" t="e">
        <f t="shared" si="87"/>
        <v>#REF!</v>
      </c>
      <c r="G1409" s="2"/>
      <c r="H1409" s="37">
        <v>1455</v>
      </c>
      <c r="I1409" s="4">
        <f t="shared" si="88"/>
        <v>0</v>
      </c>
      <c r="J1409" s="25">
        <f t="shared" si="89"/>
        <v>45</v>
      </c>
    </row>
    <row r="1410" spans="1:10" ht="16.95" customHeight="1">
      <c r="A1410" s="75">
        <v>13</v>
      </c>
      <c r="B1410" s="80" t="s">
        <v>103</v>
      </c>
      <c r="C1410" s="77" t="s">
        <v>50</v>
      </c>
      <c r="D1410" s="78">
        <v>217</v>
      </c>
      <c r="E1410" s="79"/>
      <c r="F1410" s="79" t="e">
        <f t="shared" si="87"/>
        <v>#REF!</v>
      </c>
      <c r="G1410" s="2"/>
      <c r="H1410" s="37">
        <v>1410</v>
      </c>
      <c r="I1410" s="4">
        <f t="shared" si="88"/>
        <v>0</v>
      </c>
      <c r="J1410" s="25">
        <f t="shared" si="89"/>
        <v>45</v>
      </c>
    </row>
    <row r="1411" spans="1:10" ht="16.95" customHeight="1">
      <c r="A1411" s="75">
        <v>14</v>
      </c>
      <c r="B1411" s="80" t="s">
        <v>104</v>
      </c>
      <c r="C1411" s="77" t="s">
        <v>49</v>
      </c>
      <c r="D1411" s="78">
        <v>84</v>
      </c>
      <c r="E1411" s="79"/>
      <c r="F1411" s="79" t="e">
        <f t="shared" si="87"/>
        <v>#REF!</v>
      </c>
      <c r="G1411" s="2"/>
      <c r="H1411" s="37">
        <v>529</v>
      </c>
      <c r="I1411" s="4">
        <f t="shared" si="88"/>
        <v>0</v>
      </c>
      <c r="J1411" s="25">
        <f t="shared" si="89"/>
        <v>45</v>
      </c>
    </row>
    <row r="1412" spans="1:10" ht="16.95" customHeight="1">
      <c r="A1412" s="75">
        <v>15</v>
      </c>
      <c r="B1412" s="80" t="s">
        <v>105</v>
      </c>
      <c r="C1412" s="77" t="s">
        <v>50</v>
      </c>
      <c r="D1412" s="78">
        <v>1</v>
      </c>
      <c r="E1412" s="79"/>
      <c r="F1412" s="79" t="e">
        <f t="shared" si="87"/>
        <v>#REF!</v>
      </c>
      <c r="G1412" s="2"/>
      <c r="H1412" s="37">
        <v>1146</v>
      </c>
      <c r="I1412" s="4">
        <f t="shared" si="88"/>
        <v>0</v>
      </c>
      <c r="J1412" s="25">
        <f t="shared" si="89"/>
        <v>45</v>
      </c>
    </row>
    <row r="1413" spans="1:10" ht="34.799999999999997" customHeight="1">
      <c r="A1413" s="75">
        <v>16</v>
      </c>
      <c r="B1413" s="80" t="s">
        <v>106</v>
      </c>
      <c r="C1413" s="77" t="s">
        <v>50</v>
      </c>
      <c r="D1413" s="78">
        <v>314</v>
      </c>
      <c r="E1413" s="79"/>
      <c r="F1413" s="79" t="e">
        <f t="shared" si="87"/>
        <v>#REF!</v>
      </c>
      <c r="G1413" s="2"/>
      <c r="H1413" s="37">
        <v>185</v>
      </c>
      <c r="I1413" s="4">
        <f t="shared" si="88"/>
        <v>0</v>
      </c>
      <c r="J1413" s="25">
        <f t="shared" si="89"/>
        <v>45</v>
      </c>
    </row>
    <row r="1414" spans="1:10" ht="16.95" customHeight="1">
      <c r="A1414" s="75">
        <v>17</v>
      </c>
      <c r="B1414" s="80" t="s">
        <v>107</v>
      </c>
      <c r="C1414" s="77" t="s">
        <v>48</v>
      </c>
      <c r="D1414" s="78">
        <v>1</v>
      </c>
      <c r="E1414" s="79"/>
      <c r="F1414" s="79" t="e">
        <f t="shared" si="87"/>
        <v>#REF!</v>
      </c>
      <c r="G1414" s="2"/>
      <c r="H1414" s="37">
        <v>89918</v>
      </c>
      <c r="I1414" s="4">
        <f t="shared" si="88"/>
        <v>0</v>
      </c>
      <c r="J1414" s="25">
        <f t="shared" si="89"/>
        <v>45</v>
      </c>
    </row>
    <row r="1415" spans="1:10" ht="16.95" customHeight="1">
      <c r="A1415" s="75">
        <v>18</v>
      </c>
      <c r="B1415" s="80" t="s">
        <v>108</v>
      </c>
      <c r="C1415" s="77" t="s">
        <v>120</v>
      </c>
      <c r="D1415" s="78">
        <v>15</v>
      </c>
      <c r="E1415" s="79"/>
      <c r="F1415" s="79" t="e">
        <f t="shared" si="87"/>
        <v>#REF!</v>
      </c>
      <c r="G1415" s="2"/>
      <c r="H1415" s="37">
        <v>661</v>
      </c>
      <c r="I1415" s="4">
        <f t="shared" si="88"/>
        <v>0</v>
      </c>
      <c r="J1415" s="25">
        <f t="shared" si="89"/>
        <v>45</v>
      </c>
    </row>
    <row r="1416" spans="1:10" ht="16.95" customHeight="1">
      <c r="A1416" s="75">
        <v>19</v>
      </c>
      <c r="B1416" s="80" t="s">
        <v>109</v>
      </c>
      <c r="C1416" s="77" t="s">
        <v>50</v>
      </c>
      <c r="D1416" s="78">
        <v>82</v>
      </c>
      <c r="E1416" s="79"/>
      <c r="F1416" s="79" t="e">
        <f t="shared" si="87"/>
        <v>#REF!</v>
      </c>
      <c r="G1416" s="2"/>
      <c r="H1416" s="37">
        <v>2909</v>
      </c>
      <c r="I1416" s="4">
        <f t="shared" si="88"/>
        <v>0</v>
      </c>
      <c r="J1416" s="25">
        <f t="shared" si="89"/>
        <v>45</v>
      </c>
    </row>
    <row r="1417" spans="1:10" ht="16.95" customHeight="1">
      <c r="A1417" s="75">
        <v>20</v>
      </c>
      <c r="B1417" s="80" t="s">
        <v>110</v>
      </c>
      <c r="C1417" s="77" t="s">
        <v>121</v>
      </c>
      <c r="D1417" s="78">
        <v>12</v>
      </c>
      <c r="E1417" s="79"/>
      <c r="F1417" s="79" t="e">
        <f t="shared" si="87"/>
        <v>#REF!</v>
      </c>
      <c r="G1417" s="2"/>
      <c r="H1417" s="37">
        <v>882</v>
      </c>
      <c r="I1417" s="4">
        <f t="shared" si="88"/>
        <v>0</v>
      </c>
      <c r="J1417" s="25">
        <f t="shared" si="89"/>
        <v>45</v>
      </c>
    </row>
    <row r="1418" spans="1:10" ht="16.95" customHeight="1">
      <c r="A1418" s="77">
        <v>21</v>
      </c>
      <c r="B1418" s="80" t="s">
        <v>111</v>
      </c>
      <c r="C1418" s="77" t="s">
        <v>122</v>
      </c>
      <c r="D1418" s="78">
        <v>3</v>
      </c>
      <c r="E1418" s="79"/>
      <c r="F1418" s="79" t="e">
        <f t="shared" si="87"/>
        <v>#REF!</v>
      </c>
      <c r="G1418" s="2"/>
      <c r="H1418" s="38">
        <v>1869</v>
      </c>
      <c r="I1418" s="4">
        <f t="shared" si="88"/>
        <v>0</v>
      </c>
      <c r="J1418" s="25">
        <f t="shared" si="89"/>
        <v>45</v>
      </c>
    </row>
    <row r="1419" spans="1:10" ht="34.950000000000003" customHeight="1">
      <c r="A1419" s="75">
        <v>22</v>
      </c>
      <c r="B1419" s="80" t="s">
        <v>112</v>
      </c>
      <c r="C1419" s="77" t="s">
        <v>48</v>
      </c>
      <c r="D1419" s="78">
        <v>1</v>
      </c>
      <c r="E1419" s="79"/>
      <c r="F1419" s="79" t="e">
        <f t="shared" si="87"/>
        <v>#REF!</v>
      </c>
      <c r="G1419" s="2"/>
      <c r="H1419" s="37">
        <v>82206</v>
      </c>
      <c r="I1419" s="4">
        <f t="shared" si="88"/>
        <v>0</v>
      </c>
      <c r="J1419" s="25">
        <f t="shared" si="89"/>
        <v>45</v>
      </c>
    </row>
    <row r="1420" spans="1:10" ht="16.95" customHeight="1">
      <c r="A1420" s="75">
        <v>23</v>
      </c>
      <c r="B1420" s="80" t="s">
        <v>113</v>
      </c>
      <c r="C1420" s="77" t="s">
        <v>48</v>
      </c>
      <c r="D1420" s="78">
        <v>1</v>
      </c>
      <c r="E1420" s="79"/>
      <c r="F1420" s="79" t="e">
        <f t="shared" si="87"/>
        <v>#REF!</v>
      </c>
      <c r="G1420" s="2"/>
      <c r="H1420" s="37">
        <v>142723</v>
      </c>
      <c r="I1420" s="4">
        <f t="shared" si="88"/>
        <v>0</v>
      </c>
      <c r="J1420" s="25">
        <f t="shared" si="89"/>
        <v>45</v>
      </c>
    </row>
    <row r="1421" spans="1:10" ht="16.95" customHeight="1">
      <c r="A1421" s="75">
        <v>24</v>
      </c>
      <c r="B1421" s="80" t="s">
        <v>114</v>
      </c>
      <c r="C1421" s="77" t="s">
        <v>48</v>
      </c>
      <c r="D1421" s="78">
        <v>1</v>
      </c>
      <c r="E1421" s="79"/>
      <c r="F1421" s="79" t="e">
        <f t="shared" si="87"/>
        <v>#REF!</v>
      </c>
      <c r="G1421" s="2"/>
      <c r="H1421" s="37">
        <v>37290</v>
      </c>
      <c r="I1421" s="4">
        <f t="shared" si="88"/>
        <v>0</v>
      </c>
      <c r="J1421" s="25">
        <f t="shared" si="89"/>
        <v>45</v>
      </c>
    </row>
    <row r="1422" spans="1:10" ht="16.95" customHeight="1">
      <c r="A1422" s="75">
        <v>25</v>
      </c>
      <c r="B1422" s="80" t="s">
        <v>115</v>
      </c>
      <c r="C1422" s="77" t="s">
        <v>48</v>
      </c>
      <c r="D1422" s="78">
        <v>1</v>
      </c>
      <c r="E1422" s="79"/>
      <c r="F1422" s="79" t="e">
        <f t="shared" si="87"/>
        <v>#REF!</v>
      </c>
      <c r="G1422" s="2"/>
      <c r="H1422" s="37">
        <v>99394</v>
      </c>
      <c r="I1422" s="4">
        <f t="shared" si="88"/>
        <v>0</v>
      </c>
      <c r="J1422" s="25">
        <f t="shared" si="89"/>
        <v>45</v>
      </c>
    </row>
    <row r="1423" spans="1:10" ht="34.950000000000003" customHeight="1">
      <c r="A1423" s="75">
        <v>26</v>
      </c>
      <c r="B1423" s="80" t="s">
        <v>116</v>
      </c>
      <c r="C1423" s="77" t="s">
        <v>48</v>
      </c>
      <c r="D1423" s="78">
        <v>1</v>
      </c>
      <c r="E1423" s="79"/>
      <c r="F1423" s="79" t="e">
        <f t="shared" si="87"/>
        <v>#REF!</v>
      </c>
      <c r="G1423" s="2"/>
      <c r="H1423" s="37">
        <v>21334</v>
      </c>
      <c r="I1423" s="4">
        <f t="shared" si="88"/>
        <v>0</v>
      </c>
      <c r="J1423" s="25">
        <f t="shared" si="89"/>
        <v>45</v>
      </c>
    </row>
    <row r="1424" spans="1:10" ht="16.95" customHeight="1">
      <c r="A1424" s="75">
        <v>27</v>
      </c>
      <c r="B1424" s="80" t="s">
        <v>117</v>
      </c>
      <c r="C1424" s="77" t="s">
        <v>48</v>
      </c>
      <c r="D1424" s="78">
        <v>1</v>
      </c>
      <c r="E1424" s="79"/>
      <c r="F1424" s="79" t="e">
        <f t="shared" si="87"/>
        <v>#REF!</v>
      </c>
      <c r="G1424" s="2"/>
      <c r="H1424" s="37">
        <v>29620</v>
      </c>
      <c r="I1424" s="4">
        <f t="shared" si="88"/>
        <v>0</v>
      </c>
      <c r="J1424" s="25">
        <f t="shared" si="89"/>
        <v>45</v>
      </c>
    </row>
    <row r="1425" spans="1:10" ht="16.95" customHeight="1">
      <c r="A1425" s="75">
        <v>28</v>
      </c>
      <c r="B1425" s="80" t="s">
        <v>118</v>
      </c>
      <c r="C1425" s="77" t="s">
        <v>48</v>
      </c>
      <c r="D1425" s="78">
        <v>1</v>
      </c>
      <c r="E1425" s="79"/>
      <c r="F1425" s="79" t="e">
        <f t="shared" si="87"/>
        <v>#REF!</v>
      </c>
      <c r="G1425" s="2"/>
      <c r="H1425" s="37">
        <v>18506</v>
      </c>
      <c r="I1425" s="4">
        <f t="shared" si="88"/>
        <v>0</v>
      </c>
      <c r="J1425" s="25">
        <f t="shared" si="89"/>
        <v>45</v>
      </c>
    </row>
    <row r="1426" spans="1:10" ht="16.95" customHeight="1">
      <c r="A1426" s="75">
        <v>29</v>
      </c>
      <c r="B1426" s="80" t="s">
        <v>119</v>
      </c>
      <c r="C1426" s="77" t="s">
        <v>48</v>
      </c>
      <c r="D1426" s="78">
        <v>1</v>
      </c>
      <c r="E1426" s="79"/>
      <c r="F1426" s="79" t="e">
        <f t="shared" si="87"/>
        <v>#REF!</v>
      </c>
      <c r="G1426" s="2"/>
      <c r="H1426" s="37">
        <v>34381</v>
      </c>
      <c r="I1426" s="4">
        <f t="shared" si="88"/>
        <v>0</v>
      </c>
      <c r="J1426" s="25">
        <f t="shared" si="89"/>
        <v>45</v>
      </c>
    </row>
    <row r="1427" spans="1:10" ht="16.95" customHeight="1">
      <c r="A1427" s="75" t="s">
        <v>79</v>
      </c>
      <c r="B1427" s="80" t="s">
        <v>80</v>
      </c>
      <c r="C1427" s="77" t="s">
        <v>48</v>
      </c>
      <c r="D1427" s="78">
        <v>1</v>
      </c>
      <c r="E1427" s="79">
        <f t="shared" ref="E1427:E1430" si="90">1/120</f>
        <v>8.3333333333333332E-3</v>
      </c>
      <c r="F1427" s="79" t="e">
        <f t="shared" si="87"/>
        <v>#REF!</v>
      </c>
      <c r="G1427" s="2"/>
      <c r="H1427" s="37">
        <v>21395</v>
      </c>
      <c r="I1427" s="4">
        <f t="shared" si="88"/>
        <v>178.29166666666666</v>
      </c>
      <c r="J1427" s="25">
        <f t="shared" si="89"/>
        <v>45</v>
      </c>
    </row>
    <row r="1428" spans="1:10" ht="16.95" customHeight="1">
      <c r="A1428" s="75" t="s">
        <v>81</v>
      </c>
      <c r="B1428" s="80" t="s">
        <v>82</v>
      </c>
      <c r="C1428" s="77" t="s">
        <v>48</v>
      </c>
      <c r="D1428" s="78">
        <v>1</v>
      </c>
      <c r="E1428" s="79">
        <f t="shared" si="90"/>
        <v>8.3333333333333332E-3</v>
      </c>
      <c r="F1428" s="79" t="e">
        <f t="shared" si="87"/>
        <v>#REF!</v>
      </c>
      <c r="G1428" s="2"/>
      <c r="H1428" s="37">
        <v>21395</v>
      </c>
      <c r="I1428" s="4">
        <f t="shared" si="88"/>
        <v>178.29166666666666</v>
      </c>
      <c r="J1428" s="25">
        <f t="shared" si="89"/>
        <v>45</v>
      </c>
    </row>
    <row r="1429" spans="1:10" ht="16.95" customHeight="1">
      <c r="A1429" s="75" t="s">
        <v>83</v>
      </c>
      <c r="B1429" s="80" t="s">
        <v>84</v>
      </c>
      <c r="C1429" s="77" t="s">
        <v>48</v>
      </c>
      <c r="D1429" s="78">
        <v>1</v>
      </c>
      <c r="E1429" s="79">
        <f t="shared" si="90"/>
        <v>8.3333333333333332E-3</v>
      </c>
      <c r="F1429" s="79" t="e">
        <f t="shared" si="87"/>
        <v>#REF!</v>
      </c>
      <c r="G1429" s="2"/>
      <c r="H1429" s="37">
        <v>149765</v>
      </c>
      <c r="I1429" s="4">
        <f t="shared" si="88"/>
        <v>1248.0416666666667</v>
      </c>
      <c r="J1429" s="25">
        <f t="shared" si="89"/>
        <v>45</v>
      </c>
    </row>
    <row r="1430" spans="1:10" ht="16.95" customHeight="1">
      <c r="A1430" s="75" t="s">
        <v>85</v>
      </c>
      <c r="B1430" s="80" t="s">
        <v>86</v>
      </c>
      <c r="C1430" s="77" t="s">
        <v>48</v>
      </c>
      <c r="D1430" s="78">
        <v>1</v>
      </c>
      <c r="E1430" s="79">
        <f t="shared" si="90"/>
        <v>8.3333333333333332E-3</v>
      </c>
      <c r="F1430" s="79" t="e">
        <f t="shared" si="87"/>
        <v>#REF!</v>
      </c>
      <c r="G1430" s="2"/>
      <c r="H1430" s="37">
        <v>6996</v>
      </c>
      <c r="I1430" s="4">
        <f t="shared" si="88"/>
        <v>58.3</v>
      </c>
      <c r="J1430" s="25">
        <f t="shared" si="89"/>
        <v>45</v>
      </c>
    </row>
    <row r="1431" spans="1:10" ht="16.95" customHeight="1">
      <c r="A1431" s="75" t="s">
        <v>87</v>
      </c>
      <c r="B1431" s="80" t="s">
        <v>88</v>
      </c>
      <c r="C1431" s="77" t="s">
        <v>48</v>
      </c>
      <c r="D1431" s="78">
        <v>1</v>
      </c>
      <c r="E1431" s="79">
        <f>1/120</f>
        <v>8.3333333333333332E-3</v>
      </c>
      <c r="F1431" s="79" t="e">
        <f t="shared" si="87"/>
        <v>#REF!</v>
      </c>
      <c r="G1431" s="2"/>
      <c r="H1431" s="37">
        <v>116952</v>
      </c>
      <c r="I1431" s="4">
        <f t="shared" si="88"/>
        <v>974.6</v>
      </c>
      <c r="J1431" s="25">
        <f t="shared" si="89"/>
        <v>45</v>
      </c>
    </row>
    <row r="1432" spans="1:10" ht="16.95" customHeight="1">
      <c r="A1432" s="95" t="s">
        <v>23</v>
      </c>
      <c r="B1432" s="95"/>
      <c r="C1432" s="50"/>
      <c r="D1432" s="50"/>
      <c r="E1432" s="50"/>
      <c r="F1432" s="50"/>
      <c r="G1432" s="50"/>
      <c r="H1432" s="3" t="s">
        <v>24</v>
      </c>
      <c r="I1432" s="5">
        <f>SUM(I1397:I1431)</f>
        <v>2637.5250000000001</v>
      </c>
      <c r="J1432" s="25">
        <f t="shared" si="89"/>
        <v>45</v>
      </c>
    </row>
    <row r="1433" spans="1:10" ht="16.95" customHeight="1">
      <c r="A1433" s="96" t="s">
        <v>25</v>
      </c>
      <c r="B1433" s="96"/>
      <c r="C1433" s="50"/>
      <c r="D1433" s="50"/>
      <c r="E1433" s="50"/>
      <c r="F1433" s="50"/>
      <c r="G1433" s="50"/>
      <c r="J1433" s="25">
        <f t="shared" si="89"/>
        <v>45</v>
      </c>
    </row>
    <row r="1434" spans="1:10" ht="16.95" customHeight="1">
      <c r="A1434" s="96" t="s">
        <v>26</v>
      </c>
      <c r="B1434" s="96"/>
      <c r="C1434" s="50"/>
      <c r="D1434" s="50"/>
      <c r="E1434" s="50"/>
      <c r="F1434" s="50"/>
      <c r="G1434" s="50"/>
      <c r="J1434" s="25">
        <f t="shared" si="89"/>
        <v>45</v>
      </c>
    </row>
    <row r="1435" spans="1:10" ht="16.95" customHeight="1">
      <c r="A1435" s="95" t="s">
        <v>27</v>
      </c>
      <c r="B1435" s="95"/>
      <c r="C1435" s="95"/>
      <c r="D1435" s="95"/>
      <c r="E1435" s="95"/>
      <c r="F1435" s="95"/>
      <c r="G1435" s="95"/>
      <c r="J1435" s="25">
        <f t="shared" si="89"/>
        <v>45</v>
      </c>
    </row>
    <row r="1436" spans="1:10" ht="16.95" customHeight="1">
      <c r="A1436" s="94" t="s">
        <v>28</v>
      </c>
      <c r="B1436" s="94"/>
      <c r="C1436" s="51" t="s">
        <v>29</v>
      </c>
      <c r="D1436" s="51" t="s">
        <v>30</v>
      </c>
      <c r="E1436" s="51" t="s">
        <v>18</v>
      </c>
      <c r="F1436" s="51" t="s">
        <v>31</v>
      </c>
      <c r="G1436" s="51" t="s">
        <v>20</v>
      </c>
      <c r="J1436" s="25">
        <f t="shared" si="89"/>
        <v>45</v>
      </c>
    </row>
    <row r="1437" spans="1:10" ht="16.95" customHeight="1">
      <c r="A1437" s="96"/>
      <c r="B1437" s="96"/>
      <c r="C1437" s="50"/>
      <c r="D1437" s="50"/>
      <c r="E1437" s="50"/>
      <c r="F1437" s="50"/>
      <c r="G1437" s="51"/>
      <c r="J1437" s="25">
        <f t="shared" si="89"/>
        <v>45</v>
      </c>
    </row>
    <row r="1438" spans="1:10" ht="16.95" customHeight="1">
      <c r="A1438" s="97"/>
      <c r="B1438" s="97"/>
      <c r="C1438" s="50"/>
      <c r="D1438" s="50"/>
      <c r="E1438" s="50"/>
      <c r="F1438" s="51"/>
      <c r="G1438" s="51"/>
      <c r="J1438" s="25">
        <f t="shared" si="89"/>
        <v>45</v>
      </c>
    </row>
    <row r="1439" spans="1:10" ht="16.95" customHeight="1">
      <c r="A1439" s="95" t="s">
        <v>32</v>
      </c>
      <c r="B1439" s="95"/>
      <c r="C1439" s="95"/>
      <c r="D1439" s="95"/>
      <c r="E1439" s="95"/>
      <c r="F1439" s="95"/>
      <c r="G1439" s="95"/>
      <c r="J1439" s="25">
        <f t="shared" si="89"/>
        <v>46</v>
      </c>
    </row>
    <row r="1440" spans="1:10" ht="16.95" customHeight="1">
      <c r="A1440" s="51" t="s">
        <v>33</v>
      </c>
      <c r="B1440" s="51" t="s">
        <v>34</v>
      </c>
      <c r="C1440" s="94" t="s">
        <v>35</v>
      </c>
      <c r="D1440" s="94"/>
      <c r="E1440" s="51" t="s">
        <v>36</v>
      </c>
      <c r="F1440" s="51" t="s">
        <v>37</v>
      </c>
      <c r="G1440" s="51" t="s">
        <v>38</v>
      </c>
      <c r="J1440" s="25">
        <f t="shared" si="89"/>
        <v>46</v>
      </c>
    </row>
    <row r="1441" spans="1:10" ht="16.95" customHeight="1">
      <c r="A1441" s="51" t="s">
        <v>39</v>
      </c>
      <c r="B1441" s="6"/>
      <c r="C1441" s="94" t="e">
        <f>B1441+C1378</f>
        <v>#REF!</v>
      </c>
      <c r="D1441" s="94"/>
      <c r="E1441" s="51"/>
      <c r="F1441" s="24"/>
      <c r="G1441" s="24"/>
      <c r="J1441" s="25">
        <f t="shared" si="89"/>
        <v>46</v>
      </c>
    </row>
    <row r="1442" spans="1:10" ht="16.95" customHeight="1">
      <c r="A1442" s="51" t="s">
        <v>40</v>
      </c>
      <c r="B1442" s="6"/>
      <c r="C1442" s="94" t="e">
        <f>B1442+C1379</f>
        <v>#REF!</v>
      </c>
      <c r="D1442" s="94"/>
      <c r="E1442" s="51"/>
      <c r="F1442" s="24"/>
      <c r="G1442" s="24"/>
      <c r="J1442" s="25">
        <f t="shared" si="89"/>
        <v>46</v>
      </c>
    </row>
    <row r="1443" spans="1:10" ht="36.6" customHeight="1">
      <c r="A1443" s="95" t="s">
        <v>41</v>
      </c>
      <c r="B1443" s="95"/>
      <c r="C1443" s="95"/>
      <c r="D1443" s="95"/>
      <c r="E1443" s="95"/>
      <c r="F1443" s="95"/>
      <c r="G1443" s="95"/>
      <c r="J1443" s="25">
        <f t="shared" si="89"/>
        <v>46</v>
      </c>
    </row>
    <row r="1444" spans="1:10" ht="90" customHeight="1">
      <c r="A1444" s="92" t="s">
        <v>42</v>
      </c>
      <c r="B1444" s="92"/>
      <c r="C1444" s="92"/>
      <c r="D1444" s="92"/>
      <c r="E1444" s="92"/>
      <c r="F1444" s="92"/>
      <c r="G1444" s="92"/>
      <c r="J1444" s="25">
        <f t="shared" si="89"/>
        <v>46</v>
      </c>
    </row>
    <row r="1445" spans="1:10" ht="16.95" customHeight="1">
      <c r="A1445" s="95" t="s">
        <v>43</v>
      </c>
      <c r="B1445" s="95"/>
      <c r="C1445" s="95"/>
      <c r="D1445" s="95"/>
      <c r="E1445" s="95"/>
      <c r="F1445" s="95"/>
      <c r="G1445" s="95"/>
      <c r="J1445" s="25">
        <f t="shared" si="89"/>
        <v>46</v>
      </c>
    </row>
    <row r="1446" spans="1:10" ht="16.95" customHeight="1">
      <c r="A1446" s="95" t="s">
        <v>44</v>
      </c>
      <c r="B1446" s="95"/>
      <c r="C1446" s="95"/>
      <c r="D1446" s="95"/>
      <c r="E1446" s="95"/>
      <c r="F1446" s="95"/>
      <c r="G1446" s="95"/>
      <c r="J1446" s="25">
        <f t="shared" si="89"/>
        <v>46</v>
      </c>
    </row>
    <row r="1447" spans="1:10" ht="16.95" customHeight="1">
      <c r="A1447" s="91" t="s">
        <v>64</v>
      </c>
      <c r="B1447" s="91"/>
      <c r="C1447" s="91"/>
      <c r="D1447" s="91"/>
      <c r="E1447" s="91"/>
      <c r="F1447" s="91"/>
      <c r="G1447" s="91"/>
      <c r="J1447" s="25">
        <f t="shared" si="89"/>
        <v>46</v>
      </c>
    </row>
    <row r="1448" spans="1:10" ht="120.6" customHeight="1">
      <c r="A1448" s="92" t="s">
        <v>45</v>
      </c>
      <c r="B1448" s="92"/>
      <c r="C1448" s="92"/>
      <c r="D1448" s="92"/>
      <c r="E1448" s="92"/>
      <c r="F1448" s="92"/>
      <c r="G1448" s="92"/>
      <c r="J1448" s="25">
        <f t="shared" si="89"/>
        <v>46</v>
      </c>
    </row>
    <row r="1449" spans="1:10" ht="140.4" customHeight="1">
      <c r="A1449" s="93" t="s">
        <v>46</v>
      </c>
      <c r="B1449" s="93"/>
      <c r="C1449" s="93"/>
      <c r="D1449" s="93"/>
      <c r="E1449" s="93"/>
      <c r="F1449" s="93"/>
      <c r="G1449" s="93"/>
      <c r="J1449" s="25">
        <f t="shared" si="89"/>
        <v>46</v>
      </c>
    </row>
    <row r="1450" spans="1:10" ht="37.200000000000003" customHeight="1">
      <c r="A1450" s="103" t="s">
        <v>0</v>
      </c>
      <c r="B1450" s="103"/>
      <c r="C1450" s="103"/>
      <c r="D1450" s="103"/>
      <c r="E1450" s="103"/>
      <c r="F1450" s="103"/>
      <c r="G1450" s="103"/>
      <c r="J1450" s="25">
        <f t="shared" si="89"/>
        <v>47</v>
      </c>
    </row>
    <row r="1451" spans="1:10" ht="16.95" customHeight="1">
      <c r="A1451" s="1" t="s">
        <v>1</v>
      </c>
      <c r="B1451" s="104">
        <f>B1388+1</f>
        <v>25</v>
      </c>
      <c r="C1451" s="104"/>
      <c r="D1451" s="104"/>
      <c r="E1451" s="104"/>
      <c r="F1451" s="104"/>
      <c r="G1451" s="104"/>
      <c r="J1451" s="25">
        <f t="shared" si="89"/>
        <v>47</v>
      </c>
    </row>
    <row r="1452" spans="1:10" ht="16.95" customHeight="1">
      <c r="A1452" s="1" t="s">
        <v>2</v>
      </c>
      <c r="B1452" s="105" t="s">
        <v>63</v>
      </c>
      <c r="C1452" s="105"/>
      <c r="D1452" s="105"/>
      <c r="E1452" s="106">
        <f>E1389+1</f>
        <v>46227</v>
      </c>
      <c r="F1452" s="106"/>
      <c r="G1452" s="106"/>
      <c r="J1452" s="25">
        <f t="shared" si="89"/>
        <v>47</v>
      </c>
    </row>
    <row r="1453" spans="1:10" ht="16.95" customHeight="1">
      <c r="A1453" s="53" t="s">
        <v>3</v>
      </c>
      <c r="B1453" s="2" t="s">
        <v>67</v>
      </c>
      <c r="C1453" s="98" t="s">
        <v>4</v>
      </c>
      <c r="D1453" s="98"/>
      <c r="E1453" s="98" t="s">
        <v>47</v>
      </c>
      <c r="F1453" s="98"/>
      <c r="G1453" s="98"/>
      <c r="J1453" s="25">
        <f t="shared" si="89"/>
        <v>47</v>
      </c>
    </row>
    <row r="1454" spans="1:10" ht="16.95" customHeight="1">
      <c r="A1454" s="53" t="s">
        <v>5</v>
      </c>
      <c r="B1454" s="54">
        <v>120</v>
      </c>
      <c r="C1454" s="98" t="s">
        <v>6</v>
      </c>
      <c r="D1454" s="98"/>
      <c r="E1454" s="98" t="s">
        <v>123</v>
      </c>
      <c r="F1454" s="98"/>
      <c r="G1454" s="98"/>
      <c r="J1454" s="25">
        <f t="shared" si="89"/>
        <v>47</v>
      </c>
    </row>
    <row r="1455" spans="1:10" ht="16.95" customHeight="1">
      <c r="A1455" s="53" t="s">
        <v>7</v>
      </c>
      <c r="B1455" s="54">
        <f>B1451</f>
        <v>25</v>
      </c>
      <c r="C1455" s="100" t="s">
        <v>8</v>
      </c>
      <c r="D1455" s="100"/>
      <c r="E1455" s="101">
        <f>B1454-B1455</f>
        <v>95</v>
      </c>
      <c r="F1455" s="101"/>
      <c r="G1455" s="101"/>
      <c r="J1455" s="25">
        <f t="shared" si="89"/>
        <v>47</v>
      </c>
    </row>
    <row r="1456" spans="1:10" ht="16.95" customHeight="1">
      <c r="A1456" s="53" t="s">
        <v>9</v>
      </c>
      <c r="B1456" s="55">
        <v>46204</v>
      </c>
      <c r="C1456" s="98" t="s">
        <v>10</v>
      </c>
      <c r="D1456" s="98"/>
      <c r="E1456" s="102">
        <f>B1456+B1454-1</f>
        <v>46323</v>
      </c>
      <c r="F1456" s="102"/>
      <c r="G1456" s="102"/>
      <c r="J1456" s="25">
        <f t="shared" si="89"/>
        <v>47</v>
      </c>
    </row>
    <row r="1457" spans="1:10" ht="16.95" customHeight="1">
      <c r="A1457" s="53" t="s">
        <v>11</v>
      </c>
      <c r="B1457" s="56" t="e">
        <f>HLOOKUP(B1451,進度表!$Q$2:$Z$3,2,1)+B1394</f>
        <v>#REF!</v>
      </c>
      <c r="C1457" s="98" t="s">
        <v>12</v>
      </c>
      <c r="D1457" s="98"/>
      <c r="E1457" s="99" t="e">
        <f>I1495/I1457+E1394</f>
        <v>#REF!</v>
      </c>
      <c r="F1457" s="99"/>
      <c r="G1457" s="99"/>
      <c r="H1457" s="3" t="s">
        <v>62</v>
      </c>
      <c r="I1457" s="1">
        <v>2456000</v>
      </c>
      <c r="J1457" s="25">
        <f t="shared" si="89"/>
        <v>47</v>
      </c>
    </row>
    <row r="1458" spans="1:10" ht="16.95" customHeight="1">
      <c r="A1458" s="98" t="s">
        <v>13</v>
      </c>
      <c r="B1458" s="98"/>
      <c r="C1458" s="98"/>
      <c r="D1458" s="98"/>
      <c r="E1458" s="98"/>
      <c r="F1458" s="98"/>
      <c r="G1458" s="98"/>
      <c r="J1458" s="25">
        <f t="shared" si="89"/>
        <v>47</v>
      </c>
    </row>
    <row r="1459" spans="1:10" ht="16.95" customHeight="1">
      <c r="A1459" s="52" t="s">
        <v>14</v>
      </c>
      <c r="B1459" s="52" t="s">
        <v>15</v>
      </c>
      <c r="C1459" s="52" t="s">
        <v>16</v>
      </c>
      <c r="D1459" s="52" t="s">
        <v>17</v>
      </c>
      <c r="E1459" s="52" t="s">
        <v>18</v>
      </c>
      <c r="F1459" s="52" t="s">
        <v>19</v>
      </c>
      <c r="G1459" s="52" t="s">
        <v>20</v>
      </c>
      <c r="H1459" s="3" t="s">
        <v>21</v>
      </c>
      <c r="I1459" s="3" t="s">
        <v>22</v>
      </c>
      <c r="J1459" s="25">
        <f t="shared" si="89"/>
        <v>47</v>
      </c>
    </row>
    <row r="1460" spans="1:10" ht="16.95" customHeight="1">
      <c r="A1460" s="75" t="s">
        <v>65</v>
      </c>
      <c r="B1460" s="76" t="s">
        <v>69</v>
      </c>
      <c r="C1460" s="77"/>
      <c r="D1460" s="78"/>
      <c r="E1460" s="79"/>
      <c r="F1460" s="79"/>
      <c r="G1460" s="2"/>
      <c r="H1460" s="37"/>
      <c r="I1460" s="4"/>
      <c r="J1460" s="25">
        <f t="shared" si="89"/>
        <v>47</v>
      </c>
    </row>
    <row r="1461" spans="1:10" ht="34.950000000000003" customHeight="1">
      <c r="A1461" s="75">
        <v>1</v>
      </c>
      <c r="B1461" s="80" t="s">
        <v>91</v>
      </c>
      <c r="C1461" s="77" t="s">
        <v>48</v>
      </c>
      <c r="D1461" s="78">
        <v>1</v>
      </c>
      <c r="E1461" s="79"/>
      <c r="F1461" s="79" t="e">
        <f t="shared" ref="F1461:F1494" si="91">E1461+F1398</f>
        <v>#REF!</v>
      </c>
      <c r="G1461" s="2"/>
      <c r="H1461" s="37">
        <v>10508</v>
      </c>
      <c r="I1461" s="4">
        <f>H1461*E1461</f>
        <v>0</v>
      </c>
      <c r="J1461" s="25">
        <f t="shared" si="89"/>
        <v>47</v>
      </c>
    </row>
    <row r="1462" spans="1:10" ht="34.799999999999997" customHeight="1">
      <c r="A1462" s="75">
        <v>2</v>
      </c>
      <c r="B1462" s="80" t="s">
        <v>92</v>
      </c>
      <c r="C1462" s="77" t="s">
        <v>48</v>
      </c>
      <c r="D1462" s="78">
        <v>1</v>
      </c>
      <c r="E1462" s="79"/>
      <c r="F1462" s="79" t="e">
        <f t="shared" si="91"/>
        <v>#REF!</v>
      </c>
      <c r="G1462" s="2"/>
      <c r="H1462" s="37">
        <v>13223</v>
      </c>
      <c r="I1462" s="4">
        <f>H1462*E1462</f>
        <v>0</v>
      </c>
      <c r="J1462" s="25">
        <f t="shared" si="89"/>
        <v>47</v>
      </c>
    </row>
    <row r="1463" spans="1:10" ht="53.4" customHeight="1">
      <c r="A1463" s="75">
        <v>3</v>
      </c>
      <c r="B1463" s="80" t="s">
        <v>93</v>
      </c>
      <c r="C1463" s="77" t="s">
        <v>48</v>
      </c>
      <c r="D1463" s="78">
        <v>1</v>
      </c>
      <c r="E1463" s="79"/>
      <c r="F1463" s="79" t="e">
        <f t="shared" si="91"/>
        <v>#REF!</v>
      </c>
      <c r="G1463" s="2"/>
      <c r="H1463" s="37">
        <v>310497</v>
      </c>
      <c r="I1463" s="4">
        <f t="shared" ref="I1463:I1494" si="92">H1463*E1463</f>
        <v>0</v>
      </c>
      <c r="J1463" s="25">
        <f t="shared" si="89"/>
        <v>47</v>
      </c>
    </row>
    <row r="1464" spans="1:10" ht="16.95" customHeight="1">
      <c r="A1464" s="75">
        <v>4</v>
      </c>
      <c r="B1464" s="80" t="s">
        <v>94</v>
      </c>
      <c r="C1464" s="77" t="s">
        <v>48</v>
      </c>
      <c r="D1464" s="78">
        <v>1</v>
      </c>
      <c r="E1464" s="79"/>
      <c r="F1464" s="79" t="e">
        <f t="shared" si="91"/>
        <v>#REF!</v>
      </c>
      <c r="G1464" s="2"/>
      <c r="H1464" s="37">
        <v>8375</v>
      </c>
      <c r="I1464" s="4">
        <f t="shared" si="92"/>
        <v>0</v>
      </c>
      <c r="J1464" s="25">
        <f t="shared" si="89"/>
        <v>47</v>
      </c>
    </row>
    <row r="1465" spans="1:10" ht="16.95" customHeight="1">
      <c r="A1465" s="75">
        <v>5</v>
      </c>
      <c r="B1465" s="80" t="s">
        <v>95</v>
      </c>
      <c r="C1465" s="77" t="s">
        <v>48</v>
      </c>
      <c r="D1465" s="78">
        <v>1</v>
      </c>
      <c r="E1465" s="79"/>
      <c r="F1465" s="79" t="e">
        <f t="shared" si="91"/>
        <v>#REF!</v>
      </c>
      <c r="G1465" s="2"/>
      <c r="H1465" s="37">
        <v>51618</v>
      </c>
      <c r="I1465" s="4">
        <f t="shared" si="92"/>
        <v>0</v>
      </c>
      <c r="J1465" s="25">
        <f t="shared" si="89"/>
        <v>47</v>
      </c>
    </row>
    <row r="1466" spans="1:10" ht="16.95" customHeight="1">
      <c r="A1466" s="75">
        <v>6</v>
      </c>
      <c r="B1466" s="80" t="s">
        <v>96</v>
      </c>
      <c r="C1466" s="77" t="s">
        <v>50</v>
      </c>
      <c r="D1466" s="78">
        <v>11.55</v>
      </c>
      <c r="E1466" s="79"/>
      <c r="F1466" s="79" t="e">
        <f t="shared" si="91"/>
        <v>#REF!</v>
      </c>
      <c r="G1466" s="2"/>
      <c r="H1466" s="37">
        <v>1188</v>
      </c>
      <c r="I1466" s="4">
        <f t="shared" si="92"/>
        <v>0</v>
      </c>
      <c r="J1466" s="25">
        <f t="shared" si="89"/>
        <v>47</v>
      </c>
    </row>
    <row r="1467" spans="1:10" ht="34.950000000000003" customHeight="1">
      <c r="A1467" s="75">
        <v>7</v>
      </c>
      <c r="B1467" s="80" t="s">
        <v>97</v>
      </c>
      <c r="C1467" s="77" t="s">
        <v>48</v>
      </c>
      <c r="D1467" s="78">
        <v>1</v>
      </c>
      <c r="E1467" s="79"/>
      <c r="F1467" s="79" t="e">
        <f t="shared" si="91"/>
        <v>#REF!</v>
      </c>
      <c r="G1467" s="2"/>
      <c r="H1467" s="37">
        <v>21157</v>
      </c>
      <c r="I1467" s="4">
        <f t="shared" si="92"/>
        <v>0</v>
      </c>
      <c r="J1467" s="25">
        <f t="shared" ref="J1467:J1530" si="93">J1404+2</f>
        <v>47</v>
      </c>
    </row>
    <row r="1468" spans="1:10" ht="16.95" customHeight="1">
      <c r="A1468" s="75">
        <v>8</v>
      </c>
      <c r="B1468" s="80" t="s">
        <v>98</v>
      </c>
      <c r="C1468" s="77" t="s">
        <v>50</v>
      </c>
      <c r="D1468" s="78">
        <v>387</v>
      </c>
      <c r="E1468" s="79"/>
      <c r="F1468" s="79" t="e">
        <f t="shared" si="91"/>
        <v>#REF!</v>
      </c>
      <c r="G1468" s="2"/>
      <c r="H1468" s="37">
        <v>705</v>
      </c>
      <c r="I1468" s="4">
        <f t="shared" si="92"/>
        <v>0</v>
      </c>
      <c r="J1468" s="25">
        <f t="shared" si="93"/>
        <v>47</v>
      </c>
    </row>
    <row r="1469" spans="1:10" ht="16.95" customHeight="1">
      <c r="A1469" s="75">
        <v>9</v>
      </c>
      <c r="B1469" s="80" t="s">
        <v>99</v>
      </c>
      <c r="C1469" s="77" t="s">
        <v>50</v>
      </c>
      <c r="D1469" s="78">
        <v>170</v>
      </c>
      <c r="E1469" s="79"/>
      <c r="F1469" s="79" t="e">
        <f t="shared" si="91"/>
        <v>#REF!</v>
      </c>
      <c r="G1469" s="2"/>
      <c r="H1469" s="37">
        <v>617</v>
      </c>
      <c r="I1469" s="4">
        <f t="shared" si="92"/>
        <v>0</v>
      </c>
      <c r="J1469" s="25">
        <f t="shared" si="93"/>
        <v>47</v>
      </c>
    </row>
    <row r="1470" spans="1:10" ht="16.95" customHeight="1">
      <c r="A1470" s="75">
        <v>10</v>
      </c>
      <c r="B1470" s="80" t="s">
        <v>100</v>
      </c>
      <c r="C1470" s="77" t="s">
        <v>66</v>
      </c>
      <c r="D1470" s="78">
        <v>15</v>
      </c>
      <c r="E1470" s="79"/>
      <c r="F1470" s="79" t="e">
        <f t="shared" si="91"/>
        <v>#REF!</v>
      </c>
      <c r="G1470" s="2"/>
      <c r="H1470" s="37">
        <v>617</v>
      </c>
      <c r="I1470" s="4">
        <f t="shared" si="92"/>
        <v>0</v>
      </c>
      <c r="J1470" s="25">
        <f t="shared" si="93"/>
        <v>47</v>
      </c>
    </row>
    <row r="1471" spans="1:10" ht="16.95" customHeight="1">
      <c r="A1471" s="75">
        <v>11</v>
      </c>
      <c r="B1471" s="80" t="s">
        <v>101</v>
      </c>
      <c r="C1471" s="77" t="s">
        <v>50</v>
      </c>
      <c r="D1471" s="78">
        <v>75</v>
      </c>
      <c r="E1471" s="79"/>
      <c r="F1471" s="79" t="e">
        <f t="shared" si="91"/>
        <v>#REF!</v>
      </c>
      <c r="G1471" s="2"/>
      <c r="H1471" s="37">
        <v>1146</v>
      </c>
      <c r="I1471" s="4">
        <f t="shared" si="92"/>
        <v>0</v>
      </c>
      <c r="J1471" s="25">
        <f t="shared" si="93"/>
        <v>47</v>
      </c>
    </row>
    <row r="1472" spans="1:10" ht="16.95" customHeight="1">
      <c r="A1472" s="75">
        <v>12</v>
      </c>
      <c r="B1472" s="80" t="s">
        <v>102</v>
      </c>
      <c r="C1472" s="77" t="s">
        <v>50</v>
      </c>
      <c r="D1472" s="78">
        <v>5</v>
      </c>
      <c r="E1472" s="79"/>
      <c r="F1472" s="79" t="e">
        <f t="shared" si="91"/>
        <v>#REF!</v>
      </c>
      <c r="G1472" s="2"/>
      <c r="H1472" s="37">
        <v>1455</v>
      </c>
      <c r="I1472" s="4">
        <f t="shared" si="92"/>
        <v>0</v>
      </c>
      <c r="J1472" s="25">
        <f t="shared" si="93"/>
        <v>47</v>
      </c>
    </row>
    <row r="1473" spans="1:10" ht="16.95" customHeight="1">
      <c r="A1473" s="75">
        <v>13</v>
      </c>
      <c r="B1473" s="80" t="s">
        <v>103</v>
      </c>
      <c r="C1473" s="77" t="s">
        <v>50</v>
      </c>
      <c r="D1473" s="78">
        <v>217</v>
      </c>
      <c r="E1473" s="79"/>
      <c r="F1473" s="79" t="e">
        <f t="shared" si="91"/>
        <v>#REF!</v>
      </c>
      <c r="G1473" s="2"/>
      <c r="H1473" s="37">
        <v>1410</v>
      </c>
      <c r="I1473" s="4">
        <f t="shared" si="92"/>
        <v>0</v>
      </c>
      <c r="J1473" s="25">
        <f t="shared" si="93"/>
        <v>47</v>
      </c>
    </row>
    <row r="1474" spans="1:10" ht="16.95" customHeight="1">
      <c r="A1474" s="75">
        <v>14</v>
      </c>
      <c r="B1474" s="80" t="s">
        <v>104</v>
      </c>
      <c r="C1474" s="77" t="s">
        <v>49</v>
      </c>
      <c r="D1474" s="78">
        <v>84</v>
      </c>
      <c r="E1474" s="79"/>
      <c r="F1474" s="79" t="e">
        <f t="shared" si="91"/>
        <v>#REF!</v>
      </c>
      <c r="G1474" s="2"/>
      <c r="H1474" s="37">
        <v>529</v>
      </c>
      <c r="I1474" s="4">
        <f t="shared" si="92"/>
        <v>0</v>
      </c>
      <c r="J1474" s="25">
        <f t="shared" si="93"/>
        <v>47</v>
      </c>
    </row>
    <row r="1475" spans="1:10" ht="16.95" customHeight="1">
      <c r="A1475" s="75">
        <v>15</v>
      </c>
      <c r="B1475" s="80" t="s">
        <v>105</v>
      </c>
      <c r="C1475" s="77" t="s">
        <v>50</v>
      </c>
      <c r="D1475" s="78">
        <v>1</v>
      </c>
      <c r="E1475" s="79"/>
      <c r="F1475" s="79" t="e">
        <f t="shared" si="91"/>
        <v>#REF!</v>
      </c>
      <c r="G1475" s="2"/>
      <c r="H1475" s="37">
        <v>1146</v>
      </c>
      <c r="I1475" s="4">
        <f t="shared" si="92"/>
        <v>0</v>
      </c>
      <c r="J1475" s="25">
        <f t="shared" si="93"/>
        <v>47</v>
      </c>
    </row>
    <row r="1476" spans="1:10" ht="34.799999999999997" customHeight="1">
      <c r="A1476" s="75">
        <v>16</v>
      </c>
      <c r="B1476" s="80" t="s">
        <v>106</v>
      </c>
      <c r="C1476" s="77" t="s">
        <v>50</v>
      </c>
      <c r="D1476" s="78">
        <v>314</v>
      </c>
      <c r="E1476" s="79"/>
      <c r="F1476" s="79" t="e">
        <f t="shared" si="91"/>
        <v>#REF!</v>
      </c>
      <c r="G1476" s="2"/>
      <c r="H1476" s="37">
        <v>185</v>
      </c>
      <c r="I1476" s="4">
        <f t="shared" si="92"/>
        <v>0</v>
      </c>
      <c r="J1476" s="25">
        <f t="shared" si="93"/>
        <v>47</v>
      </c>
    </row>
    <row r="1477" spans="1:10" ht="16.95" customHeight="1">
      <c r="A1477" s="75">
        <v>17</v>
      </c>
      <c r="B1477" s="80" t="s">
        <v>107</v>
      </c>
      <c r="C1477" s="77" t="s">
        <v>48</v>
      </c>
      <c r="D1477" s="78">
        <v>1</v>
      </c>
      <c r="E1477" s="79"/>
      <c r="F1477" s="79" t="e">
        <f t="shared" si="91"/>
        <v>#REF!</v>
      </c>
      <c r="G1477" s="2"/>
      <c r="H1477" s="37">
        <v>89918</v>
      </c>
      <c r="I1477" s="4">
        <f t="shared" si="92"/>
        <v>0</v>
      </c>
      <c r="J1477" s="25">
        <f t="shared" si="93"/>
        <v>47</v>
      </c>
    </row>
    <row r="1478" spans="1:10" ht="16.95" customHeight="1">
      <c r="A1478" s="75">
        <v>18</v>
      </c>
      <c r="B1478" s="80" t="s">
        <v>108</v>
      </c>
      <c r="C1478" s="77" t="s">
        <v>120</v>
      </c>
      <c r="D1478" s="78">
        <v>15</v>
      </c>
      <c r="E1478" s="79"/>
      <c r="F1478" s="79" t="e">
        <f t="shared" si="91"/>
        <v>#REF!</v>
      </c>
      <c r="G1478" s="2"/>
      <c r="H1478" s="37">
        <v>661</v>
      </c>
      <c r="I1478" s="4">
        <f t="shared" si="92"/>
        <v>0</v>
      </c>
      <c r="J1478" s="25">
        <f t="shared" si="93"/>
        <v>47</v>
      </c>
    </row>
    <row r="1479" spans="1:10" ht="16.95" customHeight="1">
      <c r="A1479" s="75">
        <v>19</v>
      </c>
      <c r="B1479" s="80" t="s">
        <v>109</v>
      </c>
      <c r="C1479" s="77" t="s">
        <v>50</v>
      </c>
      <c r="D1479" s="78">
        <v>82</v>
      </c>
      <c r="E1479" s="79"/>
      <c r="F1479" s="79" t="e">
        <f t="shared" si="91"/>
        <v>#REF!</v>
      </c>
      <c r="G1479" s="2"/>
      <c r="H1479" s="37">
        <v>2909</v>
      </c>
      <c r="I1479" s="4">
        <f t="shared" si="92"/>
        <v>0</v>
      </c>
      <c r="J1479" s="25">
        <f t="shared" si="93"/>
        <v>47</v>
      </c>
    </row>
    <row r="1480" spans="1:10" ht="16.95" customHeight="1">
      <c r="A1480" s="75">
        <v>20</v>
      </c>
      <c r="B1480" s="80" t="s">
        <v>110</v>
      </c>
      <c r="C1480" s="77" t="s">
        <v>121</v>
      </c>
      <c r="D1480" s="78">
        <v>12</v>
      </c>
      <c r="E1480" s="79"/>
      <c r="F1480" s="79" t="e">
        <f t="shared" si="91"/>
        <v>#REF!</v>
      </c>
      <c r="G1480" s="2"/>
      <c r="H1480" s="37">
        <v>882</v>
      </c>
      <c r="I1480" s="4">
        <f t="shared" si="92"/>
        <v>0</v>
      </c>
      <c r="J1480" s="25">
        <f t="shared" si="93"/>
        <v>47</v>
      </c>
    </row>
    <row r="1481" spans="1:10" ht="16.95" customHeight="1">
      <c r="A1481" s="77">
        <v>21</v>
      </c>
      <c r="B1481" s="80" t="s">
        <v>111</v>
      </c>
      <c r="C1481" s="77" t="s">
        <v>122</v>
      </c>
      <c r="D1481" s="78">
        <v>3</v>
      </c>
      <c r="E1481" s="79"/>
      <c r="F1481" s="79" t="e">
        <f t="shared" si="91"/>
        <v>#REF!</v>
      </c>
      <c r="G1481" s="2"/>
      <c r="H1481" s="38">
        <v>1869</v>
      </c>
      <c r="I1481" s="4">
        <f t="shared" si="92"/>
        <v>0</v>
      </c>
      <c r="J1481" s="25">
        <f t="shared" si="93"/>
        <v>47</v>
      </c>
    </row>
    <row r="1482" spans="1:10" ht="34.950000000000003" customHeight="1">
      <c r="A1482" s="75">
        <v>22</v>
      </c>
      <c r="B1482" s="80" t="s">
        <v>112</v>
      </c>
      <c r="C1482" s="77" t="s">
        <v>48</v>
      </c>
      <c r="D1482" s="78">
        <v>1</v>
      </c>
      <c r="E1482" s="79"/>
      <c r="F1482" s="79" t="e">
        <f t="shared" si="91"/>
        <v>#REF!</v>
      </c>
      <c r="G1482" s="2"/>
      <c r="H1482" s="37">
        <v>82206</v>
      </c>
      <c r="I1482" s="4">
        <f t="shared" si="92"/>
        <v>0</v>
      </c>
      <c r="J1482" s="25">
        <f t="shared" si="93"/>
        <v>47</v>
      </c>
    </row>
    <row r="1483" spans="1:10" ht="16.95" customHeight="1">
      <c r="A1483" s="75">
        <v>23</v>
      </c>
      <c r="B1483" s="80" t="s">
        <v>113</v>
      </c>
      <c r="C1483" s="77" t="s">
        <v>48</v>
      </c>
      <c r="D1483" s="78">
        <v>1</v>
      </c>
      <c r="E1483" s="79"/>
      <c r="F1483" s="79" t="e">
        <f t="shared" si="91"/>
        <v>#REF!</v>
      </c>
      <c r="G1483" s="2"/>
      <c r="H1483" s="37">
        <v>142723</v>
      </c>
      <c r="I1483" s="4">
        <f t="shared" si="92"/>
        <v>0</v>
      </c>
      <c r="J1483" s="25">
        <f t="shared" si="93"/>
        <v>47</v>
      </c>
    </row>
    <row r="1484" spans="1:10" ht="16.95" customHeight="1">
      <c r="A1484" s="75">
        <v>24</v>
      </c>
      <c r="B1484" s="80" t="s">
        <v>114</v>
      </c>
      <c r="C1484" s="77" t="s">
        <v>48</v>
      </c>
      <c r="D1484" s="78">
        <v>1</v>
      </c>
      <c r="E1484" s="79"/>
      <c r="F1484" s="79" t="e">
        <f t="shared" si="91"/>
        <v>#REF!</v>
      </c>
      <c r="G1484" s="2"/>
      <c r="H1484" s="37">
        <v>37290</v>
      </c>
      <c r="I1484" s="4">
        <f t="shared" si="92"/>
        <v>0</v>
      </c>
      <c r="J1484" s="25">
        <f t="shared" si="93"/>
        <v>47</v>
      </c>
    </row>
    <row r="1485" spans="1:10" ht="16.95" customHeight="1">
      <c r="A1485" s="75">
        <v>25</v>
      </c>
      <c r="B1485" s="80" t="s">
        <v>115</v>
      </c>
      <c r="C1485" s="77" t="s">
        <v>48</v>
      </c>
      <c r="D1485" s="78">
        <v>1</v>
      </c>
      <c r="E1485" s="79"/>
      <c r="F1485" s="79" t="e">
        <f t="shared" si="91"/>
        <v>#REF!</v>
      </c>
      <c r="G1485" s="2"/>
      <c r="H1485" s="37">
        <v>99394</v>
      </c>
      <c r="I1485" s="4">
        <f t="shared" si="92"/>
        <v>0</v>
      </c>
      <c r="J1485" s="25">
        <f t="shared" si="93"/>
        <v>47</v>
      </c>
    </row>
    <row r="1486" spans="1:10" ht="34.950000000000003" customHeight="1">
      <c r="A1486" s="75">
        <v>26</v>
      </c>
      <c r="B1486" s="80" t="s">
        <v>116</v>
      </c>
      <c r="C1486" s="77" t="s">
        <v>48</v>
      </c>
      <c r="D1486" s="78">
        <v>1</v>
      </c>
      <c r="E1486" s="79"/>
      <c r="F1486" s="79" t="e">
        <f t="shared" si="91"/>
        <v>#REF!</v>
      </c>
      <c r="G1486" s="2"/>
      <c r="H1486" s="37">
        <v>21334</v>
      </c>
      <c r="I1486" s="4">
        <f t="shared" si="92"/>
        <v>0</v>
      </c>
      <c r="J1486" s="25">
        <f t="shared" si="93"/>
        <v>47</v>
      </c>
    </row>
    <row r="1487" spans="1:10" ht="16.95" customHeight="1">
      <c r="A1487" s="75">
        <v>27</v>
      </c>
      <c r="B1487" s="80" t="s">
        <v>117</v>
      </c>
      <c r="C1487" s="77" t="s">
        <v>48</v>
      </c>
      <c r="D1487" s="78">
        <v>1</v>
      </c>
      <c r="E1487" s="79"/>
      <c r="F1487" s="79" t="e">
        <f t="shared" si="91"/>
        <v>#REF!</v>
      </c>
      <c r="G1487" s="2"/>
      <c r="H1487" s="37">
        <v>29620</v>
      </c>
      <c r="I1487" s="4">
        <f t="shared" si="92"/>
        <v>0</v>
      </c>
      <c r="J1487" s="25">
        <f t="shared" si="93"/>
        <v>47</v>
      </c>
    </row>
    <row r="1488" spans="1:10" ht="16.95" customHeight="1">
      <c r="A1488" s="75">
        <v>28</v>
      </c>
      <c r="B1488" s="80" t="s">
        <v>118</v>
      </c>
      <c r="C1488" s="77" t="s">
        <v>48</v>
      </c>
      <c r="D1488" s="78">
        <v>1</v>
      </c>
      <c r="E1488" s="79"/>
      <c r="F1488" s="79" t="e">
        <f t="shared" si="91"/>
        <v>#REF!</v>
      </c>
      <c r="G1488" s="2"/>
      <c r="H1488" s="37">
        <v>18506</v>
      </c>
      <c r="I1488" s="4">
        <f t="shared" si="92"/>
        <v>0</v>
      </c>
      <c r="J1488" s="25">
        <f t="shared" si="93"/>
        <v>47</v>
      </c>
    </row>
    <row r="1489" spans="1:10" ht="16.95" customHeight="1">
      <c r="A1489" s="75">
        <v>29</v>
      </c>
      <c r="B1489" s="80" t="s">
        <v>119</v>
      </c>
      <c r="C1489" s="77" t="s">
        <v>48</v>
      </c>
      <c r="D1489" s="78">
        <v>1</v>
      </c>
      <c r="E1489" s="79"/>
      <c r="F1489" s="79" t="e">
        <f t="shared" si="91"/>
        <v>#REF!</v>
      </c>
      <c r="G1489" s="2"/>
      <c r="H1489" s="37">
        <v>34381</v>
      </c>
      <c r="I1489" s="4">
        <f t="shared" si="92"/>
        <v>0</v>
      </c>
      <c r="J1489" s="25">
        <f t="shared" si="93"/>
        <v>47</v>
      </c>
    </row>
    <row r="1490" spans="1:10" ht="16.95" customHeight="1">
      <c r="A1490" s="75" t="s">
        <v>79</v>
      </c>
      <c r="B1490" s="80" t="s">
        <v>80</v>
      </c>
      <c r="C1490" s="77" t="s">
        <v>48</v>
      </c>
      <c r="D1490" s="78">
        <v>1</v>
      </c>
      <c r="E1490" s="79">
        <f t="shared" ref="E1490:E1493" si="94">1/120</f>
        <v>8.3333333333333332E-3</v>
      </c>
      <c r="F1490" s="79" t="e">
        <f t="shared" si="91"/>
        <v>#REF!</v>
      </c>
      <c r="G1490" s="2"/>
      <c r="H1490" s="37">
        <v>21395</v>
      </c>
      <c r="I1490" s="4">
        <f t="shared" si="92"/>
        <v>178.29166666666666</v>
      </c>
      <c r="J1490" s="25">
        <f t="shared" si="93"/>
        <v>47</v>
      </c>
    </row>
    <row r="1491" spans="1:10" ht="16.95" customHeight="1">
      <c r="A1491" s="75" t="s">
        <v>81</v>
      </c>
      <c r="B1491" s="80" t="s">
        <v>82</v>
      </c>
      <c r="C1491" s="77" t="s">
        <v>48</v>
      </c>
      <c r="D1491" s="78">
        <v>1</v>
      </c>
      <c r="E1491" s="79">
        <f t="shared" si="94"/>
        <v>8.3333333333333332E-3</v>
      </c>
      <c r="F1491" s="79" t="e">
        <f t="shared" si="91"/>
        <v>#REF!</v>
      </c>
      <c r="G1491" s="2"/>
      <c r="H1491" s="37">
        <v>21395</v>
      </c>
      <c r="I1491" s="4">
        <f t="shared" si="92"/>
        <v>178.29166666666666</v>
      </c>
      <c r="J1491" s="25">
        <f t="shared" si="93"/>
        <v>47</v>
      </c>
    </row>
    <row r="1492" spans="1:10" ht="16.95" customHeight="1">
      <c r="A1492" s="75" t="s">
        <v>83</v>
      </c>
      <c r="B1492" s="80" t="s">
        <v>84</v>
      </c>
      <c r="C1492" s="77" t="s">
        <v>48</v>
      </c>
      <c r="D1492" s="78">
        <v>1</v>
      </c>
      <c r="E1492" s="79">
        <f t="shared" si="94"/>
        <v>8.3333333333333332E-3</v>
      </c>
      <c r="F1492" s="79" t="e">
        <f t="shared" si="91"/>
        <v>#REF!</v>
      </c>
      <c r="G1492" s="2"/>
      <c r="H1492" s="37">
        <v>149765</v>
      </c>
      <c r="I1492" s="4">
        <f t="shared" si="92"/>
        <v>1248.0416666666667</v>
      </c>
      <c r="J1492" s="25">
        <f t="shared" si="93"/>
        <v>47</v>
      </c>
    </row>
    <row r="1493" spans="1:10" ht="16.95" customHeight="1">
      <c r="A1493" s="75" t="s">
        <v>85</v>
      </c>
      <c r="B1493" s="80" t="s">
        <v>86</v>
      </c>
      <c r="C1493" s="77" t="s">
        <v>48</v>
      </c>
      <c r="D1493" s="78">
        <v>1</v>
      </c>
      <c r="E1493" s="79">
        <f t="shared" si="94"/>
        <v>8.3333333333333332E-3</v>
      </c>
      <c r="F1493" s="79" t="e">
        <f t="shared" si="91"/>
        <v>#REF!</v>
      </c>
      <c r="G1493" s="2"/>
      <c r="H1493" s="37">
        <v>6996</v>
      </c>
      <c r="I1493" s="4">
        <f t="shared" si="92"/>
        <v>58.3</v>
      </c>
      <c r="J1493" s="25">
        <f t="shared" si="93"/>
        <v>47</v>
      </c>
    </row>
    <row r="1494" spans="1:10" ht="16.95" customHeight="1">
      <c r="A1494" s="75" t="s">
        <v>87</v>
      </c>
      <c r="B1494" s="80" t="s">
        <v>88</v>
      </c>
      <c r="C1494" s="77" t="s">
        <v>48</v>
      </c>
      <c r="D1494" s="78">
        <v>1</v>
      </c>
      <c r="E1494" s="79">
        <f>1/120</f>
        <v>8.3333333333333332E-3</v>
      </c>
      <c r="F1494" s="79" t="e">
        <f t="shared" si="91"/>
        <v>#REF!</v>
      </c>
      <c r="G1494" s="2"/>
      <c r="H1494" s="37">
        <v>116952</v>
      </c>
      <c r="I1494" s="4">
        <f t="shared" si="92"/>
        <v>974.6</v>
      </c>
      <c r="J1494" s="25">
        <f t="shared" si="93"/>
        <v>47</v>
      </c>
    </row>
    <row r="1495" spans="1:10" ht="16.95" customHeight="1">
      <c r="A1495" s="95" t="s">
        <v>23</v>
      </c>
      <c r="B1495" s="95"/>
      <c r="C1495" s="50"/>
      <c r="D1495" s="50"/>
      <c r="E1495" s="50"/>
      <c r="F1495" s="50"/>
      <c r="G1495" s="50"/>
      <c r="H1495" s="3" t="s">
        <v>24</v>
      </c>
      <c r="I1495" s="5">
        <f>SUM(I1460:I1494)</f>
        <v>2637.5250000000001</v>
      </c>
      <c r="J1495" s="25">
        <f t="shared" si="93"/>
        <v>47</v>
      </c>
    </row>
    <row r="1496" spans="1:10" ht="16.95" customHeight="1">
      <c r="A1496" s="96" t="s">
        <v>25</v>
      </c>
      <c r="B1496" s="96"/>
      <c r="C1496" s="50"/>
      <c r="D1496" s="50"/>
      <c r="E1496" s="50"/>
      <c r="F1496" s="50"/>
      <c r="G1496" s="50"/>
      <c r="J1496" s="25">
        <f t="shared" si="93"/>
        <v>47</v>
      </c>
    </row>
    <row r="1497" spans="1:10" ht="16.95" customHeight="1">
      <c r="A1497" s="96" t="s">
        <v>26</v>
      </c>
      <c r="B1497" s="96"/>
      <c r="C1497" s="50"/>
      <c r="D1497" s="50"/>
      <c r="E1497" s="50"/>
      <c r="F1497" s="50"/>
      <c r="G1497" s="50"/>
      <c r="J1497" s="25">
        <f t="shared" si="93"/>
        <v>47</v>
      </c>
    </row>
    <row r="1498" spans="1:10" ht="16.95" customHeight="1">
      <c r="A1498" s="95" t="s">
        <v>27</v>
      </c>
      <c r="B1498" s="95"/>
      <c r="C1498" s="95"/>
      <c r="D1498" s="95"/>
      <c r="E1498" s="95"/>
      <c r="F1498" s="95"/>
      <c r="G1498" s="95"/>
      <c r="J1498" s="25">
        <f t="shared" si="93"/>
        <v>47</v>
      </c>
    </row>
    <row r="1499" spans="1:10" ht="16.95" customHeight="1">
      <c r="A1499" s="94" t="s">
        <v>28</v>
      </c>
      <c r="B1499" s="94"/>
      <c r="C1499" s="51" t="s">
        <v>29</v>
      </c>
      <c r="D1499" s="51" t="s">
        <v>30</v>
      </c>
      <c r="E1499" s="51" t="s">
        <v>18</v>
      </c>
      <c r="F1499" s="51" t="s">
        <v>31</v>
      </c>
      <c r="G1499" s="51" t="s">
        <v>20</v>
      </c>
      <c r="J1499" s="25">
        <f t="shared" si="93"/>
        <v>47</v>
      </c>
    </row>
    <row r="1500" spans="1:10" ht="16.95" customHeight="1">
      <c r="A1500" s="96"/>
      <c r="B1500" s="96"/>
      <c r="C1500" s="50"/>
      <c r="D1500" s="50"/>
      <c r="E1500" s="50"/>
      <c r="F1500" s="50"/>
      <c r="G1500" s="51"/>
      <c r="J1500" s="25">
        <f t="shared" si="93"/>
        <v>47</v>
      </c>
    </row>
    <row r="1501" spans="1:10" ht="16.95" customHeight="1">
      <c r="A1501" s="97"/>
      <c r="B1501" s="97"/>
      <c r="C1501" s="50"/>
      <c r="D1501" s="50"/>
      <c r="E1501" s="50"/>
      <c r="F1501" s="51"/>
      <c r="G1501" s="51"/>
      <c r="J1501" s="25">
        <f t="shared" si="93"/>
        <v>47</v>
      </c>
    </row>
    <row r="1502" spans="1:10" ht="16.95" customHeight="1">
      <c r="A1502" s="95" t="s">
        <v>32</v>
      </c>
      <c r="B1502" s="95"/>
      <c r="C1502" s="95"/>
      <c r="D1502" s="95"/>
      <c r="E1502" s="95"/>
      <c r="F1502" s="95"/>
      <c r="G1502" s="95"/>
      <c r="J1502" s="25">
        <f t="shared" si="93"/>
        <v>48</v>
      </c>
    </row>
    <row r="1503" spans="1:10" ht="16.95" customHeight="1">
      <c r="A1503" s="51" t="s">
        <v>33</v>
      </c>
      <c r="B1503" s="51" t="s">
        <v>34</v>
      </c>
      <c r="C1503" s="94" t="s">
        <v>35</v>
      </c>
      <c r="D1503" s="94"/>
      <c r="E1503" s="51" t="s">
        <v>36</v>
      </c>
      <c r="F1503" s="51" t="s">
        <v>37</v>
      </c>
      <c r="G1503" s="51" t="s">
        <v>38</v>
      </c>
      <c r="J1503" s="25">
        <f t="shared" si="93"/>
        <v>48</v>
      </c>
    </row>
    <row r="1504" spans="1:10" ht="16.95" customHeight="1">
      <c r="A1504" s="51" t="s">
        <v>39</v>
      </c>
      <c r="B1504" s="6"/>
      <c r="C1504" s="94" t="e">
        <f>B1504+C1441</f>
        <v>#REF!</v>
      </c>
      <c r="D1504" s="94"/>
      <c r="E1504" s="51"/>
      <c r="F1504" s="24"/>
      <c r="G1504" s="24"/>
      <c r="J1504" s="25">
        <f t="shared" si="93"/>
        <v>48</v>
      </c>
    </row>
    <row r="1505" spans="1:10" ht="16.95" customHeight="1">
      <c r="A1505" s="51" t="s">
        <v>40</v>
      </c>
      <c r="B1505" s="6"/>
      <c r="C1505" s="94" t="e">
        <f>B1505+C1442</f>
        <v>#REF!</v>
      </c>
      <c r="D1505" s="94"/>
      <c r="E1505" s="51"/>
      <c r="F1505" s="24"/>
      <c r="G1505" s="24"/>
      <c r="J1505" s="25">
        <f t="shared" si="93"/>
        <v>48</v>
      </c>
    </row>
    <row r="1506" spans="1:10" ht="36.6" customHeight="1">
      <c r="A1506" s="95" t="s">
        <v>41</v>
      </c>
      <c r="B1506" s="95"/>
      <c r="C1506" s="95"/>
      <c r="D1506" s="95"/>
      <c r="E1506" s="95"/>
      <c r="F1506" s="95"/>
      <c r="G1506" s="95"/>
      <c r="J1506" s="25">
        <f t="shared" si="93"/>
        <v>48</v>
      </c>
    </row>
    <row r="1507" spans="1:10" ht="90" customHeight="1">
      <c r="A1507" s="92" t="s">
        <v>42</v>
      </c>
      <c r="B1507" s="92"/>
      <c r="C1507" s="92"/>
      <c r="D1507" s="92"/>
      <c r="E1507" s="92"/>
      <c r="F1507" s="92"/>
      <c r="G1507" s="92"/>
      <c r="J1507" s="25">
        <f t="shared" si="93"/>
        <v>48</v>
      </c>
    </row>
    <row r="1508" spans="1:10" ht="16.95" customHeight="1">
      <c r="A1508" s="95" t="s">
        <v>43</v>
      </c>
      <c r="B1508" s="95"/>
      <c r="C1508" s="95"/>
      <c r="D1508" s="95"/>
      <c r="E1508" s="95"/>
      <c r="F1508" s="95"/>
      <c r="G1508" s="95"/>
      <c r="J1508" s="25">
        <f t="shared" si="93"/>
        <v>48</v>
      </c>
    </row>
    <row r="1509" spans="1:10" ht="16.95" customHeight="1">
      <c r="A1509" s="95" t="s">
        <v>44</v>
      </c>
      <c r="B1509" s="95"/>
      <c r="C1509" s="95"/>
      <c r="D1509" s="95"/>
      <c r="E1509" s="95"/>
      <c r="F1509" s="95"/>
      <c r="G1509" s="95"/>
      <c r="J1509" s="25">
        <f t="shared" si="93"/>
        <v>48</v>
      </c>
    </row>
    <row r="1510" spans="1:10" ht="16.95" customHeight="1">
      <c r="A1510" s="91" t="s">
        <v>64</v>
      </c>
      <c r="B1510" s="91"/>
      <c r="C1510" s="91"/>
      <c r="D1510" s="91"/>
      <c r="E1510" s="91"/>
      <c r="F1510" s="91"/>
      <c r="G1510" s="91"/>
      <c r="J1510" s="25">
        <f t="shared" si="93"/>
        <v>48</v>
      </c>
    </row>
    <row r="1511" spans="1:10" ht="120.6" customHeight="1">
      <c r="A1511" s="92" t="s">
        <v>45</v>
      </c>
      <c r="B1511" s="92"/>
      <c r="C1511" s="92"/>
      <c r="D1511" s="92"/>
      <c r="E1511" s="92"/>
      <c r="F1511" s="92"/>
      <c r="G1511" s="92"/>
      <c r="J1511" s="25">
        <f t="shared" si="93"/>
        <v>48</v>
      </c>
    </row>
    <row r="1512" spans="1:10" ht="140.4" customHeight="1">
      <c r="A1512" s="93" t="s">
        <v>46</v>
      </c>
      <c r="B1512" s="93"/>
      <c r="C1512" s="93"/>
      <c r="D1512" s="93"/>
      <c r="E1512" s="93"/>
      <c r="F1512" s="93"/>
      <c r="G1512" s="93"/>
      <c r="J1512" s="25">
        <f t="shared" si="93"/>
        <v>48</v>
      </c>
    </row>
    <row r="1513" spans="1:10" ht="37.200000000000003" customHeight="1">
      <c r="A1513" s="103" t="s">
        <v>0</v>
      </c>
      <c r="B1513" s="103"/>
      <c r="C1513" s="103"/>
      <c r="D1513" s="103"/>
      <c r="E1513" s="103"/>
      <c r="F1513" s="103"/>
      <c r="G1513" s="103"/>
      <c r="J1513" s="25">
        <f t="shared" si="93"/>
        <v>49</v>
      </c>
    </row>
    <row r="1514" spans="1:10" ht="16.95" customHeight="1">
      <c r="A1514" s="1" t="s">
        <v>1</v>
      </c>
      <c r="B1514" s="104">
        <f>B1451+1</f>
        <v>26</v>
      </c>
      <c r="C1514" s="104"/>
      <c r="D1514" s="104"/>
      <c r="E1514" s="104"/>
      <c r="F1514" s="104"/>
      <c r="G1514" s="104"/>
      <c r="J1514" s="25">
        <f t="shared" si="93"/>
        <v>49</v>
      </c>
    </row>
    <row r="1515" spans="1:10" ht="16.95" customHeight="1">
      <c r="A1515" s="1" t="s">
        <v>2</v>
      </c>
      <c r="B1515" s="105" t="s">
        <v>63</v>
      </c>
      <c r="C1515" s="105"/>
      <c r="D1515" s="105"/>
      <c r="E1515" s="106">
        <f>E1452+1</f>
        <v>46228</v>
      </c>
      <c r="F1515" s="106"/>
      <c r="G1515" s="106"/>
      <c r="J1515" s="25">
        <f t="shared" si="93"/>
        <v>49</v>
      </c>
    </row>
    <row r="1516" spans="1:10" ht="16.95" customHeight="1">
      <c r="A1516" s="53" t="s">
        <v>3</v>
      </c>
      <c r="B1516" s="2" t="s">
        <v>67</v>
      </c>
      <c r="C1516" s="98" t="s">
        <v>4</v>
      </c>
      <c r="D1516" s="98"/>
      <c r="E1516" s="98" t="s">
        <v>47</v>
      </c>
      <c r="F1516" s="98"/>
      <c r="G1516" s="98"/>
      <c r="J1516" s="25">
        <f t="shared" si="93"/>
        <v>49</v>
      </c>
    </row>
    <row r="1517" spans="1:10" ht="16.95" customHeight="1">
      <c r="A1517" s="53" t="s">
        <v>5</v>
      </c>
      <c r="B1517" s="54">
        <v>120</v>
      </c>
      <c r="C1517" s="98" t="s">
        <v>6</v>
      </c>
      <c r="D1517" s="98"/>
      <c r="E1517" s="98" t="s">
        <v>123</v>
      </c>
      <c r="F1517" s="98"/>
      <c r="G1517" s="98"/>
      <c r="J1517" s="25">
        <f t="shared" si="93"/>
        <v>49</v>
      </c>
    </row>
    <row r="1518" spans="1:10" ht="16.95" customHeight="1">
      <c r="A1518" s="53" t="s">
        <v>7</v>
      </c>
      <c r="B1518" s="54">
        <f>B1514</f>
        <v>26</v>
      </c>
      <c r="C1518" s="100" t="s">
        <v>8</v>
      </c>
      <c r="D1518" s="100"/>
      <c r="E1518" s="101">
        <f>B1517-B1518</f>
        <v>94</v>
      </c>
      <c r="F1518" s="101"/>
      <c r="G1518" s="101"/>
      <c r="J1518" s="25">
        <f t="shared" si="93"/>
        <v>49</v>
      </c>
    </row>
    <row r="1519" spans="1:10" ht="16.95" customHeight="1">
      <c r="A1519" s="53" t="s">
        <v>9</v>
      </c>
      <c r="B1519" s="55">
        <v>46204</v>
      </c>
      <c r="C1519" s="98" t="s">
        <v>10</v>
      </c>
      <c r="D1519" s="98"/>
      <c r="E1519" s="102">
        <f>B1519+B1517-1</f>
        <v>46323</v>
      </c>
      <c r="F1519" s="102"/>
      <c r="G1519" s="102"/>
      <c r="J1519" s="25">
        <f t="shared" si="93"/>
        <v>49</v>
      </c>
    </row>
    <row r="1520" spans="1:10" ht="16.95" customHeight="1">
      <c r="A1520" s="53" t="s">
        <v>11</v>
      </c>
      <c r="B1520" s="56" t="e">
        <f>HLOOKUP(B1514,進度表!$Q$2:$Z$3,2,1)+B1457</f>
        <v>#REF!</v>
      </c>
      <c r="C1520" s="98" t="s">
        <v>12</v>
      </c>
      <c r="D1520" s="98"/>
      <c r="E1520" s="99" t="e">
        <f>I1558/I1520+E1457</f>
        <v>#REF!</v>
      </c>
      <c r="F1520" s="99"/>
      <c r="G1520" s="99"/>
      <c r="H1520" s="3" t="s">
        <v>62</v>
      </c>
      <c r="I1520" s="1">
        <v>2456000</v>
      </c>
      <c r="J1520" s="25">
        <f t="shared" si="93"/>
        <v>49</v>
      </c>
    </row>
    <row r="1521" spans="1:10" ht="16.95" customHeight="1">
      <c r="A1521" s="98" t="s">
        <v>13</v>
      </c>
      <c r="B1521" s="98"/>
      <c r="C1521" s="98"/>
      <c r="D1521" s="98"/>
      <c r="E1521" s="98"/>
      <c r="F1521" s="98"/>
      <c r="G1521" s="98"/>
      <c r="J1521" s="25">
        <f t="shared" si="93"/>
        <v>49</v>
      </c>
    </row>
    <row r="1522" spans="1:10" ht="16.95" customHeight="1">
      <c r="A1522" s="52" t="s">
        <v>14</v>
      </c>
      <c r="B1522" s="52" t="s">
        <v>15</v>
      </c>
      <c r="C1522" s="52" t="s">
        <v>16</v>
      </c>
      <c r="D1522" s="52" t="s">
        <v>17</v>
      </c>
      <c r="E1522" s="52" t="s">
        <v>18</v>
      </c>
      <c r="F1522" s="52" t="s">
        <v>19</v>
      </c>
      <c r="G1522" s="52" t="s">
        <v>20</v>
      </c>
      <c r="H1522" s="3" t="s">
        <v>21</v>
      </c>
      <c r="I1522" s="3" t="s">
        <v>22</v>
      </c>
      <c r="J1522" s="25">
        <f t="shared" si="93"/>
        <v>49</v>
      </c>
    </row>
    <row r="1523" spans="1:10" ht="16.95" customHeight="1">
      <c r="A1523" s="75" t="s">
        <v>65</v>
      </c>
      <c r="B1523" s="76" t="s">
        <v>69</v>
      </c>
      <c r="C1523" s="77"/>
      <c r="D1523" s="78"/>
      <c r="E1523" s="79"/>
      <c r="F1523" s="79"/>
      <c r="G1523" s="2"/>
      <c r="H1523" s="37"/>
      <c r="I1523" s="4"/>
      <c r="J1523" s="25">
        <f t="shared" si="93"/>
        <v>49</v>
      </c>
    </row>
    <row r="1524" spans="1:10" ht="34.950000000000003" customHeight="1">
      <c r="A1524" s="75">
        <v>1</v>
      </c>
      <c r="B1524" s="80" t="s">
        <v>91</v>
      </c>
      <c r="C1524" s="77" t="s">
        <v>48</v>
      </c>
      <c r="D1524" s="78">
        <v>1</v>
      </c>
      <c r="E1524" s="79"/>
      <c r="F1524" s="79" t="e">
        <f t="shared" ref="F1524:F1557" si="95">E1524+F1461</f>
        <v>#REF!</v>
      </c>
      <c r="G1524" s="2"/>
      <c r="H1524" s="37">
        <v>10508</v>
      </c>
      <c r="I1524" s="4">
        <f>H1524*E1524</f>
        <v>0</v>
      </c>
      <c r="J1524" s="25">
        <f t="shared" si="93"/>
        <v>49</v>
      </c>
    </row>
    <row r="1525" spans="1:10" ht="34.799999999999997" customHeight="1">
      <c r="A1525" s="75">
        <v>2</v>
      </c>
      <c r="B1525" s="80" t="s">
        <v>92</v>
      </c>
      <c r="C1525" s="77" t="s">
        <v>48</v>
      </c>
      <c r="D1525" s="78">
        <v>1</v>
      </c>
      <c r="E1525" s="79"/>
      <c r="F1525" s="79" t="e">
        <f t="shared" si="95"/>
        <v>#REF!</v>
      </c>
      <c r="G1525" s="2"/>
      <c r="H1525" s="37">
        <v>13223</v>
      </c>
      <c r="I1525" s="4">
        <f>H1525*E1525</f>
        <v>0</v>
      </c>
      <c r="J1525" s="25">
        <f t="shared" si="93"/>
        <v>49</v>
      </c>
    </row>
    <row r="1526" spans="1:10" ht="53.4" customHeight="1">
      <c r="A1526" s="75">
        <v>3</v>
      </c>
      <c r="B1526" s="80" t="s">
        <v>93</v>
      </c>
      <c r="C1526" s="77" t="s">
        <v>48</v>
      </c>
      <c r="D1526" s="78">
        <v>1</v>
      </c>
      <c r="E1526" s="79"/>
      <c r="F1526" s="79" t="e">
        <f t="shared" si="95"/>
        <v>#REF!</v>
      </c>
      <c r="G1526" s="2"/>
      <c r="H1526" s="37">
        <v>310497</v>
      </c>
      <c r="I1526" s="4">
        <f t="shared" ref="I1526:I1557" si="96">H1526*E1526</f>
        <v>0</v>
      </c>
      <c r="J1526" s="25">
        <f t="shared" si="93"/>
        <v>49</v>
      </c>
    </row>
    <row r="1527" spans="1:10" ht="16.95" customHeight="1">
      <c r="A1527" s="75">
        <v>4</v>
      </c>
      <c r="B1527" s="80" t="s">
        <v>94</v>
      </c>
      <c r="C1527" s="77" t="s">
        <v>48</v>
      </c>
      <c r="D1527" s="78">
        <v>1</v>
      </c>
      <c r="E1527" s="79"/>
      <c r="F1527" s="79" t="e">
        <f t="shared" si="95"/>
        <v>#REF!</v>
      </c>
      <c r="G1527" s="2"/>
      <c r="H1527" s="37">
        <v>8375</v>
      </c>
      <c r="I1527" s="4">
        <f t="shared" si="96"/>
        <v>0</v>
      </c>
      <c r="J1527" s="25">
        <f t="shared" si="93"/>
        <v>49</v>
      </c>
    </row>
    <row r="1528" spans="1:10" ht="16.95" customHeight="1">
      <c r="A1528" s="75">
        <v>5</v>
      </c>
      <c r="B1528" s="80" t="s">
        <v>95</v>
      </c>
      <c r="C1528" s="77" t="s">
        <v>48</v>
      </c>
      <c r="D1528" s="78">
        <v>1</v>
      </c>
      <c r="E1528" s="79"/>
      <c r="F1528" s="79" t="e">
        <f t="shared" si="95"/>
        <v>#REF!</v>
      </c>
      <c r="G1528" s="2"/>
      <c r="H1528" s="37">
        <v>51618</v>
      </c>
      <c r="I1528" s="4">
        <f t="shared" si="96"/>
        <v>0</v>
      </c>
      <c r="J1528" s="25">
        <f t="shared" si="93"/>
        <v>49</v>
      </c>
    </row>
    <row r="1529" spans="1:10" ht="16.95" customHeight="1">
      <c r="A1529" s="75">
        <v>6</v>
      </c>
      <c r="B1529" s="80" t="s">
        <v>96</v>
      </c>
      <c r="C1529" s="77" t="s">
        <v>50</v>
      </c>
      <c r="D1529" s="78">
        <v>11.55</v>
      </c>
      <c r="E1529" s="79"/>
      <c r="F1529" s="79" t="e">
        <f t="shared" si="95"/>
        <v>#REF!</v>
      </c>
      <c r="G1529" s="2"/>
      <c r="H1529" s="37">
        <v>1188</v>
      </c>
      <c r="I1529" s="4">
        <f t="shared" si="96"/>
        <v>0</v>
      </c>
      <c r="J1529" s="25">
        <f t="shared" si="93"/>
        <v>49</v>
      </c>
    </row>
    <row r="1530" spans="1:10" ht="34.950000000000003" customHeight="1">
      <c r="A1530" s="75">
        <v>7</v>
      </c>
      <c r="B1530" s="80" t="s">
        <v>97</v>
      </c>
      <c r="C1530" s="77" t="s">
        <v>48</v>
      </c>
      <c r="D1530" s="78">
        <v>1</v>
      </c>
      <c r="E1530" s="79"/>
      <c r="F1530" s="79" t="e">
        <f t="shared" si="95"/>
        <v>#REF!</v>
      </c>
      <c r="G1530" s="2"/>
      <c r="H1530" s="37">
        <v>21157</v>
      </c>
      <c r="I1530" s="4">
        <f t="shared" si="96"/>
        <v>0</v>
      </c>
      <c r="J1530" s="25">
        <f t="shared" si="93"/>
        <v>49</v>
      </c>
    </row>
    <row r="1531" spans="1:10" ht="16.95" customHeight="1">
      <c r="A1531" s="75">
        <v>8</v>
      </c>
      <c r="B1531" s="80" t="s">
        <v>98</v>
      </c>
      <c r="C1531" s="77" t="s">
        <v>50</v>
      </c>
      <c r="D1531" s="78">
        <v>387</v>
      </c>
      <c r="E1531" s="79"/>
      <c r="F1531" s="79" t="e">
        <f t="shared" si="95"/>
        <v>#REF!</v>
      </c>
      <c r="G1531" s="2"/>
      <c r="H1531" s="37">
        <v>705</v>
      </c>
      <c r="I1531" s="4">
        <f t="shared" si="96"/>
        <v>0</v>
      </c>
      <c r="J1531" s="25">
        <f t="shared" ref="J1531:J1594" si="97">J1468+2</f>
        <v>49</v>
      </c>
    </row>
    <row r="1532" spans="1:10" ht="16.95" customHeight="1">
      <c r="A1532" s="75">
        <v>9</v>
      </c>
      <c r="B1532" s="80" t="s">
        <v>99</v>
      </c>
      <c r="C1532" s="77" t="s">
        <v>50</v>
      </c>
      <c r="D1532" s="78">
        <v>170</v>
      </c>
      <c r="E1532" s="79"/>
      <c r="F1532" s="79" t="e">
        <f t="shared" si="95"/>
        <v>#REF!</v>
      </c>
      <c r="G1532" s="2"/>
      <c r="H1532" s="37">
        <v>617</v>
      </c>
      <c r="I1532" s="4">
        <f t="shared" si="96"/>
        <v>0</v>
      </c>
      <c r="J1532" s="25">
        <f t="shared" si="97"/>
        <v>49</v>
      </c>
    </row>
    <row r="1533" spans="1:10" ht="16.95" customHeight="1">
      <c r="A1533" s="75">
        <v>10</v>
      </c>
      <c r="B1533" s="80" t="s">
        <v>100</v>
      </c>
      <c r="C1533" s="77" t="s">
        <v>66</v>
      </c>
      <c r="D1533" s="78">
        <v>15</v>
      </c>
      <c r="E1533" s="79"/>
      <c r="F1533" s="79" t="e">
        <f t="shared" si="95"/>
        <v>#REF!</v>
      </c>
      <c r="G1533" s="2"/>
      <c r="H1533" s="37">
        <v>617</v>
      </c>
      <c r="I1533" s="4">
        <f t="shared" si="96"/>
        <v>0</v>
      </c>
      <c r="J1533" s="25">
        <f t="shared" si="97"/>
        <v>49</v>
      </c>
    </row>
    <row r="1534" spans="1:10" ht="16.95" customHeight="1">
      <c r="A1534" s="75">
        <v>11</v>
      </c>
      <c r="B1534" s="80" t="s">
        <v>101</v>
      </c>
      <c r="C1534" s="77" t="s">
        <v>50</v>
      </c>
      <c r="D1534" s="78">
        <v>75</v>
      </c>
      <c r="E1534" s="79"/>
      <c r="F1534" s="79" t="e">
        <f t="shared" si="95"/>
        <v>#REF!</v>
      </c>
      <c r="G1534" s="2"/>
      <c r="H1534" s="37">
        <v>1146</v>
      </c>
      <c r="I1534" s="4">
        <f t="shared" si="96"/>
        <v>0</v>
      </c>
      <c r="J1534" s="25">
        <f t="shared" si="97"/>
        <v>49</v>
      </c>
    </row>
    <row r="1535" spans="1:10" ht="16.95" customHeight="1">
      <c r="A1535" s="75">
        <v>12</v>
      </c>
      <c r="B1535" s="80" t="s">
        <v>102</v>
      </c>
      <c r="C1535" s="77" t="s">
        <v>50</v>
      </c>
      <c r="D1535" s="78">
        <v>5</v>
      </c>
      <c r="E1535" s="79"/>
      <c r="F1535" s="79" t="e">
        <f t="shared" si="95"/>
        <v>#REF!</v>
      </c>
      <c r="G1535" s="2"/>
      <c r="H1535" s="37">
        <v>1455</v>
      </c>
      <c r="I1535" s="4">
        <f t="shared" si="96"/>
        <v>0</v>
      </c>
      <c r="J1535" s="25">
        <f t="shared" si="97"/>
        <v>49</v>
      </c>
    </row>
    <row r="1536" spans="1:10" ht="16.95" customHeight="1">
      <c r="A1536" s="75">
        <v>13</v>
      </c>
      <c r="B1536" s="80" t="s">
        <v>103</v>
      </c>
      <c r="C1536" s="77" t="s">
        <v>50</v>
      </c>
      <c r="D1536" s="78">
        <v>217</v>
      </c>
      <c r="E1536" s="79"/>
      <c r="F1536" s="79" t="e">
        <f t="shared" si="95"/>
        <v>#REF!</v>
      </c>
      <c r="G1536" s="2"/>
      <c r="H1536" s="37">
        <v>1410</v>
      </c>
      <c r="I1536" s="4">
        <f t="shared" si="96"/>
        <v>0</v>
      </c>
      <c r="J1536" s="25">
        <f t="shared" si="97"/>
        <v>49</v>
      </c>
    </row>
    <row r="1537" spans="1:10" ht="16.95" customHeight="1">
      <c r="A1537" s="75">
        <v>14</v>
      </c>
      <c r="B1537" s="80" t="s">
        <v>104</v>
      </c>
      <c r="C1537" s="77" t="s">
        <v>49</v>
      </c>
      <c r="D1537" s="78">
        <v>84</v>
      </c>
      <c r="E1537" s="79"/>
      <c r="F1537" s="79" t="e">
        <f t="shared" si="95"/>
        <v>#REF!</v>
      </c>
      <c r="G1537" s="2"/>
      <c r="H1537" s="37">
        <v>529</v>
      </c>
      <c r="I1537" s="4">
        <f t="shared" si="96"/>
        <v>0</v>
      </c>
      <c r="J1537" s="25">
        <f t="shared" si="97"/>
        <v>49</v>
      </c>
    </row>
    <row r="1538" spans="1:10" ht="16.95" customHeight="1">
      <c r="A1538" s="75">
        <v>15</v>
      </c>
      <c r="B1538" s="80" t="s">
        <v>105</v>
      </c>
      <c r="C1538" s="77" t="s">
        <v>50</v>
      </c>
      <c r="D1538" s="78">
        <v>1</v>
      </c>
      <c r="E1538" s="79"/>
      <c r="F1538" s="79" t="e">
        <f t="shared" si="95"/>
        <v>#REF!</v>
      </c>
      <c r="G1538" s="2"/>
      <c r="H1538" s="37">
        <v>1146</v>
      </c>
      <c r="I1538" s="4">
        <f t="shared" si="96"/>
        <v>0</v>
      </c>
      <c r="J1538" s="25">
        <f t="shared" si="97"/>
        <v>49</v>
      </c>
    </row>
    <row r="1539" spans="1:10" ht="34.799999999999997" customHeight="1">
      <c r="A1539" s="75">
        <v>16</v>
      </c>
      <c r="B1539" s="80" t="s">
        <v>106</v>
      </c>
      <c r="C1539" s="77" t="s">
        <v>50</v>
      </c>
      <c r="D1539" s="78">
        <v>314</v>
      </c>
      <c r="E1539" s="79"/>
      <c r="F1539" s="79" t="e">
        <f t="shared" si="95"/>
        <v>#REF!</v>
      </c>
      <c r="G1539" s="2"/>
      <c r="H1539" s="37">
        <v>185</v>
      </c>
      <c r="I1539" s="4">
        <f t="shared" si="96"/>
        <v>0</v>
      </c>
      <c r="J1539" s="25">
        <f t="shared" si="97"/>
        <v>49</v>
      </c>
    </row>
    <row r="1540" spans="1:10" ht="16.95" customHeight="1">
      <c r="A1540" s="75">
        <v>17</v>
      </c>
      <c r="B1540" s="80" t="s">
        <v>107</v>
      </c>
      <c r="C1540" s="77" t="s">
        <v>48</v>
      </c>
      <c r="D1540" s="78">
        <v>1</v>
      </c>
      <c r="E1540" s="79"/>
      <c r="F1540" s="79" t="e">
        <f t="shared" si="95"/>
        <v>#REF!</v>
      </c>
      <c r="G1540" s="2"/>
      <c r="H1540" s="37">
        <v>89918</v>
      </c>
      <c r="I1540" s="4">
        <f t="shared" si="96"/>
        <v>0</v>
      </c>
      <c r="J1540" s="25">
        <f t="shared" si="97"/>
        <v>49</v>
      </c>
    </row>
    <row r="1541" spans="1:10" ht="16.95" customHeight="1">
      <c r="A1541" s="75">
        <v>18</v>
      </c>
      <c r="B1541" s="80" t="s">
        <v>108</v>
      </c>
      <c r="C1541" s="77" t="s">
        <v>120</v>
      </c>
      <c r="D1541" s="78">
        <v>15</v>
      </c>
      <c r="E1541" s="79"/>
      <c r="F1541" s="79" t="e">
        <f t="shared" si="95"/>
        <v>#REF!</v>
      </c>
      <c r="G1541" s="2"/>
      <c r="H1541" s="37">
        <v>661</v>
      </c>
      <c r="I1541" s="4">
        <f t="shared" si="96"/>
        <v>0</v>
      </c>
      <c r="J1541" s="25">
        <f t="shared" si="97"/>
        <v>49</v>
      </c>
    </row>
    <row r="1542" spans="1:10" ht="16.95" customHeight="1">
      <c r="A1542" s="75">
        <v>19</v>
      </c>
      <c r="B1542" s="80" t="s">
        <v>109</v>
      </c>
      <c r="C1542" s="77" t="s">
        <v>50</v>
      </c>
      <c r="D1542" s="78">
        <v>82</v>
      </c>
      <c r="E1542" s="79"/>
      <c r="F1542" s="79" t="e">
        <f t="shared" si="95"/>
        <v>#REF!</v>
      </c>
      <c r="G1542" s="2"/>
      <c r="H1542" s="37">
        <v>2909</v>
      </c>
      <c r="I1542" s="4">
        <f t="shared" si="96"/>
        <v>0</v>
      </c>
      <c r="J1542" s="25">
        <f t="shared" si="97"/>
        <v>49</v>
      </c>
    </row>
    <row r="1543" spans="1:10" ht="16.95" customHeight="1">
      <c r="A1543" s="75">
        <v>20</v>
      </c>
      <c r="B1543" s="80" t="s">
        <v>110</v>
      </c>
      <c r="C1543" s="77" t="s">
        <v>121</v>
      </c>
      <c r="D1543" s="78">
        <v>12</v>
      </c>
      <c r="E1543" s="79"/>
      <c r="F1543" s="79" t="e">
        <f t="shared" si="95"/>
        <v>#REF!</v>
      </c>
      <c r="G1543" s="2"/>
      <c r="H1543" s="37">
        <v>882</v>
      </c>
      <c r="I1543" s="4">
        <f t="shared" si="96"/>
        <v>0</v>
      </c>
      <c r="J1543" s="25">
        <f t="shared" si="97"/>
        <v>49</v>
      </c>
    </row>
    <row r="1544" spans="1:10" ht="16.95" customHeight="1">
      <c r="A1544" s="77">
        <v>21</v>
      </c>
      <c r="B1544" s="80" t="s">
        <v>111</v>
      </c>
      <c r="C1544" s="77" t="s">
        <v>122</v>
      </c>
      <c r="D1544" s="78">
        <v>3</v>
      </c>
      <c r="E1544" s="79"/>
      <c r="F1544" s="79" t="e">
        <f t="shared" si="95"/>
        <v>#REF!</v>
      </c>
      <c r="G1544" s="2"/>
      <c r="H1544" s="38">
        <v>1869</v>
      </c>
      <c r="I1544" s="4">
        <f t="shared" si="96"/>
        <v>0</v>
      </c>
      <c r="J1544" s="25">
        <f t="shared" si="97"/>
        <v>49</v>
      </c>
    </row>
    <row r="1545" spans="1:10" ht="34.950000000000003" customHeight="1">
      <c r="A1545" s="75">
        <v>22</v>
      </c>
      <c r="B1545" s="80" t="s">
        <v>112</v>
      </c>
      <c r="C1545" s="77" t="s">
        <v>48</v>
      </c>
      <c r="D1545" s="78">
        <v>1</v>
      </c>
      <c r="E1545" s="79"/>
      <c r="F1545" s="79" t="e">
        <f t="shared" si="95"/>
        <v>#REF!</v>
      </c>
      <c r="G1545" s="2"/>
      <c r="H1545" s="37">
        <v>82206</v>
      </c>
      <c r="I1545" s="4">
        <f t="shared" si="96"/>
        <v>0</v>
      </c>
      <c r="J1545" s="25">
        <f t="shared" si="97"/>
        <v>49</v>
      </c>
    </row>
    <row r="1546" spans="1:10" ht="16.95" customHeight="1">
      <c r="A1546" s="75">
        <v>23</v>
      </c>
      <c r="B1546" s="80" t="s">
        <v>113</v>
      </c>
      <c r="C1546" s="77" t="s">
        <v>48</v>
      </c>
      <c r="D1546" s="78">
        <v>1</v>
      </c>
      <c r="E1546" s="79"/>
      <c r="F1546" s="79" t="e">
        <f t="shared" si="95"/>
        <v>#REF!</v>
      </c>
      <c r="G1546" s="2"/>
      <c r="H1546" s="37">
        <v>142723</v>
      </c>
      <c r="I1546" s="4">
        <f t="shared" si="96"/>
        <v>0</v>
      </c>
      <c r="J1546" s="25">
        <f t="shared" si="97"/>
        <v>49</v>
      </c>
    </row>
    <row r="1547" spans="1:10" ht="16.95" customHeight="1">
      <c r="A1547" s="75">
        <v>24</v>
      </c>
      <c r="B1547" s="80" t="s">
        <v>114</v>
      </c>
      <c r="C1547" s="77" t="s">
        <v>48</v>
      </c>
      <c r="D1547" s="78">
        <v>1</v>
      </c>
      <c r="E1547" s="79"/>
      <c r="F1547" s="79" t="e">
        <f t="shared" si="95"/>
        <v>#REF!</v>
      </c>
      <c r="G1547" s="2"/>
      <c r="H1547" s="37">
        <v>37290</v>
      </c>
      <c r="I1547" s="4">
        <f t="shared" si="96"/>
        <v>0</v>
      </c>
      <c r="J1547" s="25">
        <f t="shared" si="97"/>
        <v>49</v>
      </c>
    </row>
    <row r="1548" spans="1:10" ht="16.95" customHeight="1">
      <c r="A1548" s="75">
        <v>25</v>
      </c>
      <c r="B1548" s="80" t="s">
        <v>115</v>
      </c>
      <c r="C1548" s="77" t="s">
        <v>48</v>
      </c>
      <c r="D1548" s="78">
        <v>1</v>
      </c>
      <c r="E1548" s="79"/>
      <c r="F1548" s="79" t="e">
        <f t="shared" si="95"/>
        <v>#REF!</v>
      </c>
      <c r="G1548" s="2"/>
      <c r="H1548" s="37">
        <v>99394</v>
      </c>
      <c r="I1548" s="4">
        <f t="shared" si="96"/>
        <v>0</v>
      </c>
      <c r="J1548" s="25">
        <f t="shared" si="97"/>
        <v>49</v>
      </c>
    </row>
    <row r="1549" spans="1:10" ht="34.950000000000003" customHeight="1">
      <c r="A1549" s="75">
        <v>26</v>
      </c>
      <c r="B1549" s="80" t="s">
        <v>116</v>
      </c>
      <c r="C1549" s="77" t="s">
        <v>48</v>
      </c>
      <c r="D1549" s="78">
        <v>1</v>
      </c>
      <c r="E1549" s="79"/>
      <c r="F1549" s="79" t="e">
        <f t="shared" si="95"/>
        <v>#REF!</v>
      </c>
      <c r="G1549" s="2"/>
      <c r="H1549" s="37">
        <v>21334</v>
      </c>
      <c r="I1549" s="4">
        <f t="shared" si="96"/>
        <v>0</v>
      </c>
      <c r="J1549" s="25">
        <f t="shared" si="97"/>
        <v>49</v>
      </c>
    </row>
    <row r="1550" spans="1:10" ht="16.95" customHeight="1">
      <c r="A1550" s="75">
        <v>27</v>
      </c>
      <c r="B1550" s="80" t="s">
        <v>117</v>
      </c>
      <c r="C1550" s="77" t="s">
        <v>48</v>
      </c>
      <c r="D1550" s="78">
        <v>1</v>
      </c>
      <c r="E1550" s="79"/>
      <c r="F1550" s="79" t="e">
        <f t="shared" si="95"/>
        <v>#REF!</v>
      </c>
      <c r="G1550" s="2"/>
      <c r="H1550" s="37">
        <v>29620</v>
      </c>
      <c r="I1550" s="4">
        <f t="shared" si="96"/>
        <v>0</v>
      </c>
      <c r="J1550" s="25">
        <f t="shared" si="97"/>
        <v>49</v>
      </c>
    </row>
    <row r="1551" spans="1:10" ht="16.95" customHeight="1">
      <c r="A1551" s="75">
        <v>28</v>
      </c>
      <c r="B1551" s="80" t="s">
        <v>118</v>
      </c>
      <c r="C1551" s="77" t="s">
        <v>48</v>
      </c>
      <c r="D1551" s="78">
        <v>1</v>
      </c>
      <c r="E1551" s="79"/>
      <c r="F1551" s="79" t="e">
        <f t="shared" si="95"/>
        <v>#REF!</v>
      </c>
      <c r="G1551" s="2"/>
      <c r="H1551" s="37">
        <v>18506</v>
      </c>
      <c r="I1551" s="4">
        <f t="shared" si="96"/>
        <v>0</v>
      </c>
      <c r="J1551" s="25">
        <f t="shared" si="97"/>
        <v>49</v>
      </c>
    </row>
    <row r="1552" spans="1:10" ht="16.95" customHeight="1">
      <c r="A1552" s="75">
        <v>29</v>
      </c>
      <c r="B1552" s="80" t="s">
        <v>119</v>
      </c>
      <c r="C1552" s="77" t="s">
        <v>48</v>
      </c>
      <c r="D1552" s="78">
        <v>1</v>
      </c>
      <c r="E1552" s="79"/>
      <c r="F1552" s="79" t="e">
        <f t="shared" si="95"/>
        <v>#REF!</v>
      </c>
      <c r="G1552" s="2"/>
      <c r="H1552" s="37">
        <v>34381</v>
      </c>
      <c r="I1552" s="4">
        <f t="shared" si="96"/>
        <v>0</v>
      </c>
      <c r="J1552" s="25">
        <f t="shared" si="97"/>
        <v>49</v>
      </c>
    </row>
    <row r="1553" spans="1:10" ht="16.95" customHeight="1">
      <c r="A1553" s="75" t="s">
        <v>79</v>
      </c>
      <c r="B1553" s="80" t="s">
        <v>80</v>
      </c>
      <c r="C1553" s="77" t="s">
        <v>48</v>
      </c>
      <c r="D1553" s="78">
        <v>1</v>
      </c>
      <c r="E1553" s="79">
        <f t="shared" ref="E1553:E1556" si="98">1/120</f>
        <v>8.3333333333333332E-3</v>
      </c>
      <c r="F1553" s="79" t="e">
        <f t="shared" si="95"/>
        <v>#REF!</v>
      </c>
      <c r="G1553" s="2"/>
      <c r="H1553" s="37">
        <v>21395</v>
      </c>
      <c r="I1553" s="4">
        <f t="shared" si="96"/>
        <v>178.29166666666666</v>
      </c>
      <c r="J1553" s="25">
        <f t="shared" si="97"/>
        <v>49</v>
      </c>
    </row>
    <row r="1554" spans="1:10" ht="16.95" customHeight="1">
      <c r="A1554" s="75" t="s">
        <v>81</v>
      </c>
      <c r="B1554" s="80" t="s">
        <v>82</v>
      </c>
      <c r="C1554" s="77" t="s">
        <v>48</v>
      </c>
      <c r="D1554" s="78">
        <v>1</v>
      </c>
      <c r="E1554" s="79">
        <f t="shared" si="98"/>
        <v>8.3333333333333332E-3</v>
      </c>
      <c r="F1554" s="79" t="e">
        <f t="shared" si="95"/>
        <v>#REF!</v>
      </c>
      <c r="G1554" s="2"/>
      <c r="H1554" s="37">
        <v>21395</v>
      </c>
      <c r="I1554" s="4">
        <f t="shared" si="96"/>
        <v>178.29166666666666</v>
      </c>
      <c r="J1554" s="25">
        <f t="shared" si="97"/>
        <v>49</v>
      </c>
    </row>
    <row r="1555" spans="1:10" ht="16.95" customHeight="1">
      <c r="A1555" s="75" t="s">
        <v>83</v>
      </c>
      <c r="B1555" s="80" t="s">
        <v>84</v>
      </c>
      <c r="C1555" s="77" t="s">
        <v>48</v>
      </c>
      <c r="D1555" s="78">
        <v>1</v>
      </c>
      <c r="E1555" s="79">
        <f t="shared" si="98"/>
        <v>8.3333333333333332E-3</v>
      </c>
      <c r="F1555" s="79" t="e">
        <f t="shared" si="95"/>
        <v>#REF!</v>
      </c>
      <c r="G1555" s="2"/>
      <c r="H1555" s="37">
        <v>149765</v>
      </c>
      <c r="I1555" s="4">
        <f t="shared" si="96"/>
        <v>1248.0416666666667</v>
      </c>
      <c r="J1555" s="25">
        <f t="shared" si="97"/>
        <v>49</v>
      </c>
    </row>
    <row r="1556" spans="1:10" ht="16.95" customHeight="1">
      <c r="A1556" s="75" t="s">
        <v>85</v>
      </c>
      <c r="B1556" s="80" t="s">
        <v>86</v>
      </c>
      <c r="C1556" s="77" t="s">
        <v>48</v>
      </c>
      <c r="D1556" s="78">
        <v>1</v>
      </c>
      <c r="E1556" s="79">
        <f t="shared" si="98"/>
        <v>8.3333333333333332E-3</v>
      </c>
      <c r="F1556" s="79" t="e">
        <f t="shared" si="95"/>
        <v>#REF!</v>
      </c>
      <c r="G1556" s="2"/>
      <c r="H1556" s="37">
        <v>6996</v>
      </c>
      <c r="I1556" s="4">
        <f t="shared" si="96"/>
        <v>58.3</v>
      </c>
      <c r="J1556" s="25">
        <f t="shared" si="97"/>
        <v>49</v>
      </c>
    </row>
    <row r="1557" spans="1:10" ht="16.95" customHeight="1">
      <c r="A1557" s="75" t="s">
        <v>87</v>
      </c>
      <c r="B1557" s="80" t="s">
        <v>88</v>
      </c>
      <c r="C1557" s="77" t="s">
        <v>48</v>
      </c>
      <c r="D1557" s="78">
        <v>1</v>
      </c>
      <c r="E1557" s="79">
        <f>1/120</f>
        <v>8.3333333333333332E-3</v>
      </c>
      <c r="F1557" s="79" t="e">
        <f t="shared" si="95"/>
        <v>#REF!</v>
      </c>
      <c r="G1557" s="2"/>
      <c r="H1557" s="37">
        <v>116952</v>
      </c>
      <c r="I1557" s="4">
        <f t="shared" si="96"/>
        <v>974.6</v>
      </c>
      <c r="J1557" s="25">
        <f t="shared" si="97"/>
        <v>49</v>
      </c>
    </row>
    <row r="1558" spans="1:10" ht="16.95" customHeight="1">
      <c r="A1558" s="95" t="s">
        <v>23</v>
      </c>
      <c r="B1558" s="95"/>
      <c r="C1558" s="50"/>
      <c r="D1558" s="50"/>
      <c r="E1558" s="50"/>
      <c r="F1558" s="50"/>
      <c r="G1558" s="50"/>
      <c r="H1558" s="3" t="s">
        <v>24</v>
      </c>
      <c r="I1558" s="5">
        <f>SUM(I1523:I1557)</f>
        <v>2637.5250000000001</v>
      </c>
      <c r="J1558" s="25">
        <f t="shared" si="97"/>
        <v>49</v>
      </c>
    </row>
    <row r="1559" spans="1:10" ht="16.95" customHeight="1">
      <c r="A1559" s="96" t="s">
        <v>25</v>
      </c>
      <c r="B1559" s="96"/>
      <c r="C1559" s="50"/>
      <c r="D1559" s="50"/>
      <c r="E1559" s="50"/>
      <c r="F1559" s="50"/>
      <c r="G1559" s="50"/>
      <c r="J1559" s="25">
        <f t="shared" si="97"/>
        <v>49</v>
      </c>
    </row>
    <row r="1560" spans="1:10" ht="16.95" customHeight="1">
      <c r="A1560" s="96" t="s">
        <v>26</v>
      </c>
      <c r="B1560" s="96"/>
      <c r="C1560" s="50"/>
      <c r="D1560" s="50"/>
      <c r="E1560" s="50"/>
      <c r="F1560" s="50"/>
      <c r="G1560" s="50"/>
      <c r="J1560" s="25">
        <f t="shared" si="97"/>
        <v>49</v>
      </c>
    </row>
    <row r="1561" spans="1:10" ht="16.95" customHeight="1">
      <c r="A1561" s="95" t="s">
        <v>27</v>
      </c>
      <c r="B1561" s="95"/>
      <c r="C1561" s="95"/>
      <c r="D1561" s="95"/>
      <c r="E1561" s="95"/>
      <c r="F1561" s="95"/>
      <c r="G1561" s="95"/>
      <c r="J1561" s="25">
        <f t="shared" si="97"/>
        <v>49</v>
      </c>
    </row>
    <row r="1562" spans="1:10" ht="16.95" customHeight="1">
      <c r="A1562" s="94" t="s">
        <v>28</v>
      </c>
      <c r="B1562" s="94"/>
      <c r="C1562" s="51" t="s">
        <v>29</v>
      </c>
      <c r="D1562" s="51" t="s">
        <v>30</v>
      </c>
      <c r="E1562" s="51" t="s">
        <v>18</v>
      </c>
      <c r="F1562" s="51" t="s">
        <v>31</v>
      </c>
      <c r="G1562" s="51" t="s">
        <v>20</v>
      </c>
      <c r="J1562" s="25">
        <f t="shared" si="97"/>
        <v>49</v>
      </c>
    </row>
    <row r="1563" spans="1:10" ht="16.95" customHeight="1">
      <c r="A1563" s="96"/>
      <c r="B1563" s="96"/>
      <c r="C1563" s="50"/>
      <c r="D1563" s="50"/>
      <c r="E1563" s="50"/>
      <c r="F1563" s="50"/>
      <c r="G1563" s="51"/>
      <c r="J1563" s="25">
        <f t="shared" si="97"/>
        <v>49</v>
      </c>
    </row>
    <row r="1564" spans="1:10" ht="16.95" customHeight="1">
      <c r="A1564" s="97"/>
      <c r="B1564" s="97"/>
      <c r="C1564" s="50"/>
      <c r="D1564" s="50"/>
      <c r="E1564" s="50"/>
      <c r="F1564" s="51"/>
      <c r="G1564" s="51"/>
      <c r="J1564" s="25">
        <f t="shared" si="97"/>
        <v>49</v>
      </c>
    </row>
    <row r="1565" spans="1:10" ht="16.95" customHeight="1">
      <c r="A1565" s="95" t="s">
        <v>32</v>
      </c>
      <c r="B1565" s="95"/>
      <c r="C1565" s="95"/>
      <c r="D1565" s="95"/>
      <c r="E1565" s="95"/>
      <c r="F1565" s="95"/>
      <c r="G1565" s="95"/>
      <c r="J1565" s="25">
        <f t="shared" si="97"/>
        <v>50</v>
      </c>
    </row>
    <row r="1566" spans="1:10" ht="16.95" customHeight="1">
      <c r="A1566" s="51" t="s">
        <v>33</v>
      </c>
      <c r="B1566" s="51" t="s">
        <v>34</v>
      </c>
      <c r="C1566" s="94" t="s">
        <v>35</v>
      </c>
      <c r="D1566" s="94"/>
      <c r="E1566" s="51" t="s">
        <v>36</v>
      </c>
      <c r="F1566" s="51" t="s">
        <v>37</v>
      </c>
      <c r="G1566" s="51" t="s">
        <v>38</v>
      </c>
      <c r="J1566" s="25">
        <f t="shared" si="97"/>
        <v>50</v>
      </c>
    </row>
    <row r="1567" spans="1:10" ht="16.95" customHeight="1">
      <c r="A1567" s="51" t="s">
        <v>39</v>
      </c>
      <c r="B1567" s="6"/>
      <c r="C1567" s="94" t="e">
        <f>B1567+C1504</f>
        <v>#REF!</v>
      </c>
      <c r="D1567" s="94"/>
      <c r="E1567" s="51"/>
      <c r="F1567" s="24"/>
      <c r="G1567" s="24"/>
      <c r="J1567" s="25">
        <f t="shared" si="97"/>
        <v>50</v>
      </c>
    </row>
    <row r="1568" spans="1:10" ht="16.95" customHeight="1">
      <c r="A1568" s="51" t="s">
        <v>40</v>
      </c>
      <c r="B1568" s="6"/>
      <c r="C1568" s="94" t="e">
        <f>B1568+C1505</f>
        <v>#REF!</v>
      </c>
      <c r="D1568" s="94"/>
      <c r="E1568" s="51"/>
      <c r="F1568" s="24"/>
      <c r="G1568" s="24"/>
      <c r="J1568" s="25">
        <f t="shared" si="97"/>
        <v>50</v>
      </c>
    </row>
    <row r="1569" spans="1:10" ht="36.6" customHeight="1">
      <c r="A1569" s="95" t="s">
        <v>41</v>
      </c>
      <c r="B1569" s="95"/>
      <c r="C1569" s="95"/>
      <c r="D1569" s="95"/>
      <c r="E1569" s="95"/>
      <c r="F1569" s="95"/>
      <c r="G1569" s="95"/>
      <c r="J1569" s="25">
        <f t="shared" si="97"/>
        <v>50</v>
      </c>
    </row>
    <row r="1570" spans="1:10" ht="90" customHeight="1">
      <c r="A1570" s="92" t="s">
        <v>42</v>
      </c>
      <c r="B1570" s="92"/>
      <c r="C1570" s="92"/>
      <c r="D1570" s="92"/>
      <c r="E1570" s="92"/>
      <c r="F1570" s="92"/>
      <c r="G1570" s="92"/>
      <c r="J1570" s="25">
        <f t="shared" si="97"/>
        <v>50</v>
      </c>
    </row>
    <row r="1571" spans="1:10" ht="16.95" customHeight="1">
      <c r="A1571" s="95" t="s">
        <v>43</v>
      </c>
      <c r="B1571" s="95"/>
      <c r="C1571" s="95"/>
      <c r="D1571" s="95"/>
      <c r="E1571" s="95"/>
      <c r="F1571" s="95"/>
      <c r="G1571" s="95"/>
      <c r="J1571" s="25">
        <f t="shared" si="97"/>
        <v>50</v>
      </c>
    </row>
    <row r="1572" spans="1:10" ht="16.95" customHeight="1">
      <c r="A1572" s="95" t="s">
        <v>44</v>
      </c>
      <c r="B1572" s="95"/>
      <c r="C1572" s="95"/>
      <c r="D1572" s="95"/>
      <c r="E1572" s="95"/>
      <c r="F1572" s="95"/>
      <c r="G1572" s="95"/>
      <c r="J1572" s="25">
        <f t="shared" si="97"/>
        <v>50</v>
      </c>
    </row>
    <row r="1573" spans="1:10" ht="16.95" customHeight="1">
      <c r="A1573" s="91" t="s">
        <v>64</v>
      </c>
      <c r="B1573" s="91"/>
      <c r="C1573" s="91"/>
      <c r="D1573" s="91"/>
      <c r="E1573" s="91"/>
      <c r="F1573" s="91"/>
      <c r="G1573" s="91"/>
      <c r="J1573" s="25">
        <f t="shared" si="97"/>
        <v>50</v>
      </c>
    </row>
    <row r="1574" spans="1:10" ht="120.6" customHeight="1">
      <c r="A1574" s="92" t="s">
        <v>45</v>
      </c>
      <c r="B1574" s="92"/>
      <c r="C1574" s="92"/>
      <c r="D1574" s="92"/>
      <c r="E1574" s="92"/>
      <c r="F1574" s="92"/>
      <c r="G1574" s="92"/>
      <c r="J1574" s="25">
        <f t="shared" si="97"/>
        <v>50</v>
      </c>
    </row>
    <row r="1575" spans="1:10" ht="140.4" customHeight="1">
      <c r="A1575" s="93" t="s">
        <v>46</v>
      </c>
      <c r="B1575" s="93"/>
      <c r="C1575" s="93"/>
      <c r="D1575" s="93"/>
      <c r="E1575" s="93"/>
      <c r="F1575" s="93"/>
      <c r="G1575" s="93"/>
      <c r="J1575" s="25">
        <f t="shared" si="97"/>
        <v>50</v>
      </c>
    </row>
    <row r="1576" spans="1:10" ht="37.200000000000003" customHeight="1">
      <c r="A1576" s="103" t="s">
        <v>0</v>
      </c>
      <c r="B1576" s="103"/>
      <c r="C1576" s="103"/>
      <c r="D1576" s="103"/>
      <c r="E1576" s="103"/>
      <c r="F1576" s="103"/>
      <c r="G1576" s="103"/>
      <c r="J1576" s="25">
        <f t="shared" si="97"/>
        <v>51</v>
      </c>
    </row>
    <row r="1577" spans="1:10" ht="16.95" customHeight="1">
      <c r="A1577" s="1" t="s">
        <v>1</v>
      </c>
      <c r="B1577" s="104">
        <f>B1514+1</f>
        <v>27</v>
      </c>
      <c r="C1577" s="104"/>
      <c r="D1577" s="104"/>
      <c r="E1577" s="104"/>
      <c r="F1577" s="104"/>
      <c r="G1577" s="104"/>
      <c r="J1577" s="25">
        <f t="shared" si="97"/>
        <v>51</v>
      </c>
    </row>
    <row r="1578" spans="1:10" ht="16.95" customHeight="1">
      <c r="A1578" s="1" t="s">
        <v>2</v>
      </c>
      <c r="B1578" s="105" t="s">
        <v>63</v>
      </c>
      <c r="C1578" s="105"/>
      <c r="D1578" s="105"/>
      <c r="E1578" s="106">
        <f>E1515+1</f>
        <v>46229</v>
      </c>
      <c r="F1578" s="106"/>
      <c r="G1578" s="106"/>
      <c r="J1578" s="25">
        <f t="shared" si="97"/>
        <v>51</v>
      </c>
    </row>
    <row r="1579" spans="1:10" ht="16.95" customHeight="1">
      <c r="A1579" s="53" t="s">
        <v>3</v>
      </c>
      <c r="B1579" s="2" t="s">
        <v>67</v>
      </c>
      <c r="C1579" s="98" t="s">
        <v>4</v>
      </c>
      <c r="D1579" s="98"/>
      <c r="E1579" s="98" t="s">
        <v>47</v>
      </c>
      <c r="F1579" s="98"/>
      <c r="G1579" s="98"/>
      <c r="J1579" s="25">
        <f t="shared" si="97"/>
        <v>51</v>
      </c>
    </row>
    <row r="1580" spans="1:10" ht="16.95" customHeight="1">
      <c r="A1580" s="53" t="s">
        <v>5</v>
      </c>
      <c r="B1580" s="54">
        <v>120</v>
      </c>
      <c r="C1580" s="98" t="s">
        <v>6</v>
      </c>
      <c r="D1580" s="98"/>
      <c r="E1580" s="98" t="s">
        <v>123</v>
      </c>
      <c r="F1580" s="98"/>
      <c r="G1580" s="98"/>
      <c r="J1580" s="25">
        <f t="shared" si="97"/>
        <v>51</v>
      </c>
    </row>
    <row r="1581" spans="1:10" ht="16.95" customHeight="1">
      <c r="A1581" s="53" t="s">
        <v>7</v>
      </c>
      <c r="B1581" s="54">
        <f>B1577</f>
        <v>27</v>
      </c>
      <c r="C1581" s="100" t="s">
        <v>8</v>
      </c>
      <c r="D1581" s="100"/>
      <c r="E1581" s="101">
        <f>B1580-B1581</f>
        <v>93</v>
      </c>
      <c r="F1581" s="101"/>
      <c r="G1581" s="101"/>
      <c r="J1581" s="25">
        <f t="shared" si="97"/>
        <v>51</v>
      </c>
    </row>
    <row r="1582" spans="1:10" ht="16.95" customHeight="1">
      <c r="A1582" s="53" t="s">
        <v>9</v>
      </c>
      <c r="B1582" s="55">
        <v>46204</v>
      </c>
      <c r="C1582" s="98" t="s">
        <v>10</v>
      </c>
      <c r="D1582" s="98"/>
      <c r="E1582" s="102">
        <f>B1582+B1580-1</f>
        <v>46323</v>
      </c>
      <c r="F1582" s="102"/>
      <c r="G1582" s="102"/>
      <c r="J1582" s="25">
        <f t="shared" si="97"/>
        <v>51</v>
      </c>
    </row>
    <row r="1583" spans="1:10" ht="16.95" customHeight="1">
      <c r="A1583" s="53" t="s">
        <v>11</v>
      </c>
      <c r="B1583" s="56" t="e">
        <f>HLOOKUP(B1577,進度表!$Q$2:$Z$3,2,1)+B1520</f>
        <v>#REF!</v>
      </c>
      <c r="C1583" s="98" t="s">
        <v>12</v>
      </c>
      <c r="D1583" s="98"/>
      <c r="E1583" s="99" t="e">
        <f>I1621/I1583+E1520</f>
        <v>#REF!</v>
      </c>
      <c r="F1583" s="99"/>
      <c r="G1583" s="99"/>
      <c r="H1583" s="3" t="s">
        <v>62</v>
      </c>
      <c r="I1583" s="1">
        <v>2456000</v>
      </c>
      <c r="J1583" s="25">
        <f t="shared" si="97"/>
        <v>51</v>
      </c>
    </row>
    <row r="1584" spans="1:10" ht="16.95" customHeight="1">
      <c r="A1584" s="98" t="s">
        <v>13</v>
      </c>
      <c r="B1584" s="98"/>
      <c r="C1584" s="98"/>
      <c r="D1584" s="98"/>
      <c r="E1584" s="98"/>
      <c r="F1584" s="98"/>
      <c r="G1584" s="98"/>
      <c r="J1584" s="25">
        <f t="shared" si="97"/>
        <v>51</v>
      </c>
    </row>
    <row r="1585" spans="1:10" ht="16.95" customHeight="1">
      <c r="A1585" s="52" t="s">
        <v>14</v>
      </c>
      <c r="B1585" s="52" t="s">
        <v>15</v>
      </c>
      <c r="C1585" s="52" t="s">
        <v>16</v>
      </c>
      <c r="D1585" s="52" t="s">
        <v>17</v>
      </c>
      <c r="E1585" s="52" t="s">
        <v>18</v>
      </c>
      <c r="F1585" s="52" t="s">
        <v>19</v>
      </c>
      <c r="G1585" s="52" t="s">
        <v>20</v>
      </c>
      <c r="H1585" s="3" t="s">
        <v>21</v>
      </c>
      <c r="I1585" s="3" t="s">
        <v>22</v>
      </c>
      <c r="J1585" s="25">
        <f t="shared" si="97"/>
        <v>51</v>
      </c>
    </row>
    <row r="1586" spans="1:10" ht="16.95" customHeight="1">
      <c r="A1586" s="75" t="s">
        <v>65</v>
      </c>
      <c r="B1586" s="76" t="s">
        <v>69</v>
      </c>
      <c r="C1586" s="77"/>
      <c r="D1586" s="78"/>
      <c r="E1586" s="79"/>
      <c r="F1586" s="79"/>
      <c r="G1586" s="2"/>
      <c r="H1586" s="37"/>
      <c r="I1586" s="4"/>
      <c r="J1586" s="25">
        <f t="shared" si="97"/>
        <v>51</v>
      </c>
    </row>
    <row r="1587" spans="1:10" ht="34.950000000000003" customHeight="1">
      <c r="A1587" s="75">
        <v>1</v>
      </c>
      <c r="B1587" s="80" t="s">
        <v>91</v>
      </c>
      <c r="C1587" s="77" t="s">
        <v>48</v>
      </c>
      <c r="D1587" s="78">
        <v>1</v>
      </c>
      <c r="E1587" s="79"/>
      <c r="F1587" s="79" t="e">
        <f t="shared" ref="F1587:F1620" si="99">E1587+F1524</f>
        <v>#REF!</v>
      </c>
      <c r="G1587" s="2"/>
      <c r="H1587" s="37">
        <v>10508</v>
      </c>
      <c r="I1587" s="4">
        <f>H1587*E1587</f>
        <v>0</v>
      </c>
      <c r="J1587" s="25">
        <f t="shared" si="97"/>
        <v>51</v>
      </c>
    </row>
    <row r="1588" spans="1:10" ht="34.799999999999997" customHeight="1">
      <c r="A1588" s="75">
        <v>2</v>
      </c>
      <c r="B1588" s="80" t="s">
        <v>92</v>
      </c>
      <c r="C1588" s="77" t="s">
        <v>48</v>
      </c>
      <c r="D1588" s="78">
        <v>1</v>
      </c>
      <c r="E1588" s="79"/>
      <c r="F1588" s="79" t="e">
        <f t="shared" si="99"/>
        <v>#REF!</v>
      </c>
      <c r="G1588" s="2"/>
      <c r="H1588" s="37">
        <v>13223</v>
      </c>
      <c r="I1588" s="4">
        <f>H1588*E1588</f>
        <v>0</v>
      </c>
      <c r="J1588" s="25">
        <f t="shared" si="97"/>
        <v>51</v>
      </c>
    </row>
    <row r="1589" spans="1:10" ht="53.4" customHeight="1">
      <c r="A1589" s="75">
        <v>3</v>
      </c>
      <c r="B1589" s="80" t="s">
        <v>93</v>
      </c>
      <c r="C1589" s="77" t="s">
        <v>48</v>
      </c>
      <c r="D1589" s="78">
        <v>1</v>
      </c>
      <c r="E1589" s="79"/>
      <c r="F1589" s="79" t="e">
        <f t="shared" si="99"/>
        <v>#REF!</v>
      </c>
      <c r="G1589" s="2"/>
      <c r="H1589" s="37">
        <v>310497</v>
      </c>
      <c r="I1589" s="4">
        <f t="shared" ref="I1589:I1620" si="100">H1589*E1589</f>
        <v>0</v>
      </c>
      <c r="J1589" s="25">
        <f t="shared" si="97"/>
        <v>51</v>
      </c>
    </row>
    <row r="1590" spans="1:10" ht="16.95" customHeight="1">
      <c r="A1590" s="75">
        <v>4</v>
      </c>
      <c r="B1590" s="80" t="s">
        <v>94</v>
      </c>
      <c r="C1590" s="77" t="s">
        <v>48</v>
      </c>
      <c r="D1590" s="78">
        <v>1</v>
      </c>
      <c r="E1590" s="79"/>
      <c r="F1590" s="79" t="e">
        <f t="shared" si="99"/>
        <v>#REF!</v>
      </c>
      <c r="G1590" s="2"/>
      <c r="H1590" s="37">
        <v>8375</v>
      </c>
      <c r="I1590" s="4">
        <f t="shared" si="100"/>
        <v>0</v>
      </c>
      <c r="J1590" s="25">
        <f t="shared" si="97"/>
        <v>51</v>
      </c>
    </row>
    <row r="1591" spans="1:10" ht="16.95" customHeight="1">
      <c r="A1591" s="75">
        <v>5</v>
      </c>
      <c r="B1591" s="80" t="s">
        <v>95</v>
      </c>
      <c r="C1591" s="77" t="s">
        <v>48</v>
      </c>
      <c r="D1591" s="78">
        <v>1</v>
      </c>
      <c r="E1591" s="79"/>
      <c r="F1591" s="79" t="e">
        <f t="shared" si="99"/>
        <v>#REF!</v>
      </c>
      <c r="G1591" s="2"/>
      <c r="H1591" s="37">
        <v>51618</v>
      </c>
      <c r="I1591" s="4">
        <f t="shared" si="100"/>
        <v>0</v>
      </c>
      <c r="J1591" s="25">
        <f t="shared" si="97"/>
        <v>51</v>
      </c>
    </row>
    <row r="1592" spans="1:10" ht="16.95" customHeight="1">
      <c r="A1592" s="75">
        <v>6</v>
      </c>
      <c r="B1592" s="80" t="s">
        <v>96</v>
      </c>
      <c r="C1592" s="77" t="s">
        <v>50</v>
      </c>
      <c r="D1592" s="78">
        <v>11.55</v>
      </c>
      <c r="E1592" s="79"/>
      <c r="F1592" s="79" t="e">
        <f t="shared" si="99"/>
        <v>#REF!</v>
      </c>
      <c r="G1592" s="2"/>
      <c r="H1592" s="37">
        <v>1188</v>
      </c>
      <c r="I1592" s="4">
        <f t="shared" si="100"/>
        <v>0</v>
      </c>
      <c r="J1592" s="25">
        <f t="shared" si="97"/>
        <v>51</v>
      </c>
    </row>
    <row r="1593" spans="1:10" ht="34.950000000000003" customHeight="1">
      <c r="A1593" s="75">
        <v>7</v>
      </c>
      <c r="B1593" s="80" t="s">
        <v>97</v>
      </c>
      <c r="C1593" s="77" t="s">
        <v>48</v>
      </c>
      <c r="D1593" s="78">
        <v>1</v>
      </c>
      <c r="E1593" s="79"/>
      <c r="F1593" s="79" t="e">
        <f t="shared" si="99"/>
        <v>#REF!</v>
      </c>
      <c r="G1593" s="2"/>
      <c r="H1593" s="37">
        <v>21157</v>
      </c>
      <c r="I1593" s="4">
        <f t="shared" si="100"/>
        <v>0</v>
      </c>
      <c r="J1593" s="25">
        <f t="shared" si="97"/>
        <v>51</v>
      </c>
    </row>
    <row r="1594" spans="1:10" ht="16.95" customHeight="1">
      <c r="A1594" s="75">
        <v>8</v>
      </c>
      <c r="B1594" s="80" t="s">
        <v>98</v>
      </c>
      <c r="C1594" s="77" t="s">
        <v>50</v>
      </c>
      <c r="D1594" s="78">
        <v>387</v>
      </c>
      <c r="E1594" s="79"/>
      <c r="F1594" s="79" t="e">
        <f t="shared" si="99"/>
        <v>#REF!</v>
      </c>
      <c r="G1594" s="2"/>
      <c r="H1594" s="37">
        <v>705</v>
      </c>
      <c r="I1594" s="4">
        <f t="shared" si="100"/>
        <v>0</v>
      </c>
      <c r="J1594" s="25">
        <f t="shared" si="97"/>
        <v>51</v>
      </c>
    </row>
    <row r="1595" spans="1:10" ht="16.95" customHeight="1">
      <c r="A1595" s="75">
        <v>9</v>
      </c>
      <c r="B1595" s="80" t="s">
        <v>99</v>
      </c>
      <c r="C1595" s="77" t="s">
        <v>50</v>
      </c>
      <c r="D1595" s="78">
        <v>170</v>
      </c>
      <c r="E1595" s="79"/>
      <c r="F1595" s="79" t="e">
        <f t="shared" si="99"/>
        <v>#REF!</v>
      </c>
      <c r="G1595" s="2"/>
      <c r="H1595" s="37">
        <v>617</v>
      </c>
      <c r="I1595" s="4">
        <f t="shared" si="100"/>
        <v>0</v>
      </c>
      <c r="J1595" s="25">
        <f t="shared" ref="J1595:J1658" si="101">J1532+2</f>
        <v>51</v>
      </c>
    </row>
    <row r="1596" spans="1:10" ht="16.95" customHeight="1">
      <c r="A1596" s="75">
        <v>10</v>
      </c>
      <c r="B1596" s="80" t="s">
        <v>100</v>
      </c>
      <c r="C1596" s="77" t="s">
        <v>66</v>
      </c>
      <c r="D1596" s="78">
        <v>15</v>
      </c>
      <c r="E1596" s="79"/>
      <c r="F1596" s="79" t="e">
        <f t="shared" si="99"/>
        <v>#REF!</v>
      </c>
      <c r="G1596" s="2"/>
      <c r="H1596" s="37">
        <v>617</v>
      </c>
      <c r="I1596" s="4">
        <f t="shared" si="100"/>
        <v>0</v>
      </c>
      <c r="J1596" s="25">
        <f t="shared" si="101"/>
        <v>51</v>
      </c>
    </row>
    <row r="1597" spans="1:10" ht="16.95" customHeight="1">
      <c r="A1597" s="75">
        <v>11</v>
      </c>
      <c r="B1597" s="80" t="s">
        <v>101</v>
      </c>
      <c r="C1597" s="77" t="s">
        <v>50</v>
      </c>
      <c r="D1597" s="78">
        <v>75</v>
      </c>
      <c r="E1597" s="79"/>
      <c r="F1597" s="79" t="e">
        <f t="shared" si="99"/>
        <v>#REF!</v>
      </c>
      <c r="G1597" s="2"/>
      <c r="H1597" s="37">
        <v>1146</v>
      </c>
      <c r="I1597" s="4">
        <f t="shared" si="100"/>
        <v>0</v>
      </c>
      <c r="J1597" s="25">
        <f t="shared" si="101"/>
        <v>51</v>
      </c>
    </row>
    <row r="1598" spans="1:10" ht="16.95" customHeight="1">
      <c r="A1598" s="75">
        <v>12</v>
      </c>
      <c r="B1598" s="80" t="s">
        <v>102</v>
      </c>
      <c r="C1598" s="77" t="s">
        <v>50</v>
      </c>
      <c r="D1598" s="78">
        <v>5</v>
      </c>
      <c r="E1598" s="79"/>
      <c r="F1598" s="79" t="e">
        <f t="shared" si="99"/>
        <v>#REF!</v>
      </c>
      <c r="G1598" s="2"/>
      <c r="H1598" s="37">
        <v>1455</v>
      </c>
      <c r="I1598" s="4">
        <f t="shared" si="100"/>
        <v>0</v>
      </c>
      <c r="J1598" s="25">
        <f t="shared" si="101"/>
        <v>51</v>
      </c>
    </row>
    <row r="1599" spans="1:10" ht="16.95" customHeight="1">
      <c r="A1599" s="75">
        <v>13</v>
      </c>
      <c r="B1599" s="80" t="s">
        <v>103</v>
      </c>
      <c r="C1599" s="77" t="s">
        <v>50</v>
      </c>
      <c r="D1599" s="78">
        <v>217</v>
      </c>
      <c r="E1599" s="79"/>
      <c r="F1599" s="79" t="e">
        <f t="shared" si="99"/>
        <v>#REF!</v>
      </c>
      <c r="G1599" s="2"/>
      <c r="H1599" s="37">
        <v>1410</v>
      </c>
      <c r="I1599" s="4">
        <f t="shared" si="100"/>
        <v>0</v>
      </c>
      <c r="J1599" s="25">
        <f t="shared" si="101"/>
        <v>51</v>
      </c>
    </row>
    <row r="1600" spans="1:10" ht="16.95" customHeight="1">
      <c r="A1600" s="75">
        <v>14</v>
      </c>
      <c r="B1600" s="80" t="s">
        <v>104</v>
      </c>
      <c r="C1600" s="77" t="s">
        <v>49</v>
      </c>
      <c r="D1600" s="78">
        <v>84</v>
      </c>
      <c r="E1600" s="79"/>
      <c r="F1600" s="79" t="e">
        <f t="shared" si="99"/>
        <v>#REF!</v>
      </c>
      <c r="G1600" s="2"/>
      <c r="H1600" s="37">
        <v>529</v>
      </c>
      <c r="I1600" s="4">
        <f t="shared" si="100"/>
        <v>0</v>
      </c>
      <c r="J1600" s="25">
        <f t="shared" si="101"/>
        <v>51</v>
      </c>
    </row>
    <row r="1601" spans="1:10" ht="16.95" customHeight="1">
      <c r="A1601" s="75">
        <v>15</v>
      </c>
      <c r="B1601" s="80" t="s">
        <v>105</v>
      </c>
      <c r="C1601" s="77" t="s">
        <v>50</v>
      </c>
      <c r="D1601" s="78">
        <v>1</v>
      </c>
      <c r="E1601" s="79"/>
      <c r="F1601" s="79" t="e">
        <f t="shared" si="99"/>
        <v>#REF!</v>
      </c>
      <c r="G1601" s="2"/>
      <c r="H1601" s="37">
        <v>1146</v>
      </c>
      <c r="I1601" s="4">
        <f t="shared" si="100"/>
        <v>0</v>
      </c>
      <c r="J1601" s="25">
        <f t="shared" si="101"/>
        <v>51</v>
      </c>
    </row>
    <row r="1602" spans="1:10" ht="34.799999999999997" customHeight="1">
      <c r="A1602" s="75">
        <v>16</v>
      </c>
      <c r="B1602" s="80" t="s">
        <v>106</v>
      </c>
      <c r="C1602" s="77" t="s">
        <v>50</v>
      </c>
      <c r="D1602" s="78">
        <v>314</v>
      </c>
      <c r="E1602" s="79"/>
      <c r="F1602" s="79" t="e">
        <f t="shared" si="99"/>
        <v>#REF!</v>
      </c>
      <c r="G1602" s="2"/>
      <c r="H1602" s="37">
        <v>185</v>
      </c>
      <c r="I1602" s="4">
        <f t="shared" si="100"/>
        <v>0</v>
      </c>
      <c r="J1602" s="25">
        <f t="shared" si="101"/>
        <v>51</v>
      </c>
    </row>
    <row r="1603" spans="1:10" ht="16.95" customHeight="1">
      <c r="A1603" s="75">
        <v>17</v>
      </c>
      <c r="B1603" s="80" t="s">
        <v>107</v>
      </c>
      <c r="C1603" s="77" t="s">
        <v>48</v>
      </c>
      <c r="D1603" s="78">
        <v>1</v>
      </c>
      <c r="E1603" s="79"/>
      <c r="F1603" s="79" t="e">
        <f t="shared" si="99"/>
        <v>#REF!</v>
      </c>
      <c r="G1603" s="2"/>
      <c r="H1603" s="37">
        <v>89918</v>
      </c>
      <c r="I1603" s="4">
        <f t="shared" si="100"/>
        <v>0</v>
      </c>
      <c r="J1603" s="25">
        <f t="shared" si="101"/>
        <v>51</v>
      </c>
    </row>
    <row r="1604" spans="1:10" ht="16.95" customHeight="1">
      <c r="A1604" s="75">
        <v>18</v>
      </c>
      <c r="B1604" s="80" t="s">
        <v>108</v>
      </c>
      <c r="C1604" s="77" t="s">
        <v>120</v>
      </c>
      <c r="D1604" s="78">
        <v>15</v>
      </c>
      <c r="E1604" s="79"/>
      <c r="F1604" s="79" t="e">
        <f t="shared" si="99"/>
        <v>#REF!</v>
      </c>
      <c r="G1604" s="2"/>
      <c r="H1604" s="37">
        <v>661</v>
      </c>
      <c r="I1604" s="4">
        <f t="shared" si="100"/>
        <v>0</v>
      </c>
      <c r="J1604" s="25">
        <f t="shared" si="101"/>
        <v>51</v>
      </c>
    </row>
    <row r="1605" spans="1:10" ht="16.95" customHeight="1">
      <c r="A1605" s="75">
        <v>19</v>
      </c>
      <c r="B1605" s="80" t="s">
        <v>109</v>
      </c>
      <c r="C1605" s="77" t="s">
        <v>50</v>
      </c>
      <c r="D1605" s="78">
        <v>82</v>
      </c>
      <c r="E1605" s="79"/>
      <c r="F1605" s="79" t="e">
        <f t="shared" si="99"/>
        <v>#REF!</v>
      </c>
      <c r="G1605" s="2"/>
      <c r="H1605" s="37">
        <v>2909</v>
      </c>
      <c r="I1605" s="4">
        <f t="shared" si="100"/>
        <v>0</v>
      </c>
      <c r="J1605" s="25">
        <f t="shared" si="101"/>
        <v>51</v>
      </c>
    </row>
    <row r="1606" spans="1:10" ht="16.95" customHeight="1">
      <c r="A1606" s="75">
        <v>20</v>
      </c>
      <c r="B1606" s="80" t="s">
        <v>110</v>
      </c>
      <c r="C1606" s="77" t="s">
        <v>121</v>
      </c>
      <c r="D1606" s="78">
        <v>12</v>
      </c>
      <c r="E1606" s="79"/>
      <c r="F1606" s="79" t="e">
        <f t="shared" si="99"/>
        <v>#REF!</v>
      </c>
      <c r="G1606" s="2"/>
      <c r="H1606" s="37">
        <v>882</v>
      </c>
      <c r="I1606" s="4">
        <f t="shared" si="100"/>
        <v>0</v>
      </c>
      <c r="J1606" s="25">
        <f t="shared" si="101"/>
        <v>51</v>
      </c>
    </row>
    <row r="1607" spans="1:10" ht="16.95" customHeight="1">
      <c r="A1607" s="77">
        <v>21</v>
      </c>
      <c r="B1607" s="80" t="s">
        <v>111</v>
      </c>
      <c r="C1607" s="77" t="s">
        <v>122</v>
      </c>
      <c r="D1607" s="78">
        <v>3</v>
      </c>
      <c r="E1607" s="79"/>
      <c r="F1607" s="79" t="e">
        <f t="shared" si="99"/>
        <v>#REF!</v>
      </c>
      <c r="G1607" s="2"/>
      <c r="H1607" s="38">
        <v>1869</v>
      </c>
      <c r="I1607" s="4">
        <f t="shared" si="100"/>
        <v>0</v>
      </c>
      <c r="J1607" s="25">
        <f t="shared" si="101"/>
        <v>51</v>
      </c>
    </row>
    <row r="1608" spans="1:10" ht="34.950000000000003" customHeight="1">
      <c r="A1608" s="75">
        <v>22</v>
      </c>
      <c r="B1608" s="80" t="s">
        <v>112</v>
      </c>
      <c r="C1608" s="77" t="s">
        <v>48</v>
      </c>
      <c r="D1608" s="78">
        <v>1</v>
      </c>
      <c r="E1608" s="79"/>
      <c r="F1608" s="79" t="e">
        <f t="shared" si="99"/>
        <v>#REF!</v>
      </c>
      <c r="G1608" s="2"/>
      <c r="H1608" s="37">
        <v>82206</v>
      </c>
      <c r="I1608" s="4">
        <f t="shared" si="100"/>
        <v>0</v>
      </c>
      <c r="J1608" s="25">
        <f t="shared" si="101"/>
        <v>51</v>
      </c>
    </row>
    <row r="1609" spans="1:10" ht="16.95" customHeight="1">
      <c r="A1609" s="75">
        <v>23</v>
      </c>
      <c r="B1609" s="80" t="s">
        <v>113</v>
      </c>
      <c r="C1609" s="77" t="s">
        <v>48</v>
      </c>
      <c r="D1609" s="78">
        <v>1</v>
      </c>
      <c r="E1609" s="79"/>
      <c r="F1609" s="79" t="e">
        <f t="shared" si="99"/>
        <v>#REF!</v>
      </c>
      <c r="G1609" s="2"/>
      <c r="H1609" s="37">
        <v>142723</v>
      </c>
      <c r="I1609" s="4">
        <f t="shared" si="100"/>
        <v>0</v>
      </c>
      <c r="J1609" s="25">
        <f t="shared" si="101"/>
        <v>51</v>
      </c>
    </row>
    <row r="1610" spans="1:10" ht="16.95" customHeight="1">
      <c r="A1610" s="75">
        <v>24</v>
      </c>
      <c r="B1610" s="80" t="s">
        <v>114</v>
      </c>
      <c r="C1610" s="77" t="s">
        <v>48</v>
      </c>
      <c r="D1610" s="78">
        <v>1</v>
      </c>
      <c r="E1610" s="79"/>
      <c r="F1610" s="79" t="e">
        <f t="shared" si="99"/>
        <v>#REF!</v>
      </c>
      <c r="G1610" s="2"/>
      <c r="H1610" s="37">
        <v>37290</v>
      </c>
      <c r="I1610" s="4">
        <f t="shared" si="100"/>
        <v>0</v>
      </c>
      <c r="J1610" s="25">
        <f t="shared" si="101"/>
        <v>51</v>
      </c>
    </row>
    <row r="1611" spans="1:10" ht="16.95" customHeight="1">
      <c r="A1611" s="75">
        <v>25</v>
      </c>
      <c r="B1611" s="80" t="s">
        <v>115</v>
      </c>
      <c r="C1611" s="77" t="s">
        <v>48</v>
      </c>
      <c r="D1611" s="78">
        <v>1</v>
      </c>
      <c r="E1611" s="79"/>
      <c r="F1611" s="79" t="e">
        <f t="shared" si="99"/>
        <v>#REF!</v>
      </c>
      <c r="G1611" s="2"/>
      <c r="H1611" s="37">
        <v>99394</v>
      </c>
      <c r="I1611" s="4">
        <f t="shared" si="100"/>
        <v>0</v>
      </c>
      <c r="J1611" s="25">
        <f t="shared" si="101"/>
        <v>51</v>
      </c>
    </row>
    <row r="1612" spans="1:10" ht="34.950000000000003" customHeight="1">
      <c r="A1612" s="75">
        <v>26</v>
      </c>
      <c r="B1612" s="80" t="s">
        <v>116</v>
      </c>
      <c r="C1612" s="77" t="s">
        <v>48</v>
      </c>
      <c r="D1612" s="78">
        <v>1</v>
      </c>
      <c r="E1612" s="79"/>
      <c r="F1612" s="79" t="e">
        <f t="shared" si="99"/>
        <v>#REF!</v>
      </c>
      <c r="G1612" s="2"/>
      <c r="H1612" s="37">
        <v>21334</v>
      </c>
      <c r="I1612" s="4">
        <f t="shared" si="100"/>
        <v>0</v>
      </c>
      <c r="J1612" s="25">
        <f t="shared" si="101"/>
        <v>51</v>
      </c>
    </row>
    <row r="1613" spans="1:10" ht="16.95" customHeight="1">
      <c r="A1613" s="75">
        <v>27</v>
      </c>
      <c r="B1613" s="80" t="s">
        <v>117</v>
      </c>
      <c r="C1613" s="77" t="s">
        <v>48</v>
      </c>
      <c r="D1613" s="78">
        <v>1</v>
      </c>
      <c r="E1613" s="79"/>
      <c r="F1613" s="79" t="e">
        <f t="shared" si="99"/>
        <v>#REF!</v>
      </c>
      <c r="G1613" s="2"/>
      <c r="H1613" s="37">
        <v>29620</v>
      </c>
      <c r="I1613" s="4">
        <f t="shared" si="100"/>
        <v>0</v>
      </c>
      <c r="J1613" s="25">
        <f t="shared" si="101"/>
        <v>51</v>
      </c>
    </row>
    <row r="1614" spans="1:10" ht="16.95" customHeight="1">
      <c r="A1614" s="75">
        <v>28</v>
      </c>
      <c r="B1614" s="80" t="s">
        <v>118</v>
      </c>
      <c r="C1614" s="77" t="s">
        <v>48</v>
      </c>
      <c r="D1614" s="78">
        <v>1</v>
      </c>
      <c r="E1614" s="79"/>
      <c r="F1614" s="79" t="e">
        <f t="shared" si="99"/>
        <v>#REF!</v>
      </c>
      <c r="G1614" s="2"/>
      <c r="H1614" s="37">
        <v>18506</v>
      </c>
      <c r="I1614" s="4">
        <f t="shared" si="100"/>
        <v>0</v>
      </c>
      <c r="J1614" s="25">
        <f t="shared" si="101"/>
        <v>51</v>
      </c>
    </row>
    <row r="1615" spans="1:10" ht="16.95" customHeight="1">
      <c r="A1615" s="75">
        <v>29</v>
      </c>
      <c r="B1615" s="80" t="s">
        <v>119</v>
      </c>
      <c r="C1615" s="77" t="s">
        <v>48</v>
      </c>
      <c r="D1615" s="78">
        <v>1</v>
      </c>
      <c r="E1615" s="79"/>
      <c r="F1615" s="79" t="e">
        <f t="shared" si="99"/>
        <v>#REF!</v>
      </c>
      <c r="G1615" s="2"/>
      <c r="H1615" s="37">
        <v>34381</v>
      </c>
      <c r="I1615" s="4">
        <f t="shared" si="100"/>
        <v>0</v>
      </c>
      <c r="J1615" s="25">
        <f t="shared" si="101"/>
        <v>51</v>
      </c>
    </row>
    <row r="1616" spans="1:10" ht="16.95" customHeight="1">
      <c r="A1616" s="75" t="s">
        <v>79</v>
      </c>
      <c r="B1616" s="80" t="s">
        <v>80</v>
      </c>
      <c r="C1616" s="77" t="s">
        <v>48</v>
      </c>
      <c r="D1616" s="78">
        <v>1</v>
      </c>
      <c r="E1616" s="79">
        <f t="shared" ref="E1616:E1619" si="102">1/120</f>
        <v>8.3333333333333332E-3</v>
      </c>
      <c r="F1616" s="79" t="e">
        <f t="shared" si="99"/>
        <v>#REF!</v>
      </c>
      <c r="G1616" s="2"/>
      <c r="H1616" s="37">
        <v>21395</v>
      </c>
      <c r="I1616" s="4">
        <f t="shared" si="100"/>
        <v>178.29166666666666</v>
      </c>
      <c r="J1616" s="25">
        <f t="shared" si="101"/>
        <v>51</v>
      </c>
    </row>
    <row r="1617" spans="1:10" ht="16.95" customHeight="1">
      <c r="A1617" s="75" t="s">
        <v>81</v>
      </c>
      <c r="B1617" s="80" t="s">
        <v>82</v>
      </c>
      <c r="C1617" s="77" t="s">
        <v>48</v>
      </c>
      <c r="D1617" s="78">
        <v>1</v>
      </c>
      <c r="E1617" s="79">
        <f t="shared" si="102"/>
        <v>8.3333333333333332E-3</v>
      </c>
      <c r="F1617" s="79" t="e">
        <f t="shared" si="99"/>
        <v>#REF!</v>
      </c>
      <c r="G1617" s="2"/>
      <c r="H1617" s="37">
        <v>21395</v>
      </c>
      <c r="I1617" s="4">
        <f t="shared" si="100"/>
        <v>178.29166666666666</v>
      </c>
      <c r="J1617" s="25">
        <f t="shared" si="101"/>
        <v>51</v>
      </c>
    </row>
    <row r="1618" spans="1:10" ht="16.95" customHeight="1">
      <c r="A1618" s="75" t="s">
        <v>83</v>
      </c>
      <c r="B1618" s="80" t="s">
        <v>84</v>
      </c>
      <c r="C1618" s="77" t="s">
        <v>48</v>
      </c>
      <c r="D1618" s="78">
        <v>1</v>
      </c>
      <c r="E1618" s="79">
        <f t="shared" si="102"/>
        <v>8.3333333333333332E-3</v>
      </c>
      <c r="F1618" s="79" t="e">
        <f t="shared" si="99"/>
        <v>#REF!</v>
      </c>
      <c r="G1618" s="2"/>
      <c r="H1618" s="37">
        <v>149765</v>
      </c>
      <c r="I1618" s="4">
        <f t="shared" si="100"/>
        <v>1248.0416666666667</v>
      </c>
      <c r="J1618" s="25">
        <f t="shared" si="101"/>
        <v>51</v>
      </c>
    </row>
    <row r="1619" spans="1:10" ht="16.95" customHeight="1">
      <c r="A1619" s="75" t="s">
        <v>85</v>
      </c>
      <c r="B1619" s="80" t="s">
        <v>86</v>
      </c>
      <c r="C1619" s="77" t="s">
        <v>48</v>
      </c>
      <c r="D1619" s="78">
        <v>1</v>
      </c>
      <c r="E1619" s="79">
        <f t="shared" si="102"/>
        <v>8.3333333333333332E-3</v>
      </c>
      <c r="F1619" s="79" t="e">
        <f t="shared" si="99"/>
        <v>#REF!</v>
      </c>
      <c r="G1619" s="2"/>
      <c r="H1619" s="37">
        <v>6996</v>
      </c>
      <c r="I1619" s="4">
        <f t="shared" si="100"/>
        <v>58.3</v>
      </c>
      <c r="J1619" s="25">
        <f t="shared" si="101"/>
        <v>51</v>
      </c>
    </row>
    <row r="1620" spans="1:10" ht="16.95" customHeight="1">
      <c r="A1620" s="75" t="s">
        <v>87</v>
      </c>
      <c r="B1620" s="80" t="s">
        <v>88</v>
      </c>
      <c r="C1620" s="77" t="s">
        <v>48</v>
      </c>
      <c r="D1620" s="78">
        <v>1</v>
      </c>
      <c r="E1620" s="79">
        <f>1/120</f>
        <v>8.3333333333333332E-3</v>
      </c>
      <c r="F1620" s="79" t="e">
        <f t="shared" si="99"/>
        <v>#REF!</v>
      </c>
      <c r="G1620" s="2"/>
      <c r="H1620" s="37">
        <v>116952</v>
      </c>
      <c r="I1620" s="4">
        <f t="shared" si="100"/>
        <v>974.6</v>
      </c>
      <c r="J1620" s="25">
        <f t="shared" si="101"/>
        <v>51</v>
      </c>
    </row>
    <row r="1621" spans="1:10" ht="16.95" customHeight="1">
      <c r="A1621" s="95" t="s">
        <v>23</v>
      </c>
      <c r="B1621" s="95"/>
      <c r="C1621" s="50"/>
      <c r="D1621" s="50"/>
      <c r="E1621" s="50"/>
      <c r="F1621" s="50"/>
      <c r="G1621" s="50"/>
      <c r="H1621" s="3" t="s">
        <v>24</v>
      </c>
      <c r="I1621" s="5">
        <f>SUM(I1586:I1620)</f>
        <v>2637.5250000000001</v>
      </c>
      <c r="J1621" s="25">
        <f t="shared" si="101"/>
        <v>51</v>
      </c>
    </row>
    <row r="1622" spans="1:10" ht="16.95" customHeight="1">
      <c r="A1622" s="96" t="s">
        <v>25</v>
      </c>
      <c r="B1622" s="96"/>
      <c r="C1622" s="50"/>
      <c r="D1622" s="50"/>
      <c r="E1622" s="50"/>
      <c r="F1622" s="50"/>
      <c r="G1622" s="50"/>
      <c r="J1622" s="25">
        <f t="shared" si="101"/>
        <v>51</v>
      </c>
    </row>
    <row r="1623" spans="1:10" ht="16.95" customHeight="1">
      <c r="A1623" s="96" t="s">
        <v>26</v>
      </c>
      <c r="B1623" s="96"/>
      <c r="C1623" s="50"/>
      <c r="D1623" s="50"/>
      <c r="E1623" s="50"/>
      <c r="F1623" s="50"/>
      <c r="G1623" s="50"/>
      <c r="J1623" s="25">
        <f t="shared" si="101"/>
        <v>51</v>
      </c>
    </row>
    <row r="1624" spans="1:10" ht="16.95" customHeight="1">
      <c r="A1624" s="95" t="s">
        <v>27</v>
      </c>
      <c r="B1624" s="95"/>
      <c r="C1624" s="95"/>
      <c r="D1624" s="95"/>
      <c r="E1624" s="95"/>
      <c r="F1624" s="95"/>
      <c r="G1624" s="95"/>
      <c r="J1624" s="25">
        <f t="shared" si="101"/>
        <v>51</v>
      </c>
    </row>
    <row r="1625" spans="1:10" ht="16.95" customHeight="1">
      <c r="A1625" s="94" t="s">
        <v>28</v>
      </c>
      <c r="B1625" s="94"/>
      <c r="C1625" s="51" t="s">
        <v>29</v>
      </c>
      <c r="D1625" s="51" t="s">
        <v>30</v>
      </c>
      <c r="E1625" s="51" t="s">
        <v>18</v>
      </c>
      <c r="F1625" s="51" t="s">
        <v>31</v>
      </c>
      <c r="G1625" s="51" t="s">
        <v>20</v>
      </c>
      <c r="J1625" s="25">
        <f t="shared" si="101"/>
        <v>51</v>
      </c>
    </row>
    <row r="1626" spans="1:10" ht="16.95" customHeight="1">
      <c r="A1626" s="96"/>
      <c r="B1626" s="96"/>
      <c r="C1626" s="50"/>
      <c r="D1626" s="50"/>
      <c r="E1626" s="50"/>
      <c r="F1626" s="50"/>
      <c r="G1626" s="51"/>
      <c r="J1626" s="25">
        <f t="shared" si="101"/>
        <v>51</v>
      </c>
    </row>
    <row r="1627" spans="1:10" ht="16.95" customHeight="1">
      <c r="A1627" s="97"/>
      <c r="B1627" s="97"/>
      <c r="C1627" s="50"/>
      <c r="D1627" s="50"/>
      <c r="E1627" s="50"/>
      <c r="F1627" s="51"/>
      <c r="G1627" s="51"/>
      <c r="J1627" s="25">
        <f t="shared" si="101"/>
        <v>51</v>
      </c>
    </row>
    <row r="1628" spans="1:10" ht="16.95" customHeight="1">
      <c r="A1628" s="95" t="s">
        <v>32</v>
      </c>
      <c r="B1628" s="95"/>
      <c r="C1628" s="95"/>
      <c r="D1628" s="95"/>
      <c r="E1628" s="95"/>
      <c r="F1628" s="95"/>
      <c r="G1628" s="95"/>
      <c r="J1628" s="25">
        <f t="shared" si="101"/>
        <v>52</v>
      </c>
    </row>
    <row r="1629" spans="1:10" ht="16.95" customHeight="1">
      <c r="A1629" s="51" t="s">
        <v>33</v>
      </c>
      <c r="B1629" s="51" t="s">
        <v>34</v>
      </c>
      <c r="C1629" s="94" t="s">
        <v>35</v>
      </c>
      <c r="D1629" s="94"/>
      <c r="E1629" s="51" t="s">
        <v>36</v>
      </c>
      <c r="F1629" s="51" t="s">
        <v>37</v>
      </c>
      <c r="G1629" s="51" t="s">
        <v>38</v>
      </c>
      <c r="J1629" s="25">
        <f t="shared" si="101"/>
        <v>52</v>
      </c>
    </row>
    <row r="1630" spans="1:10" ht="16.95" customHeight="1">
      <c r="A1630" s="51" t="s">
        <v>39</v>
      </c>
      <c r="B1630" s="6"/>
      <c r="C1630" s="94" t="e">
        <f>B1630+C1567</f>
        <v>#REF!</v>
      </c>
      <c r="D1630" s="94"/>
      <c r="E1630" s="51"/>
      <c r="F1630" s="24"/>
      <c r="G1630" s="24"/>
      <c r="J1630" s="25">
        <f t="shared" si="101"/>
        <v>52</v>
      </c>
    </row>
    <row r="1631" spans="1:10" ht="16.95" customHeight="1">
      <c r="A1631" s="51" t="s">
        <v>40</v>
      </c>
      <c r="B1631" s="6"/>
      <c r="C1631" s="94" t="e">
        <f>B1631+C1568</f>
        <v>#REF!</v>
      </c>
      <c r="D1631" s="94"/>
      <c r="E1631" s="51"/>
      <c r="F1631" s="24"/>
      <c r="G1631" s="24"/>
      <c r="J1631" s="25">
        <f t="shared" si="101"/>
        <v>52</v>
      </c>
    </row>
    <row r="1632" spans="1:10" ht="36.6" customHeight="1">
      <c r="A1632" s="95" t="s">
        <v>41</v>
      </c>
      <c r="B1632" s="95"/>
      <c r="C1632" s="95"/>
      <c r="D1632" s="95"/>
      <c r="E1632" s="95"/>
      <c r="F1632" s="95"/>
      <c r="G1632" s="95"/>
      <c r="J1632" s="25">
        <f t="shared" si="101"/>
        <v>52</v>
      </c>
    </row>
    <row r="1633" spans="1:10" ht="90" customHeight="1">
      <c r="A1633" s="92" t="s">
        <v>42</v>
      </c>
      <c r="B1633" s="92"/>
      <c r="C1633" s="92"/>
      <c r="D1633" s="92"/>
      <c r="E1633" s="92"/>
      <c r="F1633" s="92"/>
      <c r="G1633" s="92"/>
      <c r="J1633" s="25">
        <f t="shared" si="101"/>
        <v>52</v>
      </c>
    </row>
    <row r="1634" spans="1:10" ht="16.95" customHeight="1">
      <c r="A1634" s="95" t="s">
        <v>43</v>
      </c>
      <c r="B1634" s="95"/>
      <c r="C1634" s="95"/>
      <c r="D1634" s="95"/>
      <c r="E1634" s="95"/>
      <c r="F1634" s="95"/>
      <c r="G1634" s="95"/>
      <c r="J1634" s="25">
        <f t="shared" si="101"/>
        <v>52</v>
      </c>
    </row>
    <row r="1635" spans="1:10" ht="16.95" customHeight="1">
      <c r="A1635" s="95" t="s">
        <v>44</v>
      </c>
      <c r="B1635" s="95"/>
      <c r="C1635" s="95"/>
      <c r="D1635" s="95"/>
      <c r="E1635" s="95"/>
      <c r="F1635" s="95"/>
      <c r="G1635" s="95"/>
      <c r="J1635" s="25">
        <f t="shared" si="101"/>
        <v>52</v>
      </c>
    </row>
    <row r="1636" spans="1:10" ht="16.95" customHeight="1">
      <c r="A1636" s="91" t="s">
        <v>64</v>
      </c>
      <c r="B1636" s="91"/>
      <c r="C1636" s="91"/>
      <c r="D1636" s="91"/>
      <c r="E1636" s="91"/>
      <c r="F1636" s="91"/>
      <c r="G1636" s="91"/>
      <c r="J1636" s="25">
        <f t="shared" si="101"/>
        <v>52</v>
      </c>
    </row>
    <row r="1637" spans="1:10" ht="120.6" customHeight="1">
      <c r="A1637" s="92" t="s">
        <v>45</v>
      </c>
      <c r="B1637" s="92"/>
      <c r="C1637" s="92"/>
      <c r="D1637" s="92"/>
      <c r="E1637" s="92"/>
      <c r="F1637" s="92"/>
      <c r="G1637" s="92"/>
      <c r="J1637" s="25">
        <f t="shared" si="101"/>
        <v>52</v>
      </c>
    </row>
    <row r="1638" spans="1:10" ht="140.4" customHeight="1">
      <c r="A1638" s="93" t="s">
        <v>46</v>
      </c>
      <c r="B1638" s="93"/>
      <c r="C1638" s="93"/>
      <c r="D1638" s="93"/>
      <c r="E1638" s="93"/>
      <c r="F1638" s="93"/>
      <c r="G1638" s="93"/>
      <c r="J1638" s="25">
        <f t="shared" si="101"/>
        <v>52</v>
      </c>
    </row>
    <row r="1639" spans="1:10" ht="37.200000000000003" customHeight="1">
      <c r="A1639" s="103" t="s">
        <v>0</v>
      </c>
      <c r="B1639" s="103"/>
      <c r="C1639" s="103"/>
      <c r="D1639" s="103"/>
      <c r="E1639" s="103"/>
      <c r="F1639" s="103"/>
      <c r="G1639" s="103"/>
      <c r="J1639" s="25">
        <f t="shared" si="101"/>
        <v>53</v>
      </c>
    </row>
    <row r="1640" spans="1:10" ht="16.95" customHeight="1">
      <c r="A1640" s="1" t="s">
        <v>1</v>
      </c>
      <c r="B1640" s="104">
        <f>B1577+1</f>
        <v>28</v>
      </c>
      <c r="C1640" s="104"/>
      <c r="D1640" s="104"/>
      <c r="E1640" s="104"/>
      <c r="F1640" s="104"/>
      <c r="G1640" s="104"/>
      <c r="J1640" s="25">
        <f t="shared" si="101"/>
        <v>53</v>
      </c>
    </row>
    <row r="1641" spans="1:10" ht="16.95" customHeight="1">
      <c r="A1641" s="1" t="s">
        <v>2</v>
      </c>
      <c r="B1641" s="105" t="s">
        <v>63</v>
      </c>
      <c r="C1641" s="105"/>
      <c r="D1641" s="105"/>
      <c r="E1641" s="106">
        <f>E1578+1</f>
        <v>46230</v>
      </c>
      <c r="F1641" s="106"/>
      <c r="G1641" s="106"/>
      <c r="J1641" s="25">
        <f t="shared" si="101"/>
        <v>53</v>
      </c>
    </row>
    <row r="1642" spans="1:10" ht="16.95" customHeight="1">
      <c r="A1642" s="53" t="s">
        <v>3</v>
      </c>
      <c r="B1642" s="2" t="s">
        <v>67</v>
      </c>
      <c r="C1642" s="98" t="s">
        <v>4</v>
      </c>
      <c r="D1642" s="98"/>
      <c r="E1642" s="98" t="s">
        <v>47</v>
      </c>
      <c r="F1642" s="98"/>
      <c r="G1642" s="98"/>
      <c r="J1642" s="25">
        <f t="shared" si="101"/>
        <v>53</v>
      </c>
    </row>
    <row r="1643" spans="1:10" ht="16.95" customHeight="1">
      <c r="A1643" s="53" t="s">
        <v>5</v>
      </c>
      <c r="B1643" s="54">
        <v>120</v>
      </c>
      <c r="C1643" s="98" t="s">
        <v>6</v>
      </c>
      <c r="D1643" s="98"/>
      <c r="E1643" s="98" t="s">
        <v>123</v>
      </c>
      <c r="F1643" s="98"/>
      <c r="G1643" s="98"/>
      <c r="J1643" s="25">
        <f t="shared" si="101"/>
        <v>53</v>
      </c>
    </row>
    <row r="1644" spans="1:10" ht="16.95" customHeight="1">
      <c r="A1644" s="53" t="s">
        <v>7</v>
      </c>
      <c r="B1644" s="54">
        <f>B1640</f>
        <v>28</v>
      </c>
      <c r="C1644" s="100" t="s">
        <v>8</v>
      </c>
      <c r="D1644" s="100"/>
      <c r="E1644" s="101">
        <f>B1643-B1644</f>
        <v>92</v>
      </c>
      <c r="F1644" s="101"/>
      <c r="G1644" s="101"/>
      <c r="J1644" s="25">
        <f t="shared" si="101"/>
        <v>53</v>
      </c>
    </row>
    <row r="1645" spans="1:10" ht="16.95" customHeight="1">
      <c r="A1645" s="53" t="s">
        <v>9</v>
      </c>
      <c r="B1645" s="55">
        <v>46204</v>
      </c>
      <c r="C1645" s="98" t="s">
        <v>10</v>
      </c>
      <c r="D1645" s="98"/>
      <c r="E1645" s="102">
        <f>B1645+B1643-1</f>
        <v>46323</v>
      </c>
      <c r="F1645" s="102"/>
      <c r="G1645" s="102"/>
      <c r="J1645" s="25">
        <f t="shared" si="101"/>
        <v>53</v>
      </c>
    </row>
    <row r="1646" spans="1:10" ht="16.95" customHeight="1">
      <c r="A1646" s="53" t="s">
        <v>11</v>
      </c>
      <c r="B1646" s="56" t="e">
        <f>HLOOKUP(B1640,進度表!$Q$2:$Z$3,2,1)+B1583</f>
        <v>#REF!</v>
      </c>
      <c r="C1646" s="98" t="s">
        <v>12</v>
      </c>
      <c r="D1646" s="98"/>
      <c r="E1646" s="99" t="e">
        <f>I1684/I1646+E1583</f>
        <v>#REF!</v>
      </c>
      <c r="F1646" s="99"/>
      <c r="G1646" s="99"/>
      <c r="H1646" s="3" t="s">
        <v>62</v>
      </c>
      <c r="I1646" s="1">
        <v>2456000</v>
      </c>
      <c r="J1646" s="25">
        <f t="shared" si="101"/>
        <v>53</v>
      </c>
    </row>
    <row r="1647" spans="1:10" ht="16.95" customHeight="1">
      <c r="A1647" s="98" t="s">
        <v>13</v>
      </c>
      <c r="B1647" s="98"/>
      <c r="C1647" s="98"/>
      <c r="D1647" s="98"/>
      <c r="E1647" s="98"/>
      <c r="F1647" s="98"/>
      <c r="G1647" s="98"/>
      <c r="J1647" s="25">
        <f t="shared" si="101"/>
        <v>53</v>
      </c>
    </row>
    <row r="1648" spans="1:10" ht="16.95" customHeight="1">
      <c r="A1648" s="52" t="s">
        <v>14</v>
      </c>
      <c r="B1648" s="52" t="s">
        <v>15</v>
      </c>
      <c r="C1648" s="52" t="s">
        <v>16</v>
      </c>
      <c r="D1648" s="52" t="s">
        <v>17</v>
      </c>
      <c r="E1648" s="52" t="s">
        <v>18</v>
      </c>
      <c r="F1648" s="52" t="s">
        <v>19</v>
      </c>
      <c r="G1648" s="52" t="s">
        <v>20</v>
      </c>
      <c r="H1648" s="3" t="s">
        <v>21</v>
      </c>
      <c r="I1648" s="3" t="s">
        <v>22</v>
      </c>
      <c r="J1648" s="25">
        <f t="shared" si="101"/>
        <v>53</v>
      </c>
    </row>
    <row r="1649" spans="1:10" ht="16.95" customHeight="1">
      <c r="A1649" s="75" t="s">
        <v>65</v>
      </c>
      <c r="B1649" s="76" t="s">
        <v>69</v>
      </c>
      <c r="C1649" s="77"/>
      <c r="D1649" s="78"/>
      <c r="E1649" s="79"/>
      <c r="F1649" s="79"/>
      <c r="G1649" s="2"/>
      <c r="H1649" s="37"/>
      <c r="I1649" s="4"/>
      <c r="J1649" s="25">
        <f t="shared" si="101"/>
        <v>53</v>
      </c>
    </row>
    <row r="1650" spans="1:10" ht="34.950000000000003" customHeight="1">
      <c r="A1650" s="75">
        <v>1</v>
      </c>
      <c r="B1650" s="80" t="s">
        <v>91</v>
      </c>
      <c r="C1650" s="77" t="s">
        <v>48</v>
      </c>
      <c r="D1650" s="78">
        <v>1</v>
      </c>
      <c r="E1650" s="79"/>
      <c r="F1650" s="79" t="e">
        <f t="shared" ref="F1650:F1683" si="103">E1650+F1587</f>
        <v>#REF!</v>
      </c>
      <c r="G1650" s="2"/>
      <c r="H1650" s="37">
        <v>10508</v>
      </c>
      <c r="I1650" s="4">
        <f>H1650*E1650</f>
        <v>0</v>
      </c>
      <c r="J1650" s="25">
        <f t="shared" si="101"/>
        <v>53</v>
      </c>
    </row>
    <row r="1651" spans="1:10" ht="34.799999999999997" customHeight="1">
      <c r="A1651" s="75">
        <v>2</v>
      </c>
      <c r="B1651" s="80" t="s">
        <v>92</v>
      </c>
      <c r="C1651" s="77" t="s">
        <v>48</v>
      </c>
      <c r="D1651" s="78">
        <v>1</v>
      </c>
      <c r="E1651" s="79"/>
      <c r="F1651" s="79" t="e">
        <f t="shared" si="103"/>
        <v>#REF!</v>
      </c>
      <c r="G1651" s="2"/>
      <c r="H1651" s="37">
        <v>13223</v>
      </c>
      <c r="I1651" s="4">
        <f>H1651*E1651</f>
        <v>0</v>
      </c>
      <c r="J1651" s="25">
        <f t="shared" si="101"/>
        <v>53</v>
      </c>
    </row>
    <row r="1652" spans="1:10" ht="53.4" customHeight="1">
      <c r="A1652" s="75">
        <v>3</v>
      </c>
      <c r="B1652" s="80" t="s">
        <v>93</v>
      </c>
      <c r="C1652" s="77" t="s">
        <v>48</v>
      </c>
      <c r="D1652" s="78">
        <v>1</v>
      </c>
      <c r="E1652" s="79"/>
      <c r="F1652" s="79" t="e">
        <f t="shared" si="103"/>
        <v>#REF!</v>
      </c>
      <c r="G1652" s="2"/>
      <c r="H1652" s="37">
        <v>310497</v>
      </c>
      <c r="I1652" s="4">
        <f t="shared" ref="I1652:I1683" si="104">H1652*E1652</f>
        <v>0</v>
      </c>
      <c r="J1652" s="25">
        <f t="shared" si="101"/>
        <v>53</v>
      </c>
    </row>
    <row r="1653" spans="1:10" ht="16.95" customHeight="1">
      <c r="A1653" s="75">
        <v>4</v>
      </c>
      <c r="B1653" s="80" t="s">
        <v>94</v>
      </c>
      <c r="C1653" s="77" t="s">
        <v>48</v>
      </c>
      <c r="D1653" s="78">
        <v>1</v>
      </c>
      <c r="E1653" s="79"/>
      <c r="F1653" s="79" t="e">
        <f t="shared" si="103"/>
        <v>#REF!</v>
      </c>
      <c r="G1653" s="2"/>
      <c r="H1653" s="37">
        <v>8375</v>
      </c>
      <c r="I1653" s="4">
        <f t="shared" si="104"/>
        <v>0</v>
      </c>
      <c r="J1653" s="25">
        <f t="shared" si="101"/>
        <v>53</v>
      </c>
    </row>
    <row r="1654" spans="1:10" ht="16.95" customHeight="1">
      <c r="A1654" s="75">
        <v>5</v>
      </c>
      <c r="B1654" s="80" t="s">
        <v>95</v>
      </c>
      <c r="C1654" s="77" t="s">
        <v>48</v>
      </c>
      <c r="D1654" s="78">
        <v>1</v>
      </c>
      <c r="E1654" s="79"/>
      <c r="F1654" s="79" t="e">
        <f t="shared" si="103"/>
        <v>#REF!</v>
      </c>
      <c r="G1654" s="2"/>
      <c r="H1654" s="37">
        <v>51618</v>
      </c>
      <c r="I1654" s="4">
        <f t="shared" si="104"/>
        <v>0</v>
      </c>
      <c r="J1654" s="25">
        <f t="shared" si="101"/>
        <v>53</v>
      </c>
    </row>
    <row r="1655" spans="1:10" ht="16.95" customHeight="1">
      <c r="A1655" s="75">
        <v>6</v>
      </c>
      <c r="B1655" s="80" t="s">
        <v>96</v>
      </c>
      <c r="C1655" s="77" t="s">
        <v>50</v>
      </c>
      <c r="D1655" s="78">
        <v>11.55</v>
      </c>
      <c r="E1655" s="79"/>
      <c r="F1655" s="79" t="e">
        <f t="shared" si="103"/>
        <v>#REF!</v>
      </c>
      <c r="G1655" s="2"/>
      <c r="H1655" s="37">
        <v>1188</v>
      </c>
      <c r="I1655" s="4">
        <f t="shared" si="104"/>
        <v>0</v>
      </c>
      <c r="J1655" s="25">
        <f t="shared" si="101"/>
        <v>53</v>
      </c>
    </row>
    <row r="1656" spans="1:10" ht="34.950000000000003" customHeight="1">
      <c r="A1656" s="75">
        <v>7</v>
      </c>
      <c r="B1656" s="80" t="s">
        <v>97</v>
      </c>
      <c r="C1656" s="77" t="s">
        <v>48</v>
      </c>
      <c r="D1656" s="78">
        <v>1</v>
      </c>
      <c r="E1656" s="79"/>
      <c r="F1656" s="79" t="e">
        <f t="shared" si="103"/>
        <v>#REF!</v>
      </c>
      <c r="G1656" s="2"/>
      <c r="H1656" s="37">
        <v>21157</v>
      </c>
      <c r="I1656" s="4">
        <f t="shared" si="104"/>
        <v>0</v>
      </c>
      <c r="J1656" s="25">
        <f t="shared" si="101"/>
        <v>53</v>
      </c>
    </row>
    <row r="1657" spans="1:10" ht="16.95" customHeight="1">
      <c r="A1657" s="75">
        <v>8</v>
      </c>
      <c r="B1657" s="80" t="s">
        <v>98</v>
      </c>
      <c r="C1657" s="77" t="s">
        <v>50</v>
      </c>
      <c r="D1657" s="78">
        <v>387</v>
      </c>
      <c r="E1657" s="79"/>
      <c r="F1657" s="79" t="e">
        <f t="shared" si="103"/>
        <v>#REF!</v>
      </c>
      <c r="G1657" s="2"/>
      <c r="H1657" s="37">
        <v>705</v>
      </c>
      <c r="I1657" s="4">
        <f t="shared" si="104"/>
        <v>0</v>
      </c>
      <c r="J1657" s="25">
        <f t="shared" si="101"/>
        <v>53</v>
      </c>
    </row>
    <row r="1658" spans="1:10" ht="16.95" customHeight="1">
      <c r="A1658" s="75">
        <v>9</v>
      </c>
      <c r="B1658" s="80" t="s">
        <v>99</v>
      </c>
      <c r="C1658" s="77" t="s">
        <v>50</v>
      </c>
      <c r="D1658" s="78">
        <v>170</v>
      </c>
      <c r="E1658" s="79"/>
      <c r="F1658" s="79" t="e">
        <f t="shared" si="103"/>
        <v>#REF!</v>
      </c>
      <c r="G1658" s="2"/>
      <c r="H1658" s="37">
        <v>617</v>
      </c>
      <c r="I1658" s="4">
        <f t="shared" si="104"/>
        <v>0</v>
      </c>
      <c r="J1658" s="25">
        <f t="shared" si="101"/>
        <v>53</v>
      </c>
    </row>
    <row r="1659" spans="1:10" ht="16.95" customHeight="1">
      <c r="A1659" s="75">
        <v>10</v>
      </c>
      <c r="B1659" s="80" t="s">
        <v>100</v>
      </c>
      <c r="C1659" s="77" t="s">
        <v>66</v>
      </c>
      <c r="D1659" s="78">
        <v>15</v>
      </c>
      <c r="E1659" s="79"/>
      <c r="F1659" s="79" t="e">
        <f t="shared" si="103"/>
        <v>#REF!</v>
      </c>
      <c r="G1659" s="2"/>
      <c r="H1659" s="37">
        <v>617</v>
      </c>
      <c r="I1659" s="4">
        <f t="shared" si="104"/>
        <v>0</v>
      </c>
      <c r="J1659" s="25">
        <f t="shared" ref="J1659:J1722" si="105">J1596+2</f>
        <v>53</v>
      </c>
    </row>
    <row r="1660" spans="1:10" ht="16.95" customHeight="1">
      <c r="A1660" s="75">
        <v>11</v>
      </c>
      <c r="B1660" s="80" t="s">
        <v>101</v>
      </c>
      <c r="C1660" s="77" t="s">
        <v>50</v>
      </c>
      <c r="D1660" s="78">
        <v>75</v>
      </c>
      <c r="E1660" s="79"/>
      <c r="F1660" s="79" t="e">
        <f t="shared" si="103"/>
        <v>#REF!</v>
      </c>
      <c r="G1660" s="2"/>
      <c r="H1660" s="37">
        <v>1146</v>
      </c>
      <c r="I1660" s="4">
        <f t="shared" si="104"/>
        <v>0</v>
      </c>
      <c r="J1660" s="25">
        <f t="shared" si="105"/>
        <v>53</v>
      </c>
    </row>
    <row r="1661" spans="1:10" ht="16.95" customHeight="1">
      <c r="A1661" s="75">
        <v>12</v>
      </c>
      <c r="B1661" s="80" t="s">
        <v>102</v>
      </c>
      <c r="C1661" s="77" t="s">
        <v>50</v>
      </c>
      <c r="D1661" s="78">
        <v>5</v>
      </c>
      <c r="E1661" s="79"/>
      <c r="F1661" s="79" t="e">
        <f t="shared" si="103"/>
        <v>#REF!</v>
      </c>
      <c r="G1661" s="2"/>
      <c r="H1661" s="37">
        <v>1455</v>
      </c>
      <c r="I1661" s="4">
        <f t="shared" si="104"/>
        <v>0</v>
      </c>
      <c r="J1661" s="25">
        <f t="shared" si="105"/>
        <v>53</v>
      </c>
    </row>
    <row r="1662" spans="1:10" ht="16.95" customHeight="1">
      <c r="A1662" s="75">
        <v>13</v>
      </c>
      <c r="B1662" s="80" t="s">
        <v>103</v>
      </c>
      <c r="C1662" s="77" t="s">
        <v>50</v>
      </c>
      <c r="D1662" s="78">
        <v>217</v>
      </c>
      <c r="E1662" s="79"/>
      <c r="F1662" s="79" t="e">
        <f t="shared" si="103"/>
        <v>#REF!</v>
      </c>
      <c r="G1662" s="2"/>
      <c r="H1662" s="37">
        <v>1410</v>
      </c>
      <c r="I1662" s="4">
        <f t="shared" si="104"/>
        <v>0</v>
      </c>
      <c r="J1662" s="25">
        <f t="shared" si="105"/>
        <v>53</v>
      </c>
    </row>
    <row r="1663" spans="1:10" ht="16.95" customHeight="1">
      <c r="A1663" s="75">
        <v>14</v>
      </c>
      <c r="B1663" s="80" t="s">
        <v>104</v>
      </c>
      <c r="C1663" s="77" t="s">
        <v>49</v>
      </c>
      <c r="D1663" s="78">
        <v>84</v>
      </c>
      <c r="E1663" s="79"/>
      <c r="F1663" s="79" t="e">
        <f t="shared" si="103"/>
        <v>#REF!</v>
      </c>
      <c r="G1663" s="2"/>
      <c r="H1663" s="37">
        <v>529</v>
      </c>
      <c r="I1663" s="4">
        <f t="shared" si="104"/>
        <v>0</v>
      </c>
      <c r="J1663" s="25">
        <f t="shared" si="105"/>
        <v>53</v>
      </c>
    </row>
    <row r="1664" spans="1:10" ht="16.95" customHeight="1">
      <c r="A1664" s="75">
        <v>15</v>
      </c>
      <c r="B1664" s="80" t="s">
        <v>105</v>
      </c>
      <c r="C1664" s="77" t="s">
        <v>50</v>
      </c>
      <c r="D1664" s="78">
        <v>1</v>
      </c>
      <c r="E1664" s="79"/>
      <c r="F1664" s="79" t="e">
        <f t="shared" si="103"/>
        <v>#REF!</v>
      </c>
      <c r="G1664" s="2"/>
      <c r="H1664" s="37">
        <v>1146</v>
      </c>
      <c r="I1664" s="4">
        <f t="shared" si="104"/>
        <v>0</v>
      </c>
      <c r="J1664" s="25">
        <f t="shared" si="105"/>
        <v>53</v>
      </c>
    </row>
    <row r="1665" spans="1:10" ht="34.799999999999997" customHeight="1">
      <c r="A1665" s="75">
        <v>16</v>
      </c>
      <c r="B1665" s="80" t="s">
        <v>106</v>
      </c>
      <c r="C1665" s="77" t="s">
        <v>50</v>
      </c>
      <c r="D1665" s="78">
        <v>314</v>
      </c>
      <c r="E1665" s="79"/>
      <c r="F1665" s="79" t="e">
        <f t="shared" si="103"/>
        <v>#REF!</v>
      </c>
      <c r="G1665" s="2"/>
      <c r="H1665" s="37">
        <v>185</v>
      </c>
      <c r="I1665" s="4">
        <f t="shared" si="104"/>
        <v>0</v>
      </c>
      <c r="J1665" s="25">
        <f t="shared" si="105"/>
        <v>53</v>
      </c>
    </row>
    <row r="1666" spans="1:10" ht="16.95" customHeight="1">
      <c r="A1666" s="75">
        <v>17</v>
      </c>
      <c r="B1666" s="80" t="s">
        <v>107</v>
      </c>
      <c r="C1666" s="77" t="s">
        <v>48</v>
      </c>
      <c r="D1666" s="78">
        <v>1</v>
      </c>
      <c r="E1666" s="79"/>
      <c r="F1666" s="79" t="e">
        <f t="shared" si="103"/>
        <v>#REF!</v>
      </c>
      <c r="G1666" s="2"/>
      <c r="H1666" s="37">
        <v>89918</v>
      </c>
      <c r="I1666" s="4">
        <f t="shared" si="104"/>
        <v>0</v>
      </c>
      <c r="J1666" s="25">
        <f t="shared" si="105"/>
        <v>53</v>
      </c>
    </row>
    <row r="1667" spans="1:10" ht="16.95" customHeight="1">
      <c r="A1667" s="75">
        <v>18</v>
      </c>
      <c r="B1667" s="80" t="s">
        <v>108</v>
      </c>
      <c r="C1667" s="77" t="s">
        <v>120</v>
      </c>
      <c r="D1667" s="78">
        <v>15</v>
      </c>
      <c r="E1667" s="79"/>
      <c r="F1667" s="79" t="e">
        <f t="shared" si="103"/>
        <v>#REF!</v>
      </c>
      <c r="G1667" s="2"/>
      <c r="H1667" s="37">
        <v>661</v>
      </c>
      <c r="I1667" s="4">
        <f t="shared" si="104"/>
        <v>0</v>
      </c>
      <c r="J1667" s="25">
        <f t="shared" si="105"/>
        <v>53</v>
      </c>
    </row>
    <row r="1668" spans="1:10" ht="16.95" customHeight="1">
      <c r="A1668" s="75">
        <v>19</v>
      </c>
      <c r="B1668" s="80" t="s">
        <v>109</v>
      </c>
      <c r="C1668" s="77" t="s">
        <v>50</v>
      </c>
      <c r="D1668" s="78">
        <v>82</v>
      </c>
      <c r="E1668" s="79"/>
      <c r="F1668" s="79" t="e">
        <f t="shared" si="103"/>
        <v>#REF!</v>
      </c>
      <c r="G1668" s="2"/>
      <c r="H1668" s="37">
        <v>2909</v>
      </c>
      <c r="I1668" s="4">
        <f t="shared" si="104"/>
        <v>0</v>
      </c>
      <c r="J1668" s="25">
        <f t="shared" si="105"/>
        <v>53</v>
      </c>
    </row>
    <row r="1669" spans="1:10" ht="16.95" customHeight="1">
      <c r="A1669" s="75">
        <v>20</v>
      </c>
      <c r="B1669" s="80" t="s">
        <v>110</v>
      </c>
      <c r="C1669" s="77" t="s">
        <v>121</v>
      </c>
      <c r="D1669" s="78">
        <v>12</v>
      </c>
      <c r="E1669" s="79"/>
      <c r="F1669" s="79" t="e">
        <f t="shared" si="103"/>
        <v>#REF!</v>
      </c>
      <c r="G1669" s="2"/>
      <c r="H1669" s="37">
        <v>882</v>
      </c>
      <c r="I1669" s="4">
        <f t="shared" si="104"/>
        <v>0</v>
      </c>
      <c r="J1669" s="25">
        <f t="shared" si="105"/>
        <v>53</v>
      </c>
    </row>
    <row r="1670" spans="1:10" ht="16.95" customHeight="1">
      <c r="A1670" s="77">
        <v>21</v>
      </c>
      <c r="B1670" s="80" t="s">
        <v>111</v>
      </c>
      <c r="C1670" s="77" t="s">
        <v>122</v>
      </c>
      <c r="D1670" s="78">
        <v>3</v>
      </c>
      <c r="E1670" s="79"/>
      <c r="F1670" s="79" t="e">
        <f t="shared" si="103"/>
        <v>#REF!</v>
      </c>
      <c r="G1670" s="2"/>
      <c r="H1670" s="38">
        <v>1869</v>
      </c>
      <c r="I1670" s="4">
        <f t="shared" si="104"/>
        <v>0</v>
      </c>
      <c r="J1670" s="25">
        <f t="shared" si="105"/>
        <v>53</v>
      </c>
    </row>
    <row r="1671" spans="1:10" ht="34.950000000000003" customHeight="1">
      <c r="A1671" s="75">
        <v>22</v>
      </c>
      <c r="B1671" s="80" t="s">
        <v>112</v>
      </c>
      <c r="C1671" s="77" t="s">
        <v>48</v>
      </c>
      <c r="D1671" s="78">
        <v>1</v>
      </c>
      <c r="E1671" s="79"/>
      <c r="F1671" s="79" t="e">
        <f t="shared" si="103"/>
        <v>#REF!</v>
      </c>
      <c r="G1671" s="2"/>
      <c r="H1671" s="37">
        <v>82206</v>
      </c>
      <c r="I1671" s="4">
        <f t="shared" si="104"/>
        <v>0</v>
      </c>
      <c r="J1671" s="25">
        <f t="shared" si="105"/>
        <v>53</v>
      </c>
    </row>
    <row r="1672" spans="1:10" ht="16.95" customHeight="1">
      <c r="A1672" s="75">
        <v>23</v>
      </c>
      <c r="B1672" s="80" t="s">
        <v>113</v>
      </c>
      <c r="C1672" s="77" t="s">
        <v>48</v>
      </c>
      <c r="D1672" s="78">
        <v>1</v>
      </c>
      <c r="E1672" s="79"/>
      <c r="F1672" s="79" t="e">
        <f t="shared" si="103"/>
        <v>#REF!</v>
      </c>
      <c r="G1672" s="2"/>
      <c r="H1672" s="37">
        <v>142723</v>
      </c>
      <c r="I1672" s="4">
        <f t="shared" si="104"/>
        <v>0</v>
      </c>
      <c r="J1672" s="25">
        <f t="shared" si="105"/>
        <v>53</v>
      </c>
    </row>
    <row r="1673" spans="1:10" ht="16.95" customHeight="1">
      <c r="A1673" s="75">
        <v>24</v>
      </c>
      <c r="B1673" s="80" t="s">
        <v>114</v>
      </c>
      <c r="C1673" s="77" t="s">
        <v>48</v>
      </c>
      <c r="D1673" s="78">
        <v>1</v>
      </c>
      <c r="E1673" s="79"/>
      <c r="F1673" s="79" t="e">
        <f t="shared" si="103"/>
        <v>#REF!</v>
      </c>
      <c r="G1673" s="2"/>
      <c r="H1673" s="37">
        <v>37290</v>
      </c>
      <c r="I1673" s="4">
        <f t="shared" si="104"/>
        <v>0</v>
      </c>
      <c r="J1673" s="25">
        <f t="shared" si="105"/>
        <v>53</v>
      </c>
    </row>
    <row r="1674" spans="1:10" ht="16.95" customHeight="1">
      <c r="A1674" s="75">
        <v>25</v>
      </c>
      <c r="B1674" s="80" t="s">
        <v>115</v>
      </c>
      <c r="C1674" s="77" t="s">
        <v>48</v>
      </c>
      <c r="D1674" s="78">
        <v>1</v>
      </c>
      <c r="E1674" s="79"/>
      <c r="F1674" s="79" t="e">
        <f t="shared" si="103"/>
        <v>#REF!</v>
      </c>
      <c r="G1674" s="2"/>
      <c r="H1674" s="37">
        <v>99394</v>
      </c>
      <c r="I1674" s="4">
        <f t="shared" si="104"/>
        <v>0</v>
      </c>
      <c r="J1674" s="25">
        <f t="shared" si="105"/>
        <v>53</v>
      </c>
    </row>
    <row r="1675" spans="1:10" ht="34.950000000000003" customHeight="1">
      <c r="A1675" s="75">
        <v>26</v>
      </c>
      <c r="B1675" s="80" t="s">
        <v>116</v>
      </c>
      <c r="C1675" s="77" t="s">
        <v>48</v>
      </c>
      <c r="D1675" s="78">
        <v>1</v>
      </c>
      <c r="E1675" s="79"/>
      <c r="F1675" s="79" t="e">
        <f t="shared" si="103"/>
        <v>#REF!</v>
      </c>
      <c r="G1675" s="2"/>
      <c r="H1675" s="37">
        <v>21334</v>
      </c>
      <c r="I1675" s="4">
        <f t="shared" si="104"/>
        <v>0</v>
      </c>
      <c r="J1675" s="25">
        <f t="shared" si="105"/>
        <v>53</v>
      </c>
    </row>
    <row r="1676" spans="1:10" ht="16.95" customHeight="1">
      <c r="A1676" s="75">
        <v>27</v>
      </c>
      <c r="B1676" s="80" t="s">
        <v>117</v>
      </c>
      <c r="C1676" s="77" t="s">
        <v>48</v>
      </c>
      <c r="D1676" s="78">
        <v>1</v>
      </c>
      <c r="E1676" s="79"/>
      <c r="F1676" s="79" t="e">
        <f t="shared" si="103"/>
        <v>#REF!</v>
      </c>
      <c r="G1676" s="2"/>
      <c r="H1676" s="37">
        <v>29620</v>
      </c>
      <c r="I1676" s="4">
        <f t="shared" si="104"/>
        <v>0</v>
      </c>
      <c r="J1676" s="25">
        <f t="shared" si="105"/>
        <v>53</v>
      </c>
    </row>
    <row r="1677" spans="1:10" ht="16.95" customHeight="1">
      <c r="A1677" s="75">
        <v>28</v>
      </c>
      <c r="B1677" s="80" t="s">
        <v>118</v>
      </c>
      <c r="C1677" s="77" t="s">
        <v>48</v>
      </c>
      <c r="D1677" s="78">
        <v>1</v>
      </c>
      <c r="E1677" s="79"/>
      <c r="F1677" s="79" t="e">
        <f t="shared" si="103"/>
        <v>#REF!</v>
      </c>
      <c r="G1677" s="2"/>
      <c r="H1677" s="37">
        <v>18506</v>
      </c>
      <c r="I1677" s="4">
        <f t="shared" si="104"/>
        <v>0</v>
      </c>
      <c r="J1677" s="25">
        <f t="shared" si="105"/>
        <v>53</v>
      </c>
    </row>
    <row r="1678" spans="1:10" ht="16.95" customHeight="1">
      <c r="A1678" s="75">
        <v>29</v>
      </c>
      <c r="B1678" s="80" t="s">
        <v>119</v>
      </c>
      <c r="C1678" s="77" t="s">
        <v>48</v>
      </c>
      <c r="D1678" s="78">
        <v>1</v>
      </c>
      <c r="E1678" s="79"/>
      <c r="F1678" s="79" t="e">
        <f t="shared" si="103"/>
        <v>#REF!</v>
      </c>
      <c r="G1678" s="2"/>
      <c r="H1678" s="37">
        <v>34381</v>
      </c>
      <c r="I1678" s="4">
        <f t="shared" si="104"/>
        <v>0</v>
      </c>
      <c r="J1678" s="25">
        <f t="shared" si="105"/>
        <v>53</v>
      </c>
    </row>
    <row r="1679" spans="1:10" ht="16.95" customHeight="1">
      <c r="A1679" s="75" t="s">
        <v>79</v>
      </c>
      <c r="B1679" s="80" t="s">
        <v>80</v>
      </c>
      <c r="C1679" s="77" t="s">
        <v>48</v>
      </c>
      <c r="D1679" s="78">
        <v>1</v>
      </c>
      <c r="E1679" s="79">
        <f t="shared" ref="E1679:E1682" si="106">1/120</f>
        <v>8.3333333333333332E-3</v>
      </c>
      <c r="F1679" s="79" t="e">
        <f t="shared" si="103"/>
        <v>#REF!</v>
      </c>
      <c r="G1679" s="2"/>
      <c r="H1679" s="37">
        <v>21395</v>
      </c>
      <c r="I1679" s="4">
        <f t="shared" si="104"/>
        <v>178.29166666666666</v>
      </c>
      <c r="J1679" s="25">
        <f t="shared" si="105"/>
        <v>53</v>
      </c>
    </row>
    <row r="1680" spans="1:10" ht="16.95" customHeight="1">
      <c r="A1680" s="75" t="s">
        <v>81</v>
      </c>
      <c r="B1680" s="80" t="s">
        <v>82</v>
      </c>
      <c r="C1680" s="77" t="s">
        <v>48</v>
      </c>
      <c r="D1680" s="78">
        <v>1</v>
      </c>
      <c r="E1680" s="79">
        <f t="shared" si="106"/>
        <v>8.3333333333333332E-3</v>
      </c>
      <c r="F1680" s="79" t="e">
        <f t="shared" si="103"/>
        <v>#REF!</v>
      </c>
      <c r="G1680" s="2"/>
      <c r="H1680" s="37">
        <v>21395</v>
      </c>
      <c r="I1680" s="4">
        <f t="shared" si="104"/>
        <v>178.29166666666666</v>
      </c>
      <c r="J1680" s="25">
        <f t="shared" si="105"/>
        <v>53</v>
      </c>
    </row>
    <row r="1681" spans="1:10" ht="16.95" customHeight="1">
      <c r="A1681" s="75" t="s">
        <v>83</v>
      </c>
      <c r="B1681" s="80" t="s">
        <v>84</v>
      </c>
      <c r="C1681" s="77" t="s">
        <v>48</v>
      </c>
      <c r="D1681" s="78">
        <v>1</v>
      </c>
      <c r="E1681" s="79">
        <f t="shared" si="106"/>
        <v>8.3333333333333332E-3</v>
      </c>
      <c r="F1681" s="79" t="e">
        <f t="shared" si="103"/>
        <v>#REF!</v>
      </c>
      <c r="G1681" s="2"/>
      <c r="H1681" s="37">
        <v>149765</v>
      </c>
      <c r="I1681" s="4">
        <f t="shared" si="104"/>
        <v>1248.0416666666667</v>
      </c>
      <c r="J1681" s="25">
        <f t="shared" si="105"/>
        <v>53</v>
      </c>
    </row>
    <row r="1682" spans="1:10" ht="16.95" customHeight="1">
      <c r="A1682" s="75" t="s">
        <v>85</v>
      </c>
      <c r="B1682" s="80" t="s">
        <v>86</v>
      </c>
      <c r="C1682" s="77" t="s">
        <v>48</v>
      </c>
      <c r="D1682" s="78">
        <v>1</v>
      </c>
      <c r="E1682" s="79">
        <f t="shared" si="106"/>
        <v>8.3333333333333332E-3</v>
      </c>
      <c r="F1682" s="79" t="e">
        <f t="shared" si="103"/>
        <v>#REF!</v>
      </c>
      <c r="G1682" s="2"/>
      <c r="H1682" s="37">
        <v>6996</v>
      </c>
      <c r="I1682" s="4">
        <f t="shared" si="104"/>
        <v>58.3</v>
      </c>
      <c r="J1682" s="25">
        <f t="shared" si="105"/>
        <v>53</v>
      </c>
    </row>
    <row r="1683" spans="1:10" ht="16.95" customHeight="1">
      <c r="A1683" s="75" t="s">
        <v>87</v>
      </c>
      <c r="B1683" s="80" t="s">
        <v>88</v>
      </c>
      <c r="C1683" s="77" t="s">
        <v>48</v>
      </c>
      <c r="D1683" s="78">
        <v>1</v>
      </c>
      <c r="E1683" s="79">
        <f>1/120</f>
        <v>8.3333333333333332E-3</v>
      </c>
      <c r="F1683" s="79" t="e">
        <f t="shared" si="103"/>
        <v>#REF!</v>
      </c>
      <c r="G1683" s="2"/>
      <c r="H1683" s="37">
        <v>116952</v>
      </c>
      <c r="I1683" s="4">
        <f t="shared" si="104"/>
        <v>974.6</v>
      </c>
      <c r="J1683" s="25">
        <f t="shared" si="105"/>
        <v>53</v>
      </c>
    </row>
    <row r="1684" spans="1:10" ht="16.95" customHeight="1">
      <c r="A1684" s="95" t="s">
        <v>23</v>
      </c>
      <c r="B1684" s="95"/>
      <c r="C1684" s="50"/>
      <c r="D1684" s="50"/>
      <c r="E1684" s="50"/>
      <c r="F1684" s="50"/>
      <c r="G1684" s="50"/>
      <c r="H1684" s="3" t="s">
        <v>24</v>
      </c>
      <c r="I1684" s="5">
        <f>SUM(I1649:I1683)</f>
        <v>2637.5250000000001</v>
      </c>
      <c r="J1684" s="25">
        <f t="shared" si="105"/>
        <v>53</v>
      </c>
    </row>
    <row r="1685" spans="1:10" ht="16.95" customHeight="1">
      <c r="A1685" s="96" t="s">
        <v>25</v>
      </c>
      <c r="B1685" s="96"/>
      <c r="C1685" s="50"/>
      <c r="D1685" s="50"/>
      <c r="E1685" s="50"/>
      <c r="F1685" s="50"/>
      <c r="G1685" s="50"/>
      <c r="J1685" s="25">
        <f t="shared" si="105"/>
        <v>53</v>
      </c>
    </row>
    <row r="1686" spans="1:10" ht="16.95" customHeight="1">
      <c r="A1686" s="96" t="s">
        <v>26</v>
      </c>
      <c r="B1686" s="96"/>
      <c r="C1686" s="50"/>
      <c r="D1686" s="50"/>
      <c r="E1686" s="50"/>
      <c r="F1686" s="50"/>
      <c r="G1686" s="50"/>
      <c r="J1686" s="25">
        <f t="shared" si="105"/>
        <v>53</v>
      </c>
    </row>
    <row r="1687" spans="1:10" ht="16.95" customHeight="1">
      <c r="A1687" s="95" t="s">
        <v>27</v>
      </c>
      <c r="B1687" s="95"/>
      <c r="C1687" s="95"/>
      <c r="D1687" s="95"/>
      <c r="E1687" s="95"/>
      <c r="F1687" s="95"/>
      <c r="G1687" s="95"/>
      <c r="J1687" s="25">
        <f t="shared" si="105"/>
        <v>53</v>
      </c>
    </row>
    <row r="1688" spans="1:10" ht="16.95" customHeight="1">
      <c r="A1688" s="94" t="s">
        <v>28</v>
      </c>
      <c r="B1688" s="94"/>
      <c r="C1688" s="51" t="s">
        <v>29</v>
      </c>
      <c r="D1688" s="51" t="s">
        <v>30</v>
      </c>
      <c r="E1688" s="51" t="s">
        <v>18</v>
      </c>
      <c r="F1688" s="51" t="s">
        <v>31</v>
      </c>
      <c r="G1688" s="51" t="s">
        <v>20</v>
      </c>
      <c r="J1688" s="25">
        <f t="shared" si="105"/>
        <v>53</v>
      </c>
    </row>
    <row r="1689" spans="1:10" ht="16.95" customHeight="1">
      <c r="A1689" s="96"/>
      <c r="B1689" s="96"/>
      <c r="C1689" s="50"/>
      <c r="D1689" s="50"/>
      <c r="E1689" s="50"/>
      <c r="F1689" s="50"/>
      <c r="G1689" s="51"/>
      <c r="J1689" s="25">
        <f t="shared" si="105"/>
        <v>53</v>
      </c>
    </row>
    <row r="1690" spans="1:10" ht="16.95" customHeight="1">
      <c r="A1690" s="97"/>
      <c r="B1690" s="97"/>
      <c r="C1690" s="50"/>
      <c r="D1690" s="50"/>
      <c r="E1690" s="50"/>
      <c r="F1690" s="51"/>
      <c r="G1690" s="51"/>
      <c r="J1690" s="25">
        <f t="shared" si="105"/>
        <v>53</v>
      </c>
    </row>
    <row r="1691" spans="1:10" ht="16.95" customHeight="1">
      <c r="A1691" s="95" t="s">
        <v>32</v>
      </c>
      <c r="B1691" s="95"/>
      <c r="C1691" s="95"/>
      <c r="D1691" s="95"/>
      <c r="E1691" s="95"/>
      <c r="F1691" s="95"/>
      <c r="G1691" s="95"/>
      <c r="J1691" s="25">
        <f t="shared" si="105"/>
        <v>54</v>
      </c>
    </row>
    <row r="1692" spans="1:10" ht="16.95" customHeight="1">
      <c r="A1692" s="51" t="s">
        <v>33</v>
      </c>
      <c r="B1692" s="51" t="s">
        <v>34</v>
      </c>
      <c r="C1692" s="94" t="s">
        <v>35</v>
      </c>
      <c r="D1692" s="94"/>
      <c r="E1692" s="51" t="s">
        <v>36</v>
      </c>
      <c r="F1692" s="51" t="s">
        <v>37</v>
      </c>
      <c r="G1692" s="51" t="s">
        <v>38</v>
      </c>
      <c r="J1692" s="25">
        <f t="shared" si="105"/>
        <v>54</v>
      </c>
    </row>
    <row r="1693" spans="1:10" ht="16.95" customHeight="1">
      <c r="A1693" s="51" t="s">
        <v>39</v>
      </c>
      <c r="B1693" s="6"/>
      <c r="C1693" s="94" t="e">
        <f>B1693+C1630</f>
        <v>#REF!</v>
      </c>
      <c r="D1693" s="94"/>
      <c r="E1693" s="51"/>
      <c r="F1693" s="24"/>
      <c r="G1693" s="24"/>
      <c r="J1693" s="25">
        <f t="shared" si="105"/>
        <v>54</v>
      </c>
    </row>
    <row r="1694" spans="1:10" ht="16.95" customHeight="1">
      <c r="A1694" s="51" t="s">
        <v>40</v>
      </c>
      <c r="B1694" s="6"/>
      <c r="C1694" s="94" t="e">
        <f>B1694+C1631</f>
        <v>#REF!</v>
      </c>
      <c r="D1694" s="94"/>
      <c r="E1694" s="51"/>
      <c r="F1694" s="24"/>
      <c r="G1694" s="24"/>
      <c r="J1694" s="25">
        <f t="shared" si="105"/>
        <v>54</v>
      </c>
    </row>
    <row r="1695" spans="1:10" ht="36.6" customHeight="1">
      <c r="A1695" s="95" t="s">
        <v>41</v>
      </c>
      <c r="B1695" s="95"/>
      <c r="C1695" s="95"/>
      <c r="D1695" s="95"/>
      <c r="E1695" s="95"/>
      <c r="F1695" s="95"/>
      <c r="G1695" s="95"/>
      <c r="J1695" s="25">
        <f t="shared" si="105"/>
        <v>54</v>
      </c>
    </row>
    <row r="1696" spans="1:10" ht="90" customHeight="1">
      <c r="A1696" s="92" t="s">
        <v>42</v>
      </c>
      <c r="B1696" s="92"/>
      <c r="C1696" s="92"/>
      <c r="D1696" s="92"/>
      <c r="E1696" s="92"/>
      <c r="F1696" s="92"/>
      <c r="G1696" s="92"/>
      <c r="J1696" s="25">
        <f t="shared" si="105"/>
        <v>54</v>
      </c>
    </row>
    <row r="1697" spans="1:10" ht="16.95" customHeight="1">
      <c r="A1697" s="95" t="s">
        <v>43</v>
      </c>
      <c r="B1697" s="95"/>
      <c r="C1697" s="95"/>
      <c r="D1697" s="95"/>
      <c r="E1697" s="95"/>
      <c r="F1697" s="95"/>
      <c r="G1697" s="95"/>
      <c r="J1697" s="25">
        <f t="shared" si="105"/>
        <v>54</v>
      </c>
    </row>
    <row r="1698" spans="1:10" ht="16.95" customHeight="1">
      <c r="A1698" s="95" t="s">
        <v>44</v>
      </c>
      <c r="B1698" s="95"/>
      <c r="C1698" s="95"/>
      <c r="D1698" s="95"/>
      <c r="E1698" s="95"/>
      <c r="F1698" s="95"/>
      <c r="G1698" s="95"/>
      <c r="J1698" s="25">
        <f t="shared" si="105"/>
        <v>54</v>
      </c>
    </row>
    <row r="1699" spans="1:10" ht="16.95" customHeight="1">
      <c r="A1699" s="91" t="s">
        <v>64</v>
      </c>
      <c r="B1699" s="91"/>
      <c r="C1699" s="91"/>
      <c r="D1699" s="91"/>
      <c r="E1699" s="91"/>
      <c r="F1699" s="91"/>
      <c r="G1699" s="91"/>
      <c r="J1699" s="25">
        <f t="shared" si="105"/>
        <v>54</v>
      </c>
    </row>
    <row r="1700" spans="1:10" ht="120.6" customHeight="1">
      <c r="A1700" s="92" t="s">
        <v>45</v>
      </c>
      <c r="B1700" s="92"/>
      <c r="C1700" s="92"/>
      <c r="D1700" s="92"/>
      <c r="E1700" s="92"/>
      <c r="F1700" s="92"/>
      <c r="G1700" s="92"/>
      <c r="J1700" s="25">
        <f t="shared" si="105"/>
        <v>54</v>
      </c>
    </row>
    <row r="1701" spans="1:10" ht="140.4" customHeight="1">
      <c r="A1701" s="93" t="s">
        <v>46</v>
      </c>
      <c r="B1701" s="93"/>
      <c r="C1701" s="93"/>
      <c r="D1701" s="93"/>
      <c r="E1701" s="93"/>
      <c r="F1701" s="93"/>
      <c r="G1701" s="93"/>
      <c r="J1701" s="25">
        <f t="shared" si="105"/>
        <v>54</v>
      </c>
    </row>
    <row r="1702" spans="1:10" ht="37.200000000000003" customHeight="1">
      <c r="A1702" s="103" t="s">
        <v>0</v>
      </c>
      <c r="B1702" s="103"/>
      <c r="C1702" s="103"/>
      <c r="D1702" s="103"/>
      <c r="E1702" s="103"/>
      <c r="F1702" s="103"/>
      <c r="G1702" s="103"/>
      <c r="J1702" s="25">
        <f t="shared" si="105"/>
        <v>55</v>
      </c>
    </row>
    <row r="1703" spans="1:10" ht="16.95" customHeight="1">
      <c r="A1703" s="1" t="s">
        <v>1</v>
      </c>
      <c r="B1703" s="104">
        <f>B1640+1</f>
        <v>29</v>
      </c>
      <c r="C1703" s="104"/>
      <c r="D1703" s="104"/>
      <c r="E1703" s="104"/>
      <c r="F1703" s="104"/>
      <c r="G1703" s="104"/>
      <c r="J1703" s="25">
        <f t="shared" si="105"/>
        <v>55</v>
      </c>
    </row>
    <row r="1704" spans="1:10" ht="16.95" customHeight="1">
      <c r="A1704" s="1" t="s">
        <v>2</v>
      </c>
      <c r="B1704" s="105" t="s">
        <v>63</v>
      </c>
      <c r="C1704" s="105"/>
      <c r="D1704" s="105"/>
      <c r="E1704" s="106">
        <f>E1641+1</f>
        <v>46231</v>
      </c>
      <c r="F1704" s="106"/>
      <c r="G1704" s="106"/>
      <c r="J1704" s="25">
        <f t="shared" si="105"/>
        <v>55</v>
      </c>
    </row>
    <row r="1705" spans="1:10" ht="16.95" customHeight="1">
      <c r="A1705" s="53" t="s">
        <v>3</v>
      </c>
      <c r="B1705" s="2" t="s">
        <v>67</v>
      </c>
      <c r="C1705" s="98" t="s">
        <v>4</v>
      </c>
      <c r="D1705" s="98"/>
      <c r="E1705" s="98" t="s">
        <v>47</v>
      </c>
      <c r="F1705" s="98"/>
      <c r="G1705" s="98"/>
      <c r="J1705" s="25">
        <f t="shared" si="105"/>
        <v>55</v>
      </c>
    </row>
    <row r="1706" spans="1:10" ht="16.95" customHeight="1">
      <c r="A1706" s="53" t="s">
        <v>5</v>
      </c>
      <c r="B1706" s="54">
        <v>120</v>
      </c>
      <c r="C1706" s="98" t="s">
        <v>6</v>
      </c>
      <c r="D1706" s="98"/>
      <c r="E1706" s="98" t="s">
        <v>123</v>
      </c>
      <c r="F1706" s="98"/>
      <c r="G1706" s="98"/>
      <c r="J1706" s="25">
        <f t="shared" si="105"/>
        <v>55</v>
      </c>
    </row>
    <row r="1707" spans="1:10" ht="16.95" customHeight="1">
      <c r="A1707" s="53" t="s">
        <v>7</v>
      </c>
      <c r="B1707" s="54">
        <f>B1703</f>
        <v>29</v>
      </c>
      <c r="C1707" s="100" t="s">
        <v>8</v>
      </c>
      <c r="D1707" s="100"/>
      <c r="E1707" s="101">
        <f>B1706-B1707</f>
        <v>91</v>
      </c>
      <c r="F1707" s="101"/>
      <c r="G1707" s="101"/>
      <c r="J1707" s="25">
        <f t="shared" si="105"/>
        <v>55</v>
      </c>
    </row>
    <row r="1708" spans="1:10" ht="16.95" customHeight="1">
      <c r="A1708" s="53" t="s">
        <v>9</v>
      </c>
      <c r="B1708" s="55">
        <v>46204</v>
      </c>
      <c r="C1708" s="98" t="s">
        <v>10</v>
      </c>
      <c r="D1708" s="98"/>
      <c r="E1708" s="102">
        <f>B1708+B1706-1</f>
        <v>46323</v>
      </c>
      <c r="F1708" s="102"/>
      <c r="G1708" s="102"/>
      <c r="J1708" s="25">
        <f t="shared" si="105"/>
        <v>55</v>
      </c>
    </row>
    <row r="1709" spans="1:10" ht="16.95" customHeight="1">
      <c r="A1709" s="53" t="s">
        <v>11</v>
      </c>
      <c r="B1709" s="56" t="e">
        <f>HLOOKUP(B1703,進度表!$Q$2:$Z$3,2,1)+B1646</f>
        <v>#REF!</v>
      </c>
      <c r="C1709" s="98" t="s">
        <v>12</v>
      </c>
      <c r="D1709" s="98"/>
      <c r="E1709" s="99" t="e">
        <f>I1747/I1709+E1646</f>
        <v>#REF!</v>
      </c>
      <c r="F1709" s="99"/>
      <c r="G1709" s="99"/>
      <c r="H1709" s="3" t="s">
        <v>62</v>
      </c>
      <c r="I1709" s="1">
        <v>2456000</v>
      </c>
      <c r="J1709" s="25">
        <f t="shared" si="105"/>
        <v>55</v>
      </c>
    </row>
    <row r="1710" spans="1:10" ht="16.95" customHeight="1">
      <c r="A1710" s="98" t="s">
        <v>13</v>
      </c>
      <c r="B1710" s="98"/>
      <c r="C1710" s="98"/>
      <c r="D1710" s="98"/>
      <c r="E1710" s="98"/>
      <c r="F1710" s="98"/>
      <c r="G1710" s="98"/>
      <c r="J1710" s="25">
        <f t="shared" si="105"/>
        <v>55</v>
      </c>
    </row>
    <row r="1711" spans="1:10" ht="16.95" customHeight="1">
      <c r="A1711" s="52" t="s">
        <v>14</v>
      </c>
      <c r="B1711" s="52" t="s">
        <v>15</v>
      </c>
      <c r="C1711" s="52" t="s">
        <v>16</v>
      </c>
      <c r="D1711" s="52" t="s">
        <v>17</v>
      </c>
      <c r="E1711" s="52" t="s">
        <v>18</v>
      </c>
      <c r="F1711" s="52" t="s">
        <v>19</v>
      </c>
      <c r="G1711" s="52" t="s">
        <v>20</v>
      </c>
      <c r="H1711" s="3" t="s">
        <v>21</v>
      </c>
      <c r="I1711" s="3" t="s">
        <v>22</v>
      </c>
      <c r="J1711" s="25">
        <f t="shared" si="105"/>
        <v>55</v>
      </c>
    </row>
    <row r="1712" spans="1:10" ht="16.95" customHeight="1">
      <c r="A1712" s="75" t="s">
        <v>65</v>
      </c>
      <c r="B1712" s="76" t="s">
        <v>69</v>
      </c>
      <c r="C1712" s="77"/>
      <c r="D1712" s="78"/>
      <c r="E1712" s="79"/>
      <c r="F1712" s="79"/>
      <c r="G1712" s="2"/>
      <c r="H1712" s="37"/>
      <c r="I1712" s="4"/>
      <c r="J1712" s="25">
        <f t="shared" si="105"/>
        <v>55</v>
      </c>
    </row>
    <row r="1713" spans="1:10" ht="34.950000000000003" customHeight="1">
      <c r="A1713" s="75">
        <v>1</v>
      </c>
      <c r="B1713" s="80" t="s">
        <v>91</v>
      </c>
      <c r="C1713" s="77" t="s">
        <v>48</v>
      </c>
      <c r="D1713" s="78">
        <v>1</v>
      </c>
      <c r="E1713" s="79"/>
      <c r="F1713" s="79" t="e">
        <f t="shared" ref="F1713:F1746" si="107">E1713+F1650</f>
        <v>#REF!</v>
      </c>
      <c r="G1713" s="2"/>
      <c r="H1713" s="37">
        <v>10508</v>
      </c>
      <c r="I1713" s="4">
        <f>H1713*E1713</f>
        <v>0</v>
      </c>
      <c r="J1713" s="25">
        <f t="shared" si="105"/>
        <v>55</v>
      </c>
    </row>
    <row r="1714" spans="1:10" ht="34.799999999999997" customHeight="1">
      <c r="A1714" s="75">
        <v>2</v>
      </c>
      <c r="B1714" s="80" t="s">
        <v>92</v>
      </c>
      <c r="C1714" s="77" t="s">
        <v>48</v>
      </c>
      <c r="D1714" s="78">
        <v>1</v>
      </c>
      <c r="E1714" s="79"/>
      <c r="F1714" s="79" t="e">
        <f t="shared" si="107"/>
        <v>#REF!</v>
      </c>
      <c r="G1714" s="2"/>
      <c r="H1714" s="37">
        <v>13223</v>
      </c>
      <c r="I1714" s="4">
        <f>H1714*E1714</f>
        <v>0</v>
      </c>
      <c r="J1714" s="25">
        <f t="shared" si="105"/>
        <v>55</v>
      </c>
    </row>
    <row r="1715" spans="1:10" ht="53.4" customHeight="1">
      <c r="A1715" s="75">
        <v>3</v>
      </c>
      <c r="B1715" s="80" t="s">
        <v>93</v>
      </c>
      <c r="C1715" s="77" t="s">
        <v>48</v>
      </c>
      <c r="D1715" s="78">
        <v>1</v>
      </c>
      <c r="E1715" s="79"/>
      <c r="F1715" s="79" t="e">
        <f t="shared" si="107"/>
        <v>#REF!</v>
      </c>
      <c r="G1715" s="2"/>
      <c r="H1715" s="37">
        <v>310497</v>
      </c>
      <c r="I1715" s="4">
        <f t="shared" ref="I1715:I1746" si="108">H1715*E1715</f>
        <v>0</v>
      </c>
      <c r="J1715" s="25">
        <f t="shared" si="105"/>
        <v>55</v>
      </c>
    </row>
    <row r="1716" spans="1:10" ht="16.95" customHeight="1">
      <c r="A1716" s="75">
        <v>4</v>
      </c>
      <c r="B1716" s="80" t="s">
        <v>94</v>
      </c>
      <c r="C1716" s="77" t="s">
        <v>48</v>
      </c>
      <c r="D1716" s="78">
        <v>1</v>
      </c>
      <c r="E1716" s="79"/>
      <c r="F1716" s="79" t="e">
        <f t="shared" si="107"/>
        <v>#REF!</v>
      </c>
      <c r="G1716" s="2"/>
      <c r="H1716" s="37">
        <v>8375</v>
      </c>
      <c r="I1716" s="4">
        <f t="shared" si="108"/>
        <v>0</v>
      </c>
      <c r="J1716" s="25">
        <f t="shared" si="105"/>
        <v>55</v>
      </c>
    </row>
    <row r="1717" spans="1:10" ht="16.95" customHeight="1">
      <c r="A1717" s="75">
        <v>5</v>
      </c>
      <c r="B1717" s="80" t="s">
        <v>95</v>
      </c>
      <c r="C1717" s="77" t="s">
        <v>48</v>
      </c>
      <c r="D1717" s="78">
        <v>1</v>
      </c>
      <c r="E1717" s="79"/>
      <c r="F1717" s="79" t="e">
        <f t="shared" si="107"/>
        <v>#REF!</v>
      </c>
      <c r="G1717" s="2"/>
      <c r="H1717" s="37">
        <v>51618</v>
      </c>
      <c r="I1717" s="4">
        <f t="shared" si="108"/>
        <v>0</v>
      </c>
      <c r="J1717" s="25">
        <f t="shared" si="105"/>
        <v>55</v>
      </c>
    </row>
    <row r="1718" spans="1:10" ht="16.95" customHeight="1">
      <c r="A1718" s="75">
        <v>6</v>
      </c>
      <c r="B1718" s="80" t="s">
        <v>96</v>
      </c>
      <c r="C1718" s="77" t="s">
        <v>50</v>
      </c>
      <c r="D1718" s="78">
        <v>11.55</v>
      </c>
      <c r="E1718" s="79"/>
      <c r="F1718" s="79" t="e">
        <f t="shared" si="107"/>
        <v>#REF!</v>
      </c>
      <c r="G1718" s="2"/>
      <c r="H1718" s="37">
        <v>1188</v>
      </c>
      <c r="I1718" s="4">
        <f t="shared" si="108"/>
        <v>0</v>
      </c>
      <c r="J1718" s="25">
        <f t="shared" si="105"/>
        <v>55</v>
      </c>
    </row>
    <row r="1719" spans="1:10" ht="34.950000000000003" customHeight="1">
      <c r="A1719" s="75">
        <v>7</v>
      </c>
      <c r="B1719" s="80" t="s">
        <v>97</v>
      </c>
      <c r="C1719" s="77" t="s">
        <v>48</v>
      </c>
      <c r="D1719" s="78">
        <v>1</v>
      </c>
      <c r="E1719" s="79"/>
      <c r="F1719" s="79" t="e">
        <f t="shared" si="107"/>
        <v>#REF!</v>
      </c>
      <c r="G1719" s="2"/>
      <c r="H1719" s="37">
        <v>21157</v>
      </c>
      <c r="I1719" s="4">
        <f t="shared" si="108"/>
        <v>0</v>
      </c>
      <c r="J1719" s="25">
        <f t="shared" si="105"/>
        <v>55</v>
      </c>
    </row>
    <row r="1720" spans="1:10" ht="16.95" customHeight="1">
      <c r="A1720" s="75">
        <v>8</v>
      </c>
      <c r="B1720" s="80" t="s">
        <v>98</v>
      </c>
      <c r="C1720" s="77" t="s">
        <v>50</v>
      </c>
      <c r="D1720" s="78">
        <v>387</v>
      </c>
      <c r="E1720" s="79"/>
      <c r="F1720" s="79" t="e">
        <f t="shared" si="107"/>
        <v>#REF!</v>
      </c>
      <c r="G1720" s="2"/>
      <c r="H1720" s="37">
        <v>705</v>
      </c>
      <c r="I1720" s="4">
        <f t="shared" si="108"/>
        <v>0</v>
      </c>
      <c r="J1720" s="25">
        <f t="shared" si="105"/>
        <v>55</v>
      </c>
    </row>
    <row r="1721" spans="1:10" ht="16.95" customHeight="1">
      <c r="A1721" s="75">
        <v>9</v>
      </c>
      <c r="B1721" s="80" t="s">
        <v>99</v>
      </c>
      <c r="C1721" s="77" t="s">
        <v>50</v>
      </c>
      <c r="D1721" s="78">
        <v>170</v>
      </c>
      <c r="E1721" s="79"/>
      <c r="F1721" s="79" t="e">
        <f t="shared" si="107"/>
        <v>#REF!</v>
      </c>
      <c r="G1721" s="2"/>
      <c r="H1721" s="37">
        <v>617</v>
      </c>
      <c r="I1721" s="4">
        <f t="shared" si="108"/>
        <v>0</v>
      </c>
      <c r="J1721" s="25">
        <f t="shared" si="105"/>
        <v>55</v>
      </c>
    </row>
    <row r="1722" spans="1:10" ht="16.95" customHeight="1">
      <c r="A1722" s="75">
        <v>10</v>
      </c>
      <c r="B1722" s="80" t="s">
        <v>100</v>
      </c>
      <c r="C1722" s="77" t="s">
        <v>66</v>
      </c>
      <c r="D1722" s="78">
        <v>15</v>
      </c>
      <c r="E1722" s="79"/>
      <c r="F1722" s="79" t="e">
        <f t="shared" si="107"/>
        <v>#REF!</v>
      </c>
      <c r="G1722" s="2"/>
      <c r="H1722" s="37">
        <v>617</v>
      </c>
      <c r="I1722" s="4">
        <f t="shared" si="108"/>
        <v>0</v>
      </c>
      <c r="J1722" s="25">
        <f t="shared" si="105"/>
        <v>55</v>
      </c>
    </row>
    <row r="1723" spans="1:10" ht="16.95" customHeight="1">
      <c r="A1723" s="75">
        <v>11</v>
      </c>
      <c r="B1723" s="80" t="s">
        <v>101</v>
      </c>
      <c r="C1723" s="77" t="s">
        <v>50</v>
      </c>
      <c r="D1723" s="78">
        <v>75</v>
      </c>
      <c r="E1723" s="79"/>
      <c r="F1723" s="79" t="e">
        <f t="shared" si="107"/>
        <v>#REF!</v>
      </c>
      <c r="G1723" s="2"/>
      <c r="H1723" s="37">
        <v>1146</v>
      </c>
      <c r="I1723" s="4">
        <f t="shared" si="108"/>
        <v>0</v>
      </c>
      <c r="J1723" s="25">
        <f t="shared" ref="J1723:J1786" si="109">J1660+2</f>
        <v>55</v>
      </c>
    </row>
    <row r="1724" spans="1:10" ht="16.95" customHeight="1">
      <c r="A1724" s="75">
        <v>12</v>
      </c>
      <c r="B1724" s="80" t="s">
        <v>102</v>
      </c>
      <c r="C1724" s="77" t="s">
        <v>50</v>
      </c>
      <c r="D1724" s="78">
        <v>5</v>
      </c>
      <c r="E1724" s="79"/>
      <c r="F1724" s="79" t="e">
        <f t="shared" si="107"/>
        <v>#REF!</v>
      </c>
      <c r="G1724" s="2"/>
      <c r="H1724" s="37">
        <v>1455</v>
      </c>
      <c r="I1724" s="4">
        <f t="shared" si="108"/>
        <v>0</v>
      </c>
      <c r="J1724" s="25">
        <f t="shared" si="109"/>
        <v>55</v>
      </c>
    </row>
    <row r="1725" spans="1:10" ht="16.95" customHeight="1">
      <c r="A1725" s="75">
        <v>13</v>
      </c>
      <c r="B1725" s="80" t="s">
        <v>103</v>
      </c>
      <c r="C1725" s="77" t="s">
        <v>50</v>
      </c>
      <c r="D1725" s="78">
        <v>217</v>
      </c>
      <c r="E1725" s="79"/>
      <c r="F1725" s="79" t="e">
        <f t="shared" si="107"/>
        <v>#REF!</v>
      </c>
      <c r="G1725" s="2"/>
      <c r="H1725" s="37">
        <v>1410</v>
      </c>
      <c r="I1725" s="4">
        <f t="shared" si="108"/>
        <v>0</v>
      </c>
      <c r="J1725" s="25">
        <f t="shared" si="109"/>
        <v>55</v>
      </c>
    </row>
    <row r="1726" spans="1:10" ht="16.95" customHeight="1">
      <c r="A1726" s="75">
        <v>14</v>
      </c>
      <c r="B1726" s="80" t="s">
        <v>104</v>
      </c>
      <c r="C1726" s="77" t="s">
        <v>49</v>
      </c>
      <c r="D1726" s="78">
        <v>84</v>
      </c>
      <c r="E1726" s="79"/>
      <c r="F1726" s="79" t="e">
        <f t="shared" si="107"/>
        <v>#REF!</v>
      </c>
      <c r="G1726" s="2"/>
      <c r="H1726" s="37">
        <v>529</v>
      </c>
      <c r="I1726" s="4">
        <f t="shared" si="108"/>
        <v>0</v>
      </c>
      <c r="J1726" s="25">
        <f t="shared" si="109"/>
        <v>55</v>
      </c>
    </row>
    <row r="1727" spans="1:10" ht="16.95" customHeight="1">
      <c r="A1727" s="75">
        <v>15</v>
      </c>
      <c r="B1727" s="80" t="s">
        <v>105</v>
      </c>
      <c r="C1727" s="77" t="s">
        <v>50</v>
      </c>
      <c r="D1727" s="78">
        <v>1</v>
      </c>
      <c r="E1727" s="79"/>
      <c r="F1727" s="79" t="e">
        <f t="shared" si="107"/>
        <v>#REF!</v>
      </c>
      <c r="G1727" s="2"/>
      <c r="H1727" s="37">
        <v>1146</v>
      </c>
      <c r="I1727" s="4">
        <f t="shared" si="108"/>
        <v>0</v>
      </c>
      <c r="J1727" s="25">
        <f t="shared" si="109"/>
        <v>55</v>
      </c>
    </row>
    <row r="1728" spans="1:10" ht="34.799999999999997" customHeight="1">
      <c r="A1728" s="75">
        <v>16</v>
      </c>
      <c r="B1728" s="80" t="s">
        <v>106</v>
      </c>
      <c r="C1728" s="77" t="s">
        <v>50</v>
      </c>
      <c r="D1728" s="78">
        <v>314</v>
      </c>
      <c r="E1728" s="79"/>
      <c r="F1728" s="79" t="e">
        <f t="shared" si="107"/>
        <v>#REF!</v>
      </c>
      <c r="G1728" s="2"/>
      <c r="H1728" s="37">
        <v>185</v>
      </c>
      <c r="I1728" s="4">
        <f t="shared" si="108"/>
        <v>0</v>
      </c>
      <c r="J1728" s="25">
        <f t="shared" si="109"/>
        <v>55</v>
      </c>
    </row>
    <row r="1729" spans="1:10" ht="16.95" customHeight="1">
      <c r="A1729" s="75">
        <v>17</v>
      </c>
      <c r="B1729" s="80" t="s">
        <v>107</v>
      </c>
      <c r="C1729" s="77" t="s">
        <v>48</v>
      </c>
      <c r="D1729" s="78">
        <v>1</v>
      </c>
      <c r="E1729" s="79"/>
      <c r="F1729" s="79" t="e">
        <f t="shared" si="107"/>
        <v>#REF!</v>
      </c>
      <c r="G1729" s="2"/>
      <c r="H1729" s="37">
        <v>89918</v>
      </c>
      <c r="I1729" s="4">
        <f t="shared" si="108"/>
        <v>0</v>
      </c>
      <c r="J1729" s="25">
        <f t="shared" si="109"/>
        <v>55</v>
      </c>
    </row>
    <row r="1730" spans="1:10" ht="16.95" customHeight="1">
      <c r="A1730" s="75">
        <v>18</v>
      </c>
      <c r="B1730" s="80" t="s">
        <v>108</v>
      </c>
      <c r="C1730" s="77" t="s">
        <v>120</v>
      </c>
      <c r="D1730" s="78">
        <v>15</v>
      </c>
      <c r="E1730" s="79"/>
      <c r="F1730" s="79" t="e">
        <f t="shared" si="107"/>
        <v>#REF!</v>
      </c>
      <c r="G1730" s="2"/>
      <c r="H1730" s="37">
        <v>661</v>
      </c>
      <c r="I1730" s="4">
        <f t="shared" si="108"/>
        <v>0</v>
      </c>
      <c r="J1730" s="25">
        <f t="shared" si="109"/>
        <v>55</v>
      </c>
    </row>
    <row r="1731" spans="1:10" ht="16.95" customHeight="1">
      <c r="A1731" s="75">
        <v>19</v>
      </c>
      <c r="B1731" s="80" t="s">
        <v>109</v>
      </c>
      <c r="C1731" s="77" t="s">
        <v>50</v>
      </c>
      <c r="D1731" s="78">
        <v>82</v>
      </c>
      <c r="E1731" s="79"/>
      <c r="F1731" s="79" t="e">
        <f t="shared" si="107"/>
        <v>#REF!</v>
      </c>
      <c r="G1731" s="2"/>
      <c r="H1731" s="37">
        <v>2909</v>
      </c>
      <c r="I1731" s="4">
        <f t="shared" si="108"/>
        <v>0</v>
      </c>
      <c r="J1731" s="25">
        <f t="shared" si="109"/>
        <v>55</v>
      </c>
    </row>
    <row r="1732" spans="1:10" ht="16.95" customHeight="1">
      <c r="A1732" s="75">
        <v>20</v>
      </c>
      <c r="B1732" s="80" t="s">
        <v>110</v>
      </c>
      <c r="C1732" s="77" t="s">
        <v>121</v>
      </c>
      <c r="D1732" s="78">
        <v>12</v>
      </c>
      <c r="E1732" s="79"/>
      <c r="F1732" s="79" t="e">
        <f t="shared" si="107"/>
        <v>#REF!</v>
      </c>
      <c r="G1732" s="2"/>
      <c r="H1732" s="37">
        <v>882</v>
      </c>
      <c r="I1732" s="4">
        <f t="shared" si="108"/>
        <v>0</v>
      </c>
      <c r="J1732" s="25">
        <f t="shared" si="109"/>
        <v>55</v>
      </c>
    </row>
    <row r="1733" spans="1:10" ht="16.95" customHeight="1">
      <c r="A1733" s="77">
        <v>21</v>
      </c>
      <c r="B1733" s="80" t="s">
        <v>111</v>
      </c>
      <c r="C1733" s="77" t="s">
        <v>122</v>
      </c>
      <c r="D1733" s="78">
        <v>3</v>
      </c>
      <c r="E1733" s="79"/>
      <c r="F1733" s="79" t="e">
        <f t="shared" si="107"/>
        <v>#REF!</v>
      </c>
      <c r="G1733" s="2"/>
      <c r="H1733" s="38">
        <v>1869</v>
      </c>
      <c r="I1733" s="4">
        <f t="shared" si="108"/>
        <v>0</v>
      </c>
      <c r="J1733" s="25">
        <f t="shared" si="109"/>
        <v>55</v>
      </c>
    </row>
    <row r="1734" spans="1:10" ht="34.950000000000003" customHeight="1">
      <c r="A1734" s="75">
        <v>22</v>
      </c>
      <c r="B1734" s="80" t="s">
        <v>112</v>
      </c>
      <c r="C1734" s="77" t="s">
        <v>48</v>
      </c>
      <c r="D1734" s="78">
        <v>1</v>
      </c>
      <c r="E1734" s="79"/>
      <c r="F1734" s="79" t="e">
        <f t="shared" si="107"/>
        <v>#REF!</v>
      </c>
      <c r="G1734" s="2"/>
      <c r="H1734" s="37">
        <v>82206</v>
      </c>
      <c r="I1734" s="4">
        <f t="shared" si="108"/>
        <v>0</v>
      </c>
      <c r="J1734" s="25">
        <f t="shared" si="109"/>
        <v>55</v>
      </c>
    </row>
    <row r="1735" spans="1:10" ht="16.95" customHeight="1">
      <c r="A1735" s="75">
        <v>23</v>
      </c>
      <c r="B1735" s="80" t="s">
        <v>113</v>
      </c>
      <c r="C1735" s="77" t="s">
        <v>48</v>
      </c>
      <c r="D1735" s="78">
        <v>1</v>
      </c>
      <c r="E1735" s="79"/>
      <c r="F1735" s="79" t="e">
        <f t="shared" si="107"/>
        <v>#REF!</v>
      </c>
      <c r="G1735" s="2"/>
      <c r="H1735" s="37">
        <v>142723</v>
      </c>
      <c r="I1735" s="4">
        <f t="shared" si="108"/>
        <v>0</v>
      </c>
      <c r="J1735" s="25">
        <f t="shared" si="109"/>
        <v>55</v>
      </c>
    </row>
    <row r="1736" spans="1:10" ht="16.95" customHeight="1">
      <c r="A1736" s="75">
        <v>24</v>
      </c>
      <c r="B1736" s="80" t="s">
        <v>114</v>
      </c>
      <c r="C1736" s="77" t="s">
        <v>48</v>
      </c>
      <c r="D1736" s="78">
        <v>1</v>
      </c>
      <c r="E1736" s="79"/>
      <c r="F1736" s="79" t="e">
        <f t="shared" si="107"/>
        <v>#REF!</v>
      </c>
      <c r="G1736" s="2"/>
      <c r="H1736" s="37">
        <v>37290</v>
      </c>
      <c r="I1736" s="4">
        <f t="shared" si="108"/>
        <v>0</v>
      </c>
      <c r="J1736" s="25">
        <f t="shared" si="109"/>
        <v>55</v>
      </c>
    </row>
    <row r="1737" spans="1:10" ht="16.95" customHeight="1">
      <c r="A1737" s="75">
        <v>25</v>
      </c>
      <c r="B1737" s="80" t="s">
        <v>115</v>
      </c>
      <c r="C1737" s="77" t="s">
        <v>48</v>
      </c>
      <c r="D1737" s="78">
        <v>1</v>
      </c>
      <c r="E1737" s="79"/>
      <c r="F1737" s="79" t="e">
        <f t="shared" si="107"/>
        <v>#REF!</v>
      </c>
      <c r="G1737" s="2"/>
      <c r="H1737" s="37">
        <v>99394</v>
      </c>
      <c r="I1737" s="4">
        <f t="shared" si="108"/>
        <v>0</v>
      </c>
      <c r="J1737" s="25">
        <f t="shared" si="109"/>
        <v>55</v>
      </c>
    </row>
    <row r="1738" spans="1:10" ht="34.950000000000003" customHeight="1">
      <c r="A1738" s="75">
        <v>26</v>
      </c>
      <c r="B1738" s="80" t="s">
        <v>116</v>
      </c>
      <c r="C1738" s="77" t="s">
        <v>48</v>
      </c>
      <c r="D1738" s="78">
        <v>1</v>
      </c>
      <c r="E1738" s="79"/>
      <c r="F1738" s="79" t="e">
        <f t="shared" si="107"/>
        <v>#REF!</v>
      </c>
      <c r="G1738" s="2"/>
      <c r="H1738" s="37">
        <v>21334</v>
      </c>
      <c r="I1738" s="4">
        <f t="shared" si="108"/>
        <v>0</v>
      </c>
      <c r="J1738" s="25">
        <f t="shared" si="109"/>
        <v>55</v>
      </c>
    </row>
    <row r="1739" spans="1:10" ht="16.95" customHeight="1">
      <c r="A1739" s="75">
        <v>27</v>
      </c>
      <c r="B1739" s="80" t="s">
        <v>117</v>
      </c>
      <c r="C1739" s="77" t="s">
        <v>48</v>
      </c>
      <c r="D1739" s="78">
        <v>1</v>
      </c>
      <c r="E1739" s="79"/>
      <c r="F1739" s="79" t="e">
        <f t="shared" si="107"/>
        <v>#REF!</v>
      </c>
      <c r="G1739" s="2"/>
      <c r="H1739" s="37">
        <v>29620</v>
      </c>
      <c r="I1739" s="4">
        <f t="shared" si="108"/>
        <v>0</v>
      </c>
      <c r="J1739" s="25">
        <f t="shared" si="109"/>
        <v>55</v>
      </c>
    </row>
    <row r="1740" spans="1:10" ht="16.95" customHeight="1">
      <c r="A1740" s="75">
        <v>28</v>
      </c>
      <c r="B1740" s="80" t="s">
        <v>118</v>
      </c>
      <c r="C1740" s="77" t="s">
        <v>48</v>
      </c>
      <c r="D1740" s="78">
        <v>1</v>
      </c>
      <c r="E1740" s="79"/>
      <c r="F1740" s="79" t="e">
        <f t="shared" si="107"/>
        <v>#REF!</v>
      </c>
      <c r="G1740" s="2"/>
      <c r="H1740" s="37">
        <v>18506</v>
      </c>
      <c r="I1740" s="4">
        <f t="shared" si="108"/>
        <v>0</v>
      </c>
      <c r="J1740" s="25">
        <f t="shared" si="109"/>
        <v>55</v>
      </c>
    </row>
    <row r="1741" spans="1:10" ht="16.95" customHeight="1">
      <c r="A1741" s="75">
        <v>29</v>
      </c>
      <c r="B1741" s="80" t="s">
        <v>119</v>
      </c>
      <c r="C1741" s="77" t="s">
        <v>48</v>
      </c>
      <c r="D1741" s="78">
        <v>1</v>
      </c>
      <c r="E1741" s="79"/>
      <c r="F1741" s="79" t="e">
        <f t="shared" si="107"/>
        <v>#REF!</v>
      </c>
      <c r="G1741" s="2"/>
      <c r="H1741" s="37">
        <v>34381</v>
      </c>
      <c r="I1741" s="4">
        <f t="shared" si="108"/>
        <v>0</v>
      </c>
      <c r="J1741" s="25">
        <f t="shared" si="109"/>
        <v>55</v>
      </c>
    </row>
    <row r="1742" spans="1:10" ht="16.95" customHeight="1">
      <c r="A1742" s="75" t="s">
        <v>79</v>
      </c>
      <c r="B1742" s="80" t="s">
        <v>80</v>
      </c>
      <c r="C1742" s="77" t="s">
        <v>48</v>
      </c>
      <c r="D1742" s="78">
        <v>1</v>
      </c>
      <c r="E1742" s="79">
        <f t="shared" ref="E1742:E1745" si="110">1/120</f>
        <v>8.3333333333333332E-3</v>
      </c>
      <c r="F1742" s="79" t="e">
        <f t="shared" si="107"/>
        <v>#REF!</v>
      </c>
      <c r="G1742" s="2"/>
      <c r="H1742" s="37">
        <v>21395</v>
      </c>
      <c r="I1742" s="4">
        <f t="shared" si="108"/>
        <v>178.29166666666666</v>
      </c>
      <c r="J1742" s="25">
        <f t="shared" si="109"/>
        <v>55</v>
      </c>
    </row>
    <row r="1743" spans="1:10" ht="16.95" customHeight="1">
      <c r="A1743" s="75" t="s">
        <v>81</v>
      </c>
      <c r="B1743" s="80" t="s">
        <v>82</v>
      </c>
      <c r="C1743" s="77" t="s">
        <v>48</v>
      </c>
      <c r="D1743" s="78">
        <v>1</v>
      </c>
      <c r="E1743" s="79">
        <f t="shared" si="110"/>
        <v>8.3333333333333332E-3</v>
      </c>
      <c r="F1743" s="79" t="e">
        <f t="shared" si="107"/>
        <v>#REF!</v>
      </c>
      <c r="G1743" s="2"/>
      <c r="H1743" s="37">
        <v>21395</v>
      </c>
      <c r="I1743" s="4">
        <f t="shared" si="108"/>
        <v>178.29166666666666</v>
      </c>
      <c r="J1743" s="25">
        <f t="shared" si="109"/>
        <v>55</v>
      </c>
    </row>
    <row r="1744" spans="1:10" ht="16.95" customHeight="1">
      <c r="A1744" s="75" t="s">
        <v>83</v>
      </c>
      <c r="B1744" s="80" t="s">
        <v>84</v>
      </c>
      <c r="C1744" s="77" t="s">
        <v>48</v>
      </c>
      <c r="D1744" s="78">
        <v>1</v>
      </c>
      <c r="E1744" s="79">
        <f t="shared" si="110"/>
        <v>8.3333333333333332E-3</v>
      </c>
      <c r="F1744" s="79" t="e">
        <f t="shared" si="107"/>
        <v>#REF!</v>
      </c>
      <c r="G1744" s="2"/>
      <c r="H1744" s="37">
        <v>149765</v>
      </c>
      <c r="I1744" s="4">
        <f t="shared" si="108"/>
        <v>1248.0416666666667</v>
      </c>
      <c r="J1744" s="25">
        <f t="shared" si="109"/>
        <v>55</v>
      </c>
    </row>
    <row r="1745" spans="1:10" ht="16.95" customHeight="1">
      <c r="A1745" s="75" t="s">
        <v>85</v>
      </c>
      <c r="B1745" s="80" t="s">
        <v>86</v>
      </c>
      <c r="C1745" s="77" t="s">
        <v>48</v>
      </c>
      <c r="D1745" s="78">
        <v>1</v>
      </c>
      <c r="E1745" s="79">
        <f t="shared" si="110"/>
        <v>8.3333333333333332E-3</v>
      </c>
      <c r="F1745" s="79" t="e">
        <f t="shared" si="107"/>
        <v>#REF!</v>
      </c>
      <c r="G1745" s="2"/>
      <c r="H1745" s="37">
        <v>6996</v>
      </c>
      <c r="I1745" s="4">
        <f t="shared" si="108"/>
        <v>58.3</v>
      </c>
      <c r="J1745" s="25">
        <f t="shared" si="109"/>
        <v>55</v>
      </c>
    </row>
    <row r="1746" spans="1:10" ht="16.95" customHeight="1">
      <c r="A1746" s="75" t="s">
        <v>87</v>
      </c>
      <c r="B1746" s="80" t="s">
        <v>88</v>
      </c>
      <c r="C1746" s="77" t="s">
        <v>48</v>
      </c>
      <c r="D1746" s="78">
        <v>1</v>
      </c>
      <c r="E1746" s="79">
        <f>1/120</f>
        <v>8.3333333333333332E-3</v>
      </c>
      <c r="F1746" s="79" t="e">
        <f t="shared" si="107"/>
        <v>#REF!</v>
      </c>
      <c r="G1746" s="2"/>
      <c r="H1746" s="37">
        <v>116952</v>
      </c>
      <c r="I1746" s="4">
        <f t="shared" si="108"/>
        <v>974.6</v>
      </c>
      <c r="J1746" s="25">
        <f t="shared" si="109"/>
        <v>55</v>
      </c>
    </row>
    <row r="1747" spans="1:10" ht="16.95" customHeight="1">
      <c r="A1747" s="95" t="s">
        <v>23</v>
      </c>
      <c r="B1747" s="95"/>
      <c r="C1747" s="50"/>
      <c r="D1747" s="50"/>
      <c r="E1747" s="50"/>
      <c r="F1747" s="50"/>
      <c r="G1747" s="50"/>
      <c r="H1747" s="3" t="s">
        <v>24</v>
      </c>
      <c r="I1747" s="5">
        <f>SUM(I1712:I1746)</f>
        <v>2637.5250000000001</v>
      </c>
      <c r="J1747" s="25">
        <f t="shared" si="109"/>
        <v>55</v>
      </c>
    </row>
    <row r="1748" spans="1:10" ht="16.95" customHeight="1">
      <c r="A1748" s="96" t="s">
        <v>25</v>
      </c>
      <c r="B1748" s="96"/>
      <c r="C1748" s="50"/>
      <c r="D1748" s="50"/>
      <c r="E1748" s="50"/>
      <c r="F1748" s="50"/>
      <c r="G1748" s="50"/>
      <c r="J1748" s="25">
        <f t="shared" si="109"/>
        <v>55</v>
      </c>
    </row>
    <row r="1749" spans="1:10" ht="16.95" customHeight="1">
      <c r="A1749" s="96" t="s">
        <v>26</v>
      </c>
      <c r="B1749" s="96"/>
      <c r="C1749" s="50"/>
      <c r="D1749" s="50"/>
      <c r="E1749" s="50"/>
      <c r="F1749" s="50"/>
      <c r="G1749" s="50"/>
      <c r="J1749" s="25">
        <f t="shared" si="109"/>
        <v>55</v>
      </c>
    </row>
    <row r="1750" spans="1:10" ht="16.95" customHeight="1">
      <c r="A1750" s="95" t="s">
        <v>27</v>
      </c>
      <c r="B1750" s="95"/>
      <c r="C1750" s="95"/>
      <c r="D1750" s="95"/>
      <c r="E1750" s="95"/>
      <c r="F1750" s="95"/>
      <c r="G1750" s="95"/>
      <c r="J1750" s="25">
        <f t="shared" si="109"/>
        <v>55</v>
      </c>
    </row>
    <row r="1751" spans="1:10" ht="16.95" customHeight="1">
      <c r="A1751" s="94" t="s">
        <v>28</v>
      </c>
      <c r="B1751" s="94"/>
      <c r="C1751" s="51" t="s">
        <v>29</v>
      </c>
      <c r="D1751" s="51" t="s">
        <v>30</v>
      </c>
      <c r="E1751" s="51" t="s">
        <v>18</v>
      </c>
      <c r="F1751" s="51" t="s">
        <v>31</v>
      </c>
      <c r="G1751" s="51" t="s">
        <v>20</v>
      </c>
      <c r="J1751" s="25">
        <f t="shared" si="109"/>
        <v>55</v>
      </c>
    </row>
    <row r="1752" spans="1:10" ht="16.95" customHeight="1">
      <c r="A1752" s="96"/>
      <c r="B1752" s="96"/>
      <c r="C1752" s="50"/>
      <c r="D1752" s="50"/>
      <c r="E1752" s="50"/>
      <c r="F1752" s="50"/>
      <c r="G1752" s="51"/>
      <c r="J1752" s="25">
        <f t="shared" si="109"/>
        <v>55</v>
      </c>
    </row>
    <row r="1753" spans="1:10" ht="16.95" customHeight="1">
      <c r="A1753" s="97"/>
      <c r="B1753" s="97"/>
      <c r="C1753" s="50"/>
      <c r="D1753" s="50"/>
      <c r="E1753" s="50"/>
      <c r="F1753" s="51"/>
      <c r="G1753" s="51"/>
      <c r="J1753" s="25">
        <f t="shared" si="109"/>
        <v>55</v>
      </c>
    </row>
    <row r="1754" spans="1:10" ht="16.95" customHeight="1">
      <c r="A1754" s="95" t="s">
        <v>32</v>
      </c>
      <c r="B1754" s="95"/>
      <c r="C1754" s="95"/>
      <c r="D1754" s="95"/>
      <c r="E1754" s="95"/>
      <c r="F1754" s="95"/>
      <c r="G1754" s="95"/>
      <c r="J1754" s="25">
        <f t="shared" si="109"/>
        <v>56</v>
      </c>
    </row>
    <row r="1755" spans="1:10" ht="16.95" customHeight="1">
      <c r="A1755" s="51" t="s">
        <v>33</v>
      </c>
      <c r="B1755" s="51" t="s">
        <v>34</v>
      </c>
      <c r="C1755" s="94" t="s">
        <v>35</v>
      </c>
      <c r="D1755" s="94"/>
      <c r="E1755" s="51" t="s">
        <v>36</v>
      </c>
      <c r="F1755" s="51" t="s">
        <v>37</v>
      </c>
      <c r="G1755" s="51" t="s">
        <v>38</v>
      </c>
      <c r="J1755" s="25">
        <f t="shared" si="109"/>
        <v>56</v>
      </c>
    </row>
    <row r="1756" spans="1:10" ht="16.95" customHeight="1">
      <c r="A1756" s="51" t="s">
        <v>39</v>
      </c>
      <c r="B1756" s="6"/>
      <c r="C1756" s="94" t="e">
        <f>B1756+C1693</f>
        <v>#REF!</v>
      </c>
      <c r="D1756" s="94"/>
      <c r="E1756" s="51"/>
      <c r="F1756" s="24"/>
      <c r="G1756" s="24"/>
      <c r="J1756" s="25">
        <f t="shared" si="109"/>
        <v>56</v>
      </c>
    </row>
    <row r="1757" spans="1:10" ht="16.95" customHeight="1">
      <c r="A1757" s="51" t="s">
        <v>40</v>
      </c>
      <c r="B1757" s="6"/>
      <c r="C1757" s="94" t="e">
        <f>B1757+C1694</f>
        <v>#REF!</v>
      </c>
      <c r="D1757" s="94"/>
      <c r="E1757" s="51"/>
      <c r="F1757" s="24"/>
      <c r="G1757" s="24"/>
      <c r="J1757" s="25">
        <f t="shared" si="109"/>
        <v>56</v>
      </c>
    </row>
    <row r="1758" spans="1:10" ht="36.6" customHeight="1">
      <c r="A1758" s="95" t="s">
        <v>41</v>
      </c>
      <c r="B1758" s="95"/>
      <c r="C1758" s="95"/>
      <c r="D1758" s="95"/>
      <c r="E1758" s="95"/>
      <c r="F1758" s="95"/>
      <c r="G1758" s="95"/>
      <c r="J1758" s="25">
        <f t="shared" si="109"/>
        <v>56</v>
      </c>
    </row>
    <row r="1759" spans="1:10" ht="90" customHeight="1">
      <c r="A1759" s="92" t="s">
        <v>42</v>
      </c>
      <c r="B1759" s="92"/>
      <c r="C1759" s="92"/>
      <c r="D1759" s="92"/>
      <c r="E1759" s="92"/>
      <c r="F1759" s="92"/>
      <c r="G1759" s="92"/>
      <c r="J1759" s="25">
        <f t="shared" si="109"/>
        <v>56</v>
      </c>
    </row>
    <row r="1760" spans="1:10" ht="16.95" customHeight="1">
      <c r="A1760" s="95" t="s">
        <v>43</v>
      </c>
      <c r="B1760" s="95"/>
      <c r="C1760" s="95"/>
      <c r="D1760" s="95"/>
      <c r="E1760" s="95"/>
      <c r="F1760" s="95"/>
      <c r="G1760" s="95"/>
      <c r="J1760" s="25">
        <f t="shared" si="109"/>
        <v>56</v>
      </c>
    </row>
    <row r="1761" spans="1:10" ht="16.95" customHeight="1">
      <c r="A1761" s="95" t="s">
        <v>44</v>
      </c>
      <c r="B1761" s="95"/>
      <c r="C1761" s="95"/>
      <c r="D1761" s="95"/>
      <c r="E1761" s="95"/>
      <c r="F1761" s="95"/>
      <c r="G1761" s="95"/>
      <c r="J1761" s="25">
        <f t="shared" si="109"/>
        <v>56</v>
      </c>
    </row>
    <row r="1762" spans="1:10" ht="16.95" customHeight="1">
      <c r="A1762" s="91" t="s">
        <v>64</v>
      </c>
      <c r="B1762" s="91"/>
      <c r="C1762" s="91"/>
      <c r="D1762" s="91"/>
      <c r="E1762" s="91"/>
      <c r="F1762" s="91"/>
      <c r="G1762" s="91"/>
      <c r="J1762" s="25">
        <f t="shared" si="109"/>
        <v>56</v>
      </c>
    </row>
    <row r="1763" spans="1:10" ht="120.6" customHeight="1">
      <c r="A1763" s="92" t="s">
        <v>45</v>
      </c>
      <c r="B1763" s="92"/>
      <c r="C1763" s="92"/>
      <c r="D1763" s="92"/>
      <c r="E1763" s="92"/>
      <c r="F1763" s="92"/>
      <c r="G1763" s="92"/>
      <c r="J1763" s="25">
        <f t="shared" si="109"/>
        <v>56</v>
      </c>
    </row>
    <row r="1764" spans="1:10" ht="140.4" customHeight="1">
      <c r="A1764" s="93" t="s">
        <v>46</v>
      </c>
      <c r="B1764" s="93"/>
      <c r="C1764" s="93"/>
      <c r="D1764" s="93"/>
      <c r="E1764" s="93"/>
      <c r="F1764" s="93"/>
      <c r="G1764" s="93"/>
      <c r="J1764" s="25">
        <f t="shared" si="109"/>
        <v>56</v>
      </c>
    </row>
    <row r="1765" spans="1:10" ht="37.200000000000003" customHeight="1">
      <c r="A1765" s="103" t="s">
        <v>0</v>
      </c>
      <c r="B1765" s="103"/>
      <c r="C1765" s="103"/>
      <c r="D1765" s="103"/>
      <c r="E1765" s="103"/>
      <c r="F1765" s="103"/>
      <c r="G1765" s="103"/>
      <c r="J1765" s="25">
        <f t="shared" si="109"/>
        <v>57</v>
      </c>
    </row>
    <row r="1766" spans="1:10" ht="16.95" customHeight="1">
      <c r="A1766" s="1" t="s">
        <v>1</v>
      </c>
      <c r="B1766" s="104">
        <f>B1703+1</f>
        <v>30</v>
      </c>
      <c r="C1766" s="104"/>
      <c r="D1766" s="104"/>
      <c r="E1766" s="104"/>
      <c r="F1766" s="104"/>
      <c r="G1766" s="104"/>
      <c r="J1766" s="25">
        <f t="shared" si="109"/>
        <v>57</v>
      </c>
    </row>
    <row r="1767" spans="1:10" ht="16.95" customHeight="1">
      <c r="A1767" s="1" t="s">
        <v>2</v>
      </c>
      <c r="B1767" s="105" t="s">
        <v>63</v>
      </c>
      <c r="C1767" s="105"/>
      <c r="D1767" s="105"/>
      <c r="E1767" s="106">
        <f>E1704+1</f>
        <v>46232</v>
      </c>
      <c r="F1767" s="106"/>
      <c r="G1767" s="106"/>
      <c r="J1767" s="25">
        <f t="shared" si="109"/>
        <v>57</v>
      </c>
    </row>
    <row r="1768" spans="1:10" ht="16.95" customHeight="1">
      <c r="A1768" s="53" t="s">
        <v>3</v>
      </c>
      <c r="B1768" s="2" t="s">
        <v>67</v>
      </c>
      <c r="C1768" s="98" t="s">
        <v>4</v>
      </c>
      <c r="D1768" s="98"/>
      <c r="E1768" s="98" t="s">
        <v>47</v>
      </c>
      <c r="F1768" s="98"/>
      <c r="G1768" s="98"/>
      <c r="J1768" s="25">
        <f t="shared" si="109"/>
        <v>57</v>
      </c>
    </row>
    <row r="1769" spans="1:10" ht="16.95" customHeight="1">
      <c r="A1769" s="53" t="s">
        <v>5</v>
      </c>
      <c r="B1769" s="54">
        <v>120</v>
      </c>
      <c r="C1769" s="98" t="s">
        <v>6</v>
      </c>
      <c r="D1769" s="98"/>
      <c r="E1769" s="98" t="s">
        <v>123</v>
      </c>
      <c r="F1769" s="98"/>
      <c r="G1769" s="98"/>
      <c r="J1769" s="25">
        <f t="shared" si="109"/>
        <v>57</v>
      </c>
    </row>
    <row r="1770" spans="1:10" ht="16.95" customHeight="1">
      <c r="A1770" s="53" t="s">
        <v>7</v>
      </c>
      <c r="B1770" s="54">
        <f>B1766</f>
        <v>30</v>
      </c>
      <c r="C1770" s="100" t="s">
        <v>8</v>
      </c>
      <c r="D1770" s="100"/>
      <c r="E1770" s="101">
        <f>B1769-B1770</f>
        <v>90</v>
      </c>
      <c r="F1770" s="101"/>
      <c r="G1770" s="101"/>
      <c r="J1770" s="25">
        <f t="shared" si="109"/>
        <v>57</v>
      </c>
    </row>
    <row r="1771" spans="1:10" ht="16.95" customHeight="1">
      <c r="A1771" s="53" t="s">
        <v>9</v>
      </c>
      <c r="B1771" s="55">
        <v>46204</v>
      </c>
      <c r="C1771" s="98" t="s">
        <v>10</v>
      </c>
      <c r="D1771" s="98"/>
      <c r="E1771" s="102">
        <f>B1771+B1769-1</f>
        <v>46323</v>
      </c>
      <c r="F1771" s="102"/>
      <c r="G1771" s="102"/>
      <c r="J1771" s="25">
        <f t="shared" si="109"/>
        <v>57</v>
      </c>
    </row>
    <row r="1772" spans="1:10" ht="16.95" customHeight="1">
      <c r="A1772" s="53" t="s">
        <v>11</v>
      </c>
      <c r="B1772" s="56" t="e">
        <f>HLOOKUP(B1766,進度表!$Q$2:$Z$3,2,1)+B1709</f>
        <v>#REF!</v>
      </c>
      <c r="C1772" s="98" t="s">
        <v>12</v>
      </c>
      <c r="D1772" s="98"/>
      <c r="E1772" s="99" t="e">
        <f>I1810/I1772+E1709</f>
        <v>#REF!</v>
      </c>
      <c r="F1772" s="99"/>
      <c r="G1772" s="99"/>
      <c r="H1772" s="3" t="s">
        <v>62</v>
      </c>
      <c r="I1772" s="1">
        <v>2456000</v>
      </c>
      <c r="J1772" s="25">
        <f t="shared" si="109"/>
        <v>57</v>
      </c>
    </row>
    <row r="1773" spans="1:10" ht="16.95" customHeight="1">
      <c r="A1773" s="98" t="s">
        <v>13</v>
      </c>
      <c r="B1773" s="98"/>
      <c r="C1773" s="98"/>
      <c r="D1773" s="98"/>
      <c r="E1773" s="98"/>
      <c r="F1773" s="98"/>
      <c r="G1773" s="98"/>
      <c r="J1773" s="25">
        <f t="shared" si="109"/>
        <v>57</v>
      </c>
    </row>
    <row r="1774" spans="1:10" ht="16.95" customHeight="1">
      <c r="A1774" s="52" t="s">
        <v>14</v>
      </c>
      <c r="B1774" s="52" t="s">
        <v>15</v>
      </c>
      <c r="C1774" s="52" t="s">
        <v>16</v>
      </c>
      <c r="D1774" s="52" t="s">
        <v>17</v>
      </c>
      <c r="E1774" s="52" t="s">
        <v>18</v>
      </c>
      <c r="F1774" s="52" t="s">
        <v>19</v>
      </c>
      <c r="G1774" s="52" t="s">
        <v>20</v>
      </c>
      <c r="H1774" s="3" t="s">
        <v>21</v>
      </c>
      <c r="I1774" s="3" t="s">
        <v>22</v>
      </c>
      <c r="J1774" s="25">
        <f t="shared" si="109"/>
        <v>57</v>
      </c>
    </row>
    <row r="1775" spans="1:10" ht="16.95" customHeight="1">
      <c r="A1775" s="75" t="s">
        <v>65</v>
      </c>
      <c r="B1775" s="76" t="s">
        <v>69</v>
      </c>
      <c r="C1775" s="77"/>
      <c r="D1775" s="78"/>
      <c r="E1775" s="79"/>
      <c r="F1775" s="79"/>
      <c r="G1775" s="2"/>
      <c r="H1775" s="37"/>
      <c r="I1775" s="4"/>
      <c r="J1775" s="25">
        <f t="shared" si="109"/>
        <v>57</v>
      </c>
    </row>
    <row r="1776" spans="1:10" ht="34.950000000000003" customHeight="1">
      <c r="A1776" s="75">
        <v>1</v>
      </c>
      <c r="B1776" s="80" t="s">
        <v>91</v>
      </c>
      <c r="C1776" s="77" t="s">
        <v>48</v>
      </c>
      <c r="D1776" s="78">
        <v>1</v>
      </c>
      <c r="E1776" s="79"/>
      <c r="F1776" s="79" t="e">
        <f t="shared" ref="F1776:F1809" si="111">E1776+F1713</f>
        <v>#REF!</v>
      </c>
      <c r="G1776" s="2"/>
      <c r="H1776" s="37">
        <v>10508</v>
      </c>
      <c r="I1776" s="4">
        <f>H1776*E1776</f>
        <v>0</v>
      </c>
      <c r="J1776" s="25">
        <f t="shared" si="109"/>
        <v>57</v>
      </c>
    </row>
    <row r="1777" spans="1:10" ht="34.799999999999997" customHeight="1">
      <c r="A1777" s="75">
        <v>2</v>
      </c>
      <c r="B1777" s="80" t="s">
        <v>92</v>
      </c>
      <c r="C1777" s="77" t="s">
        <v>48</v>
      </c>
      <c r="D1777" s="78">
        <v>1</v>
      </c>
      <c r="E1777" s="79"/>
      <c r="F1777" s="79" t="e">
        <f t="shared" si="111"/>
        <v>#REF!</v>
      </c>
      <c r="G1777" s="2"/>
      <c r="H1777" s="37">
        <v>13223</v>
      </c>
      <c r="I1777" s="4">
        <f>H1777*E1777</f>
        <v>0</v>
      </c>
      <c r="J1777" s="25">
        <f t="shared" si="109"/>
        <v>57</v>
      </c>
    </row>
    <row r="1778" spans="1:10" ht="53.4" customHeight="1">
      <c r="A1778" s="75">
        <v>3</v>
      </c>
      <c r="B1778" s="80" t="s">
        <v>93</v>
      </c>
      <c r="C1778" s="77" t="s">
        <v>48</v>
      </c>
      <c r="D1778" s="78">
        <v>1</v>
      </c>
      <c r="E1778" s="79"/>
      <c r="F1778" s="79" t="e">
        <f t="shared" si="111"/>
        <v>#REF!</v>
      </c>
      <c r="G1778" s="2"/>
      <c r="H1778" s="37">
        <v>310497</v>
      </c>
      <c r="I1778" s="4">
        <f t="shared" ref="I1778:I1809" si="112">H1778*E1778</f>
        <v>0</v>
      </c>
      <c r="J1778" s="25">
        <f t="shared" si="109"/>
        <v>57</v>
      </c>
    </row>
    <row r="1779" spans="1:10" ht="16.95" customHeight="1">
      <c r="A1779" s="75">
        <v>4</v>
      </c>
      <c r="B1779" s="80" t="s">
        <v>94</v>
      </c>
      <c r="C1779" s="77" t="s">
        <v>48</v>
      </c>
      <c r="D1779" s="78">
        <v>1</v>
      </c>
      <c r="E1779" s="79"/>
      <c r="F1779" s="79" t="e">
        <f t="shared" si="111"/>
        <v>#REF!</v>
      </c>
      <c r="G1779" s="2"/>
      <c r="H1779" s="37">
        <v>8375</v>
      </c>
      <c r="I1779" s="4">
        <f t="shared" si="112"/>
        <v>0</v>
      </c>
      <c r="J1779" s="25">
        <f t="shared" si="109"/>
        <v>57</v>
      </c>
    </row>
    <row r="1780" spans="1:10" ht="16.95" customHeight="1">
      <c r="A1780" s="75">
        <v>5</v>
      </c>
      <c r="B1780" s="80" t="s">
        <v>95</v>
      </c>
      <c r="C1780" s="77" t="s">
        <v>48</v>
      </c>
      <c r="D1780" s="78">
        <v>1</v>
      </c>
      <c r="E1780" s="79"/>
      <c r="F1780" s="79" t="e">
        <f t="shared" si="111"/>
        <v>#REF!</v>
      </c>
      <c r="G1780" s="2"/>
      <c r="H1780" s="37">
        <v>51618</v>
      </c>
      <c r="I1780" s="4">
        <f t="shared" si="112"/>
        <v>0</v>
      </c>
      <c r="J1780" s="25">
        <f t="shared" si="109"/>
        <v>57</v>
      </c>
    </row>
    <row r="1781" spans="1:10" ht="16.95" customHeight="1">
      <c r="A1781" s="75">
        <v>6</v>
      </c>
      <c r="B1781" s="80" t="s">
        <v>96</v>
      </c>
      <c r="C1781" s="77" t="s">
        <v>50</v>
      </c>
      <c r="D1781" s="78">
        <v>11.55</v>
      </c>
      <c r="E1781" s="79"/>
      <c r="F1781" s="79" t="e">
        <f t="shared" si="111"/>
        <v>#REF!</v>
      </c>
      <c r="G1781" s="2"/>
      <c r="H1781" s="37">
        <v>1188</v>
      </c>
      <c r="I1781" s="4">
        <f t="shared" si="112"/>
        <v>0</v>
      </c>
      <c r="J1781" s="25">
        <f t="shared" si="109"/>
        <v>57</v>
      </c>
    </row>
    <row r="1782" spans="1:10" ht="34.950000000000003" customHeight="1">
      <c r="A1782" s="75">
        <v>7</v>
      </c>
      <c r="B1782" s="80" t="s">
        <v>97</v>
      </c>
      <c r="C1782" s="77" t="s">
        <v>48</v>
      </c>
      <c r="D1782" s="78">
        <v>1</v>
      </c>
      <c r="E1782" s="79"/>
      <c r="F1782" s="79" t="e">
        <f t="shared" si="111"/>
        <v>#REF!</v>
      </c>
      <c r="G1782" s="2"/>
      <c r="H1782" s="37">
        <v>21157</v>
      </c>
      <c r="I1782" s="4">
        <f t="shared" si="112"/>
        <v>0</v>
      </c>
      <c r="J1782" s="25">
        <f t="shared" si="109"/>
        <v>57</v>
      </c>
    </row>
    <row r="1783" spans="1:10" ht="16.95" customHeight="1">
      <c r="A1783" s="75">
        <v>8</v>
      </c>
      <c r="B1783" s="80" t="s">
        <v>98</v>
      </c>
      <c r="C1783" s="77" t="s">
        <v>50</v>
      </c>
      <c r="D1783" s="78">
        <v>387</v>
      </c>
      <c r="E1783" s="79"/>
      <c r="F1783" s="79" t="e">
        <f t="shared" si="111"/>
        <v>#REF!</v>
      </c>
      <c r="G1783" s="2"/>
      <c r="H1783" s="37">
        <v>705</v>
      </c>
      <c r="I1783" s="4">
        <f t="shared" si="112"/>
        <v>0</v>
      </c>
      <c r="J1783" s="25">
        <f t="shared" si="109"/>
        <v>57</v>
      </c>
    </row>
    <row r="1784" spans="1:10" ht="16.95" customHeight="1">
      <c r="A1784" s="75">
        <v>9</v>
      </c>
      <c r="B1784" s="80" t="s">
        <v>99</v>
      </c>
      <c r="C1784" s="77" t="s">
        <v>50</v>
      </c>
      <c r="D1784" s="78">
        <v>170</v>
      </c>
      <c r="E1784" s="79"/>
      <c r="F1784" s="79" t="e">
        <f t="shared" si="111"/>
        <v>#REF!</v>
      </c>
      <c r="G1784" s="2"/>
      <c r="H1784" s="37">
        <v>617</v>
      </c>
      <c r="I1784" s="4">
        <f t="shared" si="112"/>
        <v>0</v>
      </c>
      <c r="J1784" s="25">
        <f t="shared" si="109"/>
        <v>57</v>
      </c>
    </row>
    <row r="1785" spans="1:10" ht="16.95" customHeight="1">
      <c r="A1785" s="75">
        <v>10</v>
      </c>
      <c r="B1785" s="80" t="s">
        <v>100</v>
      </c>
      <c r="C1785" s="77" t="s">
        <v>66</v>
      </c>
      <c r="D1785" s="78">
        <v>15</v>
      </c>
      <c r="E1785" s="79"/>
      <c r="F1785" s="79" t="e">
        <f t="shared" si="111"/>
        <v>#REF!</v>
      </c>
      <c r="G1785" s="2"/>
      <c r="H1785" s="37">
        <v>617</v>
      </c>
      <c r="I1785" s="4">
        <f t="shared" si="112"/>
        <v>0</v>
      </c>
      <c r="J1785" s="25">
        <f t="shared" si="109"/>
        <v>57</v>
      </c>
    </row>
    <row r="1786" spans="1:10" ht="16.95" customHeight="1">
      <c r="A1786" s="75">
        <v>11</v>
      </c>
      <c r="B1786" s="80" t="s">
        <v>101</v>
      </c>
      <c r="C1786" s="77" t="s">
        <v>50</v>
      </c>
      <c r="D1786" s="78">
        <v>75</v>
      </c>
      <c r="E1786" s="79"/>
      <c r="F1786" s="79" t="e">
        <f t="shared" si="111"/>
        <v>#REF!</v>
      </c>
      <c r="G1786" s="2"/>
      <c r="H1786" s="37">
        <v>1146</v>
      </c>
      <c r="I1786" s="4">
        <f t="shared" si="112"/>
        <v>0</v>
      </c>
      <c r="J1786" s="25">
        <f t="shared" si="109"/>
        <v>57</v>
      </c>
    </row>
    <row r="1787" spans="1:10" ht="16.95" customHeight="1">
      <c r="A1787" s="75">
        <v>12</v>
      </c>
      <c r="B1787" s="80" t="s">
        <v>102</v>
      </c>
      <c r="C1787" s="77" t="s">
        <v>50</v>
      </c>
      <c r="D1787" s="78">
        <v>5</v>
      </c>
      <c r="E1787" s="79"/>
      <c r="F1787" s="79" t="e">
        <f t="shared" si="111"/>
        <v>#REF!</v>
      </c>
      <c r="G1787" s="2"/>
      <c r="H1787" s="37">
        <v>1455</v>
      </c>
      <c r="I1787" s="4">
        <f t="shared" si="112"/>
        <v>0</v>
      </c>
      <c r="J1787" s="25">
        <f t="shared" ref="J1787:J1850" si="113">J1724+2</f>
        <v>57</v>
      </c>
    </row>
    <row r="1788" spans="1:10" ht="16.95" customHeight="1">
      <c r="A1788" s="75">
        <v>13</v>
      </c>
      <c r="B1788" s="80" t="s">
        <v>103</v>
      </c>
      <c r="C1788" s="77" t="s">
        <v>50</v>
      </c>
      <c r="D1788" s="78">
        <v>217</v>
      </c>
      <c r="E1788" s="79"/>
      <c r="F1788" s="79" t="e">
        <f t="shared" si="111"/>
        <v>#REF!</v>
      </c>
      <c r="G1788" s="2"/>
      <c r="H1788" s="37">
        <v>1410</v>
      </c>
      <c r="I1788" s="4">
        <f t="shared" si="112"/>
        <v>0</v>
      </c>
      <c r="J1788" s="25">
        <f t="shared" si="113"/>
        <v>57</v>
      </c>
    </row>
    <row r="1789" spans="1:10" ht="16.95" customHeight="1">
      <c r="A1789" s="75">
        <v>14</v>
      </c>
      <c r="B1789" s="80" t="s">
        <v>104</v>
      </c>
      <c r="C1789" s="77" t="s">
        <v>49</v>
      </c>
      <c r="D1789" s="78">
        <v>84</v>
      </c>
      <c r="E1789" s="79"/>
      <c r="F1789" s="79" t="e">
        <f t="shared" si="111"/>
        <v>#REF!</v>
      </c>
      <c r="G1789" s="2"/>
      <c r="H1789" s="37">
        <v>529</v>
      </c>
      <c r="I1789" s="4">
        <f t="shared" si="112"/>
        <v>0</v>
      </c>
      <c r="J1789" s="25">
        <f t="shared" si="113"/>
        <v>57</v>
      </c>
    </row>
    <row r="1790" spans="1:10" ht="16.95" customHeight="1">
      <c r="A1790" s="75">
        <v>15</v>
      </c>
      <c r="B1790" s="80" t="s">
        <v>105</v>
      </c>
      <c r="C1790" s="77" t="s">
        <v>50</v>
      </c>
      <c r="D1790" s="78">
        <v>1</v>
      </c>
      <c r="E1790" s="79"/>
      <c r="F1790" s="79" t="e">
        <f t="shared" si="111"/>
        <v>#REF!</v>
      </c>
      <c r="G1790" s="2"/>
      <c r="H1790" s="37">
        <v>1146</v>
      </c>
      <c r="I1790" s="4">
        <f t="shared" si="112"/>
        <v>0</v>
      </c>
      <c r="J1790" s="25">
        <f t="shared" si="113"/>
        <v>57</v>
      </c>
    </row>
    <row r="1791" spans="1:10" ht="34.799999999999997" customHeight="1">
      <c r="A1791" s="75">
        <v>16</v>
      </c>
      <c r="B1791" s="80" t="s">
        <v>106</v>
      </c>
      <c r="C1791" s="77" t="s">
        <v>50</v>
      </c>
      <c r="D1791" s="78">
        <v>314</v>
      </c>
      <c r="E1791" s="79"/>
      <c r="F1791" s="79" t="e">
        <f t="shared" si="111"/>
        <v>#REF!</v>
      </c>
      <c r="G1791" s="2"/>
      <c r="H1791" s="37">
        <v>185</v>
      </c>
      <c r="I1791" s="4">
        <f t="shared" si="112"/>
        <v>0</v>
      </c>
      <c r="J1791" s="25">
        <f t="shared" si="113"/>
        <v>57</v>
      </c>
    </row>
    <row r="1792" spans="1:10" ht="16.95" customHeight="1">
      <c r="A1792" s="75">
        <v>17</v>
      </c>
      <c r="B1792" s="80" t="s">
        <v>107</v>
      </c>
      <c r="C1792" s="77" t="s">
        <v>48</v>
      </c>
      <c r="D1792" s="78">
        <v>1</v>
      </c>
      <c r="E1792" s="79"/>
      <c r="F1792" s="79" t="e">
        <f t="shared" si="111"/>
        <v>#REF!</v>
      </c>
      <c r="G1792" s="2"/>
      <c r="H1792" s="37">
        <v>89918</v>
      </c>
      <c r="I1792" s="4">
        <f t="shared" si="112"/>
        <v>0</v>
      </c>
      <c r="J1792" s="25">
        <f t="shared" si="113"/>
        <v>57</v>
      </c>
    </row>
    <row r="1793" spans="1:10" ht="16.95" customHeight="1">
      <c r="A1793" s="75">
        <v>18</v>
      </c>
      <c r="B1793" s="80" t="s">
        <v>108</v>
      </c>
      <c r="C1793" s="77" t="s">
        <v>120</v>
      </c>
      <c r="D1793" s="78">
        <v>15</v>
      </c>
      <c r="E1793" s="79"/>
      <c r="F1793" s="79" t="e">
        <f t="shared" si="111"/>
        <v>#REF!</v>
      </c>
      <c r="G1793" s="2"/>
      <c r="H1793" s="37">
        <v>661</v>
      </c>
      <c r="I1793" s="4">
        <f t="shared" si="112"/>
        <v>0</v>
      </c>
      <c r="J1793" s="25">
        <f t="shared" si="113"/>
        <v>57</v>
      </c>
    </row>
    <row r="1794" spans="1:10" ht="16.95" customHeight="1">
      <c r="A1794" s="75">
        <v>19</v>
      </c>
      <c r="B1794" s="80" t="s">
        <v>109</v>
      </c>
      <c r="C1794" s="77" t="s">
        <v>50</v>
      </c>
      <c r="D1794" s="78">
        <v>82</v>
      </c>
      <c r="E1794" s="79"/>
      <c r="F1794" s="79" t="e">
        <f t="shared" si="111"/>
        <v>#REF!</v>
      </c>
      <c r="G1794" s="2"/>
      <c r="H1794" s="37">
        <v>2909</v>
      </c>
      <c r="I1794" s="4">
        <f t="shared" si="112"/>
        <v>0</v>
      </c>
      <c r="J1794" s="25">
        <f t="shared" si="113"/>
        <v>57</v>
      </c>
    </row>
    <row r="1795" spans="1:10" ht="16.95" customHeight="1">
      <c r="A1795" s="75">
        <v>20</v>
      </c>
      <c r="B1795" s="80" t="s">
        <v>110</v>
      </c>
      <c r="C1795" s="77" t="s">
        <v>121</v>
      </c>
      <c r="D1795" s="78">
        <v>12</v>
      </c>
      <c r="E1795" s="79"/>
      <c r="F1795" s="79" t="e">
        <f t="shared" si="111"/>
        <v>#REF!</v>
      </c>
      <c r="G1795" s="2"/>
      <c r="H1795" s="37">
        <v>882</v>
      </c>
      <c r="I1795" s="4">
        <f t="shared" si="112"/>
        <v>0</v>
      </c>
      <c r="J1795" s="25">
        <f t="shared" si="113"/>
        <v>57</v>
      </c>
    </row>
    <row r="1796" spans="1:10" ht="16.95" customHeight="1">
      <c r="A1796" s="77">
        <v>21</v>
      </c>
      <c r="B1796" s="80" t="s">
        <v>111</v>
      </c>
      <c r="C1796" s="77" t="s">
        <v>122</v>
      </c>
      <c r="D1796" s="78">
        <v>3</v>
      </c>
      <c r="E1796" s="79"/>
      <c r="F1796" s="79" t="e">
        <f t="shared" si="111"/>
        <v>#REF!</v>
      </c>
      <c r="G1796" s="2"/>
      <c r="H1796" s="38">
        <v>1869</v>
      </c>
      <c r="I1796" s="4">
        <f t="shared" si="112"/>
        <v>0</v>
      </c>
      <c r="J1796" s="25">
        <f t="shared" si="113"/>
        <v>57</v>
      </c>
    </row>
    <row r="1797" spans="1:10" ht="34.950000000000003" customHeight="1">
      <c r="A1797" s="75">
        <v>22</v>
      </c>
      <c r="B1797" s="80" t="s">
        <v>112</v>
      </c>
      <c r="C1797" s="77" t="s">
        <v>48</v>
      </c>
      <c r="D1797" s="78">
        <v>1</v>
      </c>
      <c r="E1797" s="79"/>
      <c r="F1797" s="79" t="e">
        <f t="shared" si="111"/>
        <v>#REF!</v>
      </c>
      <c r="G1797" s="2"/>
      <c r="H1797" s="37">
        <v>82206</v>
      </c>
      <c r="I1797" s="4">
        <f t="shared" si="112"/>
        <v>0</v>
      </c>
      <c r="J1797" s="25">
        <f t="shared" si="113"/>
        <v>57</v>
      </c>
    </row>
    <row r="1798" spans="1:10" ht="16.95" customHeight="1">
      <c r="A1798" s="75">
        <v>23</v>
      </c>
      <c r="B1798" s="80" t="s">
        <v>113</v>
      </c>
      <c r="C1798" s="77" t="s">
        <v>48</v>
      </c>
      <c r="D1798" s="78">
        <v>1</v>
      </c>
      <c r="E1798" s="79"/>
      <c r="F1798" s="79" t="e">
        <f t="shared" si="111"/>
        <v>#REF!</v>
      </c>
      <c r="G1798" s="2"/>
      <c r="H1798" s="37">
        <v>142723</v>
      </c>
      <c r="I1798" s="4">
        <f t="shared" si="112"/>
        <v>0</v>
      </c>
      <c r="J1798" s="25">
        <f t="shared" si="113"/>
        <v>57</v>
      </c>
    </row>
    <row r="1799" spans="1:10" ht="16.95" customHeight="1">
      <c r="A1799" s="75">
        <v>24</v>
      </c>
      <c r="B1799" s="80" t="s">
        <v>114</v>
      </c>
      <c r="C1799" s="77" t="s">
        <v>48</v>
      </c>
      <c r="D1799" s="78">
        <v>1</v>
      </c>
      <c r="E1799" s="79"/>
      <c r="F1799" s="79" t="e">
        <f t="shared" si="111"/>
        <v>#REF!</v>
      </c>
      <c r="G1799" s="2"/>
      <c r="H1799" s="37">
        <v>37290</v>
      </c>
      <c r="I1799" s="4">
        <f t="shared" si="112"/>
        <v>0</v>
      </c>
      <c r="J1799" s="25">
        <f t="shared" si="113"/>
        <v>57</v>
      </c>
    </row>
    <row r="1800" spans="1:10" ht="16.95" customHeight="1">
      <c r="A1800" s="75">
        <v>25</v>
      </c>
      <c r="B1800" s="80" t="s">
        <v>115</v>
      </c>
      <c r="C1800" s="77" t="s">
        <v>48</v>
      </c>
      <c r="D1800" s="78">
        <v>1</v>
      </c>
      <c r="E1800" s="79"/>
      <c r="F1800" s="79" t="e">
        <f t="shared" si="111"/>
        <v>#REF!</v>
      </c>
      <c r="G1800" s="2"/>
      <c r="H1800" s="37">
        <v>99394</v>
      </c>
      <c r="I1800" s="4">
        <f t="shared" si="112"/>
        <v>0</v>
      </c>
      <c r="J1800" s="25">
        <f t="shared" si="113"/>
        <v>57</v>
      </c>
    </row>
    <row r="1801" spans="1:10" ht="34.950000000000003" customHeight="1">
      <c r="A1801" s="75">
        <v>26</v>
      </c>
      <c r="B1801" s="80" t="s">
        <v>116</v>
      </c>
      <c r="C1801" s="77" t="s">
        <v>48</v>
      </c>
      <c r="D1801" s="78">
        <v>1</v>
      </c>
      <c r="E1801" s="79"/>
      <c r="F1801" s="79" t="e">
        <f t="shared" si="111"/>
        <v>#REF!</v>
      </c>
      <c r="G1801" s="2"/>
      <c r="H1801" s="37">
        <v>21334</v>
      </c>
      <c r="I1801" s="4">
        <f t="shared" si="112"/>
        <v>0</v>
      </c>
      <c r="J1801" s="25">
        <f t="shared" si="113"/>
        <v>57</v>
      </c>
    </row>
    <row r="1802" spans="1:10" ht="16.95" customHeight="1">
      <c r="A1802" s="75">
        <v>27</v>
      </c>
      <c r="B1802" s="80" t="s">
        <v>117</v>
      </c>
      <c r="C1802" s="77" t="s">
        <v>48</v>
      </c>
      <c r="D1802" s="78">
        <v>1</v>
      </c>
      <c r="E1802" s="79"/>
      <c r="F1802" s="79" t="e">
        <f t="shared" si="111"/>
        <v>#REF!</v>
      </c>
      <c r="G1802" s="2"/>
      <c r="H1802" s="37">
        <v>29620</v>
      </c>
      <c r="I1802" s="4">
        <f t="shared" si="112"/>
        <v>0</v>
      </c>
      <c r="J1802" s="25">
        <f t="shared" si="113"/>
        <v>57</v>
      </c>
    </row>
    <row r="1803" spans="1:10" ht="16.95" customHeight="1">
      <c r="A1803" s="75">
        <v>28</v>
      </c>
      <c r="B1803" s="80" t="s">
        <v>118</v>
      </c>
      <c r="C1803" s="77" t="s">
        <v>48</v>
      </c>
      <c r="D1803" s="78">
        <v>1</v>
      </c>
      <c r="E1803" s="79"/>
      <c r="F1803" s="79" t="e">
        <f t="shared" si="111"/>
        <v>#REF!</v>
      </c>
      <c r="G1803" s="2"/>
      <c r="H1803" s="37">
        <v>18506</v>
      </c>
      <c r="I1803" s="4">
        <f t="shared" si="112"/>
        <v>0</v>
      </c>
      <c r="J1803" s="25">
        <f t="shared" si="113"/>
        <v>57</v>
      </c>
    </row>
    <row r="1804" spans="1:10" ht="16.95" customHeight="1">
      <c r="A1804" s="75">
        <v>29</v>
      </c>
      <c r="B1804" s="80" t="s">
        <v>119</v>
      </c>
      <c r="C1804" s="77" t="s">
        <v>48</v>
      </c>
      <c r="D1804" s="78">
        <v>1</v>
      </c>
      <c r="E1804" s="79"/>
      <c r="F1804" s="79" t="e">
        <f t="shared" si="111"/>
        <v>#REF!</v>
      </c>
      <c r="G1804" s="2"/>
      <c r="H1804" s="37">
        <v>34381</v>
      </c>
      <c r="I1804" s="4">
        <f t="shared" si="112"/>
        <v>0</v>
      </c>
      <c r="J1804" s="25">
        <f t="shared" si="113"/>
        <v>57</v>
      </c>
    </row>
    <row r="1805" spans="1:10" ht="16.95" customHeight="1">
      <c r="A1805" s="75" t="s">
        <v>79</v>
      </c>
      <c r="B1805" s="80" t="s">
        <v>80</v>
      </c>
      <c r="C1805" s="77" t="s">
        <v>48</v>
      </c>
      <c r="D1805" s="78">
        <v>1</v>
      </c>
      <c r="E1805" s="79">
        <f t="shared" ref="E1805:E1808" si="114">1/120</f>
        <v>8.3333333333333332E-3</v>
      </c>
      <c r="F1805" s="79" t="e">
        <f t="shared" si="111"/>
        <v>#REF!</v>
      </c>
      <c r="G1805" s="2"/>
      <c r="H1805" s="37">
        <v>21395</v>
      </c>
      <c r="I1805" s="4">
        <f t="shared" si="112"/>
        <v>178.29166666666666</v>
      </c>
      <c r="J1805" s="25">
        <f t="shared" si="113"/>
        <v>57</v>
      </c>
    </row>
    <row r="1806" spans="1:10" ht="16.95" customHeight="1">
      <c r="A1806" s="75" t="s">
        <v>81</v>
      </c>
      <c r="B1806" s="80" t="s">
        <v>82</v>
      </c>
      <c r="C1806" s="77" t="s">
        <v>48</v>
      </c>
      <c r="D1806" s="78">
        <v>1</v>
      </c>
      <c r="E1806" s="79">
        <f t="shared" si="114"/>
        <v>8.3333333333333332E-3</v>
      </c>
      <c r="F1806" s="79" t="e">
        <f t="shared" si="111"/>
        <v>#REF!</v>
      </c>
      <c r="G1806" s="2"/>
      <c r="H1806" s="37">
        <v>21395</v>
      </c>
      <c r="I1806" s="4">
        <f t="shared" si="112"/>
        <v>178.29166666666666</v>
      </c>
      <c r="J1806" s="25">
        <f t="shared" si="113"/>
        <v>57</v>
      </c>
    </row>
    <row r="1807" spans="1:10" ht="16.95" customHeight="1">
      <c r="A1807" s="75" t="s">
        <v>83</v>
      </c>
      <c r="B1807" s="80" t="s">
        <v>84</v>
      </c>
      <c r="C1807" s="77" t="s">
        <v>48</v>
      </c>
      <c r="D1807" s="78">
        <v>1</v>
      </c>
      <c r="E1807" s="79">
        <f t="shared" si="114"/>
        <v>8.3333333333333332E-3</v>
      </c>
      <c r="F1807" s="79" t="e">
        <f t="shared" si="111"/>
        <v>#REF!</v>
      </c>
      <c r="G1807" s="2"/>
      <c r="H1807" s="37">
        <v>149765</v>
      </c>
      <c r="I1807" s="4">
        <f t="shared" si="112"/>
        <v>1248.0416666666667</v>
      </c>
      <c r="J1807" s="25">
        <f t="shared" si="113"/>
        <v>57</v>
      </c>
    </row>
    <row r="1808" spans="1:10" ht="16.95" customHeight="1">
      <c r="A1808" s="75" t="s">
        <v>85</v>
      </c>
      <c r="B1808" s="80" t="s">
        <v>86</v>
      </c>
      <c r="C1808" s="77" t="s">
        <v>48</v>
      </c>
      <c r="D1808" s="78">
        <v>1</v>
      </c>
      <c r="E1808" s="79">
        <f t="shared" si="114"/>
        <v>8.3333333333333332E-3</v>
      </c>
      <c r="F1808" s="79" t="e">
        <f t="shared" si="111"/>
        <v>#REF!</v>
      </c>
      <c r="G1808" s="2"/>
      <c r="H1808" s="37">
        <v>6996</v>
      </c>
      <c r="I1808" s="4">
        <f t="shared" si="112"/>
        <v>58.3</v>
      </c>
      <c r="J1808" s="25">
        <f t="shared" si="113"/>
        <v>57</v>
      </c>
    </row>
    <row r="1809" spans="1:10" ht="16.95" customHeight="1">
      <c r="A1809" s="75" t="s">
        <v>87</v>
      </c>
      <c r="B1809" s="80" t="s">
        <v>88</v>
      </c>
      <c r="C1809" s="77" t="s">
        <v>48</v>
      </c>
      <c r="D1809" s="78">
        <v>1</v>
      </c>
      <c r="E1809" s="79">
        <f>1/120</f>
        <v>8.3333333333333332E-3</v>
      </c>
      <c r="F1809" s="79" t="e">
        <f t="shared" si="111"/>
        <v>#REF!</v>
      </c>
      <c r="G1809" s="2"/>
      <c r="H1809" s="37">
        <v>116952</v>
      </c>
      <c r="I1809" s="4">
        <f t="shared" si="112"/>
        <v>974.6</v>
      </c>
      <c r="J1809" s="25">
        <f t="shared" si="113"/>
        <v>57</v>
      </c>
    </row>
    <row r="1810" spans="1:10" ht="16.95" customHeight="1">
      <c r="A1810" s="95" t="s">
        <v>23</v>
      </c>
      <c r="B1810" s="95"/>
      <c r="C1810" s="50"/>
      <c r="D1810" s="50"/>
      <c r="E1810" s="50"/>
      <c r="F1810" s="50"/>
      <c r="G1810" s="50"/>
      <c r="H1810" s="3" t="s">
        <v>24</v>
      </c>
      <c r="I1810" s="5">
        <f>SUM(I1775:I1809)</f>
        <v>2637.5250000000001</v>
      </c>
      <c r="J1810" s="25">
        <f t="shared" si="113"/>
        <v>57</v>
      </c>
    </row>
    <row r="1811" spans="1:10" ht="16.95" customHeight="1">
      <c r="A1811" s="96" t="s">
        <v>25</v>
      </c>
      <c r="B1811" s="96"/>
      <c r="C1811" s="50"/>
      <c r="D1811" s="50"/>
      <c r="E1811" s="50"/>
      <c r="F1811" s="50"/>
      <c r="G1811" s="50"/>
      <c r="J1811" s="25">
        <f t="shared" si="113"/>
        <v>57</v>
      </c>
    </row>
    <row r="1812" spans="1:10" ht="16.95" customHeight="1">
      <c r="A1812" s="96" t="s">
        <v>26</v>
      </c>
      <c r="B1812" s="96"/>
      <c r="C1812" s="50"/>
      <c r="D1812" s="50"/>
      <c r="E1812" s="50"/>
      <c r="F1812" s="50"/>
      <c r="G1812" s="50"/>
      <c r="J1812" s="25">
        <f t="shared" si="113"/>
        <v>57</v>
      </c>
    </row>
    <row r="1813" spans="1:10" ht="16.95" customHeight="1">
      <c r="A1813" s="95" t="s">
        <v>27</v>
      </c>
      <c r="B1813" s="95"/>
      <c r="C1813" s="95"/>
      <c r="D1813" s="95"/>
      <c r="E1813" s="95"/>
      <c r="F1813" s="95"/>
      <c r="G1813" s="95"/>
      <c r="J1813" s="25">
        <f t="shared" si="113"/>
        <v>57</v>
      </c>
    </row>
    <row r="1814" spans="1:10" ht="16.95" customHeight="1">
      <c r="A1814" s="94" t="s">
        <v>28</v>
      </c>
      <c r="B1814" s="94"/>
      <c r="C1814" s="51" t="s">
        <v>29</v>
      </c>
      <c r="D1814" s="51" t="s">
        <v>30</v>
      </c>
      <c r="E1814" s="51" t="s">
        <v>18</v>
      </c>
      <c r="F1814" s="51" t="s">
        <v>31</v>
      </c>
      <c r="G1814" s="51" t="s">
        <v>20</v>
      </c>
      <c r="J1814" s="25">
        <f t="shared" si="113"/>
        <v>57</v>
      </c>
    </row>
    <row r="1815" spans="1:10" ht="16.95" customHeight="1">
      <c r="A1815" s="96"/>
      <c r="B1815" s="96"/>
      <c r="C1815" s="50"/>
      <c r="D1815" s="50"/>
      <c r="E1815" s="50"/>
      <c r="F1815" s="50"/>
      <c r="G1815" s="51"/>
      <c r="J1815" s="25">
        <f t="shared" si="113"/>
        <v>57</v>
      </c>
    </row>
    <row r="1816" spans="1:10" ht="16.95" customHeight="1">
      <c r="A1816" s="97"/>
      <c r="B1816" s="97"/>
      <c r="C1816" s="50"/>
      <c r="D1816" s="50"/>
      <c r="E1816" s="50"/>
      <c r="F1816" s="51"/>
      <c r="G1816" s="51"/>
      <c r="J1816" s="25">
        <f t="shared" si="113"/>
        <v>57</v>
      </c>
    </row>
    <row r="1817" spans="1:10" ht="16.95" customHeight="1">
      <c r="A1817" s="95" t="s">
        <v>32</v>
      </c>
      <c r="B1817" s="95"/>
      <c r="C1817" s="95"/>
      <c r="D1817" s="95"/>
      <c r="E1817" s="95"/>
      <c r="F1817" s="95"/>
      <c r="G1817" s="95"/>
      <c r="J1817" s="25">
        <f t="shared" si="113"/>
        <v>58</v>
      </c>
    </row>
    <row r="1818" spans="1:10" ht="16.95" customHeight="1">
      <c r="A1818" s="51" t="s">
        <v>33</v>
      </c>
      <c r="B1818" s="51" t="s">
        <v>34</v>
      </c>
      <c r="C1818" s="94" t="s">
        <v>35</v>
      </c>
      <c r="D1818" s="94"/>
      <c r="E1818" s="51" t="s">
        <v>36</v>
      </c>
      <c r="F1818" s="51" t="s">
        <v>37</v>
      </c>
      <c r="G1818" s="51" t="s">
        <v>38</v>
      </c>
      <c r="J1818" s="25">
        <f t="shared" si="113"/>
        <v>58</v>
      </c>
    </row>
    <row r="1819" spans="1:10" ht="16.95" customHeight="1">
      <c r="A1819" s="51" t="s">
        <v>39</v>
      </c>
      <c r="B1819" s="6"/>
      <c r="C1819" s="94" t="e">
        <f>B1819+C1756</f>
        <v>#REF!</v>
      </c>
      <c r="D1819" s="94"/>
      <c r="E1819" s="51"/>
      <c r="F1819" s="24"/>
      <c r="G1819" s="24"/>
      <c r="J1819" s="25">
        <f t="shared" si="113"/>
        <v>58</v>
      </c>
    </row>
    <row r="1820" spans="1:10" ht="16.95" customHeight="1">
      <c r="A1820" s="51" t="s">
        <v>40</v>
      </c>
      <c r="B1820" s="6"/>
      <c r="C1820" s="94" t="e">
        <f>B1820+C1757</f>
        <v>#REF!</v>
      </c>
      <c r="D1820" s="94"/>
      <c r="E1820" s="51"/>
      <c r="F1820" s="24"/>
      <c r="G1820" s="24"/>
      <c r="J1820" s="25">
        <f t="shared" si="113"/>
        <v>58</v>
      </c>
    </row>
    <row r="1821" spans="1:10" ht="36.6" customHeight="1">
      <c r="A1821" s="95" t="s">
        <v>41</v>
      </c>
      <c r="B1821" s="95"/>
      <c r="C1821" s="95"/>
      <c r="D1821" s="95"/>
      <c r="E1821" s="95"/>
      <c r="F1821" s="95"/>
      <c r="G1821" s="95"/>
      <c r="J1821" s="25">
        <f t="shared" si="113"/>
        <v>58</v>
      </c>
    </row>
    <row r="1822" spans="1:10" ht="90" customHeight="1">
      <c r="A1822" s="92" t="s">
        <v>42</v>
      </c>
      <c r="B1822" s="92"/>
      <c r="C1822" s="92"/>
      <c r="D1822" s="92"/>
      <c r="E1822" s="92"/>
      <c r="F1822" s="92"/>
      <c r="G1822" s="92"/>
      <c r="J1822" s="25">
        <f t="shared" si="113"/>
        <v>58</v>
      </c>
    </row>
    <row r="1823" spans="1:10" ht="16.95" customHeight="1">
      <c r="A1823" s="95" t="s">
        <v>43</v>
      </c>
      <c r="B1823" s="95"/>
      <c r="C1823" s="95"/>
      <c r="D1823" s="95"/>
      <c r="E1823" s="95"/>
      <c r="F1823" s="95"/>
      <c r="G1823" s="95"/>
      <c r="J1823" s="25">
        <f t="shared" si="113"/>
        <v>58</v>
      </c>
    </row>
    <row r="1824" spans="1:10" ht="16.95" customHeight="1">
      <c r="A1824" s="95" t="s">
        <v>44</v>
      </c>
      <c r="B1824" s="95"/>
      <c r="C1824" s="95"/>
      <c r="D1824" s="95"/>
      <c r="E1824" s="95"/>
      <c r="F1824" s="95"/>
      <c r="G1824" s="95"/>
      <c r="J1824" s="25">
        <f t="shared" si="113"/>
        <v>58</v>
      </c>
    </row>
    <row r="1825" spans="1:10" ht="16.95" customHeight="1">
      <c r="A1825" s="91" t="s">
        <v>64</v>
      </c>
      <c r="B1825" s="91"/>
      <c r="C1825" s="91"/>
      <c r="D1825" s="91"/>
      <c r="E1825" s="91"/>
      <c r="F1825" s="91"/>
      <c r="G1825" s="91"/>
      <c r="J1825" s="25">
        <f t="shared" si="113"/>
        <v>58</v>
      </c>
    </row>
    <row r="1826" spans="1:10" ht="120.6" customHeight="1">
      <c r="A1826" s="92" t="s">
        <v>45</v>
      </c>
      <c r="B1826" s="92"/>
      <c r="C1826" s="92"/>
      <c r="D1826" s="92"/>
      <c r="E1826" s="92"/>
      <c r="F1826" s="92"/>
      <c r="G1826" s="92"/>
      <c r="J1826" s="25">
        <f t="shared" si="113"/>
        <v>58</v>
      </c>
    </row>
    <row r="1827" spans="1:10" ht="140.4" customHeight="1">
      <c r="A1827" s="93" t="s">
        <v>46</v>
      </c>
      <c r="B1827" s="93"/>
      <c r="C1827" s="93"/>
      <c r="D1827" s="93"/>
      <c r="E1827" s="93"/>
      <c r="F1827" s="93"/>
      <c r="G1827" s="93"/>
      <c r="J1827" s="25">
        <f t="shared" si="113"/>
        <v>58</v>
      </c>
    </row>
    <row r="1828" spans="1:10" ht="37.200000000000003" customHeight="1">
      <c r="A1828" s="103" t="s">
        <v>0</v>
      </c>
      <c r="B1828" s="103"/>
      <c r="C1828" s="103"/>
      <c r="D1828" s="103"/>
      <c r="E1828" s="103"/>
      <c r="F1828" s="103"/>
      <c r="G1828" s="103"/>
      <c r="J1828" s="25">
        <f t="shared" si="113"/>
        <v>59</v>
      </c>
    </row>
    <row r="1829" spans="1:10" ht="16.95" customHeight="1">
      <c r="A1829" s="1" t="s">
        <v>1</v>
      </c>
      <c r="B1829" s="104">
        <f>B1766+1</f>
        <v>31</v>
      </c>
      <c r="C1829" s="104"/>
      <c r="D1829" s="104"/>
      <c r="E1829" s="104"/>
      <c r="F1829" s="104"/>
      <c r="G1829" s="104"/>
      <c r="J1829" s="25">
        <f t="shared" si="113"/>
        <v>59</v>
      </c>
    </row>
    <row r="1830" spans="1:10" ht="16.95" customHeight="1">
      <c r="A1830" s="1" t="s">
        <v>2</v>
      </c>
      <c r="B1830" s="105" t="s">
        <v>63</v>
      </c>
      <c r="C1830" s="105"/>
      <c r="D1830" s="105"/>
      <c r="E1830" s="106">
        <f>E1767+1</f>
        <v>46233</v>
      </c>
      <c r="F1830" s="106"/>
      <c r="G1830" s="106"/>
      <c r="J1830" s="25">
        <f t="shared" si="113"/>
        <v>59</v>
      </c>
    </row>
    <row r="1831" spans="1:10" ht="16.95" customHeight="1">
      <c r="A1831" s="53" t="s">
        <v>3</v>
      </c>
      <c r="B1831" s="2" t="s">
        <v>67</v>
      </c>
      <c r="C1831" s="98" t="s">
        <v>4</v>
      </c>
      <c r="D1831" s="98"/>
      <c r="E1831" s="98" t="s">
        <v>47</v>
      </c>
      <c r="F1831" s="98"/>
      <c r="G1831" s="98"/>
      <c r="J1831" s="25">
        <f t="shared" si="113"/>
        <v>59</v>
      </c>
    </row>
    <row r="1832" spans="1:10" ht="16.95" customHeight="1">
      <c r="A1832" s="53" t="s">
        <v>5</v>
      </c>
      <c r="B1832" s="54">
        <v>120</v>
      </c>
      <c r="C1832" s="98" t="s">
        <v>6</v>
      </c>
      <c r="D1832" s="98"/>
      <c r="E1832" s="98" t="s">
        <v>123</v>
      </c>
      <c r="F1832" s="98"/>
      <c r="G1832" s="98"/>
      <c r="J1832" s="25">
        <f t="shared" si="113"/>
        <v>59</v>
      </c>
    </row>
    <row r="1833" spans="1:10" ht="16.95" customHeight="1">
      <c r="A1833" s="53" t="s">
        <v>7</v>
      </c>
      <c r="B1833" s="54">
        <f>B1829</f>
        <v>31</v>
      </c>
      <c r="C1833" s="100" t="s">
        <v>8</v>
      </c>
      <c r="D1833" s="100"/>
      <c r="E1833" s="101">
        <f>B1832-B1833</f>
        <v>89</v>
      </c>
      <c r="F1833" s="101"/>
      <c r="G1833" s="101"/>
      <c r="J1833" s="25">
        <f t="shared" si="113"/>
        <v>59</v>
      </c>
    </row>
    <row r="1834" spans="1:10" ht="16.95" customHeight="1">
      <c r="A1834" s="53" t="s">
        <v>9</v>
      </c>
      <c r="B1834" s="55">
        <v>46204</v>
      </c>
      <c r="C1834" s="98" t="s">
        <v>10</v>
      </c>
      <c r="D1834" s="98"/>
      <c r="E1834" s="102">
        <f>B1834+B1832-1</f>
        <v>46323</v>
      </c>
      <c r="F1834" s="102"/>
      <c r="G1834" s="102"/>
      <c r="J1834" s="25">
        <f t="shared" si="113"/>
        <v>59</v>
      </c>
    </row>
    <row r="1835" spans="1:10" ht="16.95" customHeight="1">
      <c r="A1835" s="53" t="s">
        <v>11</v>
      </c>
      <c r="B1835" s="56" t="e">
        <f>HLOOKUP(B1829,進度表!$Q$2:$Z$3,2,1)+B1772</f>
        <v>#REF!</v>
      </c>
      <c r="C1835" s="98" t="s">
        <v>12</v>
      </c>
      <c r="D1835" s="98"/>
      <c r="E1835" s="99" t="e">
        <f>I1873/I1835+E1772</f>
        <v>#REF!</v>
      </c>
      <c r="F1835" s="99"/>
      <c r="G1835" s="99"/>
      <c r="H1835" s="3" t="s">
        <v>62</v>
      </c>
      <c r="I1835" s="1">
        <v>2456000</v>
      </c>
      <c r="J1835" s="25">
        <f t="shared" si="113"/>
        <v>59</v>
      </c>
    </row>
    <row r="1836" spans="1:10" ht="16.95" customHeight="1">
      <c r="A1836" s="98" t="s">
        <v>13</v>
      </c>
      <c r="B1836" s="98"/>
      <c r="C1836" s="98"/>
      <c r="D1836" s="98"/>
      <c r="E1836" s="98"/>
      <c r="F1836" s="98"/>
      <c r="G1836" s="98"/>
      <c r="J1836" s="25">
        <f t="shared" si="113"/>
        <v>59</v>
      </c>
    </row>
    <row r="1837" spans="1:10" ht="16.95" customHeight="1">
      <c r="A1837" s="52" t="s">
        <v>14</v>
      </c>
      <c r="B1837" s="52" t="s">
        <v>15</v>
      </c>
      <c r="C1837" s="52" t="s">
        <v>16</v>
      </c>
      <c r="D1837" s="52" t="s">
        <v>17</v>
      </c>
      <c r="E1837" s="52" t="s">
        <v>18</v>
      </c>
      <c r="F1837" s="52" t="s">
        <v>19</v>
      </c>
      <c r="G1837" s="52" t="s">
        <v>20</v>
      </c>
      <c r="H1837" s="3" t="s">
        <v>21</v>
      </c>
      <c r="I1837" s="3" t="s">
        <v>22</v>
      </c>
      <c r="J1837" s="25">
        <f t="shared" si="113"/>
        <v>59</v>
      </c>
    </row>
    <row r="1838" spans="1:10" ht="16.95" customHeight="1">
      <c r="A1838" s="75" t="s">
        <v>65</v>
      </c>
      <c r="B1838" s="76" t="s">
        <v>69</v>
      </c>
      <c r="C1838" s="77"/>
      <c r="D1838" s="78"/>
      <c r="E1838" s="79"/>
      <c r="F1838" s="79"/>
      <c r="G1838" s="2"/>
      <c r="H1838" s="37"/>
      <c r="I1838" s="4"/>
      <c r="J1838" s="25">
        <f t="shared" si="113"/>
        <v>59</v>
      </c>
    </row>
    <row r="1839" spans="1:10" ht="34.950000000000003" customHeight="1">
      <c r="A1839" s="75">
        <v>1</v>
      </c>
      <c r="B1839" s="80" t="s">
        <v>91</v>
      </c>
      <c r="C1839" s="77" t="s">
        <v>48</v>
      </c>
      <c r="D1839" s="78">
        <v>1</v>
      </c>
      <c r="E1839" s="79"/>
      <c r="F1839" s="79" t="e">
        <f t="shared" ref="F1839:F1872" si="115">E1839+F1776</f>
        <v>#REF!</v>
      </c>
      <c r="G1839" s="2"/>
      <c r="H1839" s="37">
        <v>10508</v>
      </c>
      <c r="I1839" s="4">
        <f>H1839*E1839</f>
        <v>0</v>
      </c>
      <c r="J1839" s="25">
        <f t="shared" si="113"/>
        <v>59</v>
      </c>
    </row>
    <row r="1840" spans="1:10" ht="34.799999999999997" customHeight="1">
      <c r="A1840" s="75">
        <v>2</v>
      </c>
      <c r="B1840" s="80" t="s">
        <v>92</v>
      </c>
      <c r="C1840" s="77" t="s">
        <v>48</v>
      </c>
      <c r="D1840" s="78">
        <v>1</v>
      </c>
      <c r="E1840" s="79"/>
      <c r="F1840" s="79" t="e">
        <f t="shared" si="115"/>
        <v>#REF!</v>
      </c>
      <c r="G1840" s="2"/>
      <c r="H1840" s="37">
        <v>13223</v>
      </c>
      <c r="I1840" s="4">
        <f>H1840*E1840</f>
        <v>0</v>
      </c>
      <c r="J1840" s="25">
        <f t="shared" si="113"/>
        <v>59</v>
      </c>
    </row>
    <row r="1841" spans="1:10" ht="53.4" customHeight="1">
      <c r="A1841" s="75">
        <v>3</v>
      </c>
      <c r="B1841" s="80" t="s">
        <v>93</v>
      </c>
      <c r="C1841" s="77" t="s">
        <v>48</v>
      </c>
      <c r="D1841" s="78">
        <v>1</v>
      </c>
      <c r="E1841" s="79"/>
      <c r="F1841" s="79" t="e">
        <f t="shared" si="115"/>
        <v>#REF!</v>
      </c>
      <c r="G1841" s="2"/>
      <c r="H1841" s="37">
        <v>310497</v>
      </c>
      <c r="I1841" s="4">
        <f t="shared" ref="I1841:I1872" si="116">H1841*E1841</f>
        <v>0</v>
      </c>
      <c r="J1841" s="25">
        <f t="shared" si="113"/>
        <v>59</v>
      </c>
    </row>
    <row r="1842" spans="1:10" ht="16.95" customHeight="1">
      <c r="A1842" s="75">
        <v>4</v>
      </c>
      <c r="B1842" s="80" t="s">
        <v>94</v>
      </c>
      <c r="C1842" s="77" t="s">
        <v>48</v>
      </c>
      <c r="D1842" s="78">
        <v>1</v>
      </c>
      <c r="E1842" s="79"/>
      <c r="F1842" s="79" t="e">
        <f t="shared" si="115"/>
        <v>#REF!</v>
      </c>
      <c r="G1842" s="2"/>
      <c r="H1842" s="37">
        <v>8375</v>
      </c>
      <c r="I1842" s="4">
        <f t="shared" si="116"/>
        <v>0</v>
      </c>
      <c r="J1842" s="25">
        <f t="shared" si="113"/>
        <v>59</v>
      </c>
    </row>
    <row r="1843" spans="1:10" ht="16.95" customHeight="1">
      <c r="A1843" s="75">
        <v>5</v>
      </c>
      <c r="B1843" s="80" t="s">
        <v>95</v>
      </c>
      <c r="C1843" s="77" t="s">
        <v>48</v>
      </c>
      <c r="D1843" s="78">
        <v>1</v>
      </c>
      <c r="E1843" s="79"/>
      <c r="F1843" s="79" t="e">
        <f t="shared" si="115"/>
        <v>#REF!</v>
      </c>
      <c r="G1843" s="2"/>
      <c r="H1843" s="37">
        <v>51618</v>
      </c>
      <c r="I1843" s="4">
        <f t="shared" si="116"/>
        <v>0</v>
      </c>
      <c r="J1843" s="25">
        <f t="shared" si="113"/>
        <v>59</v>
      </c>
    </row>
    <row r="1844" spans="1:10" ht="16.95" customHeight="1">
      <c r="A1844" s="75">
        <v>6</v>
      </c>
      <c r="B1844" s="80" t="s">
        <v>96</v>
      </c>
      <c r="C1844" s="77" t="s">
        <v>50</v>
      </c>
      <c r="D1844" s="78">
        <v>11.55</v>
      </c>
      <c r="E1844" s="79"/>
      <c r="F1844" s="79" t="e">
        <f t="shared" si="115"/>
        <v>#REF!</v>
      </c>
      <c r="G1844" s="2"/>
      <c r="H1844" s="37">
        <v>1188</v>
      </c>
      <c r="I1844" s="4">
        <f t="shared" si="116"/>
        <v>0</v>
      </c>
      <c r="J1844" s="25">
        <f t="shared" si="113"/>
        <v>59</v>
      </c>
    </row>
    <row r="1845" spans="1:10" ht="34.950000000000003" customHeight="1">
      <c r="A1845" s="75">
        <v>7</v>
      </c>
      <c r="B1845" s="80" t="s">
        <v>97</v>
      </c>
      <c r="C1845" s="77" t="s">
        <v>48</v>
      </c>
      <c r="D1845" s="78">
        <v>1</v>
      </c>
      <c r="E1845" s="79"/>
      <c r="F1845" s="79" t="e">
        <f t="shared" si="115"/>
        <v>#REF!</v>
      </c>
      <c r="G1845" s="2"/>
      <c r="H1845" s="37">
        <v>21157</v>
      </c>
      <c r="I1845" s="4">
        <f t="shared" si="116"/>
        <v>0</v>
      </c>
      <c r="J1845" s="25">
        <f t="shared" si="113"/>
        <v>59</v>
      </c>
    </row>
    <row r="1846" spans="1:10" ht="16.95" customHeight="1">
      <c r="A1846" s="75">
        <v>8</v>
      </c>
      <c r="B1846" s="80" t="s">
        <v>98</v>
      </c>
      <c r="C1846" s="77" t="s">
        <v>50</v>
      </c>
      <c r="D1846" s="78">
        <v>387</v>
      </c>
      <c r="E1846" s="79"/>
      <c r="F1846" s="79" t="e">
        <f t="shared" si="115"/>
        <v>#REF!</v>
      </c>
      <c r="G1846" s="2"/>
      <c r="H1846" s="37">
        <v>705</v>
      </c>
      <c r="I1846" s="4">
        <f t="shared" si="116"/>
        <v>0</v>
      </c>
      <c r="J1846" s="25">
        <f t="shared" si="113"/>
        <v>59</v>
      </c>
    </row>
    <row r="1847" spans="1:10" ht="16.95" customHeight="1">
      <c r="A1847" s="75">
        <v>9</v>
      </c>
      <c r="B1847" s="80" t="s">
        <v>99</v>
      </c>
      <c r="C1847" s="77" t="s">
        <v>50</v>
      </c>
      <c r="D1847" s="78">
        <v>170</v>
      </c>
      <c r="E1847" s="79"/>
      <c r="F1847" s="79" t="e">
        <f t="shared" si="115"/>
        <v>#REF!</v>
      </c>
      <c r="G1847" s="2"/>
      <c r="H1847" s="37">
        <v>617</v>
      </c>
      <c r="I1847" s="4">
        <f t="shared" si="116"/>
        <v>0</v>
      </c>
      <c r="J1847" s="25">
        <f t="shared" si="113"/>
        <v>59</v>
      </c>
    </row>
    <row r="1848" spans="1:10" ht="16.95" customHeight="1">
      <c r="A1848" s="75">
        <v>10</v>
      </c>
      <c r="B1848" s="80" t="s">
        <v>100</v>
      </c>
      <c r="C1848" s="77" t="s">
        <v>66</v>
      </c>
      <c r="D1848" s="78">
        <v>15</v>
      </c>
      <c r="E1848" s="79"/>
      <c r="F1848" s="79" t="e">
        <f t="shared" si="115"/>
        <v>#REF!</v>
      </c>
      <c r="G1848" s="2"/>
      <c r="H1848" s="37">
        <v>617</v>
      </c>
      <c r="I1848" s="4">
        <f t="shared" si="116"/>
        <v>0</v>
      </c>
      <c r="J1848" s="25">
        <f t="shared" si="113"/>
        <v>59</v>
      </c>
    </row>
    <row r="1849" spans="1:10" ht="16.95" customHeight="1">
      <c r="A1849" s="75">
        <v>11</v>
      </c>
      <c r="B1849" s="80" t="s">
        <v>101</v>
      </c>
      <c r="C1849" s="77" t="s">
        <v>50</v>
      </c>
      <c r="D1849" s="78">
        <v>75</v>
      </c>
      <c r="E1849" s="79"/>
      <c r="F1849" s="79" t="e">
        <f t="shared" si="115"/>
        <v>#REF!</v>
      </c>
      <c r="G1849" s="2"/>
      <c r="H1849" s="37">
        <v>1146</v>
      </c>
      <c r="I1849" s="4">
        <f t="shared" si="116"/>
        <v>0</v>
      </c>
      <c r="J1849" s="25">
        <f t="shared" si="113"/>
        <v>59</v>
      </c>
    </row>
    <row r="1850" spans="1:10" ht="16.95" customHeight="1">
      <c r="A1850" s="75">
        <v>12</v>
      </c>
      <c r="B1850" s="80" t="s">
        <v>102</v>
      </c>
      <c r="C1850" s="77" t="s">
        <v>50</v>
      </c>
      <c r="D1850" s="78">
        <v>5</v>
      </c>
      <c r="E1850" s="79"/>
      <c r="F1850" s="79" t="e">
        <f t="shared" si="115"/>
        <v>#REF!</v>
      </c>
      <c r="G1850" s="2"/>
      <c r="H1850" s="37">
        <v>1455</v>
      </c>
      <c r="I1850" s="4">
        <f t="shared" si="116"/>
        <v>0</v>
      </c>
      <c r="J1850" s="25">
        <f t="shared" si="113"/>
        <v>59</v>
      </c>
    </row>
    <row r="1851" spans="1:10" ht="16.95" customHeight="1">
      <c r="A1851" s="75">
        <v>13</v>
      </c>
      <c r="B1851" s="80" t="s">
        <v>103</v>
      </c>
      <c r="C1851" s="77" t="s">
        <v>50</v>
      </c>
      <c r="D1851" s="78">
        <v>217</v>
      </c>
      <c r="E1851" s="79"/>
      <c r="F1851" s="79" t="e">
        <f t="shared" si="115"/>
        <v>#REF!</v>
      </c>
      <c r="G1851" s="2"/>
      <c r="H1851" s="37">
        <v>1410</v>
      </c>
      <c r="I1851" s="4">
        <f t="shared" si="116"/>
        <v>0</v>
      </c>
      <c r="J1851" s="25">
        <f t="shared" ref="J1851:J1914" si="117">J1788+2</f>
        <v>59</v>
      </c>
    </row>
    <row r="1852" spans="1:10" ht="16.95" customHeight="1">
      <c r="A1852" s="75">
        <v>14</v>
      </c>
      <c r="B1852" s="80" t="s">
        <v>104</v>
      </c>
      <c r="C1852" s="77" t="s">
        <v>49</v>
      </c>
      <c r="D1852" s="78">
        <v>84</v>
      </c>
      <c r="E1852" s="79"/>
      <c r="F1852" s="79" t="e">
        <f t="shared" si="115"/>
        <v>#REF!</v>
      </c>
      <c r="G1852" s="2"/>
      <c r="H1852" s="37">
        <v>529</v>
      </c>
      <c r="I1852" s="4">
        <f t="shared" si="116"/>
        <v>0</v>
      </c>
      <c r="J1852" s="25">
        <f t="shared" si="117"/>
        <v>59</v>
      </c>
    </row>
    <row r="1853" spans="1:10" ht="16.95" customHeight="1">
      <c r="A1853" s="75">
        <v>15</v>
      </c>
      <c r="B1853" s="80" t="s">
        <v>105</v>
      </c>
      <c r="C1853" s="77" t="s">
        <v>50</v>
      </c>
      <c r="D1853" s="78">
        <v>1</v>
      </c>
      <c r="E1853" s="79"/>
      <c r="F1853" s="79" t="e">
        <f t="shared" si="115"/>
        <v>#REF!</v>
      </c>
      <c r="G1853" s="2"/>
      <c r="H1853" s="37">
        <v>1146</v>
      </c>
      <c r="I1853" s="4">
        <f t="shared" si="116"/>
        <v>0</v>
      </c>
      <c r="J1853" s="25">
        <f t="shared" si="117"/>
        <v>59</v>
      </c>
    </row>
    <row r="1854" spans="1:10" ht="34.799999999999997" customHeight="1">
      <c r="A1854" s="75">
        <v>16</v>
      </c>
      <c r="B1854" s="80" t="s">
        <v>106</v>
      </c>
      <c r="C1854" s="77" t="s">
        <v>50</v>
      </c>
      <c r="D1854" s="78">
        <v>314</v>
      </c>
      <c r="E1854" s="79"/>
      <c r="F1854" s="79" t="e">
        <f t="shared" si="115"/>
        <v>#REF!</v>
      </c>
      <c r="G1854" s="2"/>
      <c r="H1854" s="37">
        <v>185</v>
      </c>
      <c r="I1854" s="4">
        <f t="shared" si="116"/>
        <v>0</v>
      </c>
      <c r="J1854" s="25">
        <f t="shared" si="117"/>
        <v>59</v>
      </c>
    </row>
    <row r="1855" spans="1:10" ht="16.95" customHeight="1">
      <c r="A1855" s="75">
        <v>17</v>
      </c>
      <c r="B1855" s="80" t="s">
        <v>107</v>
      </c>
      <c r="C1855" s="77" t="s">
        <v>48</v>
      </c>
      <c r="D1855" s="78">
        <v>1</v>
      </c>
      <c r="E1855" s="79"/>
      <c r="F1855" s="79" t="e">
        <f t="shared" si="115"/>
        <v>#REF!</v>
      </c>
      <c r="G1855" s="2"/>
      <c r="H1855" s="37">
        <v>89918</v>
      </c>
      <c r="I1855" s="4">
        <f t="shared" si="116"/>
        <v>0</v>
      </c>
      <c r="J1855" s="25">
        <f t="shared" si="117"/>
        <v>59</v>
      </c>
    </row>
    <row r="1856" spans="1:10" ht="16.95" customHeight="1">
      <c r="A1856" s="75">
        <v>18</v>
      </c>
      <c r="B1856" s="80" t="s">
        <v>108</v>
      </c>
      <c r="C1856" s="77" t="s">
        <v>120</v>
      </c>
      <c r="D1856" s="78">
        <v>15</v>
      </c>
      <c r="E1856" s="79"/>
      <c r="F1856" s="79" t="e">
        <f t="shared" si="115"/>
        <v>#REF!</v>
      </c>
      <c r="G1856" s="2"/>
      <c r="H1856" s="37">
        <v>661</v>
      </c>
      <c r="I1856" s="4">
        <f t="shared" si="116"/>
        <v>0</v>
      </c>
      <c r="J1856" s="25">
        <f t="shared" si="117"/>
        <v>59</v>
      </c>
    </row>
    <row r="1857" spans="1:10" ht="16.95" customHeight="1">
      <c r="A1857" s="75">
        <v>19</v>
      </c>
      <c r="B1857" s="80" t="s">
        <v>109</v>
      </c>
      <c r="C1857" s="77" t="s">
        <v>50</v>
      </c>
      <c r="D1857" s="78">
        <v>82</v>
      </c>
      <c r="E1857" s="79"/>
      <c r="F1857" s="79" t="e">
        <f t="shared" si="115"/>
        <v>#REF!</v>
      </c>
      <c r="G1857" s="2"/>
      <c r="H1857" s="37">
        <v>2909</v>
      </c>
      <c r="I1857" s="4">
        <f t="shared" si="116"/>
        <v>0</v>
      </c>
      <c r="J1857" s="25">
        <f t="shared" si="117"/>
        <v>59</v>
      </c>
    </row>
    <row r="1858" spans="1:10" ht="16.95" customHeight="1">
      <c r="A1858" s="75">
        <v>20</v>
      </c>
      <c r="B1858" s="80" t="s">
        <v>110</v>
      </c>
      <c r="C1858" s="77" t="s">
        <v>121</v>
      </c>
      <c r="D1858" s="78">
        <v>12</v>
      </c>
      <c r="E1858" s="79"/>
      <c r="F1858" s="79" t="e">
        <f t="shared" si="115"/>
        <v>#REF!</v>
      </c>
      <c r="G1858" s="2"/>
      <c r="H1858" s="37">
        <v>882</v>
      </c>
      <c r="I1858" s="4">
        <f t="shared" si="116"/>
        <v>0</v>
      </c>
      <c r="J1858" s="25">
        <f t="shared" si="117"/>
        <v>59</v>
      </c>
    </row>
    <row r="1859" spans="1:10" ht="16.95" customHeight="1">
      <c r="A1859" s="77">
        <v>21</v>
      </c>
      <c r="B1859" s="80" t="s">
        <v>111</v>
      </c>
      <c r="C1859" s="77" t="s">
        <v>122</v>
      </c>
      <c r="D1859" s="78">
        <v>3</v>
      </c>
      <c r="E1859" s="79"/>
      <c r="F1859" s="79" t="e">
        <f t="shared" si="115"/>
        <v>#REF!</v>
      </c>
      <c r="G1859" s="2"/>
      <c r="H1859" s="38">
        <v>1869</v>
      </c>
      <c r="I1859" s="4">
        <f t="shared" si="116"/>
        <v>0</v>
      </c>
      <c r="J1859" s="25">
        <f t="shared" si="117"/>
        <v>59</v>
      </c>
    </row>
    <row r="1860" spans="1:10" ht="34.950000000000003" customHeight="1">
      <c r="A1860" s="75">
        <v>22</v>
      </c>
      <c r="B1860" s="80" t="s">
        <v>112</v>
      </c>
      <c r="C1860" s="77" t="s">
        <v>48</v>
      </c>
      <c r="D1860" s="78">
        <v>1</v>
      </c>
      <c r="E1860" s="79"/>
      <c r="F1860" s="79" t="e">
        <f t="shared" si="115"/>
        <v>#REF!</v>
      </c>
      <c r="G1860" s="2"/>
      <c r="H1860" s="37">
        <v>82206</v>
      </c>
      <c r="I1860" s="4">
        <f t="shared" si="116"/>
        <v>0</v>
      </c>
      <c r="J1860" s="25">
        <f t="shared" si="117"/>
        <v>59</v>
      </c>
    </row>
    <row r="1861" spans="1:10" ht="16.95" customHeight="1">
      <c r="A1861" s="75">
        <v>23</v>
      </c>
      <c r="B1861" s="80" t="s">
        <v>113</v>
      </c>
      <c r="C1861" s="77" t="s">
        <v>48</v>
      </c>
      <c r="D1861" s="78">
        <v>1</v>
      </c>
      <c r="E1861" s="79"/>
      <c r="F1861" s="79" t="e">
        <f t="shared" si="115"/>
        <v>#REF!</v>
      </c>
      <c r="G1861" s="2"/>
      <c r="H1861" s="37">
        <v>142723</v>
      </c>
      <c r="I1861" s="4">
        <f t="shared" si="116"/>
        <v>0</v>
      </c>
      <c r="J1861" s="25">
        <f t="shared" si="117"/>
        <v>59</v>
      </c>
    </row>
    <row r="1862" spans="1:10" ht="16.95" customHeight="1">
      <c r="A1862" s="75">
        <v>24</v>
      </c>
      <c r="B1862" s="80" t="s">
        <v>114</v>
      </c>
      <c r="C1862" s="77" t="s">
        <v>48</v>
      </c>
      <c r="D1862" s="78">
        <v>1</v>
      </c>
      <c r="E1862" s="79"/>
      <c r="F1862" s="79" t="e">
        <f t="shared" si="115"/>
        <v>#REF!</v>
      </c>
      <c r="G1862" s="2"/>
      <c r="H1862" s="37">
        <v>37290</v>
      </c>
      <c r="I1862" s="4">
        <f t="shared" si="116"/>
        <v>0</v>
      </c>
      <c r="J1862" s="25">
        <f t="shared" si="117"/>
        <v>59</v>
      </c>
    </row>
    <row r="1863" spans="1:10" ht="16.95" customHeight="1">
      <c r="A1863" s="75">
        <v>25</v>
      </c>
      <c r="B1863" s="80" t="s">
        <v>115</v>
      </c>
      <c r="C1863" s="77" t="s">
        <v>48</v>
      </c>
      <c r="D1863" s="78">
        <v>1</v>
      </c>
      <c r="E1863" s="79"/>
      <c r="F1863" s="79" t="e">
        <f t="shared" si="115"/>
        <v>#REF!</v>
      </c>
      <c r="G1863" s="2"/>
      <c r="H1863" s="37">
        <v>99394</v>
      </c>
      <c r="I1863" s="4">
        <f t="shared" si="116"/>
        <v>0</v>
      </c>
      <c r="J1863" s="25">
        <f t="shared" si="117"/>
        <v>59</v>
      </c>
    </row>
    <row r="1864" spans="1:10" ht="34.950000000000003" customHeight="1">
      <c r="A1864" s="75">
        <v>26</v>
      </c>
      <c r="B1864" s="80" t="s">
        <v>116</v>
      </c>
      <c r="C1864" s="77" t="s">
        <v>48</v>
      </c>
      <c r="D1864" s="78">
        <v>1</v>
      </c>
      <c r="E1864" s="79"/>
      <c r="F1864" s="79" t="e">
        <f t="shared" si="115"/>
        <v>#REF!</v>
      </c>
      <c r="G1864" s="2"/>
      <c r="H1864" s="37">
        <v>21334</v>
      </c>
      <c r="I1864" s="4">
        <f t="shared" si="116"/>
        <v>0</v>
      </c>
      <c r="J1864" s="25">
        <f t="shared" si="117"/>
        <v>59</v>
      </c>
    </row>
    <row r="1865" spans="1:10" ht="16.95" customHeight="1">
      <c r="A1865" s="75">
        <v>27</v>
      </c>
      <c r="B1865" s="80" t="s">
        <v>117</v>
      </c>
      <c r="C1865" s="77" t="s">
        <v>48</v>
      </c>
      <c r="D1865" s="78">
        <v>1</v>
      </c>
      <c r="E1865" s="79"/>
      <c r="F1865" s="79" t="e">
        <f t="shared" si="115"/>
        <v>#REF!</v>
      </c>
      <c r="G1865" s="2"/>
      <c r="H1865" s="37">
        <v>29620</v>
      </c>
      <c r="I1865" s="4">
        <f t="shared" si="116"/>
        <v>0</v>
      </c>
      <c r="J1865" s="25">
        <f t="shared" si="117"/>
        <v>59</v>
      </c>
    </row>
    <row r="1866" spans="1:10" ht="16.95" customHeight="1">
      <c r="A1866" s="75">
        <v>28</v>
      </c>
      <c r="B1866" s="80" t="s">
        <v>118</v>
      </c>
      <c r="C1866" s="77" t="s">
        <v>48</v>
      </c>
      <c r="D1866" s="78">
        <v>1</v>
      </c>
      <c r="E1866" s="79"/>
      <c r="F1866" s="79" t="e">
        <f t="shared" si="115"/>
        <v>#REF!</v>
      </c>
      <c r="G1866" s="2"/>
      <c r="H1866" s="37">
        <v>18506</v>
      </c>
      <c r="I1866" s="4">
        <f t="shared" si="116"/>
        <v>0</v>
      </c>
      <c r="J1866" s="25">
        <f t="shared" si="117"/>
        <v>59</v>
      </c>
    </row>
    <row r="1867" spans="1:10" ht="16.95" customHeight="1">
      <c r="A1867" s="75">
        <v>29</v>
      </c>
      <c r="B1867" s="80" t="s">
        <v>119</v>
      </c>
      <c r="C1867" s="77" t="s">
        <v>48</v>
      </c>
      <c r="D1867" s="78">
        <v>1</v>
      </c>
      <c r="E1867" s="79"/>
      <c r="F1867" s="79" t="e">
        <f t="shared" si="115"/>
        <v>#REF!</v>
      </c>
      <c r="G1867" s="2"/>
      <c r="H1867" s="37">
        <v>34381</v>
      </c>
      <c r="I1867" s="4">
        <f t="shared" si="116"/>
        <v>0</v>
      </c>
      <c r="J1867" s="25">
        <f t="shared" si="117"/>
        <v>59</v>
      </c>
    </row>
    <row r="1868" spans="1:10" ht="16.95" customHeight="1">
      <c r="A1868" s="75" t="s">
        <v>79</v>
      </c>
      <c r="B1868" s="80" t="s">
        <v>80</v>
      </c>
      <c r="C1868" s="77" t="s">
        <v>48</v>
      </c>
      <c r="D1868" s="78">
        <v>1</v>
      </c>
      <c r="E1868" s="79">
        <f t="shared" ref="E1868:E1871" si="118">1/120</f>
        <v>8.3333333333333332E-3</v>
      </c>
      <c r="F1868" s="79" t="e">
        <f t="shared" si="115"/>
        <v>#REF!</v>
      </c>
      <c r="G1868" s="2"/>
      <c r="H1868" s="37">
        <v>21395</v>
      </c>
      <c r="I1868" s="4">
        <f t="shared" si="116"/>
        <v>178.29166666666666</v>
      </c>
      <c r="J1868" s="25">
        <f t="shared" si="117"/>
        <v>59</v>
      </c>
    </row>
    <row r="1869" spans="1:10" ht="16.95" customHeight="1">
      <c r="A1869" s="75" t="s">
        <v>81</v>
      </c>
      <c r="B1869" s="80" t="s">
        <v>82</v>
      </c>
      <c r="C1869" s="77" t="s">
        <v>48</v>
      </c>
      <c r="D1869" s="78">
        <v>1</v>
      </c>
      <c r="E1869" s="79">
        <f t="shared" si="118"/>
        <v>8.3333333333333332E-3</v>
      </c>
      <c r="F1869" s="79" t="e">
        <f t="shared" si="115"/>
        <v>#REF!</v>
      </c>
      <c r="G1869" s="2"/>
      <c r="H1869" s="37">
        <v>21395</v>
      </c>
      <c r="I1869" s="4">
        <f t="shared" si="116"/>
        <v>178.29166666666666</v>
      </c>
      <c r="J1869" s="25">
        <f t="shared" si="117"/>
        <v>59</v>
      </c>
    </row>
    <row r="1870" spans="1:10" ht="16.95" customHeight="1">
      <c r="A1870" s="75" t="s">
        <v>83</v>
      </c>
      <c r="B1870" s="80" t="s">
        <v>84</v>
      </c>
      <c r="C1870" s="77" t="s">
        <v>48</v>
      </c>
      <c r="D1870" s="78">
        <v>1</v>
      </c>
      <c r="E1870" s="79">
        <f t="shared" si="118"/>
        <v>8.3333333333333332E-3</v>
      </c>
      <c r="F1870" s="79" t="e">
        <f t="shared" si="115"/>
        <v>#REF!</v>
      </c>
      <c r="G1870" s="2"/>
      <c r="H1870" s="37">
        <v>149765</v>
      </c>
      <c r="I1870" s="4">
        <f t="shared" si="116"/>
        <v>1248.0416666666667</v>
      </c>
      <c r="J1870" s="25">
        <f t="shared" si="117"/>
        <v>59</v>
      </c>
    </row>
    <row r="1871" spans="1:10" ht="16.95" customHeight="1">
      <c r="A1871" s="75" t="s">
        <v>85</v>
      </c>
      <c r="B1871" s="80" t="s">
        <v>86</v>
      </c>
      <c r="C1871" s="77" t="s">
        <v>48</v>
      </c>
      <c r="D1871" s="78">
        <v>1</v>
      </c>
      <c r="E1871" s="79">
        <f t="shared" si="118"/>
        <v>8.3333333333333332E-3</v>
      </c>
      <c r="F1871" s="79" t="e">
        <f t="shared" si="115"/>
        <v>#REF!</v>
      </c>
      <c r="G1871" s="2"/>
      <c r="H1871" s="37">
        <v>6996</v>
      </c>
      <c r="I1871" s="4">
        <f t="shared" si="116"/>
        <v>58.3</v>
      </c>
      <c r="J1871" s="25">
        <f t="shared" si="117"/>
        <v>59</v>
      </c>
    </row>
    <row r="1872" spans="1:10" ht="16.95" customHeight="1">
      <c r="A1872" s="75" t="s">
        <v>87</v>
      </c>
      <c r="B1872" s="80" t="s">
        <v>88</v>
      </c>
      <c r="C1872" s="77" t="s">
        <v>48</v>
      </c>
      <c r="D1872" s="78">
        <v>1</v>
      </c>
      <c r="E1872" s="79">
        <f>1/120</f>
        <v>8.3333333333333332E-3</v>
      </c>
      <c r="F1872" s="79" t="e">
        <f t="shared" si="115"/>
        <v>#REF!</v>
      </c>
      <c r="G1872" s="2"/>
      <c r="H1872" s="37">
        <v>116952</v>
      </c>
      <c r="I1872" s="4">
        <f t="shared" si="116"/>
        <v>974.6</v>
      </c>
      <c r="J1872" s="25">
        <f t="shared" si="117"/>
        <v>59</v>
      </c>
    </row>
    <row r="1873" spans="1:10" ht="16.95" customHeight="1">
      <c r="A1873" s="95" t="s">
        <v>23</v>
      </c>
      <c r="B1873" s="95"/>
      <c r="C1873" s="50"/>
      <c r="D1873" s="50"/>
      <c r="E1873" s="50"/>
      <c r="F1873" s="50"/>
      <c r="G1873" s="50"/>
      <c r="H1873" s="3" t="s">
        <v>24</v>
      </c>
      <c r="I1873" s="5">
        <f>SUM(I1838:I1872)</f>
        <v>2637.5250000000001</v>
      </c>
      <c r="J1873" s="25">
        <f t="shared" si="117"/>
        <v>59</v>
      </c>
    </row>
    <row r="1874" spans="1:10" ht="16.95" customHeight="1">
      <c r="A1874" s="96" t="s">
        <v>25</v>
      </c>
      <c r="B1874" s="96"/>
      <c r="C1874" s="50"/>
      <c r="D1874" s="50"/>
      <c r="E1874" s="50"/>
      <c r="F1874" s="50"/>
      <c r="G1874" s="50"/>
      <c r="J1874" s="25">
        <f t="shared" si="117"/>
        <v>59</v>
      </c>
    </row>
    <row r="1875" spans="1:10" ht="16.95" customHeight="1">
      <c r="A1875" s="96" t="s">
        <v>26</v>
      </c>
      <c r="B1875" s="96"/>
      <c r="C1875" s="50"/>
      <c r="D1875" s="50"/>
      <c r="E1875" s="50"/>
      <c r="F1875" s="50"/>
      <c r="G1875" s="50"/>
      <c r="J1875" s="25">
        <f t="shared" si="117"/>
        <v>59</v>
      </c>
    </row>
    <row r="1876" spans="1:10" ht="16.95" customHeight="1">
      <c r="A1876" s="95" t="s">
        <v>27</v>
      </c>
      <c r="B1876" s="95"/>
      <c r="C1876" s="95"/>
      <c r="D1876" s="95"/>
      <c r="E1876" s="95"/>
      <c r="F1876" s="95"/>
      <c r="G1876" s="95"/>
      <c r="J1876" s="25">
        <f t="shared" si="117"/>
        <v>59</v>
      </c>
    </row>
    <row r="1877" spans="1:10" ht="16.95" customHeight="1">
      <c r="A1877" s="94" t="s">
        <v>28</v>
      </c>
      <c r="B1877" s="94"/>
      <c r="C1877" s="51" t="s">
        <v>29</v>
      </c>
      <c r="D1877" s="51" t="s">
        <v>30</v>
      </c>
      <c r="E1877" s="51" t="s">
        <v>18</v>
      </c>
      <c r="F1877" s="51" t="s">
        <v>31</v>
      </c>
      <c r="G1877" s="51" t="s">
        <v>20</v>
      </c>
      <c r="J1877" s="25">
        <f t="shared" si="117"/>
        <v>59</v>
      </c>
    </row>
    <row r="1878" spans="1:10" ht="16.95" customHeight="1">
      <c r="A1878" s="96"/>
      <c r="B1878" s="96"/>
      <c r="C1878" s="50"/>
      <c r="D1878" s="50"/>
      <c r="E1878" s="50"/>
      <c r="F1878" s="50"/>
      <c r="G1878" s="51"/>
      <c r="J1878" s="25">
        <f t="shared" si="117"/>
        <v>59</v>
      </c>
    </row>
    <row r="1879" spans="1:10" ht="16.95" customHeight="1">
      <c r="A1879" s="97"/>
      <c r="B1879" s="97"/>
      <c r="C1879" s="50"/>
      <c r="D1879" s="50"/>
      <c r="E1879" s="50"/>
      <c r="F1879" s="51"/>
      <c r="G1879" s="51"/>
      <c r="J1879" s="25">
        <f t="shared" si="117"/>
        <v>59</v>
      </c>
    </row>
    <row r="1880" spans="1:10" ht="16.95" customHeight="1">
      <c r="A1880" s="95" t="s">
        <v>32</v>
      </c>
      <c r="B1880" s="95"/>
      <c r="C1880" s="95"/>
      <c r="D1880" s="95"/>
      <c r="E1880" s="95"/>
      <c r="F1880" s="95"/>
      <c r="G1880" s="95"/>
      <c r="J1880" s="25">
        <f t="shared" si="117"/>
        <v>60</v>
      </c>
    </row>
    <row r="1881" spans="1:10" ht="16.95" customHeight="1">
      <c r="A1881" s="51" t="s">
        <v>33</v>
      </c>
      <c r="B1881" s="51" t="s">
        <v>34</v>
      </c>
      <c r="C1881" s="94" t="s">
        <v>35</v>
      </c>
      <c r="D1881" s="94"/>
      <c r="E1881" s="51" t="s">
        <v>36</v>
      </c>
      <c r="F1881" s="51" t="s">
        <v>37</v>
      </c>
      <c r="G1881" s="51" t="s">
        <v>38</v>
      </c>
      <c r="J1881" s="25">
        <f t="shared" si="117"/>
        <v>60</v>
      </c>
    </row>
    <row r="1882" spans="1:10" ht="16.95" customHeight="1">
      <c r="A1882" s="51" t="s">
        <v>39</v>
      </c>
      <c r="B1882" s="6"/>
      <c r="C1882" s="94" t="e">
        <f>B1882+C1819</f>
        <v>#REF!</v>
      </c>
      <c r="D1882" s="94"/>
      <c r="E1882" s="51"/>
      <c r="F1882" s="24"/>
      <c r="G1882" s="24"/>
      <c r="J1882" s="25">
        <f t="shared" si="117"/>
        <v>60</v>
      </c>
    </row>
    <row r="1883" spans="1:10" ht="16.95" customHeight="1">
      <c r="A1883" s="51" t="s">
        <v>40</v>
      </c>
      <c r="B1883" s="6"/>
      <c r="C1883" s="94" t="e">
        <f>B1883+C1820</f>
        <v>#REF!</v>
      </c>
      <c r="D1883" s="94"/>
      <c r="E1883" s="51"/>
      <c r="F1883" s="24"/>
      <c r="G1883" s="24"/>
      <c r="J1883" s="25">
        <f t="shared" si="117"/>
        <v>60</v>
      </c>
    </row>
    <row r="1884" spans="1:10" ht="36.6" customHeight="1">
      <c r="A1884" s="95" t="s">
        <v>41</v>
      </c>
      <c r="B1884" s="95"/>
      <c r="C1884" s="95"/>
      <c r="D1884" s="95"/>
      <c r="E1884" s="95"/>
      <c r="F1884" s="95"/>
      <c r="G1884" s="95"/>
      <c r="J1884" s="25">
        <f t="shared" si="117"/>
        <v>60</v>
      </c>
    </row>
    <row r="1885" spans="1:10" ht="90" customHeight="1">
      <c r="A1885" s="92" t="s">
        <v>42</v>
      </c>
      <c r="B1885" s="92"/>
      <c r="C1885" s="92"/>
      <c r="D1885" s="92"/>
      <c r="E1885" s="92"/>
      <c r="F1885" s="92"/>
      <c r="G1885" s="92"/>
      <c r="J1885" s="25">
        <f t="shared" si="117"/>
        <v>60</v>
      </c>
    </row>
    <row r="1886" spans="1:10" ht="16.95" customHeight="1">
      <c r="A1886" s="95" t="s">
        <v>43</v>
      </c>
      <c r="B1886" s="95"/>
      <c r="C1886" s="95"/>
      <c r="D1886" s="95"/>
      <c r="E1886" s="95"/>
      <c r="F1886" s="95"/>
      <c r="G1886" s="95"/>
      <c r="J1886" s="25">
        <f t="shared" si="117"/>
        <v>60</v>
      </c>
    </row>
    <row r="1887" spans="1:10" ht="16.95" customHeight="1">
      <c r="A1887" s="95" t="s">
        <v>44</v>
      </c>
      <c r="B1887" s="95"/>
      <c r="C1887" s="95"/>
      <c r="D1887" s="95"/>
      <c r="E1887" s="95"/>
      <c r="F1887" s="95"/>
      <c r="G1887" s="95"/>
      <c r="J1887" s="25">
        <f t="shared" si="117"/>
        <v>60</v>
      </c>
    </row>
    <row r="1888" spans="1:10" ht="16.95" customHeight="1">
      <c r="A1888" s="91" t="s">
        <v>64</v>
      </c>
      <c r="B1888" s="91"/>
      <c r="C1888" s="91"/>
      <c r="D1888" s="91"/>
      <c r="E1888" s="91"/>
      <c r="F1888" s="91"/>
      <c r="G1888" s="91"/>
      <c r="J1888" s="25">
        <f t="shared" si="117"/>
        <v>60</v>
      </c>
    </row>
    <row r="1889" spans="1:10" ht="120.6" customHeight="1">
      <c r="A1889" s="92" t="s">
        <v>45</v>
      </c>
      <c r="B1889" s="92"/>
      <c r="C1889" s="92"/>
      <c r="D1889" s="92"/>
      <c r="E1889" s="92"/>
      <c r="F1889" s="92"/>
      <c r="G1889" s="92"/>
      <c r="J1889" s="25">
        <f t="shared" si="117"/>
        <v>60</v>
      </c>
    </row>
    <row r="1890" spans="1:10" ht="140.4" customHeight="1">
      <c r="A1890" s="93" t="s">
        <v>46</v>
      </c>
      <c r="B1890" s="93"/>
      <c r="C1890" s="93"/>
      <c r="D1890" s="93"/>
      <c r="E1890" s="93"/>
      <c r="F1890" s="93"/>
      <c r="G1890" s="93"/>
      <c r="J1890" s="25">
        <f t="shared" si="117"/>
        <v>60</v>
      </c>
    </row>
    <row r="1891" spans="1:10" ht="37.200000000000003" customHeight="1">
      <c r="A1891" s="103" t="s">
        <v>0</v>
      </c>
      <c r="B1891" s="103"/>
      <c r="C1891" s="103"/>
      <c r="D1891" s="103"/>
      <c r="E1891" s="103"/>
      <c r="F1891" s="103"/>
      <c r="G1891" s="103"/>
      <c r="J1891" s="25">
        <f t="shared" si="117"/>
        <v>61</v>
      </c>
    </row>
    <row r="1892" spans="1:10" ht="16.95" customHeight="1">
      <c r="A1892" s="1" t="s">
        <v>1</v>
      </c>
      <c r="B1892" s="104">
        <f>B1829+1</f>
        <v>32</v>
      </c>
      <c r="C1892" s="104"/>
      <c r="D1892" s="104"/>
      <c r="E1892" s="104"/>
      <c r="F1892" s="104"/>
      <c r="G1892" s="104"/>
      <c r="J1892" s="25">
        <f t="shared" si="117"/>
        <v>61</v>
      </c>
    </row>
    <row r="1893" spans="1:10" ht="16.95" customHeight="1">
      <c r="A1893" s="1" t="s">
        <v>2</v>
      </c>
      <c r="B1893" s="105" t="s">
        <v>63</v>
      </c>
      <c r="C1893" s="105"/>
      <c r="D1893" s="105"/>
      <c r="E1893" s="106">
        <f>E1830+1</f>
        <v>46234</v>
      </c>
      <c r="F1893" s="106"/>
      <c r="G1893" s="106"/>
      <c r="J1893" s="25">
        <f t="shared" si="117"/>
        <v>61</v>
      </c>
    </row>
    <row r="1894" spans="1:10" ht="16.95" customHeight="1">
      <c r="A1894" s="53" t="s">
        <v>3</v>
      </c>
      <c r="B1894" s="2" t="s">
        <v>67</v>
      </c>
      <c r="C1894" s="98" t="s">
        <v>4</v>
      </c>
      <c r="D1894" s="98"/>
      <c r="E1894" s="98" t="s">
        <v>47</v>
      </c>
      <c r="F1894" s="98"/>
      <c r="G1894" s="98"/>
      <c r="J1894" s="25">
        <f t="shared" si="117"/>
        <v>61</v>
      </c>
    </row>
    <row r="1895" spans="1:10" ht="16.95" customHeight="1">
      <c r="A1895" s="53" t="s">
        <v>5</v>
      </c>
      <c r="B1895" s="54">
        <v>120</v>
      </c>
      <c r="C1895" s="98" t="s">
        <v>6</v>
      </c>
      <c r="D1895" s="98"/>
      <c r="E1895" s="98" t="s">
        <v>123</v>
      </c>
      <c r="F1895" s="98"/>
      <c r="G1895" s="98"/>
      <c r="J1895" s="25">
        <f t="shared" si="117"/>
        <v>61</v>
      </c>
    </row>
    <row r="1896" spans="1:10" ht="16.95" customHeight="1">
      <c r="A1896" s="53" t="s">
        <v>7</v>
      </c>
      <c r="B1896" s="54">
        <f>B1892</f>
        <v>32</v>
      </c>
      <c r="C1896" s="100" t="s">
        <v>8</v>
      </c>
      <c r="D1896" s="100"/>
      <c r="E1896" s="101">
        <f>B1895-B1896</f>
        <v>88</v>
      </c>
      <c r="F1896" s="101"/>
      <c r="G1896" s="101"/>
      <c r="J1896" s="25">
        <f t="shared" si="117"/>
        <v>61</v>
      </c>
    </row>
    <row r="1897" spans="1:10" ht="16.95" customHeight="1">
      <c r="A1897" s="53" t="s">
        <v>9</v>
      </c>
      <c r="B1897" s="55">
        <v>46204</v>
      </c>
      <c r="C1897" s="98" t="s">
        <v>10</v>
      </c>
      <c r="D1897" s="98"/>
      <c r="E1897" s="102">
        <f>B1897+B1895-1</f>
        <v>46323</v>
      </c>
      <c r="F1897" s="102"/>
      <c r="G1897" s="102"/>
      <c r="J1897" s="25">
        <f t="shared" si="117"/>
        <v>61</v>
      </c>
    </row>
    <row r="1898" spans="1:10" ht="16.95" customHeight="1">
      <c r="A1898" s="53" t="s">
        <v>11</v>
      </c>
      <c r="B1898" s="56" t="e">
        <f>HLOOKUP(B1892,進度表!$Q$2:$Z$3,2,1)+B1835</f>
        <v>#REF!</v>
      </c>
      <c r="C1898" s="98" t="s">
        <v>12</v>
      </c>
      <c r="D1898" s="98"/>
      <c r="E1898" s="99" t="e">
        <f>I1936/I1898+E1835</f>
        <v>#REF!</v>
      </c>
      <c r="F1898" s="99"/>
      <c r="G1898" s="99"/>
      <c r="H1898" s="3" t="s">
        <v>62</v>
      </c>
      <c r="I1898" s="1">
        <v>2456000</v>
      </c>
      <c r="J1898" s="25">
        <f t="shared" si="117"/>
        <v>61</v>
      </c>
    </row>
    <row r="1899" spans="1:10" ht="16.95" customHeight="1">
      <c r="A1899" s="98" t="s">
        <v>13</v>
      </c>
      <c r="B1899" s="98"/>
      <c r="C1899" s="98"/>
      <c r="D1899" s="98"/>
      <c r="E1899" s="98"/>
      <c r="F1899" s="98"/>
      <c r="G1899" s="98"/>
      <c r="J1899" s="25">
        <f t="shared" si="117"/>
        <v>61</v>
      </c>
    </row>
    <row r="1900" spans="1:10" ht="16.95" customHeight="1">
      <c r="A1900" s="52" t="s">
        <v>14</v>
      </c>
      <c r="B1900" s="52" t="s">
        <v>15</v>
      </c>
      <c r="C1900" s="52" t="s">
        <v>16</v>
      </c>
      <c r="D1900" s="52" t="s">
        <v>17</v>
      </c>
      <c r="E1900" s="52" t="s">
        <v>18</v>
      </c>
      <c r="F1900" s="52" t="s">
        <v>19</v>
      </c>
      <c r="G1900" s="52" t="s">
        <v>20</v>
      </c>
      <c r="H1900" s="3" t="s">
        <v>21</v>
      </c>
      <c r="I1900" s="3" t="s">
        <v>22</v>
      </c>
      <c r="J1900" s="25">
        <f t="shared" si="117"/>
        <v>61</v>
      </c>
    </row>
    <row r="1901" spans="1:10" ht="16.95" customHeight="1">
      <c r="A1901" s="75" t="s">
        <v>65</v>
      </c>
      <c r="B1901" s="76" t="s">
        <v>69</v>
      </c>
      <c r="C1901" s="77"/>
      <c r="D1901" s="78"/>
      <c r="E1901" s="79"/>
      <c r="F1901" s="79"/>
      <c r="G1901" s="2"/>
      <c r="H1901" s="37"/>
      <c r="I1901" s="4"/>
      <c r="J1901" s="25">
        <f t="shared" si="117"/>
        <v>61</v>
      </c>
    </row>
    <row r="1902" spans="1:10" ht="34.950000000000003" customHeight="1">
      <c r="A1902" s="75">
        <v>1</v>
      </c>
      <c r="B1902" s="80" t="s">
        <v>91</v>
      </c>
      <c r="C1902" s="77" t="s">
        <v>48</v>
      </c>
      <c r="D1902" s="78">
        <v>1</v>
      </c>
      <c r="E1902" s="79"/>
      <c r="F1902" s="79" t="e">
        <f t="shared" ref="F1902:F1935" si="119">E1902+F1839</f>
        <v>#REF!</v>
      </c>
      <c r="G1902" s="2"/>
      <c r="H1902" s="37">
        <v>10508</v>
      </c>
      <c r="I1902" s="4">
        <f>H1902*E1902</f>
        <v>0</v>
      </c>
      <c r="J1902" s="25">
        <f t="shared" si="117"/>
        <v>61</v>
      </c>
    </row>
    <row r="1903" spans="1:10" ht="34.799999999999997" customHeight="1">
      <c r="A1903" s="75">
        <v>2</v>
      </c>
      <c r="B1903" s="80" t="s">
        <v>92</v>
      </c>
      <c r="C1903" s="77" t="s">
        <v>48</v>
      </c>
      <c r="D1903" s="78">
        <v>1</v>
      </c>
      <c r="E1903" s="79"/>
      <c r="F1903" s="79" t="e">
        <f t="shared" si="119"/>
        <v>#REF!</v>
      </c>
      <c r="G1903" s="2"/>
      <c r="H1903" s="37">
        <v>13223</v>
      </c>
      <c r="I1903" s="4">
        <f>H1903*E1903</f>
        <v>0</v>
      </c>
      <c r="J1903" s="25">
        <f t="shared" si="117"/>
        <v>61</v>
      </c>
    </row>
    <row r="1904" spans="1:10" ht="53.4" customHeight="1">
      <c r="A1904" s="75">
        <v>3</v>
      </c>
      <c r="B1904" s="80" t="s">
        <v>93</v>
      </c>
      <c r="C1904" s="77" t="s">
        <v>48</v>
      </c>
      <c r="D1904" s="78">
        <v>1</v>
      </c>
      <c r="E1904" s="79"/>
      <c r="F1904" s="79" t="e">
        <f t="shared" si="119"/>
        <v>#REF!</v>
      </c>
      <c r="G1904" s="2"/>
      <c r="H1904" s="37">
        <v>310497</v>
      </c>
      <c r="I1904" s="4">
        <f t="shared" ref="I1904:I1935" si="120">H1904*E1904</f>
        <v>0</v>
      </c>
      <c r="J1904" s="25">
        <f t="shared" si="117"/>
        <v>61</v>
      </c>
    </row>
    <row r="1905" spans="1:10" ht="16.95" customHeight="1">
      <c r="A1905" s="75">
        <v>4</v>
      </c>
      <c r="B1905" s="80" t="s">
        <v>94</v>
      </c>
      <c r="C1905" s="77" t="s">
        <v>48</v>
      </c>
      <c r="D1905" s="78">
        <v>1</v>
      </c>
      <c r="E1905" s="79"/>
      <c r="F1905" s="79" t="e">
        <f t="shared" si="119"/>
        <v>#REF!</v>
      </c>
      <c r="G1905" s="2"/>
      <c r="H1905" s="37">
        <v>8375</v>
      </c>
      <c r="I1905" s="4">
        <f t="shared" si="120"/>
        <v>0</v>
      </c>
      <c r="J1905" s="25">
        <f t="shared" si="117"/>
        <v>61</v>
      </c>
    </row>
    <row r="1906" spans="1:10" ht="16.95" customHeight="1">
      <c r="A1906" s="75">
        <v>5</v>
      </c>
      <c r="B1906" s="80" t="s">
        <v>95</v>
      </c>
      <c r="C1906" s="77" t="s">
        <v>48</v>
      </c>
      <c r="D1906" s="78">
        <v>1</v>
      </c>
      <c r="E1906" s="79"/>
      <c r="F1906" s="79" t="e">
        <f t="shared" si="119"/>
        <v>#REF!</v>
      </c>
      <c r="G1906" s="2"/>
      <c r="H1906" s="37">
        <v>51618</v>
      </c>
      <c r="I1906" s="4">
        <f t="shared" si="120"/>
        <v>0</v>
      </c>
      <c r="J1906" s="25">
        <f t="shared" si="117"/>
        <v>61</v>
      </c>
    </row>
    <row r="1907" spans="1:10" ht="16.95" customHeight="1">
      <c r="A1907" s="75">
        <v>6</v>
      </c>
      <c r="B1907" s="80" t="s">
        <v>96</v>
      </c>
      <c r="C1907" s="77" t="s">
        <v>50</v>
      </c>
      <c r="D1907" s="78">
        <v>11.55</v>
      </c>
      <c r="E1907" s="79"/>
      <c r="F1907" s="79" t="e">
        <f t="shared" si="119"/>
        <v>#REF!</v>
      </c>
      <c r="G1907" s="2"/>
      <c r="H1907" s="37">
        <v>1188</v>
      </c>
      <c r="I1907" s="4">
        <f t="shared" si="120"/>
        <v>0</v>
      </c>
      <c r="J1907" s="25">
        <f t="shared" si="117"/>
        <v>61</v>
      </c>
    </row>
    <row r="1908" spans="1:10" ht="34.950000000000003" customHeight="1">
      <c r="A1908" s="75">
        <v>7</v>
      </c>
      <c r="B1908" s="80" t="s">
        <v>97</v>
      </c>
      <c r="C1908" s="77" t="s">
        <v>48</v>
      </c>
      <c r="D1908" s="78">
        <v>1</v>
      </c>
      <c r="E1908" s="79"/>
      <c r="F1908" s="79" t="e">
        <f t="shared" si="119"/>
        <v>#REF!</v>
      </c>
      <c r="G1908" s="2"/>
      <c r="H1908" s="37">
        <v>21157</v>
      </c>
      <c r="I1908" s="4">
        <f t="shared" si="120"/>
        <v>0</v>
      </c>
      <c r="J1908" s="25">
        <f t="shared" si="117"/>
        <v>61</v>
      </c>
    </row>
    <row r="1909" spans="1:10" ht="16.95" customHeight="1">
      <c r="A1909" s="75">
        <v>8</v>
      </c>
      <c r="B1909" s="80" t="s">
        <v>98</v>
      </c>
      <c r="C1909" s="77" t="s">
        <v>50</v>
      </c>
      <c r="D1909" s="78">
        <v>387</v>
      </c>
      <c r="E1909" s="79"/>
      <c r="F1909" s="79" t="e">
        <f t="shared" si="119"/>
        <v>#REF!</v>
      </c>
      <c r="G1909" s="2"/>
      <c r="H1909" s="37">
        <v>705</v>
      </c>
      <c r="I1909" s="4">
        <f t="shared" si="120"/>
        <v>0</v>
      </c>
      <c r="J1909" s="25">
        <f t="shared" si="117"/>
        <v>61</v>
      </c>
    </row>
    <row r="1910" spans="1:10" ht="16.95" customHeight="1">
      <c r="A1910" s="75">
        <v>9</v>
      </c>
      <c r="B1910" s="80" t="s">
        <v>99</v>
      </c>
      <c r="C1910" s="77" t="s">
        <v>50</v>
      </c>
      <c r="D1910" s="78">
        <v>170</v>
      </c>
      <c r="E1910" s="79"/>
      <c r="F1910" s="79" t="e">
        <f t="shared" si="119"/>
        <v>#REF!</v>
      </c>
      <c r="G1910" s="2"/>
      <c r="H1910" s="37">
        <v>617</v>
      </c>
      <c r="I1910" s="4">
        <f t="shared" si="120"/>
        <v>0</v>
      </c>
      <c r="J1910" s="25">
        <f t="shared" si="117"/>
        <v>61</v>
      </c>
    </row>
    <row r="1911" spans="1:10" ht="16.95" customHeight="1">
      <c r="A1911" s="75">
        <v>10</v>
      </c>
      <c r="B1911" s="80" t="s">
        <v>100</v>
      </c>
      <c r="C1911" s="77" t="s">
        <v>66</v>
      </c>
      <c r="D1911" s="78">
        <v>15</v>
      </c>
      <c r="E1911" s="79"/>
      <c r="F1911" s="79" t="e">
        <f t="shared" si="119"/>
        <v>#REF!</v>
      </c>
      <c r="G1911" s="2"/>
      <c r="H1911" s="37">
        <v>617</v>
      </c>
      <c r="I1911" s="4">
        <f t="shared" si="120"/>
        <v>0</v>
      </c>
      <c r="J1911" s="25">
        <f t="shared" si="117"/>
        <v>61</v>
      </c>
    </row>
    <row r="1912" spans="1:10" ht="16.95" customHeight="1">
      <c r="A1912" s="75">
        <v>11</v>
      </c>
      <c r="B1912" s="80" t="s">
        <v>101</v>
      </c>
      <c r="C1912" s="77" t="s">
        <v>50</v>
      </c>
      <c r="D1912" s="78">
        <v>75</v>
      </c>
      <c r="E1912" s="79"/>
      <c r="F1912" s="79" t="e">
        <f t="shared" si="119"/>
        <v>#REF!</v>
      </c>
      <c r="G1912" s="2"/>
      <c r="H1912" s="37">
        <v>1146</v>
      </c>
      <c r="I1912" s="4">
        <f t="shared" si="120"/>
        <v>0</v>
      </c>
      <c r="J1912" s="25">
        <f t="shared" si="117"/>
        <v>61</v>
      </c>
    </row>
    <row r="1913" spans="1:10" ht="16.95" customHeight="1">
      <c r="A1913" s="75">
        <v>12</v>
      </c>
      <c r="B1913" s="80" t="s">
        <v>102</v>
      </c>
      <c r="C1913" s="77" t="s">
        <v>50</v>
      </c>
      <c r="D1913" s="78">
        <v>5</v>
      </c>
      <c r="E1913" s="79"/>
      <c r="F1913" s="79" t="e">
        <f t="shared" si="119"/>
        <v>#REF!</v>
      </c>
      <c r="G1913" s="2"/>
      <c r="H1913" s="37">
        <v>1455</v>
      </c>
      <c r="I1913" s="4">
        <f t="shared" si="120"/>
        <v>0</v>
      </c>
      <c r="J1913" s="25">
        <f t="shared" si="117"/>
        <v>61</v>
      </c>
    </row>
    <row r="1914" spans="1:10" ht="16.95" customHeight="1">
      <c r="A1914" s="75">
        <v>13</v>
      </c>
      <c r="B1914" s="80" t="s">
        <v>103</v>
      </c>
      <c r="C1914" s="77" t="s">
        <v>50</v>
      </c>
      <c r="D1914" s="78">
        <v>217</v>
      </c>
      <c r="E1914" s="79"/>
      <c r="F1914" s="79" t="e">
        <f t="shared" si="119"/>
        <v>#REF!</v>
      </c>
      <c r="G1914" s="2"/>
      <c r="H1914" s="37">
        <v>1410</v>
      </c>
      <c r="I1914" s="4">
        <f t="shared" si="120"/>
        <v>0</v>
      </c>
      <c r="J1914" s="25">
        <f t="shared" si="117"/>
        <v>61</v>
      </c>
    </row>
    <row r="1915" spans="1:10" ht="16.95" customHeight="1">
      <c r="A1915" s="75">
        <v>14</v>
      </c>
      <c r="B1915" s="80" t="s">
        <v>104</v>
      </c>
      <c r="C1915" s="77" t="s">
        <v>49</v>
      </c>
      <c r="D1915" s="78">
        <v>84</v>
      </c>
      <c r="E1915" s="79"/>
      <c r="F1915" s="79" t="e">
        <f t="shared" si="119"/>
        <v>#REF!</v>
      </c>
      <c r="G1915" s="2"/>
      <c r="H1915" s="37">
        <v>529</v>
      </c>
      <c r="I1915" s="4">
        <f t="shared" si="120"/>
        <v>0</v>
      </c>
      <c r="J1915" s="25">
        <f t="shared" ref="J1915:J1942" si="121">J1852+2</f>
        <v>61</v>
      </c>
    </row>
    <row r="1916" spans="1:10" ht="16.95" customHeight="1">
      <c r="A1916" s="75">
        <v>15</v>
      </c>
      <c r="B1916" s="80" t="s">
        <v>105</v>
      </c>
      <c r="C1916" s="77" t="s">
        <v>50</v>
      </c>
      <c r="D1916" s="78">
        <v>1</v>
      </c>
      <c r="E1916" s="79"/>
      <c r="F1916" s="79" t="e">
        <f t="shared" si="119"/>
        <v>#REF!</v>
      </c>
      <c r="G1916" s="2"/>
      <c r="H1916" s="37">
        <v>1146</v>
      </c>
      <c r="I1916" s="4">
        <f t="shared" si="120"/>
        <v>0</v>
      </c>
      <c r="J1916" s="25">
        <f t="shared" si="121"/>
        <v>61</v>
      </c>
    </row>
    <row r="1917" spans="1:10" ht="34.799999999999997" customHeight="1">
      <c r="A1917" s="75">
        <v>16</v>
      </c>
      <c r="B1917" s="80" t="s">
        <v>106</v>
      </c>
      <c r="C1917" s="77" t="s">
        <v>50</v>
      </c>
      <c r="D1917" s="78">
        <v>314</v>
      </c>
      <c r="E1917" s="79"/>
      <c r="F1917" s="79" t="e">
        <f t="shared" si="119"/>
        <v>#REF!</v>
      </c>
      <c r="G1917" s="2"/>
      <c r="H1917" s="37">
        <v>185</v>
      </c>
      <c r="I1917" s="4">
        <f t="shared" si="120"/>
        <v>0</v>
      </c>
      <c r="J1917" s="25">
        <f t="shared" si="121"/>
        <v>61</v>
      </c>
    </row>
    <row r="1918" spans="1:10" ht="16.95" customHeight="1">
      <c r="A1918" s="75">
        <v>17</v>
      </c>
      <c r="B1918" s="80" t="s">
        <v>107</v>
      </c>
      <c r="C1918" s="77" t="s">
        <v>48</v>
      </c>
      <c r="D1918" s="78">
        <v>1</v>
      </c>
      <c r="E1918" s="79"/>
      <c r="F1918" s="79" t="e">
        <f t="shared" si="119"/>
        <v>#REF!</v>
      </c>
      <c r="G1918" s="2"/>
      <c r="H1918" s="37">
        <v>89918</v>
      </c>
      <c r="I1918" s="4">
        <f t="shared" si="120"/>
        <v>0</v>
      </c>
      <c r="J1918" s="25">
        <f t="shared" si="121"/>
        <v>61</v>
      </c>
    </row>
    <row r="1919" spans="1:10" ht="16.95" customHeight="1">
      <c r="A1919" s="75">
        <v>18</v>
      </c>
      <c r="B1919" s="80" t="s">
        <v>108</v>
      </c>
      <c r="C1919" s="77" t="s">
        <v>120</v>
      </c>
      <c r="D1919" s="78">
        <v>15</v>
      </c>
      <c r="E1919" s="79"/>
      <c r="F1919" s="79" t="e">
        <f t="shared" si="119"/>
        <v>#REF!</v>
      </c>
      <c r="G1919" s="2"/>
      <c r="H1919" s="37">
        <v>661</v>
      </c>
      <c r="I1919" s="4">
        <f t="shared" si="120"/>
        <v>0</v>
      </c>
      <c r="J1919" s="25">
        <f t="shared" si="121"/>
        <v>61</v>
      </c>
    </row>
    <row r="1920" spans="1:10" ht="16.95" customHeight="1">
      <c r="A1920" s="75">
        <v>19</v>
      </c>
      <c r="B1920" s="80" t="s">
        <v>109</v>
      </c>
      <c r="C1920" s="77" t="s">
        <v>50</v>
      </c>
      <c r="D1920" s="78">
        <v>82</v>
      </c>
      <c r="E1920" s="79"/>
      <c r="F1920" s="79" t="e">
        <f t="shared" si="119"/>
        <v>#REF!</v>
      </c>
      <c r="G1920" s="2"/>
      <c r="H1920" s="37">
        <v>2909</v>
      </c>
      <c r="I1920" s="4">
        <f t="shared" si="120"/>
        <v>0</v>
      </c>
      <c r="J1920" s="25">
        <f t="shared" si="121"/>
        <v>61</v>
      </c>
    </row>
    <row r="1921" spans="1:10" ht="16.95" customHeight="1">
      <c r="A1921" s="75">
        <v>20</v>
      </c>
      <c r="B1921" s="80" t="s">
        <v>110</v>
      </c>
      <c r="C1921" s="77" t="s">
        <v>121</v>
      </c>
      <c r="D1921" s="78">
        <v>12</v>
      </c>
      <c r="E1921" s="79"/>
      <c r="F1921" s="79" t="e">
        <f t="shared" si="119"/>
        <v>#REF!</v>
      </c>
      <c r="G1921" s="2"/>
      <c r="H1921" s="37">
        <v>882</v>
      </c>
      <c r="I1921" s="4">
        <f t="shared" si="120"/>
        <v>0</v>
      </c>
      <c r="J1921" s="25">
        <f t="shared" si="121"/>
        <v>61</v>
      </c>
    </row>
    <row r="1922" spans="1:10" ht="16.95" customHeight="1">
      <c r="A1922" s="77">
        <v>21</v>
      </c>
      <c r="B1922" s="80" t="s">
        <v>111</v>
      </c>
      <c r="C1922" s="77" t="s">
        <v>122</v>
      </c>
      <c r="D1922" s="78">
        <v>3</v>
      </c>
      <c r="E1922" s="79"/>
      <c r="F1922" s="79" t="e">
        <f t="shared" si="119"/>
        <v>#REF!</v>
      </c>
      <c r="G1922" s="2"/>
      <c r="H1922" s="38">
        <v>1869</v>
      </c>
      <c r="I1922" s="4">
        <f t="shared" si="120"/>
        <v>0</v>
      </c>
      <c r="J1922" s="25">
        <f t="shared" si="121"/>
        <v>61</v>
      </c>
    </row>
    <row r="1923" spans="1:10" ht="34.950000000000003" customHeight="1">
      <c r="A1923" s="75">
        <v>22</v>
      </c>
      <c r="B1923" s="80" t="s">
        <v>112</v>
      </c>
      <c r="C1923" s="77" t="s">
        <v>48</v>
      </c>
      <c r="D1923" s="78">
        <v>1</v>
      </c>
      <c r="E1923" s="79"/>
      <c r="F1923" s="79" t="e">
        <f t="shared" si="119"/>
        <v>#REF!</v>
      </c>
      <c r="G1923" s="2"/>
      <c r="H1923" s="37">
        <v>82206</v>
      </c>
      <c r="I1923" s="4">
        <f t="shared" si="120"/>
        <v>0</v>
      </c>
      <c r="J1923" s="25">
        <f t="shared" si="121"/>
        <v>61</v>
      </c>
    </row>
    <row r="1924" spans="1:10" ht="16.95" customHeight="1">
      <c r="A1924" s="75">
        <v>23</v>
      </c>
      <c r="B1924" s="80" t="s">
        <v>113</v>
      </c>
      <c r="C1924" s="77" t="s">
        <v>48</v>
      </c>
      <c r="D1924" s="78">
        <v>1</v>
      </c>
      <c r="E1924" s="79"/>
      <c r="F1924" s="79" t="e">
        <f t="shared" si="119"/>
        <v>#REF!</v>
      </c>
      <c r="G1924" s="2"/>
      <c r="H1924" s="37">
        <v>142723</v>
      </c>
      <c r="I1924" s="4">
        <f t="shared" si="120"/>
        <v>0</v>
      </c>
      <c r="J1924" s="25">
        <f t="shared" si="121"/>
        <v>61</v>
      </c>
    </row>
    <row r="1925" spans="1:10" ht="16.95" customHeight="1">
      <c r="A1925" s="75">
        <v>24</v>
      </c>
      <c r="B1925" s="80" t="s">
        <v>114</v>
      </c>
      <c r="C1925" s="77" t="s">
        <v>48</v>
      </c>
      <c r="D1925" s="78">
        <v>1</v>
      </c>
      <c r="E1925" s="79"/>
      <c r="F1925" s="79" t="e">
        <f t="shared" si="119"/>
        <v>#REF!</v>
      </c>
      <c r="G1925" s="2"/>
      <c r="H1925" s="37">
        <v>37290</v>
      </c>
      <c r="I1925" s="4">
        <f t="shared" si="120"/>
        <v>0</v>
      </c>
      <c r="J1925" s="25">
        <f t="shared" si="121"/>
        <v>61</v>
      </c>
    </row>
    <row r="1926" spans="1:10" ht="16.95" customHeight="1">
      <c r="A1926" s="75">
        <v>25</v>
      </c>
      <c r="B1926" s="80" t="s">
        <v>115</v>
      </c>
      <c r="C1926" s="77" t="s">
        <v>48</v>
      </c>
      <c r="D1926" s="78">
        <v>1</v>
      </c>
      <c r="E1926" s="79"/>
      <c r="F1926" s="79" t="e">
        <f t="shared" si="119"/>
        <v>#REF!</v>
      </c>
      <c r="G1926" s="2"/>
      <c r="H1926" s="37">
        <v>99394</v>
      </c>
      <c r="I1926" s="4">
        <f t="shared" si="120"/>
        <v>0</v>
      </c>
      <c r="J1926" s="25">
        <f t="shared" si="121"/>
        <v>61</v>
      </c>
    </row>
    <row r="1927" spans="1:10" ht="34.950000000000003" customHeight="1">
      <c r="A1927" s="75">
        <v>26</v>
      </c>
      <c r="B1927" s="80" t="s">
        <v>116</v>
      </c>
      <c r="C1927" s="77" t="s">
        <v>48</v>
      </c>
      <c r="D1927" s="78">
        <v>1</v>
      </c>
      <c r="E1927" s="79"/>
      <c r="F1927" s="79" t="e">
        <f t="shared" si="119"/>
        <v>#REF!</v>
      </c>
      <c r="G1927" s="2"/>
      <c r="H1927" s="37">
        <v>21334</v>
      </c>
      <c r="I1927" s="4">
        <f t="shared" si="120"/>
        <v>0</v>
      </c>
      <c r="J1927" s="25">
        <f t="shared" si="121"/>
        <v>61</v>
      </c>
    </row>
    <row r="1928" spans="1:10" ht="16.95" customHeight="1">
      <c r="A1928" s="75">
        <v>27</v>
      </c>
      <c r="B1928" s="80" t="s">
        <v>117</v>
      </c>
      <c r="C1928" s="77" t="s">
        <v>48</v>
      </c>
      <c r="D1928" s="78">
        <v>1</v>
      </c>
      <c r="E1928" s="79"/>
      <c r="F1928" s="79" t="e">
        <f t="shared" si="119"/>
        <v>#REF!</v>
      </c>
      <c r="G1928" s="2"/>
      <c r="H1928" s="37">
        <v>29620</v>
      </c>
      <c r="I1928" s="4">
        <f t="shared" si="120"/>
        <v>0</v>
      </c>
      <c r="J1928" s="25">
        <f t="shared" si="121"/>
        <v>61</v>
      </c>
    </row>
    <row r="1929" spans="1:10" ht="16.95" customHeight="1">
      <c r="A1929" s="75">
        <v>28</v>
      </c>
      <c r="B1929" s="80" t="s">
        <v>118</v>
      </c>
      <c r="C1929" s="77" t="s">
        <v>48</v>
      </c>
      <c r="D1929" s="78">
        <v>1</v>
      </c>
      <c r="E1929" s="79"/>
      <c r="F1929" s="79" t="e">
        <f t="shared" si="119"/>
        <v>#REF!</v>
      </c>
      <c r="G1929" s="2"/>
      <c r="H1929" s="37">
        <v>18506</v>
      </c>
      <c r="I1929" s="4">
        <f t="shared" si="120"/>
        <v>0</v>
      </c>
      <c r="J1929" s="25">
        <f t="shared" si="121"/>
        <v>61</v>
      </c>
    </row>
    <row r="1930" spans="1:10" ht="16.95" customHeight="1">
      <c r="A1930" s="75">
        <v>29</v>
      </c>
      <c r="B1930" s="80" t="s">
        <v>119</v>
      </c>
      <c r="C1930" s="77" t="s">
        <v>48</v>
      </c>
      <c r="D1930" s="78">
        <v>1</v>
      </c>
      <c r="E1930" s="79"/>
      <c r="F1930" s="79" t="e">
        <f t="shared" si="119"/>
        <v>#REF!</v>
      </c>
      <c r="G1930" s="2"/>
      <c r="H1930" s="37">
        <v>34381</v>
      </c>
      <c r="I1930" s="4">
        <f t="shared" si="120"/>
        <v>0</v>
      </c>
      <c r="J1930" s="25">
        <f t="shared" si="121"/>
        <v>61</v>
      </c>
    </row>
    <row r="1931" spans="1:10" ht="16.95" customHeight="1">
      <c r="A1931" s="75" t="s">
        <v>79</v>
      </c>
      <c r="B1931" s="80" t="s">
        <v>80</v>
      </c>
      <c r="C1931" s="77" t="s">
        <v>48</v>
      </c>
      <c r="D1931" s="78">
        <v>1</v>
      </c>
      <c r="E1931" s="79">
        <f t="shared" ref="E1931:E1934" si="122">1/120</f>
        <v>8.3333333333333332E-3</v>
      </c>
      <c r="F1931" s="79" t="e">
        <f t="shared" si="119"/>
        <v>#REF!</v>
      </c>
      <c r="G1931" s="2"/>
      <c r="H1931" s="37">
        <v>21395</v>
      </c>
      <c r="I1931" s="4">
        <f t="shared" si="120"/>
        <v>178.29166666666666</v>
      </c>
      <c r="J1931" s="25">
        <f t="shared" si="121"/>
        <v>61</v>
      </c>
    </row>
    <row r="1932" spans="1:10" ht="16.95" customHeight="1">
      <c r="A1932" s="75" t="s">
        <v>81</v>
      </c>
      <c r="B1932" s="80" t="s">
        <v>82</v>
      </c>
      <c r="C1932" s="77" t="s">
        <v>48</v>
      </c>
      <c r="D1932" s="78">
        <v>1</v>
      </c>
      <c r="E1932" s="79">
        <f t="shared" si="122"/>
        <v>8.3333333333333332E-3</v>
      </c>
      <c r="F1932" s="79" t="e">
        <f t="shared" si="119"/>
        <v>#REF!</v>
      </c>
      <c r="G1932" s="2"/>
      <c r="H1932" s="37">
        <v>21395</v>
      </c>
      <c r="I1932" s="4">
        <f t="shared" si="120"/>
        <v>178.29166666666666</v>
      </c>
      <c r="J1932" s="25">
        <f t="shared" si="121"/>
        <v>61</v>
      </c>
    </row>
    <row r="1933" spans="1:10" ht="16.95" customHeight="1">
      <c r="A1933" s="75" t="s">
        <v>83</v>
      </c>
      <c r="B1933" s="80" t="s">
        <v>84</v>
      </c>
      <c r="C1933" s="77" t="s">
        <v>48</v>
      </c>
      <c r="D1933" s="78">
        <v>1</v>
      </c>
      <c r="E1933" s="79">
        <f t="shared" si="122"/>
        <v>8.3333333333333332E-3</v>
      </c>
      <c r="F1933" s="79" t="e">
        <f t="shared" si="119"/>
        <v>#REF!</v>
      </c>
      <c r="G1933" s="2"/>
      <c r="H1933" s="37">
        <v>149765</v>
      </c>
      <c r="I1933" s="4">
        <f t="shared" si="120"/>
        <v>1248.0416666666667</v>
      </c>
      <c r="J1933" s="25">
        <f t="shared" si="121"/>
        <v>61</v>
      </c>
    </row>
    <row r="1934" spans="1:10" ht="16.95" customHeight="1">
      <c r="A1934" s="75" t="s">
        <v>85</v>
      </c>
      <c r="B1934" s="80" t="s">
        <v>86</v>
      </c>
      <c r="C1934" s="77" t="s">
        <v>48</v>
      </c>
      <c r="D1934" s="78">
        <v>1</v>
      </c>
      <c r="E1934" s="79">
        <f t="shared" si="122"/>
        <v>8.3333333333333332E-3</v>
      </c>
      <c r="F1934" s="79" t="e">
        <f t="shared" si="119"/>
        <v>#REF!</v>
      </c>
      <c r="G1934" s="2"/>
      <c r="H1934" s="37">
        <v>6996</v>
      </c>
      <c r="I1934" s="4">
        <f t="shared" si="120"/>
        <v>58.3</v>
      </c>
      <c r="J1934" s="25">
        <f t="shared" si="121"/>
        <v>61</v>
      </c>
    </row>
    <row r="1935" spans="1:10" ht="16.95" customHeight="1">
      <c r="A1935" s="75" t="s">
        <v>87</v>
      </c>
      <c r="B1935" s="80" t="s">
        <v>88</v>
      </c>
      <c r="C1935" s="77" t="s">
        <v>48</v>
      </c>
      <c r="D1935" s="78">
        <v>1</v>
      </c>
      <c r="E1935" s="79">
        <f>1/120</f>
        <v>8.3333333333333332E-3</v>
      </c>
      <c r="F1935" s="79" t="e">
        <f t="shared" si="119"/>
        <v>#REF!</v>
      </c>
      <c r="G1935" s="2"/>
      <c r="H1935" s="37">
        <v>116952</v>
      </c>
      <c r="I1935" s="4">
        <f t="shared" si="120"/>
        <v>974.6</v>
      </c>
      <c r="J1935" s="25">
        <f t="shared" si="121"/>
        <v>61</v>
      </c>
    </row>
    <row r="1936" spans="1:10" ht="16.95" customHeight="1">
      <c r="A1936" s="95" t="s">
        <v>23</v>
      </c>
      <c r="B1936" s="95"/>
      <c r="C1936" s="50"/>
      <c r="D1936" s="50"/>
      <c r="E1936" s="50"/>
      <c r="F1936" s="50"/>
      <c r="G1936" s="50"/>
      <c r="H1936" s="3" t="s">
        <v>24</v>
      </c>
      <c r="I1936" s="5">
        <f>SUM(I1901:I1935)</f>
        <v>2637.5250000000001</v>
      </c>
      <c r="J1936" s="25">
        <f t="shared" si="121"/>
        <v>61</v>
      </c>
    </row>
    <row r="1937" spans="1:10" ht="16.95" customHeight="1">
      <c r="A1937" s="96" t="s">
        <v>25</v>
      </c>
      <c r="B1937" s="96"/>
      <c r="C1937" s="50"/>
      <c r="D1937" s="50"/>
      <c r="E1937" s="50"/>
      <c r="F1937" s="50"/>
      <c r="G1937" s="50"/>
      <c r="J1937" s="25">
        <f t="shared" si="121"/>
        <v>61</v>
      </c>
    </row>
    <row r="1938" spans="1:10" ht="16.95" customHeight="1">
      <c r="A1938" s="96" t="s">
        <v>26</v>
      </c>
      <c r="B1938" s="96"/>
      <c r="C1938" s="50"/>
      <c r="D1938" s="50"/>
      <c r="E1938" s="50"/>
      <c r="F1938" s="50"/>
      <c r="G1938" s="50"/>
      <c r="J1938" s="25">
        <f t="shared" si="121"/>
        <v>61</v>
      </c>
    </row>
    <row r="1939" spans="1:10" ht="16.95" customHeight="1">
      <c r="A1939" s="95" t="s">
        <v>27</v>
      </c>
      <c r="B1939" s="95"/>
      <c r="C1939" s="95"/>
      <c r="D1939" s="95"/>
      <c r="E1939" s="95"/>
      <c r="F1939" s="95"/>
      <c r="G1939" s="95"/>
      <c r="J1939" s="25">
        <f t="shared" si="121"/>
        <v>61</v>
      </c>
    </row>
    <row r="1940" spans="1:10" ht="16.95" customHeight="1">
      <c r="A1940" s="94" t="s">
        <v>28</v>
      </c>
      <c r="B1940" s="94"/>
      <c r="C1940" s="51" t="s">
        <v>29</v>
      </c>
      <c r="D1940" s="51" t="s">
        <v>30</v>
      </c>
      <c r="E1940" s="51" t="s">
        <v>18</v>
      </c>
      <c r="F1940" s="51" t="s">
        <v>31</v>
      </c>
      <c r="G1940" s="51" t="s">
        <v>20</v>
      </c>
      <c r="J1940" s="25">
        <f t="shared" si="121"/>
        <v>61</v>
      </c>
    </row>
    <row r="1941" spans="1:10" ht="16.95" customHeight="1">
      <c r="A1941" s="96"/>
      <c r="B1941" s="96"/>
      <c r="C1941" s="50"/>
      <c r="D1941" s="50"/>
      <c r="E1941" s="50"/>
      <c r="F1941" s="50"/>
      <c r="G1941" s="51"/>
      <c r="J1941" s="25">
        <f t="shared" si="121"/>
        <v>61</v>
      </c>
    </row>
    <row r="1942" spans="1:10" ht="16.95" customHeight="1">
      <c r="A1942" s="97"/>
      <c r="B1942" s="97"/>
      <c r="C1942" s="50"/>
      <c r="D1942" s="50"/>
      <c r="E1942" s="50"/>
      <c r="F1942" s="51"/>
      <c r="G1942" s="51"/>
      <c r="J1942" s="25">
        <f t="shared" si="121"/>
        <v>61</v>
      </c>
    </row>
    <row r="1943" spans="1:10" ht="16.95" customHeight="1">
      <c r="A1943" s="95" t="s">
        <v>32</v>
      </c>
      <c r="B1943" s="95"/>
      <c r="C1943" s="95"/>
      <c r="D1943" s="95"/>
      <c r="E1943" s="95"/>
      <c r="F1943" s="95"/>
      <c r="G1943" s="95"/>
      <c r="J1943" s="25">
        <f t="shared" ref="J1943:J1953" si="123">J1880+2</f>
        <v>62</v>
      </c>
    </row>
    <row r="1944" spans="1:10" ht="16.95" customHeight="1">
      <c r="A1944" s="51" t="s">
        <v>33</v>
      </c>
      <c r="B1944" s="51" t="s">
        <v>34</v>
      </c>
      <c r="C1944" s="94" t="s">
        <v>35</v>
      </c>
      <c r="D1944" s="94"/>
      <c r="E1944" s="51" t="s">
        <v>36</v>
      </c>
      <c r="F1944" s="51" t="s">
        <v>37</v>
      </c>
      <c r="G1944" s="51" t="s">
        <v>38</v>
      </c>
      <c r="J1944" s="25">
        <f t="shared" si="123"/>
        <v>62</v>
      </c>
    </row>
    <row r="1945" spans="1:10" ht="16.95" customHeight="1">
      <c r="A1945" s="51" t="s">
        <v>39</v>
      </c>
      <c r="B1945" s="6"/>
      <c r="C1945" s="94" t="e">
        <f>B1945+C1882</f>
        <v>#REF!</v>
      </c>
      <c r="D1945" s="94"/>
      <c r="E1945" s="51"/>
      <c r="F1945" s="24"/>
      <c r="G1945" s="24"/>
      <c r="J1945" s="25">
        <f t="shared" si="123"/>
        <v>62</v>
      </c>
    </row>
    <row r="1946" spans="1:10" ht="16.95" customHeight="1">
      <c r="A1946" s="51" t="s">
        <v>40</v>
      </c>
      <c r="B1946" s="6"/>
      <c r="C1946" s="94" t="e">
        <f>B1946+C1883</f>
        <v>#REF!</v>
      </c>
      <c r="D1946" s="94"/>
      <c r="E1946" s="51"/>
      <c r="F1946" s="24"/>
      <c r="G1946" s="24"/>
      <c r="J1946" s="25">
        <f t="shared" si="123"/>
        <v>62</v>
      </c>
    </row>
    <row r="1947" spans="1:10" ht="36.6" customHeight="1">
      <c r="A1947" s="95" t="s">
        <v>41</v>
      </c>
      <c r="B1947" s="95"/>
      <c r="C1947" s="95"/>
      <c r="D1947" s="95"/>
      <c r="E1947" s="95"/>
      <c r="F1947" s="95"/>
      <c r="G1947" s="95"/>
      <c r="J1947" s="25">
        <f t="shared" si="123"/>
        <v>62</v>
      </c>
    </row>
    <row r="1948" spans="1:10" ht="90" customHeight="1">
      <c r="A1948" s="92" t="s">
        <v>42</v>
      </c>
      <c r="B1948" s="92"/>
      <c r="C1948" s="92"/>
      <c r="D1948" s="92"/>
      <c r="E1948" s="92"/>
      <c r="F1948" s="92"/>
      <c r="G1948" s="92"/>
      <c r="J1948" s="25">
        <f t="shared" si="123"/>
        <v>62</v>
      </c>
    </row>
    <row r="1949" spans="1:10" ht="16.95" customHeight="1">
      <c r="A1949" s="95" t="s">
        <v>43</v>
      </c>
      <c r="B1949" s="95"/>
      <c r="C1949" s="95"/>
      <c r="D1949" s="95"/>
      <c r="E1949" s="95"/>
      <c r="F1949" s="95"/>
      <c r="G1949" s="95"/>
      <c r="J1949" s="25">
        <f t="shared" si="123"/>
        <v>62</v>
      </c>
    </row>
    <row r="1950" spans="1:10" ht="16.95" customHeight="1">
      <c r="A1950" s="95" t="s">
        <v>44</v>
      </c>
      <c r="B1950" s="95"/>
      <c r="C1950" s="95"/>
      <c r="D1950" s="95"/>
      <c r="E1950" s="95"/>
      <c r="F1950" s="95"/>
      <c r="G1950" s="95"/>
      <c r="J1950" s="25">
        <f t="shared" si="123"/>
        <v>62</v>
      </c>
    </row>
    <row r="1951" spans="1:10" ht="16.95" customHeight="1">
      <c r="A1951" s="91" t="s">
        <v>64</v>
      </c>
      <c r="B1951" s="91"/>
      <c r="C1951" s="91"/>
      <c r="D1951" s="91"/>
      <c r="E1951" s="91"/>
      <c r="F1951" s="91"/>
      <c r="G1951" s="91"/>
      <c r="J1951" s="25">
        <f t="shared" si="123"/>
        <v>62</v>
      </c>
    </row>
    <row r="1952" spans="1:10" ht="120.6" customHeight="1">
      <c r="A1952" s="92" t="s">
        <v>45</v>
      </c>
      <c r="B1952" s="92"/>
      <c r="C1952" s="92"/>
      <c r="D1952" s="92"/>
      <c r="E1952" s="92"/>
      <c r="F1952" s="92"/>
      <c r="G1952" s="92"/>
      <c r="J1952" s="25">
        <f t="shared" si="123"/>
        <v>62</v>
      </c>
    </row>
    <row r="1953" spans="1:10" ht="140.4" customHeight="1">
      <c r="A1953" s="93" t="s">
        <v>46</v>
      </c>
      <c r="B1953" s="93"/>
      <c r="C1953" s="93"/>
      <c r="D1953" s="93"/>
      <c r="E1953" s="93"/>
      <c r="F1953" s="93"/>
      <c r="G1953" s="93"/>
      <c r="J1953" s="25">
        <f t="shared" si="123"/>
        <v>62</v>
      </c>
    </row>
  </sheetData>
  <mergeCells count="1023">
    <mergeCell ref="C8:D8"/>
    <mergeCell ref="E8:G8"/>
    <mergeCell ref="A9:G9"/>
    <mergeCell ref="A46:B46"/>
    <mergeCell ref="A47:B47"/>
    <mergeCell ref="A48:B48"/>
    <mergeCell ref="C5:D5"/>
    <mergeCell ref="E5:G5"/>
    <mergeCell ref="C6:D6"/>
    <mergeCell ref="E6:G6"/>
    <mergeCell ref="C7:D7"/>
    <mergeCell ref="E7:G7"/>
    <mergeCell ref="A1:G1"/>
    <mergeCell ref="B2:G2"/>
    <mergeCell ref="B3:D3"/>
    <mergeCell ref="E3:G3"/>
    <mergeCell ref="C4:D4"/>
    <mergeCell ref="E4:G4"/>
    <mergeCell ref="A61:G61"/>
    <mergeCell ref="A62:G62"/>
    <mergeCell ref="A63:G63"/>
    <mergeCell ref="A64:G64"/>
    <mergeCell ref="B65:G65"/>
    <mergeCell ref="B66:D66"/>
    <mergeCell ref="E66:G66"/>
    <mergeCell ref="C55:D55"/>
    <mergeCell ref="C56:D56"/>
    <mergeCell ref="A57:G57"/>
    <mergeCell ref="A58:G58"/>
    <mergeCell ref="A59:G59"/>
    <mergeCell ref="A60:G60"/>
    <mergeCell ref="A49:G49"/>
    <mergeCell ref="A50:B50"/>
    <mergeCell ref="A51:B51"/>
    <mergeCell ref="A52:B52"/>
    <mergeCell ref="A53:G53"/>
    <mergeCell ref="C54:D54"/>
    <mergeCell ref="A110:B110"/>
    <mergeCell ref="A111:B111"/>
    <mergeCell ref="A112:G112"/>
    <mergeCell ref="A113:B113"/>
    <mergeCell ref="A114:B114"/>
    <mergeCell ref="A115:B115"/>
    <mergeCell ref="C70:D70"/>
    <mergeCell ref="E70:G70"/>
    <mergeCell ref="C71:D71"/>
    <mergeCell ref="E71:G71"/>
    <mergeCell ref="A72:G72"/>
    <mergeCell ref="A109:B109"/>
    <mergeCell ref="C67:D67"/>
    <mergeCell ref="E67:G67"/>
    <mergeCell ref="C68:D68"/>
    <mergeCell ref="E68:G68"/>
    <mergeCell ref="C69:D69"/>
    <mergeCell ref="E69:G69"/>
    <mergeCell ref="B128:G128"/>
    <mergeCell ref="B129:D129"/>
    <mergeCell ref="E129:G129"/>
    <mergeCell ref="C130:D130"/>
    <mergeCell ref="E130:G130"/>
    <mergeCell ref="C131:D131"/>
    <mergeCell ref="E131:G131"/>
    <mergeCell ref="A122:G122"/>
    <mergeCell ref="A123:G123"/>
    <mergeCell ref="A124:G124"/>
    <mergeCell ref="A125:G125"/>
    <mergeCell ref="A126:G126"/>
    <mergeCell ref="A127:G127"/>
    <mergeCell ref="A116:G116"/>
    <mergeCell ref="C117:D117"/>
    <mergeCell ref="C118:D118"/>
    <mergeCell ref="C119:D119"/>
    <mergeCell ref="A120:G120"/>
    <mergeCell ref="A121:G121"/>
    <mergeCell ref="A177:B177"/>
    <mergeCell ref="A178:B178"/>
    <mergeCell ref="A179:G179"/>
    <mergeCell ref="C180:D180"/>
    <mergeCell ref="C181:D181"/>
    <mergeCell ref="C182:D182"/>
    <mergeCell ref="A135:G135"/>
    <mergeCell ref="A172:B172"/>
    <mergeCell ref="A173:B173"/>
    <mergeCell ref="A174:B174"/>
    <mergeCell ref="A175:G175"/>
    <mergeCell ref="A176:B176"/>
    <mergeCell ref="C132:D132"/>
    <mergeCell ref="E132:G132"/>
    <mergeCell ref="C133:D133"/>
    <mergeCell ref="E133:G133"/>
    <mergeCell ref="C134:D134"/>
    <mergeCell ref="E134:G134"/>
    <mergeCell ref="C194:D194"/>
    <mergeCell ref="E194:G194"/>
    <mergeCell ref="C195:D195"/>
    <mergeCell ref="E195:G195"/>
    <mergeCell ref="C196:D196"/>
    <mergeCell ref="E196:G196"/>
    <mergeCell ref="A189:G189"/>
    <mergeCell ref="A190:G190"/>
    <mergeCell ref="B191:G191"/>
    <mergeCell ref="B192:D192"/>
    <mergeCell ref="E192:G192"/>
    <mergeCell ref="C193:D193"/>
    <mergeCell ref="E193:G193"/>
    <mergeCell ref="A183:G183"/>
    <mergeCell ref="A184:G184"/>
    <mergeCell ref="A185:G185"/>
    <mergeCell ref="A186:G186"/>
    <mergeCell ref="A187:G187"/>
    <mergeCell ref="A188:G188"/>
    <mergeCell ref="C244:D244"/>
    <mergeCell ref="C245:D245"/>
    <mergeCell ref="A246:G246"/>
    <mergeCell ref="A247:G247"/>
    <mergeCell ref="A248:G248"/>
    <mergeCell ref="A249:G249"/>
    <mergeCell ref="A238:G238"/>
    <mergeCell ref="A239:B239"/>
    <mergeCell ref="A240:B240"/>
    <mergeCell ref="A241:B241"/>
    <mergeCell ref="A242:G242"/>
    <mergeCell ref="C243:D243"/>
    <mergeCell ref="C197:D197"/>
    <mergeCell ref="E197:G197"/>
    <mergeCell ref="A198:G198"/>
    <mergeCell ref="A235:B235"/>
    <mergeCell ref="A236:B236"/>
    <mergeCell ref="A237:B237"/>
    <mergeCell ref="C259:D259"/>
    <mergeCell ref="E259:G259"/>
    <mergeCell ref="C260:D260"/>
    <mergeCell ref="E260:G260"/>
    <mergeCell ref="A261:G261"/>
    <mergeCell ref="A298:B298"/>
    <mergeCell ref="C256:D256"/>
    <mergeCell ref="E256:G256"/>
    <mergeCell ref="C257:D257"/>
    <mergeCell ref="E257:G257"/>
    <mergeCell ref="C258:D258"/>
    <mergeCell ref="E258:G258"/>
    <mergeCell ref="A250:G250"/>
    <mergeCell ref="A251:G251"/>
    <mergeCell ref="A252:G252"/>
    <mergeCell ref="A253:G253"/>
    <mergeCell ref="B254:G254"/>
    <mergeCell ref="B255:D255"/>
    <mergeCell ref="E255:G255"/>
    <mergeCell ref="A311:G311"/>
    <mergeCell ref="A312:G312"/>
    <mergeCell ref="A313:G313"/>
    <mergeCell ref="A314:G314"/>
    <mergeCell ref="A315:G315"/>
    <mergeCell ref="A316:G316"/>
    <mergeCell ref="A305:G305"/>
    <mergeCell ref="C306:D306"/>
    <mergeCell ref="C307:D307"/>
    <mergeCell ref="C308:D308"/>
    <mergeCell ref="A309:G309"/>
    <mergeCell ref="A310:G310"/>
    <mergeCell ref="A299:B299"/>
    <mergeCell ref="A300:B300"/>
    <mergeCell ref="A301:G301"/>
    <mergeCell ref="A302:B302"/>
    <mergeCell ref="A303:B303"/>
    <mergeCell ref="A304:B304"/>
    <mergeCell ref="A324:G324"/>
    <mergeCell ref="A361:B361"/>
    <mergeCell ref="A362:B362"/>
    <mergeCell ref="A363:B363"/>
    <mergeCell ref="A364:G364"/>
    <mergeCell ref="A365:B365"/>
    <mergeCell ref="C321:D321"/>
    <mergeCell ref="E321:G321"/>
    <mergeCell ref="C322:D322"/>
    <mergeCell ref="E322:G322"/>
    <mergeCell ref="C323:D323"/>
    <mergeCell ref="E323:G323"/>
    <mergeCell ref="B317:G317"/>
    <mergeCell ref="B318:D318"/>
    <mergeCell ref="E318:G318"/>
    <mergeCell ref="C319:D319"/>
    <mergeCell ref="E319:G319"/>
    <mergeCell ref="C320:D320"/>
    <mergeCell ref="E320:G320"/>
    <mergeCell ref="A378:G378"/>
    <mergeCell ref="A379:G379"/>
    <mergeCell ref="B380:G380"/>
    <mergeCell ref="B381:D381"/>
    <mergeCell ref="E381:G381"/>
    <mergeCell ref="C382:D382"/>
    <mergeCell ref="E382:G382"/>
    <mergeCell ref="A372:G372"/>
    <mergeCell ref="A373:G373"/>
    <mergeCell ref="A374:G374"/>
    <mergeCell ref="A375:G375"/>
    <mergeCell ref="A376:G376"/>
    <mergeCell ref="A377:G377"/>
    <mergeCell ref="A366:B366"/>
    <mergeCell ref="A367:B367"/>
    <mergeCell ref="A368:G368"/>
    <mergeCell ref="C369:D369"/>
    <mergeCell ref="C370:D370"/>
    <mergeCell ref="C371:D371"/>
    <mergeCell ref="A427:G427"/>
    <mergeCell ref="A428:B428"/>
    <mergeCell ref="A429:B429"/>
    <mergeCell ref="A430:B430"/>
    <mergeCell ref="A431:G431"/>
    <mergeCell ref="C432:D432"/>
    <mergeCell ref="C386:D386"/>
    <mergeCell ref="E386:G386"/>
    <mergeCell ref="A387:G387"/>
    <mergeCell ref="A424:B424"/>
    <mergeCell ref="A425:B425"/>
    <mergeCell ref="A426:B426"/>
    <mergeCell ref="C383:D383"/>
    <mergeCell ref="E383:G383"/>
    <mergeCell ref="C384:D384"/>
    <mergeCell ref="E384:G384"/>
    <mergeCell ref="C385:D385"/>
    <mergeCell ref="E385:G385"/>
    <mergeCell ref="C445:D445"/>
    <mergeCell ref="E445:G445"/>
    <mergeCell ref="C446:D446"/>
    <mergeCell ref="E446:G446"/>
    <mergeCell ref="C447:D447"/>
    <mergeCell ref="E447:G447"/>
    <mergeCell ref="A439:G439"/>
    <mergeCell ref="A440:G440"/>
    <mergeCell ref="A441:G441"/>
    <mergeCell ref="A442:G442"/>
    <mergeCell ref="B443:G443"/>
    <mergeCell ref="B444:D444"/>
    <mergeCell ref="E444:G444"/>
    <mergeCell ref="C433:D433"/>
    <mergeCell ref="C434:D434"/>
    <mergeCell ref="A435:G435"/>
    <mergeCell ref="A436:G436"/>
    <mergeCell ref="A437:G437"/>
    <mergeCell ref="A438:G438"/>
    <mergeCell ref="A494:G494"/>
    <mergeCell ref="C495:D495"/>
    <mergeCell ref="C496:D496"/>
    <mergeCell ref="C497:D497"/>
    <mergeCell ref="A498:G498"/>
    <mergeCell ref="A499:G499"/>
    <mergeCell ref="A488:B488"/>
    <mergeCell ref="A489:B489"/>
    <mergeCell ref="A490:G490"/>
    <mergeCell ref="A491:B491"/>
    <mergeCell ref="A492:B492"/>
    <mergeCell ref="A493:B493"/>
    <mergeCell ref="C448:D448"/>
    <mergeCell ref="E448:G448"/>
    <mergeCell ref="C449:D449"/>
    <mergeCell ref="E449:G449"/>
    <mergeCell ref="A450:G450"/>
    <mergeCell ref="A487:B487"/>
    <mergeCell ref="C510:D510"/>
    <mergeCell ref="E510:G510"/>
    <mergeCell ref="C511:D511"/>
    <mergeCell ref="E511:G511"/>
    <mergeCell ref="C512:D512"/>
    <mergeCell ref="E512:G512"/>
    <mergeCell ref="B506:G506"/>
    <mergeCell ref="B507:D507"/>
    <mergeCell ref="E507:G507"/>
    <mergeCell ref="C508:D508"/>
    <mergeCell ref="E508:G508"/>
    <mergeCell ref="C509:D509"/>
    <mergeCell ref="E509:G509"/>
    <mergeCell ref="A500:G500"/>
    <mergeCell ref="A501:G501"/>
    <mergeCell ref="A502:G502"/>
    <mergeCell ref="A503:G503"/>
    <mergeCell ref="A504:G504"/>
    <mergeCell ref="A505:G505"/>
    <mergeCell ref="A561:G561"/>
    <mergeCell ref="A562:G562"/>
    <mergeCell ref="A563:G563"/>
    <mergeCell ref="A564:G564"/>
    <mergeCell ref="A565:G565"/>
    <mergeCell ref="A566:G566"/>
    <mergeCell ref="A555:B555"/>
    <mergeCell ref="A556:B556"/>
    <mergeCell ref="A557:G557"/>
    <mergeCell ref="C558:D558"/>
    <mergeCell ref="C559:D559"/>
    <mergeCell ref="C560:D560"/>
    <mergeCell ref="A513:G513"/>
    <mergeCell ref="A550:B550"/>
    <mergeCell ref="A551:B551"/>
    <mergeCell ref="A552:B552"/>
    <mergeCell ref="A553:G553"/>
    <mergeCell ref="A554:B554"/>
    <mergeCell ref="C575:D575"/>
    <mergeCell ref="E575:G575"/>
    <mergeCell ref="A576:G576"/>
    <mergeCell ref="A613:B613"/>
    <mergeCell ref="A614:B614"/>
    <mergeCell ref="A615:B615"/>
    <mergeCell ref="C572:D572"/>
    <mergeCell ref="E572:G572"/>
    <mergeCell ref="C573:D573"/>
    <mergeCell ref="E573:G573"/>
    <mergeCell ref="C574:D574"/>
    <mergeCell ref="E574:G574"/>
    <mergeCell ref="A567:G567"/>
    <mergeCell ref="A568:G568"/>
    <mergeCell ref="B569:G569"/>
    <mergeCell ref="B570:D570"/>
    <mergeCell ref="E570:G570"/>
    <mergeCell ref="C571:D571"/>
    <mergeCell ref="E571:G571"/>
    <mergeCell ref="A628:G628"/>
    <mergeCell ref="A629:G629"/>
    <mergeCell ref="A630:G630"/>
    <mergeCell ref="A631:G631"/>
    <mergeCell ref="B632:G632"/>
    <mergeCell ref="B633:D633"/>
    <mergeCell ref="E633:G633"/>
    <mergeCell ref="C622:D622"/>
    <mergeCell ref="C623:D623"/>
    <mergeCell ref="A624:G624"/>
    <mergeCell ref="A625:G625"/>
    <mergeCell ref="A626:G626"/>
    <mergeCell ref="A627:G627"/>
    <mergeCell ref="A616:G616"/>
    <mergeCell ref="A617:B617"/>
    <mergeCell ref="A618:B618"/>
    <mergeCell ref="A619:B619"/>
    <mergeCell ref="A620:G620"/>
    <mergeCell ref="C621:D621"/>
    <mergeCell ref="A677:B677"/>
    <mergeCell ref="A678:B678"/>
    <mergeCell ref="A679:G679"/>
    <mergeCell ref="A680:B680"/>
    <mergeCell ref="A681:B681"/>
    <mergeCell ref="A682:B682"/>
    <mergeCell ref="C637:D637"/>
    <mergeCell ref="E637:G637"/>
    <mergeCell ref="C638:D638"/>
    <mergeCell ref="E638:G638"/>
    <mergeCell ref="A639:G639"/>
    <mergeCell ref="A676:B676"/>
    <mergeCell ref="C634:D634"/>
    <mergeCell ref="E634:G634"/>
    <mergeCell ref="C635:D635"/>
    <mergeCell ref="E635:G635"/>
    <mergeCell ref="C636:D636"/>
    <mergeCell ref="E636:G636"/>
    <mergeCell ref="B695:G695"/>
    <mergeCell ref="B696:D696"/>
    <mergeCell ref="E696:G696"/>
    <mergeCell ref="C697:D697"/>
    <mergeCell ref="E697:G697"/>
    <mergeCell ref="C698:D698"/>
    <mergeCell ref="E698:G698"/>
    <mergeCell ref="A689:G689"/>
    <mergeCell ref="A690:G690"/>
    <mergeCell ref="A691:G691"/>
    <mergeCell ref="A692:G692"/>
    <mergeCell ref="A693:G693"/>
    <mergeCell ref="A694:G694"/>
    <mergeCell ref="A683:G683"/>
    <mergeCell ref="C684:D684"/>
    <mergeCell ref="C685:D685"/>
    <mergeCell ref="C686:D686"/>
    <mergeCell ref="A687:G687"/>
    <mergeCell ref="A688:G688"/>
    <mergeCell ref="A744:B744"/>
    <mergeCell ref="A745:B745"/>
    <mergeCell ref="A746:G746"/>
    <mergeCell ref="C747:D747"/>
    <mergeCell ref="C748:D748"/>
    <mergeCell ref="C749:D749"/>
    <mergeCell ref="A702:G702"/>
    <mergeCell ref="A739:B739"/>
    <mergeCell ref="A740:B740"/>
    <mergeCell ref="A741:B741"/>
    <mergeCell ref="A742:G742"/>
    <mergeCell ref="A743:B743"/>
    <mergeCell ref="C699:D699"/>
    <mergeCell ref="E699:G699"/>
    <mergeCell ref="C700:D700"/>
    <mergeCell ref="E700:G700"/>
    <mergeCell ref="C701:D701"/>
    <mergeCell ref="E701:G701"/>
    <mergeCell ref="C761:D761"/>
    <mergeCell ref="E761:G761"/>
    <mergeCell ref="C762:D762"/>
    <mergeCell ref="E762:G762"/>
    <mergeCell ref="C763:D763"/>
    <mergeCell ref="E763:G763"/>
    <mergeCell ref="A756:G756"/>
    <mergeCell ref="A757:G757"/>
    <mergeCell ref="B758:G758"/>
    <mergeCell ref="B759:D759"/>
    <mergeCell ref="E759:G759"/>
    <mergeCell ref="C760:D760"/>
    <mergeCell ref="E760:G760"/>
    <mergeCell ref="A750:G750"/>
    <mergeCell ref="A751:G751"/>
    <mergeCell ref="A752:G752"/>
    <mergeCell ref="A753:G753"/>
    <mergeCell ref="A754:G754"/>
    <mergeCell ref="A755:G755"/>
    <mergeCell ref="C811:D811"/>
    <mergeCell ref="C812:D812"/>
    <mergeCell ref="A813:G813"/>
    <mergeCell ref="A814:G814"/>
    <mergeCell ref="A815:G815"/>
    <mergeCell ref="A816:G816"/>
    <mergeCell ref="A805:G805"/>
    <mergeCell ref="A806:B806"/>
    <mergeCell ref="A807:B807"/>
    <mergeCell ref="A808:B808"/>
    <mergeCell ref="A809:G809"/>
    <mergeCell ref="C810:D810"/>
    <mergeCell ref="C764:D764"/>
    <mergeCell ref="E764:G764"/>
    <mergeCell ref="A765:G765"/>
    <mergeCell ref="A802:B802"/>
    <mergeCell ref="A803:B803"/>
    <mergeCell ref="A804:B804"/>
    <mergeCell ref="C826:D826"/>
    <mergeCell ref="E826:G826"/>
    <mergeCell ref="C827:D827"/>
    <mergeCell ref="E827:G827"/>
    <mergeCell ref="A828:G828"/>
    <mergeCell ref="A865:B865"/>
    <mergeCell ref="C823:D823"/>
    <mergeCell ref="E823:G823"/>
    <mergeCell ref="C824:D824"/>
    <mergeCell ref="E824:G824"/>
    <mergeCell ref="C825:D825"/>
    <mergeCell ref="E825:G825"/>
    <mergeCell ref="A817:G817"/>
    <mergeCell ref="A818:G818"/>
    <mergeCell ref="A819:G819"/>
    <mergeCell ref="A820:G820"/>
    <mergeCell ref="B821:G821"/>
    <mergeCell ref="B822:D822"/>
    <mergeCell ref="E822:G822"/>
    <mergeCell ref="A878:G878"/>
    <mergeCell ref="A879:G879"/>
    <mergeCell ref="A880:G880"/>
    <mergeCell ref="A881:G881"/>
    <mergeCell ref="A882:G882"/>
    <mergeCell ref="A883:G883"/>
    <mergeCell ref="A872:G872"/>
    <mergeCell ref="C873:D873"/>
    <mergeCell ref="C874:D874"/>
    <mergeCell ref="C875:D875"/>
    <mergeCell ref="A876:G876"/>
    <mergeCell ref="A877:G877"/>
    <mergeCell ref="A866:B866"/>
    <mergeCell ref="A867:B867"/>
    <mergeCell ref="A868:G868"/>
    <mergeCell ref="A869:B869"/>
    <mergeCell ref="A870:B870"/>
    <mergeCell ref="A871:B871"/>
    <mergeCell ref="A891:G891"/>
    <mergeCell ref="A928:B928"/>
    <mergeCell ref="A929:B929"/>
    <mergeCell ref="A930:B930"/>
    <mergeCell ref="A931:G931"/>
    <mergeCell ref="A932:B932"/>
    <mergeCell ref="C888:D888"/>
    <mergeCell ref="E888:G888"/>
    <mergeCell ref="C889:D889"/>
    <mergeCell ref="E889:G889"/>
    <mergeCell ref="C890:D890"/>
    <mergeCell ref="E890:G890"/>
    <mergeCell ref="B884:G884"/>
    <mergeCell ref="B885:D885"/>
    <mergeCell ref="E885:G885"/>
    <mergeCell ref="C886:D886"/>
    <mergeCell ref="E886:G886"/>
    <mergeCell ref="C887:D887"/>
    <mergeCell ref="E887:G887"/>
    <mergeCell ref="A945:G945"/>
    <mergeCell ref="A946:G946"/>
    <mergeCell ref="B947:G947"/>
    <mergeCell ref="B948:D948"/>
    <mergeCell ref="E948:G948"/>
    <mergeCell ref="C949:D949"/>
    <mergeCell ref="E949:G949"/>
    <mergeCell ref="A939:G939"/>
    <mergeCell ref="A940:G940"/>
    <mergeCell ref="A941:G941"/>
    <mergeCell ref="A942:G942"/>
    <mergeCell ref="A943:G943"/>
    <mergeCell ref="A944:G944"/>
    <mergeCell ref="A933:B933"/>
    <mergeCell ref="A934:B934"/>
    <mergeCell ref="A935:G935"/>
    <mergeCell ref="C936:D936"/>
    <mergeCell ref="C937:D937"/>
    <mergeCell ref="C938:D938"/>
    <mergeCell ref="A994:G994"/>
    <mergeCell ref="A995:B995"/>
    <mergeCell ref="A996:B996"/>
    <mergeCell ref="A997:B997"/>
    <mergeCell ref="A998:G998"/>
    <mergeCell ref="C999:D999"/>
    <mergeCell ref="C953:D953"/>
    <mergeCell ref="E953:G953"/>
    <mergeCell ref="A954:G954"/>
    <mergeCell ref="A991:B991"/>
    <mergeCell ref="A992:B992"/>
    <mergeCell ref="A993:B993"/>
    <mergeCell ref="C950:D950"/>
    <mergeCell ref="E950:G950"/>
    <mergeCell ref="C951:D951"/>
    <mergeCell ref="E951:G951"/>
    <mergeCell ref="C952:D952"/>
    <mergeCell ref="E952:G952"/>
    <mergeCell ref="C1012:D1012"/>
    <mergeCell ref="E1012:G1012"/>
    <mergeCell ref="C1013:D1013"/>
    <mergeCell ref="E1013:G1013"/>
    <mergeCell ref="C1014:D1014"/>
    <mergeCell ref="E1014:G1014"/>
    <mergeCell ref="A1006:G1006"/>
    <mergeCell ref="A1007:G1007"/>
    <mergeCell ref="A1008:G1008"/>
    <mergeCell ref="A1009:G1009"/>
    <mergeCell ref="B1010:G1010"/>
    <mergeCell ref="B1011:D1011"/>
    <mergeCell ref="E1011:G1011"/>
    <mergeCell ref="C1000:D1000"/>
    <mergeCell ref="C1001:D1001"/>
    <mergeCell ref="A1002:G1002"/>
    <mergeCell ref="A1003:G1003"/>
    <mergeCell ref="A1004:G1004"/>
    <mergeCell ref="A1005:G1005"/>
    <mergeCell ref="A1061:G1061"/>
    <mergeCell ref="C1062:D1062"/>
    <mergeCell ref="C1063:D1063"/>
    <mergeCell ref="C1064:D1064"/>
    <mergeCell ref="A1065:G1065"/>
    <mergeCell ref="A1066:G1066"/>
    <mergeCell ref="A1055:B1055"/>
    <mergeCell ref="A1056:B1056"/>
    <mergeCell ref="A1057:G1057"/>
    <mergeCell ref="A1058:B1058"/>
    <mergeCell ref="A1059:B1059"/>
    <mergeCell ref="A1060:B1060"/>
    <mergeCell ref="C1015:D1015"/>
    <mergeCell ref="E1015:G1015"/>
    <mergeCell ref="C1016:D1016"/>
    <mergeCell ref="E1016:G1016"/>
    <mergeCell ref="A1017:G1017"/>
    <mergeCell ref="A1054:B1054"/>
    <mergeCell ref="C1077:D1077"/>
    <mergeCell ref="E1077:G1077"/>
    <mergeCell ref="C1078:D1078"/>
    <mergeCell ref="E1078:G1078"/>
    <mergeCell ref="C1079:D1079"/>
    <mergeCell ref="E1079:G1079"/>
    <mergeCell ref="B1073:G1073"/>
    <mergeCell ref="B1074:D1074"/>
    <mergeCell ref="E1074:G1074"/>
    <mergeCell ref="C1075:D1075"/>
    <mergeCell ref="E1075:G1075"/>
    <mergeCell ref="C1076:D1076"/>
    <mergeCell ref="E1076:G1076"/>
    <mergeCell ref="A1067:G1067"/>
    <mergeCell ref="A1068:G1068"/>
    <mergeCell ref="A1069:G1069"/>
    <mergeCell ref="A1070:G1070"/>
    <mergeCell ref="A1071:G1071"/>
    <mergeCell ref="A1072:G1072"/>
    <mergeCell ref="A1128:G1128"/>
    <mergeCell ref="A1129:G1129"/>
    <mergeCell ref="A1130:G1130"/>
    <mergeCell ref="A1131:G1131"/>
    <mergeCell ref="A1132:G1132"/>
    <mergeCell ref="A1133:G1133"/>
    <mergeCell ref="A1122:B1122"/>
    <mergeCell ref="A1123:B1123"/>
    <mergeCell ref="A1124:G1124"/>
    <mergeCell ref="C1125:D1125"/>
    <mergeCell ref="C1126:D1126"/>
    <mergeCell ref="C1127:D1127"/>
    <mergeCell ref="A1080:G1080"/>
    <mergeCell ref="A1117:B1117"/>
    <mergeCell ref="A1118:B1118"/>
    <mergeCell ref="A1119:B1119"/>
    <mergeCell ref="A1120:G1120"/>
    <mergeCell ref="A1121:B1121"/>
    <mergeCell ref="C1142:D1142"/>
    <mergeCell ref="E1142:G1142"/>
    <mergeCell ref="A1143:G1143"/>
    <mergeCell ref="A1180:B1180"/>
    <mergeCell ref="A1181:B1181"/>
    <mergeCell ref="A1182:B1182"/>
    <mergeCell ref="C1139:D1139"/>
    <mergeCell ref="E1139:G1139"/>
    <mergeCell ref="C1140:D1140"/>
    <mergeCell ref="E1140:G1140"/>
    <mergeCell ref="C1141:D1141"/>
    <mergeCell ref="E1141:G1141"/>
    <mergeCell ref="A1134:G1134"/>
    <mergeCell ref="A1135:G1135"/>
    <mergeCell ref="B1136:G1136"/>
    <mergeCell ref="B1137:D1137"/>
    <mergeCell ref="E1137:G1137"/>
    <mergeCell ref="C1138:D1138"/>
    <mergeCell ref="E1138:G1138"/>
    <mergeCell ref="A1195:G1195"/>
    <mergeCell ref="A1196:G1196"/>
    <mergeCell ref="A1197:G1197"/>
    <mergeCell ref="A1198:G1198"/>
    <mergeCell ref="B1199:G1199"/>
    <mergeCell ref="B1200:D1200"/>
    <mergeCell ref="E1200:G1200"/>
    <mergeCell ref="C1189:D1189"/>
    <mergeCell ref="C1190:D1190"/>
    <mergeCell ref="A1191:G1191"/>
    <mergeCell ref="A1192:G1192"/>
    <mergeCell ref="A1193:G1193"/>
    <mergeCell ref="A1194:G1194"/>
    <mergeCell ref="A1183:G1183"/>
    <mergeCell ref="A1184:B1184"/>
    <mergeCell ref="A1185:B1185"/>
    <mergeCell ref="A1186:B1186"/>
    <mergeCell ref="A1187:G1187"/>
    <mergeCell ref="C1188:D1188"/>
    <mergeCell ref="A1244:B1244"/>
    <mergeCell ref="A1245:B1245"/>
    <mergeCell ref="A1246:G1246"/>
    <mergeCell ref="A1247:B1247"/>
    <mergeCell ref="A1248:B1248"/>
    <mergeCell ref="A1249:B1249"/>
    <mergeCell ref="C1204:D1204"/>
    <mergeCell ref="E1204:G1204"/>
    <mergeCell ref="C1205:D1205"/>
    <mergeCell ref="E1205:G1205"/>
    <mergeCell ref="A1206:G1206"/>
    <mergeCell ref="A1243:B1243"/>
    <mergeCell ref="C1201:D1201"/>
    <mergeCell ref="E1201:G1201"/>
    <mergeCell ref="C1202:D1202"/>
    <mergeCell ref="E1202:G1202"/>
    <mergeCell ref="C1203:D1203"/>
    <mergeCell ref="E1203:G1203"/>
    <mergeCell ref="B1262:G1262"/>
    <mergeCell ref="B1263:D1263"/>
    <mergeCell ref="E1263:G1263"/>
    <mergeCell ref="C1264:D1264"/>
    <mergeCell ref="E1264:G1264"/>
    <mergeCell ref="C1265:D1265"/>
    <mergeCell ref="E1265:G1265"/>
    <mergeCell ref="A1256:G1256"/>
    <mergeCell ref="A1257:G1257"/>
    <mergeCell ref="A1258:G1258"/>
    <mergeCell ref="A1259:G1259"/>
    <mergeCell ref="A1260:G1260"/>
    <mergeCell ref="A1261:G1261"/>
    <mergeCell ref="A1250:G1250"/>
    <mergeCell ref="C1251:D1251"/>
    <mergeCell ref="C1252:D1252"/>
    <mergeCell ref="C1253:D1253"/>
    <mergeCell ref="A1254:G1254"/>
    <mergeCell ref="A1255:G1255"/>
    <mergeCell ref="A1311:B1311"/>
    <mergeCell ref="A1312:B1312"/>
    <mergeCell ref="A1313:G1313"/>
    <mergeCell ref="C1314:D1314"/>
    <mergeCell ref="C1315:D1315"/>
    <mergeCell ref="C1316:D1316"/>
    <mergeCell ref="A1269:G1269"/>
    <mergeCell ref="A1306:B1306"/>
    <mergeCell ref="A1307:B1307"/>
    <mergeCell ref="A1308:B1308"/>
    <mergeCell ref="A1309:G1309"/>
    <mergeCell ref="A1310:B1310"/>
    <mergeCell ref="C1266:D1266"/>
    <mergeCell ref="E1266:G1266"/>
    <mergeCell ref="C1267:D1267"/>
    <mergeCell ref="E1267:G1267"/>
    <mergeCell ref="C1268:D1268"/>
    <mergeCell ref="E1268:G1268"/>
    <mergeCell ref="C1328:D1328"/>
    <mergeCell ref="E1328:G1328"/>
    <mergeCell ref="C1329:D1329"/>
    <mergeCell ref="E1329:G1329"/>
    <mergeCell ref="C1330:D1330"/>
    <mergeCell ref="E1330:G1330"/>
    <mergeCell ref="A1323:G1323"/>
    <mergeCell ref="A1324:G1324"/>
    <mergeCell ref="B1325:G1325"/>
    <mergeCell ref="B1326:D1326"/>
    <mergeCell ref="E1326:G1326"/>
    <mergeCell ref="C1327:D1327"/>
    <mergeCell ref="E1327:G1327"/>
    <mergeCell ref="A1317:G1317"/>
    <mergeCell ref="A1318:G1318"/>
    <mergeCell ref="A1319:G1319"/>
    <mergeCell ref="A1320:G1320"/>
    <mergeCell ref="A1321:G1321"/>
    <mergeCell ref="A1322:G1322"/>
    <mergeCell ref="C1378:D1378"/>
    <mergeCell ref="C1379:D1379"/>
    <mergeCell ref="A1380:G1380"/>
    <mergeCell ref="A1381:G1381"/>
    <mergeCell ref="A1382:G1382"/>
    <mergeCell ref="A1383:G1383"/>
    <mergeCell ref="A1372:G1372"/>
    <mergeCell ref="A1373:B1373"/>
    <mergeCell ref="A1374:B1374"/>
    <mergeCell ref="A1375:B1375"/>
    <mergeCell ref="A1376:G1376"/>
    <mergeCell ref="C1377:D1377"/>
    <mergeCell ref="C1331:D1331"/>
    <mergeCell ref="E1331:G1331"/>
    <mergeCell ref="A1332:G1332"/>
    <mergeCell ref="A1369:B1369"/>
    <mergeCell ref="A1370:B1370"/>
    <mergeCell ref="A1371:B1371"/>
    <mergeCell ref="C1393:D1393"/>
    <mergeCell ref="E1393:G1393"/>
    <mergeCell ref="C1394:D1394"/>
    <mergeCell ref="E1394:G1394"/>
    <mergeCell ref="A1395:G1395"/>
    <mergeCell ref="A1432:B1432"/>
    <mergeCell ref="C1390:D1390"/>
    <mergeCell ref="E1390:G1390"/>
    <mergeCell ref="C1391:D1391"/>
    <mergeCell ref="E1391:G1391"/>
    <mergeCell ref="C1392:D1392"/>
    <mergeCell ref="E1392:G1392"/>
    <mergeCell ref="A1384:G1384"/>
    <mergeCell ref="A1385:G1385"/>
    <mergeCell ref="A1386:G1386"/>
    <mergeCell ref="A1387:G1387"/>
    <mergeCell ref="B1388:G1388"/>
    <mergeCell ref="B1389:D1389"/>
    <mergeCell ref="E1389:G1389"/>
    <mergeCell ref="A1445:G1445"/>
    <mergeCell ref="A1446:G1446"/>
    <mergeCell ref="A1447:G1447"/>
    <mergeCell ref="A1448:G1448"/>
    <mergeCell ref="A1449:G1449"/>
    <mergeCell ref="A1450:G1450"/>
    <mergeCell ref="A1439:G1439"/>
    <mergeCell ref="C1440:D1440"/>
    <mergeCell ref="C1441:D1441"/>
    <mergeCell ref="C1442:D1442"/>
    <mergeCell ref="A1443:G1443"/>
    <mergeCell ref="A1444:G1444"/>
    <mergeCell ref="A1433:B1433"/>
    <mergeCell ref="A1434:B1434"/>
    <mergeCell ref="A1435:G1435"/>
    <mergeCell ref="A1436:B1436"/>
    <mergeCell ref="A1437:B1437"/>
    <mergeCell ref="A1438:B1438"/>
    <mergeCell ref="A1458:G1458"/>
    <mergeCell ref="A1495:B1495"/>
    <mergeCell ref="A1496:B1496"/>
    <mergeCell ref="A1497:B1497"/>
    <mergeCell ref="A1498:G1498"/>
    <mergeCell ref="A1499:B1499"/>
    <mergeCell ref="C1455:D1455"/>
    <mergeCell ref="E1455:G1455"/>
    <mergeCell ref="C1456:D1456"/>
    <mergeCell ref="E1456:G1456"/>
    <mergeCell ref="C1457:D1457"/>
    <mergeCell ref="E1457:G1457"/>
    <mergeCell ref="B1451:G1451"/>
    <mergeCell ref="B1452:D1452"/>
    <mergeCell ref="E1452:G1452"/>
    <mergeCell ref="C1453:D1453"/>
    <mergeCell ref="E1453:G1453"/>
    <mergeCell ref="C1454:D1454"/>
    <mergeCell ref="E1454:G1454"/>
    <mergeCell ref="A1512:G1512"/>
    <mergeCell ref="A1513:G1513"/>
    <mergeCell ref="B1514:G1514"/>
    <mergeCell ref="B1515:D1515"/>
    <mergeCell ref="E1515:G1515"/>
    <mergeCell ref="C1516:D1516"/>
    <mergeCell ref="E1516:G1516"/>
    <mergeCell ref="A1506:G1506"/>
    <mergeCell ref="A1507:G1507"/>
    <mergeCell ref="A1508:G1508"/>
    <mergeCell ref="A1509:G1509"/>
    <mergeCell ref="A1510:G1510"/>
    <mergeCell ref="A1511:G1511"/>
    <mergeCell ref="A1500:B1500"/>
    <mergeCell ref="A1501:B1501"/>
    <mergeCell ref="A1502:G1502"/>
    <mergeCell ref="C1503:D1503"/>
    <mergeCell ref="C1504:D1504"/>
    <mergeCell ref="C1505:D1505"/>
    <mergeCell ref="A1561:G1561"/>
    <mergeCell ref="A1562:B1562"/>
    <mergeCell ref="A1563:B1563"/>
    <mergeCell ref="A1564:B1564"/>
    <mergeCell ref="A1565:G1565"/>
    <mergeCell ref="C1566:D1566"/>
    <mergeCell ref="C1520:D1520"/>
    <mergeCell ref="E1520:G1520"/>
    <mergeCell ref="A1521:G1521"/>
    <mergeCell ref="A1558:B1558"/>
    <mergeCell ref="A1559:B1559"/>
    <mergeCell ref="A1560:B1560"/>
    <mergeCell ref="C1517:D1517"/>
    <mergeCell ref="E1517:G1517"/>
    <mergeCell ref="C1518:D1518"/>
    <mergeCell ref="E1518:G1518"/>
    <mergeCell ref="C1519:D1519"/>
    <mergeCell ref="E1519:G1519"/>
    <mergeCell ref="C1579:D1579"/>
    <mergeCell ref="E1579:G1579"/>
    <mergeCell ref="C1580:D1580"/>
    <mergeCell ref="E1580:G1580"/>
    <mergeCell ref="C1581:D1581"/>
    <mergeCell ref="E1581:G1581"/>
    <mergeCell ref="A1573:G1573"/>
    <mergeCell ref="A1574:G1574"/>
    <mergeCell ref="A1575:G1575"/>
    <mergeCell ref="A1576:G1576"/>
    <mergeCell ref="B1577:G1577"/>
    <mergeCell ref="B1578:D1578"/>
    <mergeCell ref="E1578:G1578"/>
    <mergeCell ref="C1567:D1567"/>
    <mergeCell ref="C1568:D1568"/>
    <mergeCell ref="A1569:G1569"/>
    <mergeCell ref="A1570:G1570"/>
    <mergeCell ref="A1571:G1571"/>
    <mergeCell ref="A1572:G1572"/>
    <mergeCell ref="A1628:G1628"/>
    <mergeCell ref="C1629:D1629"/>
    <mergeCell ref="C1630:D1630"/>
    <mergeCell ref="C1631:D1631"/>
    <mergeCell ref="A1632:G1632"/>
    <mergeCell ref="A1633:G1633"/>
    <mergeCell ref="A1622:B1622"/>
    <mergeCell ref="A1623:B1623"/>
    <mergeCell ref="A1624:G1624"/>
    <mergeCell ref="A1625:B1625"/>
    <mergeCell ref="A1626:B1626"/>
    <mergeCell ref="A1627:B1627"/>
    <mergeCell ref="C1582:D1582"/>
    <mergeCell ref="E1582:G1582"/>
    <mergeCell ref="C1583:D1583"/>
    <mergeCell ref="E1583:G1583"/>
    <mergeCell ref="A1584:G1584"/>
    <mergeCell ref="A1621:B1621"/>
    <mergeCell ref="C1644:D1644"/>
    <mergeCell ref="E1644:G1644"/>
    <mergeCell ref="C1645:D1645"/>
    <mergeCell ref="E1645:G1645"/>
    <mergeCell ref="C1646:D1646"/>
    <mergeCell ref="E1646:G1646"/>
    <mergeCell ref="B1640:G1640"/>
    <mergeCell ref="B1641:D1641"/>
    <mergeCell ref="E1641:G1641"/>
    <mergeCell ref="C1642:D1642"/>
    <mergeCell ref="E1642:G1642"/>
    <mergeCell ref="C1643:D1643"/>
    <mergeCell ref="E1643:G1643"/>
    <mergeCell ref="A1634:G1634"/>
    <mergeCell ref="A1635:G1635"/>
    <mergeCell ref="A1636:G1636"/>
    <mergeCell ref="A1637:G1637"/>
    <mergeCell ref="A1638:G1638"/>
    <mergeCell ref="A1639:G1639"/>
    <mergeCell ref="A1695:G1695"/>
    <mergeCell ref="A1696:G1696"/>
    <mergeCell ref="A1697:G1697"/>
    <mergeCell ref="A1698:G1698"/>
    <mergeCell ref="A1699:G1699"/>
    <mergeCell ref="A1700:G1700"/>
    <mergeCell ref="A1689:B1689"/>
    <mergeCell ref="A1690:B1690"/>
    <mergeCell ref="A1691:G1691"/>
    <mergeCell ref="C1692:D1692"/>
    <mergeCell ref="C1693:D1693"/>
    <mergeCell ref="C1694:D1694"/>
    <mergeCell ref="A1647:G1647"/>
    <mergeCell ref="A1684:B1684"/>
    <mergeCell ref="A1685:B1685"/>
    <mergeCell ref="A1686:B1686"/>
    <mergeCell ref="A1687:G1687"/>
    <mergeCell ref="A1688:B1688"/>
    <mergeCell ref="C1709:D1709"/>
    <mergeCell ref="E1709:G1709"/>
    <mergeCell ref="A1710:G1710"/>
    <mergeCell ref="A1747:B1747"/>
    <mergeCell ref="A1748:B1748"/>
    <mergeCell ref="A1749:B1749"/>
    <mergeCell ref="C1706:D1706"/>
    <mergeCell ref="E1706:G1706"/>
    <mergeCell ref="C1707:D1707"/>
    <mergeCell ref="E1707:G1707"/>
    <mergeCell ref="C1708:D1708"/>
    <mergeCell ref="E1708:G1708"/>
    <mergeCell ref="A1701:G1701"/>
    <mergeCell ref="A1702:G1702"/>
    <mergeCell ref="B1703:G1703"/>
    <mergeCell ref="B1704:D1704"/>
    <mergeCell ref="E1704:G1704"/>
    <mergeCell ref="C1705:D1705"/>
    <mergeCell ref="E1705:G1705"/>
    <mergeCell ref="A1762:G1762"/>
    <mergeCell ref="A1763:G1763"/>
    <mergeCell ref="A1764:G1764"/>
    <mergeCell ref="A1765:G1765"/>
    <mergeCell ref="B1766:G1766"/>
    <mergeCell ref="B1767:D1767"/>
    <mergeCell ref="E1767:G1767"/>
    <mergeCell ref="C1756:D1756"/>
    <mergeCell ref="C1757:D1757"/>
    <mergeCell ref="A1758:G1758"/>
    <mergeCell ref="A1759:G1759"/>
    <mergeCell ref="A1760:G1760"/>
    <mergeCell ref="A1761:G1761"/>
    <mergeCell ref="A1750:G1750"/>
    <mergeCell ref="A1751:B1751"/>
    <mergeCell ref="A1752:B1752"/>
    <mergeCell ref="A1753:B1753"/>
    <mergeCell ref="A1754:G1754"/>
    <mergeCell ref="C1755:D1755"/>
    <mergeCell ref="A1811:B1811"/>
    <mergeCell ref="A1812:B1812"/>
    <mergeCell ref="A1813:G1813"/>
    <mergeCell ref="A1814:B1814"/>
    <mergeCell ref="A1815:B1815"/>
    <mergeCell ref="A1816:B1816"/>
    <mergeCell ref="C1771:D1771"/>
    <mergeCell ref="E1771:G1771"/>
    <mergeCell ref="C1772:D1772"/>
    <mergeCell ref="E1772:G1772"/>
    <mergeCell ref="A1773:G1773"/>
    <mergeCell ref="A1810:B1810"/>
    <mergeCell ref="C1768:D1768"/>
    <mergeCell ref="E1768:G1768"/>
    <mergeCell ref="C1769:D1769"/>
    <mergeCell ref="E1769:G1769"/>
    <mergeCell ref="C1770:D1770"/>
    <mergeCell ref="E1770:G1770"/>
    <mergeCell ref="B1829:G1829"/>
    <mergeCell ref="B1830:D1830"/>
    <mergeCell ref="E1830:G1830"/>
    <mergeCell ref="C1831:D1831"/>
    <mergeCell ref="E1831:G1831"/>
    <mergeCell ref="C1832:D1832"/>
    <mergeCell ref="E1832:G1832"/>
    <mergeCell ref="A1823:G1823"/>
    <mergeCell ref="A1824:G1824"/>
    <mergeCell ref="A1825:G1825"/>
    <mergeCell ref="A1826:G1826"/>
    <mergeCell ref="A1827:G1827"/>
    <mergeCell ref="A1828:G1828"/>
    <mergeCell ref="A1817:G1817"/>
    <mergeCell ref="C1818:D1818"/>
    <mergeCell ref="C1819:D1819"/>
    <mergeCell ref="C1820:D1820"/>
    <mergeCell ref="A1821:G1821"/>
    <mergeCell ref="A1822:G1822"/>
    <mergeCell ref="A1878:B1878"/>
    <mergeCell ref="A1879:B1879"/>
    <mergeCell ref="A1880:G1880"/>
    <mergeCell ref="C1881:D1881"/>
    <mergeCell ref="C1882:D1882"/>
    <mergeCell ref="C1883:D1883"/>
    <mergeCell ref="A1836:G1836"/>
    <mergeCell ref="A1873:B1873"/>
    <mergeCell ref="A1874:B1874"/>
    <mergeCell ref="A1875:B1875"/>
    <mergeCell ref="A1876:G1876"/>
    <mergeCell ref="A1877:B1877"/>
    <mergeCell ref="C1833:D1833"/>
    <mergeCell ref="E1833:G1833"/>
    <mergeCell ref="C1834:D1834"/>
    <mergeCell ref="E1834:G1834"/>
    <mergeCell ref="C1835:D1835"/>
    <mergeCell ref="E1835:G1835"/>
    <mergeCell ref="C1895:D1895"/>
    <mergeCell ref="E1895:G1895"/>
    <mergeCell ref="C1896:D1896"/>
    <mergeCell ref="E1896:G1896"/>
    <mergeCell ref="C1897:D1897"/>
    <mergeCell ref="E1897:G1897"/>
    <mergeCell ref="A1890:G1890"/>
    <mergeCell ref="A1891:G1891"/>
    <mergeCell ref="B1892:G1892"/>
    <mergeCell ref="B1893:D1893"/>
    <mergeCell ref="E1893:G1893"/>
    <mergeCell ref="C1894:D1894"/>
    <mergeCell ref="E1894:G1894"/>
    <mergeCell ref="A1884:G1884"/>
    <mergeCell ref="A1885:G1885"/>
    <mergeCell ref="A1886:G1886"/>
    <mergeCell ref="A1887:G1887"/>
    <mergeCell ref="A1888:G1888"/>
    <mergeCell ref="A1889:G1889"/>
    <mergeCell ref="A1951:G1951"/>
    <mergeCell ref="A1952:G1952"/>
    <mergeCell ref="A1953:G1953"/>
    <mergeCell ref="C1945:D1945"/>
    <mergeCell ref="C1946:D1946"/>
    <mergeCell ref="A1947:G1947"/>
    <mergeCell ref="A1948:G1948"/>
    <mergeCell ref="A1949:G1949"/>
    <mergeCell ref="A1950:G1950"/>
    <mergeCell ref="A1939:G1939"/>
    <mergeCell ref="A1940:B1940"/>
    <mergeCell ref="A1941:B1941"/>
    <mergeCell ref="A1942:B1942"/>
    <mergeCell ref="A1943:G1943"/>
    <mergeCell ref="C1944:D1944"/>
    <mergeCell ref="C1898:D1898"/>
    <mergeCell ref="E1898:G1898"/>
    <mergeCell ref="A1899:G1899"/>
    <mergeCell ref="A1936:B1936"/>
    <mergeCell ref="A1937:B1937"/>
    <mergeCell ref="A1938:B1938"/>
  </mergeCells>
  <phoneticPr fontId="2" type="noConversion"/>
  <pageMargins left="0.43307086614173229" right="0.23622047244094491" top="0.74803149606299213" bottom="0.59055118110236227" header="0.31496062992125984" footer="0.31496062992125984"/>
  <pageSetup paperSize="9" scale="67" fitToHeight="0" orientation="portrait" r:id="rId1"/>
  <rowBreaks count="62" manualBreakCount="62">
    <brk id="52" max="6" man="1"/>
    <brk id="63" max="16383" man="1"/>
    <brk id="115" max="6" man="1"/>
    <brk id="126" max="6" man="1"/>
    <brk id="178" max="6" man="1"/>
    <brk id="189" max="6" man="1"/>
    <brk id="241" max="6" man="1"/>
    <brk id="252" max="6" man="1"/>
    <brk id="304" max="6" man="1"/>
    <brk id="315" max="6" man="1"/>
    <brk id="367" max="6" man="1"/>
    <brk id="378" max="6" man="1"/>
    <brk id="430" max="6" man="1"/>
    <brk id="441" max="6" man="1"/>
    <brk id="493" max="6" man="1"/>
    <brk id="504" max="6" man="1"/>
    <brk id="556" max="6" man="1"/>
    <brk id="567" max="6" man="1"/>
    <brk id="619" max="6" man="1"/>
    <brk id="630" max="6" man="1"/>
    <brk id="682" max="6" man="1"/>
    <brk id="693" max="6" man="1"/>
    <brk id="745" max="6" man="1"/>
    <brk id="756" max="6" man="1"/>
    <brk id="808" max="6" man="1"/>
    <brk id="819" max="6" man="1"/>
    <brk id="871" max="6" man="1"/>
    <brk id="882" max="6" man="1"/>
    <brk id="934" max="6" man="1"/>
    <brk id="945" max="6" man="1"/>
    <brk id="997" max="6" man="1"/>
    <brk id="1008" max="6" man="1"/>
    <brk id="1060" max="6" man="1"/>
    <brk id="1071" max="6" man="1"/>
    <brk id="1123" max="6" man="1"/>
    <brk id="1134" max="6" man="1"/>
    <brk id="1186" max="6" man="1"/>
    <brk id="1197" max="6" man="1"/>
    <brk id="1249" max="6" man="1"/>
    <brk id="1260" max="6" man="1"/>
    <brk id="1312" max="6" man="1"/>
    <brk id="1323" max="6" man="1"/>
    <brk id="1375" max="6" man="1"/>
    <brk id="1386" max="6" man="1"/>
    <brk id="1438" max="6" man="1"/>
    <brk id="1449" max="6" man="1"/>
    <brk id="1501" max="6" man="1"/>
    <brk id="1512" max="6" man="1"/>
    <brk id="1564" max="6" man="1"/>
    <brk id="1575" max="6" man="1"/>
    <brk id="1627" max="6" man="1"/>
    <brk id="1638" max="6" man="1"/>
    <brk id="1690" max="6" man="1"/>
    <brk id="1701" max="6" man="1"/>
    <brk id="1753" max="6" man="1"/>
    <brk id="1764" max="6" man="1"/>
    <brk id="1816" max="6" man="1"/>
    <brk id="1827" max="6" man="1"/>
    <brk id="1879" max="6" man="1"/>
    <brk id="1890" max="6" man="1"/>
    <brk id="1942" max="6" man="1"/>
    <brk id="195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CF319-8780-452C-8216-A2C1644E177E}">
  <sheetPr>
    <pageSetUpPr fitToPage="1"/>
  </sheetPr>
  <dimension ref="A1:J1953"/>
  <sheetViews>
    <sheetView view="pageBreakPreview" zoomScaleNormal="85" zoomScaleSheetLayoutView="100" workbookViewId="0">
      <selection activeCell="J1" sqref="J1:J1048576"/>
    </sheetView>
  </sheetViews>
  <sheetFormatPr defaultColWidth="9.875" defaultRowHeight="16.2"/>
  <cols>
    <col min="1" max="1" width="16.25" style="1" customWidth="1"/>
    <col min="2" max="2" width="67.25" style="1" customWidth="1"/>
    <col min="3" max="3" width="6.75" style="1" customWidth="1"/>
    <col min="4" max="4" width="14.375" style="1" customWidth="1"/>
    <col min="5" max="5" width="18.375" style="1" customWidth="1"/>
    <col min="6" max="6" width="17.5" style="1" customWidth="1"/>
    <col min="7" max="7" width="15.25" style="1" customWidth="1"/>
    <col min="8" max="8" width="21.875" style="1" customWidth="1"/>
    <col min="9" max="9" width="18.75" style="1" customWidth="1"/>
    <col min="10" max="10" width="18.375" style="25" bestFit="1" customWidth="1"/>
    <col min="11" max="16384" width="9.875" style="1"/>
  </cols>
  <sheetData>
    <row r="1" spans="1:10" ht="37.200000000000003" customHeight="1">
      <c r="A1" s="103" t="s">
        <v>0</v>
      </c>
      <c r="B1" s="103"/>
      <c r="C1" s="103"/>
      <c r="D1" s="103"/>
      <c r="E1" s="103"/>
      <c r="F1" s="103"/>
      <c r="G1" s="103"/>
      <c r="J1" s="25">
        <v>1</v>
      </c>
    </row>
    <row r="2" spans="1:10" ht="16.95" customHeight="1">
      <c r="A2" s="1" t="s">
        <v>1</v>
      </c>
      <c r="B2" s="104">
        <v>2</v>
      </c>
      <c r="C2" s="104"/>
      <c r="D2" s="104"/>
      <c r="E2" s="104"/>
      <c r="F2" s="104"/>
      <c r="G2" s="104"/>
      <c r="J2" s="25">
        <v>1</v>
      </c>
    </row>
    <row r="3" spans="1:10" ht="16.95" customHeight="1">
      <c r="A3" s="1" t="s">
        <v>2</v>
      </c>
      <c r="B3" s="105" t="s">
        <v>63</v>
      </c>
      <c r="C3" s="105"/>
      <c r="D3" s="105"/>
      <c r="E3" s="106">
        <v>46204</v>
      </c>
      <c r="F3" s="106"/>
      <c r="G3" s="106"/>
      <c r="J3" s="25">
        <v>1</v>
      </c>
    </row>
    <row r="4" spans="1:10" ht="16.95" customHeight="1">
      <c r="A4" s="53" t="s">
        <v>3</v>
      </c>
      <c r="B4" s="2" t="s">
        <v>67</v>
      </c>
      <c r="C4" s="98" t="s">
        <v>4</v>
      </c>
      <c r="D4" s="98"/>
      <c r="E4" s="98" t="s">
        <v>47</v>
      </c>
      <c r="F4" s="98"/>
      <c r="G4" s="98"/>
      <c r="J4" s="25">
        <v>1</v>
      </c>
    </row>
    <row r="5" spans="1:10" ht="16.95" customHeight="1">
      <c r="A5" s="53" t="s">
        <v>5</v>
      </c>
      <c r="B5" s="54">
        <v>120</v>
      </c>
      <c r="C5" s="98" t="s">
        <v>6</v>
      </c>
      <c r="D5" s="98"/>
      <c r="E5" s="98" t="s">
        <v>123</v>
      </c>
      <c r="F5" s="98"/>
      <c r="G5" s="98"/>
      <c r="J5" s="25">
        <v>1</v>
      </c>
    </row>
    <row r="6" spans="1:10" ht="16.95" customHeight="1">
      <c r="A6" s="53" t="s">
        <v>7</v>
      </c>
      <c r="B6" s="54">
        <f>B2</f>
        <v>2</v>
      </c>
      <c r="C6" s="100" t="s">
        <v>8</v>
      </c>
      <c r="D6" s="100"/>
      <c r="E6" s="101">
        <f>B5-B6</f>
        <v>118</v>
      </c>
      <c r="F6" s="101"/>
      <c r="G6" s="101"/>
      <c r="J6" s="25">
        <v>1</v>
      </c>
    </row>
    <row r="7" spans="1:10" ht="16.95" customHeight="1">
      <c r="A7" s="53" t="s">
        <v>9</v>
      </c>
      <c r="B7" s="55">
        <v>46204</v>
      </c>
      <c r="C7" s="98" t="s">
        <v>10</v>
      </c>
      <c r="D7" s="98"/>
      <c r="E7" s="102">
        <f>B7+B5-1</f>
        <v>46323</v>
      </c>
      <c r="F7" s="102"/>
      <c r="G7" s="102"/>
      <c r="J7" s="25">
        <v>1</v>
      </c>
    </row>
    <row r="8" spans="1:10" ht="16.95" customHeight="1">
      <c r="A8" s="53" t="s">
        <v>11</v>
      </c>
      <c r="B8" s="56" t="e">
        <f>HLOOKUP(B2,進度表!$Q$2:$Z$3,2,1)+#REF!</f>
        <v>#REF!</v>
      </c>
      <c r="C8" s="98" t="s">
        <v>12</v>
      </c>
      <c r="D8" s="98"/>
      <c r="E8" s="99" t="e">
        <f>I46/I8+#REF!</f>
        <v>#REF!</v>
      </c>
      <c r="F8" s="99"/>
      <c r="G8" s="99"/>
      <c r="H8" s="3" t="s">
        <v>62</v>
      </c>
      <c r="I8" s="1">
        <v>2456000</v>
      </c>
      <c r="J8" s="25">
        <v>1</v>
      </c>
    </row>
    <row r="9" spans="1:10" ht="16.95" customHeight="1">
      <c r="A9" s="98" t="s">
        <v>13</v>
      </c>
      <c r="B9" s="98"/>
      <c r="C9" s="98"/>
      <c r="D9" s="98"/>
      <c r="E9" s="98"/>
      <c r="F9" s="98"/>
      <c r="G9" s="98"/>
      <c r="J9" s="25">
        <v>1</v>
      </c>
    </row>
    <row r="10" spans="1:10" ht="16.95" customHeight="1">
      <c r="A10" s="52" t="s">
        <v>14</v>
      </c>
      <c r="B10" s="52" t="s">
        <v>15</v>
      </c>
      <c r="C10" s="52" t="s">
        <v>16</v>
      </c>
      <c r="D10" s="52" t="s">
        <v>17</v>
      </c>
      <c r="E10" s="52" t="s">
        <v>18</v>
      </c>
      <c r="F10" s="52" t="s">
        <v>19</v>
      </c>
      <c r="G10" s="52" t="s">
        <v>20</v>
      </c>
      <c r="H10" s="3" t="s">
        <v>21</v>
      </c>
      <c r="I10" s="3" t="s">
        <v>22</v>
      </c>
      <c r="J10" s="25">
        <v>1</v>
      </c>
    </row>
    <row r="11" spans="1:10" ht="16.95" customHeight="1">
      <c r="A11" s="75" t="s">
        <v>65</v>
      </c>
      <c r="B11" s="76" t="s">
        <v>69</v>
      </c>
      <c r="C11" s="77"/>
      <c r="D11" s="78"/>
      <c r="E11" s="79"/>
      <c r="F11" s="79"/>
      <c r="G11" s="2"/>
      <c r="H11" s="37"/>
      <c r="I11" s="4"/>
      <c r="J11" s="25">
        <v>1</v>
      </c>
    </row>
    <row r="12" spans="1:10" ht="34.950000000000003" customHeight="1">
      <c r="A12" s="75">
        <v>1</v>
      </c>
      <c r="B12" s="80" t="s">
        <v>91</v>
      </c>
      <c r="C12" s="77" t="s">
        <v>48</v>
      </c>
      <c r="D12" s="78">
        <v>1</v>
      </c>
      <c r="E12" s="79"/>
      <c r="F12" s="79" t="e">
        <f>E12+#REF!</f>
        <v>#REF!</v>
      </c>
      <c r="G12" s="2"/>
      <c r="H12" s="37">
        <v>10508</v>
      </c>
      <c r="I12" s="4">
        <f>H12*E12</f>
        <v>0</v>
      </c>
      <c r="J12" s="25">
        <v>1</v>
      </c>
    </row>
    <row r="13" spans="1:10" ht="34.799999999999997" customHeight="1">
      <c r="A13" s="75">
        <v>2</v>
      </c>
      <c r="B13" s="80" t="s">
        <v>92</v>
      </c>
      <c r="C13" s="77" t="s">
        <v>48</v>
      </c>
      <c r="D13" s="78">
        <v>1</v>
      </c>
      <c r="E13" s="79"/>
      <c r="F13" s="79" t="e">
        <f>E13+#REF!</f>
        <v>#REF!</v>
      </c>
      <c r="G13" s="2"/>
      <c r="H13" s="37">
        <v>13223</v>
      </c>
      <c r="I13" s="4">
        <f>H13*E13</f>
        <v>0</v>
      </c>
      <c r="J13" s="25">
        <v>1</v>
      </c>
    </row>
    <row r="14" spans="1:10" ht="53.4" customHeight="1">
      <c r="A14" s="75">
        <v>3</v>
      </c>
      <c r="B14" s="80" t="s">
        <v>93</v>
      </c>
      <c r="C14" s="77" t="s">
        <v>48</v>
      </c>
      <c r="D14" s="78">
        <v>1</v>
      </c>
      <c r="E14" s="79"/>
      <c r="F14" s="79" t="e">
        <f>E14+#REF!</f>
        <v>#REF!</v>
      </c>
      <c r="G14" s="2"/>
      <c r="H14" s="37">
        <v>310497</v>
      </c>
      <c r="I14" s="4">
        <f t="shared" ref="I14:I45" si="0">H14*E14</f>
        <v>0</v>
      </c>
      <c r="J14" s="25">
        <v>1</v>
      </c>
    </row>
    <row r="15" spans="1:10" ht="16.95" customHeight="1">
      <c r="A15" s="75">
        <v>4</v>
      </c>
      <c r="B15" s="80" t="s">
        <v>94</v>
      </c>
      <c r="C15" s="77" t="s">
        <v>48</v>
      </c>
      <c r="D15" s="78">
        <v>1</v>
      </c>
      <c r="E15" s="79"/>
      <c r="F15" s="79" t="e">
        <f>E15+#REF!</f>
        <v>#REF!</v>
      </c>
      <c r="G15" s="2"/>
      <c r="H15" s="37">
        <v>8375</v>
      </c>
      <c r="I15" s="4">
        <f t="shared" si="0"/>
        <v>0</v>
      </c>
      <c r="J15" s="25">
        <v>1</v>
      </c>
    </row>
    <row r="16" spans="1:10" ht="16.95" customHeight="1">
      <c r="A16" s="75">
        <v>5</v>
      </c>
      <c r="B16" s="80" t="s">
        <v>95</v>
      </c>
      <c r="C16" s="77" t="s">
        <v>48</v>
      </c>
      <c r="D16" s="78">
        <v>1</v>
      </c>
      <c r="E16" s="79"/>
      <c r="F16" s="79" t="e">
        <f>E16+#REF!</f>
        <v>#REF!</v>
      </c>
      <c r="G16" s="2"/>
      <c r="H16" s="37">
        <v>51618</v>
      </c>
      <c r="I16" s="4">
        <f t="shared" si="0"/>
        <v>0</v>
      </c>
      <c r="J16" s="25">
        <v>1</v>
      </c>
    </row>
    <row r="17" spans="1:10" ht="16.95" customHeight="1">
      <c r="A17" s="75">
        <v>6</v>
      </c>
      <c r="B17" s="80" t="s">
        <v>96</v>
      </c>
      <c r="C17" s="77" t="s">
        <v>50</v>
      </c>
      <c r="D17" s="78">
        <v>11.55</v>
      </c>
      <c r="E17" s="79"/>
      <c r="F17" s="79" t="e">
        <f>E17+#REF!</f>
        <v>#REF!</v>
      </c>
      <c r="G17" s="2"/>
      <c r="H17" s="37">
        <v>1188</v>
      </c>
      <c r="I17" s="4">
        <f t="shared" si="0"/>
        <v>0</v>
      </c>
      <c r="J17" s="25">
        <v>1</v>
      </c>
    </row>
    <row r="18" spans="1:10" ht="34.950000000000003" customHeight="1">
      <c r="A18" s="75">
        <v>7</v>
      </c>
      <c r="B18" s="80" t="s">
        <v>97</v>
      </c>
      <c r="C18" s="77" t="s">
        <v>48</v>
      </c>
      <c r="D18" s="78">
        <v>1</v>
      </c>
      <c r="E18" s="79"/>
      <c r="F18" s="79" t="e">
        <f>E18+#REF!</f>
        <v>#REF!</v>
      </c>
      <c r="G18" s="2"/>
      <c r="H18" s="37">
        <v>21157</v>
      </c>
      <c r="I18" s="4">
        <f t="shared" si="0"/>
        <v>0</v>
      </c>
      <c r="J18" s="25">
        <v>1</v>
      </c>
    </row>
    <row r="19" spans="1:10" ht="16.95" customHeight="1">
      <c r="A19" s="75">
        <v>8</v>
      </c>
      <c r="B19" s="80" t="s">
        <v>98</v>
      </c>
      <c r="C19" s="77" t="s">
        <v>50</v>
      </c>
      <c r="D19" s="78">
        <v>387</v>
      </c>
      <c r="E19" s="79"/>
      <c r="F19" s="79" t="e">
        <f>E19+#REF!</f>
        <v>#REF!</v>
      </c>
      <c r="G19" s="2"/>
      <c r="H19" s="37">
        <v>705</v>
      </c>
      <c r="I19" s="4">
        <f t="shared" si="0"/>
        <v>0</v>
      </c>
      <c r="J19" s="25">
        <v>1</v>
      </c>
    </row>
    <row r="20" spans="1:10" ht="16.95" customHeight="1">
      <c r="A20" s="75">
        <v>9</v>
      </c>
      <c r="B20" s="80" t="s">
        <v>99</v>
      </c>
      <c r="C20" s="77" t="s">
        <v>50</v>
      </c>
      <c r="D20" s="78">
        <v>170</v>
      </c>
      <c r="E20" s="79"/>
      <c r="F20" s="79" t="e">
        <f>E20+#REF!</f>
        <v>#REF!</v>
      </c>
      <c r="G20" s="2"/>
      <c r="H20" s="37">
        <v>617</v>
      </c>
      <c r="I20" s="4">
        <f t="shared" si="0"/>
        <v>0</v>
      </c>
      <c r="J20" s="25">
        <v>1</v>
      </c>
    </row>
    <row r="21" spans="1:10" ht="16.95" customHeight="1">
      <c r="A21" s="75">
        <v>10</v>
      </c>
      <c r="B21" s="80" t="s">
        <v>100</v>
      </c>
      <c r="C21" s="77" t="s">
        <v>66</v>
      </c>
      <c r="D21" s="78">
        <v>15</v>
      </c>
      <c r="E21" s="79"/>
      <c r="F21" s="79" t="e">
        <f>E21+#REF!</f>
        <v>#REF!</v>
      </c>
      <c r="G21" s="2"/>
      <c r="H21" s="37">
        <v>617</v>
      </c>
      <c r="I21" s="4">
        <f t="shared" si="0"/>
        <v>0</v>
      </c>
      <c r="J21" s="25">
        <v>1</v>
      </c>
    </row>
    <row r="22" spans="1:10" ht="16.95" customHeight="1">
      <c r="A22" s="75">
        <v>11</v>
      </c>
      <c r="B22" s="80" t="s">
        <v>101</v>
      </c>
      <c r="C22" s="77" t="s">
        <v>50</v>
      </c>
      <c r="D22" s="78">
        <v>75</v>
      </c>
      <c r="E22" s="79"/>
      <c r="F22" s="79" t="e">
        <f>E22+#REF!</f>
        <v>#REF!</v>
      </c>
      <c r="G22" s="2"/>
      <c r="H22" s="37">
        <v>1146</v>
      </c>
      <c r="I22" s="4">
        <f t="shared" si="0"/>
        <v>0</v>
      </c>
      <c r="J22" s="25">
        <v>1</v>
      </c>
    </row>
    <row r="23" spans="1:10" ht="16.95" customHeight="1">
      <c r="A23" s="75">
        <v>12</v>
      </c>
      <c r="B23" s="80" t="s">
        <v>102</v>
      </c>
      <c r="C23" s="77" t="s">
        <v>50</v>
      </c>
      <c r="D23" s="78">
        <v>5</v>
      </c>
      <c r="E23" s="79"/>
      <c r="F23" s="79" t="e">
        <f>E23+#REF!</f>
        <v>#REF!</v>
      </c>
      <c r="G23" s="2"/>
      <c r="H23" s="37">
        <v>1455</v>
      </c>
      <c r="I23" s="4">
        <f t="shared" si="0"/>
        <v>0</v>
      </c>
      <c r="J23" s="25">
        <v>1</v>
      </c>
    </row>
    <row r="24" spans="1:10" ht="16.95" customHeight="1">
      <c r="A24" s="75">
        <v>13</v>
      </c>
      <c r="B24" s="80" t="s">
        <v>103</v>
      </c>
      <c r="C24" s="77" t="s">
        <v>50</v>
      </c>
      <c r="D24" s="78">
        <v>217</v>
      </c>
      <c r="E24" s="79"/>
      <c r="F24" s="79" t="e">
        <f>E24+#REF!</f>
        <v>#REF!</v>
      </c>
      <c r="G24" s="2"/>
      <c r="H24" s="37">
        <v>1410</v>
      </c>
      <c r="I24" s="4">
        <f t="shared" si="0"/>
        <v>0</v>
      </c>
      <c r="J24" s="25">
        <v>1</v>
      </c>
    </row>
    <row r="25" spans="1:10" ht="16.95" customHeight="1">
      <c r="A25" s="75">
        <v>14</v>
      </c>
      <c r="B25" s="80" t="s">
        <v>104</v>
      </c>
      <c r="C25" s="77" t="s">
        <v>49</v>
      </c>
      <c r="D25" s="78">
        <v>84</v>
      </c>
      <c r="E25" s="79"/>
      <c r="F25" s="79" t="e">
        <f>E25+#REF!</f>
        <v>#REF!</v>
      </c>
      <c r="G25" s="2"/>
      <c r="H25" s="37">
        <v>529</v>
      </c>
      <c r="I25" s="4">
        <f t="shared" si="0"/>
        <v>0</v>
      </c>
      <c r="J25" s="25">
        <v>1</v>
      </c>
    </row>
    <row r="26" spans="1:10" ht="16.95" customHeight="1">
      <c r="A26" s="75">
        <v>15</v>
      </c>
      <c r="B26" s="80" t="s">
        <v>105</v>
      </c>
      <c r="C26" s="77" t="s">
        <v>50</v>
      </c>
      <c r="D26" s="78">
        <v>1</v>
      </c>
      <c r="E26" s="79"/>
      <c r="F26" s="79" t="e">
        <f>E26+#REF!</f>
        <v>#REF!</v>
      </c>
      <c r="G26" s="2"/>
      <c r="H26" s="37">
        <v>1146</v>
      </c>
      <c r="I26" s="4">
        <f t="shared" si="0"/>
        <v>0</v>
      </c>
      <c r="J26" s="25">
        <v>1</v>
      </c>
    </row>
    <row r="27" spans="1:10" ht="34.799999999999997" customHeight="1">
      <c r="A27" s="75">
        <v>16</v>
      </c>
      <c r="B27" s="80" t="s">
        <v>106</v>
      </c>
      <c r="C27" s="77" t="s">
        <v>50</v>
      </c>
      <c r="D27" s="78">
        <v>314</v>
      </c>
      <c r="E27" s="79"/>
      <c r="F27" s="79" t="e">
        <f>E27+#REF!</f>
        <v>#REF!</v>
      </c>
      <c r="G27" s="2"/>
      <c r="H27" s="37">
        <v>185</v>
      </c>
      <c r="I27" s="4">
        <f t="shared" si="0"/>
        <v>0</v>
      </c>
      <c r="J27" s="25">
        <v>1</v>
      </c>
    </row>
    <row r="28" spans="1:10" ht="16.95" customHeight="1">
      <c r="A28" s="75">
        <v>17</v>
      </c>
      <c r="B28" s="80" t="s">
        <v>107</v>
      </c>
      <c r="C28" s="77" t="s">
        <v>48</v>
      </c>
      <c r="D28" s="78">
        <v>1</v>
      </c>
      <c r="E28" s="79"/>
      <c r="F28" s="79" t="e">
        <f>E28+#REF!</f>
        <v>#REF!</v>
      </c>
      <c r="G28" s="2"/>
      <c r="H28" s="37">
        <v>89918</v>
      </c>
      <c r="I28" s="4">
        <f t="shared" si="0"/>
        <v>0</v>
      </c>
      <c r="J28" s="25">
        <v>1</v>
      </c>
    </row>
    <row r="29" spans="1:10" ht="16.95" customHeight="1">
      <c r="A29" s="75">
        <v>18</v>
      </c>
      <c r="B29" s="80" t="s">
        <v>108</v>
      </c>
      <c r="C29" s="77" t="s">
        <v>120</v>
      </c>
      <c r="D29" s="78">
        <v>15</v>
      </c>
      <c r="E29" s="79"/>
      <c r="F29" s="79" t="e">
        <f>E29+#REF!</f>
        <v>#REF!</v>
      </c>
      <c r="G29" s="2"/>
      <c r="H29" s="37">
        <v>661</v>
      </c>
      <c r="I29" s="4">
        <f t="shared" si="0"/>
        <v>0</v>
      </c>
      <c r="J29" s="25">
        <v>1</v>
      </c>
    </row>
    <row r="30" spans="1:10" ht="16.95" customHeight="1">
      <c r="A30" s="75">
        <v>19</v>
      </c>
      <c r="B30" s="80" t="s">
        <v>109</v>
      </c>
      <c r="C30" s="77" t="s">
        <v>50</v>
      </c>
      <c r="D30" s="78">
        <v>82</v>
      </c>
      <c r="E30" s="79"/>
      <c r="F30" s="79" t="e">
        <f>E30+#REF!</f>
        <v>#REF!</v>
      </c>
      <c r="G30" s="2"/>
      <c r="H30" s="37">
        <v>2909</v>
      </c>
      <c r="I30" s="4">
        <f t="shared" si="0"/>
        <v>0</v>
      </c>
      <c r="J30" s="25">
        <v>1</v>
      </c>
    </row>
    <row r="31" spans="1:10" ht="16.95" customHeight="1">
      <c r="A31" s="75">
        <v>20</v>
      </c>
      <c r="B31" s="80" t="s">
        <v>110</v>
      </c>
      <c r="C31" s="77" t="s">
        <v>121</v>
      </c>
      <c r="D31" s="78">
        <v>12</v>
      </c>
      <c r="E31" s="79"/>
      <c r="F31" s="79" t="e">
        <f>E31+#REF!</f>
        <v>#REF!</v>
      </c>
      <c r="G31" s="2"/>
      <c r="H31" s="37">
        <v>882</v>
      </c>
      <c r="I31" s="4">
        <f t="shared" si="0"/>
        <v>0</v>
      </c>
      <c r="J31" s="25">
        <v>1</v>
      </c>
    </row>
    <row r="32" spans="1:10" ht="16.95" customHeight="1">
      <c r="A32" s="77">
        <v>21</v>
      </c>
      <c r="B32" s="80" t="s">
        <v>111</v>
      </c>
      <c r="C32" s="77" t="s">
        <v>122</v>
      </c>
      <c r="D32" s="78">
        <v>3</v>
      </c>
      <c r="E32" s="79"/>
      <c r="F32" s="79" t="e">
        <f>E32+#REF!</f>
        <v>#REF!</v>
      </c>
      <c r="G32" s="2"/>
      <c r="H32" s="38">
        <v>1869</v>
      </c>
      <c r="I32" s="4">
        <f t="shared" si="0"/>
        <v>0</v>
      </c>
      <c r="J32" s="25">
        <v>1</v>
      </c>
    </row>
    <row r="33" spans="1:10" ht="34.950000000000003" customHeight="1">
      <c r="A33" s="75">
        <v>22</v>
      </c>
      <c r="B33" s="80" t="s">
        <v>112</v>
      </c>
      <c r="C33" s="77" t="s">
        <v>48</v>
      </c>
      <c r="D33" s="78">
        <v>1</v>
      </c>
      <c r="E33" s="79"/>
      <c r="F33" s="79" t="e">
        <f>E33+#REF!</f>
        <v>#REF!</v>
      </c>
      <c r="G33" s="2"/>
      <c r="H33" s="37">
        <v>82206</v>
      </c>
      <c r="I33" s="4">
        <f t="shared" si="0"/>
        <v>0</v>
      </c>
      <c r="J33" s="25">
        <v>1</v>
      </c>
    </row>
    <row r="34" spans="1:10" ht="16.95" customHeight="1">
      <c r="A34" s="75">
        <v>23</v>
      </c>
      <c r="B34" s="80" t="s">
        <v>113</v>
      </c>
      <c r="C34" s="77" t="s">
        <v>48</v>
      </c>
      <c r="D34" s="78">
        <v>1</v>
      </c>
      <c r="E34" s="79"/>
      <c r="F34" s="79" t="e">
        <f>E34+#REF!</f>
        <v>#REF!</v>
      </c>
      <c r="G34" s="2"/>
      <c r="H34" s="37">
        <v>142723</v>
      </c>
      <c r="I34" s="4">
        <f t="shared" si="0"/>
        <v>0</v>
      </c>
      <c r="J34" s="25">
        <v>1</v>
      </c>
    </row>
    <row r="35" spans="1:10" ht="16.95" customHeight="1">
      <c r="A35" s="75">
        <v>24</v>
      </c>
      <c r="B35" s="80" t="s">
        <v>114</v>
      </c>
      <c r="C35" s="77" t="s">
        <v>48</v>
      </c>
      <c r="D35" s="78">
        <v>1</v>
      </c>
      <c r="E35" s="79"/>
      <c r="F35" s="79" t="e">
        <f>E35+#REF!</f>
        <v>#REF!</v>
      </c>
      <c r="G35" s="2"/>
      <c r="H35" s="37">
        <v>37290</v>
      </c>
      <c r="I35" s="4">
        <f t="shared" si="0"/>
        <v>0</v>
      </c>
      <c r="J35" s="25">
        <v>1</v>
      </c>
    </row>
    <row r="36" spans="1:10" ht="16.95" customHeight="1">
      <c r="A36" s="75">
        <v>25</v>
      </c>
      <c r="B36" s="80" t="s">
        <v>115</v>
      </c>
      <c r="C36" s="77" t="s">
        <v>48</v>
      </c>
      <c r="D36" s="78">
        <v>1</v>
      </c>
      <c r="E36" s="79"/>
      <c r="F36" s="79" t="e">
        <f>E36+#REF!</f>
        <v>#REF!</v>
      </c>
      <c r="G36" s="2"/>
      <c r="H36" s="37">
        <v>99394</v>
      </c>
      <c r="I36" s="4">
        <f t="shared" si="0"/>
        <v>0</v>
      </c>
      <c r="J36" s="25">
        <v>1</v>
      </c>
    </row>
    <row r="37" spans="1:10" ht="34.950000000000003" customHeight="1">
      <c r="A37" s="75">
        <v>26</v>
      </c>
      <c r="B37" s="80" t="s">
        <v>116</v>
      </c>
      <c r="C37" s="77" t="s">
        <v>48</v>
      </c>
      <c r="D37" s="78">
        <v>1</v>
      </c>
      <c r="E37" s="79"/>
      <c r="F37" s="79" t="e">
        <f>E37+#REF!</f>
        <v>#REF!</v>
      </c>
      <c r="G37" s="2"/>
      <c r="H37" s="37">
        <v>21334</v>
      </c>
      <c r="I37" s="4">
        <f t="shared" si="0"/>
        <v>0</v>
      </c>
      <c r="J37" s="25">
        <v>1</v>
      </c>
    </row>
    <row r="38" spans="1:10" ht="16.95" customHeight="1">
      <c r="A38" s="75">
        <v>27</v>
      </c>
      <c r="B38" s="80" t="s">
        <v>117</v>
      </c>
      <c r="C38" s="77" t="s">
        <v>48</v>
      </c>
      <c r="D38" s="78">
        <v>1</v>
      </c>
      <c r="E38" s="79"/>
      <c r="F38" s="79" t="e">
        <f>E38+#REF!</f>
        <v>#REF!</v>
      </c>
      <c r="G38" s="2"/>
      <c r="H38" s="37">
        <v>29620</v>
      </c>
      <c r="I38" s="4">
        <f t="shared" si="0"/>
        <v>0</v>
      </c>
      <c r="J38" s="25">
        <v>1</v>
      </c>
    </row>
    <row r="39" spans="1:10" ht="16.95" customHeight="1">
      <c r="A39" s="75">
        <v>28</v>
      </c>
      <c r="B39" s="80" t="s">
        <v>118</v>
      </c>
      <c r="C39" s="77" t="s">
        <v>48</v>
      </c>
      <c r="D39" s="78">
        <v>1</v>
      </c>
      <c r="E39" s="79"/>
      <c r="F39" s="79" t="e">
        <f>E39+#REF!</f>
        <v>#REF!</v>
      </c>
      <c r="G39" s="2"/>
      <c r="H39" s="37">
        <v>18506</v>
      </c>
      <c r="I39" s="4">
        <f t="shared" si="0"/>
        <v>0</v>
      </c>
      <c r="J39" s="25">
        <v>1</v>
      </c>
    </row>
    <row r="40" spans="1:10" ht="16.95" customHeight="1">
      <c r="A40" s="75">
        <v>29</v>
      </c>
      <c r="B40" s="80" t="s">
        <v>119</v>
      </c>
      <c r="C40" s="77" t="s">
        <v>48</v>
      </c>
      <c r="D40" s="78">
        <v>1</v>
      </c>
      <c r="E40" s="79"/>
      <c r="F40" s="79" t="e">
        <f>E40+#REF!</f>
        <v>#REF!</v>
      </c>
      <c r="G40" s="2"/>
      <c r="H40" s="37">
        <v>34381</v>
      </c>
      <c r="I40" s="4">
        <f t="shared" si="0"/>
        <v>0</v>
      </c>
      <c r="J40" s="25">
        <v>1</v>
      </c>
    </row>
    <row r="41" spans="1:10" ht="16.95" customHeight="1">
      <c r="A41" s="75" t="s">
        <v>79</v>
      </c>
      <c r="B41" s="80" t="s">
        <v>80</v>
      </c>
      <c r="C41" s="77" t="s">
        <v>48</v>
      </c>
      <c r="D41" s="78">
        <v>1</v>
      </c>
      <c r="E41" s="79">
        <f t="shared" ref="E41:E44" si="1">1/120</f>
        <v>8.3333333333333332E-3</v>
      </c>
      <c r="F41" s="79" t="e">
        <f>E41+#REF!</f>
        <v>#REF!</v>
      </c>
      <c r="G41" s="2"/>
      <c r="H41" s="37">
        <v>21395</v>
      </c>
      <c r="I41" s="4">
        <f t="shared" si="0"/>
        <v>178.29166666666666</v>
      </c>
      <c r="J41" s="25">
        <v>1</v>
      </c>
    </row>
    <row r="42" spans="1:10" ht="16.95" customHeight="1">
      <c r="A42" s="75" t="s">
        <v>81</v>
      </c>
      <c r="B42" s="80" t="s">
        <v>82</v>
      </c>
      <c r="C42" s="77" t="s">
        <v>48</v>
      </c>
      <c r="D42" s="78">
        <v>1</v>
      </c>
      <c r="E42" s="79">
        <f t="shared" si="1"/>
        <v>8.3333333333333332E-3</v>
      </c>
      <c r="F42" s="79" t="e">
        <f>E42+#REF!</f>
        <v>#REF!</v>
      </c>
      <c r="G42" s="2"/>
      <c r="H42" s="37">
        <v>21395</v>
      </c>
      <c r="I42" s="4">
        <f t="shared" si="0"/>
        <v>178.29166666666666</v>
      </c>
      <c r="J42" s="25">
        <v>1</v>
      </c>
    </row>
    <row r="43" spans="1:10" ht="16.95" customHeight="1">
      <c r="A43" s="75" t="s">
        <v>83</v>
      </c>
      <c r="B43" s="80" t="s">
        <v>84</v>
      </c>
      <c r="C43" s="77" t="s">
        <v>48</v>
      </c>
      <c r="D43" s="78">
        <v>1</v>
      </c>
      <c r="E43" s="79">
        <f t="shared" si="1"/>
        <v>8.3333333333333332E-3</v>
      </c>
      <c r="F43" s="79" t="e">
        <f>E43+#REF!</f>
        <v>#REF!</v>
      </c>
      <c r="G43" s="2"/>
      <c r="H43" s="37">
        <v>149765</v>
      </c>
      <c r="I43" s="4">
        <f t="shared" si="0"/>
        <v>1248.0416666666667</v>
      </c>
      <c r="J43" s="25">
        <v>1</v>
      </c>
    </row>
    <row r="44" spans="1:10" ht="16.95" customHeight="1">
      <c r="A44" s="75" t="s">
        <v>85</v>
      </c>
      <c r="B44" s="80" t="s">
        <v>86</v>
      </c>
      <c r="C44" s="77" t="s">
        <v>48</v>
      </c>
      <c r="D44" s="78">
        <v>1</v>
      </c>
      <c r="E44" s="79">
        <f t="shared" si="1"/>
        <v>8.3333333333333332E-3</v>
      </c>
      <c r="F44" s="79" t="e">
        <f>E44+#REF!</f>
        <v>#REF!</v>
      </c>
      <c r="G44" s="2"/>
      <c r="H44" s="37">
        <v>6996</v>
      </c>
      <c r="I44" s="4">
        <f t="shared" si="0"/>
        <v>58.3</v>
      </c>
      <c r="J44" s="25">
        <v>1</v>
      </c>
    </row>
    <row r="45" spans="1:10" ht="16.95" customHeight="1">
      <c r="A45" s="75" t="s">
        <v>87</v>
      </c>
      <c r="B45" s="80" t="s">
        <v>88</v>
      </c>
      <c r="C45" s="77" t="s">
        <v>48</v>
      </c>
      <c r="D45" s="78">
        <v>1</v>
      </c>
      <c r="E45" s="79">
        <f>1/120</f>
        <v>8.3333333333333332E-3</v>
      </c>
      <c r="F45" s="79" t="e">
        <f>E45+#REF!</f>
        <v>#REF!</v>
      </c>
      <c r="G45" s="2"/>
      <c r="H45" s="37">
        <v>116952</v>
      </c>
      <c r="I45" s="4">
        <f t="shared" si="0"/>
        <v>974.6</v>
      </c>
      <c r="J45" s="25">
        <v>1</v>
      </c>
    </row>
    <row r="46" spans="1:10" ht="16.95" customHeight="1">
      <c r="A46" s="95" t="s">
        <v>23</v>
      </c>
      <c r="B46" s="95"/>
      <c r="C46" s="50"/>
      <c r="D46" s="50"/>
      <c r="E46" s="50"/>
      <c r="F46" s="50"/>
      <c r="G46" s="50"/>
      <c r="H46" s="3" t="s">
        <v>24</v>
      </c>
      <c r="I46" s="5">
        <f>SUM(I11:I45)</f>
        <v>2637.5250000000001</v>
      </c>
      <c r="J46" s="25">
        <v>1</v>
      </c>
    </row>
    <row r="47" spans="1:10" ht="16.95" customHeight="1">
      <c r="A47" s="96" t="s">
        <v>25</v>
      </c>
      <c r="B47" s="96"/>
      <c r="C47" s="50"/>
      <c r="D47" s="50"/>
      <c r="E47" s="50"/>
      <c r="F47" s="50"/>
      <c r="G47" s="50"/>
      <c r="J47" s="25">
        <v>1</v>
      </c>
    </row>
    <row r="48" spans="1:10" ht="16.95" customHeight="1">
      <c r="A48" s="96" t="s">
        <v>26</v>
      </c>
      <c r="B48" s="96"/>
      <c r="C48" s="50"/>
      <c r="D48" s="50"/>
      <c r="E48" s="50"/>
      <c r="F48" s="50"/>
      <c r="G48" s="50"/>
      <c r="J48" s="25">
        <v>1</v>
      </c>
    </row>
    <row r="49" spans="1:10" ht="16.95" customHeight="1">
      <c r="A49" s="95" t="s">
        <v>27</v>
      </c>
      <c r="B49" s="95"/>
      <c r="C49" s="95"/>
      <c r="D49" s="95"/>
      <c r="E49" s="95"/>
      <c r="F49" s="95"/>
      <c r="G49" s="95"/>
      <c r="J49" s="25">
        <v>1</v>
      </c>
    </row>
    <row r="50" spans="1:10" ht="16.95" customHeight="1">
      <c r="A50" s="94" t="s">
        <v>28</v>
      </c>
      <c r="B50" s="94"/>
      <c r="C50" s="51" t="s">
        <v>29</v>
      </c>
      <c r="D50" s="51" t="s">
        <v>30</v>
      </c>
      <c r="E50" s="51" t="s">
        <v>18</v>
      </c>
      <c r="F50" s="51" t="s">
        <v>31</v>
      </c>
      <c r="G50" s="51" t="s">
        <v>20</v>
      </c>
      <c r="J50" s="25">
        <v>1</v>
      </c>
    </row>
    <row r="51" spans="1:10" ht="16.95" customHeight="1">
      <c r="A51" s="96"/>
      <c r="B51" s="96"/>
      <c r="C51" s="50"/>
      <c r="D51" s="50"/>
      <c r="E51" s="50"/>
      <c r="F51" s="50"/>
      <c r="G51" s="51"/>
      <c r="J51" s="25">
        <v>1</v>
      </c>
    </row>
    <row r="52" spans="1:10" ht="16.95" customHeight="1">
      <c r="A52" s="97"/>
      <c r="B52" s="97"/>
      <c r="C52" s="50"/>
      <c r="D52" s="50"/>
      <c r="E52" s="50"/>
      <c r="F52" s="51"/>
      <c r="G52" s="51"/>
      <c r="J52" s="25">
        <v>1</v>
      </c>
    </row>
    <row r="53" spans="1:10" ht="16.95" customHeight="1">
      <c r="A53" s="95" t="s">
        <v>32</v>
      </c>
      <c r="B53" s="95"/>
      <c r="C53" s="95"/>
      <c r="D53" s="95"/>
      <c r="E53" s="95"/>
      <c r="F53" s="95"/>
      <c r="G53" s="95"/>
      <c r="J53" s="25">
        <v>2</v>
      </c>
    </row>
    <row r="54" spans="1:10" ht="16.95" customHeight="1">
      <c r="A54" s="51" t="s">
        <v>33</v>
      </c>
      <c r="B54" s="51" t="s">
        <v>34</v>
      </c>
      <c r="C54" s="94" t="s">
        <v>35</v>
      </c>
      <c r="D54" s="94"/>
      <c r="E54" s="51" t="s">
        <v>36</v>
      </c>
      <c r="F54" s="51" t="s">
        <v>37</v>
      </c>
      <c r="G54" s="51" t="s">
        <v>38</v>
      </c>
      <c r="J54" s="25">
        <v>2</v>
      </c>
    </row>
    <row r="55" spans="1:10" ht="16.95" customHeight="1">
      <c r="A55" s="51" t="s">
        <v>39</v>
      </c>
      <c r="B55" s="6"/>
      <c r="C55" s="94" t="e">
        <f>B55+#REF!</f>
        <v>#REF!</v>
      </c>
      <c r="D55" s="94"/>
      <c r="E55" s="51"/>
      <c r="F55" s="24"/>
      <c r="G55" s="24"/>
      <c r="J55" s="25">
        <v>2</v>
      </c>
    </row>
    <row r="56" spans="1:10" ht="16.95" customHeight="1">
      <c r="A56" s="51" t="s">
        <v>40</v>
      </c>
      <c r="B56" s="6"/>
      <c r="C56" s="94" t="e">
        <f>B56+#REF!</f>
        <v>#REF!</v>
      </c>
      <c r="D56" s="94"/>
      <c r="E56" s="51"/>
      <c r="F56" s="24"/>
      <c r="G56" s="24"/>
      <c r="J56" s="25">
        <v>2</v>
      </c>
    </row>
    <row r="57" spans="1:10" ht="36.6" customHeight="1">
      <c r="A57" s="95" t="s">
        <v>41</v>
      </c>
      <c r="B57" s="95"/>
      <c r="C57" s="95"/>
      <c r="D57" s="95"/>
      <c r="E57" s="95"/>
      <c r="F57" s="95"/>
      <c r="G57" s="95"/>
      <c r="J57" s="25">
        <v>2</v>
      </c>
    </row>
    <row r="58" spans="1:10" ht="90" customHeight="1">
      <c r="A58" s="92" t="s">
        <v>42</v>
      </c>
      <c r="B58" s="92"/>
      <c r="C58" s="92"/>
      <c r="D58" s="92"/>
      <c r="E58" s="92"/>
      <c r="F58" s="92"/>
      <c r="G58" s="92"/>
      <c r="J58" s="25">
        <v>2</v>
      </c>
    </row>
    <row r="59" spans="1:10" ht="16.95" customHeight="1">
      <c r="A59" s="95" t="s">
        <v>43</v>
      </c>
      <c r="B59" s="95"/>
      <c r="C59" s="95"/>
      <c r="D59" s="95"/>
      <c r="E59" s="95"/>
      <c r="F59" s="95"/>
      <c r="G59" s="95"/>
      <c r="J59" s="25">
        <v>2</v>
      </c>
    </row>
    <row r="60" spans="1:10" ht="16.95" customHeight="1">
      <c r="A60" s="95" t="s">
        <v>44</v>
      </c>
      <c r="B60" s="95"/>
      <c r="C60" s="95"/>
      <c r="D60" s="95"/>
      <c r="E60" s="95"/>
      <c r="F60" s="95"/>
      <c r="G60" s="95"/>
      <c r="J60" s="25">
        <v>2</v>
      </c>
    </row>
    <row r="61" spans="1:10" ht="16.95" customHeight="1">
      <c r="A61" s="91" t="s">
        <v>64</v>
      </c>
      <c r="B61" s="91"/>
      <c r="C61" s="91"/>
      <c r="D61" s="91"/>
      <c r="E61" s="91"/>
      <c r="F61" s="91"/>
      <c r="G61" s="91"/>
      <c r="J61" s="25">
        <v>2</v>
      </c>
    </row>
    <row r="62" spans="1:10" ht="120.6" customHeight="1">
      <c r="A62" s="92" t="s">
        <v>45</v>
      </c>
      <c r="B62" s="92"/>
      <c r="C62" s="92"/>
      <c r="D62" s="92"/>
      <c r="E62" s="92"/>
      <c r="F62" s="92"/>
      <c r="G62" s="92"/>
      <c r="J62" s="25">
        <v>2</v>
      </c>
    </row>
    <row r="63" spans="1:10" ht="140.4" customHeight="1">
      <c r="A63" s="93" t="s">
        <v>46</v>
      </c>
      <c r="B63" s="93"/>
      <c r="C63" s="93"/>
      <c r="D63" s="93"/>
      <c r="E63" s="93"/>
      <c r="F63" s="93"/>
      <c r="G63" s="93"/>
      <c r="J63" s="25">
        <v>2</v>
      </c>
    </row>
    <row r="64" spans="1:10" ht="37.200000000000003" customHeight="1">
      <c r="A64" s="103" t="s">
        <v>0</v>
      </c>
      <c r="B64" s="103"/>
      <c r="C64" s="103"/>
      <c r="D64" s="103"/>
      <c r="E64" s="103"/>
      <c r="F64" s="103"/>
      <c r="G64" s="103"/>
      <c r="J64" s="25">
        <f t="shared" ref="J64:J127" si="2">J1+2</f>
        <v>3</v>
      </c>
    </row>
    <row r="65" spans="1:10" ht="16.95" customHeight="1">
      <c r="A65" s="1" t="s">
        <v>1</v>
      </c>
      <c r="B65" s="104">
        <f>B2+1</f>
        <v>3</v>
      </c>
      <c r="C65" s="104"/>
      <c r="D65" s="104"/>
      <c r="E65" s="104"/>
      <c r="F65" s="104"/>
      <c r="G65" s="104"/>
      <c r="J65" s="25">
        <f t="shared" si="2"/>
        <v>3</v>
      </c>
    </row>
    <row r="66" spans="1:10" ht="16.95" customHeight="1">
      <c r="A66" s="1" t="s">
        <v>2</v>
      </c>
      <c r="B66" s="105" t="s">
        <v>63</v>
      </c>
      <c r="C66" s="105"/>
      <c r="D66" s="105"/>
      <c r="E66" s="106">
        <f>E3+1</f>
        <v>46205</v>
      </c>
      <c r="F66" s="106"/>
      <c r="G66" s="106"/>
      <c r="J66" s="25">
        <f t="shared" si="2"/>
        <v>3</v>
      </c>
    </row>
    <row r="67" spans="1:10" ht="16.95" customHeight="1">
      <c r="A67" s="53" t="s">
        <v>3</v>
      </c>
      <c r="B67" s="2" t="s">
        <v>67</v>
      </c>
      <c r="C67" s="98" t="s">
        <v>4</v>
      </c>
      <c r="D67" s="98"/>
      <c r="E67" s="98" t="s">
        <v>47</v>
      </c>
      <c r="F67" s="98"/>
      <c r="G67" s="98"/>
      <c r="J67" s="25">
        <f t="shared" si="2"/>
        <v>3</v>
      </c>
    </row>
    <row r="68" spans="1:10" ht="16.95" customHeight="1">
      <c r="A68" s="53" t="s">
        <v>5</v>
      </c>
      <c r="B68" s="54">
        <v>120</v>
      </c>
      <c r="C68" s="98" t="s">
        <v>6</v>
      </c>
      <c r="D68" s="98"/>
      <c r="E68" s="98" t="s">
        <v>123</v>
      </c>
      <c r="F68" s="98"/>
      <c r="G68" s="98"/>
      <c r="J68" s="25">
        <f t="shared" si="2"/>
        <v>3</v>
      </c>
    </row>
    <row r="69" spans="1:10" ht="16.95" customHeight="1">
      <c r="A69" s="53" t="s">
        <v>7</v>
      </c>
      <c r="B69" s="54">
        <f>B65</f>
        <v>3</v>
      </c>
      <c r="C69" s="100" t="s">
        <v>8</v>
      </c>
      <c r="D69" s="100"/>
      <c r="E69" s="101">
        <f>B68-B69</f>
        <v>117</v>
      </c>
      <c r="F69" s="101"/>
      <c r="G69" s="101"/>
      <c r="J69" s="25">
        <f t="shared" si="2"/>
        <v>3</v>
      </c>
    </row>
    <row r="70" spans="1:10" ht="16.95" customHeight="1">
      <c r="A70" s="53" t="s">
        <v>9</v>
      </c>
      <c r="B70" s="55">
        <v>46204</v>
      </c>
      <c r="C70" s="98" t="s">
        <v>10</v>
      </c>
      <c r="D70" s="98"/>
      <c r="E70" s="102">
        <f>B70+B68-1</f>
        <v>46323</v>
      </c>
      <c r="F70" s="102"/>
      <c r="G70" s="102"/>
      <c r="J70" s="25">
        <f t="shared" si="2"/>
        <v>3</v>
      </c>
    </row>
    <row r="71" spans="1:10" ht="16.95" customHeight="1">
      <c r="A71" s="53" t="s">
        <v>11</v>
      </c>
      <c r="B71" s="56" t="e">
        <f>HLOOKUP(B65,進度表!$Q$2:$Z$3,2,1)+B8</f>
        <v>#REF!</v>
      </c>
      <c r="C71" s="98" t="s">
        <v>12</v>
      </c>
      <c r="D71" s="98"/>
      <c r="E71" s="99" t="e">
        <f>I109/I71+E8</f>
        <v>#REF!</v>
      </c>
      <c r="F71" s="99"/>
      <c r="G71" s="99"/>
      <c r="H71" s="3" t="s">
        <v>62</v>
      </c>
      <c r="I71" s="1">
        <v>2456000</v>
      </c>
      <c r="J71" s="25">
        <f t="shared" si="2"/>
        <v>3</v>
      </c>
    </row>
    <row r="72" spans="1:10" ht="16.95" customHeight="1">
      <c r="A72" s="98" t="s">
        <v>13</v>
      </c>
      <c r="B72" s="98"/>
      <c r="C72" s="98"/>
      <c r="D72" s="98"/>
      <c r="E72" s="98"/>
      <c r="F72" s="98"/>
      <c r="G72" s="98"/>
      <c r="J72" s="25">
        <f t="shared" si="2"/>
        <v>3</v>
      </c>
    </row>
    <row r="73" spans="1:10" ht="16.95" customHeight="1">
      <c r="A73" s="52" t="s">
        <v>14</v>
      </c>
      <c r="B73" s="52" t="s">
        <v>15</v>
      </c>
      <c r="C73" s="52" t="s">
        <v>16</v>
      </c>
      <c r="D73" s="52" t="s">
        <v>17</v>
      </c>
      <c r="E73" s="52" t="s">
        <v>18</v>
      </c>
      <c r="F73" s="52" t="s">
        <v>19</v>
      </c>
      <c r="G73" s="52" t="s">
        <v>20</v>
      </c>
      <c r="H73" s="3" t="s">
        <v>21</v>
      </c>
      <c r="I73" s="3" t="s">
        <v>22</v>
      </c>
      <c r="J73" s="25">
        <f t="shared" si="2"/>
        <v>3</v>
      </c>
    </row>
    <row r="74" spans="1:10" ht="16.95" customHeight="1">
      <c r="A74" s="75" t="s">
        <v>65</v>
      </c>
      <c r="B74" s="76" t="s">
        <v>69</v>
      </c>
      <c r="C74" s="77"/>
      <c r="D74" s="78"/>
      <c r="E74" s="79"/>
      <c r="F74" s="79"/>
      <c r="G74" s="2"/>
      <c r="H74" s="37"/>
      <c r="I74" s="4"/>
      <c r="J74" s="25">
        <f t="shared" si="2"/>
        <v>3</v>
      </c>
    </row>
    <row r="75" spans="1:10" ht="34.950000000000003" customHeight="1">
      <c r="A75" s="75">
        <v>1</v>
      </c>
      <c r="B75" s="80" t="s">
        <v>91</v>
      </c>
      <c r="C75" s="77" t="s">
        <v>48</v>
      </c>
      <c r="D75" s="78">
        <v>1</v>
      </c>
      <c r="E75" s="79"/>
      <c r="F75" s="79" t="e">
        <f t="shared" ref="F75:F108" si="3">E75+F12</f>
        <v>#REF!</v>
      </c>
      <c r="G75" s="2"/>
      <c r="H75" s="37">
        <v>10508</v>
      </c>
      <c r="I75" s="4">
        <f>H75*E75</f>
        <v>0</v>
      </c>
      <c r="J75" s="25">
        <f t="shared" si="2"/>
        <v>3</v>
      </c>
    </row>
    <row r="76" spans="1:10" ht="34.799999999999997" customHeight="1">
      <c r="A76" s="75">
        <v>2</v>
      </c>
      <c r="B76" s="80" t="s">
        <v>92</v>
      </c>
      <c r="C76" s="77" t="s">
        <v>48</v>
      </c>
      <c r="D76" s="78">
        <v>1</v>
      </c>
      <c r="E76" s="79"/>
      <c r="F76" s="79" t="e">
        <f t="shared" si="3"/>
        <v>#REF!</v>
      </c>
      <c r="G76" s="2"/>
      <c r="H76" s="37">
        <v>13223</v>
      </c>
      <c r="I76" s="4">
        <f>H76*E76</f>
        <v>0</v>
      </c>
      <c r="J76" s="25">
        <f t="shared" si="2"/>
        <v>3</v>
      </c>
    </row>
    <row r="77" spans="1:10" ht="53.4" customHeight="1">
      <c r="A77" s="75">
        <v>3</v>
      </c>
      <c r="B77" s="80" t="s">
        <v>93</v>
      </c>
      <c r="C77" s="77" t="s">
        <v>48</v>
      </c>
      <c r="D77" s="78">
        <v>1</v>
      </c>
      <c r="E77" s="79"/>
      <c r="F77" s="79" t="e">
        <f t="shared" si="3"/>
        <v>#REF!</v>
      </c>
      <c r="G77" s="2"/>
      <c r="H77" s="37">
        <v>310497</v>
      </c>
      <c r="I77" s="4">
        <f t="shared" ref="I77:I108" si="4">H77*E77</f>
        <v>0</v>
      </c>
      <c r="J77" s="25">
        <f t="shared" si="2"/>
        <v>3</v>
      </c>
    </row>
    <row r="78" spans="1:10" ht="16.95" customHeight="1">
      <c r="A78" s="75">
        <v>4</v>
      </c>
      <c r="B78" s="80" t="s">
        <v>94</v>
      </c>
      <c r="C78" s="77" t="s">
        <v>48</v>
      </c>
      <c r="D78" s="78">
        <v>1</v>
      </c>
      <c r="E78" s="79"/>
      <c r="F78" s="79" t="e">
        <f t="shared" si="3"/>
        <v>#REF!</v>
      </c>
      <c r="G78" s="2"/>
      <c r="H78" s="37">
        <v>8375</v>
      </c>
      <c r="I78" s="4">
        <f t="shared" si="4"/>
        <v>0</v>
      </c>
      <c r="J78" s="25">
        <f t="shared" si="2"/>
        <v>3</v>
      </c>
    </row>
    <row r="79" spans="1:10" ht="16.95" customHeight="1">
      <c r="A79" s="75">
        <v>5</v>
      </c>
      <c r="B79" s="80" t="s">
        <v>95</v>
      </c>
      <c r="C79" s="77" t="s">
        <v>48</v>
      </c>
      <c r="D79" s="78">
        <v>1</v>
      </c>
      <c r="E79" s="79"/>
      <c r="F79" s="79" t="e">
        <f t="shared" si="3"/>
        <v>#REF!</v>
      </c>
      <c r="G79" s="2"/>
      <c r="H79" s="37">
        <v>51618</v>
      </c>
      <c r="I79" s="4">
        <f t="shared" si="4"/>
        <v>0</v>
      </c>
      <c r="J79" s="25">
        <f t="shared" si="2"/>
        <v>3</v>
      </c>
    </row>
    <row r="80" spans="1:10" ht="16.95" customHeight="1">
      <c r="A80" s="75">
        <v>6</v>
      </c>
      <c r="B80" s="80" t="s">
        <v>96</v>
      </c>
      <c r="C80" s="77" t="s">
        <v>50</v>
      </c>
      <c r="D80" s="78">
        <v>11.55</v>
      </c>
      <c r="E80" s="79"/>
      <c r="F80" s="79" t="e">
        <f t="shared" si="3"/>
        <v>#REF!</v>
      </c>
      <c r="G80" s="2"/>
      <c r="H80" s="37">
        <v>1188</v>
      </c>
      <c r="I80" s="4">
        <f t="shared" si="4"/>
        <v>0</v>
      </c>
      <c r="J80" s="25">
        <f t="shared" si="2"/>
        <v>3</v>
      </c>
    </row>
    <row r="81" spans="1:10" ht="34.950000000000003" customHeight="1">
      <c r="A81" s="75">
        <v>7</v>
      </c>
      <c r="B81" s="80" t="s">
        <v>97</v>
      </c>
      <c r="C81" s="77" t="s">
        <v>48</v>
      </c>
      <c r="D81" s="78">
        <v>1</v>
      </c>
      <c r="E81" s="79"/>
      <c r="F81" s="79" t="e">
        <f t="shared" si="3"/>
        <v>#REF!</v>
      </c>
      <c r="G81" s="2"/>
      <c r="H81" s="37">
        <v>21157</v>
      </c>
      <c r="I81" s="4">
        <f t="shared" si="4"/>
        <v>0</v>
      </c>
      <c r="J81" s="25">
        <f t="shared" si="2"/>
        <v>3</v>
      </c>
    </row>
    <row r="82" spans="1:10" ht="16.95" customHeight="1">
      <c r="A82" s="75">
        <v>8</v>
      </c>
      <c r="B82" s="80" t="s">
        <v>98</v>
      </c>
      <c r="C82" s="77" t="s">
        <v>50</v>
      </c>
      <c r="D82" s="78">
        <v>387</v>
      </c>
      <c r="E82" s="79"/>
      <c r="F82" s="79" t="e">
        <f t="shared" si="3"/>
        <v>#REF!</v>
      </c>
      <c r="G82" s="2"/>
      <c r="H82" s="37">
        <v>705</v>
      </c>
      <c r="I82" s="4">
        <f t="shared" si="4"/>
        <v>0</v>
      </c>
      <c r="J82" s="25">
        <f t="shared" si="2"/>
        <v>3</v>
      </c>
    </row>
    <row r="83" spans="1:10" ht="16.95" customHeight="1">
      <c r="A83" s="75">
        <v>9</v>
      </c>
      <c r="B83" s="80" t="s">
        <v>99</v>
      </c>
      <c r="C83" s="77" t="s">
        <v>50</v>
      </c>
      <c r="D83" s="78">
        <v>170</v>
      </c>
      <c r="E83" s="79"/>
      <c r="F83" s="79" t="e">
        <f t="shared" si="3"/>
        <v>#REF!</v>
      </c>
      <c r="G83" s="2"/>
      <c r="H83" s="37">
        <v>617</v>
      </c>
      <c r="I83" s="4">
        <f t="shared" si="4"/>
        <v>0</v>
      </c>
      <c r="J83" s="25">
        <f t="shared" si="2"/>
        <v>3</v>
      </c>
    </row>
    <row r="84" spans="1:10" ht="16.95" customHeight="1">
      <c r="A84" s="75">
        <v>10</v>
      </c>
      <c r="B84" s="80" t="s">
        <v>100</v>
      </c>
      <c r="C84" s="77" t="s">
        <v>66</v>
      </c>
      <c r="D84" s="78">
        <v>15</v>
      </c>
      <c r="E84" s="79"/>
      <c r="F84" s="79" t="e">
        <f t="shared" si="3"/>
        <v>#REF!</v>
      </c>
      <c r="G84" s="2"/>
      <c r="H84" s="37">
        <v>617</v>
      </c>
      <c r="I84" s="4">
        <f t="shared" si="4"/>
        <v>0</v>
      </c>
      <c r="J84" s="25">
        <f t="shared" si="2"/>
        <v>3</v>
      </c>
    </row>
    <row r="85" spans="1:10" ht="16.95" customHeight="1">
      <c r="A85" s="75">
        <v>11</v>
      </c>
      <c r="B85" s="80" t="s">
        <v>101</v>
      </c>
      <c r="C85" s="77" t="s">
        <v>50</v>
      </c>
      <c r="D85" s="78">
        <v>75</v>
      </c>
      <c r="E85" s="79"/>
      <c r="F85" s="79" t="e">
        <f t="shared" si="3"/>
        <v>#REF!</v>
      </c>
      <c r="G85" s="2"/>
      <c r="H85" s="37">
        <v>1146</v>
      </c>
      <c r="I85" s="4">
        <f t="shared" si="4"/>
        <v>0</v>
      </c>
      <c r="J85" s="25">
        <f t="shared" si="2"/>
        <v>3</v>
      </c>
    </row>
    <row r="86" spans="1:10" ht="16.95" customHeight="1">
      <c r="A86" s="75">
        <v>12</v>
      </c>
      <c r="B86" s="80" t="s">
        <v>102</v>
      </c>
      <c r="C86" s="77" t="s">
        <v>50</v>
      </c>
      <c r="D86" s="78">
        <v>5</v>
      </c>
      <c r="E86" s="79"/>
      <c r="F86" s="79" t="e">
        <f t="shared" si="3"/>
        <v>#REF!</v>
      </c>
      <c r="G86" s="2"/>
      <c r="H86" s="37">
        <v>1455</v>
      </c>
      <c r="I86" s="4">
        <f t="shared" si="4"/>
        <v>0</v>
      </c>
      <c r="J86" s="25">
        <f t="shared" si="2"/>
        <v>3</v>
      </c>
    </row>
    <row r="87" spans="1:10" ht="16.95" customHeight="1">
      <c r="A87" s="75">
        <v>13</v>
      </c>
      <c r="B87" s="80" t="s">
        <v>103</v>
      </c>
      <c r="C87" s="77" t="s">
        <v>50</v>
      </c>
      <c r="D87" s="78">
        <v>217</v>
      </c>
      <c r="E87" s="79"/>
      <c r="F87" s="79" t="e">
        <f t="shared" si="3"/>
        <v>#REF!</v>
      </c>
      <c r="G87" s="2"/>
      <c r="H87" s="37">
        <v>1410</v>
      </c>
      <c r="I87" s="4">
        <f t="shared" si="4"/>
        <v>0</v>
      </c>
      <c r="J87" s="25">
        <f t="shared" si="2"/>
        <v>3</v>
      </c>
    </row>
    <row r="88" spans="1:10" ht="16.95" customHeight="1">
      <c r="A88" s="75">
        <v>14</v>
      </c>
      <c r="B88" s="80" t="s">
        <v>104</v>
      </c>
      <c r="C88" s="77" t="s">
        <v>49</v>
      </c>
      <c r="D88" s="78">
        <v>84</v>
      </c>
      <c r="E88" s="79"/>
      <c r="F88" s="79" t="e">
        <f t="shared" si="3"/>
        <v>#REF!</v>
      </c>
      <c r="G88" s="2"/>
      <c r="H88" s="37">
        <v>529</v>
      </c>
      <c r="I88" s="4">
        <f t="shared" si="4"/>
        <v>0</v>
      </c>
      <c r="J88" s="25">
        <f t="shared" si="2"/>
        <v>3</v>
      </c>
    </row>
    <row r="89" spans="1:10" ht="16.95" customHeight="1">
      <c r="A89" s="75">
        <v>15</v>
      </c>
      <c r="B89" s="80" t="s">
        <v>105</v>
      </c>
      <c r="C89" s="77" t="s">
        <v>50</v>
      </c>
      <c r="D89" s="78">
        <v>1</v>
      </c>
      <c r="E89" s="79"/>
      <c r="F89" s="79" t="e">
        <f t="shared" si="3"/>
        <v>#REF!</v>
      </c>
      <c r="G89" s="2"/>
      <c r="H89" s="37">
        <v>1146</v>
      </c>
      <c r="I89" s="4">
        <f t="shared" si="4"/>
        <v>0</v>
      </c>
      <c r="J89" s="25">
        <f t="shared" si="2"/>
        <v>3</v>
      </c>
    </row>
    <row r="90" spans="1:10" ht="34.799999999999997" customHeight="1">
      <c r="A90" s="75">
        <v>16</v>
      </c>
      <c r="B90" s="80" t="s">
        <v>106</v>
      </c>
      <c r="C90" s="77" t="s">
        <v>50</v>
      </c>
      <c r="D90" s="78">
        <v>314</v>
      </c>
      <c r="E90" s="79"/>
      <c r="F90" s="79" t="e">
        <f t="shared" si="3"/>
        <v>#REF!</v>
      </c>
      <c r="G90" s="2"/>
      <c r="H90" s="37">
        <v>185</v>
      </c>
      <c r="I90" s="4">
        <f t="shared" si="4"/>
        <v>0</v>
      </c>
      <c r="J90" s="25">
        <f t="shared" si="2"/>
        <v>3</v>
      </c>
    </row>
    <row r="91" spans="1:10" ht="16.95" customHeight="1">
      <c r="A91" s="75">
        <v>17</v>
      </c>
      <c r="B91" s="80" t="s">
        <v>107</v>
      </c>
      <c r="C91" s="77" t="s">
        <v>48</v>
      </c>
      <c r="D91" s="78">
        <v>1</v>
      </c>
      <c r="E91" s="79"/>
      <c r="F91" s="79" t="e">
        <f t="shared" si="3"/>
        <v>#REF!</v>
      </c>
      <c r="G91" s="2"/>
      <c r="H91" s="37">
        <v>89918</v>
      </c>
      <c r="I91" s="4">
        <f t="shared" si="4"/>
        <v>0</v>
      </c>
      <c r="J91" s="25">
        <f t="shared" si="2"/>
        <v>3</v>
      </c>
    </row>
    <row r="92" spans="1:10" ht="16.95" customHeight="1">
      <c r="A92" s="75">
        <v>18</v>
      </c>
      <c r="B92" s="80" t="s">
        <v>108</v>
      </c>
      <c r="C92" s="77" t="s">
        <v>120</v>
      </c>
      <c r="D92" s="78">
        <v>15</v>
      </c>
      <c r="E92" s="79"/>
      <c r="F92" s="79" t="e">
        <f t="shared" si="3"/>
        <v>#REF!</v>
      </c>
      <c r="G92" s="2"/>
      <c r="H92" s="37">
        <v>661</v>
      </c>
      <c r="I92" s="4">
        <f t="shared" si="4"/>
        <v>0</v>
      </c>
      <c r="J92" s="25">
        <f t="shared" si="2"/>
        <v>3</v>
      </c>
    </row>
    <row r="93" spans="1:10" ht="16.95" customHeight="1">
      <c r="A93" s="75">
        <v>19</v>
      </c>
      <c r="B93" s="80" t="s">
        <v>109</v>
      </c>
      <c r="C93" s="77" t="s">
        <v>50</v>
      </c>
      <c r="D93" s="78">
        <v>82</v>
      </c>
      <c r="E93" s="79"/>
      <c r="F93" s="79" t="e">
        <f t="shared" si="3"/>
        <v>#REF!</v>
      </c>
      <c r="G93" s="2"/>
      <c r="H93" s="37">
        <v>2909</v>
      </c>
      <c r="I93" s="4">
        <f t="shared" si="4"/>
        <v>0</v>
      </c>
      <c r="J93" s="25">
        <f t="shared" si="2"/>
        <v>3</v>
      </c>
    </row>
    <row r="94" spans="1:10" ht="16.95" customHeight="1">
      <c r="A94" s="75">
        <v>20</v>
      </c>
      <c r="B94" s="80" t="s">
        <v>110</v>
      </c>
      <c r="C94" s="77" t="s">
        <v>121</v>
      </c>
      <c r="D94" s="78">
        <v>12</v>
      </c>
      <c r="E94" s="79"/>
      <c r="F94" s="79" t="e">
        <f t="shared" si="3"/>
        <v>#REF!</v>
      </c>
      <c r="G94" s="2"/>
      <c r="H94" s="37">
        <v>882</v>
      </c>
      <c r="I94" s="4">
        <f t="shared" si="4"/>
        <v>0</v>
      </c>
      <c r="J94" s="25">
        <f t="shared" si="2"/>
        <v>3</v>
      </c>
    </row>
    <row r="95" spans="1:10" ht="16.95" customHeight="1">
      <c r="A95" s="77">
        <v>21</v>
      </c>
      <c r="B95" s="80" t="s">
        <v>111</v>
      </c>
      <c r="C95" s="77" t="s">
        <v>122</v>
      </c>
      <c r="D95" s="78">
        <v>3</v>
      </c>
      <c r="E95" s="79"/>
      <c r="F95" s="79" t="e">
        <f t="shared" si="3"/>
        <v>#REF!</v>
      </c>
      <c r="G95" s="2"/>
      <c r="H95" s="38">
        <v>1869</v>
      </c>
      <c r="I95" s="4">
        <f t="shared" si="4"/>
        <v>0</v>
      </c>
      <c r="J95" s="25">
        <f t="shared" si="2"/>
        <v>3</v>
      </c>
    </row>
    <row r="96" spans="1:10" ht="34.950000000000003" customHeight="1">
      <c r="A96" s="75">
        <v>22</v>
      </c>
      <c r="B96" s="80" t="s">
        <v>112</v>
      </c>
      <c r="C96" s="77" t="s">
        <v>48</v>
      </c>
      <c r="D96" s="78">
        <v>1</v>
      </c>
      <c r="E96" s="79"/>
      <c r="F96" s="79" t="e">
        <f t="shared" si="3"/>
        <v>#REF!</v>
      </c>
      <c r="G96" s="2"/>
      <c r="H96" s="37">
        <v>82206</v>
      </c>
      <c r="I96" s="4">
        <f t="shared" si="4"/>
        <v>0</v>
      </c>
      <c r="J96" s="25">
        <f t="shared" si="2"/>
        <v>3</v>
      </c>
    </row>
    <row r="97" spans="1:10" ht="16.95" customHeight="1">
      <c r="A97" s="75">
        <v>23</v>
      </c>
      <c r="B97" s="80" t="s">
        <v>113</v>
      </c>
      <c r="C97" s="77" t="s">
        <v>48</v>
      </c>
      <c r="D97" s="78">
        <v>1</v>
      </c>
      <c r="E97" s="79"/>
      <c r="F97" s="79" t="e">
        <f t="shared" si="3"/>
        <v>#REF!</v>
      </c>
      <c r="G97" s="2"/>
      <c r="H97" s="37">
        <v>142723</v>
      </c>
      <c r="I97" s="4">
        <f t="shared" si="4"/>
        <v>0</v>
      </c>
      <c r="J97" s="25">
        <f t="shared" si="2"/>
        <v>3</v>
      </c>
    </row>
    <row r="98" spans="1:10" ht="16.95" customHeight="1">
      <c r="A98" s="75">
        <v>24</v>
      </c>
      <c r="B98" s="80" t="s">
        <v>114</v>
      </c>
      <c r="C98" s="77" t="s">
        <v>48</v>
      </c>
      <c r="D98" s="78">
        <v>1</v>
      </c>
      <c r="E98" s="79"/>
      <c r="F98" s="79" t="e">
        <f t="shared" si="3"/>
        <v>#REF!</v>
      </c>
      <c r="G98" s="2"/>
      <c r="H98" s="37">
        <v>37290</v>
      </c>
      <c r="I98" s="4">
        <f t="shared" si="4"/>
        <v>0</v>
      </c>
      <c r="J98" s="25">
        <f t="shared" si="2"/>
        <v>3</v>
      </c>
    </row>
    <row r="99" spans="1:10" ht="16.95" customHeight="1">
      <c r="A99" s="75">
        <v>25</v>
      </c>
      <c r="B99" s="80" t="s">
        <v>115</v>
      </c>
      <c r="C99" s="77" t="s">
        <v>48</v>
      </c>
      <c r="D99" s="78">
        <v>1</v>
      </c>
      <c r="E99" s="79"/>
      <c r="F99" s="79" t="e">
        <f t="shared" si="3"/>
        <v>#REF!</v>
      </c>
      <c r="G99" s="2"/>
      <c r="H99" s="37">
        <v>99394</v>
      </c>
      <c r="I99" s="4">
        <f t="shared" si="4"/>
        <v>0</v>
      </c>
      <c r="J99" s="25">
        <f t="shared" si="2"/>
        <v>3</v>
      </c>
    </row>
    <row r="100" spans="1:10" ht="34.950000000000003" customHeight="1">
      <c r="A100" s="75">
        <v>26</v>
      </c>
      <c r="B100" s="80" t="s">
        <v>116</v>
      </c>
      <c r="C100" s="77" t="s">
        <v>48</v>
      </c>
      <c r="D100" s="78">
        <v>1</v>
      </c>
      <c r="E100" s="79"/>
      <c r="F100" s="79" t="e">
        <f t="shared" si="3"/>
        <v>#REF!</v>
      </c>
      <c r="G100" s="2"/>
      <c r="H100" s="37">
        <v>21334</v>
      </c>
      <c r="I100" s="4">
        <f t="shared" si="4"/>
        <v>0</v>
      </c>
      <c r="J100" s="25">
        <f t="shared" si="2"/>
        <v>3</v>
      </c>
    </row>
    <row r="101" spans="1:10" ht="16.95" customHeight="1">
      <c r="A101" s="75">
        <v>27</v>
      </c>
      <c r="B101" s="80" t="s">
        <v>117</v>
      </c>
      <c r="C101" s="77" t="s">
        <v>48</v>
      </c>
      <c r="D101" s="78">
        <v>1</v>
      </c>
      <c r="E101" s="79"/>
      <c r="F101" s="79" t="e">
        <f t="shared" si="3"/>
        <v>#REF!</v>
      </c>
      <c r="G101" s="2"/>
      <c r="H101" s="37">
        <v>29620</v>
      </c>
      <c r="I101" s="4">
        <f t="shared" si="4"/>
        <v>0</v>
      </c>
      <c r="J101" s="25">
        <f t="shared" si="2"/>
        <v>3</v>
      </c>
    </row>
    <row r="102" spans="1:10" ht="16.95" customHeight="1">
      <c r="A102" s="75">
        <v>28</v>
      </c>
      <c r="B102" s="80" t="s">
        <v>118</v>
      </c>
      <c r="C102" s="77" t="s">
        <v>48</v>
      </c>
      <c r="D102" s="78">
        <v>1</v>
      </c>
      <c r="E102" s="79"/>
      <c r="F102" s="79" t="e">
        <f t="shared" si="3"/>
        <v>#REF!</v>
      </c>
      <c r="G102" s="2"/>
      <c r="H102" s="37">
        <v>18506</v>
      </c>
      <c r="I102" s="4">
        <f t="shared" si="4"/>
        <v>0</v>
      </c>
      <c r="J102" s="25">
        <f t="shared" si="2"/>
        <v>3</v>
      </c>
    </row>
    <row r="103" spans="1:10" ht="16.95" customHeight="1">
      <c r="A103" s="75">
        <v>29</v>
      </c>
      <c r="B103" s="80" t="s">
        <v>119</v>
      </c>
      <c r="C103" s="77" t="s">
        <v>48</v>
      </c>
      <c r="D103" s="78">
        <v>1</v>
      </c>
      <c r="E103" s="79"/>
      <c r="F103" s="79" t="e">
        <f t="shared" si="3"/>
        <v>#REF!</v>
      </c>
      <c r="G103" s="2"/>
      <c r="H103" s="37">
        <v>34381</v>
      </c>
      <c r="I103" s="4">
        <f t="shared" si="4"/>
        <v>0</v>
      </c>
      <c r="J103" s="25">
        <f t="shared" si="2"/>
        <v>3</v>
      </c>
    </row>
    <row r="104" spans="1:10" ht="16.95" customHeight="1">
      <c r="A104" s="75" t="s">
        <v>79</v>
      </c>
      <c r="B104" s="80" t="s">
        <v>80</v>
      </c>
      <c r="C104" s="77" t="s">
        <v>48</v>
      </c>
      <c r="D104" s="78">
        <v>1</v>
      </c>
      <c r="E104" s="79">
        <f t="shared" ref="E104:E107" si="5">1/120</f>
        <v>8.3333333333333332E-3</v>
      </c>
      <c r="F104" s="79" t="e">
        <f t="shared" si="3"/>
        <v>#REF!</v>
      </c>
      <c r="G104" s="2"/>
      <c r="H104" s="37">
        <v>21395</v>
      </c>
      <c r="I104" s="4">
        <f t="shared" si="4"/>
        <v>178.29166666666666</v>
      </c>
      <c r="J104" s="25">
        <f t="shared" si="2"/>
        <v>3</v>
      </c>
    </row>
    <row r="105" spans="1:10" ht="16.95" customHeight="1">
      <c r="A105" s="75" t="s">
        <v>81</v>
      </c>
      <c r="B105" s="80" t="s">
        <v>82</v>
      </c>
      <c r="C105" s="77" t="s">
        <v>48</v>
      </c>
      <c r="D105" s="78">
        <v>1</v>
      </c>
      <c r="E105" s="79">
        <f t="shared" si="5"/>
        <v>8.3333333333333332E-3</v>
      </c>
      <c r="F105" s="79" t="e">
        <f t="shared" si="3"/>
        <v>#REF!</v>
      </c>
      <c r="G105" s="2"/>
      <c r="H105" s="37">
        <v>21395</v>
      </c>
      <c r="I105" s="4">
        <f t="shared" si="4"/>
        <v>178.29166666666666</v>
      </c>
      <c r="J105" s="25">
        <f t="shared" si="2"/>
        <v>3</v>
      </c>
    </row>
    <row r="106" spans="1:10" ht="16.95" customHeight="1">
      <c r="A106" s="75" t="s">
        <v>83</v>
      </c>
      <c r="B106" s="80" t="s">
        <v>84</v>
      </c>
      <c r="C106" s="77" t="s">
        <v>48</v>
      </c>
      <c r="D106" s="78">
        <v>1</v>
      </c>
      <c r="E106" s="79">
        <f t="shared" si="5"/>
        <v>8.3333333333333332E-3</v>
      </c>
      <c r="F106" s="79" t="e">
        <f t="shared" si="3"/>
        <v>#REF!</v>
      </c>
      <c r="G106" s="2"/>
      <c r="H106" s="37">
        <v>149765</v>
      </c>
      <c r="I106" s="4">
        <f t="shared" si="4"/>
        <v>1248.0416666666667</v>
      </c>
      <c r="J106" s="25">
        <f t="shared" si="2"/>
        <v>3</v>
      </c>
    </row>
    <row r="107" spans="1:10" ht="16.95" customHeight="1">
      <c r="A107" s="75" t="s">
        <v>85</v>
      </c>
      <c r="B107" s="80" t="s">
        <v>86</v>
      </c>
      <c r="C107" s="77" t="s">
        <v>48</v>
      </c>
      <c r="D107" s="78">
        <v>1</v>
      </c>
      <c r="E107" s="79">
        <f t="shared" si="5"/>
        <v>8.3333333333333332E-3</v>
      </c>
      <c r="F107" s="79" t="e">
        <f t="shared" si="3"/>
        <v>#REF!</v>
      </c>
      <c r="G107" s="2"/>
      <c r="H107" s="37">
        <v>6996</v>
      </c>
      <c r="I107" s="4">
        <f t="shared" si="4"/>
        <v>58.3</v>
      </c>
      <c r="J107" s="25">
        <f t="shared" si="2"/>
        <v>3</v>
      </c>
    </row>
    <row r="108" spans="1:10" ht="16.95" customHeight="1">
      <c r="A108" s="75" t="s">
        <v>87</v>
      </c>
      <c r="B108" s="80" t="s">
        <v>88</v>
      </c>
      <c r="C108" s="77" t="s">
        <v>48</v>
      </c>
      <c r="D108" s="78">
        <v>1</v>
      </c>
      <c r="E108" s="79">
        <f>1/120</f>
        <v>8.3333333333333332E-3</v>
      </c>
      <c r="F108" s="79" t="e">
        <f t="shared" si="3"/>
        <v>#REF!</v>
      </c>
      <c r="G108" s="2"/>
      <c r="H108" s="37">
        <v>116952</v>
      </c>
      <c r="I108" s="4">
        <f t="shared" si="4"/>
        <v>974.6</v>
      </c>
      <c r="J108" s="25">
        <f t="shared" si="2"/>
        <v>3</v>
      </c>
    </row>
    <row r="109" spans="1:10" ht="16.95" customHeight="1">
      <c r="A109" s="95" t="s">
        <v>23</v>
      </c>
      <c r="B109" s="95"/>
      <c r="C109" s="50"/>
      <c r="D109" s="50"/>
      <c r="E109" s="50"/>
      <c r="F109" s="50"/>
      <c r="G109" s="50"/>
      <c r="H109" s="3" t="s">
        <v>24</v>
      </c>
      <c r="I109" s="5">
        <f>SUM(I74:I108)</f>
        <v>2637.5250000000001</v>
      </c>
      <c r="J109" s="25">
        <f t="shared" si="2"/>
        <v>3</v>
      </c>
    </row>
    <row r="110" spans="1:10" ht="16.95" customHeight="1">
      <c r="A110" s="96" t="s">
        <v>25</v>
      </c>
      <c r="B110" s="96"/>
      <c r="C110" s="50"/>
      <c r="D110" s="50"/>
      <c r="E110" s="50"/>
      <c r="F110" s="50"/>
      <c r="G110" s="50"/>
      <c r="J110" s="25">
        <f t="shared" si="2"/>
        <v>3</v>
      </c>
    </row>
    <row r="111" spans="1:10" ht="16.95" customHeight="1">
      <c r="A111" s="96" t="s">
        <v>26</v>
      </c>
      <c r="B111" s="96"/>
      <c r="C111" s="50"/>
      <c r="D111" s="50"/>
      <c r="E111" s="50"/>
      <c r="F111" s="50"/>
      <c r="G111" s="50"/>
      <c r="J111" s="25">
        <f t="shared" si="2"/>
        <v>3</v>
      </c>
    </row>
    <row r="112" spans="1:10" ht="16.95" customHeight="1">
      <c r="A112" s="95" t="s">
        <v>27</v>
      </c>
      <c r="B112" s="95"/>
      <c r="C112" s="95"/>
      <c r="D112" s="95"/>
      <c r="E112" s="95"/>
      <c r="F112" s="95"/>
      <c r="G112" s="95"/>
      <c r="J112" s="25">
        <f t="shared" si="2"/>
        <v>3</v>
      </c>
    </row>
    <row r="113" spans="1:10" ht="16.95" customHeight="1">
      <c r="A113" s="94" t="s">
        <v>28</v>
      </c>
      <c r="B113" s="94"/>
      <c r="C113" s="51" t="s">
        <v>29</v>
      </c>
      <c r="D113" s="51" t="s">
        <v>30</v>
      </c>
      <c r="E113" s="51" t="s">
        <v>18</v>
      </c>
      <c r="F113" s="51" t="s">
        <v>31</v>
      </c>
      <c r="G113" s="51" t="s">
        <v>20</v>
      </c>
      <c r="J113" s="25">
        <f t="shared" si="2"/>
        <v>3</v>
      </c>
    </row>
    <row r="114" spans="1:10" ht="16.95" customHeight="1">
      <c r="A114" s="96"/>
      <c r="B114" s="96"/>
      <c r="C114" s="50"/>
      <c r="D114" s="50"/>
      <c r="E114" s="50"/>
      <c r="F114" s="50"/>
      <c r="G114" s="51"/>
      <c r="J114" s="25">
        <f t="shared" si="2"/>
        <v>3</v>
      </c>
    </row>
    <row r="115" spans="1:10" ht="16.95" customHeight="1">
      <c r="A115" s="97"/>
      <c r="B115" s="97"/>
      <c r="C115" s="50"/>
      <c r="D115" s="50"/>
      <c r="E115" s="50"/>
      <c r="F115" s="51"/>
      <c r="G115" s="51"/>
      <c r="J115" s="25">
        <f t="shared" si="2"/>
        <v>3</v>
      </c>
    </row>
    <row r="116" spans="1:10" ht="16.95" customHeight="1">
      <c r="A116" s="95" t="s">
        <v>32</v>
      </c>
      <c r="B116" s="95"/>
      <c r="C116" s="95"/>
      <c r="D116" s="95"/>
      <c r="E116" s="95"/>
      <c r="F116" s="95"/>
      <c r="G116" s="95"/>
      <c r="J116" s="25">
        <f t="shared" si="2"/>
        <v>4</v>
      </c>
    </row>
    <row r="117" spans="1:10" ht="16.95" customHeight="1">
      <c r="A117" s="51" t="s">
        <v>33</v>
      </c>
      <c r="B117" s="51" t="s">
        <v>34</v>
      </c>
      <c r="C117" s="94" t="s">
        <v>35</v>
      </c>
      <c r="D117" s="94"/>
      <c r="E117" s="51" t="s">
        <v>36</v>
      </c>
      <c r="F117" s="51" t="s">
        <v>37</v>
      </c>
      <c r="G117" s="51" t="s">
        <v>38</v>
      </c>
      <c r="J117" s="25">
        <f t="shared" si="2"/>
        <v>4</v>
      </c>
    </row>
    <row r="118" spans="1:10" ht="16.95" customHeight="1">
      <c r="A118" s="51" t="s">
        <v>39</v>
      </c>
      <c r="B118" s="6"/>
      <c r="C118" s="94" t="e">
        <f>B118+C55</f>
        <v>#REF!</v>
      </c>
      <c r="D118" s="94"/>
      <c r="E118" s="51"/>
      <c r="F118" s="24"/>
      <c r="G118" s="24"/>
      <c r="J118" s="25">
        <f t="shared" si="2"/>
        <v>4</v>
      </c>
    </row>
    <row r="119" spans="1:10" ht="16.95" customHeight="1">
      <c r="A119" s="51" t="s">
        <v>40</v>
      </c>
      <c r="B119" s="6"/>
      <c r="C119" s="94" t="e">
        <f>B119+C56</f>
        <v>#REF!</v>
      </c>
      <c r="D119" s="94"/>
      <c r="E119" s="51"/>
      <c r="F119" s="24"/>
      <c r="G119" s="24"/>
      <c r="J119" s="25">
        <f t="shared" si="2"/>
        <v>4</v>
      </c>
    </row>
    <row r="120" spans="1:10" ht="36.6" customHeight="1">
      <c r="A120" s="95" t="s">
        <v>41</v>
      </c>
      <c r="B120" s="95"/>
      <c r="C120" s="95"/>
      <c r="D120" s="95"/>
      <c r="E120" s="95"/>
      <c r="F120" s="95"/>
      <c r="G120" s="95"/>
      <c r="J120" s="25">
        <f t="shared" si="2"/>
        <v>4</v>
      </c>
    </row>
    <row r="121" spans="1:10" ht="90" customHeight="1">
      <c r="A121" s="92" t="s">
        <v>42</v>
      </c>
      <c r="B121" s="92"/>
      <c r="C121" s="92"/>
      <c r="D121" s="92"/>
      <c r="E121" s="92"/>
      <c r="F121" s="92"/>
      <c r="G121" s="92"/>
      <c r="J121" s="25">
        <f t="shared" si="2"/>
        <v>4</v>
      </c>
    </row>
    <row r="122" spans="1:10" ht="16.95" customHeight="1">
      <c r="A122" s="95" t="s">
        <v>43</v>
      </c>
      <c r="B122" s="95"/>
      <c r="C122" s="95"/>
      <c r="D122" s="95"/>
      <c r="E122" s="95"/>
      <c r="F122" s="95"/>
      <c r="G122" s="95"/>
      <c r="J122" s="25">
        <f t="shared" si="2"/>
        <v>4</v>
      </c>
    </row>
    <row r="123" spans="1:10" ht="16.95" customHeight="1">
      <c r="A123" s="95" t="s">
        <v>44</v>
      </c>
      <c r="B123" s="95"/>
      <c r="C123" s="95"/>
      <c r="D123" s="95"/>
      <c r="E123" s="95"/>
      <c r="F123" s="95"/>
      <c r="G123" s="95"/>
      <c r="J123" s="25">
        <f t="shared" si="2"/>
        <v>4</v>
      </c>
    </row>
    <row r="124" spans="1:10" ht="16.95" customHeight="1">
      <c r="A124" s="91" t="s">
        <v>64</v>
      </c>
      <c r="B124" s="91"/>
      <c r="C124" s="91"/>
      <c r="D124" s="91"/>
      <c r="E124" s="91"/>
      <c r="F124" s="91"/>
      <c r="G124" s="91"/>
      <c r="J124" s="25">
        <f t="shared" si="2"/>
        <v>4</v>
      </c>
    </row>
    <row r="125" spans="1:10" ht="120.6" customHeight="1">
      <c r="A125" s="92" t="s">
        <v>45</v>
      </c>
      <c r="B125" s="92"/>
      <c r="C125" s="92"/>
      <c r="D125" s="92"/>
      <c r="E125" s="92"/>
      <c r="F125" s="92"/>
      <c r="G125" s="92"/>
      <c r="J125" s="25">
        <f t="shared" si="2"/>
        <v>4</v>
      </c>
    </row>
    <row r="126" spans="1:10" ht="140.4" customHeight="1">
      <c r="A126" s="93" t="s">
        <v>46</v>
      </c>
      <c r="B126" s="93"/>
      <c r="C126" s="93"/>
      <c r="D126" s="93"/>
      <c r="E126" s="93"/>
      <c r="F126" s="93"/>
      <c r="G126" s="93"/>
      <c r="J126" s="25">
        <f t="shared" si="2"/>
        <v>4</v>
      </c>
    </row>
    <row r="127" spans="1:10" ht="37.200000000000003" customHeight="1">
      <c r="A127" s="103" t="s">
        <v>0</v>
      </c>
      <c r="B127" s="103"/>
      <c r="C127" s="103"/>
      <c r="D127" s="103"/>
      <c r="E127" s="103"/>
      <c r="F127" s="103"/>
      <c r="G127" s="103"/>
      <c r="J127" s="25">
        <f t="shared" si="2"/>
        <v>5</v>
      </c>
    </row>
    <row r="128" spans="1:10" ht="16.95" customHeight="1">
      <c r="A128" s="1" t="s">
        <v>1</v>
      </c>
      <c r="B128" s="104">
        <f>B65+1</f>
        <v>4</v>
      </c>
      <c r="C128" s="104"/>
      <c r="D128" s="104"/>
      <c r="E128" s="104"/>
      <c r="F128" s="104"/>
      <c r="G128" s="104"/>
      <c r="J128" s="25">
        <f t="shared" ref="J128:J191" si="6">J65+2</f>
        <v>5</v>
      </c>
    </row>
    <row r="129" spans="1:10" ht="16.95" customHeight="1">
      <c r="A129" s="1" t="s">
        <v>2</v>
      </c>
      <c r="B129" s="105" t="s">
        <v>63</v>
      </c>
      <c r="C129" s="105"/>
      <c r="D129" s="105"/>
      <c r="E129" s="106">
        <f>E66+1</f>
        <v>46206</v>
      </c>
      <c r="F129" s="106"/>
      <c r="G129" s="106"/>
      <c r="J129" s="25">
        <f t="shared" si="6"/>
        <v>5</v>
      </c>
    </row>
    <row r="130" spans="1:10" ht="16.95" customHeight="1">
      <c r="A130" s="53" t="s">
        <v>3</v>
      </c>
      <c r="B130" s="2" t="s">
        <v>67</v>
      </c>
      <c r="C130" s="98" t="s">
        <v>4</v>
      </c>
      <c r="D130" s="98"/>
      <c r="E130" s="98" t="s">
        <v>47</v>
      </c>
      <c r="F130" s="98"/>
      <c r="G130" s="98"/>
      <c r="J130" s="25">
        <f t="shared" si="6"/>
        <v>5</v>
      </c>
    </row>
    <row r="131" spans="1:10" ht="16.95" customHeight="1">
      <c r="A131" s="53" t="s">
        <v>5</v>
      </c>
      <c r="B131" s="54">
        <v>120</v>
      </c>
      <c r="C131" s="98" t="s">
        <v>6</v>
      </c>
      <c r="D131" s="98"/>
      <c r="E131" s="98" t="s">
        <v>123</v>
      </c>
      <c r="F131" s="98"/>
      <c r="G131" s="98"/>
      <c r="J131" s="25">
        <f t="shared" si="6"/>
        <v>5</v>
      </c>
    </row>
    <row r="132" spans="1:10" ht="16.95" customHeight="1">
      <c r="A132" s="53" t="s">
        <v>7</v>
      </c>
      <c r="B132" s="54">
        <f>B128</f>
        <v>4</v>
      </c>
      <c r="C132" s="100" t="s">
        <v>8</v>
      </c>
      <c r="D132" s="100"/>
      <c r="E132" s="101">
        <f>B131-B132</f>
        <v>116</v>
      </c>
      <c r="F132" s="101"/>
      <c r="G132" s="101"/>
      <c r="J132" s="25">
        <f t="shared" si="6"/>
        <v>5</v>
      </c>
    </row>
    <row r="133" spans="1:10" ht="16.95" customHeight="1">
      <c r="A133" s="53" t="s">
        <v>9</v>
      </c>
      <c r="B133" s="55">
        <v>46204</v>
      </c>
      <c r="C133" s="98" t="s">
        <v>10</v>
      </c>
      <c r="D133" s="98"/>
      <c r="E133" s="102">
        <f>B133+B131-1</f>
        <v>46323</v>
      </c>
      <c r="F133" s="102"/>
      <c r="G133" s="102"/>
      <c r="J133" s="25">
        <f t="shared" si="6"/>
        <v>5</v>
      </c>
    </row>
    <row r="134" spans="1:10" ht="16.95" customHeight="1">
      <c r="A134" s="53" t="s">
        <v>11</v>
      </c>
      <c r="B134" s="56" t="e">
        <f>HLOOKUP(B128,進度表!$Q$2:$Z$3,2,1)+B71</f>
        <v>#REF!</v>
      </c>
      <c r="C134" s="98" t="s">
        <v>12</v>
      </c>
      <c r="D134" s="98"/>
      <c r="E134" s="99" t="e">
        <f>I172/I134+E71</f>
        <v>#REF!</v>
      </c>
      <c r="F134" s="99"/>
      <c r="G134" s="99"/>
      <c r="H134" s="3" t="s">
        <v>62</v>
      </c>
      <c r="I134" s="1">
        <v>2456000</v>
      </c>
      <c r="J134" s="25">
        <f t="shared" si="6"/>
        <v>5</v>
      </c>
    </row>
    <row r="135" spans="1:10" ht="16.95" customHeight="1">
      <c r="A135" s="98" t="s">
        <v>13</v>
      </c>
      <c r="B135" s="98"/>
      <c r="C135" s="98"/>
      <c r="D135" s="98"/>
      <c r="E135" s="98"/>
      <c r="F135" s="98"/>
      <c r="G135" s="98"/>
      <c r="J135" s="25">
        <f t="shared" si="6"/>
        <v>5</v>
      </c>
    </row>
    <row r="136" spans="1:10" ht="16.95" customHeight="1">
      <c r="A136" s="52" t="s">
        <v>14</v>
      </c>
      <c r="B136" s="52" t="s">
        <v>15</v>
      </c>
      <c r="C136" s="52" t="s">
        <v>16</v>
      </c>
      <c r="D136" s="52" t="s">
        <v>17</v>
      </c>
      <c r="E136" s="52" t="s">
        <v>18</v>
      </c>
      <c r="F136" s="52" t="s">
        <v>19</v>
      </c>
      <c r="G136" s="52" t="s">
        <v>20</v>
      </c>
      <c r="H136" s="3" t="s">
        <v>21</v>
      </c>
      <c r="I136" s="3" t="s">
        <v>22</v>
      </c>
      <c r="J136" s="25">
        <f t="shared" si="6"/>
        <v>5</v>
      </c>
    </row>
    <row r="137" spans="1:10" ht="16.95" customHeight="1">
      <c r="A137" s="75" t="s">
        <v>65</v>
      </c>
      <c r="B137" s="76" t="s">
        <v>69</v>
      </c>
      <c r="C137" s="77"/>
      <c r="D137" s="78"/>
      <c r="E137" s="79"/>
      <c r="F137" s="79"/>
      <c r="G137" s="2"/>
      <c r="H137" s="37"/>
      <c r="I137" s="4"/>
      <c r="J137" s="25">
        <f t="shared" si="6"/>
        <v>5</v>
      </c>
    </row>
    <row r="138" spans="1:10" ht="34.950000000000003" customHeight="1">
      <c r="A138" s="75">
        <v>1</v>
      </c>
      <c r="B138" s="80" t="s">
        <v>91</v>
      </c>
      <c r="C138" s="77" t="s">
        <v>48</v>
      </c>
      <c r="D138" s="78">
        <v>1</v>
      </c>
      <c r="E138" s="79"/>
      <c r="F138" s="79" t="e">
        <f t="shared" ref="F138:F171" si="7">E138+F75</f>
        <v>#REF!</v>
      </c>
      <c r="G138" s="2"/>
      <c r="H138" s="37">
        <v>10508</v>
      </c>
      <c r="I138" s="4">
        <f>H138*E138</f>
        <v>0</v>
      </c>
      <c r="J138" s="25">
        <f t="shared" si="6"/>
        <v>5</v>
      </c>
    </row>
    <row r="139" spans="1:10" ht="34.799999999999997" customHeight="1">
      <c r="A139" s="75">
        <v>2</v>
      </c>
      <c r="B139" s="80" t="s">
        <v>92</v>
      </c>
      <c r="C139" s="77" t="s">
        <v>48</v>
      </c>
      <c r="D139" s="78">
        <v>1</v>
      </c>
      <c r="E139" s="79"/>
      <c r="F139" s="79" t="e">
        <f t="shared" si="7"/>
        <v>#REF!</v>
      </c>
      <c r="G139" s="2"/>
      <c r="H139" s="37">
        <v>13223</v>
      </c>
      <c r="I139" s="4">
        <f>H139*E139</f>
        <v>0</v>
      </c>
      <c r="J139" s="25">
        <f t="shared" si="6"/>
        <v>5</v>
      </c>
    </row>
    <row r="140" spans="1:10" ht="53.4" customHeight="1">
      <c r="A140" s="75">
        <v>3</v>
      </c>
      <c r="B140" s="80" t="s">
        <v>93</v>
      </c>
      <c r="C140" s="77" t="s">
        <v>48</v>
      </c>
      <c r="D140" s="78">
        <v>1</v>
      </c>
      <c r="E140" s="79"/>
      <c r="F140" s="79" t="e">
        <f t="shared" si="7"/>
        <v>#REF!</v>
      </c>
      <c r="G140" s="2"/>
      <c r="H140" s="37">
        <v>310497</v>
      </c>
      <c r="I140" s="4">
        <f t="shared" ref="I140:I171" si="8">H140*E140</f>
        <v>0</v>
      </c>
      <c r="J140" s="25">
        <f t="shared" si="6"/>
        <v>5</v>
      </c>
    </row>
    <row r="141" spans="1:10" ht="16.95" customHeight="1">
      <c r="A141" s="75">
        <v>4</v>
      </c>
      <c r="B141" s="80" t="s">
        <v>94</v>
      </c>
      <c r="C141" s="77" t="s">
        <v>48</v>
      </c>
      <c r="D141" s="78">
        <v>1</v>
      </c>
      <c r="E141" s="79"/>
      <c r="F141" s="79" t="e">
        <f t="shared" si="7"/>
        <v>#REF!</v>
      </c>
      <c r="G141" s="2"/>
      <c r="H141" s="37">
        <v>8375</v>
      </c>
      <c r="I141" s="4">
        <f t="shared" si="8"/>
        <v>0</v>
      </c>
      <c r="J141" s="25">
        <f t="shared" si="6"/>
        <v>5</v>
      </c>
    </row>
    <row r="142" spans="1:10" ht="16.95" customHeight="1">
      <c r="A142" s="75">
        <v>5</v>
      </c>
      <c r="B142" s="80" t="s">
        <v>95</v>
      </c>
      <c r="C142" s="77" t="s">
        <v>48</v>
      </c>
      <c r="D142" s="78">
        <v>1</v>
      </c>
      <c r="E142" s="79"/>
      <c r="F142" s="79" t="e">
        <f t="shared" si="7"/>
        <v>#REF!</v>
      </c>
      <c r="G142" s="2"/>
      <c r="H142" s="37">
        <v>51618</v>
      </c>
      <c r="I142" s="4">
        <f t="shared" si="8"/>
        <v>0</v>
      </c>
      <c r="J142" s="25">
        <f t="shared" si="6"/>
        <v>5</v>
      </c>
    </row>
    <row r="143" spans="1:10" ht="16.95" customHeight="1">
      <c r="A143" s="75">
        <v>6</v>
      </c>
      <c r="B143" s="80" t="s">
        <v>96</v>
      </c>
      <c r="C143" s="77" t="s">
        <v>50</v>
      </c>
      <c r="D143" s="78">
        <v>11.55</v>
      </c>
      <c r="E143" s="79"/>
      <c r="F143" s="79" t="e">
        <f t="shared" si="7"/>
        <v>#REF!</v>
      </c>
      <c r="G143" s="2"/>
      <c r="H143" s="37">
        <v>1188</v>
      </c>
      <c r="I143" s="4">
        <f t="shared" si="8"/>
        <v>0</v>
      </c>
      <c r="J143" s="25">
        <f t="shared" si="6"/>
        <v>5</v>
      </c>
    </row>
    <row r="144" spans="1:10" ht="34.950000000000003" customHeight="1">
      <c r="A144" s="75">
        <v>7</v>
      </c>
      <c r="B144" s="80" t="s">
        <v>97</v>
      </c>
      <c r="C144" s="77" t="s">
        <v>48</v>
      </c>
      <c r="D144" s="78">
        <v>1</v>
      </c>
      <c r="E144" s="79"/>
      <c r="F144" s="79" t="e">
        <f t="shared" si="7"/>
        <v>#REF!</v>
      </c>
      <c r="G144" s="2"/>
      <c r="H144" s="37">
        <v>21157</v>
      </c>
      <c r="I144" s="4">
        <f t="shared" si="8"/>
        <v>0</v>
      </c>
      <c r="J144" s="25">
        <f t="shared" si="6"/>
        <v>5</v>
      </c>
    </row>
    <row r="145" spans="1:10" ht="16.95" customHeight="1">
      <c r="A145" s="75">
        <v>8</v>
      </c>
      <c r="B145" s="80" t="s">
        <v>98</v>
      </c>
      <c r="C145" s="77" t="s">
        <v>50</v>
      </c>
      <c r="D145" s="78">
        <v>387</v>
      </c>
      <c r="E145" s="79"/>
      <c r="F145" s="79" t="e">
        <f t="shared" si="7"/>
        <v>#REF!</v>
      </c>
      <c r="G145" s="2"/>
      <c r="H145" s="37">
        <v>705</v>
      </c>
      <c r="I145" s="4">
        <f t="shared" si="8"/>
        <v>0</v>
      </c>
      <c r="J145" s="25">
        <f t="shared" si="6"/>
        <v>5</v>
      </c>
    </row>
    <row r="146" spans="1:10" ht="16.95" customHeight="1">
      <c r="A146" s="75">
        <v>9</v>
      </c>
      <c r="B146" s="80" t="s">
        <v>99</v>
      </c>
      <c r="C146" s="77" t="s">
        <v>50</v>
      </c>
      <c r="D146" s="78">
        <v>170</v>
      </c>
      <c r="E146" s="79"/>
      <c r="F146" s="79" t="e">
        <f t="shared" si="7"/>
        <v>#REF!</v>
      </c>
      <c r="G146" s="2"/>
      <c r="H146" s="37">
        <v>617</v>
      </c>
      <c r="I146" s="4">
        <f t="shared" si="8"/>
        <v>0</v>
      </c>
      <c r="J146" s="25">
        <f t="shared" si="6"/>
        <v>5</v>
      </c>
    </row>
    <row r="147" spans="1:10" ht="16.95" customHeight="1">
      <c r="A147" s="75">
        <v>10</v>
      </c>
      <c r="B147" s="80" t="s">
        <v>100</v>
      </c>
      <c r="C147" s="77" t="s">
        <v>66</v>
      </c>
      <c r="D147" s="78">
        <v>15</v>
      </c>
      <c r="E147" s="79"/>
      <c r="F147" s="79" t="e">
        <f t="shared" si="7"/>
        <v>#REF!</v>
      </c>
      <c r="G147" s="2"/>
      <c r="H147" s="37">
        <v>617</v>
      </c>
      <c r="I147" s="4">
        <f t="shared" si="8"/>
        <v>0</v>
      </c>
      <c r="J147" s="25">
        <f t="shared" si="6"/>
        <v>5</v>
      </c>
    </row>
    <row r="148" spans="1:10" ht="16.95" customHeight="1">
      <c r="A148" s="75">
        <v>11</v>
      </c>
      <c r="B148" s="80" t="s">
        <v>101</v>
      </c>
      <c r="C148" s="77" t="s">
        <v>50</v>
      </c>
      <c r="D148" s="78">
        <v>75</v>
      </c>
      <c r="E148" s="79"/>
      <c r="F148" s="79" t="e">
        <f t="shared" si="7"/>
        <v>#REF!</v>
      </c>
      <c r="G148" s="2"/>
      <c r="H148" s="37">
        <v>1146</v>
      </c>
      <c r="I148" s="4">
        <f t="shared" si="8"/>
        <v>0</v>
      </c>
      <c r="J148" s="25">
        <f t="shared" si="6"/>
        <v>5</v>
      </c>
    </row>
    <row r="149" spans="1:10" ht="16.95" customHeight="1">
      <c r="A149" s="75">
        <v>12</v>
      </c>
      <c r="B149" s="80" t="s">
        <v>102</v>
      </c>
      <c r="C149" s="77" t="s">
        <v>50</v>
      </c>
      <c r="D149" s="78">
        <v>5</v>
      </c>
      <c r="E149" s="79"/>
      <c r="F149" s="79" t="e">
        <f t="shared" si="7"/>
        <v>#REF!</v>
      </c>
      <c r="G149" s="2"/>
      <c r="H149" s="37">
        <v>1455</v>
      </c>
      <c r="I149" s="4">
        <f t="shared" si="8"/>
        <v>0</v>
      </c>
      <c r="J149" s="25">
        <f t="shared" si="6"/>
        <v>5</v>
      </c>
    </row>
    <row r="150" spans="1:10" ht="16.95" customHeight="1">
      <c r="A150" s="75">
        <v>13</v>
      </c>
      <c r="B150" s="80" t="s">
        <v>103</v>
      </c>
      <c r="C150" s="77" t="s">
        <v>50</v>
      </c>
      <c r="D150" s="78">
        <v>217</v>
      </c>
      <c r="E150" s="79"/>
      <c r="F150" s="79" t="e">
        <f t="shared" si="7"/>
        <v>#REF!</v>
      </c>
      <c r="G150" s="2"/>
      <c r="H150" s="37">
        <v>1410</v>
      </c>
      <c r="I150" s="4">
        <f t="shared" si="8"/>
        <v>0</v>
      </c>
      <c r="J150" s="25">
        <f t="shared" si="6"/>
        <v>5</v>
      </c>
    </row>
    <row r="151" spans="1:10" ht="16.95" customHeight="1">
      <c r="A151" s="75">
        <v>14</v>
      </c>
      <c r="B151" s="80" t="s">
        <v>104</v>
      </c>
      <c r="C151" s="77" t="s">
        <v>49</v>
      </c>
      <c r="D151" s="78">
        <v>84</v>
      </c>
      <c r="E151" s="79"/>
      <c r="F151" s="79" t="e">
        <f t="shared" si="7"/>
        <v>#REF!</v>
      </c>
      <c r="G151" s="2"/>
      <c r="H151" s="37">
        <v>529</v>
      </c>
      <c r="I151" s="4">
        <f t="shared" si="8"/>
        <v>0</v>
      </c>
      <c r="J151" s="25">
        <f t="shared" si="6"/>
        <v>5</v>
      </c>
    </row>
    <row r="152" spans="1:10" ht="16.95" customHeight="1">
      <c r="A152" s="75">
        <v>15</v>
      </c>
      <c r="B152" s="80" t="s">
        <v>105</v>
      </c>
      <c r="C152" s="77" t="s">
        <v>50</v>
      </c>
      <c r="D152" s="78">
        <v>1</v>
      </c>
      <c r="E152" s="79"/>
      <c r="F152" s="79" t="e">
        <f t="shared" si="7"/>
        <v>#REF!</v>
      </c>
      <c r="G152" s="2"/>
      <c r="H152" s="37">
        <v>1146</v>
      </c>
      <c r="I152" s="4">
        <f t="shared" si="8"/>
        <v>0</v>
      </c>
      <c r="J152" s="25">
        <f t="shared" si="6"/>
        <v>5</v>
      </c>
    </row>
    <row r="153" spans="1:10" ht="34.799999999999997" customHeight="1">
      <c r="A153" s="75">
        <v>16</v>
      </c>
      <c r="B153" s="80" t="s">
        <v>106</v>
      </c>
      <c r="C153" s="77" t="s">
        <v>50</v>
      </c>
      <c r="D153" s="78">
        <v>314</v>
      </c>
      <c r="E153" s="79"/>
      <c r="F153" s="79" t="e">
        <f t="shared" si="7"/>
        <v>#REF!</v>
      </c>
      <c r="G153" s="2"/>
      <c r="H153" s="37">
        <v>185</v>
      </c>
      <c r="I153" s="4">
        <f t="shared" si="8"/>
        <v>0</v>
      </c>
      <c r="J153" s="25">
        <f t="shared" si="6"/>
        <v>5</v>
      </c>
    </row>
    <row r="154" spans="1:10" ht="16.95" customHeight="1">
      <c r="A154" s="75">
        <v>17</v>
      </c>
      <c r="B154" s="80" t="s">
        <v>107</v>
      </c>
      <c r="C154" s="77" t="s">
        <v>48</v>
      </c>
      <c r="D154" s="78">
        <v>1</v>
      </c>
      <c r="E154" s="79"/>
      <c r="F154" s="79" t="e">
        <f t="shared" si="7"/>
        <v>#REF!</v>
      </c>
      <c r="G154" s="2"/>
      <c r="H154" s="37">
        <v>89918</v>
      </c>
      <c r="I154" s="4">
        <f t="shared" si="8"/>
        <v>0</v>
      </c>
      <c r="J154" s="25">
        <f t="shared" si="6"/>
        <v>5</v>
      </c>
    </row>
    <row r="155" spans="1:10" ht="16.95" customHeight="1">
      <c r="A155" s="75">
        <v>18</v>
      </c>
      <c r="B155" s="80" t="s">
        <v>108</v>
      </c>
      <c r="C155" s="77" t="s">
        <v>120</v>
      </c>
      <c r="D155" s="78">
        <v>15</v>
      </c>
      <c r="E155" s="79"/>
      <c r="F155" s="79" t="e">
        <f t="shared" si="7"/>
        <v>#REF!</v>
      </c>
      <c r="G155" s="2"/>
      <c r="H155" s="37">
        <v>661</v>
      </c>
      <c r="I155" s="4">
        <f t="shared" si="8"/>
        <v>0</v>
      </c>
      <c r="J155" s="25">
        <f t="shared" si="6"/>
        <v>5</v>
      </c>
    </row>
    <row r="156" spans="1:10" ht="16.95" customHeight="1">
      <c r="A156" s="75">
        <v>19</v>
      </c>
      <c r="B156" s="80" t="s">
        <v>109</v>
      </c>
      <c r="C156" s="77" t="s">
        <v>50</v>
      </c>
      <c r="D156" s="78">
        <v>82</v>
      </c>
      <c r="E156" s="79"/>
      <c r="F156" s="79" t="e">
        <f t="shared" si="7"/>
        <v>#REF!</v>
      </c>
      <c r="G156" s="2"/>
      <c r="H156" s="37">
        <v>2909</v>
      </c>
      <c r="I156" s="4">
        <f t="shared" si="8"/>
        <v>0</v>
      </c>
      <c r="J156" s="25">
        <f t="shared" si="6"/>
        <v>5</v>
      </c>
    </row>
    <row r="157" spans="1:10" ht="16.95" customHeight="1">
      <c r="A157" s="75">
        <v>20</v>
      </c>
      <c r="B157" s="80" t="s">
        <v>110</v>
      </c>
      <c r="C157" s="77" t="s">
        <v>121</v>
      </c>
      <c r="D157" s="78">
        <v>12</v>
      </c>
      <c r="E157" s="79"/>
      <c r="F157" s="79" t="e">
        <f t="shared" si="7"/>
        <v>#REF!</v>
      </c>
      <c r="G157" s="2"/>
      <c r="H157" s="37">
        <v>882</v>
      </c>
      <c r="I157" s="4">
        <f t="shared" si="8"/>
        <v>0</v>
      </c>
      <c r="J157" s="25">
        <f t="shared" si="6"/>
        <v>5</v>
      </c>
    </row>
    <row r="158" spans="1:10" ht="16.95" customHeight="1">
      <c r="A158" s="77">
        <v>21</v>
      </c>
      <c r="B158" s="80" t="s">
        <v>111</v>
      </c>
      <c r="C158" s="77" t="s">
        <v>122</v>
      </c>
      <c r="D158" s="78">
        <v>3</v>
      </c>
      <c r="E158" s="79"/>
      <c r="F158" s="79" t="e">
        <f t="shared" si="7"/>
        <v>#REF!</v>
      </c>
      <c r="G158" s="2"/>
      <c r="H158" s="38">
        <v>1869</v>
      </c>
      <c r="I158" s="4">
        <f t="shared" si="8"/>
        <v>0</v>
      </c>
      <c r="J158" s="25">
        <f t="shared" si="6"/>
        <v>5</v>
      </c>
    </row>
    <row r="159" spans="1:10" ht="34.950000000000003" customHeight="1">
      <c r="A159" s="75">
        <v>22</v>
      </c>
      <c r="B159" s="80" t="s">
        <v>112</v>
      </c>
      <c r="C159" s="77" t="s">
        <v>48</v>
      </c>
      <c r="D159" s="78">
        <v>1</v>
      </c>
      <c r="E159" s="79"/>
      <c r="F159" s="79" t="e">
        <f t="shared" si="7"/>
        <v>#REF!</v>
      </c>
      <c r="G159" s="2"/>
      <c r="H159" s="37">
        <v>82206</v>
      </c>
      <c r="I159" s="4">
        <f t="shared" si="8"/>
        <v>0</v>
      </c>
      <c r="J159" s="25">
        <f t="shared" si="6"/>
        <v>5</v>
      </c>
    </row>
    <row r="160" spans="1:10" ht="16.95" customHeight="1">
      <c r="A160" s="75">
        <v>23</v>
      </c>
      <c r="B160" s="80" t="s">
        <v>113</v>
      </c>
      <c r="C160" s="77" t="s">
        <v>48</v>
      </c>
      <c r="D160" s="78">
        <v>1</v>
      </c>
      <c r="E160" s="79"/>
      <c r="F160" s="79" t="e">
        <f t="shared" si="7"/>
        <v>#REF!</v>
      </c>
      <c r="G160" s="2"/>
      <c r="H160" s="37">
        <v>142723</v>
      </c>
      <c r="I160" s="4">
        <f t="shared" si="8"/>
        <v>0</v>
      </c>
      <c r="J160" s="25">
        <f t="shared" si="6"/>
        <v>5</v>
      </c>
    </row>
    <row r="161" spans="1:10" ht="16.95" customHeight="1">
      <c r="A161" s="75">
        <v>24</v>
      </c>
      <c r="B161" s="80" t="s">
        <v>114</v>
      </c>
      <c r="C161" s="77" t="s">
        <v>48</v>
      </c>
      <c r="D161" s="78">
        <v>1</v>
      </c>
      <c r="E161" s="79"/>
      <c r="F161" s="79" t="e">
        <f t="shared" si="7"/>
        <v>#REF!</v>
      </c>
      <c r="G161" s="2"/>
      <c r="H161" s="37">
        <v>37290</v>
      </c>
      <c r="I161" s="4">
        <f t="shared" si="8"/>
        <v>0</v>
      </c>
      <c r="J161" s="25">
        <f t="shared" si="6"/>
        <v>5</v>
      </c>
    </row>
    <row r="162" spans="1:10" ht="16.95" customHeight="1">
      <c r="A162" s="75">
        <v>25</v>
      </c>
      <c r="B162" s="80" t="s">
        <v>115</v>
      </c>
      <c r="C162" s="77" t="s">
        <v>48</v>
      </c>
      <c r="D162" s="78">
        <v>1</v>
      </c>
      <c r="E162" s="79"/>
      <c r="F162" s="79" t="e">
        <f t="shared" si="7"/>
        <v>#REF!</v>
      </c>
      <c r="G162" s="2"/>
      <c r="H162" s="37">
        <v>99394</v>
      </c>
      <c r="I162" s="4">
        <f t="shared" si="8"/>
        <v>0</v>
      </c>
      <c r="J162" s="25">
        <f t="shared" si="6"/>
        <v>5</v>
      </c>
    </row>
    <row r="163" spans="1:10" ht="34.950000000000003" customHeight="1">
      <c r="A163" s="75">
        <v>26</v>
      </c>
      <c r="B163" s="80" t="s">
        <v>116</v>
      </c>
      <c r="C163" s="77" t="s">
        <v>48</v>
      </c>
      <c r="D163" s="78">
        <v>1</v>
      </c>
      <c r="E163" s="79"/>
      <c r="F163" s="79" t="e">
        <f t="shared" si="7"/>
        <v>#REF!</v>
      </c>
      <c r="G163" s="2"/>
      <c r="H163" s="37">
        <v>21334</v>
      </c>
      <c r="I163" s="4">
        <f t="shared" si="8"/>
        <v>0</v>
      </c>
      <c r="J163" s="25">
        <f t="shared" si="6"/>
        <v>5</v>
      </c>
    </row>
    <row r="164" spans="1:10" ht="16.95" customHeight="1">
      <c r="A164" s="75">
        <v>27</v>
      </c>
      <c r="B164" s="80" t="s">
        <v>117</v>
      </c>
      <c r="C164" s="77" t="s">
        <v>48</v>
      </c>
      <c r="D164" s="78">
        <v>1</v>
      </c>
      <c r="E164" s="79"/>
      <c r="F164" s="79" t="e">
        <f t="shared" si="7"/>
        <v>#REF!</v>
      </c>
      <c r="G164" s="2"/>
      <c r="H164" s="37">
        <v>29620</v>
      </c>
      <c r="I164" s="4">
        <f t="shared" si="8"/>
        <v>0</v>
      </c>
      <c r="J164" s="25">
        <f t="shared" si="6"/>
        <v>5</v>
      </c>
    </row>
    <row r="165" spans="1:10" ht="16.95" customHeight="1">
      <c r="A165" s="75">
        <v>28</v>
      </c>
      <c r="B165" s="80" t="s">
        <v>118</v>
      </c>
      <c r="C165" s="77" t="s">
        <v>48</v>
      </c>
      <c r="D165" s="78">
        <v>1</v>
      </c>
      <c r="E165" s="79"/>
      <c r="F165" s="79" t="e">
        <f t="shared" si="7"/>
        <v>#REF!</v>
      </c>
      <c r="G165" s="2"/>
      <c r="H165" s="37">
        <v>18506</v>
      </c>
      <c r="I165" s="4">
        <f t="shared" si="8"/>
        <v>0</v>
      </c>
      <c r="J165" s="25">
        <f t="shared" si="6"/>
        <v>5</v>
      </c>
    </row>
    <row r="166" spans="1:10" ht="16.95" customHeight="1">
      <c r="A166" s="75">
        <v>29</v>
      </c>
      <c r="B166" s="80" t="s">
        <v>119</v>
      </c>
      <c r="C166" s="77" t="s">
        <v>48</v>
      </c>
      <c r="D166" s="78">
        <v>1</v>
      </c>
      <c r="E166" s="79"/>
      <c r="F166" s="79" t="e">
        <f t="shared" si="7"/>
        <v>#REF!</v>
      </c>
      <c r="G166" s="2"/>
      <c r="H166" s="37">
        <v>34381</v>
      </c>
      <c r="I166" s="4">
        <f t="shared" si="8"/>
        <v>0</v>
      </c>
      <c r="J166" s="25">
        <f t="shared" si="6"/>
        <v>5</v>
      </c>
    </row>
    <row r="167" spans="1:10" ht="16.95" customHeight="1">
      <c r="A167" s="75" t="s">
        <v>79</v>
      </c>
      <c r="B167" s="80" t="s">
        <v>80</v>
      </c>
      <c r="C167" s="77" t="s">
        <v>48</v>
      </c>
      <c r="D167" s="78">
        <v>1</v>
      </c>
      <c r="E167" s="79">
        <f t="shared" ref="E167:E170" si="9">1/120</f>
        <v>8.3333333333333332E-3</v>
      </c>
      <c r="F167" s="79" t="e">
        <f t="shared" si="7"/>
        <v>#REF!</v>
      </c>
      <c r="G167" s="2"/>
      <c r="H167" s="37">
        <v>21395</v>
      </c>
      <c r="I167" s="4">
        <f t="shared" si="8"/>
        <v>178.29166666666666</v>
      </c>
      <c r="J167" s="25">
        <f t="shared" si="6"/>
        <v>5</v>
      </c>
    </row>
    <row r="168" spans="1:10" ht="16.95" customHeight="1">
      <c r="A168" s="75" t="s">
        <v>81</v>
      </c>
      <c r="B168" s="80" t="s">
        <v>82</v>
      </c>
      <c r="C168" s="77" t="s">
        <v>48</v>
      </c>
      <c r="D168" s="78">
        <v>1</v>
      </c>
      <c r="E168" s="79">
        <f t="shared" si="9"/>
        <v>8.3333333333333332E-3</v>
      </c>
      <c r="F168" s="79" t="e">
        <f t="shared" si="7"/>
        <v>#REF!</v>
      </c>
      <c r="G168" s="2"/>
      <c r="H168" s="37">
        <v>21395</v>
      </c>
      <c r="I168" s="4">
        <f t="shared" si="8"/>
        <v>178.29166666666666</v>
      </c>
      <c r="J168" s="25">
        <f t="shared" si="6"/>
        <v>5</v>
      </c>
    </row>
    <row r="169" spans="1:10" ht="16.95" customHeight="1">
      <c r="A169" s="75" t="s">
        <v>83</v>
      </c>
      <c r="B169" s="80" t="s">
        <v>84</v>
      </c>
      <c r="C169" s="77" t="s">
        <v>48</v>
      </c>
      <c r="D169" s="78">
        <v>1</v>
      </c>
      <c r="E169" s="79">
        <f t="shared" si="9"/>
        <v>8.3333333333333332E-3</v>
      </c>
      <c r="F169" s="79" t="e">
        <f t="shared" si="7"/>
        <v>#REF!</v>
      </c>
      <c r="G169" s="2"/>
      <c r="H169" s="37">
        <v>149765</v>
      </c>
      <c r="I169" s="4">
        <f t="shared" si="8"/>
        <v>1248.0416666666667</v>
      </c>
      <c r="J169" s="25">
        <f t="shared" si="6"/>
        <v>5</v>
      </c>
    </row>
    <row r="170" spans="1:10" ht="16.95" customHeight="1">
      <c r="A170" s="75" t="s">
        <v>85</v>
      </c>
      <c r="B170" s="80" t="s">
        <v>86</v>
      </c>
      <c r="C170" s="77" t="s">
        <v>48</v>
      </c>
      <c r="D170" s="78">
        <v>1</v>
      </c>
      <c r="E170" s="79">
        <f t="shared" si="9"/>
        <v>8.3333333333333332E-3</v>
      </c>
      <c r="F170" s="79" t="e">
        <f t="shared" si="7"/>
        <v>#REF!</v>
      </c>
      <c r="G170" s="2"/>
      <c r="H170" s="37">
        <v>6996</v>
      </c>
      <c r="I170" s="4">
        <f t="shared" si="8"/>
        <v>58.3</v>
      </c>
      <c r="J170" s="25">
        <f t="shared" si="6"/>
        <v>5</v>
      </c>
    </row>
    <row r="171" spans="1:10" ht="16.95" customHeight="1">
      <c r="A171" s="75" t="s">
        <v>87</v>
      </c>
      <c r="B171" s="80" t="s">
        <v>88</v>
      </c>
      <c r="C171" s="77" t="s">
        <v>48</v>
      </c>
      <c r="D171" s="78">
        <v>1</v>
      </c>
      <c r="E171" s="79">
        <f>1/120</f>
        <v>8.3333333333333332E-3</v>
      </c>
      <c r="F171" s="79" t="e">
        <f t="shared" si="7"/>
        <v>#REF!</v>
      </c>
      <c r="G171" s="2"/>
      <c r="H171" s="37">
        <v>116952</v>
      </c>
      <c r="I171" s="4">
        <f t="shared" si="8"/>
        <v>974.6</v>
      </c>
      <c r="J171" s="25">
        <f t="shared" si="6"/>
        <v>5</v>
      </c>
    </row>
    <row r="172" spans="1:10" ht="16.95" customHeight="1">
      <c r="A172" s="95" t="s">
        <v>23</v>
      </c>
      <c r="B172" s="95"/>
      <c r="C172" s="50"/>
      <c r="D172" s="50"/>
      <c r="E172" s="50"/>
      <c r="F172" s="50"/>
      <c r="G172" s="50"/>
      <c r="H172" s="3" t="s">
        <v>24</v>
      </c>
      <c r="I172" s="5">
        <f>SUM(I137:I171)</f>
        <v>2637.5250000000001</v>
      </c>
      <c r="J172" s="25">
        <f t="shared" si="6"/>
        <v>5</v>
      </c>
    </row>
    <row r="173" spans="1:10" ht="16.95" customHeight="1">
      <c r="A173" s="96" t="s">
        <v>25</v>
      </c>
      <c r="B173" s="96"/>
      <c r="C173" s="50"/>
      <c r="D173" s="50"/>
      <c r="E173" s="50"/>
      <c r="F173" s="50"/>
      <c r="G173" s="50"/>
      <c r="J173" s="25">
        <f t="shared" si="6"/>
        <v>5</v>
      </c>
    </row>
    <row r="174" spans="1:10" ht="16.95" customHeight="1">
      <c r="A174" s="96" t="s">
        <v>26</v>
      </c>
      <c r="B174" s="96"/>
      <c r="C174" s="50"/>
      <c r="D174" s="50"/>
      <c r="E174" s="50"/>
      <c r="F174" s="50"/>
      <c r="G174" s="50"/>
      <c r="J174" s="25">
        <f t="shared" si="6"/>
        <v>5</v>
      </c>
    </row>
    <row r="175" spans="1:10" ht="16.95" customHeight="1">
      <c r="A175" s="95" t="s">
        <v>27</v>
      </c>
      <c r="B175" s="95"/>
      <c r="C175" s="95"/>
      <c r="D175" s="95"/>
      <c r="E175" s="95"/>
      <c r="F175" s="95"/>
      <c r="G175" s="95"/>
      <c r="J175" s="25">
        <f t="shared" si="6"/>
        <v>5</v>
      </c>
    </row>
    <row r="176" spans="1:10" ht="16.95" customHeight="1">
      <c r="A176" s="94" t="s">
        <v>28</v>
      </c>
      <c r="B176" s="94"/>
      <c r="C176" s="51" t="s">
        <v>29</v>
      </c>
      <c r="D176" s="51" t="s">
        <v>30</v>
      </c>
      <c r="E176" s="51" t="s">
        <v>18</v>
      </c>
      <c r="F176" s="51" t="s">
        <v>31</v>
      </c>
      <c r="G176" s="51" t="s">
        <v>20</v>
      </c>
      <c r="J176" s="25">
        <f t="shared" si="6"/>
        <v>5</v>
      </c>
    </row>
    <row r="177" spans="1:10" ht="16.95" customHeight="1">
      <c r="A177" s="96"/>
      <c r="B177" s="96"/>
      <c r="C177" s="50"/>
      <c r="D177" s="50"/>
      <c r="E177" s="50"/>
      <c r="F177" s="50"/>
      <c r="G177" s="51"/>
      <c r="J177" s="25">
        <f t="shared" si="6"/>
        <v>5</v>
      </c>
    </row>
    <row r="178" spans="1:10" ht="16.95" customHeight="1">
      <c r="A178" s="97"/>
      <c r="B178" s="97"/>
      <c r="C178" s="50"/>
      <c r="D178" s="50"/>
      <c r="E178" s="50"/>
      <c r="F178" s="51"/>
      <c r="G178" s="51"/>
      <c r="J178" s="25">
        <f t="shared" si="6"/>
        <v>5</v>
      </c>
    </row>
    <row r="179" spans="1:10" ht="16.95" customHeight="1">
      <c r="A179" s="95" t="s">
        <v>32</v>
      </c>
      <c r="B179" s="95"/>
      <c r="C179" s="95"/>
      <c r="D179" s="95"/>
      <c r="E179" s="95"/>
      <c r="F179" s="95"/>
      <c r="G179" s="95"/>
      <c r="J179" s="25">
        <f t="shared" si="6"/>
        <v>6</v>
      </c>
    </row>
    <row r="180" spans="1:10" ht="16.95" customHeight="1">
      <c r="A180" s="51" t="s">
        <v>33</v>
      </c>
      <c r="B180" s="51" t="s">
        <v>34</v>
      </c>
      <c r="C180" s="94" t="s">
        <v>35</v>
      </c>
      <c r="D180" s="94"/>
      <c r="E180" s="51" t="s">
        <v>36</v>
      </c>
      <c r="F180" s="51" t="s">
        <v>37</v>
      </c>
      <c r="G180" s="51" t="s">
        <v>38</v>
      </c>
      <c r="J180" s="25">
        <f t="shared" si="6"/>
        <v>6</v>
      </c>
    </row>
    <row r="181" spans="1:10" ht="16.95" customHeight="1">
      <c r="A181" s="51" t="s">
        <v>39</v>
      </c>
      <c r="B181" s="6"/>
      <c r="C181" s="94" t="e">
        <f>B181+C118</f>
        <v>#REF!</v>
      </c>
      <c r="D181" s="94"/>
      <c r="E181" s="51"/>
      <c r="F181" s="24"/>
      <c r="G181" s="24"/>
      <c r="J181" s="25">
        <f t="shared" si="6"/>
        <v>6</v>
      </c>
    </row>
    <row r="182" spans="1:10" ht="16.95" customHeight="1">
      <c r="A182" s="51" t="s">
        <v>40</v>
      </c>
      <c r="B182" s="6"/>
      <c r="C182" s="94" t="e">
        <f>B182+C119</f>
        <v>#REF!</v>
      </c>
      <c r="D182" s="94"/>
      <c r="E182" s="51"/>
      <c r="F182" s="24"/>
      <c r="G182" s="24"/>
      <c r="J182" s="25">
        <f t="shared" si="6"/>
        <v>6</v>
      </c>
    </row>
    <row r="183" spans="1:10" ht="36.6" customHeight="1">
      <c r="A183" s="95" t="s">
        <v>41</v>
      </c>
      <c r="B183" s="95"/>
      <c r="C183" s="95"/>
      <c r="D183" s="95"/>
      <c r="E183" s="95"/>
      <c r="F183" s="95"/>
      <c r="G183" s="95"/>
      <c r="J183" s="25">
        <f t="shared" si="6"/>
        <v>6</v>
      </c>
    </row>
    <row r="184" spans="1:10" ht="90" customHeight="1">
      <c r="A184" s="92" t="s">
        <v>42</v>
      </c>
      <c r="B184" s="92"/>
      <c r="C184" s="92"/>
      <c r="D184" s="92"/>
      <c r="E184" s="92"/>
      <c r="F184" s="92"/>
      <c r="G184" s="92"/>
      <c r="J184" s="25">
        <f t="shared" si="6"/>
        <v>6</v>
      </c>
    </row>
    <row r="185" spans="1:10" ht="16.95" customHeight="1">
      <c r="A185" s="95" t="s">
        <v>43</v>
      </c>
      <c r="B185" s="95"/>
      <c r="C185" s="95"/>
      <c r="D185" s="95"/>
      <c r="E185" s="95"/>
      <c r="F185" s="95"/>
      <c r="G185" s="95"/>
      <c r="J185" s="25">
        <f t="shared" si="6"/>
        <v>6</v>
      </c>
    </row>
    <row r="186" spans="1:10" ht="16.95" customHeight="1">
      <c r="A186" s="95" t="s">
        <v>44</v>
      </c>
      <c r="B186" s="95"/>
      <c r="C186" s="95"/>
      <c r="D186" s="95"/>
      <c r="E186" s="95"/>
      <c r="F186" s="95"/>
      <c r="G186" s="95"/>
      <c r="J186" s="25">
        <f t="shared" si="6"/>
        <v>6</v>
      </c>
    </row>
    <row r="187" spans="1:10" ht="16.95" customHeight="1">
      <c r="A187" s="91" t="s">
        <v>64</v>
      </c>
      <c r="B187" s="91"/>
      <c r="C187" s="91"/>
      <c r="D187" s="91"/>
      <c r="E187" s="91"/>
      <c r="F187" s="91"/>
      <c r="G187" s="91"/>
      <c r="J187" s="25">
        <f t="shared" si="6"/>
        <v>6</v>
      </c>
    </row>
    <row r="188" spans="1:10" ht="120.6" customHeight="1">
      <c r="A188" s="92" t="s">
        <v>45</v>
      </c>
      <c r="B188" s="92"/>
      <c r="C188" s="92"/>
      <c r="D188" s="92"/>
      <c r="E188" s="92"/>
      <c r="F188" s="92"/>
      <c r="G188" s="92"/>
      <c r="J188" s="25">
        <f t="shared" si="6"/>
        <v>6</v>
      </c>
    </row>
    <row r="189" spans="1:10" ht="140.4" customHeight="1">
      <c r="A189" s="93" t="s">
        <v>46</v>
      </c>
      <c r="B189" s="93"/>
      <c r="C189" s="93"/>
      <c r="D189" s="93"/>
      <c r="E189" s="93"/>
      <c r="F189" s="93"/>
      <c r="G189" s="93"/>
      <c r="J189" s="25">
        <f t="shared" si="6"/>
        <v>6</v>
      </c>
    </row>
    <row r="190" spans="1:10" ht="37.200000000000003" customHeight="1">
      <c r="A190" s="103" t="s">
        <v>0</v>
      </c>
      <c r="B190" s="103"/>
      <c r="C190" s="103"/>
      <c r="D190" s="103"/>
      <c r="E190" s="103"/>
      <c r="F190" s="103"/>
      <c r="G190" s="103"/>
      <c r="J190" s="25">
        <f t="shared" si="6"/>
        <v>7</v>
      </c>
    </row>
    <row r="191" spans="1:10" ht="16.95" customHeight="1">
      <c r="A191" s="1" t="s">
        <v>1</v>
      </c>
      <c r="B191" s="104">
        <f>B128+1</f>
        <v>5</v>
      </c>
      <c r="C191" s="104"/>
      <c r="D191" s="104"/>
      <c r="E191" s="104"/>
      <c r="F191" s="104"/>
      <c r="G191" s="104"/>
      <c r="J191" s="25">
        <f t="shared" si="6"/>
        <v>7</v>
      </c>
    </row>
    <row r="192" spans="1:10" ht="16.95" customHeight="1">
      <c r="A192" s="1" t="s">
        <v>2</v>
      </c>
      <c r="B192" s="105" t="s">
        <v>63</v>
      </c>
      <c r="C192" s="105"/>
      <c r="D192" s="105"/>
      <c r="E192" s="106">
        <f>E129+1</f>
        <v>46207</v>
      </c>
      <c r="F192" s="106"/>
      <c r="G192" s="106"/>
      <c r="J192" s="25">
        <f t="shared" ref="J192:J255" si="10">J129+2</f>
        <v>7</v>
      </c>
    </row>
    <row r="193" spans="1:10" ht="16.95" customHeight="1">
      <c r="A193" s="53" t="s">
        <v>3</v>
      </c>
      <c r="B193" s="2" t="s">
        <v>67</v>
      </c>
      <c r="C193" s="98" t="s">
        <v>4</v>
      </c>
      <c r="D193" s="98"/>
      <c r="E193" s="98" t="s">
        <v>47</v>
      </c>
      <c r="F193" s="98"/>
      <c r="G193" s="98"/>
      <c r="J193" s="25">
        <f t="shared" si="10"/>
        <v>7</v>
      </c>
    </row>
    <row r="194" spans="1:10" ht="16.95" customHeight="1">
      <c r="A194" s="53" t="s">
        <v>5</v>
      </c>
      <c r="B194" s="54">
        <v>120</v>
      </c>
      <c r="C194" s="98" t="s">
        <v>6</v>
      </c>
      <c r="D194" s="98"/>
      <c r="E194" s="98" t="s">
        <v>123</v>
      </c>
      <c r="F194" s="98"/>
      <c r="G194" s="98"/>
      <c r="J194" s="25">
        <f t="shared" si="10"/>
        <v>7</v>
      </c>
    </row>
    <row r="195" spans="1:10" ht="16.95" customHeight="1">
      <c r="A195" s="53" t="s">
        <v>7</v>
      </c>
      <c r="B195" s="54">
        <f>B191</f>
        <v>5</v>
      </c>
      <c r="C195" s="100" t="s">
        <v>8</v>
      </c>
      <c r="D195" s="100"/>
      <c r="E195" s="101">
        <f>B194-B195</f>
        <v>115</v>
      </c>
      <c r="F195" s="101"/>
      <c r="G195" s="101"/>
      <c r="J195" s="25">
        <f t="shared" si="10"/>
        <v>7</v>
      </c>
    </row>
    <row r="196" spans="1:10" ht="16.95" customHeight="1">
      <c r="A196" s="53" t="s">
        <v>9</v>
      </c>
      <c r="B196" s="55">
        <v>46204</v>
      </c>
      <c r="C196" s="98" t="s">
        <v>10</v>
      </c>
      <c r="D196" s="98"/>
      <c r="E196" s="102">
        <f>B196+B194-1</f>
        <v>46323</v>
      </c>
      <c r="F196" s="102"/>
      <c r="G196" s="102"/>
      <c r="J196" s="25">
        <f t="shared" si="10"/>
        <v>7</v>
      </c>
    </row>
    <row r="197" spans="1:10" ht="16.95" customHeight="1">
      <c r="A197" s="53" t="s">
        <v>11</v>
      </c>
      <c r="B197" s="56" t="e">
        <f>HLOOKUP(B191,進度表!$Q$2:$Z$3,2,1)+B134</f>
        <v>#REF!</v>
      </c>
      <c r="C197" s="98" t="s">
        <v>12</v>
      </c>
      <c r="D197" s="98"/>
      <c r="E197" s="99" t="e">
        <f>I235/I197+E134</f>
        <v>#REF!</v>
      </c>
      <c r="F197" s="99"/>
      <c r="G197" s="99"/>
      <c r="H197" s="3" t="s">
        <v>62</v>
      </c>
      <c r="I197" s="1">
        <v>2456000</v>
      </c>
      <c r="J197" s="25">
        <f t="shared" si="10"/>
        <v>7</v>
      </c>
    </row>
    <row r="198" spans="1:10" ht="16.95" customHeight="1">
      <c r="A198" s="98" t="s">
        <v>13</v>
      </c>
      <c r="B198" s="98"/>
      <c r="C198" s="98"/>
      <c r="D198" s="98"/>
      <c r="E198" s="98"/>
      <c r="F198" s="98"/>
      <c r="G198" s="98"/>
      <c r="J198" s="25">
        <f t="shared" si="10"/>
        <v>7</v>
      </c>
    </row>
    <row r="199" spans="1:10" ht="16.95" customHeight="1">
      <c r="A199" s="52" t="s">
        <v>14</v>
      </c>
      <c r="B199" s="52" t="s">
        <v>15</v>
      </c>
      <c r="C199" s="52" t="s">
        <v>16</v>
      </c>
      <c r="D199" s="52" t="s">
        <v>17</v>
      </c>
      <c r="E199" s="52" t="s">
        <v>18</v>
      </c>
      <c r="F199" s="52" t="s">
        <v>19</v>
      </c>
      <c r="G199" s="52" t="s">
        <v>20</v>
      </c>
      <c r="H199" s="3" t="s">
        <v>21</v>
      </c>
      <c r="I199" s="3" t="s">
        <v>22</v>
      </c>
      <c r="J199" s="25">
        <f t="shared" si="10"/>
        <v>7</v>
      </c>
    </row>
    <row r="200" spans="1:10" ht="16.95" customHeight="1">
      <c r="A200" s="75" t="s">
        <v>65</v>
      </c>
      <c r="B200" s="76" t="s">
        <v>69</v>
      </c>
      <c r="C200" s="77"/>
      <c r="D200" s="78"/>
      <c r="E200" s="79"/>
      <c r="F200" s="79"/>
      <c r="G200" s="2"/>
      <c r="H200" s="37"/>
      <c r="I200" s="4"/>
      <c r="J200" s="25">
        <f t="shared" si="10"/>
        <v>7</v>
      </c>
    </row>
    <row r="201" spans="1:10" ht="34.950000000000003" customHeight="1">
      <c r="A201" s="75">
        <v>1</v>
      </c>
      <c r="B201" s="80" t="s">
        <v>91</v>
      </c>
      <c r="C201" s="77" t="s">
        <v>48</v>
      </c>
      <c r="D201" s="78">
        <v>1</v>
      </c>
      <c r="E201" s="79"/>
      <c r="F201" s="79" t="e">
        <f t="shared" ref="F201:F234" si="11">E201+F138</f>
        <v>#REF!</v>
      </c>
      <c r="G201" s="2"/>
      <c r="H201" s="37">
        <v>10508</v>
      </c>
      <c r="I201" s="4">
        <f>H201*E201</f>
        <v>0</v>
      </c>
      <c r="J201" s="25">
        <f t="shared" si="10"/>
        <v>7</v>
      </c>
    </row>
    <row r="202" spans="1:10" ht="34.799999999999997" customHeight="1">
      <c r="A202" s="75">
        <v>2</v>
      </c>
      <c r="B202" s="80" t="s">
        <v>92</v>
      </c>
      <c r="C202" s="77" t="s">
        <v>48</v>
      </c>
      <c r="D202" s="78">
        <v>1</v>
      </c>
      <c r="E202" s="79"/>
      <c r="F202" s="79" t="e">
        <f t="shared" si="11"/>
        <v>#REF!</v>
      </c>
      <c r="G202" s="2"/>
      <c r="H202" s="37">
        <v>13223</v>
      </c>
      <c r="I202" s="4">
        <f>H202*E202</f>
        <v>0</v>
      </c>
      <c r="J202" s="25">
        <f t="shared" si="10"/>
        <v>7</v>
      </c>
    </row>
    <row r="203" spans="1:10" ht="53.4" customHeight="1">
      <c r="A203" s="75">
        <v>3</v>
      </c>
      <c r="B203" s="80" t="s">
        <v>93</v>
      </c>
      <c r="C203" s="77" t="s">
        <v>48</v>
      </c>
      <c r="D203" s="78">
        <v>1</v>
      </c>
      <c r="E203" s="79"/>
      <c r="F203" s="79" t="e">
        <f t="shared" si="11"/>
        <v>#REF!</v>
      </c>
      <c r="G203" s="2"/>
      <c r="H203" s="37">
        <v>310497</v>
      </c>
      <c r="I203" s="4">
        <f t="shared" ref="I203:I234" si="12">H203*E203</f>
        <v>0</v>
      </c>
      <c r="J203" s="25">
        <f t="shared" si="10"/>
        <v>7</v>
      </c>
    </row>
    <row r="204" spans="1:10" ht="16.95" customHeight="1">
      <c r="A204" s="75">
        <v>4</v>
      </c>
      <c r="B204" s="80" t="s">
        <v>94</v>
      </c>
      <c r="C204" s="77" t="s">
        <v>48</v>
      </c>
      <c r="D204" s="78">
        <v>1</v>
      </c>
      <c r="E204" s="79"/>
      <c r="F204" s="79" t="e">
        <f t="shared" si="11"/>
        <v>#REF!</v>
      </c>
      <c r="G204" s="2"/>
      <c r="H204" s="37">
        <v>8375</v>
      </c>
      <c r="I204" s="4">
        <f t="shared" si="12"/>
        <v>0</v>
      </c>
      <c r="J204" s="25">
        <f t="shared" si="10"/>
        <v>7</v>
      </c>
    </row>
    <row r="205" spans="1:10" ht="16.95" customHeight="1">
      <c r="A205" s="75">
        <v>5</v>
      </c>
      <c r="B205" s="80" t="s">
        <v>95</v>
      </c>
      <c r="C205" s="77" t="s">
        <v>48</v>
      </c>
      <c r="D205" s="78">
        <v>1</v>
      </c>
      <c r="E205" s="79"/>
      <c r="F205" s="79" t="e">
        <f t="shared" si="11"/>
        <v>#REF!</v>
      </c>
      <c r="G205" s="2"/>
      <c r="H205" s="37">
        <v>51618</v>
      </c>
      <c r="I205" s="4">
        <f t="shared" si="12"/>
        <v>0</v>
      </c>
      <c r="J205" s="25">
        <f t="shared" si="10"/>
        <v>7</v>
      </c>
    </row>
    <row r="206" spans="1:10" ht="16.95" customHeight="1">
      <c r="A206" s="75">
        <v>6</v>
      </c>
      <c r="B206" s="80" t="s">
        <v>96</v>
      </c>
      <c r="C206" s="77" t="s">
        <v>50</v>
      </c>
      <c r="D206" s="78">
        <v>11.55</v>
      </c>
      <c r="E206" s="79"/>
      <c r="F206" s="79" t="e">
        <f t="shared" si="11"/>
        <v>#REF!</v>
      </c>
      <c r="G206" s="2"/>
      <c r="H206" s="37">
        <v>1188</v>
      </c>
      <c r="I206" s="4">
        <f t="shared" si="12"/>
        <v>0</v>
      </c>
      <c r="J206" s="25">
        <f t="shared" si="10"/>
        <v>7</v>
      </c>
    </row>
    <row r="207" spans="1:10" ht="34.950000000000003" customHeight="1">
      <c r="A207" s="75">
        <v>7</v>
      </c>
      <c r="B207" s="80" t="s">
        <v>97</v>
      </c>
      <c r="C207" s="77" t="s">
        <v>48</v>
      </c>
      <c r="D207" s="78">
        <v>1</v>
      </c>
      <c r="E207" s="79"/>
      <c r="F207" s="79" t="e">
        <f t="shared" si="11"/>
        <v>#REF!</v>
      </c>
      <c r="G207" s="2"/>
      <c r="H207" s="37">
        <v>21157</v>
      </c>
      <c r="I207" s="4">
        <f t="shared" si="12"/>
        <v>0</v>
      </c>
      <c r="J207" s="25">
        <f t="shared" si="10"/>
        <v>7</v>
      </c>
    </row>
    <row r="208" spans="1:10" ht="16.95" customHeight="1">
      <c r="A208" s="75">
        <v>8</v>
      </c>
      <c r="B208" s="80" t="s">
        <v>98</v>
      </c>
      <c r="C208" s="77" t="s">
        <v>50</v>
      </c>
      <c r="D208" s="78">
        <v>387</v>
      </c>
      <c r="E208" s="79"/>
      <c r="F208" s="79" t="e">
        <f t="shared" si="11"/>
        <v>#REF!</v>
      </c>
      <c r="G208" s="2"/>
      <c r="H208" s="37">
        <v>705</v>
      </c>
      <c r="I208" s="4">
        <f t="shared" si="12"/>
        <v>0</v>
      </c>
      <c r="J208" s="25">
        <f t="shared" si="10"/>
        <v>7</v>
      </c>
    </row>
    <row r="209" spans="1:10" ht="16.95" customHeight="1">
      <c r="A209" s="75">
        <v>9</v>
      </c>
      <c r="B209" s="80" t="s">
        <v>99</v>
      </c>
      <c r="C209" s="77" t="s">
        <v>50</v>
      </c>
      <c r="D209" s="78">
        <v>170</v>
      </c>
      <c r="E209" s="79"/>
      <c r="F209" s="79" t="e">
        <f t="shared" si="11"/>
        <v>#REF!</v>
      </c>
      <c r="G209" s="2"/>
      <c r="H209" s="37">
        <v>617</v>
      </c>
      <c r="I209" s="4">
        <f t="shared" si="12"/>
        <v>0</v>
      </c>
      <c r="J209" s="25">
        <f t="shared" si="10"/>
        <v>7</v>
      </c>
    </row>
    <row r="210" spans="1:10" ht="16.95" customHeight="1">
      <c r="A210" s="75">
        <v>10</v>
      </c>
      <c r="B210" s="80" t="s">
        <v>100</v>
      </c>
      <c r="C210" s="77" t="s">
        <v>66</v>
      </c>
      <c r="D210" s="78">
        <v>15</v>
      </c>
      <c r="E210" s="79"/>
      <c r="F210" s="79" t="e">
        <f t="shared" si="11"/>
        <v>#REF!</v>
      </c>
      <c r="G210" s="2"/>
      <c r="H210" s="37">
        <v>617</v>
      </c>
      <c r="I210" s="4">
        <f t="shared" si="12"/>
        <v>0</v>
      </c>
      <c r="J210" s="25">
        <f t="shared" si="10"/>
        <v>7</v>
      </c>
    </row>
    <row r="211" spans="1:10" ht="16.95" customHeight="1">
      <c r="A211" s="75">
        <v>11</v>
      </c>
      <c r="B211" s="80" t="s">
        <v>101</v>
      </c>
      <c r="C211" s="77" t="s">
        <v>50</v>
      </c>
      <c r="D211" s="78">
        <v>75</v>
      </c>
      <c r="E211" s="79"/>
      <c r="F211" s="79" t="e">
        <f t="shared" si="11"/>
        <v>#REF!</v>
      </c>
      <c r="G211" s="2"/>
      <c r="H211" s="37">
        <v>1146</v>
      </c>
      <c r="I211" s="4">
        <f t="shared" si="12"/>
        <v>0</v>
      </c>
      <c r="J211" s="25">
        <f t="shared" si="10"/>
        <v>7</v>
      </c>
    </row>
    <row r="212" spans="1:10" ht="16.95" customHeight="1">
      <c r="A212" s="75">
        <v>12</v>
      </c>
      <c r="B212" s="80" t="s">
        <v>102</v>
      </c>
      <c r="C212" s="77" t="s">
        <v>50</v>
      </c>
      <c r="D212" s="78">
        <v>5</v>
      </c>
      <c r="E212" s="79"/>
      <c r="F212" s="79" t="e">
        <f t="shared" si="11"/>
        <v>#REF!</v>
      </c>
      <c r="G212" s="2"/>
      <c r="H212" s="37">
        <v>1455</v>
      </c>
      <c r="I212" s="4">
        <f t="shared" si="12"/>
        <v>0</v>
      </c>
      <c r="J212" s="25">
        <f t="shared" si="10"/>
        <v>7</v>
      </c>
    </row>
    <row r="213" spans="1:10" ht="16.95" customHeight="1">
      <c r="A213" s="75">
        <v>13</v>
      </c>
      <c r="B213" s="80" t="s">
        <v>103</v>
      </c>
      <c r="C213" s="77" t="s">
        <v>50</v>
      </c>
      <c r="D213" s="78">
        <v>217</v>
      </c>
      <c r="E213" s="79"/>
      <c r="F213" s="79" t="e">
        <f t="shared" si="11"/>
        <v>#REF!</v>
      </c>
      <c r="G213" s="2"/>
      <c r="H213" s="37">
        <v>1410</v>
      </c>
      <c r="I213" s="4">
        <f t="shared" si="12"/>
        <v>0</v>
      </c>
      <c r="J213" s="25">
        <f t="shared" si="10"/>
        <v>7</v>
      </c>
    </row>
    <row r="214" spans="1:10" ht="16.95" customHeight="1">
      <c r="A214" s="75">
        <v>14</v>
      </c>
      <c r="B214" s="80" t="s">
        <v>104</v>
      </c>
      <c r="C214" s="77" t="s">
        <v>49</v>
      </c>
      <c r="D214" s="78">
        <v>84</v>
      </c>
      <c r="E214" s="79"/>
      <c r="F214" s="79" t="e">
        <f t="shared" si="11"/>
        <v>#REF!</v>
      </c>
      <c r="G214" s="2"/>
      <c r="H214" s="37">
        <v>529</v>
      </c>
      <c r="I214" s="4">
        <f t="shared" si="12"/>
        <v>0</v>
      </c>
      <c r="J214" s="25">
        <f t="shared" si="10"/>
        <v>7</v>
      </c>
    </row>
    <row r="215" spans="1:10" ht="16.95" customHeight="1">
      <c r="A215" s="75">
        <v>15</v>
      </c>
      <c r="B215" s="80" t="s">
        <v>105</v>
      </c>
      <c r="C215" s="77" t="s">
        <v>50</v>
      </c>
      <c r="D215" s="78">
        <v>1</v>
      </c>
      <c r="E215" s="79"/>
      <c r="F215" s="79" t="e">
        <f t="shared" si="11"/>
        <v>#REF!</v>
      </c>
      <c r="G215" s="2"/>
      <c r="H215" s="37">
        <v>1146</v>
      </c>
      <c r="I215" s="4">
        <f t="shared" si="12"/>
        <v>0</v>
      </c>
      <c r="J215" s="25">
        <f t="shared" si="10"/>
        <v>7</v>
      </c>
    </row>
    <row r="216" spans="1:10" ht="34.799999999999997" customHeight="1">
      <c r="A216" s="75">
        <v>16</v>
      </c>
      <c r="B216" s="80" t="s">
        <v>106</v>
      </c>
      <c r="C216" s="77" t="s">
        <v>50</v>
      </c>
      <c r="D216" s="78">
        <v>314</v>
      </c>
      <c r="E216" s="79"/>
      <c r="F216" s="79" t="e">
        <f t="shared" si="11"/>
        <v>#REF!</v>
      </c>
      <c r="G216" s="2"/>
      <c r="H216" s="37">
        <v>185</v>
      </c>
      <c r="I216" s="4">
        <f t="shared" si="12"/>
        <v>0</v>
      </c>
      <c r="J216" s="25">
        <f t="shared" si="10"/>
        <v>7</v>
      </c>
    </row>
    <row r="217" spans="1:10" ht="16.95" customHeight="1">
      <c r="A217" s="75">
        <v>17</v>
      </c>
      <c r="B217" s="80" t="s">
        <v>107</v>
      </c>
      <c r="C217" s="77" t="s">
        <v>48</v>
      </c>
      <c r="D217" s="78">
        <v>1</v>
      </c>
      <c r="E217" s="79"/>
      <c r="F217" s="79" t="e">
        <f t="shared" si="11"/>
        <v>#REF!</v>
      </c>
      <c r="G217" s="2"/>
      <c r="H217" s="37">
        <v>89918</v>
      </c>
      <c r="I217" s="4">
        <f t="shared" si="12"/>
        <v>0</v>
      </c>
      <c r="J217" s="25">
        <f t="shared" si="10"/>
        <v>7</v>
      </c>
    </row>
    <row r="218" spans="1:10" ht="16.95" customHeight="1">
      <c r="A218" s="75">
        <v>18</v>
      </c>
      <c r="B218" s="80" t="s">
        <v>108</v>
      </c>
      <c r="C218" s="77" t="s">
        <v>120</v>
      </c>
      <c r="D218" s="78">
        <v>15</v>
      </c>
      <c r="E218" s="79"/>
      <c r="F218" s="79" t="e">
        <f t="shared" si="11"/>
        <v>#REF!</v>
      </c>
      <c r="G218" s="2"/>
      <c r="H218" s="37">
        <v>661</v>
      </c>
      <c r="I218" s="4">
        <f t="shared" si="12"/>
        <v>0</v>
      </c>
      <c r="J218" s="25">
        <f t="shared" si="10"/>
        <v>7</v>
      </c>
    </row>
    <row r="219" spans="1:10" ht="16.95" customHeight="1">
      <c r="A219" s="75">
        <v>19</v>
      </c>
      <c r="B219" s="80" t="s">
        <v>109</v>
      </c>
      <c r="C219" s="77" t="s">
        <v>50</v>
      </c>
      <c r="D219" s="78">
        <v>82</v>
      </c>
      <c r="E219" s="79"/>
      <c r="F219" s="79" t="e">
        <f t="shared" si="11"/>
        <v>#REF!</v>
      </c>
      <c r="G219" s="2"/>
      <c r="H219" s="37">
        <v>2909</v>
      </c>
      <c r="I219" s="4">
        <f t="shared" si="12"/>
        <v>0</v>
      </c>
      <c r="J219" s="25">
        <f t="shared" si="10"/>
        <v>7</v>
      </c>
    </row>
    <row r="220" spans="1:10" ht="16.95" customHeight="1">
      <c r="A220" s="75">
        <v>20</v>
      </c>
      <c r="B220" s="80" t="s">
        <v>110</v>
      </c>
      <c r="C220" s="77" t="s">
        <v>121</v>
      </c>
      <c r="D220" s="78">
        <v>12</v>
      </c>
      <c r="E220" s="79"/>
      <c r="F220" s="79" t="e">
        <f t="shared" si="11"/>
        <v>#REF!</v>
      </c>
      <c r="G220" s="2"/>
      <c r="H220" s="37">
        <v>882</v>
      </c>
      <c r="I220" s="4">
        <f t="shared" si="12"/>
        <v>0</v>
      </c>
      <c r="J220" s="25">
        <f t="shared" si="10"/>
        <v>7</v>
      </c>
    </row>
    <row r="221" spans="1:10" ht="16.95" customHeight="1">
      <c r="A221" s="77">
        <v>21</v>
      </c>
      <c r="B221" s="80" t="s">
        <v>111</v>
      </c>
      <c r="C221" s="77" t="s">
        <v>122</v>
      </c>
      <c r="D221" s="78">
        <v>3</v>
      </c>
      <c r="E221" s="79"/>
      <c r="F221" s="79" t="e">
        <f t="shared" si="11"/>
        <v>#REF!</v>
      </c>
      <c r="G221" s="2"/>
      <c r="H221" s="38">
        <v>1869</v>
      </c>
      <c r="I221" s="4">
        <f t="shared" si="12"/>
        <v>0</v>
      </c>
      <c r="J221" s="25">
        <f t="shared" si="10"/>
        <v>7</v>
      </c>
    </row>
    <row r="222" spans="1:10" ht="34.950000000000003" customHeight="1">
      <c r="A222" s="75">
        <v>22</v>
      </c>
      <c r="B222" s="80" t="s">
        <v>112</v>
      </c>
      <c r="C222" s="77" t="s">
        <v>48</v>
      </c>
      <c r="D222" s="78">
        <v>1</v>
      </c>
      <c r="E222" s="79"/>
      <c r="F222" s="79" t="e">
        <f t="shared" si="11"/>
        <v>#REF!</v>
      </c>
      <c r="G222" s="2"/>
      <c r="H222" s="37">
        <v>82206</v>
      </c>
      <c r="I222" s="4">
        <f t="shared" si="12"/>
        <v>0</v>
      </c>
      <c r="J222" s="25">
        <f t="shared" si="10"/>
        <v>7</v>
      </c>
    </row>
    <row r="223" spans="1:10" ht="16.95" customHeight="1">
      <c r="A223" s="75">
        <v>23</v>
      </c>
      <c r="B223" s="80" t="s">
        <v>113</v>
      </c>
      <c r="C223" s="77" t="s">
        <v>48</v>
      </c>
      <c r="D223" s="78">
        <v>1</v>
      </c>
      <c r="E223" s="79"/>
      <c r="F223" s="79" t="e">
        <f t="shared" si="11"/>
        <v>#REF!</v>
      </c>
      <c r="G223" s="2"/>
      <c r="H223" s="37">
        <v>142723</v>
      </c>
      <c r="I223" s="4">
        <f t="shared" si="12"/>
        <v>0</v>
      </c>
      <c r="J223" s="25">
        <f t="shared" si="10"/>
        <v>7</v>
      </c>
    </row>
    <row r="224" spans="1:10" ht="16.95" customHeight="1">
      <c r="A224" s="75">
        <v>24</v>
      </c>
      <c r="B224" s="80" t="s">
        <v>114</v>
      </c>
      <c r="C224" s="77" t="s">
        <v>48</v>
      </c>
      <c r="D224" s="78">
        <v>1</v>
      </c>
      <c r="E224" s="79"/>
      <c r="F224" s="79" t="e">
        <f t="shared" si="11"/>
        <v>#REF!</v>
      </c>
      <c r="G224" s="2"/>
      <c r="H224" s="37">
        <v>37290</v>
      </c>
      <c r="I224" s="4">
        <f t="shared" si="12"/>
        <v>0</v>
      </c>
      <c r="J224" s="25">
        <f t="shared" si="10"/>
        <v>7</v>
      </c>
    </row>
    <row r="225" spans="1:10" ht="16.95" customHeight="1">
      <c r="A225" s="75">
        <v>25</v>
      </c>
      <c r="B225" s="80" t="s">
        <v>115</v>
      </c>
      <c r="C225" s="77" t="s">
        <v>48</v>
      </c>
      <c r="D225" s="78">
        <v>1</v>
      </c>
      <c r="E225" s="79"/>
      <c r="F225" s="79" t="e">
        <f t="shared" si="11"/>
        <v>#REF!</v>
      </c>
      <c r="G225" s="2"/>
      <c r="H225" s="37">
        <v>99394</v>
      </c>
      <c r="I225" s="4">
        <f t="shared" si="12"/>
        <v>0</v>
      </c>
      <c r="J225" s="25">
        <f t="shared" si="10"/>
        <v>7</v>
      </c>
    </row>
    <row r="226" spans="1:10" ht="34.950000000000003" customHeight="1">
      <c r="A226" s="75">
        <v>26</v>
      </c>
      <c r="B226" s="80" t="s">
        <v>116</v>
      </c>
      <c r="C226" s="77" t="s">
        <v>48</v>
      </c>
      <c r="D226" s="78">
        <v>1</v>
      </c>
      <c r="E226" s="79"/>
      <c r="F226" s="79" t="e">
        <f t="shared" si="11"/>
        <v>#REF!</v>
      </c>
      <c r="G226" s="2"/>
      <c r="H226" s="37">
        <v>21334</v>
      </c>
      <c r="I226" s="4">
        <f t="shared" si="12"/>
        <v>0</v>
      </c>
      <c r="J226" s="25">
        <f t="shared" si="10"/>
        <v>7</v>
      </c>
    </row>
    <row r="227" spans="1:10" ht="16.95" customHeight="1">
      <c r="A227" s="75">
        <v>27</v>
      </c>
      <c r="B227" s="80" t="s">
        <v>117</v>
      </c>
      <c r="C227" s="77" t="s">
        <v>48</v>
      </c>
      <c r="D227" s="78">
        <v>1</v>
      </c>
      <c r="E227" s="79"/>
      <c r="F227" s="79" t="e">
        <f t="shared" si="11"/>
        <v>#REF!</v>
      </c>
      <c r="G227" s="2"/>
      <c r="H227" s="37">
        <v>29620</v>
      </c>
      <c r="I227" s="4">
        <f t="shared" si="12"/>
        <v>0</v>
      </c>
      <c r="J227" s="25">
        <f t="shared" si="10"/>
        <v>7</v>
      </c>
    </row>
    <row r="228" spans="1:10" ht="16.95" customHeight="1">
      <c r="A228" s="75">
        <v>28</v>
      </c>
      <c r="B228" s="80" t="s">
        <v>118</v>
      </c>
      <c r="C228" s="77" t="s">
        <v>48</v>
      </c>
      <c r="D228" s="78">
        <v>1</v>
      </c>
      <c r="E228" s="79"/>
      <c r="F228" s="79" t="e">
        <f t="shared" si="11"/>
        <v>#REF!</v>
      </c>
      <c r="G228" s="2"/>
      <c r="H228" s="37">
        <v>18506</v>
      </c>
      <c r="I228" s="4">
        <f t="shared" si="12"/>
        <v>0</v>
      </c>
      <c r="J228" s="25">
        <f t="shared" si="10"/>
        <v>7</v>
      </c>
    </row>
    <row r="229" spans="1:10" ht="16.95" customHeight="1">
      <c r="A229" s="75">
        <v>29</v>
      </c>
      <c r="B229" s="80" t="s">
        <v>119</v>
      </c>
      <c r="C229" s="77" t="s">
        <v>48</v>
      </c>
      <c r="D229" s="78">
        <v>1</v>
      </c>
      <c r="E229" s="79"/>
      <c r="F229" s="79" t="e">
        <f t="shared" si="11"/>
        <v>#REF!</v>
      </c>
      <c r="G229" s="2"/>
      <c r="H229" s="37">
        <v>34381</v>
      </c>
      <c r="I229" s="4">
        <f t="shared" si="12"/>
        <v>0</v>
      </c>
      <c r="J229" s="25">
        <f t="shared" si="10"/>
        <v>7</v>
      </c>
    </row>
    <row r="230" spans="1:10" ht="16.95" customHeight="1">
      <c r="A230" s="75" t="s">
        <v>79</v>
      </c>
      <c r="B230" s="80" t="s">
        <v>80</v>
      </c>
      <c r="C230" s="77" t="s">
        <v>48</v>
      </c>
      <c r="D230" s="78">
        <v>1</v>
      </c>
      <c r="E230" s="79">
        <f t="shared" ref="E230:E233" si="13">1/120</f>
        <v>8.3333333333333332E-3</v>
      </c>
      <c r="F230" s="79" t="e">
        <f t="shared" si="11"/>
        <v>#REF!</v>
      </c>
      <c r="G230" s="2"/>
      <c r="H230" s="37">
        <v>21395</v>
      </c>
      <c r="I230" s="4">
        <f t="shared" si="12"/>
        <v>178.29166666666666</v>
      </c>
      <c r="J230" s="25">
        <f t="shared" si="10"/>
        <v>7</v>
      </c>
    </row>
    <row r="231" spans="1:10" ht="16.95" customHeight="1">
      <c r="A231" s="75" t="s">
        <v>81</v>
      </c>
      <c r="B231" s="80" t="s">
        <v>82</v>
      </c>
      <c r="C231" s="77" t="s">
        <v>48</v>
      </c>
      <c r="D231" s="78">
        <v>1</v>
      </c>
      <c r="E231" s="79">
        <f t="shared" si="13"/>
        <v>8.3333333333333332E-3</v>
      </c>
      <c r="F231" s="79" t="e">
        <f t="shared" si="11"/>
        <v>#REF!</v>
      </c>
      <c r="G231" s="2"/>
      <c r="H231" s="37">
        <v>21395</v>
      </c>
      <c r="I231" s="4">
        <f t="shared" si="12"/>
        <v>178.29166666666666</v>
      </c>
      <c r="J231" s="25">
        <f t="shared" si="10"/>
        <v>7</v>
      </c>
    </row>
    <row r="232" spans="1:10" ht="16.95" customHeight="1">
      <c r="A232" s="75" t="s">
        <v>83</v>
      </c>
      <c r="B232" s="80" t="s">
        <v>84</v>
      </c>
      <c r="C232" s="77" t="s">
        <v>48</v>
      </c>
      <c r="D232" s="78">
        <v>1</v>
      </c>
      <c r="E232" s="79">
        <f t="shared" si="13"/>
        <v>8.3333333333333332E-3</v>
      </c>
      <c r="F232" s="79" t="e">
        <f t="shared" si="11"/>
        <v>#REF!</v>
      </c>
      <c r="G232" s="2"/>
      <c r="H232" s="37">
        <v>149765</v>
      </c>
      <c r="I232" s="4">
        <f t="shared" si="12"/>
        <v>1248.0416666666667</v>
      </c>
      <c r="J232" s="25">
        <f t="shared" si="10"/>
        <v>7</v>
      </c>
    </row>
    <row r="233" spans="1:10" ht="16.95" customHeight="1">
      <c r="A233" s="75" t="s">
        <v>85</v>
      </c>
      <c r="B233" s="80" t="s">
        <v>86</v>
      </c>
      <c r="C233" s="77" t="s">
        <v>48</v>
      </c>
      <c r="D233" s="78">
        <v>1</v>
      </c>
      <c r="E233" s="79">
        <f t="shared" si="13"/>
        <v>8.3333333333333332E-3</v>
      </c>
      <c r="F233" s="79" t="e">
        <f t="shared" si="11"/>
        <v>#REF!</v>
      </c>
      <c r="G233" s="2"/>
      <c r="H233" s="37">
        <v>6996</v>
      </c>
      <c r="I233" s="4">
        <f t="shared" si="12"/>
        <v>58.3</v>
      </c>
      <c r="J233" s="25">
        <f t="shared" si="10"/>
        <v>7</v>
      </c>
    </row>
    <row r="234" spans="1:10" ht="16.95" customHeight="1">
      <c r="A234" s="75" t="s">
        <v>87</v>
      </c>
      <c r="B234" s="80" t="s">
        <v>88</v>
      </c>
      <c r="C234" s="77" t="s">
        <v>48</v>
      </c>
      <c r="D234" s="78">
        <v>1</v>
      </c>
      <c r="E234" s="79">
        <f>1/120</f>
        <v>8.3333333333333332E-3</v>
      </c>
      <c r="F234" s="79" t="e">
        <f t="shared" si="11"/>
        <v>#REF!</v>
      </c>
      <c r="G234" s="2"/>
      <c r="H234" s="37">
        <v>116952</v>
      </c>
      <c r="I234" s="4">
        <f t="shared" si="12"/>
        <v>974.6</v>
      </c>
      <c r="J234" s="25">
        <f t="shared" si="10"/>
        <v>7</v>
      </c>
    </row>
    <row r="235" spans="1:10" ht="16.95" customHeight="1">
      <c r="A235" s="95" t="s">
        <v>23</v>
      </c>
      <c r="B235" s="95"/>
      <c r="C235" s="50"/>
      <c r="D235" s="50"/>
      <c r="E235" s="50"/>
      <c r="F235" s="50"/>
      <c r="G235" s="50"/>
      <c r="H235" s="3" t="s">
        <v>24</v>
      </c>
      <c r="I235" s="5">
        <f>SUM(I200:I234)</f>
        <v>2637.5250000000001</v>
      </c>
      <c r="J235" s="25">
        <f t="shared" si="10"/>
        <v>7</v>
      </c>
    </row>
    <row r="236" spans="1:10" ht="16.95" customHeight="1">
      <c r="A236" s="96" t="s">
        <v>25</v>
      </c>
      <c r="B236" s="96"/>
      <c r="C236" s="50"/>
      <c r="D236" s="50"/>
      <c r="E236" s="50"/>
      <c r="F236" s="50"/>
      <c r="G236" s="50"/>
      <c r="J236" s="25">
        <f t="shared" si="10"/>
        <v>7</v>
      </c>
    </row>
    <row r="237" spans="1:10" ht="16.95" customHeight="1">
      <c r="A237" s="96" t="s">
        <v>26</v>
      </c>
      <c r="B237" s="96"/>
      <c r="C237" s="50"/>
      <c r="D237" s="50"/>
      <c r="E237" s="50"/>
      <c r="F237" s="50"/>
      <c r="G237" s="50"/>
      <c r="J237" s="25">
        <f t="shared" si="10"/>
        <v>7</v>
      </c>
    </row>
    <row r="238" spans="1:10" ht="16.95" customHeight="1">
      <c r="A238" s="95" t="s">
        <v>27</v>
      </c>
      <c r="B238" s="95"/>
      <c r="C238" s="95"/>
      <c r="D238" s="95"/>
      <c r="E238" s="95"/>
      <c r="F238" s="95"/>
      <c r="G238" s="95"/>
      <c r="J238" s="25">
        <f t="shared" si="10"/>
        <v>7</v>
      </c>
    </row>
    <row r="239" spans="1:10" ht="16.95" customHeight="1">
      <c r="A239" s="94" t="s">
        <v>28</v>
      </c>
      <c r="B239" s="94"/>
      <c r="C239" s="51" t="s">
        <v>29</v>
      </c>
      <c r="D239" s="51" t="s">
        <v>30</v>
      </c>
      <c r="E239" s="51" t="s">
        <v>18</v>
      </c>
      <c r="F239" s="51" t="s">
        <v>31</v>
      </c>
      <c r="G239" s="51" t="s">
        <v>20</v>
      </c>
      <c r="J239" s="25">
        <f t="shared" si="10"/>
        <v>7</v>
      </c>
    </row>
    <row r="240" spans="1:10" ht="16.95" customHeight="1">
      <c r="A240" s="96"/>
      <c r="B240" s="96"/>
      <c r="C240" s="50"/>
      <c r="D240" s="50"/>
      <c r="E240" s="50"/>
      <c r="F240" s="50"/>
      <c r="G240" s="51"/>
      <c r="J240" s="25">
        <f t="shared" si="10"/>
        <v>7</v>
      </c>
    </row>
    <row r="241" spans="1:10" ht="16.95" customHeight="1">
      <c r="A241" s="97"/>
      <c r="B241" s="97"/>
      <c r="C241" s="50"/>
      <c r="D241" s="50"/>
      <c r="E241" s="50"/>
      <c r="F241" s="51"/>
      <c r="G241" s="51"/>
      <c r="J241" s="25">
        <f t="shared" si="10"/>
        <v>7</v>
      </c>
    </row>
    <row r="242" spans="1:10" ht="16.95" customHeight="1">
      <c r="A242" s="95" t="s">
        <v>32</v>
      </c>
      <c r="B242" s="95"/>
      <c r="C242" s="95"/>
      <c r="D242" s="95"/>
      <c r="E242" s="95"/>
      <c r="F242" s="95"/>
      <c r="G242" s="95"/>
      <c r="J242" s="25">
        <f t="shared" si="10"/>
        <v>8</v>
      </c>
    </row>
    <row r="243" spans="1:10" ht="16.95" customHeight="1">
      <c r="A243" s="51" t="s">
        <v>33</v>
      </c>
      <c r="B243" s="51" t="s">
        <v>34</v>
      </c>
      <c r="C243" s="94" t="s">
        <v>35</v>
      </c>
      <c r="D243" s="94"/>
      <c r="E243" s="51" t="s">
        <v>36</v>
      </c>
      <c r="F243" s="51" t="s">
        <v>37</v>
      </c>
      <c r="G243" s="51" t="s">
        <v>38</v>
      </c>
      <c r="J243" s="25">
        <f t="shared" si="10"/>
        <v>8</v>
      </c>
    </row>
    <row r="244" spans="1:10" ht="16.95" customHeight="1">
      <c r="A244" s="51" t="s">
        <v>39</v>
      </c>
      <c r="B244" s="6"/>
      <c r="C244" s="94" t="e">
        <f>B244+C181</f>
        <v>#REF!</v>
      </c>
      <c r="D244" s="94"/>
      <c r="E244" s="51"/>
      <c r="F244" s="24"/>
      <c r="G244" s="24"/>
      <c r="J244" s="25">
        <f t="shared" si="10"/>
        <v>8</v>
      </c>
    </row>
    <row r="245" spans="1:10" ht="16.95" customHeight="1">
      <c r="A245" s="51" t="s">
        <v>40</v>
      </c>
      <c r="B245" s="6"/>
      <c r="C245" s="94" t="e">
        <f>B245+C182</f>
        <v>#REF!</v>
      </c>
      <c r="D245" s="94"/>
      <c r="E245" s="51"/>
      <c r="F245" s="24"/>
      <c r="G245" s="24"/>
      <c r="J245" s="25">
        <f t="shared" si="10"/>
        <v>8</v>
      </c>
    </row>
    <row r="246" spans="1:10" ht="36.6" customHeight="1">
      <c r="A246" s="95" t="s">
        <v>41</v>
      </c>
      <c r="B246" s="95"/>
      <c r="C246" s="95"/>
      <c r="D246" s="95"/>
      <c r="E246" s="95"/>
      <c r="F246" s="95"/>
      <c r="G246" s="95"/>
      <c r="J246" s="25">
        <f t="shared" si="10"/>
        <v>8</v>
      </c>
    </row>
    <row r="247" spans="1:10" ht="90" customHeight="1">
      <c r="A247" s="92" t="s">
        <v>42</v>
      </c>
      <c r="B247" s="92"/>
      <c r="C247" s="92"/>
      <c r="D247" s="92"/>
      <c r="E247" s="92"/>
      <c r="F247" s="92"/>
      <c r="G247" s="92"/>
      <c r="J247" s="25">
        <f t="shared" si="10"/>
        <v>8</v>
      </c>
    </row>
    <row r="248" spans="1:10" ht="16.95" customHeight="1">
      <c r="A248" s="95" t="s">
        <v>43</v>
      </c>
      <c r="B248" s="95"/>
      <c r="C248" s="95"/>
      <c r="D248" s="95"/>
      <c r="E248" s="95"/>
      <c r="F248" s="95"/>
      <c r="G248" s="95"/>
      <c r="J248" s="25">
        <f t="shared" si="10"/>
        <v>8</v>
      </c>
    </row>
    <row r="249" spans="1:10" ht="16.95" customHeight="1">
      <c r="A249" s="95" t="s">
        <v>44</v>
      </c>
      <c r="B249" s="95"/>
      <c r="C249" s="95"/>
      <c r="D249" s="95"/>
      <c r="E249" s="95"/>
      <c r="F249" s="95"/>
      <c r="G249" s="95"/>
      <c r="J249" s="25">
        <f t="shared" si="10"/>
        <v>8</v>
      </c>
    </row>
    <row r="250" spans="1:10" ht="16.95" customHeight="1">
      <c r="A250" s="91" t="s">
        <v>64</v>
      </c>
      <c r="B250" s="91"/>
      <c r="C250" s="91"/>
      <c r="D250" s="91"/>
      <c r="E250" s="91"/>
      <c r="F250" s="91"/>
      <c r="G250" s="91"/>
      <c r="J250" s="25">
        <f t="shared" si="10"/>
        <v>8</v>
      </c>
    </row>
    <row r="251" spans="1:10" ht="120.6" customHeight="1">
      <c r="A251" s="92" t="s">
        <v>45</v>
      </c>
      <c r="B251" s="92"/>
      <c r="C251" s="92"/>
      <c r="D251" s="92"/>
      <c r="E251" s="92"/>
      <c r="F251" s="92"/>
      <c r="G251" s="92"/>
      <c r="J251" s="25">
        <f t="shared" si="10"/>
        <v>8</v>
      </c>
    </row>
    <row r="252" spans="1:10" ht="140.4" customHeight="1">
      <c r="A252" s="93" t="s">
        <v>46</v>
      </c>
      <c r="B252" s="93"/>
      <c r="C252" s="93"/>
      <c r="D252" s="93"/>
      <c r="E252" s="93"/>
      <c r="F252" s="93"/>
      <c r="G252" s="93"/>
      <c r="J252" s="25">
        <f t="shared" si="10"/>
        <v>8</v>
      </c>
    </row>
    <row r="253" spans="1:10" ht="37.200000000000003" customHeight="1">
      <c r="A253" s="103" t="s">
        <v>0</v>
      </c>
      <c r="B253" s="103"/>
      <c r="C253" s="103"/>
      <c r="D253" s="103"/>
      <c r="E253" s="103"/>
      <c r="F253" s="103"/>
      <c r="G253" s="103"/>
      <c r="J253" s="25">
        <f t="shared" si="10"/>
        <v>9</v>
      </c>
    </row>
    <row r="254" spans="1:10" ht="16.95" customHeight="1">
      <c r="A254" s="1" t="s">
        <v>1</v>
      </c>
      <c r="B254" s="104">
        <f>B191+1</f>
        <v>6</v>
      </c>
      <c r="C254" s="104"/>
      <c r="D254" s="104"/>
      <c r="E254" s="104"/>
      <c r="F254" s="104"/>
      <c r="G254" s="104"/>
      <c r="J254" s="25">
        <f t="shared" si="10"/>
        <v>9</v>
      </c>
    </row>
    <row r="255" spans="1:10" ht="16.95" customHeight="1">
      <c r="A255" s="1" t="s">
        <v>2</v>
      </c>
      <c r="B255" s="105" t="s">
        <v>63</v>
      </c>
      <c r="C255" s="105"/>
      <c r="D255" s="105"/>
      <c r="E255" s="106">
        <f>E192+1</f>
        <v>46208</v>
      </c>
      <c r="F255" s="106"/>
      <c r="G255" s="106"/>
      <c r="J255" s="25">
        <f t="shared" si="10"/>
        <v>9</v>
      </c>
    </row>
    <row r="256" spans="1:10" ht="16.95" customHeight="1">
      <c r="A256" s="53" t="s">
        <v>3</v>
      </c>
      <c r="B256" s="2" t="s">
        <v>67</v>
      </c>
      <c r="C256" s="98" t="s">
        <v>4</v>
      </c>
      <c r="D256" s="98"/>
      <c r="E256" s="98" t="s">
        <v>47</v>
      </c>
      <c r="F256" s="98"/>
      <c r="G256" s="98"/>
      <c r="J256" s="25">
        <f t="shared" ref="J256:J319" si="14">J193+2</f>
        <v>9</v>
      </c>
    </row>
    <row r="257" spans="1:10" ht="16.95" customHeight="1">
      <c r="A257" s="53" t="s">
        <v>5</v>
      </c>
      <c r="B257" s="54">
        <v>120</v>
      </c>
      <c r="C257" s="98" t="s">
        <v>6</v>
      </c>
      <c r="D257" s="98"/>
      <c r="E257" s="98" t="s">
        <v>123</v>
      </c>
      <c r="F257" s="98"/>
      <c r="G257" s="98"/>
      <c r="J257" s="25">
        <f t="shared" si="14"/>
        <v>9</v>
      </c>
    </row>
    <row r="258" spans="1:10" ht="16.95" customHeight="1">
      <c r="A258" s="53" t="s">
        <v>7</v>
      </c>
      <c r="B258" s="54">
        <f>B254</f>
        <v>6</v>
      </c>
      <c r="C258" s="100" t="s">
        <v>8</v>
      </c>
      <c r="D258" s="100"/>
      <c r="E258" s="101">
        <f>B257-B258</f>
        <v>114</v>
      </c>
      <c r="F258" s="101"/>
      <c r="G258" s="101"/>
      <c r="J258" s="25">
        <f t="shared" si="14"/>
        <v>9</v>
      </c>
    </row>
    <row r="259" spans="1:10" ht="16.95" customHeight="1">
      <c r="A259" s="53" t="s">
        <v>9</v>
      </c>
      <c r="B259" s="55">
        <v>46204</v>
      </c>
      <c r="C259" s="98" t="s">
        <v>10</v>
      </c>
      <c r="D259" s="98"/>
      <c r="E259" s="102">
        <f>B259+B257-1</f>
        <v>46323</v>
      </c>
      <c r="F259" s="102"/>
      <c r="G259" s="102"/>
      <c r="J259" s="25">
        <f t="shared" si="14"/>
        <v>9</v>
      </c>
    </row>
    <row r="260" spans="1:10" ht="16.95" customHeight="1">
      <c r="A260" s="53" t="s">
        <v>11</v>
      </c>
      <c r="B260" s="56" t="e">
        <f>HLOOKUP(B254,進度表!$Q$2:$Z$3,2,1)+B197</f>
        <v>#REF!</v>
      </c>
      <c r="C260" s="98" t="s">
        <v>12</v>
      </c>
      <c r="D260" s="98"/>
      <c r="E260" s="99" t="e">
        <f>I298/I260+E197</f>
        <v>#REF!</v>
      </c>
      <c r="F260" s="99"/>
      <c r="G260" s="99"/>
      <c r="H260" s="3" t="s">
        <v>62</v>
      </c>
      <c r="I260" s="1">
        <v>2456000</v>
      </c>
      <c r="J260" s="25">
        <f t="shared" si="14"/>
        <v>9</v>
      </c>
    </row>
    <row r="261" spans="1:10" ht="16.95" customHeight="1">
      <c r="A261" s="98" t="s">
        <v>13</v>
      </c>
      <c r="B261" s="98"/>
      <c r="C261" s="98"/>
      <c r="D261" s="98"/>
      <c r="E261" s="98"/>
      <c r="F261" s="98"/>
      <c r="G261" s="98"/>
      <c r="J261" s="25">
        <f t="shared" si="14"/>
        <v>9</v>
      </c>
    </row>
    <row r="262" spans="1:10" ht="16.95" customHeight="1">
      <c r="A262" s="52" t="s">
        <v>14</v>
      </c>
      <c r="B262" s="52" t="s">
        <v>15</v>
      </c>
      <c r="C262" s="52" t="s">
        <v>16</v>
      </c>
      <c r="D262" s="52" t="s">
        <v>17</v>
      </c>
      <c r="E262" s="52" t="s">
        <v>18</v>
      </c>
      <c r="F262" s="52" t="s">
        <v>19</v>
      </c>
      <c r="G262" s="52" t="s">
        <v>20</v>
      </c>
      <c r="H262" s="3" t="s">
        <v>21</v>
      </c>
      <c r="I262" s="3" t="s">
        <v>22</v>
      </c>
      <c r="J262" s="25">
        <f t="shared" si="14"/>
        <v>9</v>
      </c>
    </row>
    <row r="263" spans="1:10" ht="16.95" customHeight="1">
      <c r="A263" s="75" t="s">
        <v>65</v>
      </c>
      <c r="B263" s="76" t="s">
        <v>69</v>
      </c>
      <c r="C263" s="77"/>
      <c r="D263" s="78"/>
      <c r="E263" s="79"/>
      <c r="F263" s="79"/>
      <c r="G263" s="2"/>
      <c r="H263" s="37"/>
      <c r="I263" s="4"/>
      <c r="J263" s="25">
        <f t="shared" si="14"/>
        <v>9</v>
      </c>
    </row>
    <row r="264" spans="1:10" ht="34.950000000000003" customHeight="1">
      <c r="A264" s="75">
        <v>1</v>
      </c>
      <c r="B264" s="80" t="s">
        <v>91</v>
      </c>
      <c r="C264" s="77" t="s">
        <v>48</v>
      </c>
      <c r="D264" s="78">
        <v>1</v>
      </c>
      <c r="E264" s="79"/>
      <c r="F264" s="79" t="e">
        <f t="shared" ref="F264:F297" si="15">E264+F201</f>
        <v>#REF!</v>
      </c>
      <c r="G264" s="2"/>
      <c r="H264" s="37">
        <v>10508</v>
      </c>
      <c r="I264" s="4">
        <f>H264*E264</f>
        <v>0</v>
      </c>
      <c r="J264" s="25">
        <f t="shared" si="14"/>
        <v>9</v>
      </c>
    </row>
    <row r="265" spans="1:10" ht="34.799999999999997" customHeight="1">
      <c r="A265" s="75">
        <v>2</v>
      </c>
      <c r="B265" s="80" t="s">
        <v>92</v>
      </c>
      <c r="C265" s="77" t="s">
        <v>48</v>
      </c>
      <c r="D265" s="78">
        <v>1</v>
      </c>
      <c r="E265" s="79"/>
      <c r="F265" s="79" t="e">
        <f t="shared" si="15"/>
        <v>#REF!</v>
      </c>
      <c r="G265" s="2"/>
      <c r="H265" s="37">
        <v>13223</v>
      </c>
      <c r="I265" s="4">
        <f>H265*E265</f>
        <v>0</v>
      </c>
      <c r="J265" s="25">
        <f t="shared" si="14"/>
        <v>9</v>
      </c>
    </row>
    <row r="266" spans="1:10" ht="53.4" customHeight="1">
      <c r="A266" s="75">
        <v>3</v>
      </c>
      <c r="B266" s="80" t="s">
        <v>93</v>
      </c>
      <c r="C266" s="77" t="s">
        <v>48</v>
      </c>
      <c r="D266" s="78">
        <v>1</v>
      </c>
      <c r="E266" s="79"/>
      <c r="F266" s="79" t="e">
        <f t="shared" si="15"/>
        <v>#REF!</v>
      </c>
      <c r="G266" s="2"/>
      <c r="H266" s="37">
        <v>310497</v>
      </c>
      <c r="I266" s="4">
        <f t="shared" ref="I266:I297" si="16">H266*E266</f>
        <v>0</v>
      </c>
      <c r="J266" s="25">
        <f t="shared" si="14"/>
        <v>9</v>
      </c>
    </row>
    <row r="267" spans="1:10" ht="16.95" customHeight="1">
      <c r="A267" s="75">
        <v>4</v>
      </c>
      <c r="B267" s="80" t="s">
        <v>94</v>
      </c>
      <c r="C267" s="77" t="s">
        <v>48</v>
      </c>
      <c r="D267" s="78">
        <v>1</v>
      </c>
      <c r="E267" s="79"/>
      <c r="F267" s="79" t="e">
        <f t="shared" si="15"/>
        <v>#REF!</v>
      </c>
      <c r="G267" s="2"/>
      <c r="H267" s="37">
        <v>8375</v>
      </c>
      <c r="I267" s="4">
        <f t="shared" si="16"/>
        <v>0</v>
      </c>
      <c r="J267" s="25">
        <f t="shared" si="14"/>
        <v>9</v>
      </c>
    </row>
    <row r="268" spans="1:10" ht="16.95" customHeight="1">
      <c r="A268" s="75">
        <v>5</v>
      </c>
      <c r="B268" s="80" t="s">
        <v>95</v>
      </c>
      <c r="C268" s="77" t="s">
        <v>48</v>
      </c>
      <c r="D268" s="78">
        <v>1</v>
      </c>
      <c r="E268" s="79"/>
      <c r="F268" s="79" t="e">
        <f t="shared" si="15"/>
        <v>#REF!</v>
      </c>
      <c r="G268" s="2"/>
      <c r="H268" s="37">
        <v>51618</v>
      </c>
      <c r="I268" s="4">
        <f t="shared" si="16"/>
        <v>0</v>
      </c>
      <c r="J268" s="25">
        <f t="shared" si="14"/>
        <v>9</v>
      </c>
    </row>
    <row r="269" spans="1:10" ht="16.95" customHeight="1">
      <c r="A269" s="75">
        <v>6</v>
      </c>
      <c r="B269" s="80" t="s">
        <v>96</v>
      </c>
      <c r="C269" s="77" t="s">
        <v>50</v>
      </c>
      <c r="D269" s="78">
        <v>11.55</v>
      </c>
      <c r="E269" s="79"/>
      <c r="F269" s="79" t="e">
        <f t="shared" si="15"/>
        <v>#REF!</v>
      </c>
      <c r="G269" s="2"/>
      <c r="H269" s="37">
        <v>1188</v>
      </c>
      <c r="I269" s="4">
        <f t="shared" si="16"/>
        <v>0</v>
      </c>
      <c r="J269" s="25">
        <f t="shared" si="14"/>
        <v>9</v>
      </c>
    </row>
    <row r="270" spans="1:10" ht="34.950000000000003" customHeight="1">
      <c r="A270" s="75">
        <v>7</v>
      </c>
      <c r="B270" s="80" t="s">
        <v>97</v>
      </c>
      <c r="C270" s="77" t="s">
        <v>48</v>
      </c>
      <c r="D270" s="78">
        <v>1</v>
      </c>
      <c r="E270" s="79"/>
      <c r="F270" s="79" t="e">
        <f t="shared" si="15"/>
        <v>#REF!</v>
      </c>
      <c r="G270" s="2"/>
      <c r="H270" s="37">
        <v>21157</v>
      </c>
      <c r="I270" s="4">
        <f t="shared" si="16"/>
        <v>0</v>
      </c>
      <c r="J270" s="25">
        <f t="shared" si="14"/>
        <v>9</v>
      </c>
    </row>
    <row r="271" spans="1:10" ht="16.95" customHeight="1">
      <c r="A271" s="75">
        <v>8</v>
      </c>
      <c r="B271" s="80" t="s">
        <v>98</v>
      </c>
      <c r="C271" s="77" t="s">
        <v>50</v>
      </c>
      <c r="D271" s="78">
        <v>387</v>
      </c>
      <c r="E271" s="79"/>
      <c r="F271" s="79" t="e">
        <f t="shared" si="15"/>
        <v>#REF!</v>
      </c>
      <c r="G271" s="2"/>
      <c r="H271" s="37">
        <v>705</v>
      </c>
      <c r="I271" s="4">
        <f t="shared" si="16"/>
        <v>0</v>
      </c>
      <c r="J271" s="25">
        <f t="shared" si="14"/>
        <v>9</v>
      </c>
    </row>
    <row r="272" spans="1:10" ht="16.95" customHeight="1">
      <c r="A272" s="75">
        <v>9</v>
      </c>
      <c r="B272" s="80" t="s">
        <v>99</v>
      </c>
      <c r="C272" s="77" t="s">
        <v>50</v>
      </c>
      <c r="D272" s="78">
        <v>170</v>
      </c>
      <c r="E272" s="79"/>
      <c r="F272" s="79" t="e">
        <f t="shared" si="15"/>
        <v>#REF!</v>
      </c>
      <c r="G272" s="2"/>
      <c r="H272" s="37">
        <v>617</v>
      </c>
      <c r="I272" s="4">
        <f t="shared" si="16"/>
        <v>0</v>
      </c>
      <c r="J272" s="25">
        <f t="shared" si="14"/>
        <v>9</v>
      </c>
    </row>
    <row r="273" spans="1:10" ht="16.95" customHeight="1">
      <c r="A273" s="75">
        <v>10</v>
      </c>
      <c r="B273" s="80" t="s">
        <v>100</v>
      </c>
      <c r="C273" s="77" t="s">
        <v>66</v>
      </c>
      <c r="D273" s="78">
        <v>15</v>
      </c>
      <c r="E273" s="79"/>
      <c r="F273" s="79" t="e">
        <f t="shared" si="15"/>
        <v>#REF!</v>
      </c>
      <c r="G273" s="2"/>
      <c r="H273" s="37">
        <v>617</v>
      </c>
      <c r="I273" s="4">
        <f t="shared" si="16"/>
        <v>0</v>
      </c>
      <c r="J273" s="25">
        <f t="shared" si="14"/>
        <v>9</v>
      </c>
    </row>
    <row r="274" spans="1:10" ht="16.95" customHeight="1">
      <c r="A274" s="75">
        <v>11</v>
      </c>
      <c r="B274" s="80" t="s">
        <v>101</v>
      </c>
      <c r="C274" s="77" t="s">
        <v>50</v>
      </c>
      <c r="D274" s="78">
        <v>75</v>
      </c>
      <c r="E274" s="79"/>
      <c r="F274" s="79" t="e">
        <f t="shared" si="15"/>
        <v>#REF!</v>
      </c>
      <c r="G274" s="2"/>
      <c r="H274" s="37">
        <v>1146</v>
      </c>
      <c r="I274" s="4">
        <f t="shared" si="16"/>
        <v>0</v>
      </c>
      <c r="J274" s="25">
        <f t="shared" si="14"/>
        <v>9</v>
      </c>
    </row>
    <row r="275" spans="1:10" ht="16.95" customHeight="1">
      <c r="A275" s="75">
        <v>12</v>
      </c>
      <c r="B275" s="80" t="s">
        <v>102</v>
      </c>
      <c r="C275" s="77" t="s">
        <v>50</v>
      </c>
      <c r="D275" s="78">
        <v>5</v>
      </c>
      <c r="E275" s="79"/>
      <c r="F275" s="79" t="e">
        <f t="shared" si="15"/>
        <v>#REF!</v>
      </c>
      <c r="G275" s="2"/>
      <c r="H275" s="37">
        <v>1455</v>
      </c>
      <c r="I275" s="4">
        <f t="shared" si="16"/>
        <v>0</v>
      </c>
      <c r="J275" s="25">
        <f t="shared" si="14"/>
        <v>9</v>
      </c>
    </row>
    <row r="276" spans="1:10" ht="16.95" customHeight="1">
      <c r="A276" s="75">
        <v>13</v>
      </c>
      <c r="B276" s="80" t="s">
        <v>103</v>
      </c>
      <c r="C276" s="77" t="s">
        <v>50</v>
      </c>
      <c r="D276" s="78">
        <v>217</v>
      </c>
      <c r="E276" s="79"/>
      <c r="F276" s="79" t="e">
        <f t="shared" si="15"/>
        <v>#REF!</v>
      </c>
      <c r="G276" s="2"/>
      <c r="H276" s="37">
        <v>1410</v>
      </c>
      <c r="I276" s="4">
        <f t="shared" si="16"/>
        <v>0</v>
      </c>
      <c r="J276" s="25">
        <f t="shared" si="14"/>
        <v>9</v>
      </c>
    </row>
    <row r="277" spans="1:10" ht="16.95" customHeight="1">
      <c r="A277" s="75">
        <v>14</v>
      </c>
      <c r="B277" s="80" t="s">
        <v>104</v>
      </c>
      <c r="C277" s="77" t="s">
        <v>49</v>
      </c>
      <c r="D277" s="78">
        <v>84</v>
      </c>
      <c r="E277" s="79"/>
      <c r="F277" s="79" t="e">
        <f t="shared" si="15"/>
        <v>#REF!</v>
      </c>
      <c r="G277" s="2"/>
      <c r="H277" s="37">
        <v>529</v>
      </c>
      <c r="I277" s="4">
        <f t="shared" si="16"/>
        <v>0</v>
      </c>
      <c r="J277" s="25">
        <f t="shared" si="14"/>
        <v>9</v>
      </c>
    </row>
    <row r="278" spans="1:10" ht="16.95" customHeight="1">
      <c r="A278" s="75">
        <v>15</v>
      </c>
      <c r="B278" s="80" t="s">
        <v>105</v>
      </c>
      <c r="C278" s="77" t="s">
        <v>50</v>
      </c>
      <c r="D278" s="78">
        <v>1</v>
      </c>
      <c r="E278" s="79"/>
      <c r="F278" s="79" t="e">
        <f t="shared" si="15"/>
        <v>#REF!</v>
      </c>
      <c r="G278" s="2"/>
      <c r="H278" s="37">
        <v>1146</v>
      </c>
      <c r="I278" s="4">
        <f t="shared" si="16"/>
        <v>0</v>
      </c>
      <c r="J278" s="25">
        <f t="shared" si="14"/>
        <v>9</v>
      </c>
    </row>
    <row r="279" spans="1:10" ht="34.799999999999997" customHeight="1">
      <c r="A279" s="75">
        <v>16</v>
      </c>
      <c r="B279" s="80" t="s">
        <v>106</v>
      </c>
      <c r="C279" s="77" t="s">
        <v>50</v>
      </c>
      <c r="D279" s="78">
        <v>314</v>
      </c>
      <c r="E279" s="79"/>
      <c r="F279" s="79" t="e">
        <f t="shared" si="15"/>
        <v>#REF!</v>
      </c>
      <c r="G279" s="2"/>
      <c r="H279" s="37">
        <v>185</v>
      </c>
      <c r="I279" s="4">
        <f t="shared" si="16"/>
        <v>0</v>
      </c>
      <c r="J279" s="25">
        <f t="shared" si="14"/>
        <v>9</v>
      </c>
    </row>
    <row r="280" spans="1:10" ht="16.95" customHeight="1">
      <c r="A280" s="75">
        <v>17</v>
      </c>
      <c r="B280" s="80" t="s">
        <v>107</v>
      </c>
      <c r="C280" s="77" t="s">
        <v>48</v>
      </c>
      <c r="D280" s="78">
        <v>1</v>
      </c>
      <c r="E280" s="79"/>
      <c r="F280" s="79" t="e">
        <f t="shared" si="15"/>
        <v>#REF!</v>
      </c>
      <c r="G280" s="2"/>
      <c r="H280" s="37">
        <v>89918</v>
      </c>
      <c r="I280" s="4">
        <f t="shared" si="16"/>
        <v>0</v>
      </c>
      <c r="J280" s="25">
        <f t="shared" si="14"/>
        <v>9</v>
      </c>
    </row>
    <row r="281" spans="1:10" ht="16.95" customHeight="1">
      <c r="A281" s="75">
        <v>18</v>
      </c>
      <c r="B281" s="80" t="s">
        <v>108</v>
      </c>
      <c r="C281" s="77" t="s">
        <v>120</v>
      </c>
      <c r="D281" s="78">
        <v>15</v>
      </c>
      <c r="E281" s="79"/>
      <c r="F281" s="79" t="e">
        <f t="shared" si="15"/>
        <v>#REF!</v>
      </c>
      <c r="G281" s="2"/>
      <c r="H281" s="37">
        <v>661</v>
      </c>
      <c r="I281" s="4">
        <f t="shared" si="16"/>
        <v>0</v>
      </c>
      <c r="J281" s="25">
        <f t="shared" si="14"/>
        <v>9</v>
      </c>
    </row>
    <row r="282" spans="1:10" ht="16.95" customHeight="1">
      <c r="A282" s="75">
        <v>19</v>
      </c>
      <c r="B282" s="80" t="s">
        <v>109</v>
      </c>
      <c r="C282" s="77" t="s">
        <v>50</v>
      </c>
      <c r="D282" s="78">
        <v>82</v>
      </c>
      <c r="E282" s="79"/>
      <c r="F282" s="79" t="e">
        <f t="shared" si="15"/>
        <v>#REF!</v>
      </c>
      <c r="G282" s="2"/>
      <c r="H282" s="37">
        <v>2909</v>
      </c>
      <c r="I282" s="4">
        <f t="shared" si="16"/>
        <v>0</v>
      </c>
      <c r="J282" s="25">
        <f t="shared" si="14"/>
        <v>9</v>
      </c>
    </row>
    <row r="283" spans="1:10" ht="16.95" customHeight="1">
      <c r="A283" s="75">
        <v>20</v>
      </c>
      <c r="B283" s="80" t="s">
        <v>110</v>
      </c>
      <c r="C283" s="77" t="s">
        <v>121</v>
      </c>
      <c r="D283" s="78">
        <v>12</v>
      </c>
      <c r="E283" s="79"/>
      <c r="F283" s="79" t="e">
        <f t="shared" si="15"/>
        <v>#REF!</v>
      </c>
      <c r="G283" s="2"/>
      <c r="H283" s="37">
        <v>882</v>
      </c>
      <c r="I283" s="4">
        <f t="shared" si="16"/>
        <v>0</v>
      </c>
      <c r="J283" s="25">
        <f t="shared" si="14"/>
        <v>9</v>
      </c>
    </row>
    <row r="284" spans="1:10" ht="16.95" customHeight="1">
      <c r="A284" s="77">
        <v>21</v>
      </c>
      <c r="B284" s="80" t="s">
        <v>111</v>
      </c>
      <c r="C284" s="77" t="s">
        <v>122</v>
      </c>
      <c r="D284" s="78">
        <v>3</v>
      </c>
      <c r="E284" s="79"/>
      <c r="F284" s="79" t="e">
        <f t="shared" si="15"/>
        <v>#REF!</v>
      </c>
      <c r="G284" s="2"/>
      <c r="H284" s="38">
        <v>1869</v>
      </c>
      <c r="I284" s="4">
        <f t="shared" si="16"/>
        <v>0</v>
      </c>
      <c r="J284" s="25">
        <f t="shared" si="14"/>
        <v>9</v>
      </c>
    </row>
    <row r="285" spans="1:10" ht="34.950000000000003" customHeight="1">
      <c r="A285" s="75">
        <v>22</v>
      </c>
      <c r="B285" s="80" t="s">
        <v>112</v>
      </c>
      <c r="C285" s="77" t="s">
        <v>48</v>
      </c>
      <c r="D285" s="78">
        <v>1</v>
      </c>
      <c r="E285" s="79"/>
      <c r="F285" s="79" t="e">
        <f t="shared" si="15"/>
        <v>#REF!</v>
      </c>
      <c r="G285" s="2"/>
      <c r="H285" s="37">
        <v>82206</v>
      </c>
      <c r="I285" s="4">
        <f t="shared" si="16"/>
        <v>0</v>
      </c>
      <c r="J285" s="25">
        <f t="shared" si="14"/>
        <v>9</v>
      </c>
    </row>
    <row r="286" spans="1:10" ht="16.95" customHeight="1">
      <c r="A286" s="75">
        <v>23</v>
      </c>
      <c r="B286" s="80" t="s">
        <v>113</v>
      </c>
      <c r="C286" s="77" t="s">
        <v>48</v>
      </c>
      <c r="D286" s="78">
        <v>1</v>
      </c>
      <c r="E286" s="79"/>
      <c r="F286" s="79" t="e">
        <f t="shared" si="15"/>
        <v>#REF!</v>
      </c>
      <c r="G286" s="2"/>
      <c r="H286" s="37">
        <v>142723</v>
      </c>
      <c r="I286" s="4">
        <f t="shared" si="16"/>
        <v>0</v>
      </c>
      <c r="J286" s="25">
        <f t="shared" si="14"/>
        <v>9</v>
      </c>
    </row>
    <row r="287" spans="1:10" ht="16.95" customHeight="1">
      <c r="A287" s="75">
        <v>24</v>
      </c>
      <c r="B287" s="80" t="s">
        <v>114</v>
      </c>
      <c r="C287" s="77" t="s">
        <v>48</v>
      </c>
      <c r="D287" s="78">
        <v>1</v>
      </c>
      <c r="E287" s="79"/>
      <c r="F287" s="79" t="e">
        <f t="shared" si="15"/>
        <v>#REF!</v>
      </c>
      <c r="G287" s="2"/>
      <c r="H287" s="37">
        <v>37290</v>
      </c>
      <c r="I287" s="4">
        <f t="shared" si="16"/>
        <v>0</v>
      </c>
      <c r="J287" s="25">
        <f t="shared" si="14"/>
        <v>9</v>
      </c>
    </row>
    <row r="288" spans="1:10" ht="16.95" customHeight="1">
      <c r="A288" s="75">
        <v>25</v>
      </c>
      <c r="B288" s="80" t="s">
        <v>115</v>
      </c>
      <c r="C288" s="77" t="s">
        <v>48</v>
      </c>
      <c r="D288" s="78">
        <v>1</v>
      </c>
      <c r="E288" s="79"/>
      <c r="F288" s="79" t="e">
        <f t="shared" si="15"/>
        <v>#REF!</v>
      </c>
      <c r="G288" s="2"/>
      <c r="H288" s="37">
        <v>99394</v>
      </c>
      <c r="I288" s="4">
        <f t="shared" si="16"/>
        <v>0</v>
      </c>
      <c r="J288" s="25">
        <f t="shared" si="14"/>
        <v>9</v>
      </c>
    </row>
    <row r="289" spans="1:10" ht="34.950000000000003" customHeight="1">
      <c r="A289" s="75">
        <v>26</v>
      </c>
      <c r="B289" s="80" t="s">
        <v>116</v>
      </c>
      <c r="C289" s="77" t="s">
        <v>48</v>
      </c>
      <c r="D289" s="78">
        <v>1</v>
      </c>
      <c r="E289" s="79"/>
      <c r="F289" s="79" t="e">
        <f t="shared" si="15"/>
        <v>#REF!</v>
      </c>
      <c r="G289" s="2"/>
      <c r="H289" s="37">
        <v>21334</v>
      </c>
      <c r="I289" s="4">
        <f t="shared" si="16"/>
        <v>0</v>
      </c>
      <c r="J289" s="25">
        <f t="shared" si="14"/>
        <v>9</v>
      </c>
    </row>
    <row r="290" spans="1:10" ht="16.95" customHeight="1">
      <c r="A290" s="75">
        <v>27</v>
      </c>
      <c r="B290" s="80" t="s">
        <v>117</v>
      </c>
      <c r="C290" s="77" t="s">
        <v>48</v>
      </c>
      <c r="D290" s="78">
        <v>1</v>
      </c>
      <c r="E290" s="79"/>
      <c r="F290" s="79" t="e">
        <f t="shared" si="15"/>
        <v>#REF!</v>
      </c>
      <c r="G290" s="2"/>
      <c r="H290" s="37">
        <v>29620</v>
      </c>
      <c r="I290" s="4">
        <f t="shared" si="16"/>
        <v>0</v>
      </c>
      <c r="J290" s="25">
        <f t="shared" si="14"/>
        <v>9</v>
      </c>
    </row>
    <row r="291" spans="1:10" ht="16.95" customHeight="1">
      <c r="A291" s="75">
        <v>28</v>
      </c>
      <c r="B291" s="80" t="s">
        <v>118</v>
      </c>
      <c r="C291" s="77" t="s">
        <v>48</v>
      </c>
      <c r="D291" s="78">
        <v>1</v>
      </c>
      <c r="E291" s="79"/>
      <c r="F291" s="79" t="e">
        <f t="shared" si="15"/>
        <v>#REF!</v>
      </c>
      <c r="G291" s="2"/>
      <c r="H291" s="37">
        <v>18506</v>
      </c>
      <c r="I291" s="4">
        <f t="shared" si="16"/>
        <v>0</v>
      </c>
      <c r="J291" s="25">
        <f t="shared" si="14"/>
        <v>9</v>
      </c>
    </row>
    <row r="292" spans="1:10" ht="16.95" customHeight="1">
      <c r="A292" s="75">
        <v>29</v>
      </c>
      <c r="B292" s="80" t="s">
        <v>119</v>
      </c>
      <c r="C292" s="77" t="s">
        <v>48</v>
      </c>
      <c r="D292" s="78">
        <v>1</v>
      </c>
      <c r="E292" s="79"/>
      <c r="F292" s="79" t="e">
        <f t="shared" si="15"/>
        <v>#REF!</v>
      </c>
      <c r="G292" s="2"/>
      <c r="H292" s="37">
        <v>34381</v>
      </c>
      <c r="I292" s="4">
        <f t="shared" si="16"/>
        <v>0</v>
      </c>
      <c r="J292" s="25">
        <f t="shared" si="14"/>
        <v>9</v>
      </c>
    </row>
    <row r="293" spans="1:10" ht="16.95" customHeight="1">
      <c r="A293" s="75" t="s">
        <v>79</v>
      </c>
      <c r="B293" s="80" t="s">
        <v>80</v>
      </c>
      <c r="C293" s="77" t="s">
        <v>48</v>
      </c>
      <c r="D293" s="78">
        <v>1</v>
      </c>
      <c r="E293" s="79">
        <f t="shared" ref="E293:E296" si="17">1/120</f>
        <v>8.3333333333333332E-3</v>
      </c>
      <c r="F293" s="79" t="e">
        <f t="shared" si="15"/>
        <v>#REF!</v>
      </c>
      <c r="G293" s="2"/>
      <c r="H293" s="37">
        <v>21395</v>
      </c>
      <c r="I293" s="4">
        <f t="shared" si="16"/>
        <v>178.29166666666666</v>
      </c>
      <c r="J293" s="25">
        <f t="shared" si="14"/>
        <v>9</v>
      </c>
    </row>
    <row r="294" spans="1:10" ht="16.95" customHeight="1">
      <c r="A294" s="75" t="s">
        <v>81</v>
      </c>
      <c r="B294" s="80" t="s">
        <v>82</v>
      </c>
      <c r="C294" s="77" t="s">
        <v>48</v>
      </c>
      <c r="D294" s="78">
        <v>1</v>
      </c>
      <c r="E294" s="79">
        <f t="shared" si="17"/>
        <v>8.3333333333333332E-3</v>
      </c>
      <c r="F294" s="79" t="e">
        <f t="shared" si="15"/>
        <v>#REF!</v>
      </c>
      <c r="G294" s="2"/>
      <c r="H294" s="37">
        <v>21395</v>
      </c>
      <c r="I294" s="4">
        <f t="shared" si="16"/>
        <v>178.29166666666666</v>
      </c>
      <c r="J294" s="25">
        <f t="shared" si="14"/>
        <v>9</v>
      </c>
    </row>
    <row r="295" spans="1:10" ht="16.95" customHeight="1">
      <c r="A295" s="75" t="s">
        <v>83</v>
      </c>
      <c r="B295" s="80" t="s">
        <v>84</v>
      </c>
      <c r="C295" s="77" t="s">
        <v>48</v>
      </c>
      <c r="D295" s="78">
        <v>1</v>
      </c>
      <c r="E295" s="79">
        <f t="shared" si="17"/>
        <v>8.3333333333333332E-3</v>
      </c>
      <c r="F295" s="79" t="e">
        <f t="shared" si="15"/>
        <v>#REF!</v>
      </c>
      <c r="G295" s="2"/>
      <c r="H295" s="37">
        <v>149765</v>
      </c>
      <c r="I295" s="4">
        <f t="shared" si="16"/>
        <v>1248.0416666666667</v>
      </c>
      <c r="J295" s="25">
        <f t="shared" si="14"/>
        <v>9</v>
      </c>
    </row>
    <row r="296" spans="1:10" ht="16.95" customHeight="1">
      <c r="A296" s="75" t="s">
        <v>85</v>
      </c>
      <c r="B296" s="80" t="s">
        <v>86</v>
      </c>
      <c r="C296" s="77" t="s">
        <v>48</v>
      </c>
      <c r="D296" s="78">
        <v>1</v>
      </c>
      <c r="E296" s="79">
        <f t="shared" si="17"/>
        <v>8.3333333333333332E-3</v>
      </c>
      <c r="F296" s="79" t="e">
        <f t="shared" si="15"/>
        <v>#REF!</v>
      </c>
      <c r="G296" s="2"/>
      <c r="H296" s="37">
        <v>6996</v>
      </c>
      <c r="I296" s="4">
        <f t="shared" si="16"/>
        <v>58.3</v>
      </c>
      <c r="J296" s="25">
        <f t="shared" si="14"/>
        <v>9</v>
      </c>
    </row>
    <row r="297" spans="1:10" ht="16.95" customHeight="1">
      <c r="A297" s="75" t="s">
        <v>87</v>
      </c>
      <c r="B297" s="80" t="s">
        <v>88</v>
      </c>
      <c r="C297" s="77" t="s">
        <v>48</v>
      </c>
      <c r="D297" s="78">
        <v>1</v>
      </c>
      <c r="E297" s="79">
        <f>1/120</f>
        <v>8.3333333333333332E-3</v>
      </c>
      <c r="F297" s="79" t="e">
        <f t="shared" si="15"/>
        <v>#REF!</v>
      </c>
      <c r="G297" s="2"/>
      <c r="H297" s="37">
        <v>116952</v>
      </c>
      <c r="I297" s="4">
        <f t="shared" si="16"/>
        <v>974.6</v>
      </c>
      <c r="J297" s="25">
        <f t="shared" si="14"/>
        <v>9</v>
      </c>
    </row>
    <row r="298" spans="1:10" ht="16.95" customHeight="1">
      <c r="A298" s="95" t="s">
        <v>23</v>
      </c>
      <c r="B298" s="95"/>
      <c r="C298" s="50"/>
      <c r="D298" s="50"/>
      <c r="E298" s="50"/>
      <c r="F298" s="50"/>
      <c r="G298" s="50"/>
      <c r="H298" s="3" t="s">
        <v>24</v>
      </c>
      <c r="I298" s="5">
        <f>SUM(I263:I297)</f>
        <v>2637.5250000000001</v>
      </c>
      <c r="J298" s="25">
        <f t="shared" si="14"/>
        <v>9</v>
      </c>
    </row>
    <row r="299" spans="1:10" ht="16.95" customHeight="1">
      <c r="A299" s="96" t="s">
        <v>25</v>
      </c>
      <c r="B299" s="96"/>
      <c r="C299" s="50"/>
      <c r="D299" s="50"/>
      <c r="E299" s="50"/>
      <c r="F299" s="50"/>
      <c r="G299" s="50"/>
      <c r="J299" s="25">
        <f t="shared" si="14"/>
        <v>9</v>
      </c>
    </row>
    <row r="300" spans="1:10" ht="16.95" customHeight="1">
      <c r="A300" s="96" t="s">
        <v>26</v>
      </c>
      <c r="B300" s="96"/>
      <c r="C300" s="50"/>
      <c r="D300" s="50"/>
      <c r="E300" s="50"/>
      <c r="F300" s="50"/>
      <c r="G300" s="50"/>
      <c r="J300" s="25">
        <f t="shared" si="14"/>
        <v>9</v>
      </c>
    </row>
    <row r="301" spans="1:10" ht="16.95" customHeight="1">
      <c r="A301" s="95" t="s">
        <v>27</v>
      </c>
      <c r="B301" s="95"/>
      <c r="C301" s="95"/>
      <c r="D301" s="95"/>
      <c r="E301" s="95"/>
      <c r="F301" s="95"/>
      <c r="G301" s="95"/>
      <c r="J301" s="25">
        <f t="shared" si="14"/>
        <v>9</v>
      </c>
    </row>
    <row r="302" spans="1:10" ht="16.95" customHeight="1">
      <c r="A302" s="94" t="s">
        <v>28</v>
      </c>
      <c r="B302" s="94"/>
      <c r="C302" s="51" t="s">
        <v>29</v>
      </c>
      <c r="D302" s="51" t="s">
        <v>30</v>
      </c>
      <c r="E302" s="51" t="s">
        <v>18</v>
      </c>
      <c r="F302" s="51" t="s">
        <v>31</v>
      </c>
      <c r="G302" s="51" t="s">
        <v>20</v>
      </c>
      <c r="J302" s="25">
        <f t="shared" si="14"/>
        <v>9</v>
      </c>
    </row>
    <row r="303" spans="1:10" ht="16.95" customHeight="1">
      <c r="A303" s="96"/>
      <c r="B303" s="96"/>
      <c r="C303" s="50"/>
      <c r="D303" s="50"/>
      <c r="E303" s="50"/>
      <c r="F303" s="50"/>
      <c r="G303" s="51"/>
      <c r="J303" s="25">
        <f t="shared" si="14"/>
        <v>9</v>
      </c>
    </row>
    <row r="304" spans="1:10" ht="16.95" customHeight="1">
      <c r="A304" s="97"/>
      <c r="B304" s="97"/>
      <c r="C304" s="50"/>
      <c r="D304" s="50"/>
      <c r="E304" s="50"/>
      <c r="F304" s="51"/>
      <c r="G304" s="51"/>
      <c r="J304" s="25">
        <f t="shared" si="14"/>
        <v>9</v>
      </c>
    </row>
    <row r="305" spans="1:10" ht="16.95" customHeight="1">
      <c r="A305" s="95" t="s">
        <v>32</v>
      </c>
      <c r="B305" s="95"/>
      <c r="C305" s="95"/>
      <c r="D305" s="95"/>
      <c r="E305" s="95"/>
      <c r="F305" s="95"/>
      <c r="G305" s="95"/>
      <c r="J305" s="25">
        <f t="shared" si="14"/>
        <v>10</v>
      </c>
    </row>
    <row r="306" spans="1:10" ht="16.95" customHeight="1">
      <c r="A306" s="51" t="s">
        <v>33</v>
      </c>
      <c r="B306" s="51" t="s">
        <v>34</v>
      </c>
      <c r="C306" s="94" t="s">
        <v>35</v>
      </c>
      <c r="D306" s="94"/>
      <c r="E306" s="51" t="s">
        <v>36</v>
      </c>
      <c r="F306" s="51" t="s">
        <v>37</v>
      </c>
      <c r="G306" s="51" t="s">
        <v>38</v>
      </c>
      <c r="J306" s="25">
        <f t="shared" si="14"/>
        <v>10</v>
      </c>
    </row>
    <row r="307" spans="1:10" ht="16.95" customHeight="1">
      <c r="A307" s="51" t="s">
        <v>39</v>
      </c>
      <c r="B307" s="6"/>
      <c r="C307" s="94" t="e">
        <f>B307+C244</f>
        <v>#REF!</v>
      </c>
      <c r="D307" s="94"/>
      <c r="E307" s="51"/>
      <c r="F307" s="24"/>
      <c r="G307" s="24"/>
      <c r="J307" s="25">
        <f t="shared" si="14"/>
        <v>10</v>
      </c>
    </row>
    <row r="308" spans="1:10" ht="16.95" customHeight="1">
      <c r="A308" s="51" t="s">
        <v>40</v>
      </c>
      <c r="B308" s="6"/>
      <c r="C308" s="94" t="e">
        <f>B308+C245</f>
        <v>#REF!</v>
      </c>
      <c r="D308" s="94"/>
      <c r="E308" s="51"/>
      <c r="F308" s="24"/>
      <c r="G308" s="24"/>
      <c r="J308" s="25">
        <f t="shared" si="14"/>
        <v>10</v>
      </c>
    </row>
    <row r="309" spans="1:10" ht="36.6" customHeight="1">
      <c r="A309" s="95" t="s">
        <v>41</v>
      </c>
      <c r="B309" s="95"/>
      <c r="C309" s="95"/>
      <c r="D309" s="95"/>
      <c r="E309" s="95"/>
      <c r="F309" s="95"/>
      <c r="G309" s="95"/>
      <c r="J309" s="25">
        <f t="shared" si="14"/>
        <v>10</v>
      </c>
    </row>
    <row r="310" spans="1:10" ht="90" customHeight="1">
      <c r="A310" s="92" t="s">
        <v>42</v>
      </c>
      <c r="B310" s="92"/>
      <c r="C310" s="92"/>
      <c r="D310" s="92"/>
      <c r="E310" s="92"/>
      <c r="F310" s="92"/>
      <c r="G310" s="92"/>
      <c r="J310" s="25">
        <f t="shared" si="14"/>
        <v>10</v>
      </c>
    </row>
    <row r="311" spans="1:10" ht="16.95" customHeight="1">
      <c r="A311" s="95" t="s">
        <v>43</v>
      </c>
      <c r="B311" s="95"/>
      <c r="C311" s="95"/>
      <c r="D311" s="95"/>
      <c r="E311" s="95"/>
      <c r="F311" s="95"/>
      <c r="G311" s="95"/>
      <c r="J311" s="25">
        <f t="shared" si="14"/>
        <v>10</v>
      </c>
    </row>
    <row r="312" spans="1:10" ht="16.95" customHeight="1">
      <c r="A312" s="95" t="s">
        <v>44</v>
      </c>
      <c r="B312" s="95"/>
      <c r="C312" s="95"/>
      <c r="D312" s="95"/>
      <c r="E312" s="95"/>
      <c r="F312" s="95"/>
      <c r="G312" s="95"/>
      <c r="J312" s="25">
        <f t="shared" si="14"/>
        <v>10</v>
      </c>
    </row>
    <row r="313" spans="1:10" ht="16.95" customHeight="1">
      <c r="A313" s="91" t="s">
        <v>64</v>
      </c>
      <c r="B313" s="91"/>
      <c r="C313" s="91"/>
      <c r="D313" s="91"/>
      <c r="E313" s="91"/>
      <c r="F313" s="91"/>
      <c r="G313" s="91"/>
      <c r="J313" s="25">
        <f t="shared" si="14"/>
        <v>10</v>
      </c>
    </row>
    <row r="314" spans="1:10" ht="120.6" customHeight="1">
      <c r="A314" s="92" t="s">
        <v>45</v>
      </c>
      <c r="B314" s="92"/>
      <c r="C314" s="92"/>
      <c r="D314" s="92"/>
      <c r="E314" s="92"/>
      <c r="F314" s="92"/>
      <c r="G314" s="92"/>
      <c r="J314" s="25">
        <f t="shared" si="14"/>
        <v>10</v>
      </c>
    </row>
    <row r="315" spans="1:10" ht="140.4" customHeight="1">
      <c r="A315" s="93" t="s">
        <v>46</v>
      </c>
      <c r="B315" s="93"/>
      <c r="C315" s="93"/>
      <c r="D315" s="93"/>
      <c r="E315" s="93"/>
      <c r="F315" s="93"/>
      <c r="G315" s="93"/>
      <c r="J315" s="25">
        <f t="shared" si="14"/>
        <v>10</v>
      </c>
    </row>
    <row r="316" spans="1:10" ht="37.200000000000003" customHeight="1">
      <c r="A316" s="103" t="s">
        <v>0</v>
      </c>
      <c r="B316" s="103"/>
      <c r="C316" s="103"/>
      <c r="D316" s="103"/>
      <c r="E316" s="103"/>
      <c r="F316" s="103"/>
      <c r="G316" s="103"/>
      <c r="J316" s="25">
        <f t="shared" si="14"/>
        <v>11</v>
      </c>
    </row>
    <row r="317" spans="1:10" ht="16.95" customHeight="1">
      <c r="A317" s="1" t="s">
        <v>1</v>
      </c>
      <c r="B317" s="104">
        <f>B254+1</f>
        <v>7</v>
      </c>
      <c r="C317" s="104"/>
      <c r="D317" s="104"/>
      <c r="E317" s="104"/>
      <c r="F317" s="104"/>
      <c r="G317" s="104"/>
      <c r="J317" s="25">
        <f t="shared" si="14"/>
        <v>11</v>
      </c>
    </row>
    <row r="318" spans="1:10" ht="16.95" customHeight="1">
      <c r="A318" s="1" t="s">
        <v>2</v>
      </c>
      <c r="B318" s="105" t="s">
        <v>63</v>
      </c>
      <c r="C318" s="105"/>
      <c r="D318" s="105"/>
      <c r="E318" s="106">
        <f>E255+1</f>
        <v>46209</v>
      </c>
      <c r="F318" s="106"/>
      <c r="G318" s="106"/>
      <c r="J318" s="25">
        <f t="shared" si="14"/>
        <v>11</v>
      </c>
    </row>
    <row r="319" spans="1:10" ht="16.95" customHeight="1">
      <c r="A319" s="53" t="s">
        <v>3</v>
      </c>
      <c r="B319" s="2" t="s">
        <v>67</v>
      </c>
      <c r="C319" s="98" t="s">
        <v>4</v>
      </c>
      <c r="D319" s="98"/>
      <c r="E319" s="98" t="s">
        <v>47</v>
      </c>
      <c r="F319" s="98"/>
      <c r="G319" s="98"/>
      <c r="J319" s="25">
        <f t="shared" si="14"/>
        <v>11</v>
      </c>
    </row>
    <row r="320" spans="1:10" ht="16.95" customHeight="1">
      <c r="A320" s="53" t="s">
        <v>5</v>
      </c>
      <c r="B320" s="54">
        <v>120</v>
      </c>
      <c r="C320" s="98" t="s">
        <v>6</v>
      </c>
      <c r="D320" s="98"/>
      <c r="E320" s="98" t="s">
        <v>123</v>
      </c>
      <c r="F320" s="98"/>
      <c r="G320" s="98"/>
      <c r="J320" s="25">
        <f t="shared" ref="J320:J367" si="18">J257+2</f>
        <v>11</v>
      </c>
    </row>
    <row r="321" spans="1:10" ht="16.95" customHeight="1">
      <c r="A321" s="53" t="s">
        <v>7</v>
      </c>
      <c r="B321" s="54">
        <f>B317</f>
        <v>7</v>
      </c>
      <c r="C321" s="100" t="s">
        <v>8</v>
      </c>
      <c r="D321" s="100"/>
      <c r="E321" s="101">
        <f>B320-B321</f>
        <v>113</v>
      </c>
      <c r="F321" s="101"/>
      <c r="G321" s="101"/>
      <c r="J321" s="25">
        <f t="shared" si="18"/>
        <v>11</v>
      </c>
    </row>
    <row r="322" spans="1:10" ht="16.95" customHeight="1">
      <c r="A322" s="53" t="s">
        <v>9</v>
      </c>
      <c r="B322" s="55">
        <v>46204</v>
      </c>
      <c r="C322" s="98" t="s">
        <v>10</v>
      </c>
      <c r="D322" s="98"/>
      <c r="E322" s="102">
        <f>B322+B320-1</f>
        <v>46323</v>
      </c>
      <c r="F322" s="102"/>
      <c r="G322" s="102"/>
      <c r="J322" s="25">
        <f t="shared" si="18"/>
        <v>11</v>
      </c>
    </row>
    <row r="323" spans="1:10" ht="16.95" customHeight="1">
      <c r="A323" s="53" t="s">
        <v>11</v>
      </c>
      <c r="B323" s="56" t="e">
        <f>HLOOKUP(B317,進度表!$Q$2:$Z$3,2,1)+B260</f>
        <v>#REF!</v>
      </c>
      <c r="C323" s="98" t="s">
        <v>12</v>
      </c>
      <c r="D323" s="98"/>
      <c r="E323" s="99" t="e">
        <f>I361/I323+E260</f>
        <v>#REF!</v>
      </c>
      <c r="F323" s="99"/>
      <c r="G323" s="99"/>
      <c r="H323" s="3" t="s">
        <v>62</v>
      </c>
      <c r="I323" s="1">
        <v>2456000</v>
      </c>
      <c r="J323" s="25">
        <f t="shared" si="18"/>
        <v>11</v>
      </c>
    </row>
    <row r="324" spans="1:10" ht="16.95" customHeight="1">
      <c r="A324" s="98" t="s">
        <v>13</v>
      </c>
      <c r="B324" s="98"/>
      <c r="C324" s="98"/>
      <c r="D324" s="98"/>
      <c r="E324" s="98"/>
      <c r="F324" s="98"/>
      <c r="G324" s="98"/>
      <c r="J324" s="25">
        <f t="shared" si="18"/>
        <v>11</v>
      </c>
    </row>
    <row r="325" spans="1:10" ht="16.95" customHeight="1">
      <c r="A325" s="52" t="s">
        <v>14</v>
      </c>
      <c r="B325" s="52" t="s">
        <v>15</v>
      </c>
      <c r="C325" s="52" t="s">
        <v>16</v>
      </c>
      <c r="D325" s="52" t="s">
        <v>17</v>
      </c>
      <c r="E325" s="52" t="s">
        <v>18</v>
      </c>
      <c r="F325" s="52" t="s">
        <v>19</v>
      </c>
      <c r="G325" s="52" t="s">
        <v>20</v>
      </c>
      <c r="H325" s="3" t="s">
        <v>21</v>
      </c>
      <c r="I325" s="3" t="s">
        <v>22</v>
      </c>
      <c r="J325" s="25">
        <f t="shared" si="18"/>
        <v>11</v>
      </c>
    </row>
    <row r="326" spans="1:10" ht="16.95" customHeight="1">
      <c r="A326" s="75" t="s">
        <v>65</v>
      </c>
      <c r="B326" s="76" t="s">
        <v>69</v>
      </c>
      <c r="C326" s="77"/>
      <c r="D326" s="78"/>
      <c r="E326" s="79"/>
      <c r="F326" s="79"/>
      <c r="G326" s="2"/>
      <c r="H326" s="37"/>
      <c r="I326" s="4"/>
      <c r="J326" s="25">
        <f t="shared" si="18"/>
        <v>11</v>
      </c>
    </row>
    <row r="327" spans="1:10" ht="34.950000000000003" customHeight="1">
      <c r="A327" s="75">
        <v>1</v>
      </c>
      <c r="B327" s="80" t="s">
        <v>91</v>
      </c>
      <c r="C327" s="77" t="s">
        <v>48</v>
      </c>
      <c r="D327" s="78">
        <v>1</v>
      </c>
      <c r="E327" s="79"/>
      <c r="F327" s="79" t="e">
        <f t="shared" ref="F327:F360" si="19">E327+F264</f>
        <v>#REF!</v>
      </c>
      <c r="G327" s="2"/>
      <c r="H327" s="37">
        <v>10508</v>
      </c>
      <c r="I327" s="4">
        <f>H327*E327</f>
        <v>0</v>
      </c>
      <c r="J327" s="25">
        <f t="shared" si="18"/>
        <v>11</v>
      </c>
    </row>
    <row r="328" spans="1:10" ht="34.799999999999997" customHeight="1">
      <c r="A328" s="75">
        <v>2</v>
      </c>
      <c r="B328" s="80" t="s">
        <v>92</v>
      </c>
      <c r="C328" s="77" t="s">
        <v>48</v>
      </c>
      <c r="D328" s="78">
        <v>1</v>
      </c>
      <c r="E328" s="79"/>
      <c r="F328" s="79" t="e">
        <f t="shared" si="19"/>
        <v>#REF!</v>
      </c>
      <c r="G328" s="2"/>
      <c r="H328" s="37">
        <v>13223</v>
      </c>
      <c r="I328" s="4">
        <f>H328*E328</f>
        <v>0</v>
      </c>
      <c r="J328" s="25">
        <f t="shared" si="18"/>
        <v>11</v>
      </c>
    </row>
    <row r="329" spans="1:10" ht="53.4" customHeight="1">
      <c r="A329" s="75">
        <v>3</v>
      </c>
      <c r="B329" s="80" t="s">
        <v>93</v>
      </c>
      <c r="C329" s="77" t="s">
        <v>48</v>
      </c>
      <c r="D329" s="78">
        <v>1</v>
      </c>
      <c r="E329" s="79"/>
      <c r="F329" s="79" t="e">
        <f t="shared" si="19"/>
        <v>#REF!</v>
      </c>
      <c r="G329" s="2"/>
      <c r="H329" s="37">
        <v>310497</v>
      </c>
      <c r="I329" s="4">
        <f t="shared" ref="I329:I360" si="20">H329*E329</f>
        <v>0</v>
      </c>
      <c r="J329" s="25">
        <f t="shared" si="18"/>
        <v>11</v>
      </c>
    </row>
    <row r="330" spans="1:10" ht="16.95" customHeight="1">
      <c r="A330" s="75">
        <v>4</v>
      </c>
      <c r="B330" s="80" t="s">
        <v>94</v>
      </c>
      <c r="C330" s="77" t="s">
        <v>48</v>
      </c>
      <c r="D330" s="78">
        <v>1</v>
      </c>
      <c r="E330" s="79"/>
      <c r="F330" s="79" t="e">
        <f t="shared" si="19"/>
        <v>#REF!</v>
      </c>
      <c r="G330" s="2"/>
      <c r="H330" s="37">
        <v>8375</v>
      </c>
      <c r="I330" s="4">
        <f t="shared" si="20"/>
        <v>0</v>
      </c>
      <c r="J330" s="25">
        <f t="shared" si="18"/>
        <v>11</v>
      </c>
    </row>
    <row r="331" spans="1:10" ht="16.95" customHeight="1">
      <c r="A331" s="75">
        <v>5</v>
      </c>
      <c r="B331" s="80" t="s">
        <v>95</v>
      </c>
      <c r="C331" s="77" t="s">
        <v>48</v>
      </c>
      <c r="D331" s="78">
        <v>1</v>
      </c>
      <c r="E331" s="79"/>
      <c r="F331" s="79" t="e">
        <f t="shared" si="19"/>
        <v>#REF!</v>
      </c>
      <c r="G331" s="2"/>
      <c r="H331" s="37">
        <v>51618</v>
      </c>
      <c r="I331" s="4">
        <f t="shared" si="20"/>
        <v>0</v>
      </c>
      <c r="J331" s="25">
        <f t="shared" si="18"/>
        <v>11</v>
      </c>
    </row>
    <row r="332" spans="1:10" ht="16.95" customHeight="1">
      <c r="A332" s="75">
        <v>6</v>
      </c>
      <c r="B332" s="80" t="s">
        <v>96</v>
      </c>
      <c r="C332" s="77" t="s">
        <v>50</v>
      </c>
      <c r="D332" s="78">
        <v>11.55</v>
      </c>
      <c r="E332" s="79"/>
      <c r="F332" s="79" t="e">
        <f t="shared" si="19"/>
        <v>#REF!</v>
      </c>
      <c r="G332" s="2"/>
      <c r="H332" s="37">
        <v>1188</v>
      </c>
      <c r="I332" s="4">
        <f t="shared" si="20"/>
        <v>0</v>
      </c>
      <c r="J332" s="25">
        <f t="shared" si="18"/>
        <v>11</v>
      </c>
    </row>
    <row r="333" spans="1:10" ht="34.950000000000003" customHeight="1">
      <c r="A333" s="75">
        <v>7</v>
      </c>
      <c r="B333" s="80" t="s">
        <v>97</v>
      </c>
      <c r="C333" s="77" t="s">
        <v>48</v>
      </c>
      <c r="D333" s="78">
        <v>1</v>
      </c>
      <c r="E333" s="79"/>
      <c r="F333" s="79" t="e">
        <f t="shared" si="19"/>
        <v>#REF!</v>
      </c>
      <c r="G333" s="2"/>
      <c r="H333" s="37">
        <v>21157</v>
      </c>
      <c r="I333" s="4">
        <f t="shared" si="20"/>
        <v>0</v>
      </c>
      <c r="J333" s="25">
        <f t="shared" si="18"/>
        <v>11</v>
      </c>
    </row>
    <row r="334" spans="1:10" ht="16.95" customHeight="1">
      <c r="A334" s="75">
        <v>8</v>
      </c>
      <c r="B334" s="80" t="s">
        <v>98</v>
      </c>
      <c r="C334" s="77" t="s">
        <v>50</v>
      </c>
      <c r="D334" s="78">
        <v>387</v>
      </c>
      <c r="E334" s="79"/>
      <c r="F334" s="79" t="e">
        <f t="shared" si="19"/>
        <v>#REF!</v>
      </c>
      <c r="G334" s="2"/>
      <c r="H334" s="37">
        <v>705</v>
      </c>
      <c r="I334" s="4">
        <f t="shared" si="20"/>
        <v>0</v>
      </c>
      <c r="J334" s="25">
        <f t="shared" si="18"/>
        <v>11</v>
      </c>
    </row>
    <row r="335" spans="1:10" ht="16.95" customHeight="1">
      <c r="A335" s="75">
        <v>9</v>
      </c>
      <c r="B335" s="80" t="s">
        <v>99</v>
      </c>
      <c r="C335" s="77" t="s">
        <v>50</v>
      </c>
      <c r="D335" s="78">
        <v>170</v>
      </c>
      <c r="E335" s="79"/>
      <c r="F335" s="79" t="e">
        <f t="shared" si="19"/>
        <v>#REF!</v>
      </c>
      <c r="G335" s="2"/>
      <c r="H335" s="37">
        <v>617</v>
      </c>
      <c r="I335" s="4">
        <f t="shared" si="20"/>
        <v>0</v>
      </c>
      <c r="J335" s="25">
        <f t="shared" si="18"/>
        <v>11</v>
      </c>
    </row>
    <row r="336" spans="1:10" ht="16.95" customHeight="1">
      <c r="A336" s="75">
        <v>10</v>
      </c>
      <c r="B336" s="80" t="s">
        <v>100</v>
      </c>
      <c r="C336" s="77" t="s">
        <v>66</v>
      </c>
      <c r="D336" s="78">
        <v>15</v>
      </c>
      <c r="E336" s="79"/>
      <c r="F336" s="79" t="e">
        <f t="shared" si="19"/>
        <v>#REF!</v>
      </c>
      <c r="G336" s="2"/>
      <c r="H336" s="37">
        <v>617</v>
      </c>
      <c r="I336" s="4">
        <f t="shared" si="20"/>
        <v>0</v>
      </c>
      <c r="J336" s="25">
        <f t="shared" si="18"/>
        <v>11</v>
      </c>
    </row>
    <row r="337" spans="1:10" ht="16.95" customHeight="1">
      <c r="A337" s="75">
        <v>11</v>
      </c>
      <c r="B337" s="80" t="s">
        <v>101</v>
      </c>
      <c r="C337" s="77" t="s">
        <v>50</v>
      </c>
      <c r="D337" s="78">
        <v>75</v>
      </c>
      <c r="E337" s="79"/>
      <c r="F337" s="79" t="e">
        <f t="shared" si="19"/>
        <v>#REF!</v>
      </c>
      <c r="G337" s="2"/>
      <c r="H337" s="37">
        <v>1146</v>
      </c>
      <c r="I337" s="4">
        <f t="shared" si="20"/>
        <v>0</v>
      </c>
      <c r="J337" s="25">
        <f t="shared" si="18"/>
        <v>11</v>
      </c>
    </row>
    <row r="338" spans="1:10" ht="16.95" customHeight="1">
      <c r="A338" s="75">
        <v>12</v>
      </c>
      <c r="B338" s="80" t="s">
        <v>102</v>
      </c>
      <c r="C338" s="77" t="s">
        <v>50</v>
      </c>
      <c r="D338" s="78">
        <v>5</v>
      </c>
      <c r="E338" s="79"/>
      <c r="F338" s="79" t="e">
        <f t="shared" si="19"/>
        <v>#REF!</v>
      </c>
      <c r="G338" s="2"/>
      <c r="H338" s="37">
        <v>1455</v>
      </c>
      <c r="I338" s="4">
        <f t="shared" si="20"/>
        <v>0</v>
      </c>
      <c r="J338" s="25">
        <f t="shared" si="18"/>
        <v>11</v>
      </c>
    </row>
    <row r="339" spans="1:10" ht="16.95" customHeight="1">
      <c r="A339" s="75">
        <v>13</v>
      </c>
      <c r="B339" s="80" t="s">
        <v>103</v>
      </c>
      <c r="C339" s="77" t="s">
        <v>50</v>
      </c>
      <c r="D339" s="78">
        <v>217</v>
      </c>
      <c r="E339" s="79"/>
      <c r="F339" s="79" t="e">
        <f t="shared" si="19"/>
        <v>#REF!</v>
      </c>
      <c r="G339" s="2"/>
      <c r="H339" s="37">
        <v>1410</v>
      </c>
      <c r="I339" s="4">
        <f t="shared" si="20"/>
        <v>0</v>
      </c>
      <c r="J339" s="25">
        <f t="shared" si="18"/>
        <v>11</v>
      </c>
    </row>
    <row r="340" spans="1:10" ht="16.95" customHeight="1">
      <c r="A340" s="75">
        <v>14</v>
      </c>
      <c r="B340" s="80" t="s">
        <v>104</v>
      </c>
      <c r="C340" s="77" t="s">
        <v>49</v>
      </c>
      <c r="D340" s="78">
        <v>84</v>
      </c>
      <c r="E340" s="79"/>
      <c r="F340" s="79" t="e">
        <f t="shared" si="19"/>
        <v>#REF!</v>
      </c>
      <c r="G340" s="2"/>
      <c r="H340" s="37">
        <v>529</v>
      </c>
      <c r="I340" s="4">
        <f t="shared" si="20"/>
        <v>0</v>
      </c>
      <c r="J340" s="25">
        <f t="shared" si="18"/>
        <v>11</v>
      </c>
    </row>
    <row r="341" spans="1:10" ht="16.95" customHeight="1">
      <c r="A341" s="75">
        <v>15</v>
      </c>
      <c r="B341" s="80" t="s">
        <v>105</v>
      </c>
      <c r="C341" s="77" t="s">
        <v>50</v>
      </c>
      <c r="D341" s="78">
        <v>1</v>
      </c>
      <c r="E341" s="79"/>
      <c r="F341" s="79" t="e">
        <f t="shared" si="19"/>
        <v>#REF!</v>
      </c>
      <c r="G341" s="2"/>
      <c r="H341" s="37">
        <v>1146</v>
      </c>
      <c r="I341" s="4">
        <f t="shared" si="20"/>
        <v>0</v>
      </c>
      <c r="J341" s="25">
        <f t="shared" si="18"/>
        <v>11</v>
      </c>
    </row>
    <row r="342" spans="1:10" ht="34.799999999999997" customHeight="1">
      <c r="A342" s="75">
        <v>16</v>
      </c>
      <c r="B342" s="80" t="s">
        <v>106</v>
      </c>
      <c r="C342" s="77" t="s">
        <v>50</v>
      </c>
      <c r="D342" s="78">
        <v>314</v>
      </c>
      <c r="E342" s="79"/>
      <c r="F342" s="79" t="e">
        <f t="shared" si="19"/>
        <v>#REF!</v>
      </c>
      <c r="G342" s="2"/>
      <c r="H342" s="37">
        <v>185</v>
      </c>
      <c r="I342" s="4">
        <f t="shared" si="20"/>
        <v>0</v>
      </c>
      <c r="J342" s="25">
        <f t="shared" si="18"/>
        <v>11</v>
      </c>
    </row>
    <row r="343" spans="1:10" ht="16.95" customHeight="1">
      <c r="A343" s="75">
        <v>17</v>
      </c>
      <c r="B343" s="80" t="s">
        <v>107</v>
      </c>
      <c r="C343" s="77" t="s">
        <v>48</v>
      </c>
      <c r="D343" s="78">
        <v>1</v>
      </c>
      <c r="E343" s="79"/>
      <c r="F343" s="79" t="e">
        <f t="shared" si="19"/>
        <v>#REF!</v>
      </c>
      <c r="G343" s="2"/>
      <c r="H343" s="37">
        <v>89918</v>
      </c>
      <c r="I343" s="4">
        <f t="shared" si="20"/>
        <v>0</v>
      </c>
      <c r="J343" s="25">
        <f t="shared" si="18"/>
        <v>11</v>
      </c>
    </row>
    <row r="344" spans="1:10" ht="16.95" customHeight="1">
      <c r="A344" s="75">
        <v>18</v>
      </c>
      <c r="B344" s="80" t="s">
        <v>108</v>
      </c>
      <c r="C344" s="77" t="s">
        <v>120</v>
      </c>
      <c r="D344" s="78">
        <v>15</v>
      </c>
      <c r="E344" s="79"/>
      <c r="F344" s="79" t="e">
        <f t="shared" si="19"/>
        <v>#REF!</v>
      </c>
      <c r="G344" s="2"/>
      <c r="H344" s="37">
        <v>661</v>
      </c>
      <c r="I344" s="4">
        <f t="shared" si="20"/>
        <v>0</v>
      </c>
      <c r="J344" s="25">
        <f t="shared" si="18"/>
        <v>11</v>
      </c>
    </row>
    <row r="345" spans="1:10" ht="16.95" customHeight="1">
      <c r="A345" s="75">
        <v>19</v>
      </c>
      <c r="B345" s="80" t="s">
        <v>109</v>
      </c>
      <c r="C345" s="77" t="s">
        <v>50</v>
      </c>
      <c r="D345" s="78">
        <v>82</v>
      </c>
      <c r="E345" s="79"/>
      <c r="F345" s="79" t="e">
        <f t="shared" si="19"/>
        <v>#REF!</v>
      </c>
      <c r="G345" s="2"/>
      <c r="H345" s="37">
        <v>2909</v>
      </c>
      <c r="I345" s="4">
        <f t="shared" si="20"/>
        <v>0</v>
      </c>
      <c r="J345" s="25">
        <f t="shared" si="18"/>
        <v>11</v>
      </c>
    </row>
    <row r="346" spans="1:10" ht="16.95" customHeight="1">
      <c r="A346" s="75">
        <v>20</v>
      </c>
      <c r="B346" s="80" t="s">
        <v>110</v>
      </c>
      <c r="C346" s="77" t="s">
        <v>121</v>
      </c>
      <c r="D346" s="78">
        <v>12</v>
      </c>
      <c r="E346" s="79"/>
      <c r="F346" s="79" t="e">
        <f t="shared" si="19"/>
        <v>#REF!</v>
      </c>
      <c r="G346" s="2"/>
      <c r="H346" s="37">
        <v>882</v>
      </c>
      <c r="I346" s="4">
        <f t="shared" si="20"/>
        <v>0</v>
      </c>
      <c r="J346" s="25">
        <f t="shared" si="18"/>
        <v>11</v>
      </c>
    </row>
    <row r="347" spans="1:10" ht="16.95" customHeight="1">
      <c r="A347" s="77">
        <v>21</v>
      </c>
      <c r="B347" s="80" t="s">
        <v>111</v>
      </c>
      <c r="C347" s="77" t="s">
        <v>122</v>
      </c>
      <c r="D347" s="78">
        <v>3</v>
      </c>
      <c r="E347" s="79"/>
      <c r="F347" s="79" t="e">
        <f t="shared" si="19"/>
        <v>#REF!</v>
      </c>
      <c r="G347" s="2"/>
      <c r="H347" s="38">
        <v>1869</v>
      </c>
      <c r="I347" s="4">
        <f t="shared" si="20"/>
        <v>0</v>
      </c>
      <c r="J347" s="25">
        <f t="shared" si="18"/>
        <v>11</v>
      </c>
    </row>
    <row r="348" spans="1:10" ht="34.950000000000003" customHeight="1">
      <c r="A348" s="75">
        <v>22</v>
      </c>
      <c r="B348" s="80" t="s">
        <v>112</v>
      </c>
      <c r="C348" s="77" t="s">
        <v>48</v>
      </c>
      <c r="D348" s="78">
        <v>1</v>
      </c>
      <c r="E348" s="79"/>
      <c r="F348" s="79" t="e">
        <f t="shared" si="19"/>
        <v>#REF!</v>
      </c>
      <c r="G348" s="2"/>
      <c r="H348" s="37">
        <v>82206</v>
      </c>
      <c r="I348" s="4">
        <f t="shared" si="20"/>
        <v>0</v>
      </c>
      <c r="J348" s="25">
        <f t="shared" si="18"/>
        <v>11</v>
      </c>
    </row>
    <row r="349" spans="1:10" ht="16.95" customHeight="1">
      <c r="A349" s="75">
        <v>23</v>
      </c>
      <c r="B349" s="80" t="s">
        <v>113</v>
      </c>
      <c r="C349" s="77" t="s">
        <v>48</v>
      </c>
      <c r="D349" s="78">
        <v>1</v>
      </c>
      <c r="E349" s="79"/>
      <c r="F349" s="79" t="e">
        <f t="shared" si="19"/>
        <v>#REF!</v>
      </c>
      <c r="G349" s="2"/>
      <c r="H349" s="37">
        <v>142723</v>
      </c>
      <c r="I349" s="4">
        <f t="shared" si="20"/>
        <v>0</v>
      </c>
      <c r="J349" s="25">
        <f t="shared" si="18"/>
        <v>11</v>
      </c>
    </row>
    <row r="350" spans="1:10" ht="16.95" customHeight="1">
      <c r="A350" s="75">
        <v>24</v>
      </c>
      <c r="B350" s="80" t="s">
        <v>114</v>
      </c>
      <c r="C350" s="77" t="s">
        <v>48</v>
      </c>
      <c r="D350" s="78">
        <v>1</v>
      </c>
      <c r="E350" s="79"/>
      <c r="F350" s="79" t="e">
        <f t="shared" si="19"/>
        <v>#REF!</v>
      </c>
      <c r="G350" s="2"/>
      <c r="H350" s="37">
        <v>37290</v>
      </c>
      <c r="I350" s="4">
        <f t="shared" si="20"/>
        <v>0</v>
      </c>
      <c r="J350" s="25">
        <f t="shared" si="18"/>
        <v>11</v>
      </c>
    </row>
    <row r="351" spans="1:10" ht="16.95" customHeight="1">
      <c r="A351" s="75">
        <v>25</v>
      </c>
      <c r="B351" s="80" t="s">
        <v>115</v>
      </c>
      <c r="C351" s="77" t="s">
        <v>48</v>
      </c>
      <c r="D351" s="78">
        <v>1</v>
      </c>
      <c r="E351" s="79"/>
      <c r="F351" s="79" t="e">
        <f t="shared" si="19"/>
        <v>#REF!</v>
      </c>
      <c r="G351" s="2"/>
      <c r="H351" s="37">
        <v>99394</v>
      </c>
      <c r="I351" s="4">
        <f t="shared" si="20"/>
        <v>0</v>
      </c>
      <c r="J351" s="25">
        <f t="shared" si="18"/>
        <v>11</v>
      </c>
    </row>
    <row r="352" spans="1:10" ht="34.950000000000003" customHeight="1">
      <c r="A352" s="75">
        <v>26</v>
      </c>
      <c r="B352" s="80" t="s">
        <v>116</v>
      </c>
      <c r="C352" s="77" t="s">
        <v>48</v>
      </c>
      <c r="D352" s="78">
        <v>1</v>
      </c>
      <c r="E352" s="79"/>
      <c r="F352" s="79" t="e">
        <f t="shared" si="19"/>
        <v>#REF!</v>
      </c>
      <c r="G352" s="2"/>
      <c r="H352" s="37">
        <v>21334</v>
      </c>
      <c r="I352" s="4">
        <f t="shared" si="20"/>
        <v>0</v>
      </c>
      <c r="J352" s="25">
        <f t="shared" si="18"/>
        <v>11</v>
      </c>
    </row>
    <row r="353" spans="1:10" ht="16.95" customHeight="1">
      <c r="A353" s="75">
        <v>27</v>
      </c>
      <c r="B353" s="80" t="s">
        <v>117</v>
      </c>
      <c r="C353" s="77" t="s">
        <v>48</v>
      </c>
      <c r="D353" s="78">
        <v>1</v>
      </c>
      <c r="E353" s="79"/>
      <c r="F353" s="79" t="e">
        <f t="shared" si="19"/>
        <v>#REF!</v>
      </c>
      <c r="G353" s="2"/>
      <c r="H353" s="37">
        <v>29620</v>
      </c>
      <c r="I353" s="4">
        <f t="shared" si="20"/>
        <v>0</v>
      </c>
      <c r="J353" s="25">
        <f t="shared" si="18"/>
        <v>11</v>
      </c>
    </row>
    <row r="354" spans="1:10" ht="16.95" customHeight="1">
      <c r="A354" s="75">
        <v>28</v>
      </c>
      <c r="B354" s="80" t="s">
        <v>118</v>
      </c>
      <c r="C354" s="77" t="s">
        <v>48</v>
      </c>
      <c r="D354" s="78">
        <v>1</v>
      </c>
      <c r="E354" s="79"/>
      <c r="F354" s="79" t="e">
        <f t="shared" si="19"/>
        <v>#REF!</v>
      </c>
      <c r="G354" s="2"/>
      <c r="H354" s="37">
        <v>18506</v>
      </c>
      <c r="I354" s="4">
        <f t="shared" si="20"/>
        <v>0</v>
      </c>
      <c r="J354" s="25">
        <f t="shared" si="18"/>
        <v>11</v>
      </c>
    </row>
    <row r="355" spans="1:10" ht="16.95" customHeight="1">
      <c r="A355" s="75">
        <v>29</v>
      </c>
      <c r="B355" s="80" t="s">
        <v>119</v>
      </c>
      <c r="C355" s="77" t="s">
        <v>48</v>
      </c>
      <c r="D355" s="78">
        <v>1</v>
      </c>
      <c r="E355" s="79"/>
      <c r="F355" s="79" t="e">
        <f t="shared" si="19"/>
        <v>#REF!</v>
      </c>
      <c r="G355" s="2"/>
      <c r="H355" s="37">
        <v>34381</v>
      </c>
      <c r="I355" s="4">
        <f t="shared" si="20"/>
        <v>0</v>
      </c>
      <c r="J355" s="25">
        <f t="shared" si="18"/>
        <v>11</v>
      </c>
    </row>
    <row r="356" spans="1:10" ht="16.95" customHeight="1">
      <c r="A356" s="75" t="s">
        <v>79</v>
      </c>
      <c r="B356" s="80" t="s">
        <v>80</v>
      </c>
      <c r="C356" s="77" t="s">
        <v>48</v>
      </c>
      <c r="D356" s="78">
        <v>1</v>
      </c>
      <c r="E356" s="79">
        <f t="shared" ref="E356:E359" si="21">1/120</f>
        <v>8.3333333333333332E-3</v>
      </c>
      <c r="F356" s="79" t="e">
        <f t="shared" si="19"/>
        <v>#REF!</v>
      </c>
      <c r="G356" s="2"/>
      <c r="H356" s="37">
        <v>21395</v>
      </c>
      <c r="I356" s="4">
        <f t="shared" si="20"/>
        <v>178.29166666666666</v>
      </c>
      <c r="J356" s="25">
        <f t="shared" si="18"/>
        <v>11</v>
      </c>
    </row>
    <row r="357" spans="1:10" ht="16.95" customHeight="1">
      <c r="A357" s="75" t="s">
        <v>81</v>
      </c>
      <c r="B357" s="80" t="s">
        <v>82</v>
      </c>
      <c r="C357" s="77" t="s">
        <v>48</v>
      </c>
      <c r="D357" s="78">
        <v>1</v>
      </c>
      <c r="E357" s="79">
        <f t="shared" si="21"/>
        <v>8.3333333333333332E-3</v>
      </c>
      <c r="F357" s="79" t="e">
        <f t="shared" si="19"/>
        <v>#REF!</v>
      </c>
      <c r="G357" s="2"/>
      <c r="H357" s="37">
        <v>21395</v>
      </c>
      <c r="I357" s="4">
        <f t="shared" si="20"/>
        <v>178.29166666666666</v>
      </c>
      <c r="J357" s="25">
        <f t="shared" si="18"/>
        <v>11</v>
      </c>
    </row>
    <row r="358" spans="1:10" ht="16.95" customHeight="1">
      <c r="A358" s="75" t="s">
        <v>83</v>
      </c>
      <c r="B358" s="80" t="s">
        <v>84</v>
      </c>
      <c r="C358" s="77" t="s">
        <v>48</v>
      </c>
      <c r="D358" s="78">
        <v>1</v>
      </c>
      <c r="E358" s="79">
        <f t="shared" si="21"/>
        <v>8.3333333333333332E-3</v>
      </c>
      <c r="F358" s="79" t="e">
        <f t="shared" si="19"/>
        <v>#REF!</v>
      </c>
      <c r="G358" s="2"/>
      <c r="H358" s="37">
        <v>149765</v>
      </c>
      <c r="I358" s="4">
        <f t="shared" si="20"/>
        <v>1248.0416666666667</v>
      </c>
      <c r="J358" s="25">
        <f t="shared" si="18"/>
        <v>11</v>
      </c>
    </row>
    <row r="359" spans="1:10" ht="16.95" customHeight="1">
      <c r="A359" s="75" t="s">
        <v>85</v>
      </c>
      <c r="B359" s="80" t="s">
        <v>86</v>
      </c>
      <c r="C359" s="77" t="s">
        <v>48</v>
      </c>
      <c r="D359" s="78">
        <v>1</v>
      </c>
      <c r="E359" s="79">
        <f t="shared" si="21"/>
        <v>8.3333333333333332E-3</v>
      </c>
      <c r="F359" s="79" t="e">
        <f t="shared" si="19"/>
        <v>#REF!</v>
      </c>
      <c r="G359" s="2"/>
      <c r="H359" s="37">
        <v>6996</v>
      </c>
      <c r="I359" s="4">
        <f t="shared" si="20"/>
        <v>58.3</v>
      </c>
      <c r="J359" s="25">
        <f t="shared" si="18"/>
        <v>11</v>
      </c>
    </row>
    <row r="360" spans="1:10" ht="16.95" customHeight="1">
      <c r="A360" s="75" t="s">
        <v>87</v>
      </c>
      <c r="B360" s="80" t="s">
        <v>88</v>
      </c>
      <c r="C360" s="77" t="s">
        <v>48</v>
      </c>
      <c r="D360" s="78">
        <v>1</v>
      </c>
      <c r="E360" s="79">
        <f>1/120</f>
        <v>8.3333333333333332E-3</v>
      </c>
      <c r="F360" s="79" t="e">
        <f t="shared" si="19"/>
        <v>#REF!</v>
      </c>
      <c r="G360" s="2"/>
      <c r="H360" s="37">
        <v>116952</v>
      </c>
      <c r="I360" s="4">
        <f t="shared" si="20"/>
        <v>974.6</v>
      </c>
      <c r="J360" s="25">
        <f t="shared" si="18"/>
        <v>11</v>
      </c>
    </row>
    <row r="361" spans="1:10" ht="16.95" customHeight="1">
      <c r="A361" s="95" t="s">
        <v>23</v>
      </c>
      <c r="B361" s="95"/>
      <c r="C361" s="50"/>
      <c r="D361" s="50"/>
      <c r="E361" s="50"/>
      <c r="F361" s="50"/>
      <c r="G361" s="50"/>
      <c r="H361" s="3" t="s">
        <v>24</v>
      </c>
      <c r="I361" s="5">
        <f>SUM(I326:I360)</f>
        <v>2637.5250000000001</v>
      </c>
      <c r="J361" s="25">
        <f t="shared" si="18"/>
        <v>11</v>
      </c>
    </row>
    <row r="362" spans="1:10" ht="16.95" customHeight="1">
      <c r="A362" s="96" t="s">
        <v>25</v>
      </c>
      <c r="B362" s="96"/>
      <c r="C362" s="50"/>
      <c r="D362" s="50"/>
      <c r="E362" s="50"/>
      <c r="F362" s="50"/>
      <c r="G362" s="50"/>
      <c r="J362" s="25">
        <f t="shared" si="18"/>
        <v>11</v>
      </c>
    </row>
    <row r="363" spans="1:10" ht="16.95" customHeight="1">
      <c r="A363" s="96" t="s">
        <v>26</v>
      </c>
      <c r="B363" s="96"/>
      <c r="C363" s="50"/>
      <c r="D363" s="50"/>
      <c r="E363" s="50"/>
      <c r="F363" s="50"/>
      <c r="G363" s="50"/>
      <c r="J363" s="25">
        <f t="shared" si="18"/>
        <v>11</v>
      </c>
    </row>
    <row r="364" spans="1:10" ht="16.95" customHeight="1">
      <c r="A364" s="95" t="s">
        <v>27</v>
      </c>
      <c r="B364" s="95"/>
      <c r="C364" s="95"/>
      <c r="D364" s="95"/>
      <c r="E364" s="95"/>
      <c r="F364" s="95"/>
      <c r="G364" s="95"/>
      <c r="J364" s="25">
        <f t="shared" si="18"/>
        <v>11</v>
      </c>
    </row>
    <row r="365" spans="1:10" ht="16.95" customHeight="1">
      <c r="A365" s="94" t="s">
        <v>28</v>
      </c>
      <c r="B365" s="94"/>
      <c r="C365" s="51" t="s">
        <v>29</v>
      </c>
      <c r="D365" s="51" t="s">
        <v>30</v>
      </c>
      <c r="E365" s="51" t="s">
        <v>18</v>
      </c>
      <c r="F365" s="51" t="s">
        <v>31</v>
      </c>
      <c r="G365" s="51" t="s">
        <v>20</v>
      </c>
      <c r="J365" s="25">
        <f t="shared" si="18"/>
        <v>11</v>
      </c>
    </row>
    <row r="366" spans="1:10" ht="16.95" customHeight="1">
      <c r="A366" s="96"/>
      <c r="B366" s="96"/>
      <c r="C366" s="50"/>
      <c r="D366" s="50"/>
      <c r="E366" s="50"/>
      <c r="F366" s="50"/>
      <c r="G366" s="51"/>
      <c r="J366" s="25">
        <f t="shared" si="18"/>
        <v>11</v>
      </c>
    </row>
    <row r="367" spans="1:10" ht="16.95" customHeight="1">
      <c r="A367" s="97"/>
      <c r="B367" s="97"/>
      <c r="C367" s="50"/>
      <c r="D367" s="50"/>
      <c r="E367" s="50"/>
      <c r="F367" s="51"/>
      <c r="G367" s="51"/>
      <c r="J367" s="25">
        <f t="shared" si="18"/>
        <v>11</v>
      </c>
    </row>
    <row r="368" spans="1:10" ht="16.95" customHeight="1">
      <c r="A368" s="95" t="s">
        <v>32</v>
      </c>
      <c r="B368" s="95"/>
      <c r="C368" s="95"/>
      <c r="D368" s="95"/>
      <c r="E368" s="95"/>
      <c r="F368" s="95"/>
      <c r="G368" s="95"/>
      <c r="J368" s="25">
        <f t="shared" ref="J368:J378" si="22">J305+2</f>
        <v>12</v>
      </c>
    </row>
    <row r="369" spans="1:10" ht="16.95" customHeight="1">
      <c r="A369" s="51" t="s">
        <v>33</v>
      </c>
      <c r="B369" s="51" t="s">
        <v>34</v>
      </c>
      <c r="C369" s="94" t="s">
        <v>35</v>
      </c>
      <c r="D369" s="94"/>
      <c r="E369" s="51" t="s">
        <v>36</v>
      </c>
      <c r="F369" s="51" t="s">
        <v>37</v>
      </c>
      <c r="G369" s="51" t="s">
        <v>38</v>
      </c>
      <c r="J369" s="25">
        <f t="shared" si="22"/>
        <v>12</v>
      </c>
    </row>
    <row r="370" spans="1:10" ht="16.95" customHeight="1">
      <c r="A370" s="51" t="s">
        <v>39</v>
      </c>
      <c r="B370" s="6"/>
      <c r="C370" s="94" t="e">
        <f>B370+C307</f>
        <v>#REF!</v>
      </c>
      <c r="D370" s="94"/>
      <c r="E370" s="51"/>
      <c r="F370" s="24"/>
      <c r="G370" s="24"/>
      <c r="J370" s="25">
        <f t="shared" si="22"/>
        <v>12</v>
      </c>
    </row>
    <row r="371" spans="1:10" ht="16.95" customHeight="1">
      <c r="A371" s="51" t="s">
        <v>40</v>
      </c>
      <c r="B371" s="6"/>
      <c r="C371" s="94" t="e">
        <f>B371+C308</f>
        <v>#REF!</v>
      </c>
      <c r="D371" s="94"/>
      <c r="E371" s="51"/>
      <c r="F371" s="24"/>
      <c r="G371" s="24"/>
      <c r="J371" s="25">
        <f t="shared" si="22"/>
        <v>12</v>
      </c>
    </row>
    <row r="372" spans="1:10" ht="36.6" customHeight="1">
      <c r="A372" s="95" t="s">
        <v>41</v>
      </c>
      <c r="B372" s="95"/>
      <c r="C372" s="95"/>
      <c r="D372" s="95"/>
      <c r="E372" s="95"/>
      <c r="F372" s="95"/>
      <c r="G372" s="95"/>
      <c r="J372" s="25">
        <f t="shared" si="22"/>
        <v>12</v>
      </c>
    </row>
    <row r="373" spans="1:10" ht="90" customHeight="1">
      <c r="A373" s="92" t="s">
        <v>42</v>
      </c>
      <c r="B373" s="92"/>
      <c r="C373" s="92"/>
      <c r="D373" s="92"/>
      <c r="E373" s="92"/>
      <c r="F373" s="92"/>
      <c r="G373" s="92"/>
      <c r="J373" s="25">
        <f t="shared" si="22"/>
        <v>12</v>
      </c>
    </row>
    <row r="374" spans="1:10" ht="16.95" customHeight="1">
      <c r="A374" s="95" t="s">
        <v>43</v>
      </c>
      <c r="B374" s="95"/>
      <c r="C374" s="95"/>
      <c r="D374" s="95"/>
      <c r="E374" s="95"/>
      <c r="F374" s="95"/>
      <c r="G374" s="95"/>
      <c r="J374" s="25">
        <f t="shared" si="22"/>
        <v>12</v>
      </c>
    </row>
    <row r="375" spans="1:10" ht="16.95" customHeight="1">
      <c r="A375" s="95" t="s">
        <v>44</v>
      </c>
      <c r="B375" s="95"/>
      <c r="C375" s="95"/>
      <c r="D375" s="95"/>
      <c r="E375" s="95"/>
      <c r="F375" s="95"/>
      <c r="G375" s="95"/>
      <c r="J375" s="25">
        <f t="shared" si="22"/>
        <v>12</v>
      </c>
    </row>
    <row r="376" spans="1:10" ht="16.95" customHeight="1">
      <c r="A376" s="91" t="s">
        <v>64</v>
      </c>
      <c r="B376" s="91"/>
      <c r="C376" s="91"/>
      <c r="D376" s="91"/>
      <c r="E376" s="91"/>
      <c r="F376" s="91"/>
      <c r="G376" s="91"/>
      <c r="J376" s="25">
        <f t="shared" si="22"/>
        <v>12</v>
      </c>
    </row>
    <row r="377" spans="1:10" ht="120.6" customHeight="1">
      <c r="A377" s="92" t="s">
        <v>45</v>
      </c>
      <c r="B377" s="92"/>
      <c r="C377" s="92"/>
      <c r="D377" s="92"/>
      <c r="E377" s="92"/>
      <c r="F377" s="92"/>
      <c r="G377" s="92"/>
      <c r="J377" s="25">
        <f t="shared" si="22"/>
        <v>12</v>
      </c>
    </row>
    <row r="378" spans="1:10" ht="140.4" customHeight="1">
      <c r="A378" s="93" t="s">
        <v>46</v>
      </c>
      <c r="B378" s="93"/>
      <c r="C378" s="93"/>
      <c r="D378" s="93"/>
      <c r="E378" s="93"/>
      <c r="F378" s="93"/>
      <c r="G378" s="93"/>
      <c r="J378" s="25">
        <f t="shared" si="22"/>
        <v>12</v>
      </c>
    </row>
    <row r="379" spans="1:10" ht="37.200000000000003" customHeight="1">
      <c r="A379" s="103" t="s">
        <v>0</v>
      </c>
      <c r="B379" s="103"/>
      <c r="C379" s="103"/>
      <c r="D379" s="103"/>
      <c r="E379" s="103"/>
      <c r="F379" s="103"/>
      <c r="G379" s="103"/>
      <c r="J379" s="25">
        <f t="shared" ref="J379:J442" si="23">J316+2</f>
        <v>13</v>
      </c>
    </row>
    <row r="380" spans="1:10" ht="16.95" customHeight="1">
      <c r="A380" s="1" t="s">
        <v>1</v>
      </c>
      <c r="B380" s="104">
        <f>B317+1</f>
        <v>8</v>
      </c>
      <c r="C380" s="104"/>
      <c r="D380" s="104"/>
      <c r="E380" s="104"/>
      <c r="F380" s="104"/>
      <c r="G380" s="104"/>
      <c r="J380" s="25">
        <f t="shared" si="23"/>
        <v>13</v>
      </c>
    </row>
    <row r="381" spans="1:10" ht="16.95" customHeight="1">
      <c r="A381" s="1" t="s">
        <v>2</v>
      </c>
      <c r="B381" s="105" t="s">
        <v>63</v>
      </c>
      <c r="C381" s="105"/>
      <c r="D381" s="105"/>
      <c r="E381" s="106">
        <f>E318+1</f>
        <v>46210</v>
      </c>
      <c r="F381" s="106"/>
      <c r="G381" s="106"/>
      <c r="J381" s="25">
        <f t="shared" si="23"/>
        <v>13</v>
      </c>
    </row>
    <row r="382" spans="1:10" ht="16.95" customHeight="1">
      <c r="A382" s="53" t="s">
        <v>3</v>
      </c>
      <c r="B382" s="2" t="s">
        <v>67</v>
      </c>
      <c r="C382" s="98" t="s">
        <v>4</v>
      </c>
      <c r="D382" s="98"/>
      <c r="E382" s="98" t="s">
        <v>47</v>
      </c>
      <c r="F382" s="98"/>
      <c r="G382" s="98"/>
      <c r="J382" s="25">
        <f t="shared" si="23"/>
        <v>13</v>
      </c>
    </row>
    <row r="383" spans="1:10" ht="16.95" customHeight="1">
      <c r="A383" s="53" t="s">
        <v>5</v>
      </c>
      <c r="B383" s="54">
        <v>120</v>
      </c>
      <c r="C383" s="98" t="s">
        <v>6</v>
      </c>
      <c r="D383" s="98"/>
      <c r="E383" s="98" t="s">
        <v>123</v>
      </c>
      <c r="F383" s="98"/>
      <c r="G383" s="98"/>
      <c r="J383" s="25">
        <f t="shared" si="23"/>
        <v>13</v>
      </c>
    </row>
    <row r="384" spans="1:10" ht="16.95" customHeight="1">
      <c r="A384" s="53" t="s">
        <v>7</v>
      </c>
      <c r="B384" s="54">
        <f>B380</f>
        <v>8</v>
      </c>
      <c r="C384" s="100" t="s">
        <v>8</v>
      </c>
      <c r="D384" s="100"/>
      <c r="E384" s="101">
        <f>B383-B384</f>
        <v>112</v>
      </c>
      <c r="F384" s="101"/>
      <c r="G384" s="101"/>
      <c r="J384" s="25">
        <f t="shared" si="23"/>
        <v>13</v>
      </c>
    </row>
    <row r="385" spans="1:10" ht="16.95" customHeight="1">
      <c r="A385" s="53" t="s">
        <v>9</v>
      </c>
      <c r="B385" s="55">
        <v>46204</v>
      </c>
      <c r="C385" s="98" t="s">
        <v>10</v>
      </c>
      <c r="D385" s="98"/>
      <c r="E385" s="102">
        <f>B385+B383-1</f>
        <v>46323</v>
      </c>
      <c r="F385" s="102"/>
      <c r="G385" s="102"/>
      <c r="J385" s="25">
        <f t="shared" si="23"/>
        <v>13</v>
      </c>
    </row>
    <row r="386" spans="1:10" ht="16.95" customHeight="1">
      <c r="A386" s="53" t="s">
        <v>11</v>
      </c>
      <c r="B386" s="56" t="e">
        <f>HLOOKUP(B380,進度表!$Q$2:$Z$3,2,1)+B323</f>
        <v>#REF!</v>
      </c>
      <c r="C386" s="98" t="s">
        <v>12</v>
      </c>
      <c r="D386" s="98"/>
      <c r="E386" s="99" t="e">
        <f>I424/I386+E323</f>
        <v>#REF!</v>
      </c>
      <c r="F386" s="99"/>
      <c r="G386" s="99"/>
      <c r="H386" s="3" t="s">
        <v>62</v>
      </c>
      <c r="I386" s="1">
        <v>2456000</v>
      </c>
      <c r="J386" s="25">
        <f t="shared" si="23"/>
        <v>13</v>
      </c>
    </row>
    <row r="387" spans="1:10" ht="16.95" customHeight="1">
      <c r="A387" s="98" t="s">
        <v>13</v>
      </c>
      <c r="B387" s="98"/>
      <c r="C387" s="98"/>
      <c r="D387" s="98"/>
      <c r="E387" s="98"/>
      <c r="F387" s="98"/>
      <c r="G387" s="98"/>
      <c r="J387" s="25">
        <f t="shared" si="23"/>
        <v>13</v>
      </c>
    </row>
    <row r="388" spans="1:10" ht="16.95" customHeight="1">
      <c r="A388" s="52" t="s">
        <v>14</v>
      </c>
      <c r="B388" s="52" t="s">
        <v>15</v>
      </c>
      <c r="C388" s="52" t="s">
        <v>16</v>
      </c>
      <c r="D388" s="52" t="s">
        <v>17</v>
      </c>
      <c r="E388" s="52" t="s">
        <v>18</v>
      </c>
      <c r="F388" s="52" t="s">
        <v>19</v>
      </c>
      <c r="G388" s="52" t="s">
        <v>20</v>
      </c>
      <c r="H388" s="3" t="s">
        <v>21</v>
      </c>
      <c r="I388" s="3" t="s">
        <v>22</v>
      </c>
      <c r="J388" s="25">
        <f t="shared" si="23"/>
        <v>13</v>
      </c>
    </row>
    <row r="389" spans="1:10" ht="16.95" customHeight="1">
      <c r="A389" s="75" t="s">
        <v>65</v>
      </c>
      <c r="B389" s="76" t="s">
        <v>69</v>
      </c>
      <c r="C389" s="77"/>
      <c r="D389" s="78"/>
      <c r="E389" s="79"/>
      <c r="F389" s="79"/>
      <c r="G389" s="2"/>
      <c r="H389" s="37"/>
      <c r="I389" s="4"/>
      <c r="J389" s="25">
        <f t="shared" si="23"/>
        <v>13</v>
      </c>
    </row>
    <row r="390" spans="1:10" ht="34.950000000000003" customHeight="1">
      <c r="A390" s="75">
        <v>1</v>
      </c>
      <c r="B390" s="80" t="s">
        <v>91</v>
      </c>
      <c r="C390" s="77" t="s">
        <v>48</v>
      </c>
      <c r="D390" s="78">
        <v>1</v>
      </c>
      <c r="E390" s="79"/>
      <c r="F390" s="79" t="e">
        <f t="shared" ref="F390:F423" si="24">E390+F327</f>
        <v>#REF!</v>
      </c>
      <c r="G390" s="2"/>
      <c r="H390" s="37">
        <v>10508</v>
      </c>
      <c r="I390" s="4">
        <f>H390*E390</f>
        <v>0</v>
      </c>
      <c r="J390" s="25">
        <f t="shared" si="23"/>
        <v>13</v>
      </c>
    </row>
    <row r="391" spans="1:10" ht="34.799999999999997" customHeight="1">
      <c r="A391" s="75">
        <v>2</v>
      </c>
      <c r="B391" s="80" t="s">
        <v>92</v>
      </c>
      <c r="C391" s="77" t="s">
        <v>48</v>
      </c>
      <c r="D391" s="78">
        <v>1</v>
      </c>
      <c r="E391" s="79"/>
      <c r="F391" s="79" t="e">
        <f t="shared" si="24"/>
        <v>#REF!</v>
      </c>
      <c r="G391" s="2"/>
      <c r="H391" s="37">
        <v>13223</v>
      </c>
      <c r="I391" s="4">
        <f>H391*E391</f>
        <v>0</v>
      </c>
      <c r="J391" s="25">
        <f t="shared" si="23"/>
        <v>13</v>
      </c>
    </row>
    <row r="392" spans="1:10" ht="53.4" customHeight="1">
      <c r="A392" s="75">
        <v>3</v>
      </c>
      <c r="B392" s="80" t="s">
        <v>93</v>
      </c>
      <c r="C392" s="77" t="s">
        <v>48</v>
      </c>
      <c r="D392" s="78">
        <v>1</v>
      </c>
      <c r="E392" s="79"/>
      <c r="F392" s="79" t="e">
        <f t="shared" si="24"/>
        <v>#REF!</v>
      </c>
      <c r="G392" s="2"/>
      <c r="H392" s="37">
        <v>310497</v>
      </c>
      <c r="I392" s="4">
        <f t="shared" ref="I392:I423" si="25">H392*E392</f>
        <v>0</v>
      </c>
      <c r="J392" s="25">
        <f t="shared" si="23"/>
        <v>13</v>
      </c>
    </row>
    <row r="393" spans="1:10" ht="16.95" customHeight="1">
      <c r="A393" s="75">
        <v>4</v>
      </c>
      <c r="B393" s="80" t="s">
        <v>94</v>
      </c>
      <c r="C393" s="77" t="s">
        <v>48</v>
      </c>
      <c r="D393" s="78">
        <v>1</v>
      </c>
      <c r="E393" s="79"/>
      <c r="F393" s="79" t="e">
        <f t="shared" si="24"/>
        <v>#REF!</v>
      </c>
      <c r="G393" s="2"/>
      <c r="H393" s="37">
        <v>8375</v>
      </c>
      <c r="I393" s="4">
        <f t="shared" si="25"/>
        <v>0</v>
      </c>
      <c r="J393" s="25">
        <f t="shared" si="23"/>
        <v>13</v>
      </c>
    </row>
    <row r="394" spans="1:10" ht="16.95" customHeight="1">
      <c r="A394" s="75">
        <v>5</v>
      </c>
      <c r="B394" s="80" t="s">
        <v>95</v>
      </c>
      <c r="C394" s="77" t="s">
        <v>48</v>
      </c>
      <c r="D394" s="78">
        <v>1</v>
      </c>
      <c r="E394" s="79"/>
      <c r="F394" s="79" t="e">
        <f t="shared" si="24"/>
        <v>#REF!</v>
      </c>
      <c r="G394" s="2"/>
      <c r="H394" s="37">
        <v>51618</v>
      </c>
      <c r="I394" s="4">
        <f t="shared" si="25"/>
        <v>0</v>
      </c>
      <c r="J394" s="25">
        <f t="shared" si="23"/>
        <v>13</v>
      </c>
    </row>
    <row r="395" spans="1:10" ht="16.95" customHeight="1">
      <c r="A395" s="75">
        <v>6</v>
      </c>
      <c r="B395" s="80" t="s">
        <v>96</v>
      </c>
      <c r="C395" s="77" t="s">
        <v>50</v>
      </c>
      <c r="D395" s="78">
        <v>11.55</v>
      </c>
      <c r="E395" s="79"/>
      <c r="F395" s="79" t="e">
        <f t="shared" si="24"/>
        <v>#REF!</v>
      </c>
      <c r="G395" s="2"/>
      <c r="H395" s="37">
        <v>1188</v>
      </c>
      <c r="I395" s="4">
        <f t="shared" si="25"/>
        <v>0</v>
      </c>
      <c r="J395" s="25">
        <f t="shared" si="23"/>
        <v>13</v>
      </c>
    </row>
    <row r="396" spans="1:10" ht="34.950000000000003" customHeight="1">
      <c r="A396" s="75">
        <v>7</v>
      </c>
      <c r="B396" s="80" t="s">
        <v>97</v>
      </c>
      <c r="C396" s="77" t="s">
        <v>48</v>
      </c>
      <c r="D396" s="78">
        <v>1</v>
      </c>
      <c r="E396" s="79"/>
      <c r="F396" s="79" t="e">
        <f t="shared" si="24"/>
        <v>#REF!</v>
      </c>
      <c r="G396" s="2"/>
      <c r="H396" s="37">
        <v>21157</v>
      </c>
      <c r="I396" s="4">
        <f t="shared" si="25"/>
        <v>0</v>
      </c>
      <c r="J396" s="25">
        <f t="shared" si="23"/>
        <v>13</v>
      </c>
    </row>
    <row r="397" spans="1:10" ht="16.95" customHeight="1">
      <c r="A397" s="75">
        <v>8</v>
      </c>
      <c r="B397" s="80" t="s">
        <v>98</v>
      </c>
      <c r="C397" s="77" t="s">
        <v>50</v>
      </c>
      <c r="D397" s="78">
        <v>387</v>
      </c>
      <c r="E397" s="79"/>
      <c r="F397" s="79" t="e">
        <f t="shared" si="24"/>
        <v>#REF!</v>
      </c>
      <c r="G397" s="2"/>
      <c r="H397" s="37">
        <v>705</v>
      </c>
      <c r="I397" s="4">
        <f t="shared" si="25"/>
        <v>0</v>
      </c>
      <c r="J397" s="25">
        <f t="shared" si="23"/>
        <v>13</v>
      </c>
    </row>
    <row r="398" spans="1:10" ht="16.95" customHeight="1">
      <c r="A398" s="75">
        <v>9</v>
      </c>
      <c r="B398" s="80" t="s">
        <v>99</v>
      </c>
      <c r="C398" s="77" t="s">
        <v>50</v>
      </c>
      <c r="D398" s="78">
        <v>170</v>
      </c>
      <c r="E398" s="79"/>
      <c r="F398" s="79" t="e">
        <f t="shared" si="24"/>
        <v>#REF!</v>
      </c>
      <c r="G398" s="2"/>
      <c r="H398" s="37">
        <v>617</v>
      </c>
      <c r="I398" s="4">
        <f t="shared" si="25"/>
        <v>0</v>
      </c>
      <c r="J398" s="25">
        <f t="shared" si="23"/>
        <v>13</v>
      </c>
    </row>
    <row r="399" spans="1:10" ht="16.95" customHeight="1">
      <c r="A399" s="75">
        <v>10</v>
      </c>
      <c r="B399" s="80" t="s">
        <v>100</v>
      </c>
      <c r="C399" s="77" t="s">
        <v>66</v>
      </c>
      <c r="D399" s="78">
        <v>15</v>
      </c>
      <c r="E399" s="79"/>
      <c r="F399" s="79" t="e">
        <f t="shared" si="24"/>
        <v>#REF!</v>
      </c>
      <c r="G399" s="2"/>
      <c r="H399" s="37">
        <v>617</v>
      </c>
      <c r="I399" s="4">
        <f t="shared" si="25"/>
        <v>0</v>
      </c>
      <c r="J399" s="25">
        <f t="shared" si="23"/>
        <v>13</v>
      </c>
    </row>
    <row r="400" spans="1:10" ht="16.95" customHeight="1">
      <c r="A400" s="75">
        <v>11</v>
      </c>
      <c r="B400" s="80" t="s">
        <v>101</v>
      </c>
      <c r="C400" s="77" t="s">
        <v>50</v>
      </c>
      <c r="D400" s="78">
        <v>75</v>
      </c>
      <c r="E400" s="79"/>
      <c r="F400" s="79" t="e">
        <f t="shared" si="24"/>
        <v>#REF!</v>
      </c>
      <c r="G400" s="2"/>
      <c r="H400" s="37">
        <v>1146</v>
      </c>
      <c r="I400" s="4">
        <f t="shared" si="25"/>
        <v>0</v>
      </c>
      <c r="J400" s="25">
        <f t="shared" si="23"/>
        <v>13</v>
      </c>
    </row>
    <row r="401" spans="1:10" ht="16.95" customHeight="1">
      <c r="A401" s="75">
        <v>12</v>
      </c>
      <c r="B401" s="80" t="s">
        <v>102</v>
      </c>
      <c r="C401" s="77" t="s">
        <v>50</v>
      </c>
      <c r="D401" s="78">
        <v>5</v>
      </c>
      <c r="E401" s="79"/>
      <c r="F401" s="79" t="e">
        <f t="shared" si="24"/>
        <v>#REF!</v>
      </c>
      <c r="G401" s="2"/>
      <c r="H401" s="37">
        <v>1455</v>
      </c>
      <c r="I401" s="4">
        <f t="shared" si="25"/>
        <v>0</v>
      </c>
      <c r="J401" s="25">
        <f t="shared" si="23"/>
        <v>13</v>
      </c>
    </row>
    <row r="402" spans="1:10" ht="16.95" customHeight="1">
      <c r="A402" s="75">
        <v>13</v>
      </c>
      <c r="B402" s="80" t="s">
        <v>103</v>
      </c>
      <c r="C402" s="77" t="s">
        <v>50</v>
      </c>
      <c r="D402" s="78">
        <v>217</v>
      </c>
      <c r="E402" s="79"/>
      <c r="F402" s="79" t="e">
        <f t="shared" si="24"/>
        <v>#REF!</v>
      </c>
      <c r="G402" s="2"/>
      <c r="H402" s="37">
        <v>1410</v>
      </c>
      <c r="I402" s="4">
        <f t="shared" si="25"/>
        <v>0</v>
      </c>
      <c r="J402" s="25">
        <f t="shared" si="23"/>
        <v>13</v>
      </c>
    </row>
    <row r="403" spans="1:10" ht="16.95" customHeight="1">
      <c r="A403" s="75">
        <v>14</v>
      </c>
      <c r="B403" s="80" t="s">
        <v>104</v>
      </c>
      <c r="C403" s="77" t="s">
        <v>49</v>
      </c>
      <c r="D403" s="78">
        <v>84</v>
      </c>
      <c r="E403" s="79"/>
      <c r="F403" s="79" t="e">
        <f t="shared" si="24"/>
        <v>#REF!</v>
      </c>
      <c r="G403" s="2"/>
      <c r="H403" s="37">
        <v>529</v>
      </c>
      <c r="I403" s="4">
        <f t="shared" si="25"/>
        <v>0</v>
      </c>
      <c r="J403" s="25">
        <f t="shared" si="23"/>
        <v>13</v>
      </c>
    </row>
    <row r="404" spans="1:10" ht="16.95" customHeight="1">
      <c r="A404" s="75">
        <v>15</v>
      </c>
      <c r="B404" s="80" t="s">
        <v>105</v>
      </c>
      <c r="C404" s="77" t="s">
        <v>50</v>
      </c>
      <c r="D404" s="78">
        <v>1</v>
      </c>
      <c r="E404" s="79"/>
      <c r="F404" s="79" t="e">
        <f t="shared" si="24"/>
        <v>#REF!</v>
      </c>
      <c r="G404" s="2"/>
      <c r="H404" s="37">
        <v>1146</v>
      </c>
      <c r="I404" s="4">
        <f t="shared" si="25"/>
        <v>0</v>
      </c>
      <c r="J404" s="25">
        <f t="shared" si="23"/>
        <v>13</v>
      </c>
    </row>
    <row r="405" spans="1:10" ht="34.799999999999997" customHeight="1">
      <c r="A405" s="75">
        <v>16</v>
      </c>
      <c r="B405" s="80" t="s">
        <v>106</v>
      </c>
      <c r="C405" s="77" t="s">
        <v>50</v>
      </c>
      <c r="D405" s="78">
        <v>314</v>
      </c>
      <c r="E405" s="79"/>
      <c r="F405" s="79" t="e">
        <f t="shared" si="24"/>
        <v>#REF!</v>
      </c>
      <c r="G405" s="2"/>
      <c r="H405" s="37">
        <v>185</v>
      </c>
      <c r="I405" s="4">
        <f t="shared" si="25"/>
        <v>0</v>
      </c>
      <c r="J405" s="25">
        <f t="shared" si="23"/>
        <v>13</v>
      </c>
    </row>
    <row r="406" spans="1:10" ht="16.95" customHeight="1">
      <c r="A406" s="75">
        <v>17</v>
      </c>
      <c r="B406" s="80" t="s">
        <v>107</v>
      </c>
      <c r="C406" s="77" t="s">
        <v>48</v>
      </c>
      <c r="D406" s="78">
        <v>1</v>
      </c>
      <c r="E406" s="79"/>
      <c r="F406" s="79" t="e">
        <f t="shared" si="24"/>
        <v>#REF!</v>
      </c>
      <c r="G406" s="2"/>
      <c r="H406" s="37">
        <v>89918</v>
      </c>
      <c r="I406" s="4">
        <f t="shared" si="25"/>
        <v>0</v>
      </c>
      <c r="J406" s="25">
        <f t="shared" si="23"/>
        <v>13</v>
      </c>
    </row>
    <row r="407" spans="1:10" ht="16.95" customHeight="1">
      <c r="A407" s="75">
        <v>18</v>
      </c>
      <c r="B407" s="80" t="s">
        <v>108</v>
      </c>
      <c r="C407" s="77" t="s">
        <v>120</v>
      </c>
      <c r="D407" s="78">
        <v>15</v>
      </c>
      <c r="E407" s="79"/>
      <c r="F407" s="79" t="e">
        <f t="shared" si="24"/>
        <v>#REF!</v>
      </c>
      <c r="G407" s="2"/>
      <c r="H407" s="37">
        <v>661</v>
      </c>
      <c r="I407" s="4">
        <f t="shared" si="25"/>
        <v>0</v>
      </c>
      <c r="J407" s="25">
        <f t="shared" si="23"/>
        <v>13</v>
      </c>
    </row>
    <row r="408" spans="1:10" ht="16.95" customHeight="1">
      <c r="A408" s="75">
        <v>19</v>
      </c>
      <c r="B408" s="80" t="s">
        <v>109</v>
      </c>
      <c r="C408" s="77" t="s">
        <v>50</v>
      </c>
      <c r="D408" s="78">
        <v>82</v>
      </c>
      <c r="E408" s="79"/>
      <c r="F408" s="79" t="e">
        <f t="shared" si="24"/>
        <v>#REF!</v>
      </c>
      <c r="G408" s="2"/>
      <c r="H408" s="37">
        <v>2909</v>
      </c>
      <c r="I408" s="4">
        <f t="shared" si="25"/>
        <v>0</v>
      </c>
      <c r="J408" s="25">
        <f t="shared" si="23"/>
        <v>13</v>
      </c>
    </row>
    <row r="409" spans="1:10" ht="16.95" customHeight="1">
      <c r="A409" s="75">
        <v>20</v>
      </c>
      <c r="B409" s="80" t="s">
        <v>110</v>
      </c>
      <c r="C409" s="77" t="s">
        <v>121</v>
      </c>
      <c r="D409" s="78">
        <v>12</v>
      </c>
      <c r="E409" s="79"/>
      <c r="F409" s="79" t="e">
        <f t="shared" si="24"/>
        <v>#REF!</v>
      </c>
      <c r="G409" s="2"/>
      <c r="H409" s="37">
        <v>882</v>
      </c>
      <c r="I409" s="4">
        <f t="shared" si="25"/>
        <v>0</v>
      </c>
      <c r="J409" s="25">
        <f t="shared" si="23"/>
        <v>13</v>
      </c>
    </row>
    <row r="410" spans="1:10" ht="16.95" customHeight="1">
      <c r="A410" s="77">
        <v>21</v>
      </c>
      <c r="B410" s="80" t="s">
        <v>111</v>
      </c>
      <c r="C410" s="77" t="s">
        <v>122</v>
      </c>
      <c r="D410" s="78">
        <v>3</v>
      </c>
      <c r="E410" s="79"/>
      <c r="F410" s="79" t="e">
        <f t="shared" si="24"/>
        <v>#REF!</v>
      </c>
      <c r="G410" s="2"/>
      <c r="H410" s="38">
        <v>1869</v>
      </c>
      <c r="I410" s="4">
        <f t="shared" si="25"/>
        <v>0</v>
      </c>
      <c r="J410" s="25">
        <f t="shared" si="23"/>
        <v>13</v>
      </c>
    </row>
    <row r="411" spans="1:10" ht="34.950000000000003" customHeight="1">
      <c r="A411" s="75">
        <v>22</v>
      </c>
      <c r="B411" s="80" t="s">
        <v>112</v>
      </c>
      <c r="C411" s="77" t="s">
        <v>48</v>
      </c>
      <c r="D411" s="78">
        <v>1</v>
      </c>
      <c r="E411" s="79"/>
      <c r="F411" s="79" t="e">
        <f t="shared" si="24"/>
        <v>#REF!</v>
      </c>
      <c r="G411" s="2"/>
      <c r="H411" s="37">
        <v>82206</v>
      </c>
      <c r="I411" s="4">
        <f t="shared" si="25"/>
        <v>0</v>
      </c>
      <c r="J411" s="25">
        <f t="shared" si="23"/>
        <v>13</v>
      </c>
    </row>
    <row r="412" spans="1:10" ht="16.95" customHeight="1">
      <c r="A412" s="75">
        <v>23</v>
      </c>
      <c r="B412" s="80" t="s">
        <v>113</v>
      </c>
      <c r="C412" s="77" t="s">
        <v>48</v>
      </c>
      <c r="D412" s="78">
        <v>1</v>
      </c>
      <c r="E412" s="79"/>
      <c r="F412" s="79" t="e">
        <f t="shared" si="24"/>
        <v>#REF!</v>
      </c>
      <c r="G412" s="2"/>
      <c r="H412" s="37">
        <v>142723</v>
      </c>
      <c r="I412" s="4">
        <f t="shared" si="25"/>
        <v>0</v>
      </c>
      <c r="J412" s="25">
        <f t="shared" si="23"/>
        <v>13</v>
      </c>
    </row>
    <row r="413" spans="1:10" ht="16.95" customHeight="1">
      <c r="A413" s="75">
        <v>24</v>
      </c>
      <c r="B413" s="80" t="s">
        <v>114</v>
      </c>
      <c r="C413" s="77" t="s">
        <v>48</v>
      </c>
      <c r="D413" s="78">
        <v>1</v>
      </c>
      <c r="E413" s="79"/>
      <c r="F413" s="79" t="e">
        <f t="shared" si="24"/>
        <v>#REF!</v>
      </c>
      <c r="G413" s="2"/>
      <c r="H413" s="37">
        <v>37290</v>
      </c>
      <c r="I413" s="4">
        <f t="shared" si="25"/>
        <v>0</v>
      </c>
      <c r="J413" s="25">
        <f t="shared" si="23"/>
        <v>13</v>
      </c>
    </row>
    <row r="414" spans="1:10" ht="16.95" customHeight="1">
      <c r="A414" s="75">
        <v>25</v>
      </c>
      <c r="B414" s="80" t="s">
        <v>115</v>
      </c>
      <c r="C414" s="77" t="s">
        <v>48</v>
      </c>
      <c r="D414" s="78">
        <v>1</v>
      </c>
      <c r="E414" s="79"/>
      <c r="F414" s="79" t="e">
        <f t="shared" si="24"/>
        <v>#REF!</v>
      </c>
      <c r="G414" s="2"/>
      <c r="H414" s="37">
        <v>99394</v>
      </c>
      <c r="I414" s="4">
        <f t="shared" si="25"/>
        <v>0</v>
      </c>
      <c r="J414" s="25">
        <f t="shared" si="23"/>
        <v>13</v>
      </c>
    </row>
    <row r="415" spans="1:10" ht="34.950000000000003" customHeight="1">
      <c r="A415" s="75">
        <v>26</v>
      </c>
      <c r="B415" s="80" t="s">
        <v>116</v>
      </c>
      <c r="C415" s="77" t="s">
        <v>48</v>
      </c>
      <c r="D415" s="78">
        <v>1</v>
      </c>
      <c r="E415" s="79"/>
      <c r="F415" s="79" t="e">
        <f t="shared" si="24"/>
        <v>#REF!</v>
      </c>
      <c r="G415" s="2"/>
      <c r="H415" s="37">
        <v>21334</v>
      </c>
      <c r="I415" s="4">
        <f t="shared" si="25"/>
        <v>0</v>
      </c>
      <c r="J415" s="25">
        <f t="shared" si="23"/>
        <v>13</v>
      </c>
    </row>
    <row r="416" spans="1:10" ht="16.95" customHeight="1">
      <c r="A416" s="75">
        <v>27</v>
      </c>
      <c r="B416" s="80" t="s">
        <v>117</v>
      </c>
      <c r="C416" s="77" t="s">
        <v>48</v>
      </c>
      <c r="D416" s="78">
        <v>1</v>
      </c>
      <c r="E416" s="79"/>
      <c r="F416" s="79" t="e">
        <f t="shared" si="24"/>
        <v>#REF!</v>
      </c>
      <c r="G416" s="2"/>
      <c r="H416" s="37">
        <v>29620</v>
      </c>
      <c r="I416" s="4">
        <f t="shared" si="25"/>
        <v>0</v>
      </c>
      <c r="J416" s="25">
        <f t="shared" si="23"/>
        <v>13</v>
      </c>
    </row>
    <row r="417" spans="1:10" ht="16.95" customHeight="1">
      <c r="A417" s="75">
        <v>28</v>
      </c>
      <c r="B417" s="80" t="s">
        <v>118</v>
      </c>
      <c r="C417" s="77" t="s">
        <v>48</v>
      </c>
      <c r="D417" s="78">
        <v>1</v>
      </c>
      <c r="E417" s="79"/>
      <c r="F417" s="79" t="e">
        <f t="shared" si="24"/>
        <v>#REF!</v>
      </c>
      <c r="G417" s="2"/>
      <c r="H417" s="37">
        <v>18506</v>
      </c>
      <c r="I417" s="4">
        <f t="shared" si="25"/>
        <v>0</v>
      </c>
      <c r="J417" s="25">
        <f t="shared" si="23"/>
        <v>13</v>
      </c>
    </row>
    <row r="418" spans="1:10" ht="16.95" customHeight="1">
      <c r="A418" s="75">
        <v>29</v>
      </c>
      <c r="B418" s="80" t="s">
        <v>119</v>
      </c>
      <c r="C418" s="77" t="s">
        <v>48</v>
      </c>
      <c r="D418" s="78">
        <v>1</v>
      </c>
      <c r="E418" s="79"/>
      <c r="F418" s="79" t="e">
        <f t="shared" si="24"/>
        <v>#REF!</v>
      </c>
      <c r="G418" s="2"/>
      <c r="H418" s="37">
        <v>34381</v>
      </c>
      <c r="I418" s="4">
        <f t="shared" si="25"/>
        <v>0</v>
      </c>
      <c r="J418" s="25">
        <f t="shared" si="23"/>
        <v>13</v>
      </c>
    </row>
    <row r="419" spans="1:10" ht="16.95" customHeight="1">
      <c r="A419" s="75" t="s">
        <v>79</v>
      </c>
      <c r="B419" s="80" t="s">
        <v>80</v>
      </c>
      <c r="C419" s="77" t="s">
        <v>48</v>
      </c>
      <c r="D419" s="78">
        <v>1</v>
      </c>
      <c r="E419" s="79">
        <f t="shared" ref="E419:E422" si="26">1/120</f>
        <v>8.3333333333333332E-3</v>
      </c>
      <c r="F419" s="79" t="e">
        <f t="shared" si="24"/>
        <v>#REF!</v>
      </c>
      <c r="G419" s="2"/>
      <c r="H419" s="37">
        <v>21395</v>
      </c>
      <c r="I419" s="4">
        <f t="shared" si="25"/>
        <v>178.29166666666666</v>
      </c>
      <c r="J419" s="25">
        <f t="shared" si="23"/>
        <v>13</v>
      </c>
    </row>
    <row r="420" spans="1:10" ht="16.95" customHeight="1">
      <c r="A420" s="75" t="s">
        <v>81</v>
      </c>
      <c r="B420" s="80" t="s">
        <v>82</v>
      </c>
      <c r="C420" s="77" t="s">
        <v>48</v>
      </c>
      <c r="D420" s="78">
        <v>1</v>
      </c>
      <c r="E420" s="79">
        <f t="shared" si="26"/>
        <v>8.3333333333333332E-3</v>
      </c>
      <c r="F420" s="79" t="e">
        <f t="shared" si="24"/>
        <v>#REF!</v>
      </c>
      <c r="G420" s="2"/>
      <c r="H420" s="37">
        <v>21395</v>
      </c>
      <c r="I420" s="4">
        <f t="shared" si="25"/>
        <v>178.29166666666666</v>
      </c>
      <c r="J420" s="25">
        <f t="shared" si="23"/>
        <v>13</v>
      </c>
    </row>
    <row r="421" spans="1:10" ht="16.95" customHeight="1">
      <c r="A421" s="75" t="s">
        <v>83</v>
      </c>
      <c r="B421" s="80" t="s">
        <v>84</v>
      </c>
      <c r="C421" s="77" t="s">
        <v>48</v>
      </c>
      <c r="D421" s="78">
        <v>1</v>
      </c>
      <c r="E421" s="79">
        <f t="shared" si="26"/>
        <v>8.3333333333333332E-3</v>
      </c>
      <c r="F421" s="79" t="e">
        <f t="shared" si="24"/>
        <v>#REF!</v>
      </c>
      <c r="G421" s="2"/>
      <c r="H421" s="37">
        <v>149765</v>
      </c>
      <c r="I421" s="4">
        <f t="shared" si="25"/>
        <v>1248.0416666666667</v>
      </c>
      <c r="J421" s="25">
        <f t="shared" si="23"/>
        <v>13</v>
      </c>
    </row>
    <row r="422" spans="1:10" ht="16.95" customHeight="1">
      <c r="A422" s="75" t="s">
        <v>85</v>
      </c>
      <c r="B422" s="80" t="s">
        <v>86</v>
      </c>
      <c r="C422" s="77" t="s">
        <v>48</v>
      </c>
      <c r="D422" s="78">
        <v>1</v>
      </c>
      <c r="E422" s="79">
        <f t="shared" si="26"/>
        <v>8.3333333333333332E-3</v>
      </c>
      <c r="F422" s="79" t="e">
        <f t="shared" si="24"/>
        <v>#REF!</v>
      </c>
      <c r="G422" s="2"/>
      <c r="H422" s="37">
        <v>6996</v>
      </c>
      <c r="I422" s="4">
        <f t="shared" si="25"/>
        <v>58.3</v>
      </c>
      <c r="J422" s="25">
        <f t="shared" si="23"/>
        <v>13</v>
      </c>
    </row>
    <row r="423" spans="1:10" ht="16.95" customHeight="1">
      <c r="A423" s="75" t="s">
        <v>87</v>
      </c>
      <c r="B423" s="80" t="s">
        <v>88</v>
      </c>
      <c r="C423" s="77" t="s">
        <v>48</v>
      </c>
      <c r="D423" s="78">
        <v>1</v>
      </c>
      <c r="E423" s="79">
        <f>1/120</f>
        <v>8.3333333333333332E-3</v>
      </c>
      <c r="F423" s="79" t="e">
        <f t="shared" si="24"/>
        <v>#REF!</v>
      </c>
      <c r="G423" s="2"/>
      <c r="H423" s="37">
        <v>116952</v>
      </c>
      <c r="I423" s="4">
        <f t="shared" si="25"/>
        <v>974.6</v>
      </c>
      <c r="J423" s="25">
        <f t="shared" si="23"/>
        <v>13</v>
      </c>
    </row>
    <row r="424" spans="1:10" ht="16.95" customHeight="1">
      <c r="A424" s="95" t="s">
        <v>23</v>
      </c>
      <c r="B424" s="95"/>
      <c r="C424" s="50"/>
      <c r="D424" s="50"/>
      <c r="E424" s="50"/>
      <c r="F424" s="50"/>
      <c r="G424" s="50"/>
      <c r="H424" s="3" t="s">
        <v>24</v>
      </c>
      <c r="I424" s="5">
        <f>SUM(I389:I423)</f>
        <v>2637.5250000000001</v>
      </c>
      <c r="J424" s="25">
        <f t="shared" si="23"/>
        <v>13</v>
      </c>
    </row>
    <row r="425" spans="1:10" ht="16.95" customHeight="1">
      <c r="A425" s="96" t="s">
        <v>25</v>
      </c>
      <c r="B425" s="96"/>
      <c r="C425" s="50"/>
      <c r="D425" s="50"/>
      <c r="E425" s="50"/>
      <c r="F425" s="50"/>
      <c r="G425" s="50"/>
      <c r="J425" s="25">
        <f t="shared" si="23"/>
        <v>13</v>
      </c>
    </row>
    <row r="426" spans="1:10" ht="16.95" customHeight="1">
      <c r="A426" s="96" t="s">
        <v>26</v>
      </c>
      <c r="B426" s="96"/>
      <c r="C426" s="50"/>
      <c r="D426" s="50"/>
      <c r="E426" s="50"/>
      <c r="F426" s="50"/>
      <c r="G426" s="50"/>
      <c r="J426" s="25">
        <f t="shared" si="23"/>
        <v>13</v>
      </c>
    </row>
    <row r="427" spans="1:10" ht="16.95" customHeight="1">
      <c r="A427" s="95" t="s">
        <v>27</v>
      </c>
      <c r="B427" s="95"/>
      <c r="C427" s="95"/>
      <c r="D427" s="95"/>
      <c r="E427" s="95"/>
      <c r="F427" s="95"/>
      <c r="G427" s="95"/>
      <c r="J427" s="25">
        <f t="shared" si="23"/>
        <v>13</v>
      </c>
    </row>
    <row r="428" spans="1:10" ht="16.95" customHeight="1">
      <c r="A428" s="94" t="s">
        <v>28</v>
      </c>
      <c r="B428" s="94"/>
      <c r="C428" s="51" t="s">
        <v>29</v>
      </c>
      <c r="D428" s="51" t="s">
        <v>30</v>
      </c>
      <c r="E428" s="51" t="s">
        <v>18</v>
      </c>
      <c r="F428" s="51" t="s">
        <v>31</v>
      </c>
      <c r="G428" s="51" t="s">
        <v>20</v>
      </c>
      <c r="J428" s="25">
        <f t="shared" si="23"/>
        <v>13</v>
      </c>
    </row>
    <row r="429" spans="1:10" ht="16.95" customHeight="1">
      <c r="A429" s="96"/>
      <c r="B429" s="96"/>
      <c r="C429" s="50"/>
      <c r="D429" s="50"/>
      <c r="E429" s="50"/>
      <c r="F429" s="50"/>
      <c r="G429" s="51"/>
      <c r="J429" s="25">
        <f t="shared" si="23"/>
        <v>13</v>
      </c>
    </row>
    <row r="430" spans="1:10" ht="16.95" customHeight="1">
      <c r="A430" s="97"/>
      <c r="B430" s="97"/>
      <c r="C430" s="50"/>
      <c r="D430" s="50"/>
      <c r="E430" s="50"/>
      <c r="F430" s="51"/>
      <c r="G430" s="51"/>
      <c r="J430" s="25">
        <f t="shared" si="23"/>
        <v>13</v>
      </c>
    </row>
    <row r="431" spans="1:10" ht="16.95" customHeight="1">
      <c r="A431" s="95" t="s">
        <v>32</v>
      </c>
      <c r="B431" s="95"/>
      <c r="C431" s="95"/>
      <c r="D431" s="95"/>
      <c r="E431" s="95"/>
      <c r="F431" s="95"/>
      <c r="G431" s="95"/>
      <c r="J431" s="25">
        <f t="shared" si="23"/>
        <v>14</v>
      </c>
    </row>
    <row r="432" spans="1:10" ht="16.95" customHeight="1">
      <c r="A432" s="51" t="s">
        <v>33</v>
      </c>
      <c r="B432" s="51" t="s">
        <v>34</v>
      </c>
      <c r="C432" s="94" t="s">
        <v>35</v>
      </c>
      <c r="D432" s="94"/>
      <c r="E432" s="51" t="s">
        <v>36</v>
      </c>
      <c r="F432" s="51" t="s">
        <v>37</v>
      </c>
      <c r="G432" s="51" t="s">
        <v>38</v>
      </c>
      <c r="J432" s="25">
        <f t="shared" si="23"/>
        <v>14</v>
      </c>
    </row>
    <row r="433" spans="1:10" ht="16.95" customHeight="1">
      <c r="A433" s="51" t="s">
        <v>39</v>
      </c>
      <c r="B433" s="6"/>
      <c r="C433" s="94" t="e">
        <f>B433+C370</f>
        <v>#REF!</v>
      </c>
      <c r="D433" s="94"/>
      <c r="E433" s="51"/>
      <c r="F433" s="24"/>
      <c r="G433" s="24"/>
      <c r="J433" s="25">
        <f t="shared" si="23"/>
        <v>14</v>
      </c>
    </row>
    <row r="434" spans="1:10" ht="16.95" customHeight="1">
      <c r="A434" s="51" t="s">
        <v>40</v>
      </c>
      <c r="B434" s="6"/>
      <c r="C434" s="94" t="e">
        <f>B434+C371</f>
        <v>#REF!</v>
      </c>
      <c r="D434" s="94"/>
      <c r="E434" s="51"/>
      <c r="F434" s="24"/>
      <c r="G434" s="24"/>
      <c r="J434" s="25">
        <f t="shared" si="23"/>
        <v>14</v>
      </c>
    </row>
    <row r="435" spans="1:10" ht="36.6" customHeight="1">
      <c r="A435" s="95" t="s">
        <v>41</v>
      </c>
      <c r="B435" s="95"/>
      <c r="C435" s="95"/>
      <c r="D435" s="95"/>
      <c r="E435" s="95"/>
      <c r="F435" s="95"/>
      <c r="G435" s="95"/>
      <c r="J435" s="25">
        <f t="shared" si="23"/>
        <v>14</v>
      </c>
    </row>
    <row r="436" spans="1:10" ht="90" customHeight="1">
      <c r="A436" s="92" t="s">
        <v>42</v>
      </c>
      <c r="B436" s="92"/>
      <c r="C436" s="92"/>
      <c r="D436" s="92"/>
      <c r="E436" s="92"/>
      <c r="F436" s="92"/>
      <c r="G436" s="92"/>
      <c r="J436" s="25">
        <f t="shared" si="23"/>
        <v>14</v>
      </c>
    </row>
    <row r="437" spans="1:10" ht="16.95" customHeight="1">
      <c r="A437" s="95" t="s">
        <v>43</v>
      </c>
      <c r="B437" s="95"/>
      <c r="C437" s="95"/>
      <c r="D437" s="95"/>
      <c r="E437" s="95"/>
      <c r="F437" s="95"/>
      <c r="G437" s="95"/>
      <c r="J437" s="25">
        <f t="shared" si="23"/>
        <v>14</v>
      </c>
    </row>
    <row r="438" spans="1:10" ht="16.95" customHeight="1">
      <c r="A438" s="95" t="s">
        <v>44</v>
      </c>
      <c r="B438" s="95"/>
      <c r="C438" s="95"/>
      <c r="D438" s="95"/>
      <c r="E438" s="95"/>
      <c r="F438" s="95"/>
      <c r="G438" s="95"/>
      <c r="J438" s="25">
        <f t="shared" si="23"/>
        <v>14</v>
      </c>
    </row>
    <row r="439" spans="1:10" ht="16.95" customHeight="1">
      <c r="A439" s="91" t="s">
        <v>64</v>
      </c>
      <c r="B439" s="91"/>
      <c r="C439" s="91"/>
      <c r="D439" s="91"/>
      <c r="E439" s="91"/>
      <c r="F439" s="91"/>
      <c r="G439" s="91"/>
      <c r="J439" s="25">
        <f t="shared" si="23"/>
        <v>14</v>
      </c>
    </row>
    <row r="440" spans="1:10" ht="120.6" customHeight="1">
      <c r="A440" s="92" t="s">
        <v>45</v>
      </c>
      <c r="B440" s="92"/>
      <c r="C440" s="92"/>
      <c r="D440" s="92"/>
      <c r="E440" s="92"/>
      <c r="F440" s="92"/>
      <c r="G440" s="92"/>
      <c r="J440" s="25">
        <f t="shared" si="23"/>
        <v>14</v>
      </c>
    </row>
    <row r="441" spans="1:10" ht="140.4" customHeight="1">
      <c r="A441" s="93" t="s">
        <v>46</v>
      </c>
      <c r="B441" s="93"/>
      <c r="C441" s="93"/>
      <c r="D441" s="93"/>
      <c r="E441" s="93"/>
      <c r="F441" s="93"/>
      <c r="G441" s="93"/>
      <c r="J441" s="25">
        <f t="shared" si="23"/>
        <v>14</v>
      </c>
    </row>
    <row r="442" spans="1:10" ht="37.200000000000003" customHeight="1">
      <c r="A442" s="103" t="s">
        <v>0</v>
      </c>
      <c r="B442" s="103"/>
      <c r="C442" s="103"/>
      <c r="D442" s="103"/>
      <c r="E442" s="103"/>
      <c r="F442" s="103"/>
      <c r="G442" s="103"/>
      <c r="J442" s="25">
        <f t="shared" si="23"/>
        <v>15</v>
      </c>
    </row>
    <row r="443" spans="1:10" ht="16.95" customHeight="1">
      <c r="A443" s="1" t="s">
        <v>1</v>
      </c>
      <c r="B443" s="104">
        <f>B380+1</f>
        <v>9</v>
      </c>
      <c r="C443" s="104"/>
      <c r="D443" s="104"/>
      <c r="E443" s="104"/>
      <c r="F443" s="104"/>
      <c r="G443" s="104"/>
      <c r="J443" s="25">
        <f t="shared" ref="J443:J506" si="27">J380+2</f>
        <v>15</v>
      </c>
    </row>
    <row r="444" spans="1:10" ht="16.95" customHeight="1">
      <c r="A444" s="1" t="s">
        <v>2</v>
      </c>
      <c r="B444" s="105" t="s">
        <v>63</v>
      </c>
      <c r="C444" s="105"/>
      <c r="D444" s="105"/>
      <c r="E444" s="106">
        <f>E381+1</f>
        <v>46211</v>
      </c>
      <c r="F444" s="106"/>
      <c r="G444" s="106"/>
      <c r="J444" s="25">
        <f t="shared" si="27"/>
        <v>15</v>
      </c>
    </row>
    <row r="445" spans="1:10" ht="16.95" customHeight="1">
      <c r="A445" s="53" t="s">
        <v>3</v>
      </c>
      <c r="B445" s="2" t="s">
        <v>67</v>
      </c>
      <c r="C445" s="98" t="s">
        <v>4</v>
      </c>
      <c r="D445" s="98"/>
      <c r="E445" s="98" t="s">
        <v>47</v>
      </c>
      <c r="F445" s="98"/>
      <c r="G445" s="98"/>
      <c r="J445" s="25">
        <f t="shared" si="27"/>
        <v>15</v>
      </c>
    </row>
    <row r="446" spans="1:10" ht="16.95" customHeight="1">
      <c r="A446" s="53" t="s">
        <v>5</v>
      </c>
      <c r="B446" s="54">
        <v>120</v>
      </c>
      <c r="C446" s="98" t="s">
        <v>6</v>
      </c>
      <c r="D446" s="98"/>
      <c r="E446" s="98" t="s">
        <v>123</v>
      </c>
      <c r="F446" s="98"/>
      <c r="G446" s="98"/>
      <c r="J446" s="25">
        <f t="shared" si="27"/>
        <v>15</v>
      </c>
    </row>
    <row r="447" spans="1:10" ht="16.95" customHeight="1">
      <c r="A447" s="53" t="s">
        <v>7</v>
      </c>
      <c r="B447" s="54">
        <f>B443</f>
        <v>9</v>
      </c>
      <c r="C447" s="100" t="s">
        <v>8</v>
      </c>
      <c r="D447" s="100"/>
      <c r="E447" s="101">
        <f>B446-B447</f>
        <v>111</v>
      </c>
      <c r="F447" s="101"/>
      <c r="G447" s="101"/>
      <c r="J447" s="25">
        <f t="shared" si="27"/>
        <v>15</v>
      </c>
    </row>
    <row r="448" spans="1:10" ht="16.95" customHeight="1">
      <c r="A448" s="53" t="s">
        <v>9</v>
      </c>
      <c r="B448" s="55">
        <v>46204</v>
      </c>
      <c r="C448" s="98" t="s">
        <v>10</v>
      </c>
      <c r="D448" s="98"/>
      <c r="E448" s="102">
        <f>B448+B446-1</f>
        <v>46323</v>
      </c>
      <c r="F448" s="102"/>
      <c r="G448" s="102"/>
      <c r="J448" s="25">
        <f t="shared" si="27"/>
        <v>15</v>
      </c>
    </row>
    <row r="449" spans="1:10" ht="16.95" customHeight="1">
      <c r="A449" s="53" t="s">
        <v>11</v>
      </c>
      <c r="B449" s="56" t="e">
        <f>HLOOKUP(B443,進度表!$Q$2:$Z$3,2,1)+B386</f>
        <v>#REF!</v>
      </c>
      <c r="C449" s="98" t="s">
        <v>12</v>
      </c>
      <c r="D449" s="98"/>
      <c r="E449" s="99" t="e">
        <f>I487/I449+E386</f>
        <v>#REF!</v>
      </c>
      <c r="F449" s="99"/>
      <c r="G449" s="99"/>
      <c r="H449" s="3" t="s">
        <v>62</v>
      </c>
      <c r="I449" s="1">
        <v>2456000</v>
      </c>
      <c r="J449" s="25">
        <f t="shared" si="27"/>
        <v>15</v>
      </c>
    </row>
    <row r="450" spans="1:10" ht="16.95" customHeight="1">
      <c r="A450" s="98" t="s">
        <v>13</v>
      </c>
      <c r="B450" s="98"/>
      <c r="C450" s="98"/>
      <c r="D450" s="98"/>
      <c r="E450" s="98"/>
      <c r="F450" s="98"/>
      <c r="G450" s="98"/>
      <c r="J450" s="25">
        <f t="shared" si="27"/>
        <v>15</v>
      </c>
    </row>
    <row r="451" spans="1:10" ht="16.95" customHeight="1">
      <c r="A451" s="52" t="s">
        <v>14</v>
      </c>
      <c r="B451" s="52" t="s">
        <v>15</v>
      </c>
      <c r="C451" s="52" t="s">
        <v>16</v>
      </c>
      <c r="D451" s="52" t="s">
        <v>17</v>
      </c>
      <c r="E451" s="52" t="s">
        <v>18</v>
      </c>
      <c r="F451" s="52" t="s">
        <v>19</v>
      </c>
      <c r="G451" s="52" t="s">
        <v>20</v>
      </c>
      <c r="H451" s="3" t="s">
        <v>21</v>
      </c>
      <c r="I451" s="3" t="s">
        <v>22</v>
      </c>
      <c r="J451" s="25">
        <f t="shared" si="27"/>
        <v>15</v>
      </c>
    </row>
    <row r="452" spans="1:10" ht="16.95" customHeight="1">
      <c r="A452" s="75" t="s">
        <v>65</v>
      </c>
      <c r="B452" s="76" t="s">
        <v>69</v>
      </c>
      <c r="C452" s="77"/>
      <c r="D452" s="78"/>
      <c r="E452" s="79"/>
      <c r="F452" s="79"/>
      <c r="G452" s="2"/>
      <c r="H452" s="37"/>
      <c r="I452" s="4"/>
      <c r="J452" s="25">
        <f t="shared" si="27"/>
        <v>15</v>
      </c>
    </row>
    <row r="453" spans="1:10" ht="34.950000000000003" customHeight="1">
      <c r="A453" s="75">
        <v>1</v>
      </c>
      <c r="B453" s="80" t="s">
        <v>91</v>
      </c>
      <c r="C453" s="77" t="s">
        <v>48</v>
      </c>
      <c r="D453" s="78">
        <v>1</v>
      </c>
      <c r="E453" s="79"/>
      <c r="F453" s="79" t="e">
        <f t="shared" ref="F453:F486" si="28">E453+F390</f>
        <v>#REF!</v>
      </c>
      <c r="G453" s="2"/>
      <c r="H453" s="37">
        <v>10508</v>
      </c>
      <c r="I453" s="4">
        <f>H453*E453</f>
        <v>0</v>
      </c>
      <c r="J453" s="25">
        <f t="shared" si="27"/>
        <v>15</v>
      </c>
    </row>
    <row r="454" spans="1:10" ht="34.799999999999997" customHeight="1">
      <c r="A454" s="75">
        <v>2</v>
      </c>
      <c r="B454" s="80" t="s">
        <v>92</v>
      </c>
      <c r="C454" s="77" t="s">
        <v>48</v>
      </c>
      <c r="D454" s="78">
        <v>1</v>
      </c>
      <c r="E454" s="79"/>
      <c r="F454" s="79" t="e">
        <f t="shared" si="28"/>
        <v>#REF!</v>
      </c>
      <c r="G454" s="2"/>
      <c r="H454" s="37">
        <v>13223</v>
      </c>
      <c r="I454" s="4">
        <f>H454*E454</f>
        <v>0</v>
      </c>
      <c r="J454" s="25">
        <f t="shared" si="27"/>
        <v>15</v>
      </c>
    </row>
    <row r="455" spans="1:10" ht="53.4" customHeight="1">
      <c r="A455" s="75">
        <v>3</v>
      </c>
      <c r="B455" s="80" t="s">
        <v>93</v>
      </c>
      <c r="C455" s="77" t="s">
        <v>48</v>
      </c>
      <c r="D455" s="78">
        <v>1</v>
      </c>
      <c r="E455" s="79"/>
      <c r="F455" s="79" t="e">
        <f t="shared" si="28"/>
        <v>#REF!</v>
      </c>
      <c r="G455" s="2"/>
      <c r="H455" s="37">
        <v>310497</v>
      </c>
      <c r="I455" s="4">
        <f t="shared" ref="I455:I486" si="29">H455*E455</f>
        <v>0</v>
      </c>
      <c r="J455" s="25">
        <f t="shared" si="27"/>
        <v>15</v>
      </c>
    </row>
    <row r="456" spans="1:10" ht="16.95" customHeight="1">
      <c r="A456" s="75">
        <v>4</v>
      </c>
      <c r="B456" s="80" t="s">
        <v>94</v>
      </c>
      <c r="C456" s="77" t="s">
        <v>48</v>
      </c>
      <c r="D456" s="78">
        <v>1</v>
      </c>
      <c r="E456" s="79"/>
      <c r="F456" s="79" t="e">
        <f t="shared" si="28"/>
        <v>#REF!</v>
      </c>
      <c r="G456" s="2"/>
      <c r="H456" s="37">
        <v>8375</v>
      </c>
      <c r="I456" s="4">
        <f t="shared" si="29"/>
        <v>0</v>
      </c>
      <c r="J456" s="25">
        <f t="shared" si="27"/>
        <v>15</v>
      </c>
    </row>
    <row r="457" spans="1:10" ht="16.95" customHeight="1">
      <c r="A457" s="75">
        <v>5</v>
      </c>
      <c r="B457" s="80" t="s">
        <v>95</v>
      </c>
      <c r="C457" s="77" t="s">
        <v>48</v>
      </c>
      <c r="D457" s="78">
        <v>1</v>
      </c>
      <c r="E457" s="79"/>
      <c r="F457" s="79" t="e">
        <f t="shared" si="28"/>
        <v>#REF!</v>
      </c>
      <c r="G457" s="2"/>
      <c r="H457" s="37">
        <v>51618</v>
      </c>
      <c r="I457" s="4">
        <f t="shared" si="29"/>
        <v>0</v>
      </c>
      <c r="J457" s="25">
        <f t="shared" si="27"/>
        <v>15</v>
      </c>
    </row>
    <row r="458" spans="1:10" ht="16.95" customHeight="1">
      <c r="A458" s="75">
        <v>6</v>
      </c>
      <c r="B458" s="80" t="s">
        <v>96</v>
      </c>
      <c r="C458" s="77" t="s">
        <v>50</v>
      </c>
      <c r="D458" s="78">
        <v>11.55</v>
      </c>
      <c r="E458" s="79"/>
      <c r="F458" s="79" t="e">
        <f t="shared" si="28"/>
        <v>#REF!</v>
      </c>
      <c r="G458" s="2"/>
      <c r="H458" s="37">
        <v>1188</v>
      </c>
      <c r="I458" s="4">
        <f t="shared" si="29"/>
        <v>0</v>
      </c>
      <c r="J458" s="25">
        <f t="shared" si="27"/>
        <v>15</v>
      </c>
    </row>
    <row r="459" spans="1:10" ht="34.950000000000003" customHeight="1">
      <c r="A459" s="75">
        <v>7</v>
      </c>
      <c r="B459" s="80" t="s">
        <v>97</v>
      </c>
      <c r="C459" s="77" t="s">
        <v>48</v>
      </c>
      <c r="D459" s="78">
        <v>1</v>
      </c>
      <c r="E459" s="79"/>
      <c r="F459" s="79" t="e">
        <f t="shared" si="28"/>
        <v>#REF!</v>
      </c>
      <c r="G459" s="2"/>
      <c r="H459" s="37">
        <v>21157</v>
      </c>
      <c r="I459" s="4">
        <f t="shared" si="29"/>
        <v>0</v>
      </c>
      <c r="J459" s="25">
        <f t="shared" si="27"/>
        <v>15</v>
      </c>
    </row>
    <row r="460" spans="1:10" ht="16.95" customHeight="1">
      <c r="A460" s="75">
        <v>8</v>
      </c>
      <c r="B460" s="80" t="s">
        <v>98</v>
      </c>
      <c r="C460" s="77" t="s">
        <v>50</v>
      </c>
      <c r="D460" s="78">
        <v>387</v>
      </c>
      <c r="E460" s="79"/>
      <c r="F460" s="79" t="e">
        <f t="shared" si="28"/>
        <v>#REF!</v>
      </c>
      <c r="G460" s="2"/>
      <c r="H460" s="37">
        <v>705</v>
      </c>
      <c r="I460" s="4">
        <f t="shared" si="29"/>
        <v>0</v>
      </c>
      <c r="J460" s="25">
        <f t="shared" si="27"/>
        <v>15</v>
      </c>
    </row>
    <row r="461" spans="1:10" ht="16.95" customHeight="1">
      <c r="A461" s="75">
        <v>9</v>
      </c>
      <c r="B461" s="80" t="s">
        <v>99</v>
      </c>
      <c r="C461" s="77" t="s">
        <v>50</v>
      </c>
      <c r="D461" s="78">
        <v>170</v>
      </c>
      <c r="E461" s="79"/>
      <c r="F461" s="79" t="e">
        <f t="shared" si="28"/>
        <v>#REF!</v>
      </c>
      <c r="G461" s="2"/>
      <c r="H461" s="37">
        <v>617</v>
      </c>
      <c r="I461" s="4">
        <f t="shared" si="29"/>
        <v>0</v>
      </c>
      <c r="J461" s="25">
        <f t="shared" si="27"/>
        <v>15</v>
      </c>
    </row>
    <row r="462" spans="1:10" ht="16.95" customHeight="1">
      <c r="A462" s="75">
        <v>10</v>
      </c>
      <c r="B462" s="80" t="s">
        <v>100</v>
      </c>
      <c r="C462" s="77" t="s">
        <v>66</v>
      </c>
      <c r="D462" s="78">
        <v>15</v>
      </c>
      <c r="E462" s="79"/>
      <c r="F462" s="79" t="e">
        <f t="shared" si="28"/>
        <v>#REF!</v>
      </c>
      <c r="G462" s="2"/>
      <c r="H462" s="37">
        <v>617</v>
      </c>
      <c r="I462" s="4">
        <f t="shared" si="29"/>
        <v>0</v>
      </c>
      <c r="J462" s="25">
        <f t="shared" si="27"/>
        <v>15</v>
      </c>
    </row>
    <row r="463" spans="1:10" ht="16.95" customHeight="1">
      <c r="A463" s="75">
        <v>11</v>
      </c>
      <c r="B463" s="80" t="s">
        <v>101</v>
      </c>
      <c r="C463" s="77" t="s">
        <v>50</v>
      </c>
      <c r="D463" s="78">
        <v>75</v>
      </c>
      <c r="E463" s="79"/>
      <c r="F463" s="79" t="e">
        <f t="shared" si="28"/>
        <v>#REF!</v>
      </c>
      <c r="G463" s="2"/>
      <c r="H463" s="37">
        <v>1146</v>
      </c>
      <c r="I463" s="4">
        <f t="shared" si="29"/>
        <v>0</v>
      </c>
      <c r="J463" s="25">
        <f t="shared" si="27"/>
        <v>15</v>
      </c>
    </row>
    <row r="464" spans="1:10" ht="16.95" customHeight="1">
      <c r="A464" s="75">
        <v>12</v>
      </c>
      <c r="B464" s="80" t="s">
        <v>102</v>
      </c>
      <c r="C464" s="77" t="s">
        <v>50</v>
      </c>
      <c r="D464" s="78">
        <v>5</v>
      </c>
      <c r="E464" s="79"/>
      <c r="F464" s="79" t="e">
        <f t="shared" si="28"/>
        <v>#REF!</v>
      </c>
      <c r="G464" s="2"/>
      <c r="H464" s="37">
        <v>1455</v>
      </c>
      <c r="I464" s="4">
        <f t="shared" si="29"/>
        <v>0</v>
      </c>
      <c r="J464" s="25">
        <f t="shared" si="27"/>
        <v>15</v>
      </c>
    </row>
    <row r="465" spans="1:10" ht="16.95" customHeight="1">
      <c r="A465" s="75">
        <v>13</v>
      </c>
      <c r="B465" s="80" t="s">
        <v>103</v>
      </c>
      <c r="C465" s="77" t="s">
        <v>50</v>
      </c>
      <c r="D465" s="78">
        <v>217</v>
      </c>
      <c r="E465" s="79"/>
      <c r="F465" s="79" t="e">
        <f t="shared" si="28"/>
        <v>#REF!</v>
      </c>
      <c r="G465" s="2"/>
      <c r="H465" s="37">
        <v>1410</v>
      </c>
      <c r="I465" s="4">
        <f t="shared" si="29"/>
        <v>0</v>
      </c>
      <c r="J465" s="25">
        <f t="shared" si="27"/>
        <v>15</v>
      </c>
    </row>
    <row r="466" spans="1:10" ht="16.95" customHeight="1">
      <c r="A466" s="75">
        <v>14</v>
      </c>
      <c r="B466" s="80" t="s">
        <v>104</v>
      </c>
      <c r="C466" s="77" t="s">
        <v>49</v>
      </c>
      <c r="D466" s="78">
        <v>84</v>
      </c>
      <c r="E466" s="79"/>
      <c r="F466" s="79" t="e">
        <f t="shared" si="28"/>
        <v>#REF!</v>
      </c>
      <c r="G466" s="2"/>
      <c r="H466" s="37">
        <v>529</v>
      </c>
      <c r="I466" s="4">
        <f t="shared" si="29"/>
        <v>0</v>
      </c>
      <c r="J466" s="25">
        <f t="shared" si="27"/>
        <v>15</v>
      </c>
    </row>
    <row r="467" spans="1:10" ht="16.95" customHeight="1">
      <c r="A467" s="75">
        <v>15</v>
      </c>
      <c r="B467" s="80" t="s">
        <v>105</v>
      </c>
      <c r="C467" s="77" t="s">
        <v>50</v>
      </c>
      <c r="D467" s="78">
        <v>1</v>
      </c>
      <c r="E467" s="79"/>
      <c r="F467" s="79" t="e">
        <f t="shared" si="28"/>
        <v>#REF!</v>
      </c>
      <c r="G467" s="2"/>
      <c r="H467" s="37">
        <v>1146</v>
      </c>
      <c r="I467" s="4">
        <f t="shared" si="29"/>
        <v>0</v>
      </c>
      <c r="J467" s="25">
        <f t="shared" si="27"/>
        <v>15</v>
      </c>
    </row>
    <row r="468" spans="1:10" ht="34.799999999999997" customHeight="1">
      <c r="A468" s="75">
        <v>16</v>
      </c>
      <c r="B468" s="80" t="s">
        <v>106</v>
      </c>
      <c r="C468" s="77" t="s">
        <v>50</v>
      </c>
      <c r="D468" s="78">
        <v>314</v>
      </c>
      <c r="E468" s="79"/>
      <c r="F468" s="79" t="e">
        <f t="shared" si="28"/>
        <v>#REF!</v>
      </c>
      <c r="G468" s="2"/>
      <c r="H468" s="37">
        <v>185</v>
      </c>
      <c r="I468" s="4">
        <f t="shared" si="29"/>
        <v>0</v>
      </c>
      <c r="J468" s="25">
        <f t="shared" si="27"/>
        <v>15</v>
      </c>
    </row>
    <row r="469" spans="1:10" ht="16.95" customHeight="1">
      <c r="A469" s="75">
        <v>17</v>
      </c>
      <c r="B469" s="80" t="s">
        <v>107</v>
      </c>
      <c r="C469" s="77" t="s">
        <v>48</v>
      </c>
      <c r="D469" s="78">
        <v>1</v>
      </c>
      <c r="E469" s="79"/>
      <c r="F469" s="79" t="e">
        <f t="shared" si="28"/>
        <v>#REF!</v>
      </c>
      <c r="G469" s="2"/>
      <c r="H469" s="37">
        <v>89918</v>
      </c>
      <c r="I469" s="4">
        <f t="shared" si="29"/>
        <v>0</v>
      </c>
      <c r="J469" s="25">
        <f t="shared" si="27"/>
        <v>15</v>
      </c>
    </row>
    <row r="470" spans="1:10" ht="16.95" customHeight="1">
      <c r="A470" s="75">
        <v>18</v>
      </c>
      <c r="B470" s="80" t="s">
        <v>108</v>
      </c>
      <c r="C470" s="77" t="s">
        <v>120</v>
      </c>
      <c r="D470" s="78">
        <v>15</v>
      </c>
      <c r="E470" s="79"/>
      <c r="F470" s="79" t="e">
        <f t="shared" si="28"/>
        <v>#REF!</v>
      </c>
      <c r="G470" s="2"/>
      <c r="H470" s="37">
        <v>661</v>
      </c>
      <c r="I470" s="4">
        <f t="shared" si="29"/>
        <v>0</v>
      </c>
      <c r="J470" s="25">
        <f t="shared" si="27"/>
        <v>15</v>
      </c>
    </row>
    <row r="471" spans="1:10" ht="16.95" customHeight="1">
      <c r="A471" s="75">
        <v>19</v>
      </c>
      <c r="B471" s="80" t="s">
        <v>109</v>
      </c>
      <c r="C471" s="77" t="s">
        <v>50</v>
      </c>
      <c r="D471" s="78">
        <v>82</v>
      </c>
      <c r="E471" s="79"/>
      <c r="F471" s="79" t="e">
        <f t="shared" si="28"/>
        <v>#REF!</v>
      </c>
      <c r="G471" s="2"/>
      <c r="H471" s="37">
        <v>2909</v>
      </c>
      <c r="I471" s="4">
        <f t="shared" si="29"/>
        <v>0</v>
      </c>
      <c r="J471" s="25">
        <f t="shared" si="27"/>
        <v>15</v>
      </c>
    </row>
    <row r="472" spans="1:10" ht="16.95" customHeight="1">
      <c r="A472" s="75">
        <v>20</v>
      </c>
      <c r="B472" s="80" t="s">
        <v>110</v>
      </c>
      <c r="C472" s="77" t="s">
        <v>121</v>
      </c>
      <c r="D472" s="78">
        <v>12</v>
      </c>
      <c r="E472" s="79"/>
      <c r="F472" s="79" t="e">
        <f t="shared" si="28"/>
        <v>#REF!</v>
      </c>
      <c r="G472" s="2"/>
      <c r="H472" s="37">
        <v>882</v>
      </c>
      <c r="I472" s="4">
        <f t="shared" si="29"/>
        <v>0</v>
      </c>
      <c r="J472" s="25">
        <f t="shared" si="27"/>
        <v>15</v>
      </c>
    </row>
    <row r="473" spans="1:10" ht="16.95" customHeight="1">
      <c r="A473" s="77">
        <v>21</v>
      </c>
      <c r="B473" s="80" t="s">
        <v>111</v>
      </c>
      <c r="C473" s="77" t="s">
        <v>122</v>
      </c>
      <c r="D473" s="78">
        <v>3</v>
      </c>
      <c r="E473" s="79"/>
      <c r="F473" s="79" t="e">
        <f t="shared" si="28"/>
        <v>#REF!</v>
      </c>
      <c r="G473" s="2"/>
      <c r="H473" s="38">
        <v>1869</v>
      </c>
      <c r="I473" s="4">
        <f t="shared" si="29"/>
        <v>0</v>
      </c>
      <c r="J473" s="25">
        <f t="shared" si="27"/>
        <v>15</v>
      </c>
    </row>
    <row r="474" spans="1:10" ht="34.950000000000003" customHeight="1">
      <c r="A474" s="75">
        <v>22</v>
      </c>
      <c r="B474" s="80" t="s">
        <v>112</v>
      </c>
      <c r="C474" s="77" t="s">
        <v>48</v>
      </c>
      <c r="D474" s="78">
        <v>1</v>
      </c>
      <c r="E474" s="79"/>
      <c r="F474" s="79" t="e">
        <f t="shared" si="28"/>
        <v>#REF!</v>
      </c>
      <c r="G474" s="2"/>
      <c r="H474" s="37">
        <v>82206</v>
      </c>
      <c r="I474" s="4">
        <f t="shared" si="29"/>
        <v>0</v>
      </c>
      <c r="J474" s="25">
        <f t="shared" si="27"/>
        <v>15</v>
      </c>
    </row>
    <row r="475" spans="1:10" ht="16.95" customHeight="1">
      <c r="A475" s="75">
        <v>23</v>
      </c>
      <c r="B475" s="80" t="s">
        <v>113</v>
      </c>
      <c r="C475" s="77" t="s">
        <v>48</v>
      </c>
      <c r="D475" s="78">
        <v>1</v>
      </c>
      <c r="E475" s="79"/>
      <c r="F475" s="79" t="e">
        <f t="shared" si="28"/>
        <v>#REF!</v>
      </c>
      <c r="G475" s="2"/>
      <c r="H475" s="37">
        <v>142723</v>
      </c>
      <c r="I475" s="4">
        <f t="shared" si="29"/>
        <v>0</v>
      </c>
      <c r="J475" s="25">
        <f t="shared" si="27"/>
        <v>15</v>
      </c>
    </row>
    <row r="476" spans="1:10" ht="16.95" customHeight="1">
      <c r="A476" s="75">
        <v>24</v>
      </c>
      <c r="B476" s="80" t="s">
        <v>114</v>
      </c>
      <c r="C476" s="77" t="s">
        <v>48</v>
      </c>
      <c r="D476" s="78">
        <v>1</v>
      </c>
      <c r="E476" s="79"/>
      <c r="F476" s="79" t="e">
        <f t="shared" si="28"/>
        <v>#REF!</v>
      </c>
      <c r="G476" s="2"/>
      <c r="H476" s="37">
        <v>37290</v>
      </c>
      <c r="I476" s="4">
        <f t="shared" si="29"/>
        <v>0</v>
      </c>
      <c r="J476" s="25">
        <f t="shared" si="27"/>
        <v>15</v>
      </c>
    </row>
    <row r="477" spans="1:10" ht="16.95" customHeight="1">
      <c r="A477" s="75">
        <v>25</v>
      </c>
      <c r="B477" s="80" t="s">
        <v>115</v>
      </c>
      <c r="C477" s="77" t="s">
        <v>48</v>
      </c>
      <c r="D477" s="78">
        <v>1</v>
      </c>
      <c r="E477" s="79"/>
      <c r="F477" s="79" t="e">
        <f t="shared" si="28"/>
        <v>#REF!</v>
      </c>
      <c r="G477" s="2"/>
      <c r="H477" s="37">
        <v>99394</v>
      </c>
      <c r="I477" s="4">
        <f t="shared" si="29"/>
        <v>0</v>
      </c>
      <c r="J477" s="25">
        <f t="shared" si="27"/>
        <v>15</v>
      </c>
    </row>
    <row r="478" spans="1:10" ht="34.950000000000003" customHeight="1">
      <c r="A478" s="75">
        <v>26</v>
      </c>
      <c r="B478" s="80" t="s">
        <v>116</v>
      </c>
      <c r="C478" s="77" t="s">
        <v>48</v>
      </c>
      <c r="D478" s="78">
        <v>1</v>
      </c>
      <c r="E478" s="79"/>
      <c r="F478" s="79" t="e">
        <f t="shared" si="28"/>
        <v>#REF!</v>
      </c>
      <c r="G478" s="2"/>
      <c r="H478" s="37">
        <v>21334</v>
      </c>
      <c r="I478" s="4">
        <f t="shared" si="29"/>
        <v>0</v>
      </c>
      <c r="J478" s="25">
        <f t="shared" si="27"/>
        <v>15</v>
      </c>
    </row>
    <row r="479" spans="1:10" ht="16.95" customHeight="1">
      <c r="A479" s="75">
        <v>27</v>
      </c>
      <c r="B479" s="80" t="s">
        <v>117</v>
      </c>
      <c r="C479" s="77" t="s">
        <v>48</v>
      </c>
      <c r="D479" s="78">
        <v>1</v>
      </c>
      <c r="E479" s="79"/>
      <c r="F479" s="79" t="e">
        <f t="shared" si="28"/>
        <v>#REF!</v>
      </c>
      <c r="G479" s="2"/>
      <c r="H479" s="37">
        <v>29620</v>
      </c>
      <c r="I479" s="4">
        <f t="shared" si="29"/>
        <v>0</v>
      </c>
      <c r="J479" s="25">
        <f t="shared" si="27"/>
        <v>15</v>
      </c>
    </row>
    <row r="480" spans="1:10" ht="16.95" customHeight="1">
      <c r="A480" s="75">
        <v>28</v>
      </c>
      <c r="B480" s="80" t="s">
        <v>118</v>
      </c>
      <c r="C480" s="77" t="s">
        <v>48</v>
      </c>
      <c r="D480" s="78">
        <v>1</v>
      </c>
      <c r="E480" s="79"/>
      <c r="F480" s="79" t="e">
        <f t="shared" si="28"/>
        <v>#REF!</v>
      </c>
      <c r="G480" s="2"/>
      <c r="H480" s="37">
        <v>18506</v>
      </c>
      <c r="I480" s="4">
        <f t="shared" si="29"/>
        <v>0</v>
      </c>
      <c r="J480" s="25">
        <f t="shared" si="27"/>
        <v>15</v>
      </c>
    </row>
    <row r="481" spans="1:10" ht="16.95" customHeight="1">
      <c r="A481" s="75">
        <v>29</v>
      </c>
      <c r="B481" s="80" t="s">
        <v>119</v>
      </c>
      <c r="C481" s="77" t="s">
        <v>48</v>
      </c>
      <c r="D481" s="78">
        <v>1</v>
      </c>
      <c r="E481" s="79"/>
      <c r="F481" s="79" t="e">
        <f t="shared" si="28"/>
        <v>#REF!</v>
      </c>
      <c r="G481" s="2"/>
      <c r="H481" s="37">
        <v>34381</v>
      </c>
      <c r="I481" s="4">
        <f t="shared" si="29"/>
        <v>0</v>
      </c>
      <c r="J481" s="25">
        <f t="shared" si="27"/>
        <v>15</v>
      </c>
    </row>
    <row r="482" spans="1:10" ht="16.95" customHeight="1">
      <c r="A482" s="75" t="s">
        <v>79</v>
      </c>
      <c r="B482" s="80" t="s">
        <v>80</v>
      </c>
      <c r="C482" s="77" t="s">
        <v>48</v>
      </c>
      <c r="D482" s="78">
        <v>1</v>
      </c>
      <c r="E482" s="79">
        <f t="shared" ref="E482:E485" si="30">1/120</f>
        <v>8.3333333333333332E-3</v>
      </c>
      <c r="F482" s="79" t="e">
        <f t="shared" si="28"/>
        <v>#REF!</v>
      </c>
      <c r="G482" s="2"/>
      <c r="H482" s="37">
        <v>21395</v>
      </c>
      <c r="I482" s="4">
        <f t="shared" si="29"/>
        <v>178.29166666666666</v>
      </c>
      <c r="J482" s="25">
        <f t="shared" si="27"/>
        <v>15</v>
      </c>
    </row>
    <row r="483" spans="1:10" ht="16.95" customHeight="1">
      <c r="A483" s="75" t="s">
        <v>81</v>
      </c>
      <c r="B483" s="80" t="s">
        <v>82</v>
      </c>
      <c r="C483" s="77" t="s">
        <v>48</v>
      </c>
      <c r="D483" s="78">
        <v>1</v>
      </c>
      <c r="E483" s="79">
        <f t="shared" si="30"/>
        <v>8.3333333333333332E-3</v>
      </c>
      <c r="F483" s="79" t="e">
        <f t="shared" si="28"/>
        <v>#REF!</v>
      </c>
      <c r="G483" s="2"/>
      <c r="H483" s="37">
        <v>21395</v>
      </c>
      <c r="I483" s="4">
        <f t="shared" si="29"/>
        <v>178.29166666666666</v>
      </c>
      <c r="J483" s="25">
        <f t="shared" si="27"/>
        <v>15</v>
      </c>
    </row>
    <row r="484" spans="1:10" ht="16.95" customHeight="1">
      <c r="A484" s="75" t="s">
        <v>83</v>
      </c>
      <c r="B484" s="80" t="s">
        <v>84</v>
      </c>
      <c r="C484" s="77" t="s">
        <v>48</v>
      </c>
      <c r="D484" s="78">
        <v>1</v>
      </c>
      <c r="E484" s="79">
        <f t="shared" si="30"/>
        <v>8.3333333333333332E-3</v>
      </c>
      <c r="F484" s="79" t="e">
        <f t="shared" si="28"/>
        <v>#REF!</v>
      </c>
      <c r="G484" s="2"/>
      <c r="H484" s="37">
        <v>149765</v>
      </c>
      <c r="I484" s="4">
        <f t="shared" si="29"/>
        <v>1248.0416666666667</v>
      </c>
      <c r="J484" s="25">
        <f t="shared" si="27"/>
        <v>15</v>
      </c>
    </row>
    <row r="485" spans="1:10" ht="16.95" customHeight="1">
      <c r="A485" s="75" t="s">
        <v>85</v>
      </c>
      <c r="B485" s="80" t="s">
        <v>86</v>
      </c>
      <c r="C485" s="77" t="s">
        <v>48</v>
      </c>
      <c r="D485" s="78">
        <v>1</v>
      </c>
      <c r="E485" s="79">
        <f t="shared" si="30"/>
        <v>8.3333333333333332E-3</v>
      </c>
      <c r="F485" s="79" t="e">
        <f t="shared" si="28"/>
        <v>#REF!</v>
      </c>
      <c r="G485" s="2"/>
      <c r="H485" s="37">
        <v>6996</v>
      </c>
      <c r="I485" s="4">
        <f t="shared" si="29"/>
        <v>58.3</v>
      </c>
      <c r="J485" s="25">
        <f t="shared" si="27"/>
        <v>15</v>
      </c>
    </row>
    <row r="486" spans="1:10" ht="16.95" customHeight="1">
      <c r="A486" s="75" t="s">
        <v>87</v>
      </c>
      <c r="B486" s="80" t="s">
        <v>88</v>
      </c>
      <c r="C486" s="77" t="s">
        <v>48</v>
      </c>
      <c r="D486" s="78">
        <v>1</v>
      </c>
      <c r="E486" s="79">
        <f>1/120</f>
        <v>8.3333333333333332E-3</v>
      </c>
      <c r="F486" s="79" t="e">
        <f t="shared" si="28"/>
        <v>#REF!</v>
      </c>
      <c r="G486" s="2"/>
      <c r="H486" s="37">
        <v>116952</v>
      </c>
      <c r="I486" s="4">
        <f t="shared" si="29"/>
        <v>974.6</v>
      </c>
      <c r="J486" s="25">
        <f t="shared" si="27"/>
        <v>15</v>
      </c>
    </row>
    <row r="487" spans="1:10" ht="16.95" customHeight="1">
      <c r="A487" s="95" t="s">
        <v>23</v>
      </c>
      <c r="B487" s="95"/>
      <c r="C487" s="50"/>
      <c r="D487" s="50"/>
      <c r="E487" s="50"/>
      <c r="F487" s="50"/>
      <c r="G487" s="50"/>
      <c r="H487" s="3" t="s">
        <v>24</v>
      </c>
      <c r="I487" s="5">
        <f>SUM(I452:I486)</f>
        <v>2637.5250000000001</v>
      </c>
      <c r="J487" s="25">
        <f t="shared" si="27"/>
        <v>15</v>
      </c>
    </row>
    <row r="488" spans="1:10" ht="16.95" customHeight="1">
      <c r="A488" s="96" t="s">
        <v>25</v>
      </c>
      <c r="B488" s="96"/>
      <c r="C488" s="50"/>
      <c r="D488" s="50"/>
      <c r="E488" s="50"/>
      <c r="F488" s="50"/>
      <c r="G488" s="50"/>
      <c r="J488" s="25">
        <f t="shared" si="27"/>
        <v>15</v>
      </c>
    </row>
    <row r="489" spans="1:10" ht="16.95" customHeight="1">
      <c r="A489" s="96" t="s">
        <v>26</v>
      </c>
      <c r="B489" s="96"/>
      <c r="C489" s="50"/>
      <c r="D489" s="50"/>
      <c r="E489" s="50"/>
      <c r="F489" s="50"/>
      <c r="G489" s="50"/>
      <c r="J489" s="25">
        <f t="shared" si="27"/>
        <v>15</v>
      </c>
    </row>
    <row r="490" spans="1:10" ht="16.95" customHeight="1">
      <c r="A490" s="95" t="s">
        <v>27</v>
      </c>
      <c r="B490" s="95"/>
      <c r="C490" s="95"/>
      <c r="D490" s="95"/>
      <c r="E490" s="95"/>
      <c r="F490" s="95"/>
      <c r="G490" s="95"/>
      <c r="J490" s="25">
        <f t="shared" si="27"/>
        <v>15</v>
      </c>
    </row>
    <row r="491" spans="1:10" ht="16.95" customHeight="1">
      <c r="A491" s="94" t="s">
        <v>28</v>
      </c>
      <c r="B491" s="94"/>
      <c r="C491" s="51" t="s">
        <v>29</v>
      </c>
      <c r="D491" s="51" t="s">
        <v>30</v>
      </c>
      <c r="E491" s="51" t="s">
        <v>18</v>
      </c>
      <c r="F491" s="51" t="s">
        <v>31</v>
      </c>
      <c r="G491" s="51" t="s">
        <v>20</v>
      </c>
      <c r="J491" s="25">
        <f t="shared" si="27"/>
        <v>15</v>
      </c>
    </row>
    <row r="492" spans="1:10" ht="16.95" customHeight="1">
      <c r="A492" s="96"/>
      <c r="B492" s="96"/>
      <c r="C492" s="50"/>
      <c r="D492" s="50"/>
      <c r="E492" s="50"/>
      <c r="F492" s="50"/>
      <c r="G492" s="51"/>
      <c r="J492" s="25">
        <f t="shared" si="27"/>
        <v>15</v>
      </c>
    </row>
    <row r="493" spans="1:10" ht="16.95" customHeight="1">
      <c r="A493" s="97"/>
      <c r="B493" s="97"/>
      <c r="C493" s="50"/>
      <c r="D493" s="50"/>
      <c r="E493" s="50"/>
      <c r="F493" s="51"/>
      <c r="G493" s="51"/>
      <c r="J493" s="25">
        <f t="shared" si="27"/>
        <v>15</v>
      </c>
    </row>
    <row r="494" spans="1:10" ht="16.95" customHeight="1">
      <c r="A494" s="95" t="s">
        <v>32</v>
      </c>
      <c r="B494" s="95"/>
      <c r="C494" s="95"/>
      <c r="D494" s="95"/>
      <c r="E494" s="95"/>
      <c r="F494" s="95"/>
      <c r="G494" s="95"/>
      <c r="J494" s="25">
        <f t="shared" si="27"/>
        <v>16</v>
      </c>
    </row>
    <row r="495" spans="1:10" ht="16.95" customHeight="1">
      <c r="A495" s="51" t="s">
        <v>33</v>
      </c>
      <c r="B495" s="51" t="s">
        <v>34</v>
      </c>
      <c r="C495" s="94" t="s">
        <v>35</v>
      </c>
      <c r="D495" s="94"/>
      <c r="E495" s="51" t="s">
        <v>36</v>
      </c>
      <c r="F495" s="51" t="s">
        <v>37</v>
      </c>
      <c r="G495" s="51" t="s">
        <v>38</v>
      </c>
      <c r="J495" s="25">
        <f t="shared" si="27"/>
        <v>16</v>
      </c>
    </row>
    <row r="496" spans="1:10" ht="16.95" customHeight="1">
      <c r="A496" s="51" t="s">
        <v>39</v>
      </c>
      <c r="B496" s="6"/>
      <c r="C496" s="94" t="e">
        <f>B496+C433</f>
        <v>#REF!</v>
      </c>
      <c r="D496" s="94"/>
      <c r="E496" s="51"/>
      <c r="F496" s="24"/>
      <c r="G496" s="24"/>
      <c r="J496" s="25">
        <f t="shared" si="27"/>
        <v>16</v>
      </c>
    </row>
    <row r="497" spans="1:10" ht="16.95" customHeight="1">
      <c r="A497" s="51" t="s">
        <v>40</v>
      </c>
      <c r="B497" s="6"/>
      <c r="C497" s="94" t="e">
        <f>B497+C434</f>
        <v>#REF!</v>
      </c>
      <c r="D497" s="94"/>
      <c r="E497" s="51"/>
      <c r="F497" s="24"/>
      <c r="G497" s="24"/>
      <c r="J497" s="25">
        <f t="shared" si="27"/>
        <v>16</v>
      </c>
    </row>
    <row r="498" spans="1:10" ht="36.6" customHeight="1">
      <c r="A498" s="95" t="s">
        <v>41</v>
      </c>
      <c r="B498" s="95"/>
      <c r="C498" s="95"/>
      <c r="D498" s="95"/>
      <c r="E498" s="95"/>
      <c r="F498" s="95"/>
      <c r="G498" s="95"/>
      <c r="J498" s="25">
        <f t="shared" si="27"/>
        <v>16</v>
      </c>
    </row>
    <row r="499" spans="1:10" ht="90" customHeight="1">
      <c r="A499" s="92" t="s">
        <v>42</v>
      </c>
      <c r="B499" s="92"/>
      <c r="C499" s="92"/>
      <c r="D499" s="92"/>
      <c r="E499" s="92"/>
      <c r="F499" s="92"/>
      <c r="G499" s="92"/>
      <c r="J499" s="25">
        <f t="shared" si="27"/>
        <v>16</v>
      </c>
    </row>
    <row r="500" spans="1:10" ht="16.95" customHeight="1">
      <c r="A500" s="95" t="s">
        <v>43</v>
      </c>
      <c r="B500" s="95"/>
      <c r="C500" s="95"/>
      <c r="D500" s="95"/>
      <c r="E500" s="95"/>
      <c r="F500" s="95"/>
      <c r="G500" s="95"/>
      <c r="J500" s="25">
        <f t="shared" si="27"/>
        <v>16</v>
      </c>
    </row>
    <row r="501" spans="1:10" ht="16.95" customHeight="1">
      <c r="A501" s="95" t="s">
        <v>44</v>
      </c>
      <c r="B501" s="95"/>
      <c r="C501" s="95"/>
      <c r="D501" s="95"/>
      <c r="E501" s="95"/>
      <c r="F501" s="95"/>
      <c r="G501" s="95"/>
      <c r="J501" s="25">
        <f t="shared" si="27"/>
        <v>16</v>
      </c>
    </row>
    <row r="502" spans="1:10" ht="16.95" customHeight="1">
      <c r="A502" s="91" t="s">
        <v>64</v>
      </c>
      <c r="B502" s="91"/>
      <c r="C502" s="91"/>
      <c r="D502" s="91"/>
      <c r="E502" s="91"/>
      <c r="F502" s="91"/>
      <c r="G502" s="91"/>
      <c r="J502" s="25">
        <f t="shared" si="27"/>
        <v>16</v>
      </c>
    </row>
    <row r="503" spans="1:10" ht="120.6" customHeight="1">
      <c r="A503" s="92" t="s">
        <v>45</v>
      </c>
      <c r="B503" s="92"/>
      <c r="C503" s="92"/>
      <c r="D503" s="92"/>
      <c r="E503" s="92"/>
      <c r="F503" s="92"/>
      <c r="G503" s="92"/>
      <c r="J503" s="25">
        <f t="shared" si="27"/>
        <v>16</v>
      </c>
    </row>
    <row r="504" spans="1:10" ht="140.4" customHeight="1">
      <c r="A504" s="93" t="s">
        <v>46</v>
      </c>
      <c r="B504" s="93"/>
      <c r="C504" s="93"/>
      <c r="D504" s="93"/>
      <c r="E504" s="93"/>
      <c r="F504" s="93"/>
      <c r="G504" s="93"/>
      <c r="J504" s="25">
        <f t="shared" si="27"/>
        <v>16</v>
      </c>
    </row>
    <row r="505" spans="1:10" ht="37.200000000000003" customHeight="1">
      <c r="A505" s="103" t="s">
        <v>0</v>
      </c>
      <c r="B505" s="103"/>
      <c r="C505" s="103"/>
      <c r="D505" s="103"/>
      <c r="E505" s="103"/>
      <c r="F505" s="103"/>
      <c r="G505" s="103"/>
      <c r="J505" s="25">
        <f t="shared" si="27"/>
        <v>17</v>
      </c>
    </row>
    <row r="506" spans="1:10" ht="16.95" customHeight="1">
      <c r="A506" s="1" t="s">
        <v>1</v>
      </c>
      <c r="B506" s="104">
        <f>B443+1</f>
        <v>10</v>
      </c>
      <c r="C506" s="104"/>
      <c r="D506" s="104"/>
      <c r="E506" s="104"/>
      <c r="F506" s="104"/>
      <c r="G506" s="104"/>
      <c r="J506" s="25">
        <f t="shared" si="27"/>
        <v>17</v>
      </c>
    </row>
    <row r="507" spans="1:10" ht="16.95" customHeight="1">
      <c r="A507" s="1" t="s">
        <v>2</v>
      </c>
      <c r="B507" s="105" t="s">
        <v>63</v>
      </c>
      <c r="C507" s="105"/>
      <c r="D507" s="105"/>
      <c r="E507" s="106">
        <f>E444+1</f>
        <v>46212</v>
      </c>
      <c r="F507" s="106"/>
      <c r="G507" s="106"/>
      <c r="J507" s="25">
        <f t="shared" ref="J507:J570" si="31">J444+2</f>
        <v>17</v>
      </c>
    </row>
    <row r="508" spans="1:10" ht="16.95" customHeight="1">
      <c r="A508" s="53" t="s">
        <v>3</v>
      </c>
      <c r="B508" s="2" t="s">
        <v>67</v>
      </c>
      <c r="C508" s="98" t="s">
        <v>4</v>
      </c>
      <c r="D508" s="98"/>
      <c r="E508" s="98" t="s">
        <v>47</v>
      </c>
      <c r="F508" s="98"/>
      <c r="G508" s="98"/>
      <c r="J508" s="25">
        <f t="shared" si="31"/>
        <v>17</v>
      </c>
    </row>
    <row r="509" spans="1:10" ht="16.95" customHeight="1">
      <c r="A509" s="53" t="s">
        <v>5</v>
      </c>
      <c r="B509" s="54">
        <v>120</v>
      </c>
      <c r="C509" s="98" t="s">
        <v>6</v>
      </c>
      <c r="D509" s="98"/>
      <c r="E509" s="98" t="s">
        <v>123</v>
      </c>
      <c r="F509" s="98"/>
      <c r="G509" s="98"/>
      <c r="J509" s="25">
        <f t="shared" si="31"/>
        <v>17</v>
      </c>
    </row>
    <row r="510" spans="1:10" ht="16.95" customHeight="1">
      <c r="A510" s="53" t="s">
        <v>7</v>
      </c>
      <c r="B510" s="54">
        <f>B506</f>
        <v>10</v>
      </c>
      <c r="C510" s="100" t="s">
        <v>8</v>
      </c>
      <c r="D510" s="100"/>
      <c r="E510" s="101">
        <f>B509-B510</f>
        <v>110</v>
      </c>
      <c r="F510" s="101"/>
      <c r="G510" s="101"/>
      <c r="J510" s="25">
        <f t="shared" si="31"/>
        <v>17</v>
      </c>
    </row>
    <row r="511" spans="1:10" ht="16.95" customHeight="1">
      <c r="A511" s="53" t="s">
        <v>9</v>
      </c>
      <c r="B511" s="55">
        <v>46204</v>
      </c>
      <c r="C511" s="98" t="s">
        <v>10</v>
      </c>
      <c r="D511" s="98"/>
      <c r="E511" s="102">
        <f>B511+B509-1</f>
        <v>46323</v>
      </c>
      <c r="F511" s="102"/>
      <c r="G511" s="102"/>
      <c r="J511" s="25">
        <f t="shared" si="31"/>
        <v>17</v>
      </c>
    </row>
    <row r="512" spans="1:10" ht="16.95" customHeight="1">
      <c r="A512" s="53" t="s">
        <v>11</v>
      </c>
      <c r="B512" s="56" t="e">
        <f>HLOOKUP(B506,進度表!$Q$2:$Z$3,2,1)+B449</f>
        <v>#REF!</v>
      </c>
      <c r="C512" s="98" t="s">
        <v>12</v>
      </c>
      <c r="D512" s="98"/>
      <c r="E512" s="99" t="e">
        <f>I550/I512+E449</f>
        <v>#REF!</v>
      </c>
      <c r="F512" s="99"/>
      <c r="G512" s="99"/>
      <c r="H512" s="3" t="s">
        <v>62</v>
      </c>
      <c r="I512" s="1">
        <v>2456000</v>
      </c>
      <c r="J512" s="25">
        <f t="shared" si="31"/>
        <v>17</v>
      </c>
    </row>
    <row r="513" spans="1:10" ht="16.95" customHeight="1">
      <c r="A513" s="98" t="s">
        <v>13</v>
      </c>
      <c r="B513" s="98"/>
      <c r="C513" s="98"/>
      <c r="D513" s="98"/>
      <c r="E513" s="98"/>
      <c r="F513" s="98"/>
      <c r="G513" s="98"/>
      <c r="J513" s="25">
        <f t="shared" si="31"/>
        <v>17</v>
      </c>
    </row>
    <row r="514" spans="1:10" ht="16.95" customHeight="1">
      <c r="A514" s="52" t="s">
        <v>14</v>
      </c>
      <c r="B514" s="52" t="s">
        <v>15</v>
      </c>
      <c r="C514" s="52" t="s">
        <v>16</v>
      </c>
      <c r="D514" s="52" t="s">
        <v>17</v>
      </c>
      <c r="E514" s="52" t="s">
        <v>18</v>
      </c>
      <c r="F514" s="52" t="s">
        <v>19</v>
      </c>
      <c r="G514" s="52" t="s">
        <v>20</v>
      </c>
      <c r="H514" s="3" t="s">
        <v>21</v>
      </c>
      <c r="I514" s="3" t="s">
        <v>22</v>
      </c>
      <c r="J514" s="25">
        <f t="shared" si="31"/>
        <v>17</v>
      </c>
    </row>
    <row r="515" spans="1:10" ht="16.95" customHeight="1">
      <c r="A515" s="75" t="s">
        <v>65</v>
      </c>
      <c r="B515" s="76" t="s">
        <v>69</v>
      </c>
      <c r="C515" s="77"/>
      <c r="D515" s="78"/>
      <c r="E515" s="79"/>
      <c r="F515" s="79"/>
      <c r="G515" s="2"/>
      <c r="H515" s="37"/>
      <c r="I515" s="4"/>
      <c r="J515" s="25">
        <f t="shared" si="31"/>
        <v>17</v>
      </c>
    </row>
    <row r="516" spans="1:10" ht="34.950000000000003" customHeight="1">
      <c r="A516" s="75">
        <v>1</v>
      </c>
      <c r="B516" s="80" t="s">
        <v>91</v>
      </c>
      <c r="C516" s="77" t="s">
        <v>48</v>
      </c>
      <c r="D516" s="78">
        <v>1</v>
      </c>
      <c r="E516" s="79"/>
      <c r="F516" s="79" t="e">
        <f t="shared" ref="F516:F549" si="32">E516+F453</f>
        <v>#REF!</v>
      </c>
      <c r="G516" s="2"/>
      <c r="H516" s="37">
        <v>10508</v>
      </c>
      <c r="I516" s="4">
        <f>H516*E516</f>
        <v>0</v>
      </c>
      <c r="J516" s="25">
        <f t="shared" si="31"/>
        <v>17</v>
      </c>
    </row>
    <row r="517" spans="1:10" ht="34.799999999999997" customHeight="1">
      <c r="A517" s="75">
        <v>2</v>
      </c>
      <c r="B517" s="80" t="s">
        <v>92</v>
      </c>
      <c r="C517" s="77" t="s">
        <v>48</v>
      </c>
      <c r="D517" s="78">
        <v>1</v>
      </c>
      <c r="E517" s="79"/>
      <c r="F517" s="79" t="e">
        <f t="shared" si="32"/>
        <v>#REF!</v>
      </c>
      <c r="G517" s="2"/>
      <c r="H517" s="37">
        <v>13223</v>
      </c>
      <c r="I517" s="4">
        <f>H517*E517</f>
        <v>0</v>
      </c>
      <c r="J517" s="25">
        <f t="shared" si="31"/>
        <v>17</v>
      </c>
    </row>
    <row r="518" spans="1:10" ht="53.4" customHeight="1">
      <c r="A518" s="75">
        <v>3</v>
      </c>
      <c r="B518" s="80" t="s">
        <v>93</v>
      </c>
      <c r="C518" s="77" t="s">
        <v>48</v>
      </c>
      <c r="D518" s="78">
        <v>1</v>
      </c>
      <c r="E518" s="79"/>
      <c r="F518" s="79" t="e">
        <f t="shared" si="32"/>
        <v>#REF!</v>
      </c>
      <c r="G518" s="2"/>
      <c r="H518" s="37">
        <v>310497</v>
      </c>
      <c r="I518" s="4">
        <f t="shared" ref="I518:I549" si="33">H518*E518</f>
        <v>0</v>
      </c>
      <c r="J518" s="25">
        <f t="shared" si="31"/>
        <v>17</v>
      </c>
    </row>
    <row r="519" spans="1:10" ht="16.95" customHeight="1">
      <c r="A519" s="75">
        <v>4</v>
      </c>
      <c r="B519" s="80" t="s">
        <v>94</v>
      </c>
      <c r="C519" s="77" t="s">
        <v>48</v>
      </c>
      <c r="D519" s="78">
        <v>1</v>
      </c>
      <c r="E519" s="79"/>
      <c r="F519" s="79" t="e">
        <f t="shared" si="32"/>
        <v>#REF!</v>
      </c>
      <c r="G519" s="2"/>
      <c r="H519" s="37">
        <v>8375</v>
      </c>
      <c r="I519" s="4">
        <f t="shared" si="33"/>
        <v>0</v>
      </c>
      <c r="J519" s="25">
        <f t="shared" si="31"/>
        <v>17</v>
      </c>
    </row>
    <row r="520" spans="1:10" ht="16.95" customHeight="1">
      <c r="A520" s="75">
        <v>5</v>
      </c>
      <c r="B520" s="80" t="s">
        <v>95</v>
      </c>
      <c r="C520" s="77" t="s">
        <v>48</v>
      </c>
      <c r="D520" s="78">
        <v>1</v>
      </c>
      <c r="E520" s="79"/>
      <c r="F520" s="79" t="e">
        <f t="shared" si="32"/>
        <v>#REF!</v>
      </c>
      <c r="G520" s="2"/>
      <c r="H520" s="37">
        <v>51618</v>
      </c>
      <c r="I520" s="4">
        <f t="shared" si="33"/>
        <v>0</v>
      </c>
      <c r="J520" s="25">
        <f t="shared" si="31"/>
        <v>17</v>
      </c>
    </row>
    <row r="521" spans="1:10" ht="16.95" customHeight="1">
      <c r="A521" s="75">
        <v>6</v>
      </c>
      <c r="B521" s="80" t="s">
        <v>96</v>
      </c>
      <c r="C521" s="77" t="s">
        <v>50</v>
      </c>
      <c r="D521" s="78">
        <v>11.55</v>
      </c>
      <c r="E521" s="79"/>
      <c r="F521" s="79" t="e">
        <f t="shared" si="32"/>
        <v>#REF!</v>
      </c>
      <c r="G521" s="2"/>
      <c r="H521" s="37">
        <v>1188</v>
      </c>
      <c r="I521" s="4">
        <f t="shared" si="33"/>
        <v>0</v>
      </c>
      <c r="J521" s="25">
        <f t="shared" si="31"/>
        <v>17</v>
      </c>
    </row>
    <row r="522" spans="1:10" ht="34.950000000000003" customHeight="1">
      <c r="A522" s="75">
        <v>7</v>
      </c>
      <c r="B522" s="80" t="s">
        <v>97</v>
      </c>
      <c r="C522" s="77" t="s">
        <v>48</v>
      </c>
      <c r="D522" s="78">
        <v>1</v>
      </c>
      <c r="E522" s="79"/>
      <c r="F522" s="79" t="e">
        <f t="shared" si="32"/>
        <v>#REF!</v>
      </c>
      <c r="G522" s="2"/>
      <c r="H522" s="37">
        <v>21157</v>
      </c>
      <c r="I522" s="4">
        <f t="shared" si="33"/>
        <v>0</v>
      </c>
      <c r="J522" s="25">
        <f t="shared" si="31"/>
        <v>17</v>
      </c>
    </row>
    <row r="523" spans="1:10" ht="16.95" customHeight="1">
      <c r="A523" s="75">
        <v>8</v>
      </c>
      <c r="B523" s="80" t="s">
        <v>98</v>
      </c>
      <c r="C523" s="77" t="s">
        <v>50</v>
      </c>
      <c r="D523" s="78">
        <v>387</v>
      </c>
      <c r="E523" s="79"/>
      <c r="F523" s="79" t="e">
        <f t="shared" si="32"/>
        <v>#REF!</v>
      </c>
      <c r="G523" s="2"/>
      <c r="H523" s="37">
        <v>705</v>
      </c>
      <c r="I523" s="4">
        <f t="shared" si="33"/>
        <v>0</v>
      </c>
      <c r="J523" s="25">
        <f t="shared" si="31"/>
        <v>17</v>
      </c>
    </row>
    <row r="524" spans="1:10" ht="16.95" customHeight="1">
      <c r="A524" s="75">
        <v>9</v>
      </c>
      <c r="B524" s="80" t="s">
        <v>99</v>
      </c>
      <c r="C524" s="77" t="s">
        <v>50</v>
      </c>
      <c r="D524" s="78">
        <v>170</v>
      </c>
      <c r="E524" s="79"/>
      <c r="F524" s="79" t="e">
        <f t="shared" si="32"/>
        <v>#REF!</v>
      </c>
      <c r="G524" s="2"/>
      <c r="H524" s="37">
        <v>617</v>
      </c>
      <c r="I524" s="4">
        <f t="shared" si="33"/>
        <v>0</v>
      </c>
      <c r="J524" s="25">
        <f t="shared" si="31"/>
        <v>17</v>
      </c>
    </row>
    <row r="525" spans="1:10" ht="16.95" customHeight="1">
      <c r="A525" s="75">
        <v>10</v>
      </c>
      <c r="B525" s="80" t="s">
        <v>100</v>
      </c>
      <c r="C525" s="77" t="s">
        <v>66</v>
      </c>
      <c r="D525" s="78">
        <v>15</v>
      </c>
      <c r="E525" s="79"/>
      <c r="F525" s="79" t="e">
        <f t="shared" si="32"/>
        <v>#REF!</v>
      </c>
      <c r="G525" s="2"/>
      <c r="H525" s="37">
        <v>617</v>
      </c>
      <c r="I525" s="4">
        <f t="shared" si="33"/>
        <v>0</v>
      </c>
      <c r="J525" s="25">
        <f t="shared" si="31"/>
        <v>17</v>
      </c>
    </row>
    <row r="526" spans="1:10" ht="16.95" customHeight="1">
      <c r="A526" s="75">
        <v>11</v>
      </c>
      <c r="B526" s="80" t="s">
        <v>101</v>
      </c>
      <c r="C526" s="77" t="s">
        <v>50</v>
      </c>
      <c r="D526" s="78">
        <v>75</v>
      </c>
      <c r="E526" s="79"/>
      <c r="F526" s="79" t="e">
        <f t="shared" si="32"/>
        <v>#REF!</v>
      </c>
      <c r="G526" s="2"/>
      <c r="H526" s="37">
        <v>1146</v>
      </c>
      <c r="I526" s="4">
        <f t="shared" si="33"/>
        <v>0</v>
      </c>
      <c r="J526" s="25">
        <f t="shared" si="31"/>
        <v>17</v>
      </c>
    </row>
    <row r="527" spans="1:10" ht="16.95" customHeight="1">
      <c r="A527" s="75">
        <v>12</v>
      </c>
      <c r="B527" s="80" t="s">
        <v>102</v>
      </c>
      <c r="C527" s="77" t="s">
        <v>50</v>
      </c>
      <c r="D527" s="78">
        <v>5</v>
      </c>
      <c r="E527" s="79"/>
      <c r="F527" s="79" t="e">
        <f t="shared" si="32"/>
        <v>#REF!</v>
      </c>
      <c r="G527" s="2"/>
      <c r="H527" s="37">
        <v>1455</v>
      </c>
      <c r="I527" s="4">
        <f t="shared" si="33"/>
        <v>0</v>
      </c>
      <c r="J527" s="25">
        <f t="shared" si="31"/>
        <v>17</v>
      </c>
    </row>
    <row r="528" spans="1:10" ht="16.95" customHeight="1">
      <c r="A528" s="75">
        <v>13</v>
      </c>
      <c r="B528" s="80" t="s">
        <v>103</v>
      </c>
      <c r="C528" s="77" t="s">
        <v>50</v>
      </c>
      <c r="D528" s="78">
        <v>217</v>
      </c>
      <c r="E528" s="79"/>
      <c r="F528" s="79" t="e">
        <f t="shared" si="32"/>
        <v>#REF!</v>
      </c>
      <c r="G528" s="2"/>
      <c r="H528" s="37">
        <v>1410</v>
      </c>
      <c r="I528" s="4">
        <f t="shared" si="33"/>
        <v>0</v>
      </c>
      <c r="J528" s="25">
        <f t="shared" si="31"/>
        <v>17</v>
      </c>
    </row>
    <row r="529" spans="1:10" ht="16.95" customHeight="1">
      <c r="A529" s="75">
        <v>14</v>
      </c>
      <c r="B529" s="80" t="s">
        <v>104</v>
      </c>
      <c r="C529" s="77" t="s">
        <v>49</v>
      </c>
      <c r="D529" s="78">
        <v>84</v>
      </c>
      <c r="E529" s="79"/>
      <c r="F529" s="79" t="e">
        <f t="shared" si="32"/>
        <v>#REF!</v>
      </c>
      <c r="G529" s="2"/>
      <c r="H529" s="37">
        <v>529</v>
      </c>
      <c r="I529" s="4">
        <f t="shared" si="33"/>
        <v>0</v>
      </c>
      <c r="J529" s="25">
        <f t="shared" si="31"/>
        <v>17</v>
      </c>
    </row>
    <row r="530" spans="1:10" ht="16.95" customHeight="1">
      <c r="A530" s="75">
        <v>15</v>
      </c>
      <c r="B530" s="80" t="s">
        <v>105</v>
      </c>
      <c r="C530" s="77" t="s">
        <v>50</v>
      </c>
      <c r="D530" s="78">
        <v>1</v>
      </c>
      <c r="E530" s="79"/>
      <c r="F530" s="79" t="e">
        <f t="shared" si="32"/>
        <v>#REF!</v>
      </c>
      <c r="G530" s="2"/>
      <c r="H530" s="37">
        <v>1146</v>
      </c>
      <c r="I530" s="4">
        <f t="shared" si="33"/>
        <v>0</v>
      </c>
      <c r="J530" s="25">
        <f t="shared" si="31"/>
        <v>17</v>
      </c>
    </row>
    <row r="531" spans="1:10" ht="34.799999999999997" customHeight="1">
      <c r="A531" s="75">
        <v>16</v>
      </c>
      <c r="B531" s="80" t="s">
        <v>106</v>
      </c>
      <c r="C531" s="77" t="s">
        <v>50</v>
      </c>
      <c r="D531" s="78">
        <v>314</v>
      </c>
      <c r="E531" s="79"/>
      <c r="F531" s="79" t="e">
        <f t="shared" si="32"/>
        <v>#REF!</v>
      </c>
      <c r="G531" s="2"/>
      <c r="H531" s="37">
        <v>185</v>
      </c>
      <c r="I531" s="4">
        <f t="shared" si="33"/>
        <v>0</v>
      </c>
      <c r="J531" s="25">
        <f t="shared" si="31"/>
        <v>17</v>
      </c>
    </row>
    <row r="532" spans="1:10" ht="16.95" customHeight="1">
      <c r="A532" s="75">
        <v>17</v>
      </c>
      <c r="B532" s="80" t="s">
        <v>107</v>
      </c>
      <c r="C532" s="77" t="s">
        <v>48</v>
      </c>
      <c r="D532" s="78">
        <v>1</v>
      </c>
      <c r="E532" s="79"/>
      <c r="F532" s="79" t="e">
        <f t="shared" si="32"/>
        <v>#REF!</v>
      </c>
      <c r="G532" s="2"/>
      <c r="H532" s="37">
        <v>89918</v>
      </c>
      <c r="I532" s="4">
        <f t="shared" si="33"/>
        <v>0</v>
      </c>
      <c r="J532" s="25">
        <f t="shared" si="31"/>
        <v>17</v>
      </c>
    </row>
    <row r="533" spans="1:10" ht="16.95" customHeight="1">
      <c r="A533" s="75">
        <v>18</v>
      </c>
      <c r="B533" s="80" t="s">
        <v>108</v>
      </c>
      <c r="C533" s="77" t="s">
        <v>120</v>
      </c>
      <c r="D533" s="78">
        <v>15</v>
      </c>
      <c r="E533" s="79"/>
      <c r="F533" s="79" t="e">
        <f t="shared" si="32"/>
        <v>#REF!</v>
      </c>
      <c r="G533" s="2"/>
      <c r="H533" s="37">
        <v>661</v>
      </c>
      <c r="I533" s="4">
        <f t="shared" si="33"/>
        <v>0</v>
      </c>
      <c r="J533" s="25">
        <f t="shared" si="31"/>
        <v>17</v>
      </c>
    </row>
    <row r="534" spans="1:10" ht="16.95" customHeight="1">
      <c r="A534" s="75">
        <v>19</v>
      </c>
      <c r="B534" s="80" t="s">
        <v>109</v>
      </c>
      <c r="C534" s="77" t="s">
        <v>50</v>
      </c>
      <c r="D534" s="78">
        <v>82</v>
      </c>
      <c r="E534" s="79"/>
      <c r="F534" s="79" t="e">
        <f t="shared" si="32"/>
        <v>#REF!</v>
      </c>
      <c r="G534" s="2"/>
      <c r="H534" s="37">
        <v>2909</v>
      </c>
      <c r="I534" s="4">
        <f t="shared" si="33"/>
        <v>0</v>
      </c>
      <c r="J534" s="25">
        <f t="shared" si="31"/>
        <v>17</v>
      </c>
    </row>
    <row r="535" spans="1:10" ht="16.95" customHeight="1">
      <c r="A535" s="75">
        <v>20</v>
      </c>
      <c r="B535" s="80" t="s">
        <v>110</v>
      </c>
      <c r="C535" s="77" t="s">
        <v>121</v>
      </c>
      <c r="D535" s="78">
        <v>12</v>
      </c>
      <c r="E535" s="79"/>
      <c r="F535" s="79" t="e">
        <f t="shared" si="32"/>
        <v>#REF!</v>
      </c>
      <c r="G535" s="2"/>
      <c r="H535" s="37">
        <v>882</v>
      </c>
      <c r="I535" s="4">
        <f t="shared" si="33"/>
        <v>0</v>
      </c>
      <c r="J535" s="25">
        <f t="shared" si="31"/>
        <v>17</v>
      </c>
    </row>
    <row r="536" spans="1:10" ht="16.95" customHeight="1">
      <c r="A536" s="77">
        <v>21</v>
      </c>
      <c r="B536" s="80" t="s">
        <v>111</v>
      </c>
      <c r="C536" s="77" t="s">
        <v>122</v>
      </c>
      <c r="D536" s="78">
        <v>3</v>
      </c>
      <c r="E536" s="79"/>
      <c r="F536" s="79" t="e">
        <f t="shared" si="32"/>
        <v>#REF!</v>
      </c>
      <c r="G536" s="2"/>
      <c r="H536" s="38">
        <v>1869</v>
      </c>
      <c r="I536" s="4">
        <f t="shared" si="33"/>
        <v>0</v>
      </c>
      <c r="J536" s="25">
        <f t="shared" si="31"/>
        <v>17</v>
      </c>
    </row>
    <row r="537" spans="1:10" ht="34.950000000000003" customHeight="1">
      <c r="A537" s="75">
        <v>22</v>
      </c>
      <c r="B537" s="80" t="s">
        <v>112</v>
      </c>
      <c r="C537" s="77" t="s">
        <v>48</v>
      </c>
      <c r="D537" s="78">
        <v>1</v>
      </c>
      <c r="E537" s="79"/>
      <c r="F537" s="79" t="e">
        <f t="shared" si="32"/>
        <v>#REF!</v>
      </c>
      <c r="G537" s="2"/>
      <c r="H537" s="37">
        <v>82206</v>
      </c>
      <c r="I537" s="4">
        <f t="shared" si="33"/>
        <v>0</v>
      </c>
      <c r="J537" s="25">
        <f t="shared" si="31"/>
        <v>17</v>
      </c>
    </row>
    <row r="538" spans="1:10" ht="16.95" customHeight="1">
      <c r="A538" s="75">
        <v>23</v>
      </c>
      <c r="B538" s="80" t="s">
        <v>113</v>
      </c>
      <c r="C538" s="77" t="s">
        <v>48</v>
      </c>
      <c r="D538" s="78">
        <v>1</v>
      </c>
      <c r="E538" s="79"/>
      <c r="F538" s="79" t="e">
        <f t="shared" si="32"/>
        <v>#REF!</v>
      </c>
      <c r="G538" s="2"/>
      <c r="H538" s="37">
        <v>142723</v>
      </c>
      <c r="I538" s="4">
        <f t="shared" si="33"/>
        <v>0</v>
      </c>
      <c r="J538" s="25">
        <f t="shared" si="31"/>
        <v>17</v>
      </c>
    </row>
    <row r="539" spans="1:10" ht="16.95" customHeight="1">
      <c r="A539" s="75">
        <v>24</v>
      </c>
      <c r="B539" s="80" t="s">
        <v>114</v>
      </c>
      <c r="C539" s="77" t="s">
        <v>48</v>
      </c>
      <c r="D539" s="78">
        <v>1</v>
      </c>
      <c r="E539" s="79"/>
      <c r="F539" s="79" t="e">
        <f t="shared" si="32"/>
        <v>#REF!</v>
      </c>
      <c r="G539" s="2"/>
      <c r="H539" s="37">
        <v>37290</v>
      </c>
      <c r="I539" s="4">
        <f t="shared" si="33"/>
        <v>0</v>
      </c>
      <c r="J539" s="25">
        <f t="shared" si="31"/>
        <v>17</v>
      </c>
    </row>
    <row r="540" spans="1:10" ht="16.95" customHeight="1">
      <c r="A540" s="75">
        <v>25</v>
      </c>
      <c r="B540" s="80" t="s">
        <v>115</v>
      </c>
      <c r="C540" s="77" t="s">
        <v>48</v>
      </c>
      <c r="D540" s="78">
        <v>1</v>
      </c>
      <c r="E540" s="79"/>
      <c r="F540" s="79" t="e">
        <f t="shared" si="32"/>
        <v>#REF!</v>
      </c>
      <c r="G540" s="2"/>
      <c r="H540" s="37">
        <v>99394</v>
      </c>
      <c r="I540" s="4">
        <f t="shared" si="33"/>
        <v>0</v>
      </c>
      <c r="J540" s="25">
        <f t="shared" si="31"/>
        <v>17</v>
      </c>
    </row>
    <row r="541" spans="1:10" ht="34.950000000000003" customHeight="1">
      <c r="A541" s="75">
        <v>26</v>
      </c>
      <c r="B541" s="80" t="s">
        <v>116</v>
      </c>
      <c r="C541" s="77" t="s">
        <v>48</v>
      </c>
      <c r="D541" s="78">
        <v>1</v>
      </c>
      <c r="E541" s="79"/>
      <c r="F541" s="79" t="e">
        <f t="shared" si="32"/>
        <v>#REF!</v>
      </c>
      <c r="G541" s="2"/>
      <c r="H541" s="37">
        <v>21334</v>
      </c>
      <c r="I541" s="4">
        <f t="shared" si="33"/>
        <v>0</v>
      </c>
      <c r="J541" s="25">
        <f t="shared" si="31"/>
        <v>17</v>
      </c>
    </row>
    <row r="542" spans="1:10" ht="16.95" customHeight="1">
      <c r="A542" s="75">
        <v>27</v>
      </c>
      <c r="B542" s="80" t="s">
        <v>117</v>
      </c>
      <c r="C542" s="77" t="s">
        <v>48</v>
      </c>
      <c r="D542" s="78">
        <v>1</v>
      </c>
      <c r="E542" s="79"/>
      <c r="F542" s="79" t="e">
        <f t="shared" si="32"/>
        <v>#REF!</v>
      </c>
      <c r="G542" s="2"/>
      <c r="H542" s="37">
        <v>29620</v>
      </c>
      <c r="I542" s="4">
        <f t="shared" si="33"/>
        <v>0</v>
      </c>
      <c r="J542" s="25">
        <f t="shared" si="31"/>
        <v>17</v>
      </c>
    </row>
    <row r="543" spans="1:10" ht="16.95" customHeight="1">
      <c r="A543" s="75">
        <v>28</v>
      </c>
      <c r="B543" s="80" t="s">
        <v>118</v>
      </c>
      <c r="C543" s="77" t="s">
        <v>48</v>
      </c>
      <c r="D543" s="78">
        <v>1</v>
      </c>
      <c r="E543" s="79"/>
      <c r="F543" s="79" t="e">
        <f t="shared" si="32"/>
        <v>#REF!</v>
      </c>
      <c r="G543" s="2"/>
      <c r="H543" s="37">
        <v>18506</v>
      </c>
      <c r="I543" s="4">
        <f t="shared" si="33"/>
        <v>0</v>
      </c>
      <c r="J543" s="25">
        <f t="shared" si="31"/>
        <v>17</v>
      </c>
    </row>
    <row r="544" spans="1:10" ht="16.95" customHeight="1">
      <c r="A544" s="75">
        <v>29</v>
      </c>
      <c r="B544" s="80" t="s">
        <v>119</v>
      </c>
      <c r="C544" s="77" t="s">
        <v>48</v>
      </c>
      <c r="D544" s="78">
        <v>1</v>
      </c>
      <c r="E544" s="79"/>
      <c r="F544" s="79" t="e">
        <f t="shared" si="32"/>
        <v>#REF!</v>
      </c>
      <c r="G544" s="2"/>
      <c r="H544" s="37">
        <v>34381</v>
      </c>
      <c r="I544" s="4">
        <f t="shared" si="33"/>
        <v>0</v>
      </c>
      <c r="J544" s="25">
        <f t="shared" si="31"/>
        <v>17</v>
      </c>
    </row>
    <row r="545" spans="1:10" ht="16.95" customHeight="1">
      <c r="A545" s="75" t="s">
        <v>79</v>
      </c>
      <c r="B545" s="80" t="s">
        <v>80</v>
      </c>
      <c r="C545" s="77" t="s">
        <v>48</v>
      </c>
      <c r="D545" s="78">
        <v>1</v>
      </c>
      <c r="E545" s="79">
        <f t="shared" ref="E545:E548" si="34">1/120</f>
        <v>8.3333333333333332E-3</v>
      </c>
      <c r="F545" s="79" t="e">
        <f t="shared" si="32"/>
        <v>#REF!</v>
      </c>
      <c r="G545" s="2"/>
      <c r="H545" s="37">
        <v>21395</v>
      </c>
      <c r="I545" s="4">
        <f t="shared" si="33"/>
        <v>178.29166666666666</v>
      </c>
      <c r="J545" s="25">
        <f t="shared" si="31"/>
        <v>17</v>
      </c>
    </row>
    <row r="546" spans="1:10" ht="16.95" customHeight="1">
      <c r="A546" s="75" t="s">
        <v>81</v>
      </c>
      <c r="B546" s="80" t="s">
        <v>82</v>
      </c>
      <c r="C546" s="77" t="s">
        <v>48</v>
      </c>
      <c r="D546" s="78">
        <v>1</v>
      </c>
      <c r="E546" s="79">
        <f t="shared" si="34"/>
        <v>8.3333333333333332E-3</v>
      </c>
      <c r="F546" s="79" t="e">
        <f t="shared" si="32"/>
        <v>#REF!</v>
      </c>
      <c r="G546" s="2"/>
      <c r="H546" s="37">
        <v>21395</v>
      </c>
      <c r="I546" s="4">
        <f t="shared" si="33"/>
        <v>178.29166666666666</v>
      </c>
      <c r="J546" s="25">
        <f t="shared" si="31"/>
        <v>17</v>
      </c>
    </row>
    <row r="547" spans="1:10" ht="16.95" customHeight="1">
      <c r="A547" s="75" t="s">
        <v>83</v>
      </c>
      <c r="B547" s="80" t="s">
        <v>84</v>
      </c>
      <c r="C547" s="77" t="s">
        <v>48</v>
      </c>
      <c r="D547" s="78">
        <v>1</v>
      </c>
      <c r="E547" s="79">
        <f t="shared" si="34"/>
        <v>8.3333333333333332E-3</v>
      </c>
      <c r="F547" s="79" t="e">
        <f t="shared" si="32"/>
        <v>#REF!</v>
      </c>
      <c r="G547" s="2"/>
      <c r="H547" s="37">
        <v>149765</v>
      </c>
      <c r="I547" s="4">
        <f t="shared" si="33"/>
        <v>1248.0416666666667</v>
      </c>
      <c r="J547" s="25">
        <f t="shared" si="31"/>
        <v>17</v>
      </c>
    </row>
    <row r="548" spans="1:10" ht="16.95" customHeight="1">
      <c r="A548" s="75" t="s">
        <v>85</v>
      </c>
      <c r="B548" s="80" t="s">
        <v>86</v>
      </c>
      <c r="C548" s="77" t="s">
        <v>48</v>
      </c>
      <c r="D548" s="78">
        <v>1</v>
      </c>
      <c r="E548" s="79">
        <f t="shared" si="34"/>
        <v>8.3333333333333332E-3</v>
      </c>
      <c r="F548" s="79" t="e">
        <f t="shared" si="32"/>
        <v>#REF!</v>
      </c>
      <c r="G548" s="2"/>
      <c r="H548" s="37">
        <v>6996</v>
      </c>
      <c r="I548" s="4">
        <f t="shared" si="33"/>
        <v>58.3</v>
      </c>
      <c r="J548" s="25">
        <f t="shared" si="31"/>
        <v>17</v>
      </c>
    </row>
    <row r="549" spans="1:10" ht="16.95" customHeight="1">
      <c r="A549" s="75" t="s">
        <v>87</v>
      </c>
      <c r="B549" s="80" t="s">
        <v>88</v>
      </c>
      <c r="C549" s="77" t="s">
        <v>48</v>
      </c>
      <c r="D549" s="78">
        <v>1</v>
      </c>
      <c r="E549" s="79">
        <f>1/120</f>
        <v>8.3333333333333332E-3</v>
      </c>
      <c r="F549" s="79" t="e">
        <f t="shared" si="32"/>
        <v>#REF!</v>
      </c>
      <c r="G549" s="2"/>
      <c r="H549" s="37">
        <v>116952</v>
      </c>
      <c r="I549" s="4">
        <f t="shared" si="33"/>
        <v>974.6</v>
      </c>
      <c r="J549" s="25">
        <f t="shared" si="31"/>
        <v>17</v>
      </c>
    </row>
    <row r="550" spans="1:10" ht="16.95" customHeight="1">
      <c r="A550" s="95" t="s">
        <v>23</v>
      </c>
      <c r="B550" s="95"/>
      <c r="C550" s="50"/>
      <c r="D550" s="50"/>
      <c r="E550" s="50"/>
      <c r="F550" s="50"/>
      <c r="G550" s="50"/>
      <c r="H550" s="3" t="s">
        <v>24</v>
      </c>
      <c r="I550" s="5">
        <f>SUM(I515:I549)</f>
        <v>2637.5250000000001</v>
      </c>
      <c r="J550" s="25">
        <f t="shared" si="31"/>
        <v>17</v>
      </c>
    </row>
    <row r="551" spans="1:10" ht="16.95" customHeight="1">
      <c r="A551" s="96" t="s">
        <v>25</v>
      </c>
      <c r="B551" s="96"/>
      <c r="C551" s="50"/>
      <c r="D551" s="50"/>
      <c r="E551" s="50"/>
      <c r="F551" s="50"/>
      <c r="G551" s="50"/>
      <c r="J551" s="25">
        <f t="shared" si="31"/>
        <v>17</v>
      </c>
    </row>
    <row r="552" spans="1:10" ht="16.95" customHeight="1">
      <c r="A552" s="96" t="s">
        <v>26</v>
      </c>
      <c r="B552" s="96"/>
      <c r="C552" s="50"/>
      <c r="D552" s="50"/>
      <c r="E552" s="50"/>
      <c r="F552" s="50"/>
      <c r="G552" s="50"/>
      <c r="J552" s="25">
        <f t="shared" si="31"/>
        <v>17</v>
      </c>
    </row>
    <row r="553" spans="1:10" ht="16.95" customHeight="1">
      <c r="A553" s="95" t="s">
        <v>27</v>
      </c>
      <c r="B553" s="95"/>
      <c r="C553" s="95"/>
      <c r="D553" s="95"/>
      <c r="E553" s="95"/>
      <c r="F553" s="95"/>
      <c r="G553" s="95"/>
      <c r="J553" s="25">
        <f t="shared" si="31"/>
        <v>17</v>
      </c>
    </row>
    <row r="554" spans="1:10" ht="16.95" customHeight="1">
      <c r="A554" s="94" t="s">
        <v>28</v>
      </c>
      <c r="B554" s="94"/>
      <c r="C554" s="51" t="s">
        <v>29</v>
      </c>
      <c r="D554" s="51" t="s">
        <v>30</v>
      </c>
      <c r="E554" s="51" t="s">
        <v>18</v>
      </c>
      <c r="F554" s="51" t="s">
        <v>31</v>
      </c>
      <c r="G554" s="51" t="s">
        <v>20</v>
      </c>
      <c r="J554" s="25">
        <f t="shared" si="31"/>
        <v>17</v>
      </c>
    </row>
    <row r="555" spans="1:10" ht="16.95" customHeight="1">
      <c r="A555" s="96"/>
      <c r="B555" s="96"/>
      <c r="C555" s="50"/>
      <c r="D555" s="50"/>
      <c r="E555" s="50"/>
      <c r="F555" s="50"/>
      <c r="G555" s="51"/>
      <c r="J555" s="25">
        <f t="shared" si="31"/>
        <v>17</v>
      </c>
    </row>
    <row r="556" spans="1:10" ht="16.95" customHeight="1">
      <c r="A556" s="97"/>
      <c r="B556" s="97"/>
      <c r="C556" s="50"/>
      <c r="D556" s="50"/>
      <c r="E556" s="50"/>
      <c r="F556" s="51"/>
      <c r="G556" s="51"/>
      <c r="J556" s="25">
        <f t="shared" si="31"/>
        <v>17</v>
      </c>
    </row>
    <row r="557" spans="1:10" ht="16.95" customHeight="1">
      <c r="A557" s="95" t="s">
        <v>32</v>
      </c>
      <c r="B557" s="95"/>
      <c r="C557" s="95"/>
      <c r="D557" s="95"/>
      <c r="E557" s="95"/>
      <c r="F557" s="95"/>
      <c r="G557" s="95"/>
      <c r="J557" s="25">
        <f t="shared" si="31"/>
        <v>18</v>
      </c>
    </row>
    <row r="558" spans="1:10" ht="16.95" customHeight="1">
      <c r="A558" s="51" t="s">
        <v>33</v>
      </c>
      <c r="B558" s="51" t="s">
        <v>34</v>
      </c>
      <c r="C558" s="94" t="s">
        <v>35</v>
      </c>
      <c r="D558" s="94"/>
      <c r="E558" s="51" t="s">
        <v>36</v>
      </c>
      <c r="F558" s="51" t="s">
        <v>37</v>
      </c>
      <c r="G558" s="51" t="s">
        <v>38</v>
      </c>
      <c r="J558" s="25">
        <f t="shared" si="31"/>
        <v>18</v>
      </c>
    </row>
    <row r="559" spans="1:10" ht="16.95" customHeight="1">
      <c r="A559" s="51" t="s">
        <v>39</v>
      </c>
      <c r="B559" s="6"/>
      <c r="C559" s="94" t="e">
        <f>B559+C496</f>
        <v>#REF!</v>
      </c>
      <c r="D559" s="94"/>
      <c r="E559" s="51"/>
      <c r="F559" s="24"/>
      <c r="G559" s="24"/>
      <c r="J559" s="25">
        <f t="shared" si="31"/>
        <v>18</v>
      </c>
    </row>
    <row r="560" spans="1:10" ht="16.95" customHeight="1">
      <c r="A560" s="51" t="s">
        <v>40</v>
      </c>
      <c r="B560" s="6"/>
      <c r="C560" s="94" t="e">
        <f>B560+C497</f>
        <v>#REF!</v>
      </c>
      <c r="D560" s="94"/>
      <c r="E560" s="51"/>
      <c r="F560" s="24"/>
      <c r="G560" s="24"/>
      <c r="J560" s="25">
        <f t="shared" si="31"/>
        <v>18</v>
      </c>
    </row>
    <row r="561" spans="1:10" ht="36.6" customHeight="1">
      <c r="A561" s="95" t="s">
        <v>41</v>
      </c>
      <c r="B561" s="95"/>
      <c r="C561" s="95"/>
      <c r="D561" s="95"/>
      <c r="E561" s="95"/>
      <c r="F561" s="95"/>
      <c r="G561" s="95"/>
      <c r="J561" s="25">
        <f t="shared" si="31"/>
        <v>18</v>
      </c>
    </row>
    <row r="562" spans="1:10" ht="90" customHeight="1">
      <c r="A562" s="92" t="s">
        <v>42</v>
      </c>
      <c r="B562" s="92"/>
      <c r="C562" s="92"/>
      <c r="D562" s="92"/>
      <c r="E562" s="92"/>
      <c r="F562" s="92"/>
      <c r="G562" s="92"/>
      <c r="J562" s="25">
        <f t="shared" si="31"/>
        <v>18</v>
      </c>
    </row>
    <row r="563" spans="1:10" ht="16.95" customHeight="1">
      <c r="A563" s="95" t="s">
        <v>43</v>
      </c>
      <c r="B563" s="95"/>
      <c r="C563" s="95"/>
      <c r="D563" s="95"/>
      <c r="E563" s="95"/>
      <c r="F563" s="95"/>
      <c r="G563" s="95"/>
      <c r="J563" s="25">
        <f t="shared" si="31"/>
        <v>18</v>
      </c>
    </row>
    <row r="564" spans="1:10" ht="16.95" customHeight="1">
      <c r="A564" s="95" t="s">
        <v>44</v>
      </c>
      <c r="B564" s="95"/>
      <c r="C564" s="95"/>
      <c r="D564" s="95"/>
      <c r="E564" s="95"/>
      <c r="F564" s="95"/>
      <c r="G564" s="95"/>
      <c r="J564" s="25">
        <f t="shared" si="31"/>
        <v>18</v>
      </c>
    </row>
    <row r="565" spans="1:10" ht="16.95" customHeight="1">
      <c r="A565" s="91" t="s">
        <v>64</v>
      </c>
      <c r="B565" s="91"/>
      <c r="C565" s="91"/>
      <c r="D565" s="91"/>
      <c r="E565" s="91"/>
      <c r="F565" s="91"/>
      <c r="G565" s="91"/>
      <c r="J565" s="25">
        <f t="shared" si="31"/>
        <v>18</v>
      </c>
    </row>
    <row r="566" spans="1:10" ht="120.6" customHeight="1">
      <c r="A566" s="92" t="s">
        <v>45</v>
      </c>
      <c r="B566" s="92"/>
      <c r="C566" s="92"/>
      <c r="D566" s="92"/>
      <c r="E566" s="92"/>
      <c r="F566" s="92"/>
      <c r="G566" s="92"/>
      <c r="J566" s="25">
        <f t="shared" si="31"/>
        <v>18</v>
      </c>
    </row>
    <row r="567" spans="1:10" ht="140.4" customHeight="1">
      <c r="A567" s="93" t="s">
        <v>46</v>
      </c>
      <c r="B567" s="93"/>
      <c r="C567" s="93"/>
      <c r="D567" s="93"/>
      <c r="E567" s="93"/>
      <c r="F567" s="93"/>
      <c r="G567" s="93"/>
      <c r="J567" s="25">
        <f t="shared" si="31"/>
        <v>18</v>
      </c>
    </row>
    <row r="568" spans="1:10" ht="37.200000000000003" customHeight="1">
      <c r="A568" s="103" t="s">
        <v>0</v>
      </c>
      <c r="B568" s="103"/>
      <c r="C568" s="103"/>
      <c r="D568" s="103"/>
      <c r="E568" s="103"/>
      <c r="F568" s="103"/>
      <c r="G568" s="103"/>
      <c r="J568" s="25">
        <f t="shared" si="31"/>
        <v>19</v>
      </c>
    </row>
    <row r="569" spans="1:10" ht="16.95" customHeight="1">
      <c r="A569" s="1" t="s">
        <v>1</v>
      </c>
      <c r="B569" s="104">
        <f>B506+1</f>
        <v>11</v>
      </c>
      <c r="C569" s="104"/>
      <c r="D569" s="104"/>
      <c r="E569" s="104"/>
      <c r="F569" s="104"/>
      <c r="G569" s="104"/>
      <c r="J569" s="25">
        <f t="shared" si="31"/>
        <v>19</v>
      </c>
    </row>
    <row r="570" spans="1:10" ht="16.95" customHeight="1">
      <c r="A570" s="1" t="s">
        <v>2</v>
      </c>
      <c r="B570" s="105" t="s">
        <v>63</v>
      </c>
      <c r="C570" s="105"/>
      <c r="D570" s="105"/>
      <c r="E570" s="106">
        <f>E507+1</f>
        <v>46213</v>
      </c>
      <c r="F570" s="106"/>
      <c r="G570" s="106"/>
      <c r="J570" s="25">
        <f t="shared" si="31"/>
        <v>19</v>
      </c>
    </row>
    <row r="571" spans="1:10" ht="16.95" customHeight="1">
      <c r="A571" s="53" t="s">
        <v>3</v>
      </c>
      <c r="B571" s="2" t="s">
        <v>67</v>
      </c>
      <c r="C571" s="98" t="s">
        <v>4</v>
      </c>
      <c r="D571" s="98"/>
      <c r="E571" s="98" t="s">
        <v>47</v>
      </c>
      <c r="F571" s="98"/>
      <c r="G571" s="98"/>
      <c r="J571" s="25">
        <f t="shared" ref="J571:J634" si="35">J508+2</f>
        <v>19</v>
      </c>
    </row>
    <row r="572" spans="1:10" ht="16.95" customHeight="1">
      <c r="A572" s="53" t="s">
        <v>5</v>
      </c>
      <c r="B572" s="54">
        <v>120</v>
      </c>
      <c r="C572" s="98" t="s">
        <v>6</v>
      </c>
      <c r="D572" s="98"/>
      <c r="E572" s="98" t="s">
        <v>123</v>
      </c>
      <c r="F572" s="98"/>
      <c r="G572" s="98"/>
      <c r="J572" s="25">
        <f t="shared" si="35"/>
        <v>19</v>
      </c>
    </row>
    <row r="573" spans="1:10" ht="16.95" customHeight="1">
      <c r="A573" s="53" t="s">
        <v>7</v>
      </c>
      <c r="B573" s="54">
        <f>B569</f>
        <v>11</v>
      </c>
      <c r="C573" s="100" t="s">
        <v>8</v>
      </c>
      <c r="D573" s="100"/>
      <c r="E573" s="101">
        <f>B572-B573</f>
        <v>109</v>
      </c>
      <c r="F573" s="101"/>
      <c r="G573" s="101"/>
      <c r="J573" s="25">
        <f t="shared" si="35"/>
        <v>19</v>
      </c>
    </row>
    <row r="574" spans="1:10" ht="16.95" customHeight="1">
      <c r="A574" s="53" t="s">
        <v>9</v>
      </c>
      <c r="B574" s="55">
        <v>46204</v>
      </c>
      <c r="C574" s="98" t="s">
        <v>10</v>
      </c>
      <c r="D574" s="98"/>
      <c r="E574" s="102">
        <f>B574+B572-1</f>
        <v>46323</v>
      </c>
      <c r="F574" s="102"/>
      <c r="G574" s="102"/>
      <c r="J574" s="25">
        <f t="shared" si="35"/>
        <v>19</v>
      </c>
    </row>
    <row r="575" spans="1:10" ht="16.95" customHeight="1">
      <c r="A575" s="53" t="s">
        <v>11</v>
      </c>
      <c r="B575" s="56" t="e">
        <f>HLOOKUP(B569,進度表!$Q$2:$Z$3,2,1)+B512</f>
        <v>#REF!</v>
      </c>
      <c r="C575" s="98" t="s">
        <v>12</v>
      </c>
      <c r="D575" s="98"/>
      <c r="E575" s="99" t="e">
        <f>I613/I575+E512</f>
        <v>#REF!</v>
      </c>
      <c r="F575" s="99"/>
      <c r="G575" s="99"/>
      <c r="H575" s="3" t="s">
        <v>62</v>
      </c>
      <c r="I575" s="1">
        <v>2456000</v>
      </c>
      <c r="J575" s="25">
        <f t="shared" si="35"/>
        <v>19</v>
      </c>
    </row>
    <row r="576" spans="1:10" ht="16.95" customHeight="1">
      <c r="A576" s="98" t="s">
        <v>13</v>
      </c>
      <c r="B576" s="98"/>
      <c r="C576" s="98"/>
      <c r="D576" s="98"/>
      <c r="E576" s="98"/>
      <c r="F576" s="98"/>
      <c r="G576" s="98"/>
      <c r="J576" s="25">
        <f t="shared" si="35"/>
        <v>19</v>
      </c>
    </row>
    <row r="577" spans="1:10" ht="16.95" customHeight="1">
      <c r="A577" s="52" t="s">
        <v>14</v>
      </c>
      <c r="B577" s="52" t="s">
        <v>15</v>
      </c>
      <c r="C577" s="52" t="s">
        <v>16</v>
      </c>
      <c r="D577" s="52" t="s">
        <v>17</v>
      </c>
      <c r="E577" s="52" t="s">
        <v>18</v>
      </c>
      <c r="F577" s="52" t="s">
        <v>19</v>
      </c>
      <c r="G577" s="52" t="s">
        <v>20</v>
      </c>
      <c r="H577" s="3" t="s">
        <v>21</v>
      </c>
      <c r="I577" s="3" t="s">
        <v>22</v>
      </c>
      <c r="J577" s="25">
        <f t="shared" si="35"/>
        <v>19</v>
      </c>
    </row>
    <row r="578" spans="1:10" ht="16.95" customHeight="1">
      <c r="A578" s="75" t="s">
        <v>65</v>
      </c>
      <c r="B578" s="76" t="s">
        <v>69</v>
      </c>
      <c r="C578" s="77"/>
      <c r="D578" s="78"/>
      <c r="E578" s="79"/>
      <c r="F578" s="79"/>
      <c r="G578" s="2"/>
      <c r="H578" s="37"/>
      <c r="I578" s="4"/>
      <c r="J578" s="25">
        <f t="shared" si="35"/>
        <v>19</v>
      </c>
    </row>
    <row r="579" spans="1:10" ht="34.950000000000003" customHeight="1">
      <c r="A579" s="75">
        <v>1</v>
      </c>
      <c r="B579" s="80" t="s">
        <v>91</v>
      </c>
      <c r="C579" s="77" t="s">
        <v>48</v>
      </c>
      <c r="D579" s="78">
        <v>1</v>
      </c>
      <c r="E579" s="79"/>
      <c r="F579" s="79" t="e">
        <f t="shared" ref="F579:F612" si="36">E579+F516</f>
        <v>#REF!</v>
      </c>
      <c r="G579" s="2"/>
      <c r="H579" s="37">
        <v>10508</v>
      </c>
      <c r="I579" s="4">
        <f>H579*E579</f>
        <v>0</v>
      </c>
      <c r="J579" s="25">
        <f t="shared" si="35"/>
        <v>19</v>
      </c>
    </row>
    <row r="580" spans="1:10" ht="34.799999999999997" customHeight="1">
      <c r="A580" s="75">
        <v>2</v>
      </c>
      <c r="B580" s="80" t="s">
        <v>92</v>
      </c>
      <c r="C580" s="77" t="s">
        <v>48</v>
      </c>
      <c r="D580" s="78">
        <v>1</v>
      </c>
      <c r="E580" s="79"/>
      <c r="F580" s="79" t="e">
        <f t="shared" si="36"/>
        <v>#REF!</v>
      </c>
      <c r="G580" s="2"/>
      <c r="H580" s="37">
        <v>13223</v>
      </c>
      <c r="I580" s="4">
        <f>H580*E580</f>
        <v>0</v>
      </c>
      <c r="J580" s="25">
        <f t="shared" si="35"/>
        <v>19</v>
      </c>
    </row>
    <row r="581" spans="1:10" ht="53.4" customHeight="1">
      <c r="A581" s="75">
        <v>3</v>
      </c>
      <c r="B581" s="80" t="s">
        <v>93</v>
      </c>
      <c r="C581" s="77" t="s">
        <v>48</v>
      </c>
      <c r="D581" s="78">
        <v>1</v>
      </c>
      <c r="E581" s="79"/>
      <c r="F581" s="79" t="e">
        <f t="shared" si="36"/>
        <v>#REF!</v>
      </c>
      <c r="G581" s="2"/>
      <c r="H581" s="37">
        <v>310497</v>
      </c>
      <c r="I581" s="4">
        <f t="shared" ref="I581:I612" si="37">H581*E581</f>
        <v>0</v>
      </c>
      <c r="J581" s="25">
        <f t="shared" si="35"/>
        <v>19</v>
      </c>
    </row>
    <row r="582" spans="1:10" ht="16.95" customHeight="1">
      <c r="A582" s="75">
        <v>4</v>
      </c>
      <c r="B582" s="80" t="s">
        <v>94</v>
      </c>
      <c r="C582" s="77" t="s">
        <v>48</v>
      </c>
      <c r="D582" s="78">
        <v>1</v>
      </c>
      <c r="E582" s="79"/>
      <c r="F582" s="79" t="e">
        <f t="shared" si="36"/>
        <v>#REF!</v>
      </c>
      <c r="G582" s="2"/>
      <c r="H582" s="37">
        <v>8375</v>
      </c>
      <c r="I582" s="4">
        <f t="shared" si="37"/>
        <v>0</v>
      </c>
      <c r="J582" s="25">
        <f t="shared" si="35"/>
        <v>19</v>
      </c>
    </row>
    <row r="583" spans="1:10" ht="16.95" customHeight="1">
      <c r="A583" s="75">
        <v>5</v>
      </c>
      <c r="B583" s="80" t="s">
        <v>95</v>
      </c>
      <c r="C583" s="77" t="s">
        <v>48</v>
      </c>
      <c r="D583" s="78">
        <v>1</v>
      </c>
      <c r="E583" s="79"/>
      <c r="F583" s="79" t="e">
        <f t="shared" si="36"/>
        <v>#REF!</v>
      </c>
      <c r="G583" s="2"/>
      <c r="H583" s="37">
        <v>51618</v>
      </c>
      <c r="I583" s="4">
        <f t="shared" si="37"/>
        <v>0</v>
      </c>
      <c r="J583" s="25">
        <f t="shared" si="35"/>
        <v>19</v>
      </c>
    </row>
    <row r="584" spans="1:10" ht="16.95" customHeight="1">
      <c r="A584" s="75">
        <v>6</v>
      </c>
      <c r="B584" s="80" t="s">
        <v>96</v>
      </c>
      <c r="C584" s="77" t="s">
        <v>50</v>
      </c>
      <c r="D584" s="78">
        <v>11.55</v>
      </c>
      <c r="E584" s="79"/>
      <c r="F584" s="79" t="e">
        <f t="shared" si="36"/>
        <v>#REF!</v>
      </c>
      <c r="G584" s="2"/>
      <c r="H584" s="37">
        <v>1188</v>
      </c>
      <c r="I584" s="4">
        <f t="shared" si="37"/>
        <v>0</v>
      </c>
      <c r="J584" s="25">
        <f t="shared" si="35"/>
        <v>19</v>
      </c>
    </row>
    <row r="585" spans="1:10" ht="34.950000000000003" customHeight="1">
      <c r="A585" s="75">
        <v>7</v>
      </c>
      <c r="B585" s="80" t="s">
        <v>97</v>
      </c>
      <c r="C585" s="77" t="s">
        <v>48</v>
      </c>
      <c r="D585" s="78">
        <v>1</v>
      </c>
      <c r="E585" s="79"/>
      <c r="F585" s="79" t="e">
        <f t="shared" si="36"/>
        <v>#REF!</v>
      </c>
      <c r="G585" s="2"/>
      <c r="H585" s="37">
        <v>21157</v>
      </c>
      <c r="I585" s="4">
        <f t="shared" si="37"/>
        <v>0</v>
      </c>
      <c r="J585" s="25">
        <f t="shared" si="35"/>
        <v>19</v>
      </c>
    </row>
    <row r="586" spans="1:10" ht="16.95" customHeight="1">
      <c r="A586" s="75">
        <v>8</v>
      </c>
      <c r="B586" s="80" t="s">
        <v>98</v>
      </c>
      <c r="C586" s="77" t="s">
        <v>50</v>
      </c>
      <c r="D586" s="78">
        <v>387</v>
      </c>
      <c r="E586" s="79"/>
      <c r="F586" s="79" t="e">
        <f t="shared" si="36"/>
        <v>#REF!</v>
      </c>
      <c r="G586" s="2"/>
      <c r="H586" s="37">
        <v>705</v>
      </c>
      <c r="I586" s="4">
        <f t="shared" si="37"/>
        <v>0</v>
      </c>
      <c r="J586" s="25">
        <f t="shared" si="35"/>
        <v>19</v>
      </c>
    </row>
    <row r="587" spans="1:10" ht="16.95" customHeight="1">
      <c r="A587" s="75">
        <v>9</v>
      </c>
      <c r="B587" s="80" t="s">
        <v>99</v>
      </c>
      <c r="C587" s="77" t="s">
        <v>50</v>
      </c>
      <c r="D587" s="78">
        <v>170</v>
      </c>
      <c r="E587" s="79"/>
      <c r="F587" s="79" t="e">
        <f t="shared" si="36"/>
        <v>#REF!</v>
      </c>
      <c r="G587" s="2"/>
      <c r="H587" s="37">
        <v>617</v>
      </c>
      <c r="I587" s="4">
        <f t="shared" si="37"/>
        <v>0</v>
      </c>
      <c r="J587" s="25">
        <f t="shared" si="35"/>
        <v>19</v>
      </c>
    </row>
    <row r="588" spans="1:10" ht="16.95" customHeight="1">
      <c r="A588" s="75">
        <v>10</v>
      </c>
      <c r="B588" s="80" t="s">
        <v>100</v>
      </c>
      <c r="C588" s="77" t="s">
        <v>66</v>
      </c>
      <c r="D588" s="78">
        <v>15</v>
      </c>
      <c r="E588" s="79"/>
      <c r="F588" s="79" t="e">
        <f t="shared" si="36"/>
        <v>#REF!</v>
      </c>
      <c r="G588" s="2"/>
      <c r="H588" s="37">
        <v>617</v>
      </c>
      <c r="I588" s="4">
        <f t="shared" si="37"/>
        <v>0</v>
      </c>
      <c r="J588" s="25">
        <f t="shared" si="35"/>
        <v>19</v>
      </c>
    </row>
    <row r="589" spans="1:10" ht="16.95" customHeight="1">
      <c r="A589" s="75">
        <v>11</v>
      </c>
      <c r="B589" s="80" t="s">
        <v>101</v>
      </c>
      <c r="C589" s="77" t="s">
        <v>50</v>
      </c>
      <c r="D589" s="78">
        <v>75</v>
      </c>
      <c r="E589" s="79"/>
      <c r="F589" s="79" t="e">
        <f t="shared" si="36"/>
        <v>#REF!</v>
      </c>
      <c r="G589" s="2"/>
      <c r="H589" s="37">
        <v>1146</v>
      </c>
      <c r="I589" s="4">
        <f t="shared" si="37"/>
        <v>0</v>
      </c>
      <c r="J589" s="25">
        <f t="shared" si="35"/>
        <v>19</v>
      </c>
    </row>
    <row r="590" spans="1:10" ht="16.95" customHeight="1">
      <c r="A590" s="75">
        <v>12</v>
      </c>
      <c r="B590" s="80" t="s">
        <v>102</v>
      </c>
      <c r="C590" s="77" t="s">
        <v>50</v>
      </c>
      <c r="D590" s="78">
        <v>5</v>
      </c>
      <c r="E590" s="79"/>
      <c r="F590" s="79" t="e">
        <f t="shared" si="36"/>
        <v>#REF!</v>
      </c>
      <c r="G590" s="2"/>
      <c r="H590" s="37">
        <v>1455</v>
      </c>
      <c r="I590" s="4">
        <f t="shared" si="37"/>
        <v>0</v>
      </c>
      <c r="J590" s="25">
        <f t="shared" si="35"/>
        <v>19</v>
      </c>
    </row>
    <row r="591" spans="1:10" ht="16.95" customHeight="1">
      <c r="A591" s="75">
        <v>13</v>
      </c>
      <c r="B591" s="80" t="s">
        <v>103</v>
      </c>
      <c r="C591" s="77" t="s">
        <v>50</v>
      </c>
      <c r="D591" s="78">
        <v>217</v>
      </c>
      <c r="E591" s="79"/>
      <c r="F591" s="79" t="e">
        <f t="shared" si="36"/>
        <v>#REF!</v>
      </c>
      <c r="G591" s="2"/>
      <c r="H591" s="37">
        <v>1410</v>
      </c>
      <c r="I591" s="4">
        <f t="shared" si="37"/>
        <v>0</v>
      </c>
      <c r="J591" s="25">
        <f t="shared" si="35"/>
        <v>19</v>
      </c>
    </row>
    <row r="592" spans="1:10" ht="16.95" customHeight="1">
      <c r="A592" s="75">
        <v>14</v>
      </c>
      <c r="B592" s="80" t="s">
        <v>104</v>
      </c>
      <c r="C592" s="77" t="s">
        <v>49</v>
      </c>
      <c r="D592" s="78">
        <v>84</v>
      </c>
      <c r="E592" s="79"/>
      <c r="F592" s="79" t="e">
        <f t="shared" si="36"/>
        <v>#REF!</v>
      </c>
      <c r="G592" s="2"/>
      <c r="H592" s="37">
        <v>529</v>
      </c>
      <c r="I592" s="4">
        <f t="shared" si="37"/>
        <v>0</v>
      </c>
      <c r="J592" s="25">
        <f t="shared" si="35"/>
        <v>19</v>
      </c>
    </row>
    <row r="593" spans="1:10" ht="16.95" customHeight="1">
      <c r="A593" s="75">
        <v>15</v>
      </c>
      <c r="B593" s="80" t="s">
        <v>105</v>
      </c>
      <c r="C593" s="77" t="s">
        <v>50</v>
      </c>
      <c r="D593" s="78">
        <v>1</v>
      </c>
      <c r="E593" s="79"/>
      <c r="F593" s="79" t="e">
        <f t="shared" si="36"/>
        <v>#REF!</v>
      </c>
      <c r="G593" s="2"/>
      <c r="H593" s="37">
        <v>1146</v>
      </c>
      <c r="I593" s="4">
        <f t="shared" si="37"/>
        <v>0</v>
      </c>
      <c r="J593" s="25">
        <f t="shared" si="35"/>
        <v>19</v>
      </c>
    </row>
    <row r="594" spans="1:10" ht="34.799999999999997" customHeight="1">
      <c r="A594" s="75">
        <v>16</v>
      </c>
      <c r="B594" s="80" t="s">
        <v>106</v>
      </c>
      <c r="C594" s="77" t="s">
        <v>50</v>
      </c>
      <c r="D594" s="78">
        <v>314</v>
      </c>
      <c r="E594" s="79"/>
      <c r="F594" s="79" t="e">
        <f t="shared" si="36"/>
        <v>#REF!</v>
      </c>
      <c r="G594" s="2"/>
      <c r="H594" s="37">
        <v>185</v>
      </c>
      <c r="I594" s="4">
        <f t="shared" si="37"/>
        <v>0</v>
      </c>
      <c r="J594" s="25">
        <f t="shared" si="35"/>
        <v>19</v>
      </c>
    </row>
    <row r="595" spans="1:10" ht="16.95" customHeight="1">
      <c r="A595" s="75">
        <v>17</v>
      </c>
      <c r="B595" s="80" t="s">
        <v>107</v>
      </c>
      <c r="C595" s="77" t="s">
        <v>48</v>
      </c>
      <c r="D595" s="78">
        <v>1</v>
      </c>
      <c r="E595" s="79"/>
      <c r="F595" s="79" t="e">
        <f t="shared" si="36"/>
        <v>#REF!</v>
      </c>
      <c r="G595" s="2"/>
      <c r="H595" s="37">
        <v>89918</v>
      </c>
      <c r="I595" s="4">
        <f t="shared" si="37"/>
        <v>0</v>
      </c>
      <c r="J595" s="25">
        <f t="shared" si="35"/>
        <v>19</v>
      </c>
    </row>
    <row r="596" spans="1:10" ht="16.95" customHeight="1">
      <c r="A596" s="75">
        <v>18</v>
      </c>
      <c r="B596" s="80" t="s">
        <v>108</v>
      </c>
      <c r="C596" s="77" t="s">
        <v>120</v>
      </c>
      <c r="D596" s="78">
        <v>15</v>
      </c>
      <c r="E596" s="79"/>
      <c r="F596" s="79" t="e">
        <f t="shared" si="36"/>
        <v>#REF!</v>
      </c>
      <c r="G596" s="2"/>
      <c r="H596" s="37">
        <v>661</v>
      </c>
      <c r="I596" s="4">
        <f t="shared" si="37"/>
        <v>0</v>
      </c>
      <c r="J596" s="25">
        <f t="shared" si="35"/>
        <v>19</v>
      </c>
    </row>
    <row r="597" spans="1:10" ht="16.95" customHeight="1">
      <c r="A597" s="75">
        <v>19</v>
      </c>
      <c r="B597" s="80" t="s">
        <v>109</v>
      </c>
      <c r="C597" s="77" t="s">
        <v>50</v>
      </c>
      <c r="D597" s="78">
        <v>82</v>
      </c>
      <c r="E597" s="79"/>
      <c r="F597" s="79" t="e">
        <f t="shared" si="36"/>
        <v>#REF!</v>
      </c>
      <c r="G597" s="2"/>
      <c r="H597" s="37">
        <v>2909</v>
      </c>
      <c r="I597" s="4">
        <f t="shared" si="37"/>
        <v>0</v>
      </c>
      <c r="J597" s="25">
        <f t="shared" si="35"/>
        <v>19</v>
      </c>
    </row>
    <row r="598" spans="1:10" ht="16.95" customHeight="1">
      <c r="A598" s="75">
        <v>20</v>
      </c>
      <c r="B598" s="80" t="s">
        <v>110</v>
      </c>
      <c r="C598" s="77" t="s">
        <v>121</v>
      </c>
      <c r="D598" s="78">
        <v>12</v>
      </c>
      <c r="E598" s="79"/>
      <c r="F598" s="79" t="e">
        <f t="shared" si="36"/>
        <v>#REF!</v>
      </c>
      <c r="G598" s="2"/>
      <c r="H598" s="37">
        <v>882</v>
      </c>
      <c r="I598" s="4">
        <f t="shared" si="37"/>
        <v>0</v>
      </c>
      <c r="J598" s="25">
        <f t="shared" si="35"/>
        <v>19</v>
      </c>
    </row>
    <row r="599" spans="1:10" ht="16.95" customHeight="1">
      <c r="A599" s="77">
        <v>21</v>
      </c>
      <c r="B599" s="80" t="s">
        <v>111</v>
      </c>
      <c r="C599" s="77" t="s">
        <v>122</v>
      </c>
      <c r="D599" s="78">
        <v>3</v>
      </c>
      <c r="E599" s="79"/>
      <c r="F599" s="79" t="e">
        <f t="shared" si="36"/>
        <v>#REF!</v>
      </c>
      <c r="G599" s="2"/>
      <c r="H599" s="38">
        <v>1869</v>
      </c>
      <c r="I599" s="4">
        <f t="shared" si="37"/>
        <v>0</v>
      </c>
      <c r="J599" s="25">
        <f t="shared" si="35"/>
        <v>19</v>
      </c>
    </row>
    <row r="600" spans="1:10" ht="34.950000000000003" customHeight="1">
      <c r="A600" s="75">
        <v>22</v>
      </c>
      <c r="B600" s="80" t="s">
        <v>112</v>
      </c>
      <c r="C600" s="77" t="s">
        <v>48</v>
      </c>
      <c r="D600" s="78">
        <v>1</v>
      </c>
      <c r="E600" s="79"/>
      <c r="F600" s="79" t="e">
        <f t="shared" si="36"/>
        <v>#REF!</v>
      </c>
      <c r="G600" s="2"/>
      <c r="H600" s="37">
        <v>82206</v>
      </c>
      <c r="I600" s="4">
        <f t="shared" si="37"/>
        <v>0</v>
      </c>
      <c r="J600" s="25">
        <f t="shared" si="35"/>
        <v>19</v>
      </c>
    </row>
    <row r="601" spans="1:10" ht="16.95" customHeight="1">
      <c r="A601" s="75">
        <v>23</v>
      </c>
      <c r="B601" s="80" t="s">
        <v>113</v>
      </c>
      <c r="C601" s="77" t="s">
        <v>48</v>
      </c>
      <c r="D601" s="78">
        <v>1</v>
      </c>
      <c r="E601" s="79"/>
      <c r="F601" s="79" t="e">
        <f t="shared" si="36"/>
        <v>#REF!</v>
      </c>
      <c r="G601" s="2"/>
      <c r="H601" s="37">
        <v>142723</v>
      </c>
      <c r="I601" s="4">
        <f t="shared" si="37"/>
        <v>0</v>
      </c>
      <c r="J601" s="25">
        <f t="shared" si="35"/>
        <v>19</v>
      </c>
    </row>
    <row r="602" spans="1:10" ht="16.95" customHeight="1">
      <c r="A602" s="75">
        <v>24</v>
      </c>
      <c r="B602" s="80" t="s">
        <v>114</v>
      </c>
      <c r="C602" s="77" t="s">
        <v>48</v>
      </c>
      <c r="D602" s="78">
        <v>1</v>
      </c>
      <c r="E602" s="79"/>
      <c r="F602" s="79" t="e">
        <f t="shared" si="36"/>
        <v>#REF!</v>
      </c>
      <c r="G602" s="2"/>
      <c r="H602" s="37">
        <v>37290</v>
      </c>
      <c r="I602" s="4">
        <f t="shared" si="37"/>
        <v>0</v>
      </c>
      <c r="J602" s="25">
        <f t="shared" si="35"/>
        <v>19</v>
      </c>
    </row>
    <row r="603" spans="1:10" ht="16.95" customHeight="1">
      <c r="A603" s="75">
        <v>25</v>
      </c>
      <c r="B603" s="80" t="s">
        <v>115</v>
      </c>
      <c r="C603" s="77" t="s">
        <v>48</v>
      </c>
      <c r="D603" s="78">
        <v>1</v>
      </c>
      <c r="E603" s="79"/>
      <c r="F603" s="79" t="e">
        <f t="shared" si="36"/>
        <v>#REF!</v>
      </c>
      <c r="G603" s="2"/>
      <c r="H603" s="37">
        <v>99394</v>
      </c>
      <c r="I603" s="4">
        <f t="shared" si="37"/>
        <v>0</v>
      </c>
      <c r="J603" s="25">
        <f t="shared" si="35"/>
        <v>19</v>
      </c>
    </row>
    <row r="604" spans="1:10" ht="34.950000000000003" customHeight="1">
      <c r="A604" s="75">
        <v>26</v>
      </c>
      <c r="B604" s="80" t="s">
        <v>116</v>
      </c>
      <c r="C604" s="77" t="s">
        <v>48</v>
      </c>
      <c r="D604" s="78">
        <v>1</v>
      </c>
      <c r="E604" s="79"/>
      <c r="F604" s="79" t="e">
        <f t="shared" si="36"/>
        <v>#REF!</v>
      </c>
      <c r="G604" s="2"/>
      <c r="H604" s="37">
        <v>21334</v>
      </c>
      <c r="I604" s="4">
        <f t="shared" si="37"/>
        <v>0</v>
      </c>
      <c r="J604" s="25">
        <f t="shared" si="35"/>
        <v>19</v>
      </c>
    </row>
    <row r="605" spans="1:10" ht="16.95" customHeight="1">
      <c r="A605" s="75">
        <v>27</v>
      </c>
      <c r="B605" s="80" t="s">
        <v>117</v>
      </c>
      <c r="C605" s="77" t="s">
        <v>48</v>
      </c>
      <c r="D605" s="78">
        <v>1</v>
      </c>
      <c r="E605" s="79"/>
      <c r="F605" s="79" t="e">
        <f t="shared" si="36"/>
        <v>#REF!</v>
      </c>
      <c r="G605" s="2"/>
      <c r="H605" s="37">
        <v>29620</v>
      </c>
      <c r="I605" s="4">
        <f t="shared" si="37"/>
        <v>0</v>
      </c>
      <c r="J605" s="25">
        <f t="shared" si="35"/>
        <v>19</v>
      </c>
    </row>
    <row r="606" spans="1:10" ht="16.95" customHeight="1">
      <c r="A606" s="75">
        <v>28</v>
      </c>
      <c r="B606" s="80" t="s">
        <v>118</v>
      </c>
      <c r="C606" s="77" t="s">
        <v>48</v>
      </c>
      <c r="D606" s="78">
        <v>1</v>
      </c>
      <c r="E606" s="79"/>
      <c r="F606" s="79" t="e">
        <f t="shared" si="36"/>
        <v>#REF!</v>
      </c>
      <c r="G606" s="2"/>
      <c r="H606" s="37">
        <v>18506</v>
      </c>
      <c r="I606" s="4">
        <f t="shared" si="37"/>
        <v>0</v>
      </c>
      <c r="J606" s="25">
        <f t="shared" si="35"/>
        <v>19</v>
      </c>
    </row>
    <row r="607" spans="1:10" ht="16.95" customHeight="1">
      <c r="A607" s="75">
        <v>29</v>
      </c>
      <c r="B607" s="80" t="s">
        <v>119</v>
      </c>
      <c r="C607" s="77" t="s">
        <v>48</v>
      </c>
      <c r="D607" s="78">
        <v>1</v>
      </c>
      <c r="E607" s="79"/>
      <c r="F607" s="79" t="e">
        <f t="shared" si="36"/>
        <v>#REF!</v>
      </c>
      <c r="G607" s="2"/>
      <c r="H607" s="37">
        <v>34381</v>
      </c>
      <c r="I607" s="4">
        <f t="shared" si="37"/>
        <v>0</v>
      </c>
      <c r="J607" s="25">
        <f t="shared" si="35"/>
        <v>19</v>
      </c>
    </row>
    <row r="608" spans="1:10" ht="16.95" customHeight="1">
      <c r="A608" s="75" t="s">
        <v>79</v>
      </c>
      <c r="B608" s="80" t="s">
        <v>80</v>
      </c>
      <c r="C608" s="77" t="s">
        <v>48</v>
      </c>
      <c r="D608" s="78">
        <v>1</v>
      </c>
      <c r="E608" s="79">
        <f t="shared" ref="E608:E611" si="38">1/120</f>
        <v>8.3333333333333332E-3</v>
      </c>
      <c r="F608" s="79" t="e">
        <f t="shared" si="36"/>
        <v>#REF!</v>
      </c>
      <c r="G608" s="2"/>
      <c r="H608" s="37">
        <v>21395</v>
      </c>
      <c r="I608" s="4">
        <f t="shared" si="37"/>
        <v>178.29166666666666</v>
      </c>
      <c r="J608" s="25">
        <f t="shared" si="35"/>
        <v>19</v>
      </c>
    </row>
    <row r="609" spans="1:10" ht="16.95" customHeight="1">
      <c r="A609" s="75" t="s">
        <v>81</v>
      </c>
      <c r="B609" s="80" t="s">
        <v>82</v>
      </c>
      <c r="C609" s="77" t="s">
        <v>48</v>
      </c>
      <c r="D609" s="78">
        <v>1</v>
      </c>
      <c r="E609" s="79">
        <f t="shared" si="38"/>
        <v>8.3333333333333332E-3</v>
      </c>
      <c r="F609" s="79" t="e">
        <f t="shared" si="36"/>
        <v>#REF!</v>
      </c>
      <c r="G609" s="2"/>
      <c r="H609" s="37">
        <v>21395</v>
      </c>
      <c r="I609" s="4">
        <f t="shared" si="37"/>
        <v>178.29166666666666</v>
      </c>
      <c r="J609" s="25">
        <f t="shared" si="35"/>
        <v>19</v>
      </c>
    </row>
    <row r="610" spans="1:10" ht="16.95" customHeight="1">
      <c r="A610" s="75" t="s">
        <v>83</v>
      </c>
      <c r="B610" s="80" t="s">
        <v>84</v>
      </c>
      <c r="C610" s="77" t="s">
        <v>48</v>
      </c>
      <c r="D610" s="78">
        <v>1</v>
      </c>
      <c r="E610" s="79">
        <f t="shared" si="38"/>
        <v>8.3333333333333332E-3</v>
      </c>
      <c r="F610" s="79" t="e">
        <f t="shared" si="36"/>
        <v>#REF!</v>
      </c>
      <c r="G610" s="2"/>
      <c r="H610" s="37">
        <v>149765</v>
      </c>
      <c r="I610" s="4">
        <f t="shared" si="37"/>
        <v>1248.0416666666667</v>
      </c>
      <c r="J610" s="25">
        <f t="shared" si="35"/>
        <v>19</v>
      </c>
    </row>
    <row r="611" spans="1:10" ht="16.95" customHeight="1">
      <c r="A611" s="75" t="s">
        <v>85</v>
      </c>
      <c r="B611" s="80" t="s">
        <v>86</v>
      </c>
      <c r="C611" s="77" t="s">
        <v>48</v>
      </c>
      <c r="D611" s="78">
        <v>1</v>
      </c>
      <c r="E611" s="79">
        <f t="shared" si="38"/>
        <v>8.3333333333333332E-3</v>
      </c>
      <c r="F611" s="79" t="e">
        <f t="shared" si="36"/>
        <v>#REF!</v>
      </c>
      <c r="G611" s="2"/>
      <c r="H611" s="37">
        <v>6996</v>
      </c>
      <c r="I611" s="4">
        <f t="shared" si="37"/>
        <v>58.3</v>
      </c>
      <c r="J611" s="25">
        <f t="shared" si="35"/>
        <v>19</v>
      </c>
    </row>
    <row r="612" spans="1:10" ht="16.95" customHeight="1">
      <c r="A612" s="75" t="s">
        <v>87</v>
      </c>
      <c r="B612" s="80" t="s">
        <v>88</v>
      </c>
      <c r="C612" s="77" t="s">
        <v>48</v>
      </c>
      <c r="D612" s="78">
        <v>1</v>
      </c>
      <c r="E612" s="79">
        <f>1/120</f>
        <v>8.3333333333333332E-3</v>
      </c>
      <c r="F612" s="79" t="e">
        <f t="shared" si="36"/>
        <v>#REF!</v>
      </c>
      <c r="G612" s="2"/>
      <c r="H612" s="37">
        <v>116952</v>
      </c>
      <c r="I612" s="4">
        <f t="shared" si="37"/>
        <v>974.6</v>
      </c>
      <c r="J612" s="25">
        <f t="shared" si="35"/>
        <v>19</v>
      </c>
    </row>
    <row r="613" spans="1:10" ht="16.95" customHeight="1">
      <c r="A613" s="95" t="s">
        <v>23</v>
      </c>
      <c r="B613" s="95"/>
      <c r="C613" s="50"/>
      <c r="D613" s="50"/>
      <c r="E613" s="50"/>
      <c r="F613" s="50"/>
      <c r="G613" s="50"/>
      <c r="H613" s="3" t="s">
        <v>24</v>
      </c>
      <c r="I613" s="5">
        <f>SUM(I578:I612)</f>
        <v>2637.5250000000001</v>
      </c>
      <c r="J613" s="25">
        <f t="shared" si="35"/>
        <v>19</v>
      </c>
    </row>
    <row r="614" spans="1:10" ht="16.95" customHeight="1">
      <c r="A614" s="96" t="s">
        <v>25</v>
      </c>
      <c r="B614" s="96"/>
      <c r="C614" s="50"/>
      <c r="D614" s="50"/>
      <c r="E614" s="50"/>
      <c r="F614" s="50"/>
      <c r="G614" s="50"/>
      <c r="J614" s="25">
        <f t="shared" si="35"/>
        <v>19</v>
      </c>
    </row>
    <row r="615" spans="1:10" ht="16.95" customHeight="1">
      <c r="A615" s="96" t="s">
        <v>26</v>
      </c>
      <c r="B615" s="96"/>
      <c r="C615" s="50"/>
      <c r="D615" s="50"/>
      <c r="E615" s="50"/>
      <c r="F615" s="50"/>
      <c r="G615" s="50"/>
      <c r="J615" s="25">
        <f t="shared" si="35"/>
        <v>19</v>
      </c>
    </row>
    <row r="616" spans="1:10" ht="16.95" customHeight="1">
      <c r="A616" s="95" t="s">
        <v>27</v>
      </c>
      <c r="B616" s="95"/>
      <c r="C616" s="95"/>
      <c r="D616" s="95"/>
      <c r="E616" s="95"/>
      <c r="F616" s="95"/>
      <c r="G616" s="95"/>
      <c r="J616" s="25">
        <f t="shared" si="35"/>
        <v>19</v>
      </c>
    </row>
    <row r="617" spans="1:10" ht="16.95" customHeight="1">
      <c r="A617" s="94" t="s">
        <v>28</v>
      </c>
      <c r="B617" s="94"/>
      <c r="C617" s="51" t="s">
        <v>29</v>
      </c>
      <c r="D617" s="51" t="s">
        <v>30</v>
      </c>
      <c r="E617" s="51" t="s">
        <v>18</v>
      </c>
      <c r="F617" s="51" t="s">
        <v>31</v>
      </c>
      <c r="G617" s="51" t="s">
        <v>20</v>
      </c>
      <c r="J617" s="25">
        <f t="shared" si="35"/>
        <v>19</v>
      </c>
    </row>
    <row r="618" spans="1:10" ht="16.95" customHeight="1">
      <c r="A618" s="96"/>
      <c r="B618" s="96"/>
      <c r="C618" s="50"/>
      <c r="D618" s="50"/>
      <c r="E618" s="50"/>
      <c r="F618" s="50"/>
      <c r="G618" s="51"/>
      <c r="J618" s="25">
        <f t="shared" si="35"/>
        <v>19</v>
      </c>
    </row>
    <row r="619" spans="1:10" ht="16.95" customHeight="1">
      <c r="A619" s="97"/>
      <c r="B619" s="97"/>
      <c r="C619" s="50"/>
      <c r="D619" s="50"/>
      <c r="E619" s="50"/>
      <c r="F619" s="51"/>
      <c r="G619" s="51"/>
      <c r="J619" s="25">
        <f t="shared" si="35"/>
        <v>19</v>
      </c>
    </row>
    <row r="620" spans="1:10" ht="16.95" customHeight="1">
      <c r="A620" s="95" t="s">
        <v>32</v>
      </c>
      <c r="B620" s="95"/>
      <c r="C620" s="95"/>
      <c r="D620" s="95"/>
      <c r="E620" s="95"/>
      <c r="F620" s="95"/>
      <c r="G620" s="95"/>
      <c r="J620" s="25">
        <f t="shared" si="35"/>
        <v>20</v>
      </c>
    </row>
    <row r="621" spans="1:10" ht="16.95" customHeight="1">
      <c r="A621" s="51" t="s">
        <v>33</v>
      </c>
      <c r="B621" s="51" t="s">
        <v>34</v>
      </c>
      <c r="C621" s="94" t="s">
        <v>35</v>
      </c>
      <c r="D621" s="94"/>
      <c r="E621" s="51" t="s">
        <v>36</v>
      </c>
      <c r="F621" s="51" t="s">
        <v>37</v>
      </c>
      <c r="G621" s="51" t="s">
        <v>38</v>
      </c>
      <c r="J621" s="25">
        <f t="shared" si="35"/>
        <v>20</v>
      </c>
    </row>
    <row r="622" spans="1:10" ht="16.95" customHeight="1">
      <c r="A622" s="51" t="s">
        <v>39</v>
      </c>
      <c r="B622" s="6"/>
      <c r="C622" s="94" t="e">
        <f>B622+C559</f>
        <v>#REF!</v>
      </c>
      <c r="D622" s="94"/>
      <c r="E622" s="51"/>
      <c r="F622" s="24"/>
      <c r="G622" s="24"/>
      <c r="J622" s="25">
        <f t="shared" si="35"/>
        <v>20</v>
      </c>
    </row>
    <row r="623" spans="1:10" ht="16.95" customHeight="1">
      <c r="A623" s="51" t="s">
        <v>40</v>
      </c>
      <c r="B623" s="6"/>
      <c r="C623" s="94" t="e">
        <f>B623+C560</f>
        <v>#REF!</v>
      </c>
      <c r="D623" s="94"/>
      <c r="E623" s="51"/>
      <c r="F623" s="24"/>
      <c r="G623" s="24"/>
      <c r="J623" s="25">
        <f t="shared" si="35"/>
        <v>20</v>
      </c>
    </row>
    <row r="624" spans="1:10" ht="36.6" customHeight="1">
      <c r="A624" s="95" t="s">
        <v>41</v>
      </c>
      <c r="B624" s="95"/>
      <c r="C624" s="95"/>
      <c r="D624" s="95"/>
      <c r="E624" s="95"/>
      <c r="F624" s="95"/>
      <c r="G624" s="95"/>
      <c r="J624" s="25">
        <f t="shared" si="35"/>
        <v>20</v>
      </c>
    </row>
    <row r="625" spans="1:10" ht="90" customHeight="1">
      <c r="A625" s="92" t="s">
        <v>42</v>
      </c>
      <c r="B625" s="92"/>
      <c r="C625" s="92"/>
      <c r="D625" s="92"/>
      <c r="E625" s="92"/>
      <c r="F625" s="92"/>
      <c r="G625" s="92"/>
      <c r="J625" s="25">
        <f t="shared" si="35"/>
        <v>20</v>
      </c>
    </row>
    <row r="626" spans="1:10" ht="16.95" customHeight="1">
      <c r="A626" s="95" t="s">
        <v>43</v>
      </c>
      <c r="B626" s="95"/>
      <c r="C626" s="95"/>
      <c r="D626" s="95"/>
      <c r="E626" s="95"/>
      <c r="F626" s="95"/>
      <c r="G626" s="95"/>
      <c r="J626" s="25">
        <f t="shared" si="35"/>
        <v>20</v>
      </c>
    </row>
    <row r="627" spans="1:10" ht="16.95" customHeight="1">
      <c r="A627" s="95" t="s">
        <v>44</v>
      </c>
      <c r="B627" s="95"/>
      <c r="C627" s="95"/>
      <c r="D627" s="95"/>
      <c r="E627" s="95"/>
      <c r="F627" s="95"/>
      <c r="G627" s="95"/>
      <c r="J627" s="25">
        <f t="shared" si="35"/>
        <v>20</v>
      </c>
    </row>
    <row r="628" spans="1:10" ht="16.95" customHeight="1">
      <c r="A628" s="91" t="s">
        <v>64</v>
      </c>
      <c r="B628" s="91"/>
      <c r="C628" s="91"/>
      <c r="D628" s="91"/>
      <c r="E628" s="91"/>
      <c r="F628" s="91"/>
      <c r="G628" s="91"/>
      <c r="J628" s="25">
        <f t="shared" si="35"/>
        <v>20</v>
      </c>
    </row>
    <row r="629" spans="1:10" ht="120.6" customHeight="1">
      <c r="A629" s="92" t="s">
        <v>45</v>
      </c>
      <c r="B629" s="92"/>
      <c r="C629" s="92"/>
      <c r="D629" s="92"/>
      <c r="E629" s="92"/>
      <c r="F629" s="92"/>
      <c r="G629" s="92"/>
      <c r="J629" s="25">
        <f t="shared" si="35"/>
        <v>20</v>
      </c>
    </row>
    <row r="630" spans="1:10" ht="140.4" customHeight="1">
      <c r="A630" s="93" t="s">
        <v>46</v>
      </c>
      <c r="B630" s="93"/>
      <c r="C630" s="93"/>
      <c r="D630" s="93"/>
      <c r="E630" s="93"/>
      <c r="F630" s="93"/>
      <c r="G630" s="93"/>
      <c r="J630" s="25">
        <f t="shared" si="35"/>
        <v>20</v>
      </c>
    </row>
    <row r="631" spans="1:10" ht="37.200000000000003" customHeight="1">
      <c r="A631" s="103" t="s">
        <v>0</v>
      </c>
      <c r="B631" s="103"/>
      <c r="C631" s="103"/>
      <c r="D631" s="103"/>
      <c r="E631" s="103"/>
      <c r="F631" s="103"/>
      <c r="G631" s="103"/>
      <c r="J631" s="25">
        <f t="shared" si="35"/>
        <v>21</v>
      </c>
    </row>
    <row r="632" spans="1:10" ht="16.95" customHeight="1">
      <c r="A632" s="1" t="s">
        <v>1</v>
      </c>
      <c r="B632" s="104">
        <f>B569+1</f>
        <v>12</v>
      </c>
      <c r="C632" s="104"/>
      <c r="D632" s="104"/>
      <c r="E632" s="104"/>
      <c r="F632" s="104"/>
      <c r="G632" s="104"/>
      <c r="J632" s="25">
        <f t="shared" si="35"/>
        <v>21</v>
      </c>
    </row>
    <row r="633" spans="1:10" ht="16.95" customHeight="1">
      <c r="A633" s="1" t="s">
        <v>2</v>
      </c>
      <c r="B633" s="105" t="s">
        <v>63</v>
      </c>
      <c r="C633" s="105"/>
      <c r="D633" s="105"/>
      <c r="E633" s="106">
        <f>E570+1</f>
        <v>46214</v>
      </c>
      <c r="F633" s="106"/>
      <c r="G633" s="106"/>
      <c r="J633" s="25">
        <f t="shared" si="35"/>
        <v>21</v>
      </c>
    </row>
    <row r="634" spans="1:10" ht="16.95" customHeight="1">
      <c r="A634" s="53" t="s">
        <v>3</v>
      </c>
      <c r="B634" s="2" t="s">
        <v>67</v>
      </c>
      <c r="C634" s="98" t="s">
        <v>4</v>
      </c>
      <c r="D634" s="98"/>
      <c r="E634" s="98" t="s">
        <v>47</v>
      </c>
      <c r="F634" s="98"/>
      <c r="G634" s="98"/>
      <c r="J634" s="25">
        <f t="shared" si="35"/>
        <v>21</v>
      </c>
    </row>
    <row r="635" spans="1:10" ht="16.95" customHeight="1">
      <c r="A635" s="53" t="s">
        <v>5</v>
      </c>
      <c r="B635" s="54">
        <v>120</v>
      </c>
      <c r="C635" s="98" t="s">
        <v>6</v>
      </c>
      <c r="D635" s="98"/>
      <c r="E635" s="98" t="s">
        <v>123</v>
      </c>
      <c r="F635" s="98"/>
      <c r="G635" s="98"/>
      <c r="J635" s="25">
        <f t="shared" ref="J635:J698" si="39">J572+2</f>
        <v>21</v>
      </c>
    </row>
    <row r="636" spans="1:10" ht="16.95" customHeight="1">
      <c r="A636" s="53" t="s">
        <v>7</v>
      </c>
      <c r="B636" s="54">
        <f>B632</f>
        <v>12</v>
      </c>
      <c r="C636" s="100" t="s">
        <v>8</v>
      </c>
      <c r="D636" s="100"/>
      <c r="E636" s="101">
        <f>B635-B636</f>
        <v>108</v>
      </c>
      <c r="F636" s="101"/>
      <c r="G636" s="101"/>
      <c r="J636" s="25">
        <f t="shared" si="39"/>
        <v>21</v>
      </c>
    </row>
    <row r="637" spans="1:10" ht="16.95" customHeight="1">
      <c r="A637" s="53" t="s">
        <v>9</v>
      </c>
      <c r="B637" s="55">
        <v>46204</v>
      </c>
      <c r="C637" s="98" t="s">
        <v>10</v>
      </c>
      <c r="D637" s="98"/>
      <c r="E637" s="102">
        <f>B637+B635-1</f>
        <v>46323</v>
      </c>
      <c r="F637" s="102"/>
      <c r="G637" s="102"/>
      <c r="J637" s="25">
        <f t="shared" si="39"/>
        <v>21</v>
      </c>
    </row>
    <row r="638" spans="1:10" ht="16.95" customHeight="1">
      <c r="A638" s="53" t="s">
        <v>11</v>
      </c>
      <c r="B638" s="56" t="e">
        <f>HLOOKUP(B632,進度表!$Q$2:$Z$3,2,1)+B575</f>
        <v>#REF!</v>
      </c>
      <c r="C638" s="98" t="s">
        <v>12</v>
      </c>
      <c r="D638" s="98"/>
      <c r="E638" s="99" t="e">
        <f>I676/I638+E575</f>
        <v>#REF!</v>
      </c>
      <c r="F638" s="99"/>
      <c r="G638" s="99"/>
      <c r="H638" s="3" t="s">
        <v>62</v>
      </c>
      <c r="I638" s="1">
        <v>2456000</v>
      </c>
      <c r="J638" s="25">
        <f t="shared" si="39"/>
        <v>21</v>
      </c>
    </row>
    <row r="639" spans="1:10" ht="16.95" customHeight="1">
      <c r="A639" s="98" t="s">
        <v>13</v>
      </c>
      <c r="B639" s="98"/>
      <c r="C639" s="98"/>
      <c r="D639" s="98"/>
      <c r="E639" s="98"/>
      <c r="F639" s="98"/>
      <c r="G639" s="98"/>
      <c r="J639" s="25">
        <f t="shared" si="39"/>
        <v>21</v>
      </c>
    </row>
    <row r="640" spans="1:10" ht="16.95" customHeight="1">
      <c r="A640" s="52" t="s">
        <v>14</v>
      </c>
      <c r="B640" s="52" t="s">
        <v>15</v>
      </c>
      <c r="C640" s="52" t="s">
        <v>16</v>
      </c>
      <c r="D640" s="52" t="s">
        <v>17</v>
      </c>
      <c r="E640" s="52" t="s">
        <v>18</v>
      </c>
      <c r="F640" s="52" t="s">
        <v>19</v>
      </c>
      <c r="G640" s="52" t="s">
        <v>20</v>
      </c>
      <c r="H640" s="3" t="s">
        <v>21</v>
      </c>
      <c r="I640" s="3" t="s">
        <v>22</v>
      </c>
      <c r="J640" s="25">
        <f t="shared" si="39"/>
        <v>21</v>
      </c>
    </row>
    <row r="641" spans="1:10" ht="16.95" customHeight="1">
      <c r="A641" s="75" t="s">
        <v>65</v>
      </c>
      <c r="B641" s="76" t="s">
        <v>69</v>
      </c>
      <c r="C641" s="77"/>
      <c r="D641" s="78"/>
      <c r="E641" s="79"/>
      <c r="F641" s="79"/>
      <c r="G641" s="2"/>
      <c r="H641" s="37"/>
      <c r="I641" s="4"/>
      <c r="J641" s="25">
        <f t="shared" si="39"/>
        <v>21</v>
      </c>
    </row>
    <row r="642" spans="1:10" ht="34.950000000000003" customHeight="1">
      <c r="A642" s="75">
        <v>1</v>
      </c>
      <c r="B642" s="80" t="s">
        <v>91</v>
      </c>
      <c r="C642" s="77" t="s">
        <v>48</v>
      </c>
      <c r="D642" s="78">
        <v>1</v>
      </c>
      <c r="E642" s="79"/>
      <c r="F642" s="79" t="e">
        <f t="shared" ref="F642:F675" si="40">E642+F579</f>
        <v>#REF!</v>
      </c>
      <c r="G642" s="2"/>
      <c r="H642" s="37">
        <v>10508</v>
      </c>
      <c r="I642" s="4">
        <f>H642*E642</f>
        <v>0</v>
      </c>
      <c r="J642" s="25">
        <f t="shared" si="39"/>
        <v>21</v>
      </c>
    </row>
    <row r="643" spans="1:10" ht="34.799999999999997" customHeight="1">
      <c r="A643" s="75">
        <v>2</v>
      </c>
      <c r="B643" s="80" t="s">
        <v>92</v>
      </c>
      <c r="C643" s="77" t="s">
        <v>48</v>
      </c>
      <c r="D643" s="78">
        <v>1</v>
      </c>
      <c r="E643" s="79"/>
      <c r="F643" s="79" t="e">
        <f t="shared" si="40"/>
        <v>#REF!</v>
      </c>
      <c r="G643" s="2"/>
      <c r="H643" s="37">
        <v>13223</v>
      </c>
      <c r="I643" s="4">
        <f>H643*E643</f>
        <v>0</v>
      </c>
      <c r="J643" s="25">
        <f t="shared" si="39"/>
        <v>21</v>
      </c>
    </row>
    <row r="644" spans="1:10" ht="53.4" customHeight="1">
      <c r="A644" s="75">
        <v>3</v>
      </c>
      <c r="B644" s="80" t="s">
        <v>93</v>
      </c>
      <c r="C644" s="77" t="s">
        <v>48</v>
      </c>
      <c r="D644" s="78">
        <v>1</v>
      </c>
      <c r="E644" s="79"/>
      <c r="F644" s="79" t="e">
        <f t="shared" si="40"/>
        <v>#REF!</v>
      </c>
      <c r="G644" s="2"/>
      <c r="H644" s="37">
        <v>310497</v>
      </c>
      <c r="I644" s="4">
        <f t="shared" ref="I644:I675" si="41">H644*E644</f>
        <v>0</v>
      </c>
      <c r="J644" s="25">
        <f t="shared" si="39"/>
        <v>21</v>
      </c>
    </row>
    <row r="645" spans="1:10" ht="16.95" customHeight="1">
      <c r="A645" s="75">
        <v>4</v>
      </c>
      <c r="B645" s="80" t="s">
        <v>94</v>
      </c>
      <c r="C645" s="77" t="s">
        <v>48</v>
      </c>
      <c r="D645" s="78">
        <v>1</v>
      </c>
      <c r="E645" s="79"/>
      <c r="F645" s="79" t="e">
        <f t="shared" si="40"/>
        <v>#REF!</v>
      </c>
      <c r="G645" s="2"/>
      <c r="H645" s="37">
        <v>8375</v>
      </c>
      <c r="I645" s="4">
        <f t="shared" si="41"/>
        <v>0</v>
      </c>
      <c r="J645" s="25">
        <f t="shared" si="39"/>
        <v>21</v>
      </c>
    </row>
    <row r="646" spans="1:10" ht="16.95" customHeight="1">
      <c r="A646" s="75">
        <v>5</v>
      </c>
      <c r="B646" s="80" t="s">
        <v>95</v>
      </c>
      <c r="C646" s="77" t="s">
        <v>48</v>
      </c>
      <c r="D646" s="78">
        <v>1</v>
      </c>
      <c r="E646" s="79"/>
      <c r="F646" s="79" t="e">
        <f t="shared" si="40"/>
        <v>#REF!</v>
      </c>
      <c r="G646" s="2"/>
      <c r="H646" s="37">
        <v>51618</v>
      </c>
      <c r="I646" s="4">
        <f t="shared" si="41"/>
        <v>0</v>
      </c>
      <c r="J646" s="25">
        <f t="shared" si="39"/>
        <v>21</v>
      </c>
    </row>
    <row r="647" spans="1:10" ht="16.95" customHeight="1">
      <c r="A647" s="75">
        <v>6</v>
      </c>
      <c r="B647" s="80" t="s">
        <v>96</v>
      </c>
      <c r="C647" s="77" t="s">
        <v>50</v>
      </c>
      <c r="D647" s="78">
        <v>11.55</v>
      </c>
      <c r="E647" s="79"/>
      <c r="F647" s="79" t="e">
        <f t="shared" si="40"/>
        <v>#REF!</v>
      </c>
      <c r="G647" s="2"/>
      <c r="H647" s="37">
        <v>1188</v>
      </c>
      <c r="I647" s="4">
        <f t="shared" si="41"/>
        <v>0</v>
      </c>
      <c r="J647" s="25">
        <f t="shared" si="39"/>
        <v>21</v>
      </c>
    </row>
    <row r="648" spans="1:10" ht="34.950000000000003" customHeight="1">
      <c r="A648" s="75">
        <v>7</v>
      </c>
      <c r="B648" s="80" t="s">
        <v>97</v>
      </c>
      <c r="C648" s="77" t="s">
        <v>48</v>
      </c>
      <c r="D648" s="78">
        <v>1</v>
      </c>
      <c r="E648" s="79"/>
      <c r="F648" s="79" t="e">
        <f t="shared" si="40"/>
        <v>#REF!</v>
      </c>
      <c r="G648" s="2"/>
      <c r="H648" s="37">
        <v>21157</v>
      </c>
      <c r="I648" s="4">
        <f t="shared" si="41"/>
        <v>0</v>
      </c>
      <c r="J648" s="25">
        <f t="shared" si="39"/>
        <v>21</v>
      </c>
    </row>
    <row r="649" spans="1:10" ht="16.95" customHeight="1">
      <c r="A649" s="75">
        <v>8</v>
      </c>
      <c r="B649" s="80" t="s">
        <v>98</v>
      </c>
      <c r="C649" s="77" t="s">
        <v>50</v>
      </c>
      <c r="D649" s="78">
        <v>387</v>
      </c>
      <c r="E649" s="79"/>
      <c r="F649" s="79" t="e">
        <f t="shared" si="40"/>
        <v>#REF!</v>
      </c>
      <c r="G649" s="2"/>
      <c r="H649" s="37">
        <v>705</v>
      </c>
      <c r="I649" s="4">
        <f t="shared" si="41"/>
        <v>0</v>
      </c>
      <c r="J649" s="25">
        <f t="shared" si="39"/>
        <v>21</v>
      </c>
    </row>
    <row r="650" spans="1:10" ht="16.95" customHeight="1">
      <c r="A650" s="75">
        <v>9</v>
      </c>
      <c r="B650" s="80" t="s">
        <v>99</v>
      </c>
      <c r="C650" s="77" t="s">
        <v>50</v>
      </c>
      <c r="D650" s="78">
        <v>170</v>
      </c>
      <c r="E650" s="79"/>
      <c r="F650" s="79" t="e">
        <f t="shared" si="40"/>
        <v>#REF!</v>
      </c>
      <c r="G650" s="2"/>
      <c r="H650" s="37">
        <v>617</v>
      </c>
      <c r="I650" s="4">
        <f t="shared" si="41"/>
        <v>0</v>
      </c>
      <c r="J650" s="25">
        <f t="shared" si="39"/>
        <v>21</v>
      </c>
    </row>
    <row r="651" spans="1:10" ht="16.95" customHeight="1">
      <c r="A651" s="75">
        <v>10</v>
      </c>
      <c r="B651" s="80" t="s">
        <v>100</v>
      </c>
      <c r="C651" s="77" t="s">
        <v>66</v>
      </c>
      <c r="D651" s="78">
        <v>15</v>
      </c>
      <c r="E651" s="79"/>
      <c r="F651" s="79" t="e">
        <f t="shared" si="40"/>
        <v>#REF!</v>
      </c>
      <c r="G651" s="2"/>
      <c r="H651" s="37">
        <v>617</v>
      </c>
      <c r="I651" s="4">
        <f t="shared" si="41"/>
        <v>0</v>
      </c>
      <c r="J651" s="25">
        <f t="shared" si="39"/>
        <v>21</v>
      </c>
    </row>
    <row r="652" spans="1:10" ht="16.95" customHeight="1">
      <c r="A652" s="75">
        <v>11</v>
      </c>
      <c r="B652" s="80" t="s">
        <v>101</v>
      </c>
      <c r="C652" s="77" t="s">
        <v>50</v>
      </c>
      <c r="D652" s="78">
        <v>75</v>
      </c>
      <c r="E652" s="79"/>
      <c r="F652" s="79" t="e">
        <f t="shared" si="40"/>
        <v>#REF!</v>
      </c>
      <c r="G652" s="2"/>
      <c r="H652" s="37">
        <v>1146</v>
      </c>
      <c r="I652" s="4">
        <f t="shared" si="41"/>
        <v>0</v>
      </c>
      <c r="J652" s="25">
        <f t="shared" si="39"/>
        <v>21</v>
      </c>
    </row>
    <row r="653" spans="1:10" ht="16.95" customHeight="1">
      <c r="A653" s="75">
        <v>12</v>
      </c>
      <c r="B653" s="80" t="s">
        <v>102</v>
      </c>
      <c r="C653" s="77" t="s">
        <v>50</v>
      </c>
      <c r="D653" s="78">
        <v>5</v>
      </c>
      <c r="E653" s="79"/>
      <c r="F653" s="79" t="e">
        <f t="shared" si="40"/>
        <v>#REF!</v>
      </c>
      <c r="G653" s="2"/>
      <c r="H653" s="37">
        <v>1455</v>
      </c>
      <c r="I653" s="4">
        <f t="shared" si="41"/>
        <v>0</v>
      </c>
      <c r="J653" s="25">
        <f t="shared" si="39"/>
        <v>21</v>
      </c>
    </row>
    <row r="654" spans="1:10" ht="16.95" customHeight="1">
      <c r="A654" s="75">
        <v>13</v>
      </c>
      <c r="B654" s="80" t="s">
        <v>103</v>
      </c>
      <c r="C654" s="77" t="s">
        <v>50</v>
      </c>
      <c r="D654" s="78">
        <v>217</v>
      </c>
      <c r="E654" s="79"/>
      <c r="F654" s="79" t="e">
        <f t="shared" si="40"/>
        <v>#REF!</v>
      </c>
      <c r="G654" s="2"/>
      <c r="H654" s="37">
        <v>1410</v>
      </c>
      <c r="I654" s="4">
        <f t="shared" si="41"/>
        <v>0</v>
      </c>
      <c r="J654" s="25">
        <f t="shared" si="39"/>
        <v>21</v>
      </c>
    </row>
    <row r="655" spans="1:10" ht="16.95" customHeight="1">
      <c r="A655" s="75">
        <v>14</v>
      </c>
      <c r="B655" s="80" t="s">
        <v>104</v>
      </c>
      <c r="C655" s="77" t="s">
        <v>49</v>
      </c>
      <c r="D655" s="78">
        <v>84</v>
      </c>
      <c r="E655" s="79"/>
      <c r="F655" s="79" t="e">
        <f t="shared" si="40"/>
        <v>#REF!</v>
      </c>
      <c r="G655" s="2"/>
      <c r="H655" s="37">
        <v>529</v>
      </c>
      <c r="I655" s="4">
        <f t="shared" si="41"/>
        <v>0</v>
      </c>
      <c r="J655" s="25">
        <f t="shared" si="39"/>
        <v>21</v>
      </c>
    </row>
    <row r="656" spans="1:10" ht="16.95" customHeight="1">
      <c r="A656" s="75">
        <v>15</v>
      </c>
      <c r="B656" s="80" t="s">
        <v>105</v>
      </c>
      <c r="C656" s="77" t="s">
        <v>50</v>
      </c>
      <c r="D656" s="78">
        <v>1</v>
      </c>
      <c r="E656" s="79"/>
      <c r="F656" s="79" t="e">
        <f t="shared" si="40"/>
        <v>#REF!</v>
      </c>
      <c r="G656" s="2"/>
      <c r="H656" s="37">
        <v>1146</v>
      </c>
      <c r="I656" s="4">
        <f t="shared" si="41"/>
        <v>0</v>
      </c>
      <c r="J656" s="25">
        <f t="shared" si="39"/>
        <v>21</v>
      </c>
    </row>
    <row r="657" spans="1:10" ht="34.799999999999997" customHeight="1">
      <c r="A657" s="75">
        <v>16</v>
      </c>
      <c r="B657" s="80" t="s">
        <v>106</v>
      </c>
      <c r="C657" s="77" t="s">
        <v>50</v>
      </c>
      <c r="D657" s="78">
        <v>314</v>
      </c>
      <c r="E657" s="79"/>
      <c r="F657" s="79" t="e">
        <f t="shared" si="40"/>
        <v>#REF!</v>
      </c>
      <c r="G657" s="2"/>
      <c r="H657" s="37">
        <v>185</v>
      </c>
      <c r="I657" s="4">
        <f t="shared" si="41"/>
        <v>0</v>
      </c>
      <c r="J657" s="25">
        <f t="shared" si="39"/>
        <v>21</v>
      </c>
    </row>
    <row r="658" spans="1:10" ht="16.95" customHeight="1">
      <c r="A658" s="75">
        <v>17</v>
      </c>
      <c r="B658" s="80" t="s">
        <v>107</v>
      </c>
      <c r="C658" s="77" t="s">
        <v>48</v>
      </c>
      <c r="D658" s="78">
        <v>1</v>
      </c>
      <c r="E658" s="79"/>
      <c r="F658" s="79" t="e">
        <f t="shared" si="40"/>
        <v>#REF!</v>
      </c>
      <c r="G658" s="2"/>
      <c r="H658" s="37">
        <v>89918</v>
      </c>
      <c r="I658" s="4">
        <f t="shared" si="41"/>
        <v>0</v>
      </c>
      <c r="J658" s="25">
        <f t="shared" si="39"/>
        <v>21</v>
      </c>
    </row>
    <row r="659" spans="1:10" ht="16.95" customHeight="1">
      <c r="A659" s="75">
        <v>18</v>
      </c>
      <c r="B659" s="80" t="s">
        <v>108</v>
      </c>
      <c r="C659" s="77" t="s">
        <v>120</v>
      </c>
      <c r="D659" s="78">
        <v>15</v>
      </c>
      <c r="E659" s="79"/>
      <c r="F659" s="79" t="e">
        <f t="shared" si="40"/>
        <v>#REF!</v>
      </c>
      <c r="G659" s="2"/>
      <c r="H659" s="37">
        <v>661</v>
      </c>
      <c r="I659" s="4">
        <f t="shared" si="41"/>
        <v>0</v>
      </c>
      <c r="J659" s="25">
        <f t="shared" si="39"/>
        <v>21</v>
      </c>
    </row>
    <row r="660" spans="1:10" ht="16.95" customHeight="1">
      <c r="A660" s="75">
        <v>19</v>
      </c>
      <c r="B660" s="80" t="s">
        <v>109</v>
      </c>
      <c r="C660" s="77" t="s">
        <v>50</v>
      </c>
      <c r="D660" s="78">
        <v>82</v>
      </c>
      <c r="E660" s="79"/>
      <c r="F660" s="79" t="e">
        <f t="shared" si="40"/>
        <v>#REF!</v>
      </c>
      <c r="G660" s="2"/>
      <c r="H660" s="37">
        <v>2909</v>
      </c>
      <c r="I660" s="4">
        <f t="shared" si="41"/>
        <v>0</v>
      </c>
      <c r="J660" s="25">
        <f t="shared" si="39"/>
        <v>21</v>
      </c>
    </row>
    <row r="661" spans="1:10" ht="16.95" customHeight="1">
      <c r="A661" s="75">
        <v>20</v>
      </c>
      <c r="B661" s="80" t="s">
        <v>110</v>
      </c>
      <c r="C661" s="77" t="s">
        <v>121</v>
      </c>
      <c r="D661" s="78">
        <v>12</v>
      </c>
      <c r="E661" s="79"/>
      <c r="F661" s="79" t="e">
        <f t="shared" si="40"/>
        <v>#REF!</v>
      </c>
      <c r="G661" s="2"/>
      <c r="H661" s="37">
        <v>882</v>
      </c>
      <c r="I661" s="4">
        <f t="shared" si="41"/>
        <v>0</v>
      </c>
      <c r="J661" s="25">
        <f t="shared" si="39"/>
        <v>21</v>
      </c>
    </row>
    <row r="662" spans="1:10" ht="16.95" customHeight="1">
      <c r="A662" s="77">
        <v>21</v>
      </c>
      <c r="B662" s="80" t="s">
        <v>111</v>
      </c>
      <c r="C662" s="77" t="s">
        <v>122</v>
      </c>
      <c r="D662" s="78">
        <v>3</v>
      </c>
      <c r="E662" s="79"/>
      <c r="F662" s="79" t="e">
        <f t="shared" si="40"/>
        <v>#REF!</v>
      </c>
      <c r="G662" s="2"/>
      <c r="H662" s="38">
        <v>1869</v>
      </c>
      <c r="I662" s="4">
        <f t="shared" si="41"/>
        <v>0</v>
      </c>
      <c r="J662" s="25">
        <f t="shared" si="39"/>
        <v>21</v>
      </c>
    </row>
    <row r="663" spans="1:10" ht="34.950000000000003" customHeight="1">
      <c r="A663" s="75">
        <v>22</v>
      </c>
      <c r="B663" s="80" t="s">
        <v>112</v>
      </c>
      <c r="C663" s="77" t="s">
        <v>48</v>
      </c>
      <c r="D663" s="78">
        <v>1</v>
      </c>
      <c r="E663" s="79"/>
      <c r="F663" s="79" t="e">
        <f t="shared" si="40"/>
        <v>#REF!</v>
      </c>
      <c r="G663" s="2"/>
      <c r="H663" s="37">
        <v>82206</v>
      </c>
      <c r="I663" s="4">
        <f t="shared" si="41"/>
        <v>0</v>
      </c>
      <c r="J663" s="25">
        <f t="shared" si="39"/>
        <v>21</v>
      </c>
    </row>
    <row r="664" spans="1:10" ht="16.95" customHeight="1">
      <c r="A664" s="75">
        <v>23</v>
      </c>
      <c r="B664" s="80" t="s">
        <v>113</v>
      </c>
      <c r="C664" s="77" t="s">
        <v>48</v>
      </c>
      <c r="D664" s="78">
        <v>1</v>
      </c>
      <c r="E664" s="79"/>
      <c r="F664" s="79" t="e">
        <f t="shared" si="40"/>
        <v>#REF!</v>
      </c>
      <c r="G664" s="2"/>
      <c r="H664" s="37">
        <v>142723</v>
      </c>
      <c r="I664" s="4">
        <f t="shared" si="41"/>
        <v>0</v>
      </c>
      <c r="J664" s="25">
        <f t="shared" si="39"/>
        <v>21</v>
      </c>
    </row>
    <row r="665" spans="1:10" ht="16.95" customHeight="1">
      <c r="A665" s="75">
        <v>24</v>
      </c>
      <c r="B665" s="80" t="s">
        <v>114</v>
      </c>
      <c r="C665" s="77" t="s">
        <v>48</v>
      </c>
      <c r="D665" s="78">
        <v>1</v>
      </c>
      <c r="E665" s="79"/>
      <c r="F665" s="79" t="e">
        <f t="shared" si="40"/>
        <v>#REF!</v>
      </c>
      <c r="G665" s="2"/>
      <c r="H665" s="37">
        <v>37290</v>
      </c>
      <c r="I665" s="4">
        <f t="shared" si="41"/>
        <v>0</v>
      </c>
      <c r="J665" s="25">
        <f t="shared" si="39"/>
        <v>21</v>
      </c>
    </row>
    <row r="666" spans="1:10" ht="16.95" customHeight="1">
      <c r="A666" s="75">
        <v>25</v>
      </c>
      <c r="B666" s="80" t="s">
        <v>115</v>
      </c>
      <c r="C666" s="77" t="s">
        <v>48</v>
      </c>
      <c r="D666" s="78">
        <v>1</v>
      </c>
      <c r="E666" s="79"/>
      <c r="F666" s="79" t="e">
        <f t="shared" si="40"/>
        <v>#REF!</v>
      </c>
      <c r="G666" s="2"/>
      <c r="H666" s="37">
        <v>99394</v>
      </c>
      <c r="I666" s="4">
        <f t="shared" si="41"/>
        <v>0</v>
      </c>
      <c r="J666" s="25">
        <f t="shared" si="39"/>
        <v>21</v>
      </c>
    </row>
    <row r="667" spans="1:10" ht="34.950000000000003" customHeight="1">
      <c r="A667" s="75">
        <v>26</v>
      </c>
      <c r="B667" s="80" t="s">
        <v>116</v>
      </c>
      <c r="C667" s="77" t="s">
        <v>48</v>
      </c>
      <c r="D667" s="78">
        <v>1</v>
      </c>
      <c r="E667" s="79"/>
      <c r="F667" s="79" t="e">
        <f t="shared" si="40"/>
        <v>#REF!</v>
      </c>
      <c r="G667" s="2"/>
      <c r="H667" s="37">
        <v>21334</v>
      </c>
      <c r="I667" s="4">
        <f t="shared" si="41"/>
        <v>0</v>
      </c>
      <c r="J667" s="25">
        <f t="shared" si="39"/>
        <v>21</v>
      </c>
    </row>
    <row r="668" spans="1:10" ht="16.95" customHeight="1">
      <c r="A668" s="75">
        <v>27</v>
      </c>
      <c r="B668" s="80" t="s">
        <v>117</v>
      </c>
      <c r="C668" s="77" t="s">
        <v>48</v>
      </c>
      <c r="D668" s="78">
        <v>1</v>
      </c>
      <c r="E668" s="79"/>
      <c r="F668" s="79" t="e">
        <f t="shared" si="40"/>
        <v>#REF!</v>
      </c>
      <c r="G668" s="2"/>
      <c r="H668" s="37">
        <v>29620</v>
      </c>
      <c r="I668" s="4">
        <f t="shared" si="41"/>
        <v>0</v>
      </c>
      <c r="J668" s="25">
        <f t="shared" si="39"/>
        <v>21</v>
      </c>
    </row>
    <row r="669" spans="1:10" ht="16.95" customHeight="1">
      <c r="A669" s="75">
        <v>28</v>
      </c>
      <c r="B669" s="80" t="s">
        <v>118</v>
      </c>
      <c r="C669" s="77" t="s">
        <v>48</v>
      </c>
      <c r="D669" s="78">
        <v>1</v>
      </c>
      <c r="E669" s="79"/>
      <c r="F669" s="79" t="e">
        <f t="shared" si="40"/>
        <v>#REF!</v>
      </c>
      <c r="G669" s="2"/>
      <c r="H669" s="37">
        <v>18506</v>
      </c>
      <c r="I669" s="4">
        <f t="shared" si="41"/>
        <v>0</v>
      </c>
      <c r="J669" s="25">
        <f t="shared" si="39"/>
        <v>21</v>
      </c>
    </row>
    <row r="670" spans="1:10" ht="16.95" customHeight="1">
      <c r="A670" s="75">
        <v>29</v>
      </c>
      <c r="B670" s="80" t="s">
        <v>119</v>
      </c>
      <c r="C670" s="77" t="s">
        <v>48</v>
      </c>
      <c r="D670" s="78">
        <v>1</v>
      </c>
      <c r="E670" s="79"/>
      <c r="F670" s="79" t="e">
        <f t="shared" si="40"/>
        <v>#REF!</v>
      </c>
      <c r="G670" s="2"/>
      <c r="H670" s="37">
        <v>34381</v>
      </c>
      <c r="I670" s="4">
        <f t="shared" si="41"/>
        <v>0</v>
      </c>
      <c r="J670" s="25">
        <f t="shared" si="39"/>
        <v>21</v>
      </c>
    </row>
    <row r="671" spans="1:10" ht="16.95" customHeight="1">
      <c r="A671" s="75" t="s">
        <v>79</v>
      </c>
      <c r="B671" s="80" t="s">
        <v>80</v>
      </c>
      <c r="C671" s="77" t="s">
        <v>48</v>
      </c>
      <c r="D671" s="78">
        <v>1</v>
      </c>
      <c r="E671" s="79">
        <f t="shared" ref="E671:E674" si="42">1/120</f>
        <v>8.3333333333333332E-3</v>
      </c>
      <c r="F671" s="79" t="e">
        <f t="shared" si="40"/>
        <v>#REF!</v>
      </c>
      <c r="G671" s="2"/>
      <c r="H671" s="37">
        <v>21395</v>
      </c>
      <c r="I671" s="4">
        <f t="shared" si="41"/>
        <v>178.29166666666666</v>
      </c>
      <c r="J671" s="25">
        <f t="shared" si="39"/>
        <v>21</v>
      </c>
    </row>
    <row r="672" spans="1:10" ht="16.95" customHeight="1">
      <c r="A672" s="75" t="s">
        <v>81</v>
      </c>
      <c r="B672" s="80" t="s">
        <v>82</v>
      </c>
      <c r="C672" s="77" t="s">
        <v>48</v>
      </c>
      <c r="D672" s="78">
        <v>1</v>
      </c>
      <c r="E672" s="79">
        <f t="shared" si="42"/>
        <v>8.3333333333333332E-3</v>
      </c>
      <c r="F672" s="79" t="e">
        <f t="shared" si="40"/>
        <v>#REF!</v>
      </c>
      <c r="G672" s="2"/>
      <c r="H672" s="37">
        <v>21395</v>
      </c>
      <c r="I672" s="4">
        <f t="shared" si="41"/>
        <v>178.29166666666666</v>
      </c>
      <c r="J672" s="25">
        <f t="shared" si="39"/>
        <v>21</v>
      </c>
    </row>
    <row r="673" spans="1:10" ht="16.95" customHeight="1">
      <c r="A673" s="75" t="s">
        <v>83</v>
      </c>
      <c r="B673" s="80" t="s">
        <v>84</v>
      </c>
      <c r="C673" s="77" t="s">
        <v>48</v>
      </c>
      <c r="D673" s="78">
        <v>1</v>
      </c>
      <c r="E673" s="79">
        <f t="shared" si="42"/>
        <v>8.3333333333333332E-3</v>
      </c>
      <c r="F673" s="79" t="e">
        <f t="shared" si="40"/>
        <v>#REF!</v>
      </c>
      <c r="G673" s="2"/>
      <c r="H673" s="37">
        <v>149765</v>
      </c>
      <c r="I673" s="4">
        <f t="shared" si="41"/>
        <v>1248.0416666666667</v>
      </c>
      <c r="J673" s="25">
        <f t="shared" si="39"/>
        <v>21</v>
      </c>
    </row>
    <row r="674" spans="1:10" ht="16.95" customHeight="1">
      <c r="A674" s="75" t="s">
        <v>85</v>
      </c>
      <c r="B674" s="80" t="s">
        <v>86</v>
      </c>
      <c r="C674" s="77" t="s">
        <v>48</v>
      </c>
      <c r="D674" s="78">
        <v>1</v>
      </c>
      <c r="E674" s="79">
        <f t="shared" si="42"/>
        <v>8.3333333333333332E-3</v>
      </c>
      <c r="F674" s="79" t="e">
        <f t="shared" si="40"/>
        <v>#REF!</v>
      </c>
      <c r="G674" s="2"/>
      <c r="H674" s="37">
        <v>6996</v>
      </c>
      <c r="I674" s="4">
        <f t="shared" si="41"/>
        <v>58.3</v>
      </c>
      <c r="J674" s="25">
        <f t="shared" si="39"/>
        <v>21</v>
      </c>
    </row>
    <row r="675" spans="1:10" ht="16.95" customHeight="1">
      <c r="A675" s="75" t="s">
        <v>87</v>
      </c>
      <c r="B675" s="80" t="s">
        <v>88</v>
      </c>
      <c r="C675" s="77" t="s">
        <v>48</v>
      </c>
      <c r="D675" s="78">
        <v>1</v>
      </c>
      <c r="E675" s="79">
        <f>1/120</f>
        <v>8.3333333333333332E-3</v>
      </c>
      <c r="F675" s="79" t="e">
        <f t="shared" si="40"/>
        <v>#REF!</v>
      </c>
      <c r="G675" s="2"/>
      <c r="H675" s="37">
        <v>116952</v>
      </c>
      <c r="I675" s="4">
        <f t="shared" si="41"/>
        <v>974.6</v>
      </c>
      <c r="J675" s="25">
        <f t="shared" si="39"/>
        <v>21</v>
      </c>
    </row>
    <row r="676" spans="1:10" ht="16.95" customHeight="1">
      <c r="A676" s="95" t="s">
        <v>23</v>
      </c>
      <c r="B676" s="95"/>
      <c r="C676" s="50"/>
      <c r="D676" s="50"/>
      <c r="E676" s="50"/>
      <c r="F676" s="50"/>
      <c r="G676" s="50"/>
      <c r="H676" s="3" t="s">
        <v>24</v>
      </c>
      <c r="I676" s="5">
        <f>SUM(I641:I675)</f>
        <v>2637.5250000000001</v>
      </c>
      <c r="J676" s="25">
        <f t="shared" si="39"/>
        <v>21</v>
      </c>
    </row>
    <row r="677" spans="1:10" ht="16.95" customHeight="1">
      <c r="A677" s="96" t="s">
        <v>25</v>
      </c>
      <c r="B677" s="96"/>
      <c r="C677" s="50"/>
      <c r="D677" s="50"/>
      <c r="E677" s="50"/>
      <c r="F677" s="50"/>
      <c r="G677" s="50"/>
      <c r="J677" s="25">
        <f t="shared" si="39"/>
        <v>21</v>
      </c>
    </row>
    <row r="678" spans="1:10" ht="16.95" customHeight="1">
      <c r="A678" s="96" t="s">
        <v>26</v>
      </c>
      <c r="B678" s="96"/>
      <c r="C678" s="50"/>
      <c r="D678" s="50"/>
      <c r="E678" s="50"/>
      <c r="F678" s="50"/>
      <c r="G678" s="50"/>
      <c r="J678" s="25">
        <f t="shared" si="39"/>
        <v>21</v>
      </c>
    </row>
    <row r="679" spans="1:10" ht="16.95" customHeight="1">
      <c r="A679" s="95" t="s">
        <v>27</v>
      </c>
      <c r="B679" s="95"/>
      <c r="C679" s="95"/>
      <c r="D679" s="95"/>
      <c r="E679" s="95"/>
      <c r="F679" s="95"/>
      <c r="G679" s="95"/>
      <c r="J679" s="25">
        <f t="shared" si="39"/>
        <v>21</v>
      </c>
    </row>
    <row r="680" spans="1:10" ht="16.95" customHeight="1">
      <c r="A680" s="94" t="s">
        <v>28</v>
      </c>
      <c r="B680" s="94"/>
      <c r="C680" s="51" t="s">
        <v>29</v>
      </c>
      <c r="D680" s="51" t="s">
        <v>30</v>
      </c>
      <c r="E680" s="51" t="s">
        <v>18</v>
      </c>
      <c r="F680" s="51" t="s">
        <v>31</v>
      </c>
      <c r="G680" s="51" t="s">
        <v>20</v>
      </c>
      <c r="J680" s="25">
        <f t="shared" si="39"/>
        <v>21</v>
      </c>
    </row>
    <row r="681" spans="1:10" ht="16.95" customHeight="1">
      <c r="A681" s="96"/>
      <c r="B681" s="96"/>
      <c r="C681" s="50"/>
      <c r="D681" s="50"/>
      <c r="E681" s="50"/>
      <c r="F681" s="50"/>
      <c r="G681" s="51"/>
      <c r="J681" s="25">
        <f t="shared" si="39"/>
        <v>21</v>
      </c>
    </row>
    <row r="682" spans="1:10" ht="16.95" customHeight="1">
      <c r="A682" s="97"/>
      <c r="B682" s="97"/>
      <c r="C682" s="50"/>
      <c r="D682" s="50"/>
      <c r="E682" s="50"/>
      <c r="F682" s="51"/>
      <c r="G682" s="51"/>
      <c r="J682" s="25">
        <f t="shared" si="39"/>
        <v>21</v>
      </c>
    </row>
    <row r="683" spans="1:10" ht="16.95" customHeight="1">
      <c r="A683" s="95" t="s">
        <v>32</v>
      </c>
      <c r="B683" s="95"/>
      <c r="C683" s="95"/>
      <c r="D683" s="95"/>
      <c r="E683" s="95"/>
      <c r="F683" s="95"/>
      <c r="G683" s="95"/>
      <c r="J683" s="25">
        <f t="shared" si="39"/>
        <v>22</v>
      </c>
    </row>
    <row r="684" spans="1:10" ht="16.95" customHeight="1">
      <c r="A684" s="51" t="s">
        <v>33</v>
      </c>
      <c r="B684" s="51" t="s">
        <v>34</v>
      </c>
      <c r="C684" s="94" t="s">
        <v>35</v>
      </c>
      <c r="D684" s="94"/>
      <c r="E684" s="51" t="s">
        <v>36</v>
      </c>
      <c r="F684" s="51" t="s">
        <v>37</v>
      </c>
      <c r="G684" s="51" t="s">
        <v>38</v>
      </c>
      <c r="J684" s="25">
        <f t="shared" si="39"/>
        <v>22</v>
      </c>
    </row>
    <row r="685" spans="1:10" ht="16.95" customHeight="1">
      <c r="A685" s="51" t="s">
        <v>39</v>
      </c>
      <c r="B685" s="6"/>
      <c r="C685" s="94" t="e">
        <f>B685+C622</f>
        <v>#REF!</v>
      </c>
      <c r="D685" s="94"/>
      <c r="E685" s="51"/>
      <c r="F685" s="24"/>
      <c r="G685" s="24"/>
      <c r="J685" s="25">
        <f t="shared" si="39"/>
        <v>22</v>
      </c>
    </row>
    <row r="686" spans="1:10" ht="16.95" customHeight="1">
      <c r="A686" s="51" t="s">
        <v>40</v>
      </c>
      <c r="B686" s="6"/>
      <c r="C686" s="94" t="e">
        <f>B686+C623</f>
        <v>#REF!</v>
      </c>
      <c r="D686" s="94"/>
      <c r="E686" s="51"/>
      <c r="F686" s="24"/>
      <c r="G686" s="24"/>
      <c r="J686" s="25">
        <f t="shared" si="39"/>
        <v>22</v>
      </c>
    </row>
    <row r="687" spans="1:10" ht="36.6" customHeight="1">
      <c r="A687" s="95" t="s">
        <v>41</v>
      </c>
      <c r="B687" s="95"/>
      <c r="C687" s="95"/>
      <c r="D687" s="95"/>
      <c r="E687" s="95"/>
      <c r="F687" s="95"/>
      <c r="G687" s="95"/>
      <c r="J687" s="25">
        <f t="shared" si="39"/>
        <v>22</v>
      </c>
    </row>
    <row r="688" spans="1:10" ht="90" customHeight="1">
      <c r="A688" s="92" t="s">
        <v>42</v>
      </c>
      <c r="B688" s="92"/>
      <c r="C688" s="92"/>
      <c r="D688" s="92"/>
      <c r="E688" s="92"/>
      <c r="F688" s="92"/>
      <c r="G688" s="92"/>
      <c r="J688" s="25">
        <f t="shared" si="39"/>
        <v>22</v>
      </c>
    </row>
    <row r="689" spans="1:10" ht="16.95" customHeight="1">
      <c r="A689" s="95" t="s">
        <v>43</v>
      </c>
      <c r="B689" s="95"/>
      <c r="C689" s="95"/>
      <c r="D689" s="95"/>
      <c r="E689" s="95"/>
      <c r="F689" s="95"/>
      <c r="G689" s="95"/>
      <c r="J689" s="25">
        <f t="shared" si="39"/>
        <v>22</v>
      </c>
    </row>
    <row r="690" spans="1:10" ht="16.95" customHeight="1">
      <c r="A690" s="95" t="s">
        <v>44</v>
      </c>
      <c r="B690" s="95"/>
      <c r="C690" s="95"/>
      <c r="D690" s="95"/>
      <c r="E690" s="95"/>
      <c r="F690" s="95"/>
      <c r="G690" s="95"/>
      <c r="J690" s="25">
        <f t="shared" si="39"/>
        <v>22</v>
      </c>
    </row>
    <row r="691" spans="1:10" ht="16.95" customHeight="1">
      <c r="A691" s="91" t="s">
        <v>64</v>
      </c>
      <c r="B691" s="91"/>
      <c r="C691" s="91"/>
      <c r="D691" s="91"/>
      <c r="E691" s="91"/>
      <c r="F691" s="91"/>
      <c r="G691" s="91"/>
      <c r="J691" s="25">
        <f t="shared" si="39"/>
        <v>22</v>
      </c>
    </row>
    <row r="692" spans="1:10" ht="120.6" customHeight="1">
      <c r="A692" s="92" t="s">
        <v>45</v>
      </c>
      <c r="B692" s="92"/>
      <c r="C692" s="92"/>
      <c r="D692" s="92"/>
      <c r="E692" s="92"/>
      <c r="F692" s="92"/>
      <c r="G692" s="92"/>
      <c r="J692" s="25">
        <f t="shared" si="39"/>
        <v>22</v>
      </c>
    </row>
    <row r="693" spans="1:10" ht="140.4" customHeight="1">
      <c r="A693" s="93" t="s">
        <v>46</v>
      </c>
      <c r="B693" s="93"/>
      <c r="C693" s="93"/>
      <c r="D693" s="93"/>
      <c r="E693" s="93"/>
      <c r="F693" s="93"/>
      <c r="G693" s="93"/>
      <c r="J693" s="25">
        <f t="shared" si="39"/>
        <v>22</v>
      </c>
    </row>
    <row r="694" spans="1:10" ht="37.200000000000003" customHeight="1">
      <c r="A694" s="103" t="s">
        <v>0</v>
      </c>
      <c r="B694" s="103"/>
      <c r="C694" s="103"/>
      <c r="D694" s="103"/>
      <c r="E694" s="103"/>
      <c r="F694" s="103"/>
      <c r="G694" s="103"/>
      <c r="J694" s="25">
        <f t="shared" si="39"/>
        <v>23</v>
      </c>
    </row>
    <row r="695" spans="1:10" ht="16.95" customHeight="1">
      <c r="A695" s="1" t="s">
        <v>1</v>
      </c>
      <c r="B695" s="104">
        <f>B632+1</f>
        <v>13</v>
      </c>
      <c r="C695" s="104"/>
      <c r="D695" s="104"/>
      <c r="E695" s="104"/>
      <c r="F695" s="104"/>
      <c r="G695" s="104"/>
      <c r="J695" s="25">
        <f t="shared" si="39"/>
        <v>23</v>
      </c>
    </row>
    <row r="696" spans="1:10" ht="16.95" customHeight="1">
      <c r="A696" s="1" t="s">
        <v>2</v>
      </c>
      <c r="B696" s="105" t="s">
        <v>63</v>
      </c>
      <c r="C696" s="105"/>
      <c r="D696" s="105"/>
      <c r="E696" s="106">
        <f>E633+1</f>
        <v>46215</v>
      </c>
      <c r="F696" s="106"/>
      <c r="G696" s="106"/>
      <c r="J696" s="25">
        <f t="shared" si="39"/>
        <v>23</v>
      </c>
    </row>
    <row r="697" spans="1:10" ht="16.95" customHeight="1">
      <c r="A697" s="53" t="s">
        <v>3</v>
      </c>
      <c r="B697" s="2" t="s">
        <v>67</v>
      </c>
      <c r="C697" s="98" t="s">
        <v>4</v>
      </c>
      <c r="D697" s="98"/>
      <c r="E697" s="98" t="s">
        <v>47</v>
      </c>
      <c r="F697" s="98"/>
      <c r="G697" s="98"/>
      <c r="J697" s="25">
        <f t="shared" si="39"/>
        <v>23</v>
      </c>
    </row>
    <row r="698" spans="1:10" ht="16.95" customHeight="1">
      <c r="A698" s="53" t="s">
        <v>5</v>
      </c>
      <c r="B698" s="54">
        <v>120</v>
      </c>
      <c r="C698" s="98" t="s">
        <v>6</v>
      </c>
      <c r="D698" s="98"/>
      <c r="E698" s="98" t="s">
        <v>123</v>
      </c>
      <c r="F698" s="98"/>
      <c r="G698" s="98"/>
      <c r="J698" s="25">
        <f t="shared" si="39"/>
        <v>23</v>
      </c>
    </row>
    <row r="699" spans="1:10" ht="16.95" customHeight="1">
      <c r="A699" s="53" t="s">
        <v>7</v>
      </c>
      <c r="B699" s="54">
        <f>B695</f>
        <v>13</v>
      </c>
      <c r="C699" s="100" t="s">
        <v>8</v>
      </c>
      <c r="D699" s="100"/>
      <c r="E699" s="101">
        <f>B698-B699</f>
        <v>107</v>
      </c>
      <c r="F699" s="101"/>
      <c r="G699" s="101"/>
      <c r="J699" s="25">
        <f t="shared" ref="J699:J762" si="43">J636+2</f>
        <v>23</v>
      </c>
    </row>
    <row r="700" spans="1:10" ht="16.95" customHeight="1">
      <c r="A700" s="53" t="s">
        <v>9</v>
      </c>
      <c r="B700" s="55">
        <v>46204</v>
      </c>
      <c r="C700" s="98" t="s">
        <v>10</v>
      </c>
      <c r="D700" s="98"/>
      <c r="E700" s="102">
        <f>B700+B698-1</f>
        <v>46323</v>
      </c>
      <c r="F700" s="102"/>
      <c r="G700" s="102"/>
      <c r="J700" s="25">
        <f t="shared" si="43"/>
        <v>23</v>
      </c>
    </row>
    <row r="701" spans="1:10" ht="16.95" customHeight="1">
      <c r="A701" s="53" t="s">
        <v>11</v>
      </c>
      <c r="B701" s="56" t="e">
        <f>HLOOKUP(B695,進度表!$Q$2:$Z$3,2,1)+B638</f>
        <v>#REF!</v>
      </c>
      <c r="C701" s="98" t="s">
        <v>12</v>
      </c>
      <c r="D701" s="98"/>
      <c r="E701" s="99" t="e">
        <f>I739/I701+E638</f>
        <v>#REF!</v>
      </c>
      <c r="F701" s="99"/>
      <c r="G701" s="99"/>
      <c r="H701" s="3" t="s">
        <v>62</v>
      </c>
      <c r="I701" s="1">
        <v>2456000</v>
      </c>
      <c r="J701" s="25">
        <f t="shared" si="43"/>
        <v>23</v>
      </c>
    </row>
    <row r="702" spans="1:10" ht="16.95" customHeight="1">
      <c r="A702" s="98" t="s">
        <v>13</v>
      </c>
      <c r="B702" s="98"/>
      <c r="C702" s="98"/>
      <c r="D702" s="98"/>
      <c r="E702" s="98"/>
      <c r="F702" s="98"/>
      <c r="G702" s="98"/>
      <c r="J702" s="25">
        <f t="shared" si="43"/>
        <v>23</v>
      </c>
    </row>
    <row r="703" spans="1:10" ht="16.95" customHeight="1">
      <c r="A703" s="52" t="s">
        <v>14</v>
      </c>
      <c r="B703" s="52" t="s">
        <v>15</v>
      </c>
      <c r="C703" s="52" t="s">
        <v>16</v>
      </c>
      <c r="D703" s="52" t="s">
        <v>17</v>
      </c>
      <c r="E703" s="52" t="s">
        <v>18</v>
      </c>
      <c r="F703" s="52" t="s">
        <v>19</v>
      </c>
      <c r="G703" s="52" t="s">
        <v>20</v>
      </c>
      <c r="H703" s="3" t="s">
        <v>21</v>
      </c>
      <c r="I703" s="3" t="s">
        <v>22</v>
      </c>
      <c r="J703" s="25">
        <f t="shared" si="43"/>
        <v>23</v>
      </c>
    </row>
    <row r="704" spans="1:10" ht="16.95" customHeight="1">
      <c r="A704" s="75" t="s">
        <v>65</v>
      </c>
      <c r="B704" s="76" t="s">
        <v>69</v>
      </c>
      <c r="C704" s="77"/>
      <c r="D704" s="78"/>
      <c r="E704" s="79"/>
      <c r="F704" s="79"/>
      <c r="G704" s="2"/>
      <c r="H704" s="37"/>
      <c r="I704" s="4"/>
      <c r="J704" s="25">
        <f t="shared" si="43"/>
        <v>23</v>
      </c>
    </row>
    <row r="705" spans="1:10" ht="34.950000000000003" customHeight="1">
      <c r="A705" s="75">
        <v>1</v>
      </c>
      <c r="B705" s="80" t="s">
        <v>91</v>
      </c>
      <c r="C705" s="77" t="s">
        <v>48</v>
      </c>
      <c r="D705" s="78">
        <v>1</v>
      </c>
      <c r="E705" s="79"/>
      <c r="F705" s="79" t="e">
        <f t="shared" ref="F705:F738" si="44">E705+F642</f>
        <v>#REF!</v>
      </c>
      <c r="G705" s="2"/>
      <c r="H705" s="37">
        <v>10508</v>
      </c>
      <c r="I705" s="4">
        <f>H705*E705</f>
        <v>0</v>
      </c>
      <c r="J705" s="25">
        <f t="shared" si="43"/>
        <v>23</v>
      </c>
    </row>
    <row r="706" spans="1:10" ht="34.799999999999997" customHeight="1">
      <c r="A706" s="75">
        <v>2</v>
      </c>
      <c r="B706" s="80" t="s">
        <v>92</v>
      </c>
      <c r="C706" s="77" t="s">
        <v>48</v>
      </c>
      <c r="D706" s="78">
        <v>1</v>
      </c>
      <c r="E706" s="79"/>
      <c r="F706" s="79" t="e">
        <f t="shared" si="44"/>
        <v>#REF!</v>
      </c>
      <c r="G706" s="2"/>
      <c r="H706" s="37">
        <v>13223</v>
      </c>
      <c r="I706" s="4">
        <f>H706*E706</f>
        <v>0</v>
      </c>
      <c r="J706" s="25">
        <f t="shared" si="43"/>
        <v>23</v>
      </c>
    </row>
    <row r="707" spans="1:10" ht="53.4" customHeight="1">
      <c r="A707" s="75">
        <v>3</v>
      </c>
      <c r="B707" s="80" t="s">
        <v>93</v>
      </c>
      <c r="C707" s="77" t="s">
        <v>48</v>
      </c>
      <c r="D707" s="78">
        <v>1</v>
      </c>
      <c r="E707" s="79"/>
      <c r="F707" s="79" t="e">
        <f t="shared" si="44"/>
        <v>#REF!</v>
      </c>
      <c r="G707" s="2"/>
      <c r="H707" s="37">
        <v>310497</v>
      </c>
      <c r="I707" s="4">
        <f t="shared" ref="I707:I738" si="45">H707*E707</f>
        <v>0</v>
      </c>
      <c r="J707" s="25">
        <f t="shared" si="43"/>
        <v>23</v>
      </c>
    </row>
    <row r="708" spans="1:10" ht="16.95" customHeight="1">
      <c r="A708" s="75">
        <v>4</v>
      </c>
      <c r="B708" s="80" t="s">
        <v>94</v>
      </c>
      <c r="C708" s="77" t="s">
        <v>48</v>
      </c>
      <c r="D708" s="78">
        <v>1</v>
      </c>
      <c r="E708" s="79"/>
      <c r="F708" s="79" t="e">
        <f t="shared" si="44"/>
        <v>#REF!</v>
      </c>
      <c r="G708" s="2"/>
      <c r="H708" s="37">
        <v>8375</v>
      </c>
      <c r="I708" s="4">
        <f t="shared" si="45"/>
        <v>0</v>
      </c>
      <c r="J708" s="25">
        <f t="shared" si="43"/>
        <v>23</v>
      </c>
    </row>
    <row r="709" spans="1:10" ht="16.95" customHeight="1">
      <c r="A709" s="75">
        <v>5</v>
      </c>
      <c r="B709" s="80" t="s">
        <v>95</v>
      </c>
      <c r="C709" s="77" t="s">
        <v>48</v>
      </c>
      <c r="D709" s="78">
        <v>1</v>
      </c>
      <c r="E709" s="79"/>
      <c r="F709" s="79" t="e">
        <f t="shared" si="44"/>
        <v>#REF!</v>
      </c>
      <c r="G709" s="2"/>
      <c r="H709" s="37">
        <v>51618</v>
      </c>
      <c r="I709" s="4">
        <f t="shared" si="45"/>
        <v>0</v>
      </c>
      <c r="J709" s="25">
        <f t="shared" si="43"/>
        <v>23</v>
      </c>
    </row>
    <row r="710" spans="1:10" ht="16.95" customHeight="1">
      <c r="A710" s="75">
        <v>6</v>
      </c>
      <c r="B710" s="80" t="s">
        <v>96</v>
      </c>
      <c r="C710" s="77" t="s">
        <v>50</v>
      </c>
      <c r="D710" s="78">
        <v>11.55</v>
      </c>
      <c r="E710" s="79"/>
      <c r="F710" s="79" t="e">
        <f t="shared" si="44"/>
        <v>#REF!</v>
      </c>
      <c r="G710" s="2"/>
      <c r="H710" s="37">
        <v>1188</v>
      </c>
      <c r="I710" s="4">
        <f t="shared" si="45"/>
        <v>0</v>
      </c>
      <c r="J710" s="25">
        <f t="shared" si="43"/>
        <v>23</v>
      </c>
    </row>
    <row r="711" spans="1:10" ht="34.950000000000003" customHeight="1">
      <c r="A711" s="75">
        <v>7</v>
      </c>
      <c r="B711" s="80" t="s">
        <v>97</v>
      </c>
      <c r="C711" s="77" t="s">
        <v>48</v>
      </c>
      <c r="D711" s="78">
        <v>1</v>
      </c>
      <c r="E711" s="79"/>
      <c r="F711" s="79" t="e">
        <f t="shared" si="44"/>
        <v>#REF!</v>
      </c>
      <c r="G711" s="2"/>
      <c r="H711" s="37">
        <v>21157</v>
      </c>
      <c r="I711" s="4">
        <f t="shared" si="45"/>
        <v>0</v>
      </c>
      <c r="J711" s="25">
        <f t="shared" si="43"/>
        <v>23</v>
      </c>
    </row>
    <row r="712" spans="1:10" ht="16.95" customHeight="1">
      <c r="A712" s="75">
        <v>8</v>
      </c>
      <c r="B712" s="80" t="s">
        <v>98</v>
      </c>
      <c r="C712" s="77" t="s">
        <v>50</v>
      </c>
      <c r="D712" s="78">
        <v>387</v>
      </c>
      <c r="E712" s="79"/>
      <c r="F712" s="79" t="e">
        <f t="shared" si="44"/>
        <v>#REF!</v>
      </c>
      <c r="G712" s="2"/>
      <c r="H712" s="37">
        <v>705</v>
      </c>
      <c r="I712" s="4">
        <f t="shared" si="45"/>
        <v>0</v>
      </c>
      <c r="J712" s="25">
        <f t="shared" si="43"/>
        <v>23</v>
      </c>
    </row>
    <row r="713" spans="1:10" ht="16.95" customHeight="1">
      <c r="A713" s="75">
        <v>9</v>
      </c>
      <c r="B713" s="80" t="s">
        <v>99</v>
      </c>
      <c r="C713" s="77" t="s">
        <v>50</v>
      </c>
      <c r="D713" s="78">
        <v>170</v>
      </c>
      <c r="E713" s="79"/>
      <c r="F713" s="79" t="e">
        <f t="shared" si="44"/>
        <v>#REF!</v>
      </c>
      <c r="G713" s="2"/>
      <c r="H713" s="37">
        <v>617</v>
      </c>
      <c r="I713" s="4">
        <f t="shared" si="45"/>
        <v>0</v>
      </c>
      <c r="J713" s="25">
        <f t="shared" si="43"/>
        <v>23</v>
      </c>
    </row>
    <row r="714" spans="1:10" ht="16.95" customHeight="1">
      <c r="A714" s="75">
        <v>10</v>
      </c>
      <c r="B714" s="80" t="s">
        <v>100</v>
      </c>
      <c r="C714" s="77" t="s">
        <v>66</v>
      </c>
      <c r="D714" s="78">
        <v>15</v>
      </c>
      <c r="E714" s="79"/>
      <c r="F714" s="79" t="e">
        <f t="shared" si="44"/>
        <v>#REF!</v>
      </c>
      <c r="G714" s="2"/>
      <c r="H714" s="37">
        <v>617</v>
      </c>
      <c r="I714" s="4">
        <f t="shared" si="45"/>
        <v>0</v>
      </c>
      <c r="J714" s="25">
        <f t="shared" si="43"/>
        <v>23</v>
      </c>
    </row>
    <row r="715" spans="1:10" ht="16.95" customHeight="1">
      <c r="A715" s="75">
        <v>11</v>
      </c>
      <c r="B715" s="80" t="s">
        <v>101</v>
      </c>
      <c r="C715" s="77" t="s">
        <v>50</v>
      </c>
      <c r="D715" s="78">
        <v>75</v>
      </c>
      <c r="E715" s="79"/>
      <c r="F715" s="79" t="e">
        <f t="shared" si="44"/>
        <v>#REF!</v>
      </c>
      <c r="G715" s="2"/>
      <c r="H715" s="37">
        <v>1146</v>
      </c>
      <c r="I715" s="4">
        <f t="shared" si="45"/>
        <v>0</v>
      </c>
      <c r="J715" s="25">
        <f t="shared" si="43"/>
        <v>23</v>
      </c>
    </row>
    <row r="716" spans="1:10" ht="16.95" customHeight="1">
      <c r="A716" s="75">
        <v>12</v>
      </c>
      <c r="B716" s="80" t="s">
        <v>102</v>
      </c>
      <c r="C716" s="77" t="s">
        <v>50</v>
      </c>
      <c r="D716" s="78">
        <v>5</v>
      </c>
      <c r="E716" s="79"/>
      <c r="F716" s="79" t="e">
        <f t="shared" si="44"/>
        <v>#REF!</v>
      </c>
      <c r="G716" s="2"/>
      <c r="H716" s="37">
        <v>1455</v>
      </c>
      <c r="I716" s="4">
        <f t="shared" si="45"/>
        <v>0</v>
      </c>
      <c r="J716" s="25">
        <f t="shared" si="43"/>
        <v>23</v>
      </c>
    </row>
    <row r="717" spans="1:10" ht="16.95" customHeight="1">
      <c r="A717" s="75">
        <v>13</v>
      </c>
      <c r="B717" s="80" t="s">
        <v>103</v>
      </c>
      <c r="C717" s="77" t="s">
        <v>50</v>
      </c>
      <c r="D717" s="78">
        <v>217</v>
      </c>
      <c r="E717" s="79"/>
      <c r="F717" s="79" t="e">
        <f t="shared" si="44"/>
        <v>#REF!</v>
      </c>
      <c r="G717" s="2"/>
      <c r="H717" s="37">
        <v>1410</v>
      </c>
      <c r="I717" s="4">
        <f t="shared" si="45"/>
        <v>0</v>
      </c>
      <c r="J717" s="25">
        <f t="shared" si="43"/>
        <v>23</v>
      </c>
    </row>
    <row r="718" spans="1:10" ht="16.95" customHeight="1">
      <c r="A718" s="75">
        <v>14</v>
      </c>
      <c r="B718" s="80" t="s">
        <v>104</v>
      </c>
      <c r="C718" s="77" t="s">
        <v>49</v>
      </c>
      <c r="D718" s="78">
        <v>84</v>
      </c>
      <c r="E718" s="79"/>
      <c r="F718" s="79" t="e">
        <f t="shared" si="44"/>
        <v>#REF!</v>
      </c>
      <c r="G718" s="2"/>
      <c r="H718" s="37">
        <v>529</v>
      </c>
      <c r="I718" s="4">
        <f t="shared" si="45"/>
        <v>0</v>
      </c>
      <c r="J718" s="25">
        <f t="shared" si="43"/>
        <v>23</v>
      </c>
    </row>
    <row r="719" spans="1:10" ht="16.95" customHeight="1">
      <c r="A719" s="75">
        <v>15</v>
      </c>
      <c r="B719" s="80" t="s">
        <v>105</v>
      </c>
      <c r="C719" s="77" t="s">
        <v>50</v>
      </c>
      <c r="D719" s="78">
        <v>1</v>
      </c>
      <c r="E719" s="79"/>
      <c r="F719" s="79" t="e">
        <f t="shared" si="44"/>
        <v>#REF!</v>
      </c>
      <c r="G719" s="2"/>
      <c r="H719" s="37">
        <v>1146</v>
      </c>
      <c r="I719" s="4">
        <f t="shared" si="45"/>
        <v>0</v>
      </c>
      <c r="J719" s="25">
        <f t="shared" si="43"/>
        <v>23</v>
      </c>
    </row>
    <row r="720" spans="1:10" ht="34.799999999999997" customHeight="1">
      <c r="A720" s="75">
        <v>16</v>
      </c>
      <c r="B720" s="80" t="s">
        <v>106</v>
      </c>
      <c r="C720" s="77" t="s">
        <v>50</v>
      </c>
      <c r="D720" s="78">
        <v>314</v>
      </c>
      <c r="E720" s="79"/>
      <c r="F720" s="79" t="e">
        <f t="shared" si="44"/>
        <v>#REF!</v>
      </c>
      <c r="G720" s="2"/>
      <c r="H720" s="37">
        <v>185</v>
      </c>
      <c r="I720" s="4">
        <f t="shared" si="45"/>
        <v>0</v>
      </c>
      <c r="J720" s="25">
        <f t="shared" si="43"/>
        <v>23</v>
      </c>
    </row>
    <row r="721" spans="1:10" ht="16.95" customHeight="1">
      <c r="A721" s="75">
        <v>17</v>
      </c>
      <c r="B721" s="80" t="s">
        <v>107</v>
      </c>
      <c r="C721" s="77" t="s">
        <v>48</v>
      </c>
      <c r="D721" s="78">
        <v>1</v>
      </c>
      <c r="E721" s="79"/>
      <c r="F721" s="79" t="e">
        <f t="shared" si="44"/>
        <v>#REF!</v>
      </c>
      <c r="G721" s="2"/>
      <c r="H721" s="37">
        <v>89918</v>
      </c>
      <c r="I721" s="4">
        <f t="shared" si="45"/>
        <v>0</v>
      </c>
      <c r="J721" s="25">
        <f t="shared" si="43"/>
        <v>23</v>
      </c>
    </row>
    <row r="722" spans="1:10" ht="16.95" customHeight="1">
      <c r="A722" s="75">
        <v>18</v>
      </c>
      <c r="B722" s="80" t="s">
        <v>108</v>
      </c>
      <c r="C722" s="77" t="s">
        <v>120</v>
      </c>
      <c r="D722" s="78">
        <v>15</v>
      </c>
      <c r="E722" s="79"/>
      <c r="F722" s="79" t="e">
        <f t="shared" si="44"/>
        <v>#REF!</v>
      </c>
      <c r="G722" s="2"/>
      <c r="H722" s="37">
        <v>661</v>
      </c>
      <c r="I722" s="4">
        <f t="shared" si="45"/>
        <v>0</v>
      </c>
      <c r="J722" s="25">
        <f t="shared" si="43"/>
        <v>23</v>
      </c>
    </row>
    <row r="723" spans="1:10" ht="16.95" customHeight="1">
      <c r="A723" s="75">
        <v>19</v>
      </c>
      <c r="B723" s="80" t="s">
        <v>109</v>
      </c>
      <c r="C723" s="77" t="s">
        <v>50</v>
      </c>
      <c r="D723" s="78">
        <v>82</v>
      </c>
      <c r="E723" s="79"/>
      <c r="F723" s="79" t="e">
        <f t="shared" si="44"/>
        <v>#REF!</v>
      </c>
      <c r="G723" s="2"/>
      <c r="H723" s="37">
        <v>2909</v>
      </c>
      <c r="I723" s="4">
        <f t="shared" si="45"/>
        <v>0</v>
      </c>
      <c r="J723" s="25">
        <f t="shared" si="43"/>
        <v>23</v>
      </c>
    </row>
    <row r="724" spans="1:10" ht="16.95" customHeight="1">
      <c r="A724" s="75">
        <v>20</v>
      </c>
      <c r="B724" s="80" t="s">
        <v>110</v>
      </c>
      <c r="C724" s="77" t="s">
        <v>121</v>
      </c>
      <c r="D724" s="78">
        <v>12</v>
      </c>
      <c r="E724" s="79"/>
      <c r="F724" s="79" t="e">
        <f t="shared" si="44"/>
        <v>#REF!</v>
      </c>
      <c r="G724" s="2"/>
      <c r="H724" s="37">
        <v>882</v>
      </c>
      <c r="I724" s="4">
        <f t="shared" si="45"/>
        <v>0</v>
      </c>
      <c r="J724" s="25">
        <f t="shared" si="43"/>
        <v>23</v>
      </c>
    </row>
    <row r="725" spans="1:10" ht="16.95" customHeight="1">
      <c r="A725" s="77">
        <v>21</v>
      </c>
      <c r="B725" s="80" t="s">
        <v>111</v>
      </c>
      <c r="C725" s="77" t="s">
        <v>122</v>
      </c>
      <c r="D725" s="78">
        <v>3</v>
      </c>
      <c r="E725" s="79"/>
      <c r="F725" s="79" t="e">
        <f t="shared" si="44"/>
        <v>#REF!</v>
      </c>
      <c r="G725" s="2"/>
      <c r="H725" s="38">
        <v>1869</v>
      </c>
      <c r="I725" s="4">
        <f t="shared" si="45"/>
        <v>0</v>
      </c>
      <c r="J725" s="25">
        <f t="shared" si="43"/>
        <v>23</v>
      </c>
    </row>
    <row r="726" spans="1:10" ht="34.950000000000003" customHeight="1">
      <c r="A726" s="75">
        <v>22</v>
      </c>
      <c r="B726" s="80" t="s">
        <v>112</v>
      </c>
      <c r="C726" s="77" t="s">
        <v>48</v>
      </c>
      <c r="D726" s="78">
        <v>1</v>
      </c>
      <c r="E726" s="79"/>
      <c r="F726" s="79" t="e">
        <f t="shared" si="44"/>
        <v>#REF!</v>
      </c>
      <c r="G726" s="2"/>
      <c r="H726" s="37">
        <v>82206</v>
      </c>
      <c r="I726" s="4">
        <f t="shared" si="45"/>
        <v>0</v>
      </c>
      <c r="J726" s="25">
        <f t="shared" si="43"/>
        <v>23</v>
      </c>
    </row>
    <row r="727" spans="1:10" ht="16.95" customHeight="1">
      <c r="A727" s="75">
        <v>23</v>
      </c>
      <c r="B727" s="80" t="s">
        <v>113</v>
      </c>
      <c r="C727" s="77" t="s">
        <v>48</v>
      </c>
      <c r="D727" s="78">
        <v>1</v>
      </c>
      <c r="E727" s="79"/>
      <c r="F727" s="79" t="e">
        <f t="shared" si="44"/>
        <v>#REF!</v>
      </c>
      <c r="G727" s="2"/>
      <c r="H727" s="37">
        <v>142723</v>
      </c>
      <c r="I727" s="4">
        <f t="shared" si="45"/>
        <v>0</v>
      </c>
      <c r="J727" s="25">
        <f t="shared" si="43"/>
        <v>23</v>
      </c>
    </row>
    <row r="728" spans="1:10" ht="16.95" customHeight="1">
      <c r="A728" s="75">
        <v>24</v>
      </c>
      <c r="B728" s="80" t="s">
        <v>114</v>
      </c>
      <c r="C728" s="77" t="s">
        <v>48</v>
      </c>
      <c r="D728" s="78">
        <v>1</v>
      </c>
      <c r="E728" s="79"/>
      <c r="F728" s="79" t="e">
        <f t="shared" si="44"/>
        <v>#REF!</v>
      </c>
      <c r="G728" s="2"/>
      <c r="H728" s="37">
        <v>37290</v>
      </c>
      <c r="I728" s="4">
        <f t="shared" si="45"/>
        <v>0</v>
      </c>
      <c r="J728" s="25">
        <f t="shared" si="43"/>
        <v>23</v>
      </c>
    </row>
    <row r="729" spans="1:10" ht="16.95" customHeight="1">
      <c r="A729" s="75">
        <v>25</v>
      </c>
      <c r="B729" s="80" t="s">
        <v>115</v>
      </c>
      <c r="C729" s="77" t="s">
        <v>48</v>
      </c>
      <c r="D729" s="78">
        <v>1</v>
      </c>
      <c r="E729" s="79"/>
      <c r="F729" s="79" t="e">
        <f t="shared" si="44"/>
        <v>#REF!</v>
      </c>
      <c r="G729" s="2"/>
      <c r="H729" s="37">
        <v>99394</v>
      </c>
      <c r="I729" s="4">
        <f t="shared" si="45"/>
        <v>0</v>
      </c>
      <c r="J729" s="25">
        <f t="shared" si="43"/>
        <v>23</v>
      </c>
    </row>
    <row r="730" spans="1:10" ht="34.950000000000003" customHeight="1">
      <c r="A730" s="75">
        <v>26</v>
      </c>
      <c r="B730" s="80" t="s">
        <v>116</v>
      </c>
      <c r="C730" s="77" t="s">
        <v>48</v>
      </c>
      <c r="D730" s="78">
        <v>1</v>
      </c>
      <c r="E730" s="79"/>
      <c r="F730" s="79" t="e">
        <f t="shared" si="44"/>
        <v>#REF!</v>
      </c>
      <c r="G730" s="2"/>
      <c r="H730" s="37">
        <v>21334</v>
      </c>
      <c r="I730" s="4">
        <f t="shared" si="45"/>
        <v>0</v>
      </c>
      <c r="J730" s="25">
        <f t="shared" si="43"/>
        <v>23</v>
      </c>
    </row>
    <row r="731" spans="1:10" ht="16.95" customHeight="1">
      <c r="A731" s="75">
        <v>27</v>
      </c>
      <c r="B731" s="80" t="s">
        <v>117</v>
      </c>
      <c r="C731" s="77" t="s">
        <v>48</v>
      </c>
      <c r="D731" s="78">
        <v>1</v>
      </c>
      <c r="E731" s="79"/>
      <c r="F731" s="79" t="e">
        <f t="shared" si="44"/>
        <v>#REF!</v>
      </c>
      <c r="G731" s="2"/>
      <c r="H731" s="37">
        <v>29620</v>
      </c>
      <c r="I731" s="4">
        <f t="shared" si="45"/>
        <v>0</v>
      </c>
      <c r="J731" s="25">
        <f t="shared" si="43"/>
        <v>23</v>
      </c>
    </row>
    <row r="732" spans="1:10" ht="16.95" customHeight="1">
      <c r="A732" s="75">
        <v>28</v>
      </c>
      <c r="B732" s="80" t="s">
        <v>118</v>
      </c>
      <c r="C732" s="77" t="s">
        <v>48</v>
      </c>
      <c r="D732" s="78">
        <v>1</v>
      </c>
      <c r="E732" s="79"/>
      <c r="F732" s="79" t="e">
        <f t="shared" si="44"/>
        <v>#REF!</v>
      </c>
      <c r="G732" s="2"/>
      <c r="H732" s="37">
        <v>18506</v>
      </c>
      <c r="I732" s="4">
        <f t="shared" si="45"/>
        <v>0</v>
      </c>
      <c r="J732" s="25">
        <f t="shared" si="43"/>
        <v>23</v>
      </c>
    </row>
    <row r="733" spans="1:10" ht="16.95" customHeight="1">
      <c r="A733" s="75">
        <v>29</v>
      </c>
      <c r="B733" s="80" t="s">
        <v>119</v>
      </c>
      <c r="C733" s="77" t="s">
        <v>48</v>
      </c>
      <c r="D733" s="78">
        <v>1</v>
      </c>
      <c r="E733" s="79"/>
      <c r="F733" s="79" t="e">
        <f t="shared" si="44"/>
        <v>#REF!</v>
      </c>
      <c r="G733" s="2"/>
      <c r="H733" s="37">
        <v>34381</v>
      </c>
      <c r="I733" s="4">
        <f t="shared" si="45"/>
        <v>0</v>
      </c>
      <c r="J733" s="25">
        <f t="shared" si="43"/>
        <v>23</v>
      </c>
    </row>
    <row r="734" spans="1:10" ht="16.95" customHeight="1">
      <c r="A734" s="75" t="s">
        <v>79</v>
      </c>
      <c r="B734" s="80" t="s">
        <v>80</v>
      </c>
      <c r="C734" s="77" t="s">
        <v>48</v>
      </c>
      <c r="D734" s="78">
        <v>1</v>
      </c>
      <c r="E734" s="79">
        <f t="shared" ref="E734:E737" si="46">1/120</f>
        <v>8.3333333333333332E-3</v>
      </c>
      <c r="F734" s="79" t="e">
        <f t="shared" si="44"/>
        <v>#REF!</v>
      </c>
      <c r="G734" s="2"/>
      <c r="H734" s="37">
        <v>21395</v>
      </c>
      <c r="I734" s="4">
        <f t="shared" si="45"/>
        <v>178.29166666666666</v>
      </c>
      <c r="J734" s="25">
        <f t="shared" si="43"/>
        <v>23</v>
      </c>
    </row>
    <row r="735" spans="1:10" ht="16.95" customHeight="1">
      <c r="A735" s="75" t="s">
        <v>81</v>
      </c>
      <c r="B735" s="80" t="s">
        <v>82</v>
      </c>
      <c r="C735" s="77" t="s">
        <v>48</v>
      </c>
      <c r="D735" s="78">
        <v>1</v>
      </c>
      <c r="E735" s="79">
        <f t="shared" si="46"/>
        <v>8.3333333333333332E-3</v>
      </c>
      <c r="F735" s="79" t="e">
        <f t="shared" si="44"/>
        <v>#REF!</v>
      </c>
      <c r="G735" s="2"/>
      <c r="H735" s="37">
        <v>21395</v>
      </c>
      <c r="I735" s="4">
        <f t="shared" si="45"/>
        <v>178.29166666666666</v>
      </c>
      <c r="J735" s="25">
        <f t="shared" si="43"/>
        <v>23</v>
      </c>
    </row>
    <row r="736" spans="1:10" ht="16.95" customHeight="1">
      <c r="A736" s="75" t="s">
        <v>83</v>
      </c>
      <c r="B736" s="80" t="s">
        <v>84</v>
      </c>
      <c r="C736" s="77" t="s">
        <v>48</v>
      </c>
      <c r="D736" s="78">
        <v>1</v>
      </c>
      <c r="E736" s="79">
        <f t="shared" si="46"/>
        <v>8.3333333333333332E-3</v>
      </c>
      <c r="F736" s="79" t="e">
        <f t="shared" si="44"/>
        <v>#REF!</v>
      </c>
      <c r="G736" s="2"/>
      <c r="H736" s="37">
        <v>149765</v>
      </c>
      <c r="I736" s="4">
        <f t="shared" si="45"/>
        <v>1248.0416666666667</v>
      </c>
      <c r="J736" s="25">
        <f t="shared" si="43"/>
        <v>23</v>
      </c>
    </row>
    <row r="737" spans="1:10" ht="16.95" customHeight="1">
      <c r="A737" s="75" t="s">
        <v>85</v>
      </c>
      <c r="B737" s="80" t="s">
        <v>86</v>
      </c>
      <c r="C737" s="77" t="s">
        <v>48</v>
      </c>
      <c r="D737" s="78">
        <v>1</v>
      </c>
      <c r="E737" s="79">
        <f t="shared" si="46"/>
        <v>8.3333333333333332E-3</v>
      </c>
      <c r="F737" s="79" t="e">
        <f t="shared" si="44"/>
        <v>#REF!</v>
      </c>
      <c r="G737" s="2"/>
      <c r="H737" s="37">
        <v>6996</v>
      </c>
      <c r="I737" s="4">
        <f t="shared" si="45"/>
        <v>58.3</v>
      </c>
      <c r="J737" s="25">
        <f t="shared" si="43"/>
        <v>23</v>
      </c>
    </row>
    <row r="738" spans="1:10" ht="16.95" customHeight="1">
      <c r="A738" s="75" t="s">
        <v>87</v>
      </c>
      <c r="B738" s="80" t="s">
        <v>88</v>
      </c>
      <c r="C738" s="77" t="s">
        <v>48</v>
      </c>
      <c r="D738" s="78">
        <v>1</v>
      </c>
      <c r="E738" s="79">
        <f>1/120</f>
        <v>8.3333333333333332E-3</v>
      </c>
      <c r="F738" s="79" t="e">
        <f t="shared" si="44"/>
        <v>#REF!</v>
      </c>
      <c r="G738" s="2"/>
      <c r="H738" s="37">
        <v>116952</v>
      </c>
      <c r="I738" s="4">
        <f t="shared" si="45"/>
        <v>974.6</v>
      </c>
      <c r="J738" s="25">
        <f t="shared" si="43"/>
        <v>23</v>
      </c>
    </row>
    <row r="739" spans="1:10" ht="16.95" customHeight="1">
      <c r="A739" s="95" t="s">
        <v>23</v>
      </c>
      <c r="B739" s="95"/>
      <c r="C739" s="50"/>
      <c r="D739" s="50"/>
      <c r="E739" s="50"/>
      <c r="F739" s="50"/>
      <c r="G739" s="50"/>
      <c r="H739" s="3" t="s">
        <v>24</v>
      </c>
      <c r="I739" s="5">
        <f>SUM(I704:I738)</f>
        <v>2637.5250000000001</v>
      </c>
      <c r="J739" s="25">
        <f t="shared" si="43"/>
        <v>23</v>
      </c>
    </row>
    <row r="740" spans="1:10" ht="16.95" customHeight="1">
      <c r="A740" s="96" t="s">
        <v>25</v>
      </c>
      <c r="B740" s="96"/>
      <c r="C740" s="50"/>
      <c r="D740" s="50"/>
      <c r="E740" s="50"/>
      <c r="F740" s="50"/>
      <c r="G740" s="50"/>
      <c r="J740" s="25">
        <f t="shared" si="43"/>
        <v>23</v>
      </c>
    </row>
    <row r="741" spans="1:10" ht="16.95" customHeight="1">
      <c r="A741" s="96" t="s">
        <v>26</v>
      </c>
      <c r="B741" s="96"/>
      <c r="C741" s="50"/>
      <c r="D741" s="50"/>
      <c r="E741" s="50"/>
      <c r="F741" s="50"/>
      <c r="G741" s="50"/>
      <c r="J741" s="25">
        <f t="shared" si="43"/>
        <v>23</v>
      </c>
    </row>
    <row r="742" spans="1:10" ht="16.95" customHeight="1">
      <c r="A742" s="95" t="s">
        <v>27</v>
      </c>
      <c r="B742" s="95"/>
      <c r="C742" s="95"/>
      <c r="D742" s="95"/>
      <c r="E742" s="95"/>
      <c r="F742" s="95"/>
      <c r="G742" s="95"/>
      <c r="J742" s="25">
        <f t="shared" si="43"/>
        <v>23</v>
      </c>
    </row>
    <row r="743" spans="1:10" ht="16.95" customHeight="1">
      <c r="A743" s="94" t="s">
        <v>28</v>
      </c>
      <c r="B743" s="94"/>
      <c r="C743" s="51" t="s">
        <v>29</v>
      </c>
      <c r="D743" s="51" t="s">
        <v>30</v>
      </c>
      <c r="E743" s="51" t="s">
        <v>18</v>
      </c>
      <c r="F743" s="51" t="s">
        <v>31</v>
      </c>
      <c r="G743" s="51" t="s">
        <v>20</v>
      </c>
      <c r="J743" s="25">
        <f t="shared" si="43"/>
        <v>23</v>
      </c>
    </row>
    <row r="744" spans="1:10" ht="16.95" customHeight="1">
      <c r="A744" s="96"/>
      <c r="B744" s="96"/>
      <c r="C744" s="50"/>
      <c r="D744" s="50"/>
      <c r="E744" s="50"/>
      <c r="F744" s="50"/>
      <c r="G744" s="51"/>
      <c r="J744" s="25">
        <f t="shared" si="43"/>
        <v>23</v>
      </c>
    </row>
    <row r="745" spans="1:10" ht="16.95" customHeight="1">
      <c r="A745" s="97"/>
      <c r="B745" s="97"/>
      <c r="C745" s="50"/>
      <c r="D745" s="50"/>
      <c r="E745" s="50"/>
      <c r="F745" s="51"/>
      <c r="G745" s="51"/>
      <c r="J745" s="25">
        <f t="shared" si="43"/>
        <v>23</v>
      </c>
    </row>
    <row r="746" spans="1:10" ht="16.95" customHeight="1">
      <c r="A746" s="95" t="s">
        <v>32</v>
      </c>
      <c r="B746" s="95"/>
      <c r="C746" s="95"/>
      <c r="D746" s="95"/>
      <c r="E746" s="95"/>
      <c r="F746" s="95"/>
      <c r="G746" s="95"/>
      <c r="J746" s="25">
        <f t="shared" si="43"/>
        <v>24</v>
      </c>
    </row>
    <row r="747" spans="1:10" ht="16.95" customHeight="1">
      <c r="A747" s="51" t="s">
        <v>33</v>
      </c>
      <c r="B747" s="51" t="s">
        <v>34</v>
      </c>
      <c r="C747" s="94" t="s">
        <v>35</v>
      </c>
      <c r="D747" s="94"/>
      <c r="E747" s="51" t="s">
        <v>36</v>
      </c>
      <c r="F747" s="51" t="s">
        <v>37</v>
      </c>
      <c r="G747" s="51" t="s">
        <v>38</v>
      </c>
      <c r="J747" s="25">
        <f t="shared" si="43"/>
        <v>24</v>
      </c>
    </row>
    <row r="748" spans="1:10" ht="16.95" customHeight="1">
      <c r="A748" s="51" t="s">
        <v>39</v>
      </c>
      <c r="B748" s="6"/>
      <c r="C748" s="94" t="e">
        <f>B748+C685</f>
        <v>#REF!</v>
      </c>
      <c r="D748" s="94"/>
      <c r="E748" s="51"/>
      <c r="F748" s="24"/>
      <c r="G748" s="24"/>
      <c r="J748" s="25">
        <f t="shared" si="43"/>
        <v>24</v>
      </c>
    </row>
    <row r="749" spans="1:10" ht="16.95" customHeight="1">
      <c r="A749" s="51" t="s">
        <v>40</v>
      </c>
      <c r="B749" s="6"/>
      <c r="C749" s="94" t="e">
        <f>B749+C686</f>
        <v>#REF!</v>
      </c>
      <c r="D749" s="94"/>
      <c r="E749" s="51"/>
      <c r="F749" s="24"/>
      <c r="G749" s="24"/>
      <c r="J749" s="25">
        <f t="shared" si="43"/>
        <v>24</v>
      </c>
    </row>
    <row r="750" spans="1:10" ht="36.6" customHeight="1">
      <c r="A750" s="95" t="s">
        <v>41</v>
      </c>
      <c r="B750" s="95"/>
      <c r="C750" s="95"/>
      <c r="D750" s="95"/>
      <c r="E750" s="95"/>
      <c r="F750" s="95"/>
      <c r="G750" s="95"/>
      <c r="J750" s="25">
        <f t="shared" si="43"/>
        <v>24</v>
      </c>
    </row>
    <row r="751" spans="1:10" ht="90" customHeight="1">
      <c r="A751" s="92" t="s">
        <v>42</v>
      </c>
      <c r="B751" s="92"/>
      <c r="C751" s="92"/>
      <c r="D751" s="92"/>
      <c r="E751" s="92"/>
      <c r="F751" s="92"/>
      <c r="G751" s="92"/>
      <c r="J751" s="25">
        <f t="shared" si="43"/>
        <v>24</v>
      </c>
    </row>
    <row r="752" spans="1:10" ht="16.95" customHeight="1">
      <c r="A752" s="95" t="s">
        <v>43</v>
      </c>
      <c r="B752" s="95"/>
      <c r="C752" s="95"/>
      <c r="D752" s="95"/>
      <c r="E752" s="95"/>
      <c r="F752" s="95"/>
      <c r="G752" s="95"/>
      <c r="J752" s="25">
        <f t="shared" si="43"/>
        <v>24</v>
      </c>
    </row>
    <row r="753" spans="1:10" ht="16.95" customHeight="1">
      <c r="A753" s="95" t="s">
        <v>44</v>
      </c>
      <c r="B753" s="95"/>
      <c r="C753" s="95"/>
      <c r="D753" s="95"/>
      <c r="E753" s="95"/>
      <c r="F753" s="95"/>
      <c r="G753" s="95"/>
      <c r="J753" s="25">
        <f t="shared" si="43"/>
        <v>24</v>
      </c>
    </row>
    <row r="754" spans="1:10" ht="16.95" customHeight="1">
      <c r="A754" s="91" t="s">
        <v>64</v>
      </c>
      <c r="B754" s="91"/>
      <c r="C754" s="91"/>
      <c r="D754" s="91"/>
      <c r="E754" s="91"/>
      <c r="F754" s="91"/>
      <c r="G754" s="91"/>
      <c r="J754" s="25">
        <f t="shared" si="43"/>
        <v>24</v>
      </c>
    </row>
    <row r="755" spans="1:10" ht="120.6" customHeight="1">
      <c r="A755" s="92" t="s">
        <v>45</v>
      </c>
      <c r="B755" s="92"/>
      <c r="C755" s="92"/>
      <c r="D755" s="92"/>
      <c r="E755" s="92"/>
      <c r="F755" s="92"/>
      <c r="G755" s="92"/>
      <c r="J755" s="25">
        <f t="shared" si="43"/>
        <v>24</v>
      </c>
    </row>
    <row r="756" spans="1:10" ht="140.4" customHeight="1">
      <c r="A756" s="93" t="s">
        <v>46</v>
      </c>
      <c r="B756" s="93"/>
      <c r="C756" s="93"/>
      <c r="D756" s="93"/>
      <c r="E756" s="93"/>
      <c r="F756" s="93"/>
      <c r="G756" s="93"/>
      <c r="J756" s="25">
        <f t="shared" si="43"/>
        <v>24</v>
      </c>
    </row>
    <row r="757" spans="1:10" ht="37.200000000000003" customHeight="1">
      <c r="A757" s="103" t="s">
        <v>0</v>
      </c>
      <c r="B757" s="103"/>
      <c r="C757" s="103"/>
      <c r="D757" s="103"/>
      <c r="E757" s="103"/>
      <c r="F757" s="103"/>
      <c r="G757" s="103"/>
      <c r="J757" s="25">
        <f t="shared" si="43"/>
        <v>25</v>
      </c>
    </row>
    <row r="758" spans="1:10" ht="16.95" customHeight="1">
      <c r="A758" s="1" t="s">
        <v>1</v>
      </c>
      <c r="B758" s="104">
        <f>B695+1</f>
        <v>14</v>
      </c>
      <c r="C758" s="104"/>
      <c r="D758" s="104"/>
      <c r="E758" s="104"/>
      <c r="F758" s="104"/>
      <c r="G758" s="104"/>
      <c r="J758" s="25">
        <f t="shared" si="43"/>
        <v>25</v>
      </c>
    </row>
    <row r="759" spans="1:10" ht="16.95" customHeight="1">
      <c r="A759" s="1" t="s">
        <v>2</v>
      </c>
      <c r="B759" s="105" t="s">
        <v>63</v>
      </c>
      <c r="C759" s="105"/>
      <c r="D759" s="105"/>
      <c r="E759" s="106">
        <f>E696+1</f>
        <v>46216</v>
      </c>
      <c r="F759" s="106"/>
      <c r="G759" s="106"/>
      <c r="J759" s="25">
        <f t="shared" si="43"/>
        <v>25</v>
      </c>
    </row>
    <row r="760" spans="1:10" ht="16.95" customHeight="1">
      <c r="A760" s="53" t="s">
        <v>3</v>
      </c>
      <c r="B760" s="2" t="s">
        <v>67</v>
      </c>
      <c r="C760" s="98" t="s">
        <v>4</v>
      </c>
      <c r="D760" s="98"/>
      <c r="E760" s="98" t="s">
        <v>47</v>
      </c>
      <c r="F760" s="98"/>
      <c r="G760" s="98"/>
      <c r="J760" s="25">
        <f t="shared" si="43"/>
        <v>25</v>
      </c>
    </row>
    <row r="761" spans="1:10" ht="16.95" customHeight="1">
      <c r="A761" s="53" t="s">
        <v>5</v>
      </c>
      <c r="B761" s="54">
        <v>120</v>
      </c>
      <c r="C761" s="98" t="s">
        <v>6</v>
      </c>
      <c r="D761" s="98"/>
      <c r="E761" s="98" t="s">
        <v>123</v>
      </c>
      <c r="F761" s="98"/>
      <c r="G761" s="98"/>
      <c r="J761" s="25">
        <f t="shared" si="43"/>
        <v>25</v>
      </c>
    </row>
    <row r="762" spans="1:10" ht="16.95" customHeight="1">
      <c r="A762" s="53" t="s">
        <v>7</v>
      </c>
      <c r="B762" s="54">
        <f>B758</f>
        <v>14</v>
      </c>
      <c r="C762" s="100" t="s">
        <v>8</v>
      </c>
      <c r="D762" s="100"/>
      <c r="E762" s="101">
        <f>B761-B762</f>
        <v>106</v>
      </c>
      <c r="F762" s="101"/>
      <c r="G762" s="101"/>
      <c r="J762" s="25">
        <f t="shared" si="43"/>
        <v>25</v>
      </c>
    </row>
    <row r="763" spans="1:10" ht="16.95" customHeight="1">
      <c r="A763" s="53" t="s">
        <v>9</v>
      </c>
      <c r="B763" s="55">
        <v>46204</v>
      </c>
      <c r="C763" s="98" t="s">
        <v>10</v>
      </c>
      <c r="D763" s="98"/>
      <c r="E763" s="102">
        <f>B763+B761-1</f>
        <v>46323</v>
      </c>
      <c r="F763" s="102"/>
      <c r="G763" s="102"/>
      <c r="J763" s="25">
        <f t="shared" ref="J763:J826" si="47">J700+2</f>
        <v>25</v>
      </c>
    </row>
    <row r="764" spans="1:10" ht="16.95" customHeight="1">
      <c r="A764" s="53" t="s">
        <v>11</v>
      </c>
      <c r="B764" s="56" t="e">
        <f>HLOOKUP(B758,進度表!$Q$2:$Z$3,2,1)+B701</f>
        <v>#REF!</v>
      </c>
      <c r="C764" s="98" t="s">
        <v>12</v>
      </c>
      <c r="D764" s="98"/>
      <c r="E764" s="99" t="e">
        <f>I802/I764+E701</f>
        <v>#REF!</v>
      </c>
      <c r="F764" s="99"/>
      <c r="G764" s="99"/>
      <c r="H764" s="3" t="s">
        <v>62</v>
      </c>
      <c r="I764" s="1">
        <v>2456000</v>
      </c>
      <c r="J764" s="25">
        <f t="shared" si="47"/>
        <v>25</v>
      </c>
    </row>
    <row r="765" spans="1:10" ht="16.95" customHeight="1">
      <c r="A765" s="98" t="s">
        <v>13</v>
      </c>
      <c r="B765" s="98"/>
      <c r="C765" s="98"/>
      <c r="D765" s="98"/>
      <c r="E765" s="98"/>
      <c r="F765" s="98"/>
      <c r="G765" s="98"/>
      <c r="J765" s="25">
        <f t="shared" si="47"/>
        <v>25</v>
      </c>
    </row>
    <row r="766" spans="1:10" ht="16.95" customHeight="1">
      <c r="A766" s="52" t="s">
        <v>14</v>
      </c>
      <c r="B766" s="52" t="s">
        <v>15</v>
      </c>
      <c r="C766" s="52" t="s">
        <v>16</v>
      </c>
      <c r="D766" s="52" t="s">
        <v>17</v>
      </c>
      <c r="E766" s="52" t="s">
        <v>18</v>
      </c>
      <c r="F766" s="52" t="s">
        <v>19</v>
      </c>
      <c r="G766" s="52" t="s">
        <v>20</v>
      </c>
      <c r="H766" s="3" t="s">
        <v>21</v>
      </c>
      <c r="I766" s="3" t="s">
        <v>22</v>
      </c>
      <c r="J766" s="25">
        <f t="shared" si="47"/>
        <v>25</v>
      </c>
    </row>
    <row r="767" spans="1:10" ht="16.95" customHeight="1">
      <c r="A767" s="75" t="s">
        <v>65</v>
      </c>
      <c r="B767" s="76" t="s">
        <v>69</v>
      </c>
      <c r="C767" s="77"/>
      <c r="D767" s="78"/>
      <c r="E767" s="79"/>
      <c r="F767" s="79"/>
      <c r="G767" s="2"/>
      <c r="H767" s="37"/>
      <c r="I767" s="4"/>
      <c r="J767" s="25">
        <f t="shared" si="47"/>
        <v>25</v>
      </c>
    </row>
    <row r="768" spans="1:10" ht="34.950000000000003" customHeight="1">
      <c r="A768" s="75">
        <v>1</v>
      </c>
      <c r="B768" s="80" t="s">
        <v>91</v>
      </c>
      <c r="C768" s="77" t="s">
        <v>48</v>
      </c>
      <c r="D768" s="78">
        <v>1</v>
      </c>
      <c r="E768" s="79"/>
      <c r="F768" s="79" t="e">
        <f t="shared" ref="F768:F801" si="48">E768+F705</f>
        <v>#REF!</v>
      </c>
      <c r="G768" s="2"/>
      <c r="H768" s="37">
        <v>10508</v>
      </c>
      <c r="I768" s="4">
        <f>H768*E768</f>
        <v>0</v>
      </c>
      <c r="J768" s="25">
        <f t="shared" si="47"/>
        <v>25</v>
      </c>
    </row>
    <row r="769" spans="1:10" ht="34.799999999999997" customHeight="1">
      <c r="A769" s="75">
        <v>2</v>
      </c>
      <c r="B769" s="80" t="s">
        <v>92</v>
      </c>
      <c r="C769" s="77" t="s">
        <v>48</v>
      </c>
      <c r="D769" s="78">
        <v>1</v>
      </c>
      <c r="E769" s="79"/>
      <c r="F769" s="79" t="e">
        <f t="shared" si="48"/>
        <v>#REF!</v>
      </c>
      <c r="G769" s="2"/>
      <c r="H769" s="37">
        <v>13223</v>
      </c>
      <c r="I769" s="4">
        <f>H769*E769</f>
        <v>0</v>
      </c>
      <c r="J769" s="25">
        <f t="shared" si="47"/>
        <v>25</v>
      </c>
    </row>
    <row r="770" spans="1:10" ht="53.4" customHeight="1">
      <c r="A770" s="75">
        <v>3</v>
      </c>
      <c r="B770" s="80" t="s">
        <v>93</v>
      </c>
      <c r="C770" s="77" t="s">
        <v>48</v>
      </c>
      <c r="D770" s="78">
        <v>1</v>
      </c>
      <c r="E770" s="79"/>
      <c r="F770" s="79" t="e">
        <f t="shared" si="48"/>
        <v>#REF!</v>
      </c>
      <c r="G770" s="2"/>
      <c r="H770" s="37">
        <v>310497</v>
      </c>
      <c r="I770" s="4">
        <f t="shared" ref="I770:I801" si="49">H770*E770</f>
        <v>0</v>
      </c>
      <c r="J770" s="25">
        <f t="shared" si="47"/>
        <v>25</v>
      </c>
    </row>
    <row r="771" spans="1:10" ht="16.95" customHeight="1">
      <c r="A771" s="75">
        <v>4</v>
      </c>
      <c r="B771" s="80" t="s">
        <v>94</v>
      </c>
      <c r="C771" s="77" t="s">
        <v>48</v>
      </c>
      <c r="D771" s="78">
        <v>1</v>
      </c>
      <c r="E771" s="79"/>
      <c r="F771" s="79" t="e">
        <f t="shared" si="48"/>
        <v>#REF!</v>
      </c>
      <c r="G771" s="2"/>
      <c r="H771" s="37">
        <v>8375</v>
      </c>
      <c r="I771" s="4">
        <f t="shared" si="49"/>
        <v>0</v>
      </c>
      <c r="J771" s="25">
        <f t="shared" si="47"/>
        <v>25</v>
      </c>
    </row>
    <row r="772" spans="1:10" ht="16.95" customHeight="1">
      <c r="A772" s="75">
        <v>5</v>
      </c>
      <c r="B772" s="80" t="s">
        <v>95</v>
      </c>
      <c r="C772" s="77" t="s">
        <v>48</v>
      </c>
      <c r="D772" s="78">
        <v>1</v>
      </c>
      <c r="E772" s="79"/>
      <c r="F772" s="79" t="e">
        <f t="shared" si="48"/>
        <v>#REF!</v>
      </c>
      <c r="G772" s="2"/>
      <c r="H772" s="37">
        <v>51618</v>
      </c>
      <c r="I772" s="4">
        <f t="shared" si="49"/>
        <v>0</v>
      </c>
      <c r="J772" s="25">
        <f t="shared" si="47"/>
        <v>25</v>
      </c>
    </row>
    <row r="773" spans="1:10" ht="16.95" customHeight="1">
      <c r="A773" s="75">
        <v>6</v>
      </c>
      <c r="B773" s="80" t="s">
        <v>96</v>
      </c>
      <c r="C773" s="77" t="s">
        <v>50</v>
      </c>
      <c r="D773" s="78">
        <v>11.55</v>
      </c>
      <c r="E773" s="79"/>
      <c r="F773" s="79" t="e">
        <f t="shared" si="48"/>
        <v>#REF!</v>
      </c>
      <c r="G773" s="2"/>
      <c r="H773" s="37">
        <v>1188</v>
      </c>
      <c r="I773" s="4">
        <f t="shared" si="49"/>
        <v>0</v>
      </c>
      <c r="J773" s="25">
        <f t="shared" si="47"/>
        <v>25</v>
      </c>
    </row>
    <row r="774" spans="1:10" ht="34.950000000000003" customHeight="1">
      <c r="A774" s="75">
        <v>7</v>
      </c>
      <c r="B774" s="80" t="s">
        <v>97</v>
      </c>
      <c r="C774" s="77" t="s">
        <v>48</v>
      </c>
      <c r="D774" s="78">
        <v>1</v>
      </c>
      <c r="E774" s="79"/>
      <c r="F774" s="79" t="e">
        <f t="shared" si="48"/>
        <v>#REF!</v>
      </c>
      <c r="G774" s="2"/>
      <c r="H774" s="37">
        <v>21157</v>
      </c>
      <c r="I774" s="4">
        <f t="shared" si="49"/>
        <v>0</v>
      </c>
      <c r="J774" s="25">
        <f t="shared" si="47"/>
        <v>25</v>
      </c>
    </row>
    <row r="775" spans="1:10" ht="16.95" customHeight="1">
      <c r="A775" s="75">
        <v>8</v>
      </c>
      <c r="B775" s="80" t="s">
        <v>98</v>
      </c>
      <c r="C775" s="77" t="s">
        <v>50</v>
      </c>
      <c r="D775" s="78">
        <v>387</v>
      </c>
      <c r="E775" s="79"/>
      <c r="F775" s="79" t="e">
        <f t="shared" si="48"/>
        <v>#REF!</v>
      </c>
      <c r="G775" s="2"/>
      <c r="H775" s="37">
        <v>705</v>
      </c>
      <c r="I775" s="4">
        <f t="shared" si="49"/>
        <v>0</v>
      </c>
      <c r="J775" s="25">
        <f t="shared" si="47"/>
        <v>25</v>
      </c>
    </row>
    <row r="776" spans="1:10" ht="16.95" customHeight="1">
      <c r="A776" s="75">
        <v>9</v>
      </c>
      <c r="B776" s="80" t="s">
        <v>99</v>
      </c>
      <c r="C776" s="77" t="s">
        <v>50</v>
      </c>
      <c r="D776" s="78">
        <v>170</v>
      </c>
      <c r="E776" s="79"/>
      <c r="F776" s="79" t="e">
        <f t="shared" si="48"/>
        <v>#REF!</v>
      </c>
      <c r="G776" s="2"/>
      <c r="H776" s="37">
        <v>617</v>
      </c>
      <c r="I776" s="4">
        <f t="shared" si="49"/>
        <v>0</v>
      </c>
      <c r="J776" s="25">
        <f t="shared" si="47"/>
        <v>25</v>
      </c>
    </row>
    <row r="777" spans="1:10" ht="16.95" customHeight="1">
      <c r="A777" s="75">
        <v>10</v>
      </c>
      <c r="B777" s="80" t="s">
        <v>100</v>
      </c>
      <c r="C777" s="77" t="s">
        <v>66</v>
      </c>
      <c r="D777" s="78">
        <v>15</v>
      </c>
      <c r="E777" s="79"/>
      <c r="F777" s="79" t="e">
        <f t="shared" si="48"/>
        <v>#REF!</v>
      </c>
      <c r="G777" s="2"/>
      <c r="H777" s="37">
        <v>617</v>
      </c>
      <c r="I777" s="4">
        <f t="shared" si="49"/>
        <v>0</v>
      </c>
      <c r="J777" s="25">
        <f t="shared" si="47"/>
        <v>25</v>
      </c>
    </row>
    <row r="778" spans="1:10" ht="16.95" customHeight="1">
      <c r="A778" s="75">
        <v>11</v>
      </c>
      <c r="B778" s="80" t="s">
        <v>101</v>
      </c>
      <c r="C778" s="77" t="s">
        <v>50</v>
      </c>
      <c r="D778" s="78">
        <v>75</v>
      </c>
      <c r="E778" s="79"/>
      <c r="F778" s="79" t="e">
        <f t="shared" si="48"/>
        <v>#REF!</v>
      </c>
      <c r="G778" s="2"/>
      <c r="H778" s="37">
        <v>1146</v>
      </c>
      <c r="I778" s="4">
        <f t="shared" si="49"/>
        <v>0</v>
      </c>
      <c r="J778" s="25">
        <f t="shared" si="47"/>
        <v>25</v>
      </c>
    </row>
    <row r="779" spans="1:10" ht="16.95" customHeight="1">
      <c r="A779" s="75">
        <v>12</v>
      </c>
      <c r="B779" s="80" t="s">
        <v>102</v>
      </c>
      <c r="C779" s="77" t="s">
        <v>50</v>
      </c>
      <c r="D779" s="78">
        <v>5</v>
      </c>
      <c r="E779" s="79"/>
      <c r="F779" s="79" t="e">
        <f t="shared" si="48"/>
        <v>#REF!</v>
      </c>
      <c r="G779" s="2"/>
      <c r="H779" s="37">
        <v>1455</v>
      </c>
      <c r="I779" s="4">
        <f t="shared" si="49"/>
        <v>0</v>
      </c>
      <c r="J779" s="25">
        <f t="shared" si="47"/>
        <v>25</v>
      </c>
    </row>
    <row r="780" spans="1:10" ht="16.95" customHeight="1">
      <c r="A780" s="75">
        <v>13</v>
      </c>
      <c r="B780" s="80" t="s">
        <v>103</v>
      </c>
      <c r="C780" s="77" t="s">
        <v>50</v>
      </c>
      <c r="D780" s="78">
        <v>217</v>
      </c>
      <c r="E780" s="79"/>
      <c r="F780" s="79" t="e">
        <f t="shared" si="48"/>
        <v>#REF!</v>
      </c>
      <c r="G780" s="2"/>
      <c r="H780" s="37">
        <v>1410</v>
      </c>
      <c r="I780" s="4">
        <f t="shared" si="49"/>
        <v>0</v>
      </c>
      <c r="J780" s="25">
        <f t="shared" si="47"/>
        <v>25</v>
      </c>
    </row>
    <row r="781" spans="1:10" ht="16.95" customHeight="1">
      <c r="A781" s="75">
        <v>14</v>
      </c>
      <c r="B781" s="80" t="s">
        <v>104</v>
      </c>
      <c r="C781" s="77" t="s">
        <v>49</v>
      </c>
      <c r="D781" s="78">
        <v>84</v>
      </c>
      <c r="E781" s="79"/>
      <c r="F781" s="79" t="e">
        <f t="shared" si="48"/>
        <v>#REF!</v>
      </c>
      <c r="G781" s="2"/>
      <c r="H781" s="37">
        <v>529</v>
      </c>
      <c r="I781" s="4">
        <f t="shared" si="49"/>
        <v>0</v>
      </c>
      <c r="J781" s="25">
        <f t="shared" si="47"/>
        <v>25</v>
      </c>
    </row>
    <row r="782" spans="1:10" ht="16.95" customHeight="1">
      <c r="A782" s="75">
        <v>15</v>
      </c>
      <c r="B782" s="80" t="s">
        <v>105</v>
      </c>
      <c r="C782" s="77" t="s">
        <v>50</v>
      </c>
      <c r="D782" s="78">
        <v>1</v>
      </c>
      <c r="E782" s="79"/>
      <c r="F782" s="79" t="e">
        <f t="shared" si="48"/>
        <v>#REF!</v>
      </c>
      <c r="G782" s="2"/>
      <c r="H782" s="37">
        <v>1146</v>
      </c>
      <c r="I782" s="4">
        <f t="shared" si="49"/>
        <v>0</v>
      </c>
      <c r="J782" s="25">
        <f t="shared" si="47"/>
        <v>25</v>
      </c>
    </row>
    <row r="783" spans="1:10" ht="34.799999999999997" customHeight="1">
      <c r="A783" s="75">
        <v>16</v>
      </c>
      <c r="B783" s="80" t="s">
        <v>106</v>
      </c>
      <c r="C783" s="77" t="s">
        <v>50</v>
      </c>
      <c r="D783" s="78">
        <v>314</v>
      </c>
      <c r="E783" s="79"/>
      <c r="F783" s="79" t="e">
        <f t="shared" si="48"/>
        <v>#REF!</v>
      </c>
      <c r="G783" s="2"/>
      <c r="H783" s="37">
        <v>185</v>
      </c>
      <c r="I783" s="4">
        <f t="shared" si="49"/>
        <v>0</v>
      </c>
      <c r="J783" s="25">
        <f t="shared" si="47"/>
        <v>25</v>
      </c>
    </row>
    <row r="784" spans="1:10" ht="16.95" customHeight="1">
      <c r="A784" s="75">
        <v>17</v>
      </c>
      <c r="B784" s="80" t="s">
        <v>107</v>
      </c>
      <c r="C784" s="77" t="s">
        <v>48</v>
      </c>
      <c r="D784" s="78">
        <v>1</v>
      </c>
      <c r="E784" s="79"/>
      <c r="F784" s="79" t="e">
        <f t="shared" si="48"/>
        <v>#REF!</v>
      </c>
      <c r="G784" s="2"/>
      <c r="H784" s="37">
        <v>89918</v>
      </c>
      <c r="I784" s="4">
        <f t="shared" si="49"/>
        <v>0</v>
      </c>
      <c r="J784" s="25">
        <f t="shared" si="47"/>
        <v>25</v>
      </c>
    </row>
    <row r="785" spans="1:10" ht="16.95" customHeight="1">
      <c r="A785" s="75">
        <v>18</v>
      </c>
      <c r="B785" s="80" t="s">
        <v>108</v>
      </c>
      <c r="C785" s="77" t="s">
        <v>120</v>
      </c>
      <c r="D785" s="78">
        <v>15</v>
      </c>
      <c r="E785" s="79"/>
      <c r="F785" s="79" t="e">
        <f t="shared" si="48"/>
        <v>#REF!</v>
      </c>
      <c r="G785" s="2"/>
      <c r="H785" s="37">
        <v>661</v>
      </c>
      <c r="I785" s="4">
        <f t="shared" si="49"/>
        <v>0</v>
      </c>
      <c r="J785" s="25">
        <f t="shared" si="47"/>
        <v>25</v>
      </c>
    </row>
    <row r="786" spans="1:10" ht="16.95" customHeight="1">
      <c r="A786" s="75">
        <v>19</v>
      </c>
      <c r="B786" s="80" t="s">
        <v>109</v>
      </c>
      <c r="C786" s="77" t="s">
        <v>50</v>
      </c>
      <c r="D786" s="78">
        <v>82</v>
      </c>
      <c r="E786" s="79"/>
      <c r="F786" s="79" t="e">
        <f t="shared" si="48"/>
        <v>#REF!</v>
      </c>
      <c r="G786" s="2"/>
      <c r="H786" s="37">
        <v>2909</v>
      </c>
      <c r="I786" s="4">
        <f t="shared" si="49"/>
        <v>0</v>
      </c>
      <c r="J786" s="25">
        <f t="shared" si="47"/>
        <v>25</v>
      </c>
    </row>
    <row r="787" spans="1:10" ht="16.95" customHeight="1">
      <c r="A787" s="75">
        <v>20</v>
      </c>
      <c r="B787" s="80" t="s">
        <v>110</v>
      </c>
      <c r="C787" s="77" t="s">
        <v>121</v>
      </c>
      <c r="D787" s="78">
        <v>12</v>
      </c>
      <c r="E787" s="79"/>
      <c r="F787" s="79" t="e">
        <f t="shared" si="48"/>
        <v>#REF!</v>
      </c>
      <c r="G787" s="2"/>
      <c r="H787" s="37">
        <v>882</v>
      </c>
      <c r="I787" s="4">
        <f t="shared" si="49"/>
        <v>0</v>
      </c>
      <c r="J787" s="25">
        <f t="shared" si="47"/>
        <v>25</v>
      </c>
    </row>
    <row r="788" spans="1:10" ht="16.95" customHeight="1">
      <c r="A788" s="77">
        <v>21</v>
      </c>
      <c r="B788" s="80" t="s">
        <v>111</v>
      </c>
      <c r="C788" s="77" t="s">
        <v>122</v>
      </c>
      <c r="D788" s="78">
        <v>3</v>
      </c>
      <c r="E788" s="79"/>
      <c r="F788" s="79" t="e">
        <f t="shared" si="48"/>
        <v>#REF!</v>
      </c>
      <c r="G788" s="2"/>
      <c r="H788" s="38">
        <v>1869</v>
      </c>
      <c r="I788" s="4">
        <f t="shared" si="49"/>
        <v>0</v>
      </c>
      <c r="J788" s="25">
        <f t="shared" si="47"/>
        <v>25</v>
      </c>
    </row>
    <row r="789" spans="1:10" ht="34.950000000000003" customHeight="1">
      <c r="A789" s="75">
        <v>22</v>
      </c>
      <c r="B789" s="80" t="s">
        <v>112</v>
      </c>
      <c r="C789" s="77" t="s">
        <v>48</v>
      </c>
      <c r="D789" s="78">
        <v>1</v>
      </c>
      <c r="E789" s="79"/>
      <c r="F789" s="79" t="e">
        <f t="shared" si="48"/>
        <v>#REF!</v>
      </c>
      <c r="G789" s="2"/>
      <c r="H789" s="37">
        <v>82206</v>
      </c>
      <c r="I789" s="4">
        <f t="shared" si="49"/>
        <v>0</v>
      </c>
      <c r="J789" s="25">
        <f t="shared" si="47"/>
        <v>25</v>
      </c>
    </row>
    <row r="790" spans="1:10" ht="16.95" customHeight="1">
      <c r="A790" s="75">
        <v>23</v>
      </c>
      <c r="B790" s="80" t="s">
        <v>113</v>
      </c>
      <c r="C790" s="77" t="s">
        <v>48</v>
      </c>
      <c r="D790" s="78">
        <v>1</v>
      </c>
      <c r="E790" s="79"/>
      <c r="F790" s="79" t="e">
        <f t="shared" si="48"/>
        <v>#REF!</v>
      </c>
      <c r="G790" s="2"/>
      <c r="H790" s="37">
        <v>142723</v>
      </c>
      <c r="I790" s="4">
        <f t="shared" si="49"/>
        <v>0</v>
      </c>
      <c r="J790" s="25">
        <f t="shared" si="47"/>
        <v>25</v>
      </c>
    </row>
    <row r="791" spans="1:10" ht="16.95" customHeight="1">
      <c r="A791" s="75">
        <v>24</v>
      </c>
      <c r="B791" s="80" t="s">
        <v>114</v>
      </c>
      <c r="C791" s="77" t="s">
        <v>48</v>
      </c>
      <c r="D791" s="78">
        <v>1</v>
      </c>
      <c r="E791" s="79"/>
      <c r="F791" s="79" t="e">
        <f t="shared" si="48"/>
        <v>#REF!</v>
      </c>
      <c r="G791" s="2"/>
      <c r="H791" s="37">
        <v>37290</v>
      </c>
      <c r="I791" s="4">
        <f t="shared" si="49"/>
        <v>0</v>
      </c>
      <c r="J791" s="25">
        <f t="shared" si="47"/>
        <v>25</v>
      </c>
    </row>
    <row r="792" spans="1:10" ht="16.95" customHeight="1">
      <c r="A792" s="75">
        <v>25</v>
      </c>
      <c r="B792" s="80" t="s">
        <v>115</v>
      </c>
      <c r="C792" s="77" t="s">
        <v>48</v>
      </c>
      <c r="D792" s="78">
        <v>1</v>
      </c>
      <c r="E792" s="79"/>
      <c r="F792" s="79" t="e">
        <f t="shared" si="48"/>
        <v>#REF!</v>
      </c>
      <c r="G792" s="2"/>
      <c r="H792" s="37">
        <v>99394</v>
      </c>
      <c r="I792" s="4">
        <f t="shared" si="49"/>
        <v>0</v>
      </c>
      <c r="J792" s="25">
        <f t="shared" si="47"/>
        <v>25</v>
      </c>
    </row>
    <row r="793" spans="1:10" ht="34.950000000000003" customHeight="1">
      <c r="A793" s="75">
        <v>26</v>
      </c>
      <c r="B793" s="80" t="s">
        <v>116</v>
      </c>
      <c r="C793" s="77" t="s">
        <v>48</v>
      </c>
      <c r="D793" s="78">
        <v>1</v>
      </c>
      <c r="E793" s="79"/>
      <c r="F793" s="79" t="e">
        <f t="shared" si="48"/>
        <v>#REF!</v>
      </c>
      <c r="G793" s="2"/>
      <c r="H793" s="37">
        <v>21334</v>
      </c>
      <c r="I793" s="4">
        <f t="shared" si="49"/>
        <v>0</v>
      </c>
      <c r="J793" s="25">
        <f t="shared" si="47"/>
        <v>25</v>
      </c>
    </row>
    <row r="794" spans="1:10" ht="16.95" customHeight="1">
      <c r="A794" s="75">
        <v>27</v>
      </c>
      <c r="B794" s="80" t="s">
        <v>117</v>
      </c>
      <c r="C794" s="77" t="s">
        <v>48</v>
      </c>
      <c r="D794" s="78">
        <v>1</v>
      </c>
      <c r="E794" s="79"/>
      <c r="F794" s="79" t="e">
        <f t="shared" si="48"/>
        <v>#REF!</v>
      </c>
      <c r="G794" s="2"/>
      <c r="H794" s="37">
        <v>29620</v>
      </c>
      <c r="I794" s="4">
        <f t="shared" si="49"/>
        <v>0</v>
      </c>
      <c r="J794" s="25">
        <f t="shared" si="47"/>
        <v>25</v>
      </c>
    </row>
    <row r="795" spans="1:10" ht="16.95" customHeight="1">
      <c r="A795" s="75">
        <v>28</v>
      </c>
      <c r="B795" s="80" t="s">
        <v>118</v>
      </c>
      <c r="C795" s="77" t="s">
        <v>48</v>
      </c>
      <c r="D795" s="78">
        <v>1</v>
      </c>
      <c r="E795" s="79"/>
      <c r="F795" s="79" t="e">
        <f t="shared" si="48"/>
        <v>#REF!</v>
      </c>
      <c r="G795" s="2"/>
      <c r="H795" s="37">
        <v>18506</v>
      </c>
      <c r="I795" s="4">
        <f t="shared" si="49"/>
        <v>0</v>
      </c>
      <c r="J795" s="25">
        <f t="shared" si="47"/>
        <v>25</v>
      </c>
    </row>
    <row r="796" spans="1:10" ht="16.95" customHeight="1">
      <c r="A796" s="75">
        <v>29</v>
      </c>
      <c r="B796" s="80" t="s">
        <v>119</v>
      </c>
      <c r="C796" s="77" t="s">
        <v>48</v>
      </c>
      <c r="D796" s="78">
        <v>1</v>
      </c>
      <c r="E796" s="79"/>
      <c r="F796" s="79" t="e">
        <f t="shared" si="48"/>
        <v>#REF!</v>
      </c>
      <c r="G796" s="2"/>
      <c r="H796" s="37">
        <v>34381</v>
      </c>
      <c r="I796" s="4">
        <f t="shared" si="49"/>
        <v>0</v>
      </c>
      <c r="J796" s="25">
        <f t="shared" si="47"/>
        <v>25</v>
      </c>
    </row>
    <row r="797" spans="1:10" ht="16.95" customHeight="1">
      <c r="A797" s="75" t="s">
        <v>79</v>
      </c>
      <c r="B797" s="80" t="s">
        <v>80</v>
      </c>
      <c r="C797" s="77" t="s">
        <v>48</v>
      </c>
      <c r="D797" s="78">
        <v>1</v>
      </c>
      <c r="E797" s="79">
        <f t="shared" ref="E797:E800" si="50">1/120</f>
        <v>8.3333333333333332E-3</v>
      </c>
      <c r="F797" s="79" t="e">
        <f t="shared" si="48"/>
        <v>#REF!</v>
      </c>
      <c r="G797" s="2"/>
      <c r="H797" s="37">
        <v>21395</v>
      </c>
      <c r="I797" s="4">
        <f t="shared" si="49"/>
        <v>178.29166666666666</v>
      </c>
      <c r="J797" s="25">
        <f t="shared" si="47"/>
        <v>25</v>
      </c>
    </row>
    <row r="798" spans="1:10" ht="16.95" customHeight="1">
      <c r="A798" s="75" t="s">
        <v>81</v>
      </c>
      <c r="B798" s="80" t="s">
        <v>82</v>
      </c>
      <c r="C798" s="77" t="s">
        <v>48</v>
      </c>
      <c r="D798" s="78">
        <v>1</v>
      </c>
      <c r="E798" s="79">
        <f t="shared" si="50"/>
        <v>8.3333333333333332E-3</v>
      </c>
      <c r="F798" s="79" t="e">
        <f t="shared" si="48"/>
        <v>#REF!</v>
      </c>
      <c r="G798" s="2"/>
      <c r="H798" s="37">
        <v>21395</v>
      </c>
      <c r="I798" s="4">
        <f t="shared" si="49"/>
        <v>178.29166666666666</v>
      </c>
      <c r="J798" s="25">
        <f t="shared" si="47"/>
        <v>25</v>
      </c>
    </row>
    <row r="799" spans="1:10" ht="16.95" customHeight="1">
      <c r="A799" s="75" t="s">
        <v>83</v>
      </c>
      <c r="B799" s="80" t="s">
        <v>84</v>
      </c>
      <c r="C799" s="77" t="s">
        <v>48</v>
      </c>
      <c r="D799" s="78">
        <v>1</v>
      </c>
      <c r="E799" s="79">
        <f t="shared" si="50"/>
        <v>8.3333333333333332E-3</v>
      </c>
      <c r="F799" s="79" t="e">
        <f t="shared" si="48"/>
        <v>#REF!</v>
      </c>
      <c r="G799" s="2"/>
      <c r="H799" s="37">
        <v>149765</v>
      </c>
      <c r="I799" s="4">
        <f t="shared" si="49"/>
        <v>1248.0416666666667</v>
      </c>
      <c r="J799" s="25">
        <f t="shared" si="47"/>
        <v>25</v>
      </c>
    </row>
    <row r="800" spans="1:10" ht="16.95" customHeight="1">
      <c r="A800" s="75" t="s">
        <v>85</v>
      </c>
      <c r="B800" s="80" t="s">
        <v>86</v>
      </c>
      <c r="C800" s="77" t="s">
        <v>48</v>
      </c>
      <c r="D800" s="78">
        <v>1</v>
      </c>
      <c r="E800" s="79">
        <f t="shared" si="50"/>
        <v>8.3333333333333332E-3</v>
      </c>
      <c r="F800" s="79" t="e">
        <f t="shared" si="48"/>
        <v>#REF!</v>
      </c>
      <c r="G800" s="2"/>
      <c r="H800" s="37">
        <v>6996</v>
      </c>
      <c r="I800" s="4">
        <f t="shared" si="49"/>
        <v>58.3</v>
      </c>
      <c r="J800" s="25">
        <f t="shared" si="47"/>
        <v>25</v>
      </c>
    </row>
    <row r="801" spans="1:10" ht="16.95" customHeight="1">
      <c r="A801" s="75" t="s">
        <v>87</v>
      </c>
      <c r="B801" s="80" t="s">
        <v>88</v>
      </c>
      <c r="C801" s="77" t="s">
        <v>48</v>
      </c>
      <c r="D801" s="78">
        <v>1</v>
      </c>
      <c r="E801" s="79">
        <f>1/120</f>
        <v>8.3333333333333332E-3</v>
      </c>
      <c r="F801" s="79" t="e">
        <f t="shared" si="48"/>
        <v>#REF!</v>
      </c>
      <c r="G801" s="2"/>
      <c r="H801" s="37">
        <v>116952</v>
      </c>
      <c r="I801" s="4">
        <f t="shared" si="49"/>
        <v>974.6</v>
      </c>
      <c r="J801" s="25">
        <f t="shared" si="47"/>
        <v>25</v>
      </c>
    </row>
    <row r="802" spans="1:10" ht="16.95" customHeight="1">
      <c r="A802" s="95" t="s">
        <v>23</v>
      </c>
      <c r="B802" s="95"/>
      <c r="C802" s="50"/>
      <c r="D802" s="50"/>
      <c r="E802" s="50"/>
      <c r="F802" s="50"/>
      <c r="G802" s="50"/>
      <c r="H802" s="3" t="s">
        <v>24</v>
      </c>
      <c r="I802" s="5">
        <f>SUM(I767:I801)</f>
        <v>2637.5250000000001</v>
      </c>
      <c r="J802" s="25">
        <f t="shared" si="47"/>
        <v>25</v>
      </c>
    </row>
    <row r="803" spans="1:10" ht="16.95" customHeight="1">
      <c r="A803" s="96" t="s">
        <v>25</v>
      </c>
      <c r="B803" s="96"/>
      <c r="C803" s="50"/>
      <c r="D803" s="50"/>
      <c r="E803" s="50"/>
      <c r="F803" s="50"/>
      <c r="G803" s="50"/>
      <c r="J803" s="25">
        <f t="shared" si="47"/>
        <v>25</v>
      </c>
    </row>
    <row r="804" spans="1:10" ht="16.95" customHeight="1">
      <c r="A804" s="96" t="s">
        <v>26</v>
      </c>
      <c r="B804" s="96"/>
      <c r="C804" s="50"/>
      <c r="D804" s="50"/>
      <c r="E804" s="50"/>
      <c r="F804" s="50"/>
      <c r="G804" s="50"/>
      <c r="J804" s="25">
        <f t="shared" si="47"/>
        <v>25</v>
      </c>
    </row>
    <row r="805" spans="1:10" ht="16.95" customHeight="1">
      <c r="A805" s="95" t="s">
        <v>27</v>
      </c>
      <c r="B805" s="95"/>
      <c r="C805" s="95"/>
      <c r="D805" s="95"/>
      <c r="E805" s="95"/>
      <c r="F805" s="95"/>
      <c r="G805" s="95"/>
      <c r="J805" s="25">
        <f t="shared" si="47"/>
        <v>25</v>
      </c>
    </row>
    <row r="806" spans="1:10" ht="16.95" customHeight="1">
      <c r="A806" s="94" t="s">
        <v>28</v>
      </c>
      <c r="B806" s="94"/>
      <c r="C806" s="51" t="s">
        <v>29</v>
      </c>
      <c r="D806" s="51" t="s">
        <v>30</v>
      </c>
      <c r="E806" s="51" t="s">
        <v>18</v>
      </c>
      <c r="F806" s="51" t="s">
        <v>31</v>
      </c>
      <c r="G806" s="51" t="s">
        <v>20</v>
      </c>
      <c r="J806" s="25">
        <f t="shared" si="47"/>
        <v>25</v>
      </c>
    </row>
    <row r="807" spans="1:10" ht="16.95" customHeight="1">
      <c r="A807" s="96"/>
      <c r="B807" s="96"/>
      <c r="C807" s="50"/>
      <c r="D807" s="50"/>
      <c r="E807" s="50"/>
      <c r="F807" s="50"/>
      <c r="G807" s="51"/>
      <c r="J807" s="25">
        <f t="shared" si="47"/>
        <v>25</v>
      </c>
    </row>
    <row r="808" spans="1:10" ht="16.95" customHeight="1">
      <c r="A808" s="97"/>
      <c r="B808" s="97"/>
      <c r="C808" s="50"/>
      <c r="D808" s="50"/>
      <c r="E808" s="50"/>
      <c r="F808" s="51"/>
      <c r="G808" s="51"/>
      <c r="J808" s="25">
        <f t="shared" si="47"/>
        <v>25</v>
      </c>
    </row>
    <row r="809" spans="1:10" ht="16.95" customHeight="1">
      <c r="A809" s="95" t="s">
        <v>32</v>
      </c>
      <c r="B809" s="95"/>
      <c r="C809" s="95"/>
      <c r="D809" s="95"/>
      <c r="E809" s="95"/>
      <c r="F809" s="95"/>
      <c r="G809" s="95"/>
      <c r="J809" s="25">
        <f t="shared" si="47"/>
        <v>26</v>
      </c>
    </row>
    <row r="810" spans="1:10" ht="16.95" customHeight="1">
      <c r="A810" s="51" t="s">
        <v>33</v>
      </c>
      <c r="B810" s="51" t="s">
        <v>34</v>
      </c>
      <c r="C810" s="94" t="s">
        <v>35</v>
      </c>
      <c r="D810" s="94"/>
      <c r="E810" s="51" t="s">
        <v>36</v>
      </c>
      <c r="F810" s="51" t="s">
        <v>37</v>
      </c>
      <c r="G810" s="51" t="s">
        <v>38</v>
      </c>
      <c r="J810" s="25">
        <f t="shared" si="47"/>
        <v>26</v>
      </c>
    </row>
    <row r="811" spans="1:10" ht="16.95" customHeight="1">
      <c r="A811" s="51" t="s">
        <v>39</v>
      </c>
      <c r="B811" s="6"/>
      <c r="C811" s="94" t="e">
        <f>B811+C748</f>
        <v>#REF!</v>
      </c>
      <c r="D811" s="94"/>
      <c r="E811" s="51"/>
      <c r="F811" s="24"/>
      <c r="G811" s="24"/>
      <c r="J811" s="25">
        <f t="shared" si="47"/>
        <v>26</v>
      </c>
    </row>
    <row r="812" spans="1:10" ht="16.95" customHeight="1">
      <c r="A812" s="51" t="s">
        <v>40</v>
      </c>
      <c r="B812" s="6"/>
      <c r="C812" s="94" t="e">
        <f>B812+C749</f>
        <v>#REF!</v>
      </c>
      <c r="D812" s="94"/>
      <c r="E812" s="51"/>
      <c r="F812" s="24"/>
      <c r="G812" s="24"/>
      <c r="J812" s="25">
        <f t="shared" si="47"/>
        <v>26</v>
      </c>
    </row>
    <row r="813" spans="1:10" ht="36.6" customHeight="1">
      <c r="A813" s="95" t="s">
        <v>41</v>
      </c>
      <c r="B813" s="95"/>
      <c r="C813" s="95"/>
      <c r="D813" s="95"/>
      <c r="E813" s="95"/>
      <c r="F813" s="95"/>
      <c r="G813" s="95"/>
      <c r="J813" s="25">
        <f t="shared" si="47"/>
        <v>26</v>
      </c>
    </row>
    <row r="814" spans="1:10" ht="90" customHeight="1">
      <c r="A814" s="92" t="s">
        <v>42</v>
      </c>
      <c r="B814" s="92"/>
      <c r="C814" s="92"/>
      <c r="D814" s="92"/>
      <c r="E814" s="92"/>
      <c r="F814" s="92"/>
      <c r="G814" s="92"/>
      <c r="J814" s="25">
        <f t="shared" si="47"/>
        <v>26</v>
      </c>
    </row>
    <row r="815" spans="1:10" ht="16.95" customHeight="1">
      <c r="A815" s="95" t="s">
        <v>43</v>
      </c>
      <c r="B815" s="95"/>
      <c r="C815" s="95"/>
      <c r="D815" s="95"/>
      <c r="E815" s="95"/>
      <c r="F815" s="95"/>
      <c r="G815" s="95"/>
      <c r="J815" s="25">
        <f t="shared" si="47"/>
        <v>26</v>
      </c>
    </row>
    <row r="816" spans="1:10" ht="16.95" customHeight="1">
      <c r="A816" s="95" t="s">
        <v>44</v>
      </c>
      <c r="B816" s="95"/>
      <c r="C816" s="95"/>
      <c r="D816" s="95"/>
      <c r="E816" s="95"/>
      <c r="F816" s="95"/>
      <c r="G816" s="95"/>
      <c r="J816" s="25">
        <f t="shared" si="47"/>
        <v>26</v>
      </c>
    </row>
    <row r="817" spans="1:10" ht="16.95" customHeight="1">
      <c r="A817" s="91" t="s">
        <v>64</v>
      </c>
      <c r="B817" s="91"/>
      <c r="C817" s="91"/>
      <c r="D817" s="91"/>
      <c r="E817" s="91"/>
      <c r="F817" s="91"/>
      <c r="G817" s="91"/>
      <c r="J817" s="25">
        <f t="shared" si="47"/>
        <v>26</v>
      </c>
    </row>
    <row r="818" spans="1:10" ht="120.6" customHeight="1">
      <c r="A818" s="92" t="s">
        <v>45</v>
      </c>
      <c r="B818" s="92"/>
      <c r="C818" s="92"/>
      <c r="D818" s="92"/>
      <c r="E818" s="92"/>
      <c r="F818" s="92"/>
      <c r="G818" s="92"/>
      <c r="J818" s="25">
        <f t="shared" si="47"/>
        <v>26</v>
      </c>
    </row>
    <row r="819" spans="1:10" ht="140.4" customHeight="1">
      <c r="A819" s="93" t="s">
        <v>46</v>
      </c>
      <c r="B819" s="93"/>
      <c r="C819" s="93"/>
      <c r="D819" s="93"/>
      <c r="E819" s="93"/>
      <c r="F819" s="93"/>
      <c r="G819" s="93"/>
      <c r="J819" s="25">
        <f t="shared" si="47"/>
        <v>26</v>
      </c>
    </row>
    <row r="820" spans="1:10" ht="37.200000000000003" customHeight="1">
      <c r="A820" s="103" t="s">
        <v>0</v>
      </c>
      <c r="B820" s="103"/>
      <c r="C820" s="103"/>
      <c r="D820" s="103"/>
      <c r="E820" s="103"/>
      <c r="F820" s="103"/>
      <c r="G820" s="103"/>
      <c r="J820" s="25">
        <f t="shared" si="47"/>
        <v>27</v>
      </c>
    </row>
    <row r="821" spans="1:10" ht="16.95" customHeight="1">
      <c r="A821" s="1" t="s">
        <v>1</v>
      </c>
      <c r="B821" s="104">
        <f>B758+1</f>
        <v>15</v>
      </c>
      <c r="C821" s="104"/>
      <c r="D821" s="104"/>
      <c r="E821" s="104"/>
      <c r="F821" s="104"/>
      <c r="G821" s="104"/>
      <c r="J821" s="25">
        <f t="shared" si="47"/>
        <v>27</v>
      </c>
    </row>
    <row r="822" spans="1:10" ht="16.95" customHeight="1">
      <c r="A822" s="1" t="s">
        <v>2</v>
      </c>
      <c r="B822" s="105" t="s">
        <v>63</v>
      </c>
      <c r="C822" s="105"/>
      <c r="D822" s="105"/>
      <c r="E822" s="106">
        <f>E759+1</f>
        <v>46217</v>
      </c>
      <c r="F822" s="106"/>
      <c r="G822" s="106"/>
      <c r="J822" s="25">
        <f t="shared" si="47"/>
        <v>27</v>
      </c>
    </row>
    <row r="823" spans="1:10" ht="16.95" customHeight="1">
      <c r="A823" s="53" t="s">
        <v>3</v>
      </c>
      <c r="B823" s="2" t="s">
        <v>67</v>
      </c>
      <c r="C823" s="98" t="s">
        <v>4</v>
      </c>
      <c r="D823" s="98"/>
      <c r="E823" s="98" t="s">
        <v>47</v>
      </c>
      <c r="F823" s="98"/>
      <c r="G823" s="98"/>
      <c r="J823" s="25">
        <f t="shared" si="47"/>
        <v>27</v>
      </c>
    </row>
    <row r="824" spans="1:10" ht="16.95" customHeight="1">
      <c r="A824" s="53" t="s">
        <v>5</v>
      </c>
      <c r="B824" s="54">
        <v>120</v>
      </c>
      <c r="C824" s="98" t="s">
        <v>6</v>
      </c>
      <c r="D824" s="98"/>
      <c r="E824" s="98" t="s">
        <v>123</v>
      </c>
      <c r="F824" s="98"/>
      <c r="G824" s="98"/>
      <c r="J824" s="25">
        <f t="shared" si="47"/>
        <v>27</v>
      </c>
    </row>
    <row r="825" spans="1:10" ht="16.95" customHeight="1">
      <c r="A825" s="53" t="s">
        <v>7</v>
      </c>
      <c r="B825" s="54">
        <f>B821</f>
        <v>15</v>
      </c>
      <c r="C825" s="100" t="s">
        <v>8</v>
      </c>
      <c r="D825" s="100"/>
      <c r="E825" s="101">
        <f>B824-B825</f>
        <v>105</v>
      </c>
      <c r="F825" s="101"/>
      <c r="G825" s="101"/>
      <c r="J825" s="25">
        <f t="shared" si="47"/>
        <v>27</v>
      </c>
    </row>
    <row r="826" spans="1:10" ht="16.95" customHeight="1">
      <c r="A826" s="53" t="s">
        <v>9</v>
      </c>
      <c r="B826" s="55">
        <v>46204</v>
      </c>
      <c r="C826" s="98" t="s">
        <v>10</v>
      </c>
      <c r="D826" s="98"/>
      <c r="E826" s="102">
        <f>B826+B824-1</f>
        <v>46323</v>
      </c>
      <c r="F826" s="102"/>
      <c r="G826" s="102"/>
      <c r="J826" s="25">
        <f t="shared" si="47"/>
        <v>27</v>
      </c>
    </row>
    <row r="827" spans="1:10" ht="16.95" customHeight="1">
      <c r="A827" s="53" t="s">
        <v>11</v>
      </c>
      <c r="B827" s="56" t="e">
        <f>HLOOKUP(B821,進度表!$Q$2:$Z$3,2,1)+B764</f>
        <v>#REF!</v>
      </c>
      <c r="C827" s="98" t="s">
        <v>12</v>
      </c>
      <c r="D827" s="98"/>
      <c r="E827" s="99" t="e">
        <f>I865/I827+E764</f>
        <v>#REF!</v>
      </c>
      <c r="F827" s="99"/>
      <c r="G827" s="99"/>
      <c r="H827" s="3" t="s">
        <v>62</v>
      </c>
      <c r="I827" s="1">
        <v>2456000</v>
      </c>
      <c r="J827" s="25">
        <f t="shared" ref="J827:J890" si="51">J764+2</f>
        <v>27</v>
      </c>
    </row>
    <row r="828" spans="1:10" ht="16.95" customHeight="1">
      <c r="A828" s="98" t="s">
        <v>13</v>
      </c>
      <c r="B828" s="98"/>
      <c r="C828" s="98"/>
      <c r="D828" s="98"/>
      <c r="E828" s="98"/>
      <c r="F828" s="98"/>
      <c r="G828" s="98"/>
      <c r="J828" s="25">
        <f t="shared" si="51"/>
        <v>27</v>
      </c>
    </row>
    <row r="829" spans="1:10" ht="16.95" customHeight="1">
      <c r="A829" s="52" t="s">
        <v>14</v>
      </c>
      <c r="B829" s="52" t="s">
        <v>15</v>
      </c>
      <c r="C829" s="52" t="s">
        <v>16</v>
      </c>
      <c r="D829" s="52" t="s">
        <v>17</v>
      </c>
      <c r="E829" s="52" t="s">
        <v>18</v>
      </c>
      <c r="F829" s="52" t="s">
        <v>19</v>
      </c>
      <c r="G829" s="52" t="s">
        <v>20</v>
      </c>
      <c r="H829" s="3" t="s">
        <v>21</v>
      </c>
      <c r="I829" s="3" t="s">
        <v>22</v>
      </c>
      <c r="J829" s="25">
        <f t="shared" si="51"/>
        <v>27</v>
      </c>
    </row>
    <row r="830" spans="1:10" ht="16.95" customHeight="1">
      <c r="A830" s="75" t="s">
        <v>65</v>
      </c>
      <c r="B830" s="76" t="s">
        <v>69</v>
      </c>
      <c r="C830" s="77"/>
      <c r="D830" s="78"/>
      <c r="E830" s="79"/>
      <c r="F830" s="79"/>
      <c r="G830" s="2"/>
      <c r="H830" s="37"/>
      <c r="I830" s="4"/>
      <c r="J830" s="25">
        <f t="shared" si="51"/>
        <v>27</v>
      </c>
    </row>
    <row r="831" spans="1:10" ht="34.950000000000003" customHeight="1">
      <c r="A831" s="75">
        <v>1</v>
      </c>
      <c r="B831" s="80" t="s">
        <v>91</v>
      </c>
      <c r="C831" s="77" t="s">
        <v>48</v>
      </c>
      <c r="D831" s="78">
        <v>1</v>
      </c>
      <c r="E831" s="79"/>
      <c r="F831" s="79" t="e">
        <f t="shared" ref="F831:F864" si="52">E831+F768</f>
        <v>#REF!</v>
      </c>
      <c r="G831" s="2"/>
      <c r="H831" s="37">
        <v>10508</v>
      </c>
      <c r="I831" s="4">
        <f>H831*E831</f>
        <v>0</v>
      </c>
      <c r="J831" s="25">
        <f t="shared" si="51"/>
        <v>27</v>
      </c>
    </row>
    <row r="832" spans="1:10" ht="34.799999999999997" customHeight="1">
      <c r="A832" s="75">
        <v>2</v>
      </c>
      <c r="B832" s="80" t="s">
        <v>92</v>
      </c>
      <c r="C832" s="77" t="s">
        <v>48</v>
      </c>
      <c r="D832" s="78">
        <v>1</v>
      </c>
      <c r="E832" s="79"/>
      <c r="F832" s="79" t="e">
        <f t="shared" si="52"/>
        <v>#REF!</v>
      </c>
      <c r="G832" s="2"/>
      <c r="H832" s="37">
        <v>13223</v>
      </c>
      <c r="I832" s="4">
        <f>H832*E832</f>
        <v>0</v>
      </c>
      <c r="J832" s="25">
        <f t="shared" si="51"/>
        <v>27</v>
      </c>
    </row>
    <row r="833" spans="1:10" ht="53.4" customHeight="1">
      <c r="A833" s="75">
        <v>3</v>
      </c>
      <c r="B833" s="80" t="s">
        <v>93</v>
      </c>
      <c r="C833" s="77" t="s">
        <v>48</v>
      </c>
      <c r="D833" s="78">
        <v>1</v>
      </c>
      <c r="E833" s="79"/>
      <c r="F833" s="79" t="e">
        <f t="shared" si="52"/>
        <v>#REF!</v>
      </c>
      <c r="G833" s="2"/>
      <c r="H833" s="37">
        <v>310497</v>
      </c>
      <c r="I833" s="4">
        <f t="shared" ref="I833:I864" si="53">H833*E833</f>
        <v>0</v>
      </c>
      <c r="J833" s="25">
        <f t="shared" si="51"/>
        <v>27</v>
      </c>
    </row>
    <row r="834" spans="1:10" ht="16.95" customHeight="1">
      <c r="A834" s="75">
        <v>4</v>
      </c>
      <c r="B834" s="80" t="s">
        <v>94</v>
      </c>
      <c r="C834" s="77" t="s">
        <v>48</v>
      </c>
      <c r="D834" s="78">
        <v>1</v>
      </c>
      <c r="E834" s="79"/>
      <c r="F834" s="79" t="e">
        <f t="shared" si="52"/>
        <v>#REF!</v>
      </c>
      <c r="G834" s="2"/>
      <c r="H834" s="37">
        <v>8375</v>
      </c>
      <c r="I834" s="4">
        <f t="shared" si="53"/>
        <v>0</v>
      </c>
      <c r="J834" s="25">
        <f t="shared" si="51"/>
        <v>27</v>
      </c>
    </row>
    <row r="835" spans="1:10" ht="16.95" customHeight="1">
      <c r="A835" s="75">
        <v>5</v>
      </c>
      <c r="B835" s="80" t="s">
        <v>95</v>
      </c>
      <c r="C835" s="77" t="s">
        <v>48</v>
      </c>
      <c r="D835" s="78">
        <v>1</v>
      </c>
      <c r="E835" s="79"/>
      <c r="F835" s="79" t="e">
        <f t="shared" si="52"/>
        <v>#REF!</v>
      </c>
      <c r="G835" s="2"/>
      <c r="H835" s="37">
        <v>51618</v>
      </c>
      <c r="I835" s="4">
        <f t="shared" si="53"/>
        <v>0</v>
      </c>
      <c r="J835" s="25">
        <f t="shared" si="51"/>
        <v>27</v>
      </c>
    </row>
    <row r="836" spans="1:10" ht="16.95" customHeight="1">
      <c r="A836" s="75">
        <v>6</v>
      </c>
      <c r="B836" s="80" t="s">
        <v>96</v>
      </c>
      <c r="C836" s="77" t="s">
        <v>50</v>
      </c>
      <c r="D836" s="78">
        <v>11.55</v>
      </c>
      <c r="E836" s="79"/>
      <c r="F836" s="79" t="e">
        <f t="shared" si="52"/>
        <v>#REF!</v>
      </c>
      <c r="G836" s="2"/>
      <c r="H836" s="37">
        <v>1188</v>
      </c>
      <c r="I836" s="4">
        <f t="shared" si="53"/>
        <v>0</v>
      </c>
      <c r="J836" s="25">
        <f t="shared" si="51"/>
        <v>27</v>
      </c>
    </row>
    <row r="837" spans="1:10" ht="34.950000000000003" customHeight="1">
      <c r="A837" s="75">
        <v>7</v>
      </c>
      <c r="B837" s="80" t="s">
        <v>97</v>
      </c>
      <c r="C837" s="77" t="s">
        <v>48</v>
      </c>
      <c r="D837" s="78">
        <v>1</v>
      </c>
      <c r="E837" s="79"/>
      <c r="F837" s="79" t="e">
        <f t="shared" si="52"/>
        <v>#REF!</v>
      </c>
      <c r="G837" s="2"/>
      <c r="H837" s="37">
        <v>21157</v>
      </c>
      <c r="I837" s="4">
        <f t="shared" si="53"/>
        <v>0</v>
      </c>
      <c r="J837" s="25">
        <f t="shared" si="51"/>
        <v>27</v>
      </c>
    </row>
    <row r="838" spans="1:10" ht="16.95" customHeight="1">
      <c r="A838" s="75">
        <v>8</v>
      </c>
      <c r="B838" s="80" t="s">
        <v>98</v>
      </c>
      <c r="C838" s="77" t="s">
        <v>50</v>
      </c>
      <c r="D838" s="78">
        <v>387</v>
      </c>
      <c r="E838" s="79"/>
      <c r="F838" s="79" t="e">
        <f t="shared" si="52"/>
        <v>#REF!</v>
      </c>
      <c r="G838" s="2"/>
      <c r="H838" s="37">
        <v>705</v>
      </c>
      <c r="I838" s="4">
        <f t="shared" si="53"/>
        <v>0</v>
      </c>
      <c r="J838" s="25">
        <f t="shared" si="51"/>
        <v>27</v>
      </c>
    </row>
    <row r="839" spans="1:10" ht="16.95" customHeight="1">
      <c r="A839" s="75">
        <v>9</v>
      </c>
      <c r="B839" s="80" t="s">
        <v>99</v>
      </c>
      <c r="C839" s="77" t="s">
        <v>50</v>
      </c>
      <c r="D839" s="78">
        <v>170</v>
      </c>
      <c r="E839" s="79"/>
      <c r="F839" s="79" t="e">
        <f t="shared" si="52"/>
        <v>#REF!</v>
      </c>
      <c r="G839" s="2"/>
      <c r="H839" s="37">
        <v>617</v>
      </c>
      <c r="I839" s="4">
        <f t="shared" si="53"/>
        <v>0</v>
      </c>
      <c r="J839" s="25">
        <f t="shared" si="51"/>
        <v>27</v>
      </c>
    </row>
    <row r="840" spans="1:10" ht="16.95" customHeight="1">
      <c r="A840" s="75">
        <v>10</v>
      </c>
      <c r="B840" s="80" t="s">
        <v>100</v>
      </c>
      <c r="C840" s="77" t="s">
        <v>66</v>
      </c>
      <c r="D840" s="78">
        <v>15</v>
      </c>
      <c r="E840" s="79"/>
      <c r="F840" s="79" t="e">
        <f t="shared" si="52"/>
        <v>#REF!</v>
      </c>
      <c r="G840" s="2"/>
      <c r="H840" s="37">
        <v>617</v>
      </c>
      <c r="I840" s="4">
        <f t="shared" si="53"/>
        <v>0</v>
      </c>
      <c r="J840" s="25">
        <f t="shared" si="51"/>
        <v>27</v>
      </c>
    </row>
    <row r="841" spans="1:10" ht="16.95" customHeight="1">
      <c r="A841" s="75">
        <v>11</v>
      </c>
      <c r="B841" s="80" t="s">
        <v>101</v>
      </c>
      <c r="C841" s="77" t="s">
        <v>50</v>
      </c>
      <c r="D841" s="78">
        <v>75</v>
      </c>
      <c r="E841" s="79"/>
      <c r="F841" s="79" t="e">
        <f t="shared" si="52"/>
        <v>#REF!</v>
      </c>
      <c r="G841" s="2"/>
      <c r="H841" s="37">
        <v>1146</v>
      </c>
      <c r="I841" s="4">
        <f t="shared" si="53"/>
        <v>0</v>
      </c>
      <c r="J841" s="25">
        <f t="shared" si="51"/>
        <v>27</v>
      </c>
    </row>
    <row r="842" spans="1:10" ht="16.95" customHeight="1">
      <c r="A842" s="75">
        <v>12</v>
      </c>
      <c r="B842" s="80" t="s">
        <v>102</v>
      </c>
      <c r="C842" s="77" t="s">
        <v>50</v>
      </c>
      <c r="D842" s="78">
        <v>5</v>
      </c>
      <c r="E842" s="79"/>
      <c r="F842" s="79" t="e">
        <f t="shared" si="52"/>
        <v>#REF!</v>
      </c>
      <c r="G842" s="2"/>
      <c r="H842" s="37">
        <v>1455</v>
      </c>
      <c r="I842" s="4">
        <f t="shared" si="53"/>
        <v>0</v>
      </c>
      <c r="J842" s="25">
        <f t="shared" si="51"/>
        <v>27</v>
      </c>
    </row>
    <row r="843" spans="1:10" ht="16.95" customHeight="1">
      <c r="A843" s="75">
        <v>13</v>
      </c>
      <c r="B843" s="80" t="s">
        <v>103</v>
      </c>
      <c r="C843" s="77" t="s">
        <v>50</v>
      </c>
      <c r="D843" s="78">
        <v>217</v>
      </c>
      <c r="E843" s="79"/>
      <c r="F843" s="79" t="e">
        <f t="shared" si="52"/>
        <v>#REF!</v>
      </c>
      <c r="G843" s="2"/>
      <c r="H843" s="37">
        <v>1410</v>
      </c>
      <c r="I843" s="4">
        <f t="shared" si="53"/>
        <v>0</v>
      </c>
      <c r="J843" s="25">
        <f t="shared" si="51"/>
        <v>27</v>
      </c>
    </row>
    <row r="844" spans="1:10" ht="16.95" customHeight="1">
      <c r="A844" s="75">
        <v>14</v>
      </c>
      <c r="B844" s="80" t="s">
        <v>104</v>
      </c>
      <c r="C844" s="77" t="s">
        <v>49</v>
      </c>
      <c r="D844" s="78">
        <v>84</v>
      </c>
      <c r="E844" s="79"/>
      <c r="F844" s="79" t="e">
        <f t="shared" si="52"/>
        <v>#REF!</v>
      </c>
      <c r="G844" s="2"/>
      <c r="H844" s="37">
        <v>529</v>
      </c>
      <c r="I844" s="4">
        <f t="shared" si="53"/>
        <v>0</v>
      </c>
      <c r="J844" s="25">
        <f t="shared" si="51"/>
        <v>27</v>
      </c>
    </row>
    <row r="845" spans="1:10" ht="16.95" customHeight="1">
      <c r="A845" s="75">
        <v>15</v>
      </c>
      <c r="B845" s="80" t="s">
        <v>105</v>
      </c>
      <c r="C845" s="77" t="s">
        <v>50</v>
      </c>
      <c r="D845" s="78">
        <v>1</v>
      </c>
      <c r="E845" s="79"/>
      <c r="F845" s="79" t="e">
        <f t="shared" si="52"/>
        <v>#REF!</v>
      </c>
      <c r="G845" s="2"/>
      <c r="H845" s="37">
        <v>1146</v>
      </c>
      <c r="I845" s="4">
        <f t="shared" si="53"/>
        <v>0</v>
      </c>
      <c r="J845" s="25">
        <f t="shared" si="51"/>
        <v>27</v>
      </c>
    </row>
    <row r="846" spans="1:10" ht="34.799999999999997" customHeight="1">
      <c r="A846" s="75">
        <v>16</v>
      </c>
      <c r="B846" s="80" t="s">
        <v>106</v>
      </c>
      <c r="C846" s="77" t="s">
        <v>50</v>
      </c>
      <c r="D846" s="78">
        <v>314</v>
      </c>
      <c r="E846" s="79"/>
      <c r="F846" s="79" t="e">
        <f t="shared" si="52"/>
        <v>#REF!</v>
      </c>
      <c r="G846" s="2"/>
      <c r="H846" s="37">
        <v>185</v>
      </c>
      <c r="I846" s="4">
        <f t="shared" si="53"/>
        <v>0</v>
      </c>
      <c r="J846" s="25">
        <f t="shared" si="51"/>
        <v>27</v>
      </c>
    </row>
    <row r="847" spans="1:10" ht="16.95" customHeight="1">
      <c r="A847" s="75">
        <v>17</v>
      </c>
      <c r="B847" s="80" t="s">
        <v>107</v>
      </c>
      <c r="C847" s="77" t="s">
        <v>48</v>
      </c>
      <c r="D847" s="78">
        <v>1</v>
      </c>
      <c r="E847" s="79"/>
      <c r="F847" s="79" t="e">
        <f t="shared" si="52"/>
        <v>#REF!</v>
      </c>
      <c r="G847" s="2"/>
      <c r="H847" s="37">
        <v>89918</v>
      </c>
      <c r="I847" s="4">
        <f t="shared" si="53"/>
        <v>0</v>
      </c>
      <c r="J847" s="25">
        <f t="shared" si="51"/>
        <v>27</v>
      </c>
    </row>
    <row r="848" spans="1:10" ht="16.95" customHeight="1">
      <c r="A848" s="75">
        <v>18</v>
      </c>
      <c r="B848" s="80" t="s">
        <v>108</v>
      </c>
      <c r="C848" s="77" t="s">
        <v>120</v>
      </c>
      <c r="D848" s="78">
        <v>15</v>
      </c>
      <c r="E848" s="79"/>
      <c r="F848" s="79" t="e">
        <f t="shared" si="52"/>
        <v>#REF!</v>
      </c>
      <c r="G848" s="2"/>
      <c r="H848" s="37">
        <v>661</v>
      </c>
      <c r="I848" s="4">
        <f t="shared" si="53"/>
        <v>0</v>
      </c>
      <c r="J848" s="25">
        <f t="shared" si="51"/>
        <v>27</v>
      </c>
    </row>
    <row r="849" spans="1:10" ht="16.95" customHeight="1">
      <c r="A849" s="75">
        <v>19</v>
      </c>
      <c r="B849" s="80" t="s">
        <v>109</v>
      </c>
      <c r="C849" s="77" t="s">
        <v>50</v>
      </c>
      <c r="D849" s="78">
        <v>82</v>
      </c>
      <c r="E849" s="79"/>
      <c r="F849" s="79" t="e">
        <f t="shared" si="52"/>
        <v>#REF!</v>
      </c>
      <c r="G849" s="2"/>
      <c r="H849" s="37">
        <v>2909</v>
      </c>
      <c r="I849" s="4">
        <f t="shared" si="53"/>
        <v>0</v>
      </c>
      <c r="J849" s="25">
        <f t="shared" si="51"/>
        <v>27</v>
      </c>
    </row>
    <row r="850" spans="1:10" ht="16.95" customHeight="1">
      <c r="A850" s="75">
        <v>20</v>
      </c>
      <c r="B850" s="80" t="s">
        <v>110</v>
      </c>
      <c r="C850" s="77" t="s">
        <v>121</v>
      </c>
      <c r="D850" s="78">
        <v>12</v>
      </c>
      <c r="E850" s="79"/>
      <c r="F850" s="79" t="e">
        <f t="shared" si="52"/>
        <v>#REF!</v>
      </c>
      <c r="G850" s="2"/>
      <c r="H850" s="37">
        <v>882</v>
      </c>
      <c r="I850" s="4">
        <f t="shared" si="53"/>
        <v>0</v>
      </c>
      <c r="J850" s="25">
        <f t="shared" si="51"/>
        <v>27</v>
      </c>
    </row>
    <row r="851" spans="1:10" ht="16.95" customHeight="1">
      <c r="A851" s="77">
        <v>21</v>
      </c>
      <c r="B851" s="80" t="s">
        <v>111</v>
      </c>
      <c r="C851" s="77" t="s">
        <v>122</v>
      </c>
      <c r="D851" s="78">
        <v>3</v>
      </c>
      <c r="E851" s="79"/>
      <c r="F851" s="79" t="e">
        <f t="shared" si="52"/>
        <v>#REF!</v>
      </c>
      <c r="G851" s="2"/>
      <c r="H851" s="38">
        <v>1869</v>
      </c>
      <c r="I851" s="4">
        <f t="shared" si="53"/>
        <v>0</v>
      </c>
      <c r="J851" s="25">
        <f t="shared" si="51"/>
        <v>27</v>
      </c>
    </row>
    <row r="852" spans="1:10" ht="34.950000000000003" customHeight="1">
      <c r="A852" s="75">
        <v>22</v>
      </c>
      <c r="B852" s="80" t="s">
        <v>112</v>
      </c>
      <c r="C852" s="77" t="s">
        <v>48</v>
      </c>
      <c r="D852" s="78">
        <v>1</v>
      </c>
      <c r="E852" s="79"/>
      <c r="F852" s="79" t="e">
        <f t="shared" si="52"/>
        <v>#REF!</v>
      </c>
      <c r="G852" s="2"/>
      <c r="H852" s="37">
        <v>82206</v>
      </c>
      <c r="I852" s="4">
        <f t="shared" si="53"/>
        <v>0</v>
      </c>
      <c r="J852" s="25">
        <f t="shared" si="51"/>
        <v>27</v>
      </c>
    </row>
    <row r="853" spans="1:10" ht="16.95" customHeight="1">
      <c r="A853" s="75">
        <v>23</v>
      </c>
      <c r="B853" s="80" t="s">
        <v>113</v>
      </c>
      <c r="C853" s="77" t="s">
        <v>48</v>
      </c>
      <c r="D853" s="78">
        <v>1</v>
      </c>
      <c r="E853" s="79"/>
      <c r="F853" s="79" t="e">
        <f t="shared" si="52"/>
        <v>#REF!</v>
      </c>
      <c r="G853" s="2"/>
      <c r="H853" s="37">
        <v>142723</v>
      </c>
      <c r="I853" s="4">
        <f t="shared" si="53"/>
        <v>0</v>
      </c>
      <c r="J853" s="25">
        <f t="shared" si="51"/>
        <v>27</v>
      </c>
    </row>
    <row r="854" spans="1:10" ht="16.95" customHeight="1">
      <c r="A854" s="75">
        <v>24</v>
      </c>
      <c r="B854" s="80" t="s">
        <v>114</v>
      </c>
      <c r="C854" s="77" t="s">
        <v>48</v>
      </c>
      <c r="D854" s="78">
        <v>1</v>
      </c>
      <c r="E854" s="79"/>
      <c r="F854" s="79" t="e">
        <f t="shared" si="52"/>
        <v>#REF!</v>
      </c>
      <c r="G854" s="2"/>
      <c r="H854" s="37">
        <v>37290</v>
      </c>
      <c r="I854" s="4">
        <f t="shared" si="53"/>
        <v>0</v>
      </c>
      <c r="J854" s="25">
        <f t="shared" si="51"/>
        <v>27</v>
      </c>
    </row>
    <row r="855" spans="1:10" ht="16.95" customHeight="1">
      <c r="A855" s="75">
        <v>25</v>
      </c>
      <c r="B855" s="80" t="s">
        <v>115</v>
      </c>
      <c r="C855" s="77" t="s">
        <v>48</v>
      </c>
      <c r="D855" s="78">
        <v>1</v>
      </c>
      <c r="E855" s="79"/>
      <c r="F855" s="79" t="e">
        <f t="shared" si="52"/>
        <v>#REF!</v>
      </c>
      <c r="G855" s="2"/>
      <c r="H855" s="37">
        <v>99394</v>
      </c>
      <c r="I855" s="4">
        <f t="shared" si="53"/>
        <v>0</v>
      </c>
      <c r="J855" s="25">
        <f t="shared" si="51"/>
        <v>27</v>
      </c>
    </row>
    <row r="856" spans="1:10" ht="34.950000000000003" customHeight="1">
      <c r="A856" s="75">
        <v>26</v>
      </c>
      <c r="B856" s="80" t="s">
        <v>116</v>
      </c>
      <c r="C856" s="77" t="s">
        <v>48</v>
      </c>
      <c r="D856" s="78">
        <v>1</v>
      </c>
      <c r="E856" s="79"/>
      <c r="F856" s="79" t="e">
        <f t="shared" si="52"/>
        <v>#REF!</v>
      </c>
      <c r="G856" s="2"/>
      <c r="H856" s="37">
        <v>21334</v>
      </c>
      <c r="I856" s="4">
        <f t="shared" si="53"/>
        <v>0</v>
      </c>
      <c r="J856" s="25">
        <f t="shared" si="51"/>
        <v>27</v>
      </c>
    </row>
    <row r="857" spans="1:10" ht="16.95" customHeight="1">
      <c r="A857" s="75">
        <v>27</v>
      </c>
      <c r="B857" s="80" t="s">
        <v>117</v>
      </c>
      <c r="C857" s="77" t="s">
        <v>48</v>
      </c>
      <c r="D857" s="78">
        <v>1</v>
      </c>
      <c r="E857" s="79"/>
      <c r="F857" s="79" t="e">
        <f t="shared" si="52"/>
        <v>#REF!</v>
      </c>
      <c r="G857" s="2"/>
      <c r="H857" s="37">
        <v>29620</v>
      </c>
      <c r="I857" s="4">
        <f t="shared" si="53"/>
        <v>0</v>
      </c>
      <c r="J857" s="25">
        <f t="shared" si="51"/>
        <v>27</v>
      </c>
    </row>
    <row r="858" spans="1:10" ht="16.95" customHeight="1">
      <c r="A858" s="75">
        <v>28</v>
      </c>
      <c r="B858" s="80" t="s">
        <v>118</v>
      </c>
      <c r="C858" s="77" t="s">
        <v>48</v>
      </c>
      <c r="D858" s="78">
        <v>1</v>
      </c>
      <c r="E858" s="79"/>
      <c r="F858" s="79" t="e">
        <f t="shared" si="52"/>
        <v>#REF!</v>
      </c>
      <c r="G858" s="2"/>
      <c r="H858" s="37">
        <v>18506</v>
      </c>
      <c r="I858" s="4">
        <f t="shared" si="53"/>
        <v>0</v>
      </c>
      <c r="J858" s="25">
        <f t="shared" si="51"/>
        <v>27</v>
      </c>
    </row>
    <row r="859" spans="1:10" ht="16.95" customHeight="1">
      <c r="A859" s="75">
        <v>29</v>
      </c>
      <c r="B859" s="80" t="s">
        <v>119</v>
      </c>
      <c r="C859" s="77" t="s">
        <v>48</v>
      </c>
      <c r="D859" s="78">
        <v>1</v>
      </c>
      <c r="E859" s="79"/>
      <c r="F859" s="79" t="e">
        <f t="shared" si="52"/>
        <v>#REF!</v>
      </c>
      <c r="G859" s="2"/>
      <c r="H859" s="37">
        <v>34381</v>
      </c>
      <c r="I859" s="4">
        <f t="shared" si="53"/>
        <v>0</v>
      </c>
      <c r="J859" s="25">
        <f t="shared" si="51"/>
        <v>27</v>
      </c>
    </row>
    <row r="860" spans="1:10" ht="16.95" customHeight="1">
      <c r="A860" s="75" t="s">
        <v>79</v>
      </c>
      <c r="B860" s="80" t="s">
        <v>80</v>
      </c>
      <c r="C860" s="77" t="s">
        <v>48</v>
      </c>
      <c r="D860" s="78">
        <v>1</v>
      </c>
      <c r="E860" s="79">
        <f t="shared" ref="E860:E863" si="54">1/120</f>
        <v>8.3333333333333332E-3</v>
      </c>
      <c r="F860" s="79" t="e">
        <f t="shared" si="52"/>
        <v>#REF!</v>
      </c>
      <c r="G860" s="2"/>
      <c r="H860" s="37">
        <v>21395</v>
      </c>
      <c r="I860" s="4">
        <f t="shared" si="53"/>
        <v>178.29166666666666</v>
      </c>
      <c r="J860" s="25">
        <f t="shared" si="51"/>
        <v>27</v>
      </c>
    </row>
    <row r="861" spans="1:10" ht="16.95" customHeight="1">
      <c r="A861" s="75" t="s">
        <v>81</v>
      </c>
      <c r="B861" s="80" t="s">
        <v>82</v>
      </c>
      <c r="C861" s="77" t="s">
        <v>48</v>
      </c>
      <c r="D861" s="78">
        <v>1</v>
      </c>
      <c r="E861" s="79">
        <f t="shared" si="54"/>
        <v>8.3333333333333332E-3</v>
      </c>
      <c r="F861" s="79" t="e">
        <f t="shared" si="52"/>
        <v>#REF!</v>
      </c>
      <c r="G861" s="2"/>
      <c r="H861" s="37">
        <v>21395</v>
      </c>
      <c r="I861" s="4">
        <f t="shared" si="53"/>
        <v>178.29166666666666</v>
      </c>
      <c r="J861" s="25">
        <f t="shared" si="51"/>
        <v>27</v>
      </c>
    </row>
    <row r="862" spans="1:10" ht="16.95" customHeight="1">
      <c r="A862" s="75" t="s">
        <v>83</v>
      </c>
      <c r="B862" s="80" t="s">
        <v>84</v>
      </c>
      <c r="C862" s="77" t="s">
        <v>48</v>
      </c>
      <c r="D862" s="78">
        <v>1</v>
      </c>
      <c r="E862" s="79">
        <f t="shared" si="54"/>
        <v>8.3333333333333332E-3</v>
      </c>
      <c r="F862" s="79" t="e">
        <f t="shared" si="52"/>
        <v>#REF!</v>
      </c>
      <c r="G862" s="2"/>
      <c r="H862" s="37">
        <v>149765</v>
      </c>
      <c r="I862" s="4">
        <f t="shared" si="53"/>
        <v>1248.0416666666667</v>
      </c>
      <c r="J862" s="25">
        <f t="shared" si="51"/>
        <v>27</v>
      </c>
    </row>
    <row r="863" spans="1:10" ht="16.95" customHeight="1">
      <c r="A863" s="75" t="s">
        <v>85</v>
      </c>
      <c r="B863" s="80" t="s">
        <v>86</v>
      </c>
      <c r="C863" s="77" t="s">
        <v>48</v>
      </c>
      <c r="D863" s="78">
        <v>1</v>
      </c>
      <c r="E863" s="79">
        <f t="shared" si="54"/>
        <v>8.3333333333333332E-3</v>
      </c>
      <c r="F863" s="79" t="e">
        <f t="shared" si="52"/>
        <v>#REF!</v>
      </c>
      <c r="G863" s="2"/>
      <c r="H863" s="37">
        <v>6996</v>
      </c>
      <c r="I863" s="4">
        <f t="shared" si="53"/>
        <v>58.3</v>
      </c>
      <c r="J863" s="25">
        <f t="shared" si="51"/>
        <v>27</v>
      </c>
    </row>
    <row r="864" spans="1:10" ht="16.95" customHeight="1">
      <c r="A864" s="75" t="s">
        <v>87</v>
      </c>
      <c r="B864" s="80" t="s">
        <v>88</v>
      </c>
      <c r="C864" s="77" t="s">
        <v>48</v>
      </c>
      <c r="D864" s="78">
        <v>1</v>
      </c>
      <c r="E864" s="79">
        <f>1/120</f>
        <v>8.3333333333333332E-3</v>
      </c>
      <c r="F864" s="79" t="e">
        <f t="shared" si="52"/>
        <v>#REF!</v>
      </c>
      <c r="G864" s="2"/>
      <c r="H864" s="37">
        <v>116952</v>
      </c>
      <c r="I864" s="4">
        <f t="shared" si="53"/>
        <v>974.6</v>
      </c>
      <c r="J864" s="25">
        <f t="shared" si="51"/>
        <v>27</v>
      </c>
    </row>
    <row r="865" spans="1:10" ht="16.95" customHeight="1">
      <c r="A865" s="95" t="s">
        <v>23</v>
      </c>
      <c r="B865" s="95"/>
      <c r="C865" s="50"/>
      <c r="D865" s="50"/>
      <c r="E865" s="50"/>
      <c r="F865" s="50"/>
      <c r="G865" s="50"/>
      <c r="H865" s="3" t="s">
        <v>24</v>
      </c>
      <c r="I865" s="5">
        <f>SUM(I830:I864)</f>
        <v>2637.5250000000001</v>
      </c>
      <c r="J865" s="25">
        <f t="shared" si="51"/>
        <v>27</v>
      </c>
    </row>
    <row r="866" spans="1:10" ht="16.95" customHeight="1">
      <c r="A866" s="96" t="s">
        <v>25</v>
      </c>
      <c r="B866" s="96"/>
      <c r="C866" s="50"/>
      <c r="D866" s="50"/>
      <c r="E866" s="50"/>
      <c r="F866" s="50"/>
      <c r="G866" s="50"/>
      <c r="J866" s="25">
        <f t="shared" si="51"/>
        <v>27</v>
      </c>
    </row>
    <row r="867" spans="1:10" ht="16.95" customHeight="1">
      <c r="A867" s="96" t="s">
        <v>26</v>
      </c>
      <c r="B867" s="96"/>
      <c r="C867" s="50"/>
      <c r="D867" s="50"/>
      <c r="E867" s="50"/>
      <c r="F867" s="50"/>
      <c r="G867" s="50"/>
      <c r="J867" s="25">
        <f t="shared" si="51"/>
        <v>27</v>
      </c>
    </row>
    <row r="868" spans="1:10" ht="16.95" customHeight="1">
      <c r="A868" s="95" t="s">
        <v>27</v>
      </c>
      <c r="B868" s="95"/>
      <c r="C868" s="95"/>
      <c r="D868" s="95"/>
      <c r="E868" s="95"/>
      <c r="F868" s="95"/>
      <c r="G868" s="95"/>
      <c r="J868" s="25">
        <f t="shared" si="51"/>
        <v>27</v>
      </c>
    </row>
    <row r="869" spans="1:10" ht="16.95" customHeight="1">
      <c r="A869" s="94" t="s">
        <v>28</v>
      </c>
      <c r="B869" s="94"/>
      <c r="C869" s="51" t="s">
        <v>29</v>
      </c>
      <c r="D869" s="51" t="s">
        <v>30</v>
      </c>
      <c r="E869" s="51" t="s">
        <v>18</v>
      </c>
      <c r="F869" s="51" t="s">
        <v>31</v>
      </c>
      <c r="G869" s="51" t="s">
        <v>20</v>
      </c>
      <c r="J869" s="25">
        <f t="shared" si="51"/>
        <v>27</v>
      </c>
    </row>
    <row r="870" spans="1:10" ht="16.95" customHeight="1">
      <c r="A870" s="96"/>
      <c r="B870" s="96"/>
      <c r="C870" s="50"/>
      <c r="D870" s="50"/>
      <c r="E870" s="50"/>
      <c r="F870" s="50"/>
      <c r="G870" s="51"/>
      <c r="J870" s="25">
        <f t="shared" si="51"/>
        <v>27</v>
      </c>
    </row>
    <row r="871" spans="1:10" ht="16.95" customHeight="1">
      <c r="A871" s="97"/>
      <c r="B871" s="97"/>
      <c r="C871" s="50"/>
      <c r="D871" s="50"/>
      <c r="E871" s="50"/>
      <c r="F871" s="51"/>
      <c r="G871" s="51"/>
      <c r="J871" s="25">
        <f t="shared" si="51"/>
        <v>27</v>
      </c>
    </row>
    <row r="872" spans="1:10" ht="16.95" customHeight="1">
      <c r="A872" s="95" t="s">
        <v>32</v>
      </c>
      <c r="B872" s="95"/>
      <c r="C872" s="95"/>
      <c r="D872" s="95"/>
      <c r="E872" s="95"/>
      <c r="F872" s="95"/>
      <c r="G872" s="95"/>
      <c r="J872" s="25">
        <f t="shared" si="51"/>
        <v>28</v>
      </c>
    </row>
    <row r="873" spans="1:10" ht="16.95" customHeight="1">
      <c r="A873" s="51" t="s">
        <v>33</v>
      </c>
      <c r="B873" s="51" t="s">
        <v>34</v>
      </c>
      <c r="C873" s="94" t="s">
        <v>35</v>
      </c>
      <c r="D873" s="94"/>
      <c r="E873" s="51" t="s">
        <v>36</v>
      </c>
      <c r="F873" s="51" t="s">
        <v>37</v>
      </c>
      <c r="G873" s="51" t="s">
        <v>38</v>
      </c>
      <c r="J873" s="25">
        <f t="shared" si="51"/>
        <v>28</v>
      </c>
    </row>
    <row r="874" spans="1:10" ht="16.95" customHeight="1">
      <c r="A874" s="51" t="s">
        <v>39</v>
      </c>
      <c r="B874" s="6"/>
      <c r="C874" s="94" t="e">
        <f>B874+C811</f>
        <v>#REF!</v>
      </c>
      <c r="D874" s="94"/>
      <c r="E874" s="51"/>
      <c r="F874" s="24"/>
      <c r="G874" s="24"/>
      <c r="J874" s="25">
        <f t="shared" si="51"/>
        <v>28</v>
      </c>
    </row>
    <row r="875" spans="1:10" ht="16.95" customHeight="1">
      <c r="A875" s="51" t="s">
        <v>40</v>
      </c>
      <c r="B875" s="6"/>
      <c r="C875" s="94" t="e">
        <f>B875+C812</f>
        <v>#REF!</v>
      </c>
      <c r="D875" s="94"/>
      <c r="E875" s="51"/>
      <c r="F875" s="24"/>
      <c r="G875" s="24"/>
      <c r="J875" s="25">
        <f t="shared" si="51"/>
        <v>28</v>
      </c>
    </row>
    <row r="876" spans="1:10" ht="36.6" customHeight="1">
      <c r="A876" s="95" t="s">
        <v>41</v>
      </c>
      <c r="B876" s="95"/>
      <c r="C876" s="95"/>
      <c r="D876" s="95"/>
      <c r="E876" s="95"/>
      <c r="F876" s="95"/>
      <c r="G876" s="95"/>
      <c r="J876" s="25">
        <f t="shared" si="51"/>
        <v>28</v>
      </c>
    </row>
    <row r="877" spans="1:10" ht="90" customHeight="1">
      <c r="A877" s="92" t="s">
        <v>42</v>
      </c>
      <c r="B877" s="92"/>
      <c r="C877" s="92"/>
      <c r="D877" s="92"/>
      <c r="E877" s="92"/>
      <c r="F877" s="92"/>
      <c r="G877" s="92"/>
      <c r="J877" s="25">
        <f t="shared" si="51"/>
        <v>28</v>
      </c>
    </row>
    <row r="878" spans="1:10" ht="16.95" customHeight="1">
      <c r="A878" s="95" t="s">
        <v>43</v>
      </c>
      <c r="B878" s="95"/>
      <c r="C878" s="95"/>
      <c r="D878" s="95"/>
      <c r="E878" s="95"/>
      <c r="F878" s="95"/>
      <c r="G878" s="95"/>
      <c r="J878" s="25">
        <f t="shared" si="51"/>
        <v>28</v>
      </c>
    </row>
    <row r="879" spans="1:10" ht="16.95" customHeight="1">
      <c r="A879" s="95" t="s">
        <v>44</v>
      </c>
      <c r="B879" s="95"/>
      <c r="C879" s="95"/>
      <c r="D879" s="95"/>
      <c r="E879" s="95"/>
      <c r="F879" s="95"/>
      <c r="G879" s="95"/>
      <c r="J879" s="25">
        <f t="shared" si="51"/>
        <v>28</v>
      </c>
    </row>
    <row r="880" spans="1:10" ht="16.95" customHeight="1">
      <c r="A880" s="91" t="s">
        <v>64</v>
      </c>
      <c r="B880" s="91"/>
      <c r="C880" s="91"/>
      <c r="D880" s="91"/>
      <c r="E880" s="91"/>
      <c r="F880" s="91"/>
      <c r="G880" s="91"/>
      <c r="J880" s="25">
        <f t="shared" si="51"/>
        <v>28</v>
      </c>
    </row>
    <row r="881" spans="1:10" ht="120.6" customHeight="1">
      <c r="A881" s="92" t="s">
        <v>45</v>
      </c>
      <c r="B881" s="92"/>
      <c r="C881" s="92"/>
      <c r="D881" s="92"/>
      <c r="E881" s="92"/>
      <c r="F881" s="92"/>
      <c r="G881" s="92"/>
      <c r="J881" s="25">
        <f t="shared" si="51"/>
        <v>28</v>
      </c>
    </row>
    <row r="882" spans="1:10" ht="140.4" customHeight="1">
      <c r="A882" s="93" t="s">
        <v>46</v>
      </c>
      <c r="B882" s="93"/>
      <c r="C882" s="93"/>
      <c r="D882" s="93"/>
      <c r="E882" s="93"/>
      <c r="F882" s="93"/>
      <c r="G882" s="93"/>
      <c r="J882" s="25">
        <f t="shared" si="51"/>
        <v>28</v>
      </c>
    </row>
    <row r="883" spans="1:10" ht="37.200000000000003" customHeight="1">
      <c r="A883" s="103" t="s">
        <v>0</v>
      </c>
      <c r="B883" s="103"/>
      <c r="C883" s="103"/>
      <c r="D883" s="103"/>
      <c r="E883" s="103"/>
      <c r="F883" s="103"/>
      <c r="G883" s="103"/>
      <c r="J883" s="25">
        <f t="shared" si="51"/>
        <v>29</v>
      </c>
    </row>
    <row r="884" spans="1:10" ht="16.95" customHeight="1">
      <c r="A884" s="1" t="s">
        <v>1</v>
      </c>
      <c r="B884" s="104">
        <f>B821+1</f>
        <v>16</v>
      </c>
      <c r="C884" s="104"/>
      <c r="D884" s="104"/>
      <c r="E884" s="104"/>
      <c r="F884" s="104"/>
      <c r="G884" s="104"/>
      <c r="J884" s="25">
        <f t="shared" si="51"/>
        <v>29</v>
      </c>
    </row>
    <row r="885" spans="1:10" ht="16.95" customHeight="1">
      <c r="A885" s="1" t="s">
        <v>2</v>
      </c>
      <c r="B885" s="105" t="s">
        <v>63</v>
      </c>
      <c r="C885" s="105"/>
      <c r="D885" s="105"/>
      <c r="E885" s="106">
        <f>E822+1</f>
        <v>46218</v>
      </c>
      <c r="F885" s="106"/>
      <c r="G885" s="106"/>
      <c r="J885" s="25">
        <f t="shared" si="51"/>
        <v>29</v>
      </c>
    </row>
    <row r="886" spans="1:10" ht="16.95" customHeight="1">
      <c r="A886" s="53" t="s">
        <v>3</v>
      </c>
      <c r="B886" s="2" t="s">
        <v>67</v>
      </c>
      <c r="C886" s="98" t="s">
        <v>4</v>
      </c>
      <c r="D886" s="98"/>
      <c r="E886" s="98" t="s">
        <v>47</v>
      </c>
      <c r="F886" s="98"/>
      <c r="G886" s="98"/>
      <c r="J886" s="25">
        <f t="shared" si="51"/>
        <v>29</v>
      </c>
    </row>
    <row r="887" spans="1:10" ht="16.95" customHeight="1">
      <c r="A887" s="53" t="s">
        <v>5</v>
      </c>
      <c r="B887" s="54">
        <v>120</v>
      </c>
      <c r="C887" s="98" t="s">
        <v>6</v>
      </c>
      <c r="D887" s="98"/>
      <c r="E887" s="98" t="s">
        <v>123</v>
      </c>
      <c r="F887" s="98"/>
      <c r="G887" s="98"/>
      <c r="J887" s="25">
        <f t="shared" si="51"/>
        <v>29</v>
      </c>
    </row>
    <row r="888" spans="1:10" ht="16.95" customHeight="1">
      <c r="A888" s="53" t="s">
        <v>7</v>
      </c>
      <c r="B888" s="54">
        <f>B884</f>
        <v>16</v>
      </c>
      <c r="C888" s="100" t="s">
        <v>8</v>
      </c>
      <c r="D888" s="100"/>
      <c r="E888" s="101">
        <f>B887-B888</f>
        <v>104</v>
      </c>
      <c r="F888" s="101"/>
      <c r="G888" s="101"/>
      <c r="J888" s="25">
        <f t="shared" si="51"/>
        <v>29</v>
      </c>
    </row>
    <row r="889" spans="1:10" ht="16.95" customHeight="1">
      <c r="A889" s="53" t="s">
        <v>9</v>
      </c>
      <c r="B889" s="55">
        <v>46204</v>
      </c>
      <c r="C889" s="98" t="s">
        <v>10</v>
      </c>
      <c r="D889" s="98"/>
      <c r="E889" s="102">
        <f>B889+B887-1</f>
        <v>46323</v>
      </c>
      <c r="F889" s="102"/>
      <c r="G889" s="102"/>
      <c r="J889" s="25">
        <f t="shared" si="51"/>
        <v>29</v>
      </c>
    </row>
    <row r="890" spans="1:10" ht="16.95" customHeight="1">
      <c r="A890" s="53" t="s">
        <v>11</v>
      </c>
      <c r="B890" s="56" t="e">
        <f>HLOOKUP(B884,進度表!$Q$2:$Z$3,2,1)+B827</f>
        <v>#REF!</v>
      </c>
      <c r="C890" s="98" t="s">
        <v>12</v>
      </c>
      <c r="D890" s="98"/>
      <c r="E890" s="99" t="e">
        <f>I928/I890+E827</f>
        <v>#REF!</v>
      </c>
      <c r="F890" s="99"/>
      <c r="G890" s="99"/>
      <c r="H890" s="3" t="s">
        <v>62</v>
      </c>
      <c r="I890" s="1">
        <v>2456000</v>
      </c>
      <c r="J890" s="25">
        <f t="shared" si="51"/>
        <v>29</v>
      </c>
    </row>
    <row r="891" spans="1:10" ht="16.95" customHeight="1">
      <c r="A891" s="98" t="s">
        <v>13</v>
      </c>
      <c r="B891" s="98"/>
      <c r="C891" s="98"/>
      <c r="D891" s="98"/>
      <c r="E891" s="98"/>
      <c r="F891" s="98"/>
      <c r="G891" s="98"/>
      <c r="J891" s="25">
        <f t="shared" ref="J891:J954" si="55">J828+2</f>
        <v>29</v>
      </c>
    </row>
    <row r="892" spans="1:10" ht="16.95" customHeight="1">
      <c r="A892" s="52" t="s">
        <v>14</v>
      </c>
      <c r="B892" s="52" t="s">
        <v>15</v>
      </c>
      <c r="C892" s="52" t="s">
        <v>16</v>
      </c>
      <c r="D892" s="52" t="s">
        <v>17</v>
      </c>
      <c r="E892" s="52" t="s">
        <v>18</v>
      </c>
      <c r="F892" s="52" t="s">
        <v>19</v>
      </c>
      <c r="G892" s="52" t="s">
        <v>20</v>
      </c>
      <c r="H892" s="3" t="s">
        <v>21</v>
      </c>
      <c r="I892" s="3" t="s">
        <v>22</v>
      </c>
      <c r="J892" s="25">
        <f t="shared" si="55"/>
        <v>29</v>
      </c>
    </row>
    <row r="893" spans="1:10" ht="16.95" customHeight="1">
      <c r="A893" s="75" t="s">
        <v>65</v>
      </c>
      <c r="B893" s="76" t="s">
        <v>69</v>
      </c>
      <c r="C893" s="77"/>
      <c r="D893" s="78"/>
      <c r="E893" s="79"/>
      <c r="F893" s="79"/>
      <c r="G893" s="2"/>
      <c r="H893" s="37"/>
      <c r="I893" s="4"/>
      <c r="J893" s="25">
        <f t="shared" si="55"/>
        <v>29</v>
      </c>
    </row>
    <row r="894" spans="1:10" ht="34.950000000000003" customHeight="1">
      <c r="A894" s="75">
        <v>1</v>
      </c>
      <c r="B894" s="80" t="s">
        <v>91</v>
      </c>
      <c r="C894" s="77" t="s">
        <v>48</v>
      </c>
      <c r="D894" s="78">
        <v>1</v>
      </c>
      <c r="E894" s="79"/>
      <c r="F894" s="79" t="e">
        <f t="shared" ref="F894:F927" si="56">E894+F831</f>
        <v>#REF!</v>
      </c>
      <c r="G894" s="2"/>
      <c r="H894" s="37">
        <v>10508</v>
      </c>
      <c r="I894" s="4">
        <f>H894*E894</f>
        <v>0</v>
      </c>
      <c r="J894" s="25">
        <f t="shared" si="55"/>
        <v>29</v>
      </c>
    </row>
    <row r="895" spans="1:10" ht="34.799999999999997" customHeight="1">
      <c r="A895" s="75">
        <v>2</v>
      </c>
      <c r="B895" s="80" t="s">
        <v>92</v>
      </c>
      <c r="C895" s="77" t="s">
        <v>48</v>
      </c>
      <c r="D895" s="78">
        <v>1</v>
      </c>
      <c r="E895" s="79"/>
      <c r="F895" s="79" t="e">
        <f t="shared" si="56"/>
        <v>#REF!</v>
      </c>
      <c r="G895" s="2"/>
      <c r="H895" s="37">
        <v>13223</v>
      </c>
      <c r="I895" s="4">
        <f>H895*E895</f>
        <v>0</v>
      </c>
      <c r="J895" s="25">
        <f t="shared" si="55"/>
        <v>29</v>
      </c>
    </row>
    <row r="896" spans="1:10" ht="53.4" customHeight="1">
      <c r="A896" s="75">
        <v>3</v>
      </c>
      <c r="B896" s="80" t="s">
        <v>93</v>
      </c>
      <c r="C896" s="77" t="s">
        <v>48</v>
      </c>
      <c r="D896" s="78">
        <v>1</v>
      </c>
      <c r="E896" s="79"/>
      <c r="F896" s="79" t="e">
        <f t="shared" si="56"/>
        <v>#REF!</v>
      </c>
      <c r="G896" s="2"/>
      <c r="H896" s="37">
        <v>310497</v>
      </c>
      <c r="I896" s="4">
        <f t="shared" ref="I896:I927" si="57">H896*E896</f>
        <v>0</v>
      </c>
      <c r="J896" s="25">
        <f t="shared" si="55"/>
        <v>29</v>
      </c>
    </row>
    <row r="897" spans="1:10" ht="16.95" customHeight="1">
      <c r="A897" s="75">
        <v>4</v>
      </c>
      <c r="B897" s="80" t="s">
        <v>94</v>
      </c>
      <c r="C897" s="77" t="s">
        <v>48</v>
      </c>
      <c r="D897" s="78">
        <v>1</v>
      </c>
      <c r="E897" s="79"/>
      <c r="F897" s="79" t="e">
        <f t="shared" si="56"/>
        <v>#REF!</v>
      </c>
      <c r="G897" s="2"/>
      <c r="H897" s="37">
        <v>8375</v>
      </c>
      <c r="I897" s="4">
        <f t="shared" si="57"/>
        <v>0</v>
      </c>
      <c r="J897" s="25">
        <f t="shared" si="55"/>
        <v>29</v>
      </c>
    </row>
    <row r="898" spans="1:10" ht="16.95" customHeight="1">
      <c r="A898" s="75">
        <v>5</v>
      </c>
      <c r="B898" s="80" t="s">
        <v>95</v>
      </c>
      <c r="C898" s="77" t="s">
        <v>48</v>
      </c>
      <c r="D898" s="78">
        <v>1</v>
      </c>
      <c r="E898" s="79"/>
      <c r="F898" s="79" t="e">
        <f t="shared" si="56"/>
        <v>#REF!</v>
      </c>
      <c r="G898" s="2"/>
      <c r="H898" s="37">
        <v>51618</v>
      </c>
      <c r="I898" s="4">
        <f t="shared" si="57"/>
        <v>0</v>
      </c>
      <c r="J898" s="25">
        <f t="shared" si="55"/>
        <v>29</v>
      </c>
    </row>
    <row r="899" spans="1:10" ht="16.95" customHeight="1">
      <c r="A899" s="75">
        <v>6</v>
      </c>
      <c r="B899" s="80" t="s">
        <v>96</v>
      </c>
      <c r="C899" s="77" t="s">
        <v>50</v>
      </c>
      <c r="D899" s="78">
        <v>11.55</v>
      </c>
      <c r="E899" s="79"/>
      <c r="F899" s="79" t="e">
        <f t="shared" si="56"/>
        <v>#REF!</v>
      </c>
      <c r="G899" s="2"/>
      <c r="H899" s="37">
        <v>1188</v>
      </c>
      <c r="I899" s="4">
        <f t="shared" si="57"/>
        <v>0</v>
      </c>
      <c r="J899" s="25">
        <f t="shared" si="55"/>
        <v>29</v>
      </c>
    </row>
    <row r="900" spans="1:10" ht="34.950000000000003" customHeight="1">
      <c r="A900" s="75">
        <v>7</v>
      </c>
      <c r="B900" s="80" t="s">
        <v>97</v>
      </c>
      <c r="C900" s="77" t="s">
        <v>48</v>
      </c>
      <c r="D900" s="78">
        <v>1</v>
      </c>
      <c r="E900" s="79"/>
      <c r="F900" s="79" t="e">
        <f t="shared" si="56"/>
        <v>#REF!</v>
      </c>
      <c r="G900" s="2"/>
      <c r="H900" s="37">
        <v>21157</v>
      </c>
      <c r="I900" s="4">
        <f t="shared" si="57"/>
        <v>0</v>
      </c>
      <c r="J900" s="25">
        <f t="shared" si="55"/>
        <v>29</v>
      </c>
    </row>
    <row r="901" spans="1:10" ht="16.95" customHeight="1">
      <c r="A901" s="75">
        <v>8</v>
      </c>
      <c r="B901" s="80" t="s">
        <v>98</v>
      </c>
      <c r="C901" s="77" t="s">
        <v>50</v>
      </c>
      <c r="D901" s="78">
        <v>387</v>
      </c>
      <c r="E901" s="79"/>
      <c r="F901" s="79" t="e">
        <f t="shared" si="56"/>
        <v>#REF!</v>
      </c>
      <c r="G901" s="2"/>
      <c r="H901" s="37">
        <v>705</v>
      </c>
      <c r="I901" s="4">
        <f t="shared" si="57"/>
        <v>0</v>
      </c>
      <c r="J901" s="25">
        <f t="shared" si="55"/>
        <v>29</v>
      </c>
    </row>
    <row r="902" spans="1:10" ht="16.95" customHeight="1">
      <c r="A902" s="75">
        <v>9</v>
      </c>
      <c r="B902" s="80" t="s">
        <v>99</v>
      </c>
      <c r="C902" s="77" t="s">
        <v>50</v>
      </c>
      <c r="D902" s="78">
        <v>170</v>
      </c>
      <c r="E902" s="79"/>
      <c r="F902" s="79" t="e">
        <f t="shared" si="56"/>
        <v>#REF!</v>
      </c>
      <c r="G902" s="2"/>
      <c r="H902" s="37">
        <v>617</v>
      </c>
      <c r="I902" s="4">
        <f t="shared" si="57"/>
        <v>0</v>
      </c>
      <c r="J902" s="25">
        <f t="shared" si="55"/>
        <v>29</v>
      </c>
    </row>
    <row r="903" spans="1:10" ht="16.95" customHeight="1">
      <c r="A903" s="75">
        <v>10</v>
      </c>
      <c r="B903" s="80" t="s">
        <v>100</v>
      </c>
      <c r="C903" s="77" t="s">
        <v>66</v>
      </c>
      <c r="D903" s="78">
        <v>15</v>
      </c>
      <c r="E903" s="79"/>
      <c r="F903" s="79" t="e">
        <f t="shared" si="56"/>
        <v>#REF!</v>
      </c>
      <c r="G903" s="2"/>
      <c r="H903" s="37">
        <v>617</v>
      </c>
      <c r="I903" s="4">
        <f t="shared" si="57"/>
        <v>0</v>
      </c>
      <c r="J903" s="25">
        <f t="shared" si="55"/>
        <v>29</v>
      </c>
    </row>
    <row r="904" spans="1:10" ht="16.95" customHeight="1">
      <c r="A904" s="75">
        <v>11</v>
      </c>
      <c r="B904" s="80" t="s">
        <v>101</v>
      </c>
      <c r="C904" s="77" t="s">
        <v>50</v>
      </c>
      <c r="D904" s="78">
        <v>75</v>
      </c>
      <c r="E904" s="79"/>
      <c r="F904" s="79" t="e">
        <f t="shared" si="56"/>
        <v>#REF!</v>
      </c>
      <c r="G904" s="2"/>
      <c r="H904" s="37">
        <v>1146</v>
      </c>
      <c r="I904" s="4">
        <f t="shared" si="57"/>
        <v>0</v>
      </c>
      <c r="J904" s="25">
        <f t="shared" si="55"/>
        <v>29</v>
      </c>
    </row>
    <row r="905" spans="1:10" ht="16.95" customHeight="1">
      <c r="A905" s="75">
        <v>12</v>
      </c>
      <c r="B905" s="80" t="s">
        <v>102</v>
      </c>
      <c r="C905" s="77" t="s">
        <v>50</v>
      </c>
      <c r="D905" s="78">
        <v>5</v>
      </c>
      <c r="E905" s="79"/>
      <c r="F905" s="79" t="e">
        <f t="shared" si="56"/>
        <v>#REF!</v>
      </c>
      <c r="G905" s="2"/>
      <c r="H905" s="37">
        <v>1455</v>
      </c>
      <c r="I905" s="4">
        <f t="shared" si="57"/>
        <v>0</v>
      </c>
      <c r="J905" s="25">
        <f t="shared" si="55"/>
        <v>29</v>
      </c>
    </row>
    <row r="906" spans="1:10" ht="16.95" customHeight="1">
      <c r="A906" s="75">
        <v>13</v>
      </c>
      <c r="B906" s="80" t="s">
        <v>103</v>
      </c>
      <c r="C906" s="77" t="s">
        <v>50</v>
      </c>
      <c r="D906" s="78">
        <v>217</v>
      </c>
      <c r="E906" s="79"/>
      <c r="F906" s="79" t="e">
        <f t="shared" si="56"/>
        <v>#REF!</v>
      </c>
      <c r="G906" s="2"/>
      <c r="H906" s="37">
        <v>1410</v>
      </c>
      <c r="I906" s="4">
        <f t="shared" si="57"/>
        <v>0</v>
      </c>
      <c r="J906" s="25">
        <f t="shared" si="55"/>
        <v>29</v>
      </c>
    </row>
    <row r="907" spans="1:10" ht="16.95" customHeight="1">
      <c r="A907" s="75">
        <v>14</v>
      </c>
      <c r="B907" s="80" t="s">
        <v>104</v>
      </c>
      <c r="C907" s="77" t="s">
        <v>49</v>
      </c>
      <c r="D907" s="78">
        <v>84</v>
      </c>
      <c r="E907" s="79"/>
      <c r="F907" s="79" t="e">
        <f t="shared" si="56"/>
        <v>#REF!</v>
      </c>
      <c r="G907" s="2"/>
      <c r="H907" s="37">
        <v>529</v>
      </c>
      <c r="I907" s="4">
        <f t="shared" si="57"/>
        <v>0</v>
      </c>
      <c r="J907" s="25">
        <f t="shared" si="55"/>
        <v>29</v>
      </c>
    </row>
    <row r="908" spans="1:10" ht="16.95" customHeight="1">
      <c r="A908" s="75">
        <v>15</v>
      </c>
      <c r="B908" s="80" t="s">
        <v>105</v>
      </c>
      <c r="C908" s="77" t="s">
        <v>50</v>
      </c>
      <c r="D908" s="78">
        <v>1</v>
      </c>
      <c r="E908" s="79"/>
      <c r="F908" s="79" t="e">
        <f t="shared" si="56"/>
        <v>#REF!</v>
      </c>
      <c r="G908" s="2"/>
      <c r="H908" s="37">
        <v>1146</v>
      </c>
      <c r="I908" s="4">
        <f t="shared" si="57"/>
        <v>0</v>
      </c>
      <c r="J908" s="25">
        <f t="shared" si="55"/>
        <v>29</v>
      </c>
    </row>
    <row r="909" spans="1:10" ht="34.799999999999997" customHeight="1">
      <c r="A909" s="75">
        <v>16</v>
      </c>
      <c r="B909" s="80" t="s">
        <v>106</v>
      </c>
      <c r="C909" s="77" t="s">
        <v>50</v>
      </c>
      <c r="D909" s="78">
        <v>314</v>
      </c>
      <c r="E909" s="79"/>
      <c r="F909" s="79" t="e">
        <f t="shared" si="56"/>
        <v>#REF!</v>
      </c>
      <c r="G909" s="2"/>
      <c r="H909" s="37">
        <v>185</v>
      </c>
      <c r="I909" s="4">
        <f t="shared" si="57"/>
        <v>0</v>
      </c>
      <c r="J909" s="25">
        <f t="shared" si="55"/>
        <v>29</v>
      </c>
    </row>
    <row r="910" spans="1:10" ht="16.95" customHeight="1">
      <c r="A910" s="75">
        <v>17</v>
      </c>
      <c r="B910" s="80" t="s">
        <v>107</v>
      </c>
      <c r="C910" s="77" t="s">
        <v>48</v>
      </c>
      <c r="D910" s="78">
        <v>1</v>
      </c>
      <c r="E910" s="79"/>
      <c r="F910" s="79" t="e">
        <f t="shared" si="56"/>
        <v>#REF!</v>
      </c>
      <c r="G910" s="2"/>
      <c r="H910" s="37">
        <v>89918</v>
      </c>
      <c r="I910" s="4">
        <f t="shared" si="57"/>
        <v>0</v>
      </c>
      <c r="J910" s="25">
        <f t="shared" si="55"/>
        <v>29</v>
      </c>
    </row>
    <row r="911" spans="1:10" ht="16.95" customHeight="1">
      <c r="A911" s="75">
        <v>18</v>
      </c>
      <c r="B911" s="80" t="s">
        <v>108</v>
      </c>
      <c r="C911" s="77" t="s">
        <v>120</v>
      </c>
      <c r="D911" s="78">
        <v>15</v>
      </c>
      <c r="E911" s="79"/>
      <c r="F911" s="79" t="e">
        <f t="shared" si="56"/>
        <v>#REF!</v>
      </c>
      <c r="G911" s="2"/>
      <c r="H911" s="37">
        <v>661</v>
      </c>
      <c r="I911" s="4">
        <f t="shared" si="57"/>
        <v>0</v>
      </c>
      <c r="J911" s="25">
        <f t="shared" si="55"/>
        <v>29</v>
      </c>
    </row>
    <row r="912" spans="1:10" ht="16.95" customHeight="1">
      <c r="A912" s="75">
        <v>19</v>
      </c>
      <c r="B912" s="80" t="s">
        <v>109</v>
      </c>
      <c r="C912" s="77" t="s">
        <v>50</v>
      </c>
      <c r="D912" s="78">
        <v>82</v>
      </c>
      <c r="E912" s="79"/>
      <c r="F912" s="79" t="e">
        <f t="shared" si="56"/>
        <v>#REF!</v>
      </c>
      <c r="G912" s="2"/>
      <c r="H912" s="37">
        <v>2909</v>
      </c>
      <c r="I912" s="4">
        <f t="shared" si="57"/>
        <v>0</v>
      </c>
      <c r="J912" s="25">
        <f t="shared" si="55"/>
        <v>29</v>
      </c>
    </row>
    <row r="913" spans="1:10" ht="16.95" customHeight="1">
      <c r="A913" s="75">
        <v>20</v>
      </c>
      <c r="B913" s="80" t="s">
        <v>110</v>
      </c>
      <c r="C913" s="77" t="s">
        <v>121</v>
      </c>
      <c r="D913" s="78">
        <v>12</v>
      </c>
      <c r="E913" s="79"/>
      <c r="F913" s="79" t="e">
        <f t="shared" si="56"/>
        <v>#REF!</v>
      </c>
      <c r="G913" s="2"/>
      <c r="H913" s="37">
        <v>882</v>
      </c>
      <c r="I913" s="4">
        <f t="shared" si="57"/>
        <v>0</v>
      </c>
      <c r="J913" s="25">
        <f t="shared" si="55"/>
        <v>29</v>
      </c>
    </row>
    <row r="914" spans="1:10" ht="16.95" customHeight="1">
      <c r="A914" s="77">
        <v>21</v>
      </c>
      <c r="B914" s="80" t="s">
        <v>111</v>
      </c>
      <c r="C914" s="77" t="s">
        <v>122</v>
      </c>
      <c r="D914" s="78">
        <v>3</v>
      </c>
      <c r="E914" s="79"/>
      <c r="F914" s="79" t="e">
        <f t="shared" si="56"/>
        <v>#REF!</v>
      </c>
      <c r="G914" s="2"/>
      <c r="H914" s="38">
        <v>1869</v>
      </c>
      <c r="I914" s="4">
        <f t="shared" si="57"/>
        <v>0</v>
      </c>
      <c r="J914" s="25">
        <f t="shared" si="55"/>
        <v>29</v>
      </c>
    </row>
    <row r="915" spans="1:10" ht="34.950000000000003" customHeight="1">
      <c r="A915" s="75">
        <v>22</v>
      </c>
      <c r="B915" s="80" t="s">
        <v>112</v>
      </c>
      <c r="C915" s="77" t="s">
        <v>48</v>
      </c>
      <c r="D915" s="78">
        <v>1</v>
      </c>
      <c r="E915" s="79"/>
      <c r="F915" s="79" t="e">
        <f t="shared" si="56"/>
        <v>#REF!</v>
      </c>
      <c r="G915" s="2"/>
      <c r="H915" s="37">
        <v>82206</v>
      </c>
      <c r="I915" s="4">
        <f t="shared" si="57"/>
        <v>0</v>
      </c>
      <c r="J915" s="25">
        <f t="shared" si="55"/>
        <v>29</v>
      </c>
    </row>
    <row r="916" spans="1:10" ht="16.95" customHeight="1">
      <c r="A916" s="75">
        <v>23</v>
      </c>
      <c r="B916" s="80" t="s">
        <v>113</v>
      </c>
      <c r="C916" s="77" t="s">
        <v>48</v>
      </c>
      <c r="D916" s="78">
        <v>1</v>
      </c>
      <c r="E916" s="79"/>
      <c r="F916" s="79" t="e">
        <f t="shared" si="56"/>
        <v>#REF!</v>
      </c>
      <c r="G916" s="2"/>
      <c r="H916" s="37">
        <v>142723</v>
      </c>
      <c r="I916" s="4">
        <f t="shared" si="57"/>
        <v>0</v>
      </c>
      <c r="J916" s="25">
        <f t="shared" si="55"/>
        <v>29</v>
      </c>
    </row>
    <row r="917" spans="1:10" ht="16.95" customHeight="1">
      <c r="A917" s="75">
        <v>24</v>
      </c>
      <c r="B917" s="80" t="s">
        <v>114</v>
      </c>
      <c r="C917" s="77" t="s">
        <v>48</v>
      </c>
      <c r="D917" s="78">
        <v>1</v>
      </c>
      <c r="E917" s="79"/>
      <c r="F917" s="79" t="e">
        <f t="shared" si="56"/>
        <v>#REF!</v>
      </c>
      <c r="G917" s="2"/>
      <c r="H917" s="37">
        <v>37290</v>
      </c>
      <c r="I917" s="4">
        <f t="shared" si="57"/>
        <v>0</v>
      </c>
      <c r="J917" s="25">
        <f t="shared" si="55"/>
        <v>29</v>
      </c>
    </row>
    <row r="918" spans="1:10" ht="16.95" customHeight="1">
      <c r="A918" s="75">
        <v>25</v>
      </c>
      <c r="B918" s="80" t="s">
        <v>115</v>
      </c>
      <c r="C918" s="77" t="s">
        <v>48</v>
      </c>
      <c r="D918" s="78">
        <v>1</v>
      </c>
      <c r="E918" s="79"/>
      <c r="F918" s="79" t="e">
        <f t="shared" si="56"/>
        <v>#REF!</v>
      </c>
      <c r="G918" s="2"/>
      <c r="H918" s="37">
        <v>99394</v>
      </c>
      <c r="I918" s="4">
        <f t="shared" si="57"/>
        <v>0</v>
      </c>
      <c r="J918" s="25">
        <f t="shared" si="55"/>
        <v>29</v>
      </c>
    </row>
    <row r="919" spans="1:10" ht="34.950000000000003" customHeight="1">
      <c r="A919" s="75">
        <v>26</v>
      </c>
      <c r="B919" s="80" t="s">
        <v>116</v>
      </c>
      <c r="C919" s="77" t="s">
        <v>48</v>
      </c>
      <c r="D919" s="78">
        <v>1</v>
      </c>
      <c r="E919" s="79"/>
      <c r="F919" s="79" t="e">
        <f t="shared" si="56"/>
        <v>#REF!</v>
      </c>
      <c r="G919" s="2"/>
      <c r="H919" s="37">
        <v>21334</v>
      </c>
      <c r="I919" s="4">
        <f t="shared" si="57"/>
        <v>0</v>
      </c>
      <c r="J919" s="25">
        <f t="shared" si="55"/>
        <v>29</v>
      </c>
    </row>
    <row r="920" spans="1:10" ht="16.95" customHeight="1">
      <c r="A920" s="75">
        <v>27</v>
      </c>
      <c r="B920" s="80" t="s">
        <v>117</v>
      </c>
      <c r="C920" s="77" t="s">
        <v>48</v>
      </c>
      <c r="D920" s="78">
        <v>1</v>
      </c>
      <c r="E920" s="79"/>
      <c r="F920" s="79" t="e">
        <f t="shared" si="56"/>
        <v>#REF!</v>
      </c>
      <c r="G920" s="2"/>
      <c r="H920" s="37">
        <v>29620</v>
      </c>
      <c r="I920" s="4">
        <f t="shared" si="57"/>
        <v>0</v>
      </c>
      <c r="J920" s="25">
        <f t="shared" si="55"/>
        <v>29</v>
      </c>
    </row>
    <row r="921" spans="1:10" ht="16.95" customHeight="1">
      <c r="A921" s="75">
        <v>28</v>
      </c>
      <c r="B921" s="80" t="s">
        <v>118</v>
      </c>
      <c r="C921" s="77" t="s">
        <v>48</v>
      </c>
      <c r="D921" s="78">
        <v>1</v>
      </c>
      <c r="E921" s="79"/>
      <c r="F921" s="79" t="e">
        <f t="shared" si="56"/>
        <v>#REF!</v>
      </c>
      <c r="G921" s="2"/>
      <c r="H921" s="37">
        <v>18506</v>
      </c>
      <c r="I921" s="4">
        <f t="shared" si="57"/>
        <v>0</v>
      </c>
      <c r="J921" s="25">
        <f t="shared" si="55"/>
        <v>29</v>
      </c>
    </row>
    <row r="922" spans="1:10" ht="16.95" customHeight="1">
      <c r="A922" s="75">
        <v>29</v>
      </c>
      <c r="B922" s="80" t="s">
        <v>119</v>
      </c>
      <c r="C922" s="77" t="s">
        <v>48</v>
      </c>
      <c r="D922" s="78">
        <v>1</v>
      </c>
      <c r="E922" s="79"/>
      <c r="F922" s="79" t="e">
        <f t="shared" si="56"/>
        <v>#REF!</v>
      </c>
      <c r="G922" s="2"/>
      <c r="H922" s="37">
        <v>34381</v>
      </c>
      <c r="I922" s="4">
        <f t="shared" si="57"/>
        <v>0</v>
      </c>
      <c r="J922" s="25">
        <f t="shared" si="55"/>
        <v>29</v>
      </c>
    </row>
    <row r="923" spans="1:10" ht="16.95" customHeight="1">
      <c r="A923" s="75" t="s">
        <v>79</v>
      </c>
      <c r="B923" s="80" t="s">
        <v>80</v>
      </c>
      <c r="C923" s="77" t="s">
        <v>48</v>
      </c>
      <c r="D923" s="78">
        <v>1</v>
      </c>
      <c r="E923" s="79">
        <f t="shared" ref="E923:E926" si="58">1/120</f>
        <v>8.3333333333333332E-3</v>
      </c>
      <c r="F923" s="79" t="e">
        <f t="shared" si="56"/>
        <v>#REF!</v>
      </c>
      <c r="G923" s="2"/>
      <c r="H923" s="37">
        <v>21395</v>
      </c>
      <c r="I923" s="4">
        <f t="shared" si="57"/>
        <v>178.29166666666666</v>
      </c>
      <c r="J923" s="25">
        <f t="shared" si="55"/>
        <v>29</v>
      </c>
    </row>
    <row r="924" spans="1:10" ht="16.95" customHeight="1">
      <c r="A924" s="75" t="s">
        <v>81</v>
      </c>
      <c r="B924" s="80" t="s">
        <v>82</v>
      </c>
      <c r="C924" s="77" t="s">
        <v>48</v>
      </c>
      <c r="D924" s="78">
        <v>1</v>
      </c>
      <c r="E924" s="79">
        <f t="shared" si="58"/>
        <v>8.3333333333333332E-3</v>
      </c>
      <c r="F924" s="79" t="e">
        <f t="shared" si="56"/>
        <v>#REF!</v>
      </c>
      <c r="G924" s="2"/>
      <c r="H924" s="37">
        <v>21395</v>
      </c>
      <c r="I924" s="4">
        <f t="shared" si="57"/>
        <v>178.29166666666666</v>
      </c>
      <c r="J924" s="25">
        <f t="shared" si="55"/>
        <v>29</v>
      </c>
    </row>
    <row r="925" spans="1:10" ht="16.95" customHeight="1">
      <c r="A925" s="75" t="s">
        <v>83</v>
      </c>
      <c r="B925" s="80" t="s">
        <v>84</v>
      </c>
      <c r="C925" s="77" t="s">
        <v>48</v>
      </c>
      <c r="D925" s="78">
        <v>1</v>
      </c>
      <c r="E925" s="79">
        <f t="shared" si="58"/>
        <v>8.3333333333333332E-3</v>
      </c>
      <c r="F925" s="79" t="e">
        <f t="shared" si="56"/>
        <v>#REF!</v>
      </c>
      <c r="G925" s="2"/>
      <c r="H925" s="37">
        <v>149765</v>
      </c>
      <c r="I925" s="4">
        <f t="shared" si="57"/>
        <v>1248.0416666666667</v>
      </c>
      <c r="J925" s="25">
        <f t="shared" si="55"/>
        <v>29</v>
      </c>
    </row>
    <row r="926" spans="1:10" ht="16.95" customHeight="1">
      <c r="A926" s="75" t="s">
        <v>85</v>
      </c>
      <c r="B926" s="80" t="s">
        <v>86</v>
      </c>
      <c r="C926" s="77" t="s">
        <v>48</v>
      </c>
      <c r="D926" s="78">
        <v>1</v>
      </c>
      <c r="E926" s="79">
        <f t="shared" si="58"/>
        <v>8.3333333333333332E-3</v>
      </c>
      <c r="F926" s="79" t="e">
        <f t="shared" si="56"/>
        <v>#REF!</v>
      </c>
      <c r="G926" s="2"/>
      <c r="H926" s="37">
        <v>6996</v>
      </c>
      <c r="I926" s="4">
        <f t="shared" si="57"/>
        <v>58.3</v>
      </c>
      <c r="J926" s="25">
        <f t="shared" si="55"/>
        <v>29</v>
      </c>
    </row>
    <row r="927" spans="1:10" ht="16.95" customHeight="1">
      <c r="A927" s="75" t="s">
        <v>87</v>
      </c>
      <c r="B927" s="80" t="s">
        <v>88</v>
      </c>
      <c r="C927" s="77" t="s">
        <v>48</v>
      </c>
      <c r="D927" s="78">
        <v>1</v>
      </c>
      <c r="E927" s="79">
        <f>1/120</f>
        <v>8.3333333333333332E-3</v>
      </c>
      <c r="F927" s="79" t="e">
        <f t="shared" si="56"/>
        <v>#REF!</v>
      </c>
      <c r="G927" s="2"/>
      <c r="H927" s="37">
        <v>116952</v>
      </c>
      <c r="I927" s="4">
        <f t="shared" si="57"/>
        <v>974.6</v>
      </c>
      <c r="J927" s="25">
        <f t="shared" si="55"/>
        <v>29</v>
      </c>
    </row>
    <row r="928" spans="1:10" ht="16.95" customHeight="1">
      <c r="A928" s="95" t="s">
        <v>23</v>
      </c>
      <c r="B928" s="95"/>
      <c r="C928" s="50"/>
      <c r="D928" s="50"/>
      <c r="E928" s="50"/>
      <c r="F928" s="50"/>
      <c r="G928" s="50"/>
      <c r="H928" s="3" t="s">
        <v>24</v>
      </c>
      <c r="I928" s="5">
        <f>SUM(I893:I927)</f>
        <v>2637.5250000000001</v>
      </c>
      <c r="J928" s="25">
        <f t="shared" si="55"/>
        <v>29</v>
      </c>
    </row>
    <row r="929" spans="1:10" ht="16.95" customHeight="1">
      <c r="A929" s="96" t="s">
        <v>25</v>
      </c>
      <c r="B929" s="96"/>
      <c r="C929" s="50"/>
      <c r="D929" s="50"/>
      <c r="E929" s="50"/>
      <c r="F929" s="50"/>
      <c r="G929" s="50"/>
      <c r="J929" s="25">
        <f t="shared" si="55"/>
        <v>29</v>
      </c>
    </row>
    <row r="930" spans="1:10" ht="16.95" customHeight="1">
      <c r="A930" s="96" t="s">
        <v>26</v>
      </c>
      <c r="B930" s="96"/>
      <c r="C930" s="50"/>
      <c r="D930" s="50"/>
      <c r="E930" s="50"/>
      <c r="F930" s="50"/>
      <c r="G930" s="50"/>
      <c r="J930" s="25">
        <f t="shared" si="55"/>
        <v>29</v>
      </c>
    </row>
    <row r="931" spans="1:10" ht="16.95" customHeight="1">
      <c r="A931" s="95" t="s">
        <v>27</v>
      </c>
      <c r="B931" s="95"/>
      <c r="C931" s="95"/>
      <c r="D931" s="95"/>
      <c r="E931" s="95"/>
      <c r="F931" s="95"/>
      <c r="G931" s="95"/>
      <c r="J931" s="25">
        <f t="shared" si="55"/>
        <v>29</v>
      </c>
    </row>
    <row r="932" spans="1:10" ht="16.95" customHeight="1">
      <c r="A932" s="94" t="s">
        <v>28</v>
      </c>
      <c r="B932" s="94"/>
      <c r="C932" s="51" t="s">
        <v>29</v>
      </c>
      <c r="D932" s="51" t="s">
        <v>30</v>
      </c>
      <c r="E932" s="51" t="s">
        <v>18</v>
      </c>
      <c r="F932" s="51" t="s">
        <v>31</v>
      </c>
      <c r="G932" s="51" t="s">
        <v>20</v>
      </c>
      <c r="J932" s="25">
        <f t="shared" si="55"/>
        <v>29</v>
      </c>
    </row>
    <row r="933" spans="1:10" ht="16.95" customHeight="1">
      <c r="A933" s="96"/>
      <c r="B933" s="96"/>
      <c r="C933" s="50"/>
      <c r="D933" s="50"/>
      <c r="E933" s="50"/>
      <c r="F933" s="50"/>
      <c r="G933" s="51"/>
      <c r="J933" s="25">
        <f t="shared" si="55"/>
        <v>29</v>
      </c>
    </row>
    <row r="934" spans="1:10" ht="16.95" customHeight="1">
      <c r="A934" s="97"/>
      <c r="B934" s="97"/>
      <c r="C934" s="50"/>
      <c r="D934" s="50"/>
      <c r="E934" s="50"/>
      <c r="F934" s="51"/>
      <c r="G934" s="51"/>
      <c r="J934" s="25">
        <f t="shared" si="55"/>
        <v>29</v>
      </c>
    </row>
    <row r="935" spans="1:10" ht="16.95" customHeight="1">
      <c r="A935" s="95" t="s">
        <v>32</v>
      </c>
      <c r="B935" s="95"/>
      <c r="C935" s="95"/>
      <c r="D935" s="95"/>
      <c r="E935" s="95"/>
      <c r="F935" s="95"/>
      <c r="G935" s="95"/>
      <c r="J935" s="25">
        <f t="shared" si="55"/>
        <v>30</v>
      </c>
    </row>
    <row r="936" spans="1:10" ht="16.95" customHeight="1">
      <c r="A936" s="51" t="s">
        <v>33</v>
      </c>
      <c r="B936" s="51" t="s">
        <v>34</v>
      </c>
      <c r="C936" s="94" t="s">
        <v>35</v>
      </c>
      <c r="D936" s="94"/>
      <c r="E936" s="51" t="s">
        <v>36</v>
      </c>
      <c r="F936" s="51" t="s">
        <v>37</v>
      </c>
      <c r="G936" s="51" t="s">
        <v>38</v>
      </c>
      <c r="J936" s="25">
        <f t="shared" si="55"/>
        <v>30</v>
      </c>
    </row>
    <row r="937" spans="1:10" ht="16.95" customHeight="1">
      <c r="A937" s="51" t="s">
        <v>39</v>
      </c>
      <c r="B937" s="6"/>
      <c r="C937" s="94" t="e">
        <f>B937+C874</f>
        <v>#REF!</v>
      </c>
      <c r="D937" s="94"/>
      <c r="E937" s="51"/>
      <c r="F937" s="24"/>
      <c r="G937" s="24"/>
      <c r="J937" s="25">
        <f t="shared" si="55"/>
        <v>30</v>
      </c>
    </row>
    <row r="938" spans="1:10" ht="16.95" customHeight="1">
      <c r="A938" s="51" t="s">
        <v>40</v>
      </c>
      <c r="B938" s="6"/>
      <c r="C938" s="94" t="e">
        <f>B938+C875</f>
        <v>#REF!</v>
      </c>
      <c r="D938" s="94"/>
      <c r="E938" s="51"/>
      <c r="F938" s="24"/>
      <c r="G938" s="24"/>
      <c r="J938" s="25">
        <f t="shared" si="55"/>
        <v>30</v>
      </c>
    </row>
    <row r="939" spans="1:10" ht="36.6" customHeight="1">
      <c r="A939" s="95" t="s">
        <v>41</v>
      </c>
      <c r="B939" s="95"/>
      <c r="C939" s="95"/>
      <c r="D939" s="95"/>
      <c r="E939" s="95"/>
      <c r="F939" s="95"/>
      <c r="G939" s="95"/>
      <c r="J939" s="25">
        <f t="shared" si="55"/>
        <v>30</v>
      </c>
    </row>
    <row r="940" spans="1:10" ht="90" customHeight="1">
      <c r="A940" s="92" t="s">
        <v>42</v>
      </c>
      <c r="B940" s="92"/>
      <c r="C940" s="92"/>
      <c r="D940" s="92"/>
      <c r="E940" s="92"/>
      <c r="F940" s="92"/>
      <c r="G940" s="92"/>
      <c r="J940" s="25">
        <f t="shared" si="55"/>
        <v>30</v>
      </c>
    </row>
    <row r="941" spans="1:10" ht="16.95" customHeight="1">
      <c r="A941" s="95" t="s">
        <v>43</v>
      </c>
      <c r="B941" s="95"/>
      <c r="C941" s="95"/>
      <c r="D941" s="95"/>
      <c r="E941" s="95"/>
      <c r="F941" s="95"/>
      <c r="G941" s="95"/>
      <c r="J941" s="25">
        <f t="shared" si="55"/>
        <v>30</v>
      </c>
    </row>
    <row r="942" spans="1:10" ht="16.95" customHeight="1">
      <c r="A942" s="95" t="s">
        <v>44</v>
      </c>
      <c r="B942" s="95"/>
      <c r="C942" s="95"/>
      <c r="D942" s="95"/>
      <c r="E942" s="95"/>
      <c r="F942" s="95"/>
      <c r="G942" s="95"/>
      <c r="J942" s="25">
        <f t="shared" si="55"/>
        <v>30</v>
      </c>
    </row>
    <row r="943" spans="1:10" ht="16.95" customHeight="1">
      <c r="A943" s="91" t="s">
        <v>64</v>
      </c>
      <c r="B943" s="91"/>
      <c r="C943" s="91"/>
      <c r="D943" s="91"/>
      <c r="E943" s="91"/>
      <c r="F943" s="91"/>
      <c r="G943" s="91"/>
      <c r="J943" s="25">
        <f t="shared" si="55"/>
        <v>30</v>
      </c>
    </row>
    <row r="944" spans="1:10" ht="120.6" customHeight="1">
      <c r="A944" s="92" t="s">
        <v>45</v>
      </c>
      <c r="B944" s="92"/>
      <c r="C944" s="92"/>
      <c r="D944" s="92"/>
      <c r="E944" s="92"/>
      <c r="F944" s="92"/>
      <c r="G944" s="92"/>
      <c r="J944" s="25">
        <f t="shared" si="55"/>
        <v>30</v>
      </c>
    </row>
    <row r="945" spans="1:10" ht="140.4" customHeight="1">
      <c r="A945" s="93" t="s">
        <v>46</v>
      </c>
      <c r="B945" s="93"/>
      <c r="C945" s="93"/>
      <c r="D945" s="93"/>
      <c r="E945" s="93"/>
      <c r="F945" s="93"/>
      <c r="G945" s="93"/>
      <c r="J945" s="25">
        <f t="shared" si="55"/>
        <v>30</v>
      </c>
    </row>
    <row r="946" spans="1:10" ht="37.200000000000003" customHeight="1">
      <c r="A946" s="103" t="s">
        <v>0</v>
      </c>
      <c r="B946" s="103"/>
      <c r="C946" s="103"/>
      <c r="D946" s="103"/>
      <c r="E946" s="103"/>
      <c r="F946" s="103"/>
      <c r="G946" s="103"/>
      <c r="J946" s="25">
        <f t="shared" si="55"/>
        <v>31</v>
      </c>
    </row>
    <row r="947" spans="1:10" ht="16.95" customHeight="1">
      <c r="A947" s="1" t="s">
        <v>1</v>
      </c>
      <c r="B947" s="104">
        <f>B884+1</f>
        <v>17</v>
      </c>
      <c r="C947" s="104"/>
      <c r="D947" s="104"/>
      <c r="E947" s="104"/>
      <c r="F947" s="104"/>
      <c r="G947" s="104"/>
      <c r="J947" s="25">
        <f t="shared" si="55"/>
        <v>31</v>
      </c>
    </row>
    <row r="948" spans="1:10" ht="16.95" customHeight="1">
      <c r="A948" s="1" t="s">
        <v>2</v>
      </c>
      <c r="B948" s="105" t="s">
        <v>63</v>
      </c>
      <c r="C948" s="105"/>
      <c r="D948" s="105"/>
      <c r="E948" s="106">
        <f>E885+1</f>
        <v>46219</v>
      </c>
      <c r="F948" s="106"/>
      <c r="G948" s="106"/>
      <c r="J948" s="25">
        <f t="shared" si="55"/>
        <v>31</v>
      </c>
    </row>
    <row r="949" spans="1:10" ht="16.95" customHeight="1">
      <c r="A949" s="53" t="s">
        <v>3</v>
      </c>
      <c r="B949" s="2" t="s">
        <v>67</v>
      </c>
      <c r="C949" s="98" t="s">
        <v>4</v>
      </c>
      <c r="D949" s="98"/>
      <c r="E949" s="98" t="s">
        <v>47</v>
      </c>
      <c r="F949" s="98"/>
      <c r="G949" s="98"/>
      <c r="J949" s="25">
        <f t="shared" si="55"/>
        <v>31</v>
      </c>
    </row>
    <row r="950" spans="1:10" ht="16.95" customHeight="1">
      <c r="A950" s="53" t="s">
        <v>5</v>
      </c>
      <c r="B950" s="54">
        <v>120</v>
      </c>
      <c r="C950" s="98" t="s">
        <v>6</v>
      </c>
      <c r="D950" s="98"/>
      <c r="E950" s="98" t="s">
        <v>123</v>
      </c>
      <c r="F950" s="98"/>
      <c r="G950" s="98"/>
      <c r="J950" s="25">
        <f t="shared" si="55"/>
        <v>31</v>
      </c>
    </row>
    <row r="951" spans="1:10" ht="16.95" customHeight="1">
      <c r="A951" s="53" t="s">
        <v>7</v>
      </c>
      <c r="B951" s="54">
        <f>B947</f>
        <v>17</v>
      </c>
      <c r="C951" s="100" t="s">
        <v>8</v>
      </c>
      <c r="D951" s="100"/>
      <c r="E951" s="101">
        <f>B950-B951</f>
        <v>103</v>
      </c>
      <c r="F951" s="101"/>
      <c r="G951" s="101"/>
      <c r="J951" s="25">
        <f t="shared" si="55"/>
        <v>31</v>
      </c>
    </row>
    <row r="952" spans="1:10" ht="16.95" customHeight="1">
      <c r="A952" s="53" t="s">
        <v>9</v>
      </c>
      <c r="B952" s="55">
        <v>46204</v>
      </c>
      <c r="C952" s="98" t="s">
        <v>10</v>
      </c>
      <c r="D952" s="98"/>
      <c r="E952" s="102">
        <f>B952+B950-1</f>
        <v>46323</v>
      </c>
      <c r="F952" s="102"/>
      <c r="G952" s="102"/>
      <c r="J952" s="25">
        <f t="shared" si="55"/>
        <v>31</v>
      </c>
    </row>
    <row r="953" spans="1:10" ht="16.95" customHeight="1">
      <c r="A953" s="53" t="s">
        <v>11</v>
      </c>
      <c r="B953" s="56" t="e">
        <f>HLOOKUP(B947,進度表!$Q$2:$Z$3,2,1)+B890</f>
        <v>#REF!</v>
      </c>
      <c r="C953" s="98" t="s">
        <v>12</v>
      </c>
      <c r="D953" s="98"/>
      <c r="E953" s="99" t="e">
        <f>I991/I953+E890</f>
        <v>#REF!</v>
      </c>
      <c r="F953" s="99"/>
      <c r="G953" s="99"/>
      <c r="H953" s="3" t="s">
        <v>62</v>
      </c>
      <c r="I953" s="1">
        <v>2456000</v>
      </c>
      <c r="J953" s="25">
        <f t="shared" si="55"/>
        <v>31</v>
      </c>
    </row>
    <row r="954" spans="1:10" ht="16.95" customHeight="1">
      <c r="A954" s="98" t="s">
        <v>13</v>
      </c>
      <c r="B954" s="98"/>
      <c r="C954" s="98"/>
      <c r="D954" s="98"/>
      <c r="E954" s="98"/>
      <c r="F954" s="98"/>
      <c r="G954" s="98"/>
      <c r="J954" s="25">
        <f t="shared" si="55"/>
        <v>31</v>
      </c>
    </row>
    <row r="955" spans="1:10" ht="16.95" customHeight="1">
      <c r="A955" s="52" t="s">
        <v>14</v>
      </c>
      <c r="B955" s="52" t="s">
        <v>15</v>
      </c>
      <c r="C955" s="52" t="s">
        <v>16</v>
      </c>
      <c r="D955" s="52" t="s">
        <v>17</v>
      </c>
      <c r="E955" s="52" t="s">
        <v>18</v>
      </c>
      <c r="F955" s="52" t="s">
        <v>19</v>
      </c>
      <c r="G955" s="52" t="s">
        <v>20</v>
      </c>
      <c r="H955" s="3" t="s">
        <v>21</v>
      </c>
      <c r="I955" s="3" t="s">
        <v>22</v>
      </c>
      <c r="J955" s="25">
        <f t="shared" ref="J955:J1018" si="59">J892+2</f>
        <v>31</v>
      </c>
    </row>
    <row r="956" spans="1:10" ht="16.95" customHeight="1">
      <c r="A956" s="75" t="s">
        <v>65</v>
      </c>
      <c r="B956" s="76" t="s">
        <v>69</v>
      </c>
      <c r="C956" s="77"/>
      <c r="D956" s="78"/>
      <c r="E956" s="79"/>
      <c r="F956" s="79"/>
      <c r="G956" s="2"/>
      <c r="H956" s="37"/>
      <c r="I956" s="4"/>
      <c r="J956" s="25">
        <f t="shared" si="59"/>
        <v>31</v>
      </c>
    </row>
    <row r="957" spans="1:10" ht="34.950000000000003" customHeight="1">
      <c r="A957" s="75">
        <v>1</v>
      </c>
      <c r="B957" s="80" t="s">
        <v>91</v>
      </c>
      <c r="C957" s="77" t="s">
        <v>48</v>
      </c>
      <c r="D957" s="78">
        <v>1</v>
      </c>
      <c r="E957" s="79"/>
      <c r="F957" s="79" t="e">
        <f t="shared" ref="F957:F990" si="60">E957+F894</f>
        <v>#REF!</v>
      </c>
      <c r="G957" s="2"/>
      <c r="H957" s="37">
        <v>10508</v>
      </c>
      <c r="I957" s="4">
        <f>H957*E957</f>
        <v>0</v>
      </c>
      <c r="J957" s="25">
        <f t="shared" si="59"/>
        <v>31</v>
      </c>
    </row>
    <row r="958" spans="1:10" ht="34.799999999999997" customHeight="1">
      <c r="A958" s="75">
        <v>2</v>
      </c>
      <c r="B958" s="80" t="s">
        <v>92</v>
      </c>
      <c r="C958" s="77" t="s">
        <v>48</v>
      </c>
      <c r="D958" s="78">
        <v>1</v>
      </c>
      <c r="E958" s="79"/>
      <c r="F958" s="79" t="e">
        <f t="shared" si="60"/>
        <v>#REF!</v>
      </c>
      <c r="G958" s="2"/>
      <c r="H958" s="37">
        <v>13223</v>
      </c>
      <c r="I958" s="4">
        <f>H958*E958</f>
        <v>0</v>
      </c>
      <c r="J958" s="25">
        <f t="shared" si="59"/>
        <v>31</v>
      </c>
    </row>
    <row r="959" spans="1:10" ht="53.4" customHeight="1">
      <c r="A959" s="75">
        <v>3</v>
      </c>
      <c r="B959" s="80" t="s">
        <v>93</v>
      </c>
      <c r="C959" s="77" t="s">
        <v>48</v>
      </c>
      <c r="D959" s="78">
        <v>1</v>
      </c>
      <c r="E959" s="79"/>
      <c r="F959" s="79" t="e">
        <f t="shared" si="60"/>
        <v>#REF!</v>
      </c>
      <c r="G959" s="2"/>
      <c r="H959" s="37">
        <v>310497</v>
      </c>
      <c r="I959" s="4">
        <f t="shared" ref="I959:I990" si="61">H959*E959</f>
        <v>0</v>
      </c>
      <c r="J959" s="25">
        <f t="shared" si="59"/>
        <v>31</v>
      </c>
    </row>
    <row r="960" spans="1:10" ht="16.95" customHeight="1">
      <c r="A960" s="75">
        <v>4</v>
      </c>
      <c r="B960" s="80" t="s">
        <v>94</v>
      </c>
      <c r="C960" s="77" t="s">
        <v>48</v>
      </c>
      <c r="D960" s="78">
        <v>1</v>
      </c>
      <c r="E960" s="79"/>
      <c r="F960" s="79" t="e">
        <f t="shared" si="60"/>
        <v>#REF!</v>
      </c>
      <c r="G960" s="2"/>
      <c r="H960" s="37">
        <v>8375</v>
      </c>
      <c r="I960" s="4">
        <f t="shared" si="61"/>
        <v>0</v>
      </c>
      <c r="J960" s="25">
        <f t="shared" si="59"/>
        <v>31</v>
      </c>
    </row>
    <row r="961" spans="1:10" ht="16.95" customHeight="1">
      <c r="A961" s="75">
        <v>5</v>
      </c>
      <c r="B961" s="80" t="s">
        <v>95</v>
      </c>
      <c r="C961" s="77" t="s">
        <v>48</v>
      </c>
      <c r="D961" s="78">
        <v>1</v>
      </c>
      <c r="E961" s="79"/>
      <c r="F961" s="79" t="e">
        <f t="shared" si="60"/>
        <v>#REF!</v>
      </c>
      <c r="G961" s="2"/>
      <c r="H961" s="37">
        <v>51618</v>
      </c>
      <c r="I961" s="4">
        <f t="shared" si="61"/>
        <v>0</v>
      </c>
      <c r="J961" s="25">
        <f t="shared" si="59"/>
        <v>31</v>
      </c>
    </row>
    <row r="962" spans="1:10" ht="16.95" customHeight="1">
      <c r="A962" s="75">
        <v>6</v>
      </c>
      <c r="B962" s="80" t="s">
        <v>96</v>
      </c>
      <c r="C962" s="77" t="s">
        <v>50</v>
      </c>
      <c r="D962" s="78">
        <v>11.55</v>
      </c>
      <c r="E962" s="79"/>
      <c r="F962" s="79" t="e">
        <f t="shared" si="60"/>
        <v>#REF!</v>
      </c>
      <c r="G962" s="2"/>
      <c r="H962" s="37">
        <v>1188</v>
      </c>
      <c r="I962" s="4">
        <f t="shared" si="61"/>
        <v>0</v>
      </c>
      <c r="J962" s="25">
        <f t="shared" si="59"/>
        <v>31</v>
      </c>
    </row>
    <row r="963" spans="1:10" ht="34.950000000000003" customHeight="1">
      <c r="A963" s="75">
        <v>7</v>
      </c>
      <c r="B963" s="80" t="s">
        <v>97</v>
      </c>
      <c r="C963" s="77" t="s">
        <v>48</v>
      </c>
      <c r="D963" s="78">
        <v>1</v>
      </c>
      <c r="E963" s="79"/>
      <c r="F963" s="79" t="e">
        <f t="shared" si="60"/>
        <v>#REF!</v>
      </c>
      <c r="G963" s="2"/>
      <c r="H963" s="37">
        <v>21157</v>
      </c>
      <c r="I963" s="4">
        <f t="shared" si="61"/>
        <v>0</v>
      </c>
      <c r="J963" s="25">
        <f t="shared" si="59"/>
        <v>31</v>
      </c>
    </row>
    <row r="964" spans="1:10" ht="16.95" customHeight="1">
      <c r="A964" s="75">
        <v>8</v>
      </c>
      <c r="B964" s="80" t="s">
        <v>98</v>
      </c>
      <c r="C964" s="77" t="s">
        <v>50</v>
      </c>
      <c r="D964" s="78">
        <v>387</v>
      </c>
      <c r="E964" s="79"/>
      <c r="F964" s="79" t="e">
        <f t="shared" si="60"/>
        <v>#REF!</v>
      </c>
      <c r="G964" s="2"/>
      <c r="H964" s="37">
        <v>705</v>
      </c>
      <c r="I964" s="4">
        <f t="shared" si="61"/>
        <v>0</v>
      </c>
      <c r="J964" s="25">
        <f t="shared" si="59"/>
        <v>31</v>
      </c>
    </row>
    <row r="965" spans="1:10" ht="16.95" customHeight="1">
      <c r="A965" s="75">
        <v>9</v>
      </c>
      <c r="B965" s="80" t="s">
        <v>99</v>
      </c>
      <c r="C965" s="77" t="s">
        <v>50</v>
      </c>
      <c r="D965" s="78">
        <v>170</v>
      </c>
      <c r="E965" s="79"/>
      <c r="F965" s="79" t="e">
        <f t="shared" si="60"/>
        <v>#REF!</v>
      </c>
      <c r="G965" s="2"/>
      <c r="H965" s="37">
        <v>617</v>
      </c>
      <c r="I965" s="4">
        <f t="shared" si="61"/>
        <v>0</v>
      </c>
      <c r="J965" s="25">
        <f t="shared" si="59"/>
        <v>31</v>
      </c>
    </row>
    <row r="966" spans="1:10" ht="16.95" customHeight="1">
      <c r="A966" s="75">
        <v>10</v>
      </c>
      <c r="B966" s="80" t="s">
        <v>100</v>
      </c>
      <c r="C966" s="77" t="s">
        <v>66</v>
      </c>
      <c r="D966" s="78">
        <v>15</v>
      </c>
      <c r="E966" s="79"/>
      <c r="F966" s="79" t="e">
        <f t="shared" si="60"/>
        <v>#REF!</v>
      </c>
      <c r="G966" s="2"/>
      <c r="H966" s="37">
        <v>617</v>
      </c>
      <c r="I966" s="4">
        <f t="shared" si="61"/>
        <v>0</v>
      </c>
      <c r="J966" s="25">
        <f t="shared" si="59"/>
        <v>31</v>
      </c>
    </row>
    <row r="967" spans="1:10" ht="16.95" customHeight="1">
      <c r="A967" s="75">
        <v>11</v>
      </c>
      <c r="B967" s="80" t="s">
        <v>101</v>
      </c>
      <c r="C967" s="77" t="s">
        <v>50</v>
      </c>
      <c r="D967" s="78">
        <v>75</v>
      </c>
      <c r="E967" s="79"/>
      <c r="F967" s="79" t="e">
        <f t="shared" si="60"/>
        <v>#REF!</v>
      </c>
      <c r="G967" s="2"/>
      <c r="H967" s="37">
        <v>1146</v>
      </c>
      <c r="I967" s="4">
        <f t="shared" si="61"/>
        <v>0</v>
      </c>
      <c r="J967" s="25">
        <f t="shared" si="59"/>
        <v>31</v>
      </c>
    </row>
    <row r="968" spans="1:10" ht="16.95" customHeight="1">
      <c r="A968" s="75">
        <v>12</v>
      </c>
      <c r="B968" s="80" t="s">
        <v>102</v>
      </c>
      <c r="C968" s="77" t="s">
        <v>50</v>
      </c>
      <c r="D968" s="78">
        <v>5</v>
      </c>
      <c r="E968" s="79"/>
      <c r="F968" s="79" t="e">
        <f t="shared" si="60"/>
        <v>#REF!</v>
      </c>
      <c r="G968" s="2"/>
      <c r="H968" s="37">
        <v>1455</v>
      </c>
      <c r="I968" s="4">
        <f t="shared" si="61"/>
        <v>0</v>
      </c>
      <c r="J968" s="25">
        <f t="shared" si="59"/>
        <v>31</v>
      </c>
    </row>
    <row r="969" spans="1:10" ht="16.95" customHeight="1">
      <c r="A969" s="75">
        <v>13</v>
      </c>
      <c r="B969" s="80" t="s">
        <v>103</v>
      </c>
      <c r="C969" s="77" t="s">
        <v>50</v>
      </c>
      <c r="D969" s="78">
        <v>217</v>
      </c>
      <c r="E969" s="79"/>
      <c r="F969" s="79" t="e">
        <f t="shared" si="60"/>
        <v>#REF!</v>
      </c>
      <c r="G969" s="2"/>
      <c r="H969" s="37">
        <v>1410</v>
      </c>
      <c r="I969" s="4">
        <f t="shared" si="61"/>
        <v>0</v>
      </c>
      <c r="J969" s="25">
        <f t="shared" si="59"/>
        <v>31</v>
      </c>
    </row>
    <row r="970" spans="1:10" ht="16.95" customHeight="1">
      <c r="A970" s="75">
        <v>14</v>
      </c>
      <c r="B970" s="80" t="s">
        <v>104</v>
      </c>
      <c r="C970" s="77" t="s">
        <v>49</v>
      </c>
      <c r="D970" s="78">
        <v>84</v>
      </c>
      <c r="E970" s="79"/>
      <c r="F970" s="79" t="e">
        <f t="shared" si="60"/>
        <v>#REF!</v>
      </c>
      <c r="G970" s="2"/>
      <c r="H970" s="37">
        <v>529</v>
      </c>
      <c r="I970" s="4">
        <f t="shared" si="61"/>
        <v>0</v>
      </c>
      <c r="J970" s="25">
        <f t="shared" si="59"/>
        <v>31</v>
      </c>
    </row>
    <row r="971" spans="1:10" ht="16.95" customHeight="1">
      <c r="A971" s="75">
        <v>15</v>
      </c>
      <c r="B971" s="80" t="s">
        <v>105</v>
      </c>
      <c r="C971" s="77" t="s">
        <v>50</v>
      </c>
      <c r="D971" s="78">
        <v>1</v>
      </c>
      <c r="E971" s="79"/>
      <c r="F971" s="79" t="e">
        <f t="shared" si="60"/>
        <v>#REF!</v>
      </c>
      <c r="G971" s="2"/>
      <c r="H971" s="37">
        <v>1146</v>
      </c>
      <c r="I971" s="4">
        <f t="shared" si="61"/>
        <v>0</v>
      </c>
      <c r="J971" s="25">
        <f t="shared" si="59"/>
        <v>31</v>
      </c>
    </row>
    <row r="972" spans="1:10" ht="34.799999999999997" customHeight="1">
      <c r="A972" s="75">
        <v>16</v>
      </c>
      <c r="B972" s="80" t="s">
        <v>106</v>
      </c>
      <c r="C972" s="77" t="s">
        <v>50</v>
      </c>
      <c r="D972" s="78">
        <v>314</v>
      </c>
      <c r="E972" s="79"/>
      <c r="F972" s="79" t="e">
        <f t="shared" si="60"/>
        <v>#REF!</v>
      </c>
      <c r="G972" s="2"/>
      <c r="H972" s="37">
        <v>185</v>
      </c>
      <c r="I972" s="4">
        <f t="shared" si="61"/>
        <v>0</v>
      </c>
      <c r="J972" s="25">
        <f t="shared" si="59"/>
        <v>31</v>
      </c>
    </row>
    <row r="973" spans="1:10" ht="16.95" customHeight="1">
      <c r="A973" s="75">
        <v>17</v>
      </c>
      <c r="B973" s="80" t="s">
        <v>107</v>
      </c>
      <c r="C973" s="77" t="s">
        <v>48</v>
      </c>
      <c r="D973" s="78">
        <v>1</v>
      </c>
      <c r="E973" s="79"/>
      <c r="F973" s="79" t="e">
        <f t="shared" si="60"/>
        <v>#REF!</v>
      </c>
      <c r="G973" s="2"/>
      <c r="H973" s="37">
        <v>89918</v>
      </c>
      <c r="I973" s="4">
        <f t="shared" si="61"/>
        <v>0</v>
      </c>
      <c r="J973" s="25">
        <f t="shared" si="59"/>
        <v>31</v>
      </c>
    </row>
    <row r="974" spans="1:10" ht="16.95" customHeight="1">
      <c r="A974" s="75">
        <v>18</v>
      </c>
      <c r="B974" s="80" t="s">
        <v>108</v>
      </c>
      <c r="C974" s="77" t="s">
        <v>120</v>
      </c>
      <c r="D974" s="78">
        <v>15</v>
      </c>
      <c r="E974" s="79"/>
      <c r="F974" s="79" t="e">
        <f t="shared" si="60"/>
        <v>#REF!</v>
      </c>
      <c r="G974" s="2"/>
      <c r="H974" s="37">
        <v>661</v>
      </c>
      <c r="I974" s="4">
        <f t="shared" si="61"/>
        <v>0</v>
      </c>
      <c r="J974" s="25">
        <f t="shared" si="59"/>
        <v>31</v>
      </c>
    </row>
    <row r="975" spans="1:10" ht="16.95" customHeight="1">
      <c r="A975" s="75">
        <v>19</v>
      </c>
      <c r="B975" s="80" t="s">
        <v>109</v>
      </c>
      <c r="C975" s="77" t="s">
        <v>50</v>
      </c>
      <c r="D975" s="78">
        <v>82</v>
      </c>
      <c r="E975" s="79"/>
      <c r="F975" s="79" t="e">
        <f t="shared" si="60"/>
        <v>#REF!</v>
      </c>
      <c r="G975" s="2"/>
      <c r="H975" s="37">
        <v>2909</v>
      </c>
      <c r="I975" s="4">
        <f t="shared" si="61"/>
        <v>0</v>
      </c>
      <c r="J975" s="25">
        <f t="shared" si="59"/>
        <v>31</v>
      </c>
    </row>
    <row r="976" spans="1:10" ht="16.95" customHeight="1">
      <c r="A976" s="75">
        <v>20</v>
      </c>
      <c r="B976" s="80" t="s">
        <v>110</v>
      </c>
      <c r="C976" s="77" t="s">
        <v>121</v>
      </c>
      <c r="D976" s="78">
        <v>12</v>
      </c>
      <c r="E976" s="79"/>
      <c r="F976" s="79" t="e">
        <f t="shared" si="60"/>
        <v>#REF!</v>
      </c>
      <c r="G976" s="2"/>
      <c r="H976" s="37">
        <v>882</v>
      </c>
      <c r="I976" s="4">
        <f t="shared" si="61"/>
        <v>0</v>
      </c>
      <c r="J976" s="25">
        <f t="shared" si="59"/>
        <v>31</v>
      </c>
    </row>
    <row r="977" spans="1:10" ht="16.95" customHeight="1">
      <c r="A977" s="77">
        <v>21</v>
      </c>
      <c r="B977" s="80" t="s">
        <v>111</v>
      </c>
      <c r="C977" s="77" t="s">
        <v>122</v>
      </c>
      <c r="D977" s="78">
        <v>3</v>
      </c>
      <c r="E977" s="79"/>
      <c r="F977" s="79" t="e">
        <f t="shared" si="60"/>
        <v>#REF!</v>
      </c>
      <c r="G977" s="2"/>
      <c r="H977" s="38">
        <v>1869</v>
      </c>
      <c r="I977" s="4">
        <f t="shared" si="61"/>
        <v>0</v>
      </c>
      <c r="J977" s="25">
        <f t="shared" si="59"/>
        <v>31</v>
      </c>
    </row>
    <row r="978" spans="1:10" ht="34.950000000000003" customHeight="1">
      <c r="A978" s="75">
        <v>22</v>
      </c>
      <c r="B978" s="80" t="s">
        <v>112</v>
      </c>
      <c r="C978" s="77" t="s">
        <v>48</v>
      </c>
      <c r="D978" s="78">
        <v>1</v>
      </c>
      <c r="E978" s="79"/>
      <c r="F978" s="79" t="e">
        <f t="shared" si="60"/>
        <v>#REF!</v>
      </c>
      <c r="G978" s="2"/>
      <c r="H978" s="37">
        <v>82206</v>
      </c>
      <c r="I978" s="4">
        <f t="shared" si="61"/>
        <v>0</v>
      </c>
      <c r="J978" s="25">
        <f t="shared" si="59"/>
        <v>31</v>
      </c>
    </row>
    <row r="979" spans="1:10" ht="16.95" customHeight="1">
      <c r="A979" s="75">
        <v>23</v>
      </c>
      <c r="B979" s="80" t="s">
        <v>113</v>
      </c>
      <c r="C979" s="77" t="s">
        <v>48</v>
      </c>
      <c r="D979" s="78">
        <v>1</v>
      </c>
      <c r="E979" s="79"/>
      <c r="F979" s="79" t="e">
        <f t="shared" si="60"/>
        <v>#REF!</v>
      </c>
      <c r="G979" s="2"/>
      <c r="H979" s="37">
        <v>142723</v>
      </c>
      <c r="I979" s="4">
        <f t="shared" si="61"/>
        <v>0</v>
      </c>
      <c r="J979" s="25">
        <f t="shared" si="59"/>
        <v>31</v>
      </c>
    </row>
    <row r="980" spans="1:10" ht="16.95" customHeight="1">
      <c r="A980" s="75">
        <v>24</v>
      </c>
      <c r="B980" s="80" t="s">
        <v>114</v>
      </c>
      <c r="C980" s="77" t="s">
        <v>48</v>
      </c>
      <c r="D980" s="78">
        <v>1</v>
      </c>
      <c r="E980" s="79"/>
      <c r="F980" s="79" t="e">
        <f t="shared" si="60"/>
        <v>#REF!</v>
      </c>
      <c r="G980" s="2"/>
      <c r="H980" s="37">
        <v>37290</v>
      </c>
      <c r="I980" s="4">
        <f t="shared" si="61"/>
        <v>0</v>
      </c>
      <c r="J980" s="25">
        <f t="shared" si="59"/>
        <v>31</v>
      </c>
    </row>
    <row r="981" spans="1:10" ht="16.95" customHeight="1">
      <c r="A981" s="75">
        <v>25</v>
      </c>
      <c r="B981" s="80" t="s">
        <v>115</v>
      </c>
      <c r="C981" s="77" t="s">
        <v>48</v>
      </c>
      <c r="D981" s="78">
        <v>1</v>
      </c>
      <c r="E981" s="79"/>
      <c r="F981" s="79" t="e">
        <f t="shared" si="60"/>
        <v>#REF!</v>
      </c>
      <c r="G981" s="2"/>
      <c r="H981" s="37">
        <v>99394</v>
      </c>
      <c r="I981" s="4">
        <f t="shared" si="61"/>
        <v>0</v>
      </c>
      <c r="J981" s="25">
        <f t="shared" si="59"/>
        <v>31</v>
      </c>
    </row>
    <row r="982" spans="1:10" ht="34.950000000000003" customHeight="1">
      <c r="A982" s="75">
        <v>26</v>
      </c>
      <c r="B982" s="80" t="s">
        <v>116</v>
      </c>
      <c r="C982" s="77" t="s">
        <v>48</v>
      </c>
      <c r="D982" s="78">
        <v>1</v>
      </c>
      <c r="E982" s="79"/>
      <c r="F982" s="79" t="e">
        <f t="shared" si="60"/>
        <v>#REF!</v>
      </c>
      <c r="G982" s="2"/>
      <c r="H982" s="37">
        <v>21334</v>
      </c>
      <c r="I982" s="4">
        <f t="shared" si="61"/>
        <v>0</v>
      </c>
      <c r="J982" s="25">
        <f t="shared" si="59"/>
        <v>31</v>
      </c>
    </row>
    <row r="983" spans="1:10" ht="16.95" customHeight="1">
      <c r="A983" s="75">
        <v>27</v>
      </c>
      <c r="B983" s="80" t="s">
        <v>117</v>
      </c>
      <c r="C983" s="77" t="s">
        <v>48</v>
      </c>
      <c r="D983" s="78">
        <v>1</v>
      </c>
      <c r="E983" s="79"/>
      <c r="F983" s="79" t="e">
        <f t="shared" si="60"/>
        <v>#REF!</v>
      </c>
      <c r="G983" s="2"/>
      <c r="H983" s="37">
        <v>29620</v>
      </c>
      <c r="I983" s="4">
        <f t="shared" si="61"/>
        <v>0</v>
      </c>
      <c r="J983" s="25">
        <f t="shared" si="59"/>
        <v>31</v>
      </c>
    </row>
    <row r="984" spans="1:10" ht="16.95" customHeight="1">
      <c r="A984" s="75">
        <v>28</v>
      </c>
      <c r="B984" s="80" t="s">
        <v>118</v>
      </c>
      <c r="C984" s="77" t="s">
        <v>48</v>
      </c>
      <c r="D984" s="78">
        <v>1</v>
      </c>
      <c r="E984" s="79"/>
      <c r="F984" s="79" t="e">
        <f t="shared" si="60"/>
        <v>#REF!</v>
      </c>
      <c r="G984" s="2"/>
      <c r="H984" s="37">
        <v>18506</v>
      </c>
      <c r="I984" s="4">
        <f t="shared" si="61"/>
        <v>0</v>
      </c>
      <c r="J984" s="25">
        <f t="shared" si="59"/>
        <v>31</v>
      </c>
    </row>
    <row r="985" spans="1:10" ht="16.95" customHeight="1">
      <c r="A985" s="75">
        <v>29</v>
      </c>
      <c r="B985" s="80" t="s">
        <v>119</v>
      </c>
      <c r="C985" s="77" t="s">
        <v>48</v>
      </c>
      <c r="D985" s="78">
        <v>1</v>
      </c>
      <c r="E985" s="79"/>
      <c r="F985" s="79" t="e">
        <f t="shared" si="60"/>
        <v>#REF!</v>
      </c>
      <c r="G985" s="2"/>
      <c r="H985" s="37">
        <v>34381</v>
      </c>
      <c r="I985" s="4">
        <f t="shared" si="61"/>
        <v>0</v>
      </c>
      <c r="J985" s="25">
        <f t="shared" si="59"/>
        <v>31</v>
      </c>
    </row>
    <row r="986" spans="1:10" ht="16.95" customHeight="1">
      <c r="A986" s="75" t="s">
        <v>79</v>
      </c>
      <c r="B986" s="80" t="s">
        <v>80</v>
      </c>
      <c r="C986" s="77" t="s">
        <v>48</v>
      </c>
      <c r="D986" s="78">
        <v>1</v>
      </c>
      <c r="E986" s="79">
        <f t="shared" ref="E986:E989" si="62">1/120</f>
        <v>8.3333333333333332E-3</v>
      </c>
      <c r="F986" s="79" t="e">
        <f t="shared" si="60"/>
        <v>#REF!</v>
      </c>
      <c r="G986" s="2"/>
      <c r="H986" s="37">
        <v>21395</v>
      </c>
      <c r="I986" s="4">
        <f t="shared" si="61"/>
        <v>178.29166666666666</v>
      </c>
      <c r="J986" s="25">
        <f t="shared" si="59"/>
        <v>31</v>
      </c>
    </row>
    <row r="987" spans="1:10" ht="16.95" customHeight="1">
      <c r="A987" s="75" t="s">
        <v>81</v>
      </c>
      <c r="B987" s="80" t="s">
        <v>82</v>
      </c>
      <c r="C987" s="77" t="s">
        <v>48</v>
      </c>
      <c r="D987" s="78">
        <v>1</v>
      </c>
      <c r="E987" s="79">
        <f t="shared" si="62"/>
        <v>8.3333333333333332E-3</v>
      </c>
      <c r="F987" s="79" t="e">
        <f t="shared" si="60"/>
        <v>#REF!</v>
      </c>
      <c r="G987" s="2"/>
      <c r="H987" s="37">
        <v>21395</v>
      </c>
      <c r="I987" s="4">
        <f t="shared" si="61"/>
        <v>178.29166666666666</v>
      </c>
      <c r="J987" s="25">
        <f t="shared" si="59"/>
        <v>31</v>
      </c>
    </row>
    <row r="988" spans="1:10" ht="16.95" customHeight="1">
      <c r="A988" s="75" t="s">
        <v>83</v>
      </c>
      <c r="B988" s="80" t="s">
        <v>84</v>
      </c>
      <c r="C988" s="77" t="s">
        <v>48</v>
      </c>
      <c r="D988" s="78">
        <v>1</v>
      </c>
      <c r="E988" s="79">
        <f t="shared" si="62"/>
        <v>8.3333333333333332E-3</v>
      </c>
      <c r="F988" s="79" t="e">
        <f t="shared" si="60"/>
        <v>#REF!</v>
      </c>
      <c r="G988" s="2"/>
      <c r="H988" s="37">
        <v>149765</v>
      </c>
      <c r="I988" s="4">
        <f t="shared" si="61"/>
        <v>1248.0416666666667</v>
      </c>
      <c r="J988" s="25">
        <f t="shared" si="59"/>
        <v>31</v>
      </c>
    </row>
    <row r="989" spans="1:10" ht="16.95" customHeight="1">
      <c r="A989" s="75" t="s">
        <v>85</v>
      </c>
      <c r="B989" s="80" t="s">
        <v>86</v>
      </c>
      <c r="C989" s="77" t="s">
        <v>48</v>
      </c>
      <c r="D989" s="78">
        <v>1</v>
      </c>
      <c r="E989" s="79">
        <f t="shared" si="62"/>
        <v>8.3333333333333332E-3</v>
      </c>
      <c r="F989" s="79" t="e">
        <f t="shared" si="60"/>
        <v>#REF!</v>
      </c>
      <c r="G989" s="2"/>
      <c r="H989" s="37">
        <v>6996</v>
      </c>
      <c r="I989" s="4">
        <f t="shared" si="61"/>
        <v>58.3</v>
      </c>
      <c r="J989" s="25">
        <f t="shared" si="59"/>
        <v>31</v>
      </c>
    </row>
    <row r="990" spans="1:10" ht="16.95" customHeight="1">
      <c r="A990" s="75" t="s">
        <v>87</v>
      </c>
      <c r="B990" s="80" t="s">
        <v>88</v>
      </c>
      <c r="C990" s="77" t="s">
        <v>48</v>
      </c>
      <c r="D990" s="78">
        <v>1</v>
      </c>
      <c r="E990" s="79">
        <f>1/120</f>
        <v>8.3333333333333332E-3</v>
      </c>
      <c r="F990" s="79" t="e">
        <f t="shared" si="60"/>
        <v>#REF!</v>
      </c>
      <c r="G990" s="2"/>
      <c r="H990" s="37">
        <v>116952</v>
      </c>
      <c r="I990" s="4">
        <f t="shared" si="61"/>
        <v>974.6</v>
      </c>
      <c r="J990" s="25">
        <f t="shared" si="59"/>
        <v>31</v>
      </c>
    </row>
    <row r="991" spans="1:10" ht="16.95" customHeight="1">
      <c r="A991" s="95" t="s">
        <v>23</v>
      </c>
      <c r="B991" s="95"/>
      <c r="C991" s="50"/>
      <c r="D991" s="50"/>
      <c r="E991" s="50"/>
      <c r="F991" s="50"/>
      <c r="G991" s="50"/>
      <c r="H991" s="3" t="s">
        <v>24</v>
      </c>
      <c r="I991" s="5">
        <f>SUM(I956:I990)</f>
        <v>2637.5250000000001</v>
      </c>
      <c r="J991" s="25">
        <f t="shared" si="59"/>
        <v>31</v>
      </c>
    </row>
    <row r="992" spans="1:10" ht="16.95" customHeight="1">
      <c r="A992" s="96" t="s">
        <v>25</v>
      </c>
      <c r="B992" s="96"/>
      <c r="C992" s="50"/>
      <c r="D992" s="50"/>
      <c r="E992" s="50"/>
      <c r="F992" s="50"/>
      <c r="G992" s="50"/>
      <c r="J992" s="25">
        <f t="shared" si="59"/>
        <v>31</v>
      </c>
    </row>
    <row r="993" spans="1:10" ht="16.95" customHeight="1">
      <c r="A993" s="96" t="s">
        <v>26</v>
      </c>
      <c r="B993" s="96"/>
      <c r="C993" s="50"/>
      <c r="D993" s="50"/>
      <c r="E993" s="50"/>
      <c r="F993" s="50"/>
      <c r="G993" s="50"/>
      <c r="J993" s="25">
        <f t="shared" si="59"/>
        <v>31</v>
      </c>
    </row>
    <row r="994" spans="1:10" ht="16.95" customHeight="1">
      <c r="A994" s="95" t="s">
        <v>27</v>
      </c>
      <c r="B994" s="95"/>
      <c r="C994" s="95"/>
      <c r="D994" s="95"/>
      <c r="E994" s="95"/>
      <c r="F994" s="95"/>
      <c r="G994" s="95"/>
      <c r="J994" s="25">
        <f t="shared" si="59"/>
        <v>31</v>
      </c>
    </row>
    <row r="995" spans="1:10" ht="16.95" customHeight="1">
      <c r="A995" s="94" t="s">
        <v>28</v>
      </c>
      <c r="B995" s="94"/>
      <c r="C995" s="51" t="s">
        <v>29</v>
      </c>
      <c r="D995" s="51" t="s">
        <v>30</v>
      </c>
      <c r="E995" s="51" t="s">
        <v>18</v>
      </c>
      <c r="F995" s="51" t="s">
        <v>31</v>
      </c>
      <c r="G995" s="51" t="s">
        <v>20</v>
      </c>
      <c r="J995" s="25">
        <f t="shared" si="59"/>
        <v>31</v>
      </c>
    </row>
    <row r="996" spans="1:10" ht="16.95" customHeight="1">
      <c r="A996" s="96"/>
      <c r="B996" s="96"/>
      <c r="C996" s="50"/>
      <c r="D996" s="50"/>
      <c r="E996" s="50"/>
      <c r="F996" s="50"/>
      <c r="G996" s="51"/>
      <c r="J996" s="25">
        <f t="shared" si="59"/>
        <v>31</v>
      </c>
    </row>
    <row r="997" spans="1:10" ht="16.95" customHeight="1">
      <c r="A997" s="97"/>
      <c r="B997" s="97"/>
      <c r="C997" s="50"/>
      <c r="D997" s="50"/>
      <c r="E997" s="50"/>
      <c r="F997" s="51"/>
      <c r="G997" s="51"/>
      <c r="J997" s="25">
        <f t="shared" si="59"/>
        <v>31</v>
      </c>
    </row>
    <row r="998" spans="1:10" ht="16.95" customHeight="1">
      <c r="A998" s="95" t="s">
        <v>32</v>
      </c>
      <c r="B998" s="95"/>
      <c r="C998" s="95"/>
      <c r="D998" s="95"/>
      <c r="E998" s="95"/>
      <c r="F998" s="95"/>
      <c r="G998" s="95"/>
      <c r="J998" s="25">
        <f t="shared" si="59"/>
        <v>32</v>
      </c>
    </row>
    <row r="999" spans="1:10" ht="16.95" customHeight="1">
      <c r="A999" s="51" t="s">
        <v>33</v>
      </c>
      <c r="B999" s="51" t="s">
        <v>34</v>
      </c>
      <c r="C999" s="94" t="s">
        <v>35</v>
      </c>
      <c r="D999" s="94"/>
      <c r="E999" s="51" t="s">
        <v>36</v>
      </c>
      <c r="F999" s="51" t="s">
        <v>37</v>
      </c>
      <c r="G999" s="51" t="s">
        <v>38</v>
      </c>
      <c r="J999" s="25">
        <f t="shared" si="59"/>
        <v>32</v>
      </c>
    </row>
    <row r="1000" spans="1:10" ht="16.95" customHeight="1">
      <c r="A1000" s="51" t="s">
        <v>39</v>
      </c>
      <c r="B1000" s="6"/>
      <c r="C1000" s="94" t="e">
        <f>B1000+C937</f>
        <v>#REF!</v>
      </c>
      <c r="D1000" s="94"/>
      <c r="E1000" s="51"/>
      <c r="F1000" s="24"/>
      <c r="G1000" s="24"/>
      <c r="J1000" s="25">
        <f t="shared" si="59"/>
        <v>32</v>
      </c>
    </row>
    <row r="1001" spans="1:10" ht="16.95" customHeight="1">
      <c r="A1001" s="51" t="s">
        <v>40</v>
      </c>
      <c r="B1001" s="6"/>
      <c r="C1001" s="94" t="e">
        <f>B1001+C938</f>
        <v>#REF!</v>
      </c>
      <c r="D1001" s="94"/>
      <c r="E1001" s="51"/>
      <c r="F1001" s="24"/>
      <c r="G1001" s="24"/>
      <c r="J1001" s="25">
        <f t="shared" si="59"/>
        <v>32</v>
      </c>
    </row>
    <row r="1002" spans="1:10" ht="36.6" customHeight="1">
      <c r="A1002" s="95" t="s">
        <v>41</v>
      </c>
      <c r="B1002" s="95"/>
      <c r="C1002" s="95"/>
      <c r="D1002" s="95"/>
      <c r="E1002" s="95"/>
      <c r="F1002" s="95"/>
      <c r="G1002" s="95"/>
      <c r="J1002" s="25">
        <f t="shared" si="59"/>
        <v>32</v>
      </c>
    </row>
    <row r="1003" spans="1:10" ht="90" customHeight="1">
      <c r="A1003" s="92" t="s">
        <v>42</v>
      </c>
      <c r="B1003" s="92"/>
      <c r="C1003" s="92"/>
      <c r="D1003" s="92"/>
      <c r="E1003" s="92"/>
      <c r="F1003" s="92"/>
      <c r="G1003" s="92"/>
      <c r="J1003" s="25">
        <f t="shared" si="59"/>
        <v>32</v>
      </c>
    </row>
    <row r="1004" spans="1:10" ht="16.95" customHeight="1">
      <c r="A1004" s="95" t="s">
        <v>43</v>
      </c>
      <c r="B1004" s="95"/>
      <c r="C1004" s="95"/>
      <c r="D1004" s="95"/>
      <c r="E1004" s="95"/>
      <c r="F1004" s="95"/>
      <c r="G1004" s="95"/>
      <c r="J1004" s="25">
        <f t="shared" si="59"/>
        <v>32</v>
      </c>
    </row>
    <row r="1005" spans="1:10" ht="16.95" customHeight="1">
      <c r="A1005" s="95" t="s">
        <v>44</v>
      </c>
      <c r="B1005" s="95"/>
      <c r="C1005" s="95"/>
      <c r="D1005" s="95"/>
      <c r="E1005" s="95"/>
      <c r="F1005" s="95"/>
      <c r="G1005" s="95"/>
      <c r="J1005" s="25">
        <f t="shared" si="59"/>
        <v>32</v>
      </c>
    </row>
    <row r="1006" spans="1:10" ht="16.95" customHeight="1">
      <c r="A1006" s="91" t="s">
        <v>64</v>
      </c>
      <c r="B1006" s="91"/>
      <c r="C1006" s="91"/>
      <c r="D1006" s="91"/>
      <c r="E1006" s="91"/>
      <c r="F1006" s="91"/>
      <c r="G1006" s="91"/>
      <c r="J1006" s="25">
        <f t="shared" si="59"/>
        <v>32</v>
      </c>
    </row>
    <row r="1007" spans="1:10" ht="120.6" customHeight="1">
      <c r="A1007" s="92" t="s">
        <v>45</v>
      </c>
      <c r="B1007" s="92"/>
      <c r="C1007" s="92"/>
      <c r="D1007" s="92"/>
      <c r="E1007" s="92"/>
      <c r="F1007" s="92"/>
      <c r="G1007" s="92"/>
      <c r="J1007" s="25">
        <f t="shared" si="59"/>
        <v>32</v>
      </c>
    </row>
    <row r="1008" spans="1:10" ht="140.4" customHeight="1">
      <c r="A1008" s="93" t="s">
        <v>46</v>
      </c>
      <c r="B1008" s="93"/>
      <c r="C1008" s="93"/>
      <c r="D1008" s="93"/>
      <c r="E1008" s="93"/>
      <c r="F1008" s="93"/>
      <c r="G1008" s="93"/>
      <c r="J1008" s="25">
        <f t="shared" si="59"/>
        <v>32</v>
      </c>
    </row>
    <row r="1009" spans="1:10" ht="37.200000000000003" customHeight="1">
      <c r="A1009" s="103" t="s">
        <v>0</v>
      </c>
      <c r="B1009" s="103"/>
      <c r="C1009" s="103"/>
      <c r="D1009" s="103"/>
      <c r="E1009" s="103"/>
      <c r="F1009" s="103"/>
      <c r="G1009" s="103"/>
      <c r="J1009" s="25">
        <f t="shared" si="59"/>
        <v>33</v>
      </c>
    </row>
    <row r="1010" spans="1:10" ht="16.95" customHeight="1">
      <c r="A1010" s="1" t="s">
        <v>1</v>
      </c>
      <c r="B1010" s="104">
        <f>B947+1</f>
        <v>18</v>
      </c>
      <c r="C1010" s="104"/>
      <c r="D1010" s="104"/>
      <c r="E1010" s="104"/>
      <c r="F1010" s="104"/>
      <c r="G1010" s="104"/>
      <c r="J1010" s="25">
        <f t="shared" si="59"/>
        <v>33</v>
      </c>
    </row>
    <row r="1011" spans="1:10" ht="16.95" customHeight="1">
      <c r="A1011" s="1" t="s">
        <v>2</v>
      </c>
      <c r="B1011" s="105" t="s">
        <v>63</v>
      </c>
      <c r="C1011" s="105"/>
      <c r="D1011" s="105"/>
      <c r="E1011" s="106">
        <f>E948+1</f>
        <v>46220</v>
      </c>
      <c r="F1011" s="106"/>
      <c r="G1011" s="106"/>
      <c r="J1011" s="25">
        <f t="shared" si="59"/>
        <v>33</v>
      </c>
    </row>
    <row r="1012" spans="1:10" ht="16.95" customHeight="1">
      <c r="A1012" s="53" t="s">
        <v>3</v>
      </c>
      <c r="B1012" s="2" t="s">
        <v>67</v>
      </c>
      <c r="C1012" s="98" t="s">
        <v>4</v>
      </c>
      <c r="D1012" s="98"/>
      <c r="E1012" s="98" t="s">
        <v>47</v>
      </c>
      <c r="F1012" s="98"/>
      <c r="G1012" s="98"/>
      <c r="J1012" s="25">
        <f t="shared" si="59"/>
        <v>33</v>
      </c>
    </row>
    <row r="1013" spans="1:10" ht="16.95" customHeight="1">
      <c r="A1013" s="53" t="s">
        <v>5</v>
      </c>
      <c r="B1013" s="54">
        <v>120</v>
      </c>
      <c r="C1013" s="98" t="s">
        <v>6</v>
      </c>
      <c r="D1013" s="98"/>
      <c r="E1013" s="98" t="s">
        <v>123</v>
      </c>
      <c r="F1013" s="98"/>
      <c r="G1013" s="98"/>
      <c r="J1013" s="25">
        <f t="shared" si="59"/>
        <v>33</v>
      </c>
    </row>
    <row r="1014" spans="1:10" ht="16.95" customHeight="1">
      <c r="A1014" s="53" t="s">
        <v>7</v>
      </c>
      <c r="B1014" s="54">
        <f>B1010</f>
        <v>18</v>
      </c>
      <c r="C1014" s="100" t="s">
        <v>8</v>
      </c>
      <c r="D1014" s="100"/>
      <c r="E1014" s="101">
        <f>B1013-B1014</f>
        <v>102</v>
      </c>
      <c r="F1014" s="101"/>
      <c r="G1014" s="101"/>
      <c r="J1014" s="25">
        <f t="shared" si="59"/>
        <v>33</v>
      </c>
    </row>
    <row r="1015" spans="1:10" ht="16.95" customHeight="1">
      <c r="A1015" s="53" t="s">
        <v>9</v>
      </c>
      <c r="B1015" s="55">
        <v>46204</v>
      </c>
      <c r="C1015" s="98" t="s">
        <v>10</v>
      </c>
      <c r="D1015" s="98"/>
      <c r="E1015" s="102">
        <f>B1015+B1013-1</f>
        <v>46323</v>
      </c>
      <c r="F1015" s="102"/>
      <c r="G1015" s="102"/>
      <c r="J1015" s="25">
        <f t="shared" si="59"/>
        <v>33</v>
      </c>
    </row>
    <row r="1016" spans="1:10" ht="16.95" customHeight="1">
      <c r="A1016" s="53" t="s">
        <v>11</v>
      </c>
      <c r="B1016" s="56" t="e">
        <f>HLOOKUP(B1010,進度表!$Q$2:$Z$3,2,1)+B953</f>
        <v>#REF!</v>
      </c>
      <c r="C1016" s="98" t="s">
        <v>12</v>
      </c>
      <c r="D1016" s="98"/>
      <c r="E1016" s="99" t="e">
        <f>I1054/I1016+E953</f>
        <v>#REF!</v>
      </c>
      <c r="F1016" s="99"/>
      <c r="G1016" s="99"/>
      <c r="H1016" s="3" t="s">
        <v>62</v>
      </c>
      <c r="I1016" s="1">
        <v>2456000</v>
      </c>
      <c r="J1016" s="25">
        <f t="shared" si="59"/>
        <v>33</v>
      </c>
    </row>
    <row r="1017" spans="1:10" ht="16.95" customHeight="1">
      <c r="A1017" s="98" t="s">
        <v>13</v>
      </c>
      <c r="B1017" s="98"/>
      <c r="C1017" s="98"/>
      <c r="D1017" s="98"/>
      <c r="E1017" s="98"/>
      <c r="F1017" s="98"/>
      <c r="G1017" s="98"/>
      <c r="J1017" s="25">
        <f t="shared" si="59"/>
        <v>33</v>
      </c>
    </row>
    <row r="1018" spans="1:10" ht="16.95" customHeight="1">
      <c r="A1018" s="52" t="s">
        <v>14</v>
      </c>
      <c r="B1018" s="52" t="s">
        <v>15</v>
      </c>
      <c r="C1018" s="52" t="s">
        <v>16</v>
      </c>
      <c r="D1018" s="52" t="s">
        <v>17</v>
      </c>
      <c r="E1018" s="52" t="s">
        <v>18</v>
      </c>
      <c r="F1018" s="52" t="s">
        <v>19</v>
      </c>
      <c r="G1018" s="52" t="s">
        <v>20</v>
      </c>
      <c r="H1018" s="3" t="s">
        <v>21</v>
      </c>
      <c r="I1018" s="3" t="s">
        <v>22</v>
      </c>
      <c r="J1018" s="25">
        <f t="shared" si="59"/>
        <v>33</v>
      </c>
    </row>
    <row r="1019" spans="1:10" ht="16.95" customHeight="1">
      <c r="A1019" s="75" t="s">
        <v>65</v>
      </c>
      <c r="B1019" s="76" t="s">
        <v>69</v>
      </c>
      <c r="C1019" s="77"/>
      <c r="D1019" s="78"/>
      <c r="E1019" s="79"/>
      <c r="F1019" s="79"/>
      <c r="G1019" s="2"/>
      <c r="H1019" s="37"/>
      <c r="I1019" s="4"/>
      <c r="J1019" s="25">
        <f t="shared" ref="J1019:J1082" si="63">J956+2</f>
        <v>33</v>
      </c>
    </row>
    <row r="1020" spans="1:10" ht="34.950000000000003" customHeight="1">
      <c r="A1020" s="75">
        <v>1</v>
      </c>
      <c r="B1020" s="80" t="s">
        <v>91</v>
      </c>
      <c r="C1020" s="77" t="s">
        <v>48</v>
      </c>
      <c r="D1020" s="78">
        <v>1</v>
      </c>
      <c r="E1020" s="79"/>
      <c r="F1020" s="79" t="e">
        <f t="shared" ref="F1020:F1053" si="64">E1020+F957</f>
        <v>#REF!</v>
      </c>
      <c r="G1020" s="2"/>
      <c r="H1020" s="37">
        <v>10508</v>
      </c>
      <c r="I1020" s="4">
        <f>H1020*E1020</f>
        <v>0</v>
      </c>
      <c r="J1020" s="25">
        <f t="shared" si="63"/>
        <v>33</v>
      </c>
    </row>
    <row r="1021" spans="1:10" ht="34.799999999999997" customHeight="1">
      <c r="A1021" s="75">
        <v>2</v>
      </c>
      <c r="B1021" s="80" t="s">
        <v>92</v>
      </c>
      <c r="C1021" s="77" t="s">
        <v>48</v>
      </c>
      <c r="D1021" s="78">
        <v>1</v>
      </c>
      <c r="E1021" s="79"/>
      <c r="F1021" s="79" t="e">
        <f t="shared" si="64"/>
        <v>#REF!</v>
      </c>
      <c r="G1021" s="2"/>
      <c r="H1021" s="37">
        <v>13223</v>
      </c>
      <c r="I1021" s="4">
        <f>H1021*E1021</f>
        <v>0</v>
      </c>
      <c r="J1021" s="25">
        <f t="shared" si="63"/>
        <v>33</v>
      </c>
    </row>
    <row r="1022" spans="1:10" ht="53.4" customHeight="1">
      <c r="A1022" s="75">
        <v>3</v>
      </c>
      <c r="B1022" s="80" t="s">
        <v>93</v>
      </c>
      <c r="C1022" s="77" t="s">
        <v>48</v>
      </c>
      <c r="D1022" s="78">
        <v>1</v>
      </c>
      <c r="E1022" s="79"/>
      <c r="F1022" s="79" t="e">
        <f t="shared" si="64"/>
        <v>#REF!</v>
      </c>
      <c r="G1022" s="2"/>
      <c r="H1022" s="37">
        <v>310497</v>
      </c>
      <c r="I1022" s="4">
        <f t="shared" ref="I1022:I1053" si="65">H1022*E1022</f>
        <v>0</v>
      </c>
      <c r="J1022" s="25">
        <f t="shared" si="63"/>
        <v>33</v>
      </c>
    </row>
    <row r="1023" spans="1:10" ht="16.95" customHeight="1">
      <c r="A1023" s="75">
        <v>4</v>
      </c>
      <c r="B1023" s="80" t="s">
        <v>94</v>
      </c>
      <c r="C1023" s="77" t="s">
        <v>48</v>
      </c>
      <c r="D1023" s="78">
        <v>1</v>
      </c>
      <c r="E1023" s="79"/>
      <c r="F1023" s="79" t="e">
        <f t="shared" si="64"/>
        <v>#REF!</v>
      </c>
      <c r="G1023" s="2"/>
      <c r="H1023" s="37">
        <v>8375</v>
      </c>
      <c r="I1023" s="4">
        <f t="shared" si="65"/>
        <v>0</v>
      </c>
      <c r="J1023" s="25">
        <f t="shared" si="63"/>
        <v>33</v>
      </c>
    </row>
    <row r="1024" spans="1:10" ht="16.95" customHeight="1">
      <c r="A1024" s="75">
        <v>5</v>
      </c>
      <c r="B1024" s="80" t="s">
        <v>95</v>
      </c>
      <c r="C1024" s="77" t="s">
        <v>48</v>
      </c>
      <c r="D1024" s="78">
        <v>1</v>
      </c>
      <c r="E1024" s="79"/>
      <c r="F1024" s="79" t="e">
        <f t="shared" si="64"/>
        <v>#REF!</v>
      </c>
      <c r="G1024" s="2"/>
      <c r="H1024" s="37">
        <v>51618</v>
      </c>
      <c r="I1024" s="4">
        <f t="shared" si="65"/>
        <v>0</v>
      </c>
      <c r="J1024" s="25">
        <f t="shared" si="63"/>
        <v>33</v>
      </c>
    </row>
    <row r="1025" spans="1:10" ht="16.95" customHeight="1">
      <c r="A1025" s="75">
        <v>6</v>
      </c>
      <c r="B1025" s="80" t="s">
        <v>96</v>
      </c>
      <c r="C1025" s="77" t="s">
        <v>50</v>
      </c>
      <c r="D1025" s="78">
        <v>11.55</v>
      </c>
      <c r="E1025" s="79"/>
      <c r="F1025" s="79" t="e">
        <f t="shared" si="64"/>
        <v>#REF!</v>
      </c>
      <c r="G1025" s="2"/>
      <c r="H1025" s="37">
        <v>1188</v>
      </c>
      <c r="I1025" s="4">
        <f t="shared" si="65"/>
        <v>0</v>
      </c>
      <c r="J1025" s="25">
        <f t="shared" si="63"/>
        <v>33</v>
      </c>
    </row>
    <row r="1026" spans="1:10" ht="34.950000000000003" customHeight="1">
      <c r="A1026" s="75">
        <v>7</v>
      </c>
      <c r="B1026" s="80" t="s">
        <v>97</v>
      </c>
      <c r="C1026" s="77" t="s">
        <v>48</v>
      </c>
      <c r="D1026" s="78">
        <v>1</v>
      </c>
      <c r="E1026" s="79"/>
      <c r="F1026" s="79" t="e">
        <f t="shared" si="64"/>
        <v>#REF!</v>
      </c>
      <c r="G1026" s="2"/>
      <c r="H1026" s="37">
        <v>21157</v>
      </c>
      <c r="I1026" s="4">
        <f t="shared" si="65"/>
        <v>0</v>
      </c>
      <c r="J1026" s="25">
        <f t="shared" si="63"/>
        <v>33</v>
      </c>
    </row>
    <row r="1027" spans="1:10" ht="16.95" customHeight="1">
      <c r="A1027" s="75">
        <v>8</v>
      </c>
      <c r="B1027" s="80" t="s">
        <v>98</v>
      </c>
      <c r="C1027" s="77" t="s">
        <v>50</v>
      </c>
      <c r="D1027" s="78">
        <v>387</v>
      </c>
      <c r="E1027" s="79"/>
      <c r="F1027" s="79" t="e">
        <f t="shared" si="64"/>
        <v>#REF!</v>
      </c>
      <c r="G1027" s="2"/>
      <c r="H1027" s="37">
        <v>705</v>
      </c>
      <c r="I1027" s="4">
        <f t="shared" si="65"/>
        <v>0</v>
      </c>
      <c r="J1027" s="25">
        <f t="shared" si="63"/>
        <v>33</v>
      </c>
    </row>
    <row r="1028" spans="1:10" ht="16.95" customHeight="1">
      <c r="A1028" s="75">
        <v>9</v>
      </c>
      <c r="B1028" s="80" t="s">
        <v>99</v>
      </c>
      <c r="C1028" s="77" t="s">
        <v>50</v>
      </c>
      <c r="D1028" s="78">
        <v>170</v>
      </c>
      <c r="E1028" s="79"/>
      <c r="F1028" s="79" t="e">
        <f t="shared" si="64"/>
        <v>#REF!</v>
      </c>
      <c r="G1028" s="2"/>
      <c r="H1028" s="37">
        <v>617</v>
      </c>
      <c r="I1028" s="4">
        <f t="shared" si="65"/>
        <v>0</v>
      </c>
      <c r="J1028" s="25">
        <f t="shared" si="63"/>
        <v>33</v>
      </c>
    </row>
    <row r="1029" spans="1:10" ht="16.95" customHeight="1">
      <c r="A1029" s="75">
        <v>10</v>
      </c>
      <c r="B1029" s="80" t="s">
        <v>100</v>
      </c>
      <c r="C1029" s="77" t="s">
        <v>66</v>
      </c>
      <c r="D1029" s="78">
        <v>15</v>
      </c>
      <c r="E1029" s="79"/>
      <c r="F1029" s="79" t="e">
        <f t="shared" si="64"/>
        <v>#REF!</v>
      </c>
      <c r="G1029" s="2"/>
      <c r="H1029" s="37">
        <v>617</v>
      </c>
      <c r="I1029" s="4">
        <f t="shared" si="65"/>
        <v>0</v>
      </c>
      <c r="J1029" s="25">
        <f t="shared" si="63"/>
        <v>33</v>
      </c>
    </row>
    <row r="1030" spans="1:10" ht="16.95" customHeight="1">
      <c r="A1030" s="75">
        <v>11</v>
      </c>
      <c r="B1030" s="80" t="s">
        <v>101</v>
      </c>
      <c r="C1030" s="77" t="s">
        <v>50</v>
      </c>
      <c r="D1030" s="78">
        <v>75</v>
      </c>
      <c r="E1030" s="79"/>
      <c r="F1030" s="79" t="e">
        <f t="shared" si="64"/>
        <v>#REF!</v>
      </c>
      <c r="G1030" s="2"/>
      <c r="H1030" s="37">
        <v>1146</v>
      </c>
      <c r="I1030" s="4">
        <f t="shared" si="65"/>
        <v>0</v>
      </c>
      <c r="J1030" s="25">
        <f t="shared" si="63"/>
        <v>33</v>
      </c>
    </row>
    <row r="1031" spans="1:10" ht="16.95" customHeight="1">
      <c r="A1031" s="75">
        <v>12</v>
      </c>
      <c r="B1031" s="80" t="s">
        <v>102</v>
      </c>
      <c r="C1031" s="77" t="s">
        <v>50</v>
      </c>
      <c r="D1031" s="78">
        <v>5</v>
      </c>
      <c r="E1031" s="79"/>
      <c r="F1031" s="79" t="e">
        <f t="shared" si="64"/>
        <v>#REF!</v>
      </c>
      <c r="G1031" s="2"/>
      <c r="H1031" s="37">
        <v>1455</v>
      </c>
      <c r="I1031" s="4">
        <f t="shared" si="65"/>
        <v>0</v>
      </c>
      <c r="J1031" s="25">
        <f t="shared" si="63"/>
        <v>33</v>
      </c>
    </row>
    <row r="1032" spans="1:10" ht="16.95" customHeight="1">
      <c r="A1032" s="75">
        <v>13</v>
      </c>
      <c r="B1032" s="80" t="s">
        <v>103</v>
      </c>
      <c r="C1032" s="77" t="s">
        <v>50</v>
      </c>
      <c r="D1032" s="78">
        <v>217</v>
      </c>
      <c r="E1032" s="79"/>
      <c r="F1032" s="79" t="e">
        <f t="shared" si="64"/>
        <v>#REF!</v>
      </c>
      <c r="G1032" s="2"/>
      <c r="H1032" s="37">
        <v>1410</v>
      </c>
      <c r="I1032" s="4">
        <f t="shared" si="65"/>
        <v>0</v>
      </c>
      <c r="J1032" s="25">
        <f t="shared" si="63"/>
        <v>33</v>
      </c>
    </row>
    <row r="1033" spans="1:10" ht="16.95" customHeight="1">
      <c r="A1033" s="75">
        <v>14</v>
      </c>
      <c r="B1033" s="80" t="s">
        <v>104</v>
      </c>
      <c r="C1033" s="77" t="s">
        <v>49</v>
      </c>
      <c r="D1033" s="78">
        <v>84</v>
      </c>
      <c r="E1033" s="79"/>
      <c r="F1033" s="79" t="e">
        <f t="shared" si="64"/>
        <v>#REF!</v>
      </c>
      <c r="G1033" s="2"/>
      <c r="H1033" s="37">
        <v>529</v>
      </c>
      <c r="I1033" s="4">
        <f t="shared" si="65"/>
        <v>0</v>
      </c>
      <c r="J1033" s="25">
        <f t="shared" si="63"/>
        <v>33</v>
      </c>
    </row>
    <row r="1034" spans="1:10" ht="16.95" customHeight="1">
      <c r="A1034" s="75">
        <v>15</v>
      </c>
      <c r="B1034" s="80" t="s">
        <v>105</v>
      </c>
      <c r="C1034" s="77" t="s">
        <v>50</v>
      </c>
      <c r="D1034" s="78">
        <v>1</v>
      </c>
      <c r="E1034" s="79"/>
      <c r="F1034" s="79" t="e">
        <f t="shared" si="64"/>
        <v>#REF!</v>
      </c>
      <c r="G1034" s="2"/>
      <c r="H1034" s="37">
        <v>1146</v>
      </c>
      <c r="I1034" s="4">
        <f t="shared" si="65"/>
        <v>0</v>
      </c>
      <c r="J1034" s="25">
        <f t="shared" si="63"/>
        <v>33</v>
      </c>
    </row>
    <row r="1035" spans="1:10" ht="34.799999999999997" customHeight="1">
      <c r="A1035" s="75">
        <v>16</v>
      </c>
      <c r="B1035" s="80" t="s">
        <v>106</v>
      </c>
      <c r="C1035" s="77" t="s">
        <v>50</v>
      </c>
      <c r="D1035" s="78">
        <v>314</v>
      </c>
      <c r="E1035" s="79"/>
      <c r="F1035" s="79" t="e">
        <f t="shared" si="64"/>
        <v>#REF!</v>
      </c>
      <c r="G1035" s="2"/>
      <c r="H1035" s="37">
        <v>185</v>
      </c>
      <c r="I1035" s="4">
        <f t="shared" si="65"/>
        <v>0</v>
      </c>
      <c r="J1035" s="25">
        <f t="shared" si="63"/>
        <v>33</v>
      </c>
    </row>
    <row r="1036" spans="1:10" ht="16.95" customHeight="1">
      <c r="A1036" s="75">
        <v>17</v>
      </c>
      <c r="B1036" s="80" t="s">
        <v>107</v>
      </c>
      <c r="C1036" s="77" t="s">
        <v>48</v>
      </c>
      <c r="D1036" s="78">
        <v>1</v>
      </c>
      <c r="E1036" s="79"/>
      <c r="F1036" s="79" t="e">
        <f t="shared" si="64"/>
        <v>#REF!</v>
      </c>
      <c r="G1036" s="2"/>
      <c r="H1036" s="37">
        <v>89918</v>
      </c>
      <c r="I1036" s="4">
        <f t="shared" si="65"/>
        <v>0</v>
      </c>
      <c r="J1036" s="25">
        <f t="shared" si="63"/>
        <v>33</v>
      </c>
    </row>
    <row r="1037" spans="1:10" ht="16.95" customHeight="1">
      <c r="A1037" s="75">
        <v>18</v>
      </c>
      <c r="B1037" s="80" t="s">
        <v>108</v>
      </c>
      <c r="C1037" s="77" t="s">
        <v>120</v>
      </c>
      <c r="D1037" s="78">
        <v>15</v>
      </c>
      <c r="E1037" s="79"/>
      <c r="F1037" s="79" t="e">
        <f t="shared" si="64"/>
        <v>#REF!</v>
      </c>
      <c r="G1037" s="2"/>
      <c r="H1037" s="37">
        <v>661</v>
      </c>
      <c r="I1037" s="4">
        <f t="shared" si="65"/>
        <v>0</v>
      </c>
      <c r="J1037" s="25">
        <f t="shared" si="63"/>
        <v>33</v>
      </c>
    </row>
    <row r="1038" spans="1:10" ht="16.95" customHeight="1">
      <c r="A1038" s="75">
        <v>19</v>
      </c>
      <c r="B1038" s="80" t="s">
        <v>109</v>
      </c>
      <c r="C1038" s="77" t="s">
        <v>50</v>
      </c>
      <c r="D1038" s="78">
        <v>82</v>
      </c>
      <c r="E1038" s="79"/>
      <c r="F1038" s="79" t="e">
        <f t="shared" si="64"/>
        <v>#REF!</v>
      </c>
      <c r="G1038" s="2"/>
      <c r="H1038" s="37">
        <v>2909</v>
      </c>
      <c r="I1038" s="4">
        <f t="shared" si="65"/>
        <v>0</v>
      </c>
      <c r="J1038" s="25">
        <f t="shared" si="63"/>
        <v>33</v>
      </c>
    </row>
    <row r="1039" spans="1:10" ht="16.95" customHeight="1">
      <c r="A1039" s="75">
        <v>20</v>
      </c>
      <c r="B1039" s="80" t="s">
        <v>110</v>
      </c>
      <c r="C1039" s="77" t="s">
        <v>121</v>
      </c>
      <c r="D1039" s="78">
        <v>12</v>
      </c>
      <c r="E1039" s="79"/>
      <c r="F1039" s="79" t="e">
        <f t="shared" si="64"/>
        <v>#REF!</v>
      </c>
      <c r="G1039" s="2"/>
      <c r="H1039" s="37">
        <v>882</v>
      </c>
      <c r="I1039" s="4">
        <f t="shared" si="65"/>
        <v>0</v>
      </c>
      <c r="J1039" s="25">
        <f t="shared" si="63"/>
        <v>33</v>
      </c>
    </row>
    <row r="1040" spans="1:10" ht="16.95" customHeight="1">
      <c r="A1040" s="77">
        <v>21</v>
      </c>
      <c r="B1040" s="80" t="s">
        <v>111</v>
      </c>
      <c r="C1040" s="77" t="s">
        <v>122</v>
      </c>
      <c r="D1040" s="78">
        <v>3</v>
      </c>
      <c r="E1040" s="79"/>
      <c r="F1040" s="79" t="e">
        <f t="shared" si="64"/>
        <v>#REF!</v>
      </c>
      <c r="G1040" s="2"/>
      <c r="H1040" s="38">
        <v>1869</v>
      </c>
      <c r="I1040" s="4">
        <f t="shared" si="65"/>
        <v>0</v>
      </c>
      <c r="J1040" s="25">
        <f t="shared" si="63"/>
        <v>33</v>
      </c>
    </row>
    <row r="1041" spans="1:10" ht="34.950000000000003" customHeight="1">
      <c r="A1041" s="75">
        <v>22</v>
      </c>
      <c r="B1041" s="80" t="s">
        <v>112</v>
      </c>
      <c r="C1041" s="77" t="s">
        <v>48</v>
      </c>
      <c r="D1041" s="78">
        <v>1</v>
      </c>
      <c r="E1041" s="79"/>
      <c r="F1041" s="79" t="e">
        <f t="shared" si="64"/>
        <v>#REF!</v>
      </c>
      <c r="G1041" s="2"/>
      <c r="H1041" s="37">
        <v>82206</v>
      </c>
      <c r="I1041" s="4">
        <f t="shared" si="65"/>
        <v>0</v>
      </c>
      <c r="J1041" s="25">
        <f t="shared" si="63"/>
        <v>33</v>
      </c>
    </row>
    <row r="1042" spans="1:10" ht="16.95" customHeight="1">
      <c r="A1042" s="75">
        <v>23</v>
      </c>
      <c r="B1042" s="80" t="s">
        <v>113</v>
      </c>
      <c r="C1042" s="77" t="s">
        <v>48</v>
      </c>
      <c r="D1042" s="78">
        <v>1</v>
      </c>
      <c r="E1042" s="79"/>
      <c r="F1042" s="79" t="e">
        <f t="shared" si="64"/>
        <v>#REF!</v>
      </c>
      <c r="G1042" s="2"/>
      <c r="H1042" s="37">
        <v>142723</v>
      </c>
      <c r="I1042" s="4">
        <f t="shared" si="65"/>
        <v>0</v>
      </c>
      <c r="J1042" s="25">
        <f t="shared" si="63"/>
        <v>33</v>
      </c>
    </row>
    <row r="1043" spans="1:10" ht="16.95" customHeight="1">
      <c r="A1043" s="75">
        <v>24</v>
      </c>
      <c r="B1043" s="80" t="s">
        <v>114</v>
      </c>
      <c r="C1043" s="77" t="s">
        <v>48</v>
      </c>
      <c r="D1043" s="78">
        <v>1</v>
      </c>
      <c r="E1043" s="79"/>
      <c r="F1043" s="79" t="e">
        <f t="shared" si="64"/>
        <v>#REF!</v>
      </c>
      <c r="G1043" s="2"/>
      <c r="H1043" s="37">
        <v>37290</v>
      </c>
      <c r="I1043" s="4">
        <f t="shared" si="65"/>
        <v>0</v>
      </c>
      <c r="J1043" s="25">
        <f t="shared" si="63"/>
        <v>33</v>
      </c>
    </row>
    <row r="1044" spans="1:10" ht="16.95" customHeight="1">
      <c r="A1044" s="75">
        <v>25</v>
      </c>
      <c r="B1044" s="80" t="s">
        <v>115</v>
      </c>
      <c r="C1044" s="77" t="s">
        <v>48</v>
      </c>
      <c r="D1044" s="78">
        <v>1</v>
      </c>
      <c r="E1044" s="79"/>
      <c r="F1044" s="79" t="e">
        <f t="shared" si="64"/>
        <v>#REF!</v>
      </c>
      <c r="G1044" s="2"/>
      <c r="H1044" s="37">
        <v>99394</v>
      </c>
      <c r="I1044" s="4">
        <f t="shared" si="65"/>
        <v>0</v>
      </c>
      <c r="J1044" s="25">
        <f t="shared" si="63"/>
        <v>33</v>
      </c>
    </row>
    <row r="1045" spans="1:10" ht="34.950000000000003" customHeight="1">
      <c r="A1045" s="75">
        <v>26</v>
      </c>
      <c r="B1045" s="80" t="s">
        <v>116</v>
      </c>
      <c r="C1045" s="77" t="s">
        <v>48</v>
      </c>
      <c r="D1045" s="78">
        <v>1</v>
      </c>
      <c r="E1045" s="79"/>
      <c r="F1045" s="79" t="e">
        <f t="shared" si="64"/>
        <v>#REF!</v>
      </c>
      <c r="G1045" s="2"/>
      <c r="H1045" s="37">
        <v>21334</v>
      </c>
      <c r="I1045" s="4">
        <f t="shared" si="65"/>
        <v>0</v>
      </c>
      <c r="J1045" s="25">
        <f t="shared" si="63"/>
        <v>33</v>
      </c>
    </row>
    <row r="1046" spans="1:10" ht="16.95" customHeight="1">
      <c r="A1046" s="75">
        <v>27</v>
      </c>
      <c r="B1046" s="80" t="s">
        <v>117</v>
      </c>
      <c r="C1046" s="77" t="s">
        <v>48</v>
      </c>
      <c r="D1046" s="78">
        <v>1</v>
      </c>
      <c r="E1046" s="79"/>
      <c r="F1046" s="79" t="e">
        <f t="shared" si="64"/>
        <v>#REF!</v>
      </c>
      <c r="G1046" s="2"/>
      <c r="H1046" s="37">
        <v>29620</v>
      </c>
      <c r="I1046" s="4">
        <f t="shared" si="65"/>
        <v>0</v>
      </c>
      <c r="J1046" s="25">
        <f t="shared" si="63"/>
        <v>33</v>
      </c>
    </row>
    <row r="1047" spans="1:10" ht="16.95" customHeight="1">
      <c r="A1047" s="75">
        <v>28</v>
      </c>
      <c r="B1047" s="80" t="s">
        <v>118</v>
      </c>
      <c r="C1047" s="77" t="s">
        <v>48</v>
      </c>
      <c r="D1047" s="78">
        <v>1</v>
      </c>
      <c r="E1047" s="79"/>
      <c r="F1047" s="79" t="e">
        <f t="shared" si="64"/>
        <v>#REF!</v>
      </c>
      <c r="G1047" s="2"/>
      <c r="H1047" s="37">
        <v>18506</v>
      </c>
      <c r="I1047" s="4">
        <f t="shared" si="65"/>
        <v>0</v>
      </c>
      <c r="J1047" s="25">
        <f t="shared" si="63"/>
        <v>33</v>
      </c>
    </row>
    <row r="1048" spans="1:10" ht="16.95" customHeight="1">
      <c r="A1048" s="75">
        <v>29</v>
      </c>
      <c r="B1048" s="80" t="s">
        <v>119</v>
      </c>
      <c r="C1048" s="77" t="s">
        <v>48</v>
      </c>
      <c r="D1048" s="78">
        <v>1</v>
      </c>
      <c r="E1048" s="79"/>
      <c r="F1048" s="79" t="e">
        <f t="shared" si="64"/>
        <v>#REF!</v>
      </c>
      <c r="G1048" s="2"/>
      <c r="H1048" s="37">
        <v>34381</v>
      </c>
      <c r="I1048" s="4">
        <f t="shared" si="65"/>
        <v>0</v>
      </c>
      <c r="J1048" s="25">
        <f t="shared" si="63"/>
        <v>33</v>
      </c>
    </row>
    <row r="1049" spans="1:10" ht="16.95" customHeight="1">
      <c r="A1049" s="75" t="s">
        <v>79</v>
      </c>
      <c r="B1049" s="80" t="s">
        <v>80</v>
      </c>
      <c r="C1049" s="77" t="s">
        <v>48</v>
      </c>
      <c r="D1049" s="78">
        <v>1</v>
      </c>
      <c r="E1049" s="79">
        <f t="shared" ref="E1049:E1052" si="66">1/120</f>
        <v>8.3333333333333332E-3</v>
      </c>
      <c r="F1049" s="79" t="e">
        <f t="shared" si="64"/>
        <v>#REF!</v>
      </c>
      <c r="G1049" s="2"/>
      <c r="H1049" s="37">
        <v>21395</v>
      </c>
      <c r="I1049" s="4">
        <f t="shared" si="65"/>
        <v>178.29166666666666</v>
      </c>
      <c r="J1049" s="25">
        <f t="shared" si="63"/>
        <v>33</v>
      </c>
    </row>
    <row r="1050" spans="1:10" ht="16.95" customHeight="1">
      <c r="A1050" s="75" t="s">
        <v>81</v>
      </c>
      <c r="B1050" s="80" t="s">
        <v>82</v>
      </c>
      <c r="C1050" s="77" t="s">
        <v>48</v>
      </c>
      <c r="D1050" s="78">
        <v>1</v>
      </c>
      <c r="E1050" s="79">
        <f t="shared" si="66"/>
        <v>8.3333333333333332E-3</v>
      </c>
      <c r="F1050" s="79" t="e">
        <f t="shared" si="64"/>
        <v>#REF!</v>
      </c>
      <c r="G1050" s="2"/>
      <c r="H1050" s="37">
        <v>21395</v>
      </c>
      <c r="I1050" s="4">
        <f t="shared" si="65"/>
        <v>178.29166666666666</v>
      </c>
      <c r="J1050" s="25">
        <f t="shared" si="63"/>
        <v>33</v>
      </c>
    </row>
    <row r="1051" spans="1:10" ht="16.95" customHeight="1">
      <c r="A1051" s="75" t="s">
        <v>83</v>
      </c>
      <c r="B1051" s="80" t="s">
        <v>84</v>
      </c>
      <c r="C1051" s="77" t="s">
        <v>48</v>
      </c>
      <c r="D1051" s="78">
        <v>1</v>
      </c>
      <c r="E1051" s="79">
        <f t="shared" si="66"/>
        <v>8.3333333333333332E-3</v>
      </c>
      <c r="F1051" s="79" t="e">
        <f t="shared" si="64"/>
        <v>#REF!</v>
      </c>
      <c r="G1051" s="2"/>
      <c r="H1051" s="37">
        <v>149765</v>
      </c>
      <c r="I1051" s="4">
        <f t="shared" si="65"/>
        <v>1248.0416666666667</v>
      </c>
      <c r="J1051" s="25">
        <f t="shared" si="63"/>
        <v>33</v>
      </c>
    </row>
    <row r="1052" spans="1:10" ht="16.95" customHeight="1">
      <c r="A1052" s="75" t="s">
        <v>85</v>
      </c>
      <c r="B1052" s="80" t="s">
        <v>86</v>
      </c>
      <c r="C1052" s="77" t="s">
        <v>48</v>
      </c>
      <c r="D1052" s="78">
        <v>1</v>
      </c>
      <c r="E1052" s="79">
        <f t="shared" si="66"/>
        <v>8.3333333333333332E-3</v>
      </c>
      <c r="F1052" s="79" t="e">
        <f t="shared" si="64"/>
        <v>#REF!</v>
      </c>
      <c r="G1052" s="2"/>
      <c r="H1052" s="37">
        <v>6996</v>
      </c>
      <c r="I1052" s="4">
        <f t="shared" si="65"/>
        <v>58.3</v>
      </c>
      <c r="J1052" s="25">
        <f t="shared" si="63"/>
        <v>33</v>
      </c>
    </row>
    <row r="1053" spans="1:10" ht="16.95" customHeight="1">
      <c r="A1053" s="75" t="s">
        <v>87</v>
      </c>
      <c r="B1053" s="80" t="s">
        <v>88</v>
      </c>
      <c r="C1053" s="77" t="s">
        <v>48</v>
      </c>
      <c r="D1053" s="78">
        <v>1</v>
      </c>
      <c r="E1053" s="79">
        <f>1/120</f>
        <v>8.3333333333333332E-3</v>
      </c>
      <c r="F1053" s="79" t="e">
        <f t="shared" si="64"/>
        <v>#REF!</v>
      </c>
      <c r="G1053" s="2"/>
      <c r="H1053" s="37">
        <v>116952</v>
      </c>
      <c r="I1053" s="4">
        <f t="shared" si="65"/>
        <v>974.6</v>
      </c>
      <c r="J1053" s="25">
        <f t="shared" si="63"/>
        <v>33</v>
      </c>
    </row>
    <row r="1054" spans="1:10" ht="16.95" customHeight="1">
      <c r="A1054" s="95" t="s">
        <v>23</v>
      </c>
      <c r="B1054" s="95"/>
      <c r="C1054" s="50"/>
      <c r="D1054" s="50"/>
      <c r="E1054" s="50"/>
      <c r="F1054" s="50"/>
      <c r="G1054" s="50"/>
      <c r="H1054" s="3" t="s">
        <v>24</v>
      </c>
      <c r="I1054" s="5">
        <f>SUM(I1019:I1053)</f>
        <v>2637.5250000000001</v>
      </c>
      <c r="J1054" s="25">
        <f t="shared" si="63"/>
        <v>33</v>
      </c>
    </row>
    <row r="1055" spans="1:10" ht="16.95" customHeight="1">
      <c r="A1055" s="96" t="s">
        <v>25</v>
      </c>
      <c r="B1055" s="96"/>
      <c r="C1055" s="50"/>
      <c r="D1055" s="50"/>
      <c r="E1055" s="50"/>
      <c r="F1055" s="50"/>
      <c r="G1055" s="50"/>
      <c r="J1055" s="25">
        <f t="shared" si="63"/>
        <v>33</v>
      </c>
    </row>
    <row r="1056" spans="1:10" ht="16.95" customHeight="1">
      <c r="A1056" s="96" t="s">
        <v>26</v>
      </c>
      <c r="B1056" s="96"/>
      <c r="C1056" s="50"/>
      <c r="D1056" s="50"/>
      <c r="E1056" s="50"/>
      <c r="F1056" s="50"/>
      <c r="G1056" s="50"/>
      <c r="J1056" s="25">
        <f t="shared" si="63"/>
        <v>33</v>
      </c>
    </row>
    <row r="1057" spans="1:10" ht="16.95" customHeight="1">
      <c r="A1057" s="95" t="s">
        <v>27</v>
      </c>
      <c r="B1057" s="95"/>
      <c r="C1057" s="95"/>
      <c r="D1057" s="95"/>
      <c r="E1057" s="95"/>
      <c r="F1057" s="95"/>
      <c r="G1057" s="95"/>
      <c r="J1057" s="25">
        <f t="shared" si="63"/>
        <v>33</v>
      </c>
    </row>
    <row r="1058" spans="1:10" ht="16.95" customHeight="1">
      <c r="A1058" s="94" t="s">
        <v>28</v>
      </c>
      <c r="B1058" s="94"/>
      <c r="C1058" s="51" t="s">
        <v>29</v>
      </c>
      <c r="D1058" s="51" t="s">
        <v>30</v>
      </c>
      <c r="E1058" s="51" t="s">
        <v>18</v>
      </c>
      <c r="F1058" s="51" t="s">
        <v>31</v>
      </c>
      <c r="G1058" s="51" t="s">
        <v>20</v>
      </c>
      <c r="J1058" s="25">
        <f t="shared" si="63"/>
        <v>33</v>
      </c>
    </row>
    <row r="1059" spans="1:10" ht="16.95" customHeight="1">
      <c r="A1059" s="96"/>
      <c r="B1059" s="96"/>
      <c r="C1059" s="50"/>
      <c r="D1059" s="50"/>
      <c r="E1059" s="50"/>
      <c r="F1059" s="50"/>
      <c r="G1059" s="51"/>
      <c r="J1059" s="25">
        <f t="shared" si="63"/>
        <v>33</v>
      </c>
    </row>
    <row r="1060" spans="1:10" ht="16.95" customHeight="1">
      <c r="A1060" s="97"/>
      <c r="B1060" s="97"/>
      <c r="C1060" s="50"/>
      <c r="D1060" s="50"/>
      <c r="E1060" s="50"/>
      <c r="F1060" s="51"/>
      <c r="G1060" s="51"/>
      <c r="J1060" s="25">
        <f t="shared" si="63"/>
        <v>33</v>
      </c>
    </row>
    <row r="1061" spans="1:10" ht="16.95" customHeight="1">
      <c r="A1061" s="95" t="s">
        <v>32</v>
      </c>
      <c r="B1061" s="95"/>
      <c r="C1061" s="95"/>
      <c r="D1061" s="95"/>
      <c r="E1061" s="95"/>
      <c r="F1061" s="95"/>
      <c r="G1061" s="95"/>
      <c r="J1061" s="25">
        <f t="shared" si="63"/>
        <v>34</v>
      </c>
    </row>
    <row r="1062" spans="1:10" ht="16.95" customHeight="1">
      <c r="A1062" s="51" t="s">
        <v>33</v>
      </c>
      <c r="B1062" s="51" t="s">
        <v>34</v>
      </c>
      <c r="C1062" s="94" t="s">
        <v>35</v>
      </c>
      <c r="D1062" s="94"/>
      <c r="E1062" s="51" t="s">
        <v>36</v>
      </c>
      <c r="F1062" s="51" t="s">
        <v>37</v>
      </c>
      <c r="G1062" s="51" t="s">
        <v>38</v>
      </c>
      <c r="J1062" s="25">
        <f t="shared" si="63"/>
        <v>34</v>
      </c>
    </row>
    <row r="1063" spans="1:10" ht="16.95" customHeight="1">
      <c r="A1063" s="51" t="s">
        <v>39</v>
      </c>
      <c r="B1063" s="6"/>
      <c r="C1063" s="94" t="e">
        <f>B1063+C1000</f>
        <v>#REF!</v>
      </c>
      <c r="D1063" s="94"/>
      <c r="E1063" s="51"/>
      <c r="F1063" s="24"/>
      <c r="G1063" s="24"/>
      <c r="J1063" s="25">
        <f t="shared" si="63"/>
        <v>34</v>
      </c>
    </row>
    <row r="1064" spans="1:10" ht="16.95" customHeight="1">
      <c r="A1064" s="51" t="s">
        <v>40</v>
      </c>
      <c r="B1064" s="6"/>
      <c r="C1064" s="94" t="e">
        <f>B1064+C1001</f>
        <v>#REF!</v>
      </c>
      <c r="D1064" s="94"/>
      <c r="E1064" s="51"/>
      <c r="F1064" s="24"/>
      <c r="G1064" s="24"/>
      <c r="J1064" s="25">
        <f t="shared" si="63"/>
        <v>34</v>
      </c>
    </row>
    <row r="1065" spans="1:10" ht="36.6" customHeight="1">
      <c r="A1065" s="95" t="s">
        <v>41</v>
      </c>
      <c r="B1065" s="95"/>
      <c r="C1065" s="95"/>
      <c r="D1065" s="95"/>
      <c r="E1065" s="95"/>
      <c r="F1065" s="95"/>
      <c r="G1065" s="95"/>
      <c r="J1065" s="25">
        <f t="shared" si="63"/>
        <v>34</v>
      </c>
    </row>
    <row r="1066" spans="1:10" ht="90" customHeight="1">
      <c r="A1066" s="92" t="s">
        <v>42</v>
      </c>
      <c r="B1066" s="92"/>
      <c r="C1066" s="92"/>
      <c r="D1066" s="92"/>
      <c r="E1066" s="92"/>
      <c r="F1066" s="92"/>
      <c r="G1066" s="92"/>
      <c r="J1066" s="25">
        <f t="shared" si="63"/>
        <v>34</v>
      </c>
    </row>
    <row r="1067" spans="1:10" ht="16.95" customHeight="1">
      <c r="A1067" s="95" t="s">
        <v>43</v>
      </c>
      <c r="B1067" s="95"/>
      <c r="C1067" s="95"/>
      <c r="D1067" s="95"/>
      <c r="E1067" s="95"/>
      <c r="F1067" s="95"/>
      <c r="G1067" s="95"/>
      <c r="J1067" s="25">
        <f t="shared" si="63"/>
        <v>34</v>
      </c>
    </row>
    <row r="1068" spans="1:10" ht="16.95" customHeight="1">
      <c r="A1068" s="95" t="s">
        <v>44</v>
      </c>
      <c r="B1068" s="95"/>
      <c r="C1068" s="95"/>
      <c r="D1068" s="95"/>
      <c r="E1068" s="95"/>
      <c r="F1068" s="95"/>
      <c r="G1068" s="95"/>
      <c r="J1068" s="25">
        <f t="shared" si="63"/>
        <v>34</v>
      </c>
    </row>
    <row r="1069" spans="1:10" ht="16.95" customHeight="1">
      <c r="A1069" s="91" t="s">
        <v>64</v>
      </c>
      <c r="B1069" s="91"/>
      <c r="C1069" s="91"/>
      <c r="D1069" s="91"/>
      <c r="E1069" s="91"/>
      <c r="F1069" s="91"/>
      <c r="G1069" s="91"/>
      <c r="J1069" s="25">
        <f t="shared" si="63"/>
        <v>34</v>
      </c>
    </row>
    <row r="1070" spans="1:10" ht="120.6" customHeight="1">
      <c r="A1070" s="92" t="s">
        <v>45</v>
      </c>
      <c r="B1070" s="92"/>
      <c r="C1070" s="92"/>
      <c r="D1070" s="92"/>
      <c r="E1070" s="92"/>
      <c r="F1070" s="92"/>
      <c r="G1070" s="92"/>
      <c r="J1070" s="25">
        <f t="shared" si="63"/>
        <v>34</v>
      </c>
    </row>
    <row r="1071" spans="1:10" ht="140.4" customHeight="1">
      <c r="A1071" s="93" t="s">
        <v>46</v>
      </c>
      <c r="B1071" s="93"/>
      <c r="C1071" s="93"/>
      <c r="D1071" s="93"/>
      <c r="E1071" s="93"/>
      <c r="F1071" s="93"/>
      <c r="G1071" s="93"/>
      <c r="J1071" s="25">
        <f t="shared" si="63"/>
        <v>34</v>
      </c>
    </row>
    <row r="1072" spans="1:10" ht="37.200000000000003" customHeight="1">
      <c r="A1072" s="103" t="s">
        <v>0</v>
      </c>
      <c r="B1072" s="103"/>
      <c r="C1072" s="103"/>
      <c r="D1072" s="103"/>
      <c r="E1072" s="103"/>
      <c r="F1072" s="103"/>
      <c r="G1072" s="103"/>
      <c r="J1072" s="25">
        <f t="shared" si="63"/>
        <v>35</v>
      </c>
    </row>
    <row r="1073" spans="1:10" ht="16.95" customHeight="1">
      <c r="A1073" s="1" t="s">
        <v>1</v>
      </c>
      <c r="B1073" s="104">
        <f>B1010+1</f>
        <v>19</v>
      </c>
      <c r="C1073" s="104"/>
      <c r="D1073" s="104"/>
      <c r="E1073" s="104"/>
      <c r="F1073" s="104"/>
      <c r="G1073" s="104"/>
      <c r="J1073" s="25">
        <f t="shared" si="63"/>
        <v>35</v>
      </c>
    </row>
    <row r="1074" spans="1:10" ht="16.95" customHeight="1">
      <c r="A1074" s="1" t="s">
        <v>2</v>
      </c>
      <c r="B1074" s="105" t="s">
        <v>63</v>
      </c>
      <c r="C1074" s="105"/>
      <c r="D1074" s="105"/>
      <c r="E1074" s="106">
        <f>E1011+1</f>
        <v>46221</v>
      </c>
      <c r="F1074" s="106"/>
      <c r="G1074" s="106"/>
      <c r="J1074" s="25">
        <f t="shared" si="63"/>
        <v>35</v>
      </c>
    </row>
    <row r="1075" spans="1:10" ht="16.95" customHeight="1">
      <c r="A1075" s="53" t="s">
        <v>3</v>
      </c>
      <c r="B1075" s="2" t="s">
        <v>67</v>
      </c>
      <c r="C1075" s="98" t="s">
        <v>4</v>
      </c>
      <c r="D1075" s="98"/>
      <c r="E1075" s="98" t="s">
        <v>47</v>
      </c>
      <c r="F1075" s="98"/>
      <c r="G1075" s="98"/>
      <c r="J1075" s="25">
        <f t="shared" si="63"/>
        <v>35</v>
      </c>
    </row>
    <row r="1076" spans="1:10" ht="16.95" customHeight="1">
      <c r="A1076" s="53" t="s">
        <v>5</v>
      </c>
      <c r="B1076" s="54">
        <v>120</v>
      </c>
      <c r="C1076" s="98" t="s">
        <v>6</v>
      </c>
      <c r="D1076" s="98"/>
      <c r="E1076" s="98" t="s">
        <v>123</v>
      </c>
      <c r="F1076" s="98"/>
      <c r="G1076" s="98"/>
      <c r="J1076" s="25">
        <f t="shared" si="63"/>
        <v>35</v>
      </c>
    </row>
    <row r="1077" spans="1:10" ht="16.95" customHeight="1">
      <c r="A1077" s="53" t="s">
        <v>7</v>
      </c>
      <c r="B1077" s="54">
        <f>B1073</f>
        <v>19</v>
      </c>
      <c r="C1077" s="100" t="s">
        <v>8</v>
      </c>
      <c r="D1077" s="100"/>
      <c r="E1077" s="101">
        <f>B1076-B1077</f>
        <v>101</v>
      </c>
      <c r="F1077" s="101"/>
      <c r="G1077" s="101"/>
      <c r="J1077" s="25">
        <f t="shared" si="63"/>
        <v>35</v>
      </c>
    </row>
    <row r="1078" spans="1:10" ht="16.95" customHeight="1">
      <c r="A1078" s="53" t="s">
        <v>9</v>
      </c>
      <c r="B1078" s="55">
        <v>46204</v>
      </c>
      <c r="C1078" s="98" t="s">
        <v>10</v>
      </c>
      <c r="D1078" s="98"/>
      <c r="E1078" s="102">
        <f>B1078+B1076-1</f>
        <v>46323</v>
      </c>
      <c r="F1078" s="102"/>
      <c r="G1078" s="102"/>
      <c r="J1078" s="25">
        <f t="shared" si="63"/>
        <v>35</v>
      </c>
    </row>
    <row r="1079" spans="1:10" ht="16.95" customHeight="1">
      <c r="A1079" s="53" t="s">
        <v>11</v>
      </c>
      <c r="B1079" s="56" t="e">
        <f>HLOOKUP(B1073,進度表!$Q$2:$Z$3,2,1)+B1016</f>
        <v>#REF!</v>
      </c>
      <c r="C1079" s="98" t="s">
        <v>12</v>
      </c>
      <c r="D1079" s="98"/>
      <c r="E1079" s="99" t="e">
        <f>I1117/I1079+E1016</f>
        <v>#REF!</v>
      </c>
      <c r="F1079" s="99"/>
      <c r="G1079" s="99"/>
      <c r="H1079" s="3" t="s">
        <v>62</v>
      </c>
      <c r="I1079" s="1">
        <v>2456000</v>
      </c>
      <c r="J1079" s="25">
        <f t="shared" si="63"/>
        <v>35</v>
      </c>
    </row>
    <row r="1080" spans="1:10" ht="16.95" customHeight="1">
      <c r="A1080" s="98" t="s">
        <v>13</v>
      </c>
      <c r="B1080" s="98"/>
      <c r="C1080" s="98"/>
      <c r="D1080" s="98"/>
      <c r="E1080" s="98"/>
      <c r="F1080" s="98"/>
      <c r="G1080" s="98"/>
      <c r="J1080" s="25">
        <f t="shared" si="63"/>
        <v>35</v>
      </c>
    </row>
    <row r="1081" spans="1:10" ht="16.95" customHeight="1">
      <c r="A1081" s="52" t="s">
        <v>14</v>
      </c>
      <c r="B1081" s="52" t="s">
        <v>15</v>
      </c>
      <c r="C1081" s="52" t="s">
        <v>16</v>
      </c>
      <c r="D1081" s="52" t="s">
        <v>17</v>
      </c>
      <c r="E1081" s="52" t="s">
        <v>18</v>
      </c>
      <c r="F1081" s="52" t="s">
        <v>19</v>
      </c>
      <c r="G1081" s="52" t="s">
        <v>20</v>
      </c>
      <c r="H1081" s="3" t="s">
        <v>21</v>
      </c>
      <c r="I1081" s="3" t="s">
        <v>22</v>
      </c>
      <c r="J1081" s="25">
        <f t="shared" si="63"/>
        <v>35</v>
      </c>
    </row>
    <row r="1082" spans="1:10" ht="16.95" customHeight="1">
      <c r="A1082" s="75" t="s">
        <v>65</v>
      </c>
      <c r="B1082" s="76" t="s">
        <v>69</v>
      </c>
      <c r="C1082" s="77"/>
      <c r="D1082" s="78"/>
      <c r="E1082" s="79"/>
      <c r="F1082" s="79"/>
      <c r="G1082" s="2"/>
      <c r="H1082" s="37"/>
      <c r="I1082" s="4"/>
      <c r="J1082" s="25">
        <f t="shared" si="63"/>
        <v>35</v>
      </c>
    </row>
    <row r="1083" spans="1:10" ht="34.950000000000003" customHeight="1">
      <c r="A1083" s="75">
        <v>1</v>
      </c>
      <c r="B1083" s="80" t="s">
        <v>91</v>
      </c>
      <c r="C1083" s="77" t="s">
        <v>48</v>
      </c>
      <c r="D1083" s="78">
        <v>1</v>
      </c>
      <c r="E1083" s="79"/>
      <c r="F1083" s="79" t="e">
        <f t="shared" ref="F1083:F1116" si="67">E1083+F1020</f>
        <v>#REF!</v>
      </c>
      <c r="G1083" s="2"/>
      <c r="H1083" s="37">
        <v>10508</v>
      </c>
      <c r="I1083" s="4">
        <f>H1083*E1083</f>
        <v>0</v>
      </c>
      <c r="J1083" s="25">
        <f t="shared" ref="J1083:J1146" si="68">J1020+2</f>
        <v>35</v>
      </c>
    </row>
    <row r="1084" spans="1:10" ht="34.799999999999997" customHeight="1">
      <c r="A1084" s="75">
        <v>2</v>
      </c>
      <c r="B1084" s="80" t="s">
        <v>92</v>
      </c>
      <c r="C1084" s="77" t="s">
        <v>48</v>
      </c>
      <c r="D1084" s="78">
        <v>1</v>
      </c>
      <c r="E1084" s="79"/>
      <c r="F1084" s="79" t="e">
        <f t="shared" si="67"/>
        <v>#REF!</v>
      </c>
      <c r="G1084" s="2"/>
      <c r="H1084" s="37">
        <v>13223</v>
      </c>
      <c r="I1084" s="4">
        <f>H1084*E1084</f>
        <v>0</v>
      </c>
      <c r="J1084" s="25">
        <f t="shared" si="68"/>
        <v>35</v>
      </c>
    </row>
    <row r="1085" spans="1:10" ht="53.4" customHeight="1">
      <c r="A1085" s="75">
        <v>3</v>
      </c>
      <c r="B1085" s="80" t="s">
        <v>93</v>
      </c>
      <c r="C1085" s="77" t="s">
        <v>48</v>
      </c>
      <c r="D1085" s="78">
        <v>1</v>
      </c>
      <c r="E1085" s="79"/>
      <c r="F1085" s="79" t="e">
        <f t="shared" si="67"/>
        <v>#REF!</v>
      </c>
      <c r="G1085" s="2"/>
      <c r="H1085" s="37">
        <v>310497</v>
      </c>
      <c r="I1085" s="4">
        <f t="shared" ref="I1085:I1116" si="69">H1085*E1085</f>
        <v>0</v>
      </c>
      <c r="J1085" s="25">
        <f t="shared" si="68"/>
        <v>35</v>
      </c>
    </row>
    <row r="1086" spans="1:10" ht="16.95" customHeight="1">
      <c r="A1086" s="75">
        <v>4</v>
      </c>
      <c r="B1086" s="80" t="s">
        <v>94</v>
      </c>
      <c r="C1086" s="77" t="s">
        <v>48</v>
      </c>
      <c r="D1086" s="78">
        <v>1</v>
      </c>
      <c r="E1086" s="79"/>
      <c r="F1086" s="79" t="e">
        <f t="shared" si="67"/>
        <v>#REF!</v>
      </c>
      <c r="G1086" s="2"/>
      <c r="H1086" s="37">
        <v>8375</v>
      </c>
      <c r="I1086" s="4">
        <f t="shared" si="69"/>
        <v>0</v>
      </c>
      <c r="J1086" s="25">
        <f t="shared" si="68"/>
        <v>35</v>
      </c>
    </row>
    <row r="1087" spans="1:10" ht="16.95" customHeight="1">
      <c r="A1087" s="75">
        <v>5</v>
      </c>
      <c r="B1087" s="80" t="s">
        <v>95</v>
      </c>
      <c r="C1087" s="77" t="s">
        <v>48</v>
      </c>
      <c r="D1087" s="78">
        <v>1</v>
      </c>
      <c r="E1087" s="79"/>
      <c r="F1087" s="79" t="e">
        <f t="shared" si="67"/>
        <v>#REF!</v>
      </c>
      <c r="G1087" s="2"/>
      <c r="H1087" s="37">
        <v>51618</v>
      </c>
      <c r="I1087" s="4">
        <f t="shared" si="69"/>
        <v>0</v>
      </c>
      <c r="J1087" s="25">
        <f t="shared" si="68"/>
        <v>35</v>
      </c>
    </row>
    <row r="1088" spans="1:10" ht="16.95" customHeight="1">
      <c r="A1088" s="75">
        <v>6</v>
      </c>
      <c r="B1088" s="80" t="s">
        <v>96</v>
      </c>
      <c r="C1088" s="77" t="s">
        <v>50</v>
      </c>
      <c r="D1088" s="78">
        <v>11.55</v>
      </c>
      <c r="E1088" s="79"/>
      <c r="F1088" s="79" t="e">
        <f t="shared" si="67"/>
        <v>#REF!</v>
      </c>
      <c r="G1088" s="2"/>
      <c r="H1088" s="37">
        <v>1188</v>
      </c>
      <c r="I1088" s="4">
        <f t="shared" si="69"/>
        <v>0</v>
      </c>
      <c r="J1088" s="25">
        <f t="shared" si="68"/>
        <v>35</v>
      </c>
    </row>
    <row r="1089" spans="1:10" ht="34.950000000000003" customHeight="1">
      <c r="A1089" s="75">
        <v>7</v>
      </c>
      <c r="B1089" s="80" t="s">
        <v>97</v>
      </c>
      <c r="C1089" s="77" t="s">
        <v>48</v>
      </c>
      <c r="D1089" s="78">
        <v>1</v>
      </c>
      <c r="E1089" s="79"/>
      <c r="F1089" s="79" t="e">
        <f t="shared" si="67"/>
        <v>#REF!</v>
      </c>
      <c r="G1089" s="2"/>
      <c r="H1089" s="37">
        <v>21157</v>
      </c>
      <c r="I1089" s="4">
        <f t="shared" si="69"/>
        <v>0</v>
      </c>
      <c r="J1089" s="25">
        <f t="shared" si="68"/>
        <v>35</v>
      </c>
    </row>
    <row r="1090" spans="1:10" ht="16.95" customHeight="1">
      <c r="A1090" s="75">
        <v>8</v>
      </c>
      <c r="B1090" s="80" t="s">
        <v>98</v>
      </c>
      <c r="C1090" s="77" t="s">
        <v>50</v>
      </c>
      <c r="D1090" s="78">
        <v>387</v>
      </c>
      <c r="E1090" s="79"/>
      <c r="F1090" s="79" t="e">
        <f t="shared" si="67"/>
        <v>#REF!</v>
      </c>
      <c r="G1090" s="2"/>
      <c r="H1090" s="37">
        <v>705</v>
      </c>
      <c r="I1090" s="4">
        <f t="shared" si="69"/>
        <v>0</v>
      </c>
      <c r="J1090" s="25">
        <f t="shared" si="68"/>
        <v>35</v>
      </c>
    </row>
    <row r="1091" spans="1:10" ht="16.95" customHeight="1">
      <c r="A1091" s="75">
        <v>9</v>
      </c>
      <c r="B1091" s="80" t="s">
        <v>99</v>
      </c>
      <c r="C1091" s="77" t="s">
        <v>50</v>
      </c>
      <c r="D1091" s="78">
        <v>170</v>
      </c>
      <c r="E1091" s="79"/>
      <c r="F1091" s="79" t="e">
        <f t="shared" si="67"/>
        <v>#REF!</v>
      </c>
      <c r="G1091" s="2"/>
      <c r="H1091" s="37">
        <v>617</v>
      </c>
      <c r="I1091" s="4">
        <f t="shared" si="69"/>
        <v>0</v>
      </c>
      <c r="J1091" s="25">
        <f t="shared" si="68"/>
        <v>35</v>
      </c>
    </row>
    <row r="1092" spans="1:10" ht="16.95" customHeight="1">
      <c r="A1092" s="75">
        <v>10</v>
      </c>
      <c r="B1092" s="80" t="s">
        <v>100</v>
      </c>
      <c r="C1092" s="77" t="s">
        <v>66</v>
      </c>
      <c r="D1092" s="78">
        <v>15</v>
      </c>
      <c r="E1092" s="79"/>
      <c r="F1092" s="79" t="e">
        <f t="shared" si="67"/>
        <v>#REF!</v>
      </c>
      <c r="G1092" s="2"/>
      <c r="H1092" s="37">
        <v>617</v>
      </c>
      <c r="I1092" s="4">
        <f t="shared" si="69"/>
        <v>0</v>
      </c>
      <c r="J1092" s="25">
        <f t="shared" si="68"/>
        <v>35</v>
      </c>
    </row>
    <row r="1093" spans="1:10" ht="16.95" customHeight="1">
      <c r="A1093" s="75">
        <v>11</v>
      </c>
      <c r="B1093" s="80" t="s">
        <v>101</v>
      </c>
      <c r="C1093" s="77" t="s">
        <v>50</v>
      </c>
      <c r="D1093" s="78">
        <v>75</v>
      </c>
      <c r="E1093" s="79"/>
      <c r="F1093" s="79" t="e">
        <f t="shared" si="67"/>
        <v>#REF!</v>
      </c>
      <c r="G1093" s="2"/>
      <c r="H1093" s="37">
        <v>1146</v>
      </c>
      <c r="I1093" s="4">
        <f t="shared" si="69"/>
        <v>0</v>
      </c>
      <c r="J1093" s="25">
        <f t="shared" si="68"/>
        <v>35</v>
      </c>
    </row>
    <row r="1094" spans="1:10" ht="16.95" customHeight="1">
      <c r="A1094" s="75">
        <v>12</v>
      </c>
      <c r="B1094" s="80" t="s">
        <v>102</v>
      </c>
      <c r="C1094" s="77" t="s">
        <v>50</v>
      </c>
      <c r="D1094" s="78">
        <v>5</v>
      </c>
      <c r="E1094" s="79"/>
      <c r="F1094" s="79" t="e">
        <f t="shared" si="67"/>
        <v>#REF!</v>
      </c>
      <c r="G1094" s="2"/>
      <c r="H1094" s="37">
        <v>1455</v>
      </c>
      <c r="I1094" s="4">
        <f t="shared" si="69"/>
        <v>0</v>
      </c>
      <c r="J1094" s="25">
        <f t="shared" si="68"/>
        <v>35</v>
      </c>
    </row>
    <row r="1095" spans="1:10" ht="16.95" customHeight="1">
      <c r="A1095" s="75">
        <v>13</v>
      </c>
      <c r="B1095" s="80" t="s">
        <v>103</v>
      </c>
      <c r="C1095" s="77" t="s">
        <v>50</v>
      </c>
      <c r="D1095" s="78">
        <v>217</v>
      </c>
      <c r="E1095" s="79"/>
      <c r="F1095" s="79" t="e">
        <f t="shared" si="67"/>
        <v>#REF!</v>
      </c>
      <c r="G1095" s="2"/>
      <c r="H1095" s="37">
        <v>1410</v>
      </c>
      <c r="I1095" s="4">
        <f t="shared" si="69"/>
        <v>0</v>
      </c>
      <c r="J1095" s="25">
        <f t="shared" si="68"/>
        <v>35</v>
      </c>
    </row>
    <row r="1096" spans="1:10" ht="16.95" customHeight="1">
      <c r="A1096" s="75">
        <v>14</v>
      </c>
      <c r="B1096" s="80" t="s">
        <v>104</v>
      </c>
      <c r="C1096" s="77" t="s">
        <v>49</v>
      </c>
      <c r="D1096" s="78">
        <v>84</v>
      </c>
      <c r="E1096" s="79"/>
      <c r="F1096" s="79" t="e">
        <f t="shared" si="67"/>
        <v>#REF!</v>
      </c>
      <c r="G1096" s="2"/>
      <c r="H1096" s="37">
        <v>529</v>
      </c>
      <c r="I1096" s="4">
        <f t="shared" si="69"/>
        <v>0</v>
      </c>
      <c r="J1096" s="25">
        <f t="shared" si="68"/>
        <v>35</v>
      </c>
    </row>
    <row r="1097" spans="1:10" ht="16.95" customHeight="1">
      <c r="A1097" s="75">
        <v>15</v>
      </c>
      <c r="B1097" s="80" t="s">
        <v>105</v>
      </c>
      <c r="C1097" s="77" t="s">
        <v>50</v>
      </c>
      <c r="D1097" s="78">
        <v>1</v>
      </c>
      <c r="E1097" s="79"/>
      <c r="F1097" s="79" t="e">
        <f t="shared" si="67"/>
        <v>#REF!</v>
      </c>
      <c r="G1097" s="2"/>
      <c r="H1097" s="37">
        <v>1146</v>
      </c>
      <c r="I1097" s="4">
        <f t="shared" si="69"/>
        <v>0</v>
      </c>
      <c r="J1097" s="25">
        <f t="shared" si="68"/>
        <v>35</v>
      </c>
    </row>
    <row r="1098" spans="1:10" ht="34.799999999999997" customHeight="1">
      <c r="A1098" s="75">
        <v>16</v>
      </c>
      <c r="B1098" s="80" t="s">
        <v>106</v>
      </c>
      <c r="C1098" s="77" t="s">
        <v>50</v>
      </c>
      <c r="D1098" s="78">
        <v>314</v>
      </c>
      <c r="E1098" s="79"/>
      <c r="F1098" s="79" t="e">
        <f t="shared" si="67"/>
        <v>#REF!</v>
      </c>
      <c r="G1098" s="2"/>
      <c r="H1098" s="37">
        <v>185</v>
      </c>
      <c r="I1098" s="4">
        <f t="shared" si="69"/>
        <v>0</v>
      </c>
      <c r="J1098" s="25">
        <f t="shared" si="68"/>
        <v>35</v>
      </c>
    </row>
    <row r="1099" spans="1:10" ht="16.95" customHeight="1">
      <c r="A1099" s="75">
        <v>17</v>
      </c>
      <c r="B1099" s="80" t="s">
        <v>107</v>
      </c>
      <c r="C1099" s="77" t="s">
        <v>48</v>
      </c>
      <c r="D1099" s="78">
        <v>1</v>
      </c>
      <c r="E1099" s="79"/>
      <c r="F1099" s="79" t="e">
        <f t="shared" si="67"/>
        <v>#REF!</v>
      </c>
      <c r="G1099" s="2"/>
      <c r="H1099" s="37">
        <v>89918</v>
      </c>
      <c r="I1099" s="4">
        <f t="shared" si="69"/>
        <v>0</v>
      </c>
      <c r="J1099" s="25">
        <f t="shared" si="68"/>
        <v>35</v>
      </c>
    </row>
    <row r="1100" spans="1:10" ht="16.95" customHeight="1">
      <c r="A1100" s="75">
        <v>18</v>
      </c>
      <c r="B1100" s="80" t="s">
        <v>108</v>
      </c>
      <c r="C1100" s="77" t="s">
        <v>120</v>
      </c>
      <c r="D1100" s="78">
        <v>15</v>
      </c>
      <c r="E1100" s="79"/>
      <c r="F1100" s="79" t="e">
        <f t="shared" si="67"/>
        <v>#REF!</v>
      </c>
      <c r="G1100" s="2"/>
      <c r="H1100" s="37">
        <v>661</v>
      </c>
      <c r="I1100" s="4">
        <f t="shared" si="69"/>
        <v>0</v>
      </c>
      <c r="J1100" s="25">
        <f t="shared" si="68"/>
        <v>35</v>
      </c>
    </row>
    <row r="1101" spans="1:10" ht="16.95" customHeight="1">
      <c r="A1101" s="75">
        <v>19</v>
      </c>
      <c r="B1101" s="80" t="s">
        <v>109</v>
      </c>
      <c r="C1101" s="77" t="s">
        <v>50</v>
      </c>
      <c r="D1101" s="78">
        <v>82</v>
      </c>
      <c r="E1101" s="79"/>
      <c r="F1101" s="79" t="e">
        <f t="shared" si="67"/>
        <v>#REF!</v>
      </c>
      <c r="G1101" s="2"/>
      <c r="H1101" s="37">
        <v>2909</v>
      </c>
      <c r="I1101" s="4">
        <f t="shared" si="69"/>
        <v>0</v>
      </c>
      <c r="J1101" s="25">
        <f t="shared" si="68"/>
        <v>35</v>
      </c>
    </row>
    <row r="1102" spans="1:10" ht="16.95" customHeight="1">
      <c r="A1102" s="75">
        <v>20</v>
      </c>
      <c r="B1102" s="80" t="s">
        <v>110</v>
      </c>
      <c r="C1102" s="77" t="s">
        <v>121</v>
      </c>
      <c r="D1102" s="78">
        <v>12</v>
      </c>
      <c r="E1102" s="79"/>
      <c r="F1102" s="79" t="e">
        <f t="shared" si="67"/>
        <v>#REF!</v>
      </c>
      <c r="G1102" s="2"/>
      <c r="H1102" s="37">
        <v>882</v>
      </c>
      <c r="I1102" s="4">
        <f t="shared" si="69"/>
        <v>0</v>
      </c>
      <c r="J1102" s="25">
        <f t="shared" si="68"/>
        <v>35</v>
      </c>
    </row>
    <row r="1103" spans="1:10" ht="16.95" customHeight="1">
      <c r="A1103" s="77">
        <v>21</v>
      </c>
      <c r="B1103" s="80" t="s">
        <v>111</v>
      </c>
      <c r="C1103" s="77" t="s">
        <v>122</v>
      </c>
      <c r="D1103" s="78">
        <v>3</v>
      </c>
      <c r="E1103" s="79"/>
      <c r="F1103" s="79" t="e">
        <f t="shared" si="67"/>
        <v>#REF!</v>
      </c>
      <c r="G1103" s="2"/>
      <c r="H1103" s="38">
        <v>1869</v>
      </c>
      <c r="I1103" s="4">
        <f t="shared" si="69"/>
        <v>0</v>
      </c>
      <c r="J1103" s="25">
        <f t="shared" si="68"/>
        <v>35</v>
      </c>
    </row>
    <row r="1104" spans="1:10" ht="34.950000000000003" customHeight="1">
      <c r="A1104" s="75">
        <v>22</v>
      </c>
      <c r="B1104" s="80" t="s">
        <v>112</v>
      </c>
      <c r="C1104" s="77" t="s">
        <v>48</v>
      </c>
      <c r="D1104" s="78">
        <v>1</v>
      </c>
      <c r="E1104" s="79"/>
      <c r="F1104" s="79" t="e">
        <f t="shared" si="67"/>
        <v>#REF!</v>
      </c>
      <c r="G1104" s="2"/>
      <c r="H1104" s="37">
        <v>82206</v>
      </c>
      <c r="I1104" s="4">
        <f t="shared" si="69"/>
        <v>0</v>
      </c>
      <c r="J1104" s="25">
        <f t="shared" si="68"/>
        <v>35</v>
      </c>
    </row>
    <row r="1105" spans="1:10" ht="16.95" customHeight="1">
      <c r="A1105" s="75">
        <v>23</v>
      </c>
      <c r="B1105" s="80" t="s">
        <v>113</v>
      </c>
      <c r="C1105" s="77" t="s">
        <v>48</v>
      </c>
      <c r="D1105" s="78">
        <v>1</v>
      </c>
      <c r="E1105" s="79"/>
      <c r="F1105" s="79" t="e">
        <f t="shared" si="67"/>
        <v>#REF!</v>
      </c>
      <c r="G1105" s="2"/>
      <c r="H1105" s="37">
        <v>142723</v>
      </c>
      <c r="I1105" s="4">
        <f t="shared" si="69"/>
        <v>0</v>
      </c>
      <c r="J1105" s="25">
        <f t="shared" si="68"/>
        <v>35</v>
      </c>
    </row>
    <row r="1106" spans="1:10" ht="16.95" customHeight="1">
      <c r="A1106" s="75">
        <v>24</v>
      </c>
      <c r="B1106" s="80" t="s">
        <v>114</v>
      </c>
      <c r="C1106" s="77" t="s">
        <v>48</v>
      </c>
      <c r="D1106" s="78">
        <v>1</v>
      </c>
      <c r="E1106" s="79"/>
      <c r="F1106" s="79" t="e">
        <f t="shared" si="67"/>
        <v>#REF!</v>
      </c>
      <c r="G1106" s="2"/>
      <c r="H1106" s="37">
        <v>37290</v>
      </c>
      <c r="I1106" s="4">
        <f t="shared" si="69"/>
        <v>0</v>
      </c>
      <c r="J1106" s="25">
        <f t="shared" si="68"/>
        <v>35</v>
      </c>
    </row>
    <row r="1107" spans="1:10" ht="16.95" customHeight="1">
      <c r="A1107" s="75">
        <v>25</v>
      </c>
      <c r="B1107" s="80" t="s">
        <v>115</v>
      </c>
      <c r="C1107" s="77" t="s">
        <v>48</v>
      </c>
      <c r="D1107" s="78">
        <v>1</v>
      </c>
      <c r="E1107" s="79"/>
      <c r="F1107" s="79" t="e">
        <f t="shared" si="67"/>
        <v>#REF!</v>
      </c>
      <c r="G1107" s="2"/>
      <c r="H1107" s="37">
        <v>99394</v>
      </c>
      <c r="I1107" s="4">
        <f t="shared" si="69"/>
        <v>0</v>
      </c>
      <c r="J1107" s="25">
        <f t="shared" si="68"/>
        <v>35</v>
      </c>
    </row>
    <row r="1108" spans="1:10" ht="34.950000000000003" customHeight="1">
      <c r="A1108" s="75">
        <v>26</v>
      </c>
      <c r="B1108" s="80" t="s">
        <v>116</v>
      </c>
      <c r="C1108" s="77" t="s">
        <v>48</v>
      </c>
      <c r="D1108" s="78">
        <v>1</v>
      </c>
      <c r="E1108" s="79"/>
      <c r="F1108" s="79" t="e">
        <f t="shared" si="67"/>
        <v>#REF!</v>
      </c>
      <c r="G1108" s="2"/>
      <c r="H1108" s="37">
        <v>21334</v>
      </c>
      <c r="I1108" s="4">
        <f t="shared" si="69"/>
        <v>0</v>
      </c>
      <c r="J1108" s="25">
        <f t="shared" si="68"/>
        <v>35</v>
      </c>
    </row>
    <row r="1109" spans="1:10" ht="16.95" customHeight="1">
      <c r="A1109" s="75">
        <v>27</v>
      </c>
      <c r="B1109" s="80" t="s">
        <v>117</v>
      </c>
      <c r="C1109" s="77" t="s">
        <v>48</v>
      </c>
      <c r="D1109" s="78">
        <v>1</v>
      </c>
      <c r="E1109" s="79"/>
      <c r="F1109" s="79" t="e">
        <f t="shared" si="67"/>
        <v>#REF!</v>
      </c>
      <c r="G1109" s="2"/>
      <c r="H1109" s="37">
        <v>29620</v>
      </c>
      <c r="I1109" s="4">
        <f t="shared" si="69"/>
        <v>0</v>
      </c>
      <c r="J1109" s="25">
        <f t="shared" si="68"/>
        <v>35</v>
      </c>
    </row>
    <row r="1110" spans="1:10" ht="16.95" customHeight="1">
      <c r="A1110" s="75">
        <v>28</v>
      </c>
      <c r="B1110" s="80" t="s">
        <v>118</v>
      </c>
      <c r="C1110" s="77" t="s">
        <v>48</v>
      </c>
      <c r="D1110" s="78">
        <v>1</v>
      </c>
      <c r="E1110" s="79"/>
      <c r="F1110" s="79" t="e">
        <f t="shared" si="67"/>
        <v>#REF!</v>
      </c>
      <c r="G1110" s="2"/>
      <c r="H1110" s="37">
        <v>18506</v>
      </c>
      <c r="I1110" s="4">
        <f t="shared" si="69"/>
        <v>0</v>
      </c>
      <c r="J1110" s="25">
        <f t="shared" si="68"/>
        <v>35</v>
      </c>
    </row>
    <row r="1111" spans="1:10" ht="16.95" customHeight="1">
      <c r="A1111" s="75">
        <v>29</v>
      </c>
      <c r="B1111" s="80" t="s">
        <v>119</v>
      </c>
      <c r="C1111" s="77" t="s">
        <v>48</v>
      </c>
      <c r="D1111" s="78">
        <v>1</v>
      </c>
      <c r="E1111" s="79"/>
      <c r="F1111" s="79" t="e">
        <f t="shared" si="67"/>
        <v>#REF!</v>
      </c>
      <c r="G1111" s="2"/>
      <c r="H1111" s="37">
        <v>34381</v>
      </c>
      <c r="I1111" s="4">
        <f t="shared" si="69"/>
        <v>0</v>
      </c>
      <c r="J1111" s="25">
        <f t="shared" si="68"/>
        <v>35</v>
      </c>
    </row>
    <row r="1112" spans="1:10" ht="16.95" customHeight="1">
      <c r="A1112" s="75" t="s">
        <v>79</v>
      </c>
      <c r="B1112" s="80" t="s">
        <v>80</v>
      </c>
      <c r="C1112" s="77" t="s">
        <v>48</v>
      </c>
      <c r="D1112" s="78">
        <v>1</v>
      </c>
      <c r="E1112" s="79">
        <f t="shared" ref="E1112:E1115" si="70">1/120</f>
        <v>8.3333333333333332E-3</v>
      </c>
      <c r="F1112" s="79" t="e">
        <f t="shared" si="67"/>
        <v>#REF!</v>
      </c>
      <c r="G1112" s="2"/>
      <c r="H1112" s="37">
        <v>21395</v>
      </c>
      <c r="I1112" s="4">
        <f t="shared" si="69"/>
        <v>178.29166666666666</v>
      </c>
      <c r="J1112" s="25">
        <f t="shared" si="68"/>
        <v>35</v>
      </c>
    </row>
    <row r="1113" spans="1:10" ht="16.95" customHeight="1">
      <c r="A1113" s="75" t="s">
        <v>81</v>
      </c>
      <c r="B1113" s="80" t="s">
        <v>82</v>
      </c>
      <c r="C1113" s="77" t="s">
        <v>48</v>
      </c>
      <c r="D1113" s="78">
        <v>1</v>
      </c>
      <c r="E1113" s="79">
        <f t="shared" si="70"/>
        <v>8.3333333333333332E-3</v>
      </c>
      <c r="F1113" s="79" t="e">
        <f t="shared" si="67"/>
        <v>#REF!</v>
      </c>
      <c r="G1113" s="2"/>
      <c r="H1113" s="37">
        <v>21395</v>
      </c>
      <c r="I1113" s="4">
        <f t="shared" si="69"/>
        <v>178.29166666666666</v>
      </c>
      <c r="J1113" s="25">
        <f t="shared" si="68"/>
        <v>35</v>
      </c>
    </row>
    <row r="1114" spans="1:10" ht="16.95" customHeight="1">
      <c r="A1114" s="75" t="s">
        <v>83</v>
      </c>
      <c r="B1114" s="80" t="s">
        <v>84</v>
      </c>
      <c r="C1114" s="77" t="s">
        <v>48</v>
      </c>
      <c r="D1114" s="78">
        <v>1</v>
      </c>
      <c r="E1114" s="79">
        <f t="shared" si="70"/>
        <v>8.3333333333333332E-3</v>
      </c>
      <c r="F1114" s="79" t="e">
        <f t="shared" si="67"/>
        <v>#REF!</v>
      </c>
      <c r="G1114" s="2"/>
      <c r="H1114" s="37">
        <v>149765</v>
      </c>
      <c r="I1114" s="4">
        <f t="shared" si="69"/>
        <v>1248.0416666666667</v>
      </c>
      <c r="J1114" s="25">
        <f t="shared" si="68"/>
        <v>35</v>
      </c>
    </row>
    <row r="1115" spans="1:10" ht="16.95" customHeight="1">
      <c r="A1115" s="75" t="s">
        <v>85</v>
      </c>
      <c r="B1115" s="80" t="s">
        <v>86</v>
      </c>
      <c r="C1115" s="77" t="s">
        <v>48</v>
      </c>
      <c r="D1115" s="78">
        <v>1</v>
      </c>
      <c r="E1115" s="79">
        <f t="shared" si="70"/>
        <v>8.3333333333333332E-3</v>
      </c>
      <c r="F1115" s="79" t="e">
        <f t="shared" si="67"/>
        <v>#REF!</v>
      </c>
      <c r="G1115" s="2"/>
      <c r="H1115" s="37">
        <v>6996</v>
      </c>
      <c r="I1115" s="4">
        <f t="shared" si="69"/>
        <v>58.3</v>
      </c>
      <c r="J1115" s="25">
        <f t="shared" si="68"/>
        <v>35</v>
      </c>
    </row>
    <row r="1116" spans="1:10" ht="16.95" customHeight="1">
      <c r="A1116" s="75" t="s">
        <v>87</v>
      </c>
      <c r="B1116" s="80" t="s">
        <v>88</v>
      </c>
      <c r="C1116" s="77" t="s">
        <v>48</v>
      </c>
      <c r="D1116" s="78">
        <v>1</v>
      </c>
      <c r="E1116" s="79">
        <f>1/120</f>
        <v>8.3333333333333332E-3</v>
      </c>
      <c r="F1116" s="79" t="e">
        <f t="shared" si="67"/>
        <v>#REF!</v>
      </c>
      <c r="G1116" s="2"/>
      <c r="H1116" s="37">
        <v>116952</v>
      </c>
      <c r="I1116" s="4">
        <f t="shared" si="69"/>
        <v>974.6</v>
      </c>
      <c r="J1116" s="25">
        <f t="shared" si="68"/>
        <v>35</v>
      </c>
    </row>
    <row r="1117" spans="1:10" ht="16.95" customHeight="1">
      <c r="A1117" s="95" t="s">
        <v>23</v>
      </c>
      <c r="B1117" s="95"/>
      <c r="C1117" s="50"/>
      <c r="D1117" s="50"/>
      <c r="E1117" s="50"/>
      <c r="F1117" s="50"/>
      <c r="G1117" s="50"/>
      <c r="H1117" s="3" t="s">
        <v>24</v>
      </c>
      <c r="I1117" s="5">
        <f>SUM(I1082:I1116)</f>
        <v>2637.5250000000001</v>
      </c>
      <c r="J1117" s="25">
        <f t="shared" si="68"/>
        <v>35</v>
      </c>
    </row>
    <row r="1118" spans="1:10" ht="16.95" customHeight="1">
      <c r="A1118" s="96" t="s">
        <v>25</v>
      </c>
      <c r="B1118" s="96"/>
      <c r="C1118" s="50"/>
      <c r="D1118" s="50"/>
      <c r="E1118" s="50"/>
      <c r="F1118" s="50"/>
      <c r="G1118" s="50"/>
      <c r="J1118" s="25">
        <f t="shared" si="68"/>
        <v>35</v>
      </c>
    </row>
    <row r="1119" spans="1:10" ht="16.95" customHeight="1">
      <c r="A1119" s="96" t="s">
        <v>26</v>
      </c>
      <c r="B1119" s="96"/>
      <c r="C1119" s="50"/>
      <c r="D1119" s="50"/>
      <c r="E1119" s="50"/>
      <c r="F1119" s="50"/>
      <c r="G1119" s="50"/>
      <c r="J1119" s="25">
        <f t="shared" si="68"/>
        <v>35</v>
      </c>
    </row>
    <row r="1120" spans="1:10" ht="16.95" customHeight="1">
      <c r="A1120" s="95" t="s">
        <v>27</v>
      </c>
      <c r="B1120" s="95"/>
      <c r="C1120" s="95"/>
      <c r="D1120" s="95"/>
      <c r="E1120" s="95"/>
      <c r="F1120" s="95"/>
      <c r="G1120" s="95"/>
      <c r="J1120" s="25">
        <f t="shared" si="68"/>
        <v>35</v>
      </c>
    </row>
    <row r="1121" spans="1:10" ht="16.95" customHeight="1">
      <c r="A1121" s="94" t="s">
        <v>28</v>
      </c>
      <c r="B1121" s="94"/>
      <c r="C1121" s="51" t="s">
        <v>29</v>
      </c>
      <c r="D1121" s="51" t="s">
        <v>30</v>
      </c>
      <c r="E1121" s="51" t="s">
        <v>18</v>
      </c>
      <c r="F1121" s="51" t="s">
        <v>31</v>
      </c>
      <c r="G1121" s="51" t="s">
        <v>20</v>
      </c>
      <c r="J1121" s="25">
        <f t="shared" si="68"/>
        <v>35</v>
      </c>
    </row>
    <row r="1122" spans="1:10" ht="16.95" customHeight="1">
      <c r="A1122" s="96"/>
      <c r="B1122" s="96"/>
      <c r="C1122" s="50"/>
      <c r="D1122" s="50"/>
      <c r="E1122" s="50"/>
      <c r="F1122" s="50"/>
      <c r="G1122" s="51"/>
      <c r="J1122" s="25">
        <f t="shared" si="68"/>
        <v>35</v>
      </c>
    </row>
    <row r="1123" spans="1:10" ht="16.95" customHeight="1">
      <c r="A1123" s="97"/>
      <c r="B1123" s="97"/>
      <c r="C1123" s="50"/>
      <c r="D1123" s="50"/>
      <c r="E1123" s="50"/>
      <c r="F1123" s="51"/>
      <c r="G1123" s="51"/>
      <c r="J1123" s="25">
        <f t="shared" si="68"/>
        <v>35</v>
      </c>
    </row>
    <row r="1124" spans="1:10" ht="16.95" customHeight="1">
      <c r="A1124" s="95" t="s">
        <v>32</v>
      </c>
      <c r="B1124" s="95"/>
      <c r="C1124" s="95"/>
      <c r="D1124" s="95"/>
      <c r="E1124" s="95"/>
      <c r="F1124" s="95"/>
      <c r="G1124" s="95"/>
      <c r="J1124" s="25">
        <f t="shared" si="68"/>
        <v>36</v>
      </c>
    </row>
    <row r="1125" spans="1:10" ht="16.95" customHeight="1">
      <c r="A1125" s="51" t="s">
        <v>33</v>
      </c>
      <c r="B1125" s="51" t="s">
        <v>34</v>
      </c>
      <c r="C1125" s="94" t="s">
        <v>35</v>
      </c>
      <c r="D1125" s="94"/>
      <c r="E1125" s="51" t="s">
        <v>36</v>
      </c>
      <c r="F1125" s="51" t="s">
        <v>37</v>
      </c>
      <c r="G1125" s="51" t="s">
        <v>38</v>
      </c>
      <c r="J1125" s="25">
        <f t="shared" si="68"/>
        <v>36</v>
      </c>
    </row>
    <row r="1126" spans="1:10" ht="16.95" customHeight="1">
      <c r="A1126" s="51" t="s">
        <v>39</v>
      </c>
      <c r="B1126" s="6"/>
      <c r="C1126" s="94" t="e">
        <f>B1126+C1063</f>
        <v>#REF!</v>
      </c>
      <c r="D1126" s="94"/>
      <c r="E1126" s="51"/>
      <c r="F1126" s="24"/>
      <c r="G1126" s="24"/>
      <c r="J1126" s="25">
        <f t="shared" si="68"/>
        <v>36</v>
      </c>
    </row>
    <row r="1127" spans="1:10" ht="16.95" customHeight="1">
      <c r="A1127" s="51" t="s">
        <v>40</v>
      </c>
      <c r="B1127" s="6"/>
      <c r="C1127" s="94" t="e">
        <f>B1127+C1064</f>
        <v>#REF!</v>
      </c>
      <c r="D1127" s="94"/>
      <c r="E1127" s="51"/>
      <c r="F1127" s="24"/>
      <c r="G1127" s="24"/>
      <c r="J1127" s="25">
        <f t="shared" si="68"/>
        <v>36</v>
      </c>
    </row>
    <row r="1128" spans="1:10" ht="36.6" customHeight="1">
      <c r="A1128" s="95" t="s">
        <v>41</v>
      </c>
      <c r="B1128" s="95"/>
      <c r="C1128" s="95"/>
      <c r="D1128" s="95"/>
      <c r="E1128" s="95"/>
      <c r="F1128" s="95"/>
      <c r="G1128" s="95"/>
      <c r="J1128" s="25">
        <f t="shared" si="68"/>
        <v>36</v>
      </c>
    </row>
    <row r="1129" spans="1:10" ht="90" customHeight="1">
      <c r="A1129" s="92" t="s">
        <v>42</v>
      </c>
      <c r="B1129" s="92"/>
      <c r="C1129" s="92"/>
      <c r="D1129" s="92"/>
      <c r="E1129" s="92"/>
      <c r="F1129" s="92"/>
      <c r="G1129" s="92"/>
      <c r="J1129" s="25">
        <f t="shared" si="68"/>
        <v>36</v>
      </c>
    </row>
    <row r="1130" spans="1:10" ht="16.95" customHeight="1">
      <c r="A1130" s="95" t="s">
        <v>43</v>
      </c>
      <c r="B1130" s="95"/>
      <c r="C1130" s="95"/>
      <c r="D1130" s="95"/>
      <c r="E1130" s="95"/>
      <c r="F1130" s="95"/>
      <c r="G1130" s="95"/>
      <c r="J1130" s="25">
        <f t="shared" si="68"/>
        <v>36</v>
      </c>
    </row>
    <row r="1131" spans="1:10" ht="16.95" customHeight="1">
      <c r="A1131" s="95" t="s">
        <v>44</v>
      </c>
      <c r="B1131" s="95"/>
      <c r="C1131" s="95"/>
      <c r="D1131" s="95"/>
      <c r="E1131" s="95"/>
      <c r="F1131" s="95"/>
      <c r="G1131" s="95"/>
      <c r="J1131" s="25">
        <f t="shared" si="68"/>
        <v>36</v>
      </c>
    </row>
    <row r="1132" spans="1:10" ht="16.95" customHeight="1">
      <c r="A1132" s="91" t="s">
        <v>64</v>
      </c>
      <c r="B1132" s="91"/>
      <c r="C1132" s="91"/>
      <c r="D1132" s="91"/>
      <c r="E1132" s="91"/>
      <c r="F1132" s="91"/>
      <c r="G1132" s="91"/>
      <c r="J1132" s="25">
        <f t="shared" si="68"/>
        <v>36</v>
      </c>
    </row>
    <row r="1133" spans="1:10" ht="120.6" customHeight="1">
      <c r="A1133" s="92" t="s">
        <v>45</v>
      </c>
      <c r="B1133" s="92"/>
      <c r="C1133" s="92"/>
      <c r="D1133" s="92"/>
      <c r="E1133" s="92"/>
      <c r="F1133" s="92"/>
      <c r="G1133" s="92"/>
      <c r="J1133" s="25">
        <f t="shared" si="68"/>
        <v>36</v>
      </c>
    </row>
    <row r="1134" spans="1:10" ht="140.4" customHeight="1">
      <c r="A1134" s="93" t="s">
        <v>46</v>
      </c>
      <c r="B1134" s="93"/>
      <c r="C1134" s="93"/>
      <c r="D1134" s="93"/>
      <c r="E1134" s="93"/>
      <c r="F1134" s="93"/>
      <c r="G1134" s="93"/>
      <c r="J1134" s="25">
        <f t="shared" si="68"/>
        <v>36</v>
      </c>
    </row>
    <row r="1135" spans="1:10" ht="37.200000000000003" customHeight="1">
      <c r="A1135" s="103" t="s">
        <v>0</v>
      </c>
      <c r="B1135" s="103"/>
      <c r="C1135" s="103"/>
      <c r="D1135" s="103"/>
      <c r="E1135" s="103"/>
      <c r="F1135" s="103"/>
      <c r="G1135" s="103"/>
      <c r="J1135" s="25">
        <f t="shared" si="68"/>
        <v>37</v>
      </c>
    </row>
    <row r="1136" spans="1:10" ht="16.95" customHeight="1">
      <c r="A1136" s="1" t="s">
        <v>1</v>
      </c>
      <c r="B1136" s="104">
        <f>B1073+1</f>
        <v>20</v>
      </c>
      <c r="C1136" s="104"/>
      <c r="D1136" s="104"/>
      <c r="E1136" s="104"/>
      <c r="F1136" s="104"/>
      <c r="G1136" s="104"/>
      <c r="J1136" s="25">
        <f t="shared" si="68"/>
        <v>37</v>
      </c>
    </row>
    <row r="1137" spans="1:10" ht="16.95" customHeight="1">
      <c r="A1137" s="1" t="s">
        <v>2</v>
      </c>
      <c r="B1137" s="105" t="s">
        <v>63</v>
      </c>
      <c r="C1137" s="105"/>
      <c r="D1137" s="105"/>
      <c r="E1137" s="106">
        <f>E1074+1</f>
        <v>46222</v>
      </c>
      <c r="F1137" s="106"/>
      <c r="G1137" s="106"/>
      <c r="J1137" s="25">
        <f t="shared" si="68"/>
        <v>37</v>
      </c>
    </row>
    <row r="1138" spans="1:10" ht="16.95" customHeight="1">
      <c r="A1138" s="53" t="s">
        <v>3</v>
      </c>
      <c r="B1138" s="2" t="s">
        <v>67</v>
      </c>
      <c r="C1138" s="98" t="s">
        <v>4</v>
      </c>
      <c r="D1138" s="98"/>
      <c r="E1138" s="98" t="s">
        <v>47</v>
      </c>
      <c r="F1138" s="98"/>
      <c r="G1138" s="98"/>
      <c r="J1138" s="25">
        <f t="shared" si="68"/>
        <v>37</v>
      </c>
    </row>
    <row r="1139" spans="1:10" ht="16.95" customHeight="1">
      <c r="A1139" s="53" t="s">
        <v>5</v>
      </c>
      <c r="B1139" s="54">
        <v>120</v>
      </c>
      <c r="C1139" s="98" t="s">
        <v>6</v>
      </c>
      <c r="D1139" s="98"/>
      <c r="E1139" s="98" t="s">
        <v>123</v>
      </c>
      <c r="F1139" s="98"/>
      <c r="G1139" s="98"/>
      <c r="J1139" s="25">
        <f t="shared" si="68"/>
        <v>37</v>
      </c>
    </row>
    <row r="1140" spans="1:10" ht="16.95" customHeight="1">
      <c r="A1140" s="53" t="s">
        <v>7</v>
      </c>
      <c r="B1140" s="54">
        <f>B1136</f>
        <v>20</v>
      </c>
      <c r="C1140" s="100" t="s">
        <v>8</v>
      </c>
      <c r="D1140" s="100"/>
      <c r="E1140" s="101">
        <f>B1139-B1140</f>
        <v>100</v>
      </c>
      <c r="F1140" s="101"/>
      <c r="G1140" s="101"/>
      <c r="J1140" s="25">
        <f t="shared" si="68"/>
        <v>37</v>
      </c>
    </row>
    <row r="1141" spans="1:10" ht="16.95" customHeight="1">
      <c r="A1141" s="53" t="s">
        <v>9</v>
      </c>
      <c r="B1141" s="55">
        <v>46204</v>
      </c>
      <c r="C1141" s="98" t="s">
        <v>10</v>
      </c>
      <c r="D1141" s="98"/>
      <c r="E1141" s="102">
        <f>B1141+B1139-1</f>
        <v>46323</v>
      </c>
      <c r="F1141" s="102"/>
      <c r="G1141" s="102"/>
      <c r="J1141" s="25">
        <f t="shared" si="68"/>
        <v>37</v>
      </c>
    </row>
    <row r="1142" spans="1:10" ht="16.95" customHeight="1">
      <c r="A1142" s="53" t="s">
        <v>11</v>
      </c>
      <c r="B1142" s="56" t="e">
        <f>HLOOKUP(B1136,進度表!$Q$2:$Z$3,2,1)+B1079</f>
        <v>#REF!</v>
      </c>
      <c r="C1142" s="98" t="s">
        <v>12</v>
      </c>
      <c r="D1142" s="98"/>
      <c r="E1142" s="99" t="e">
        <f>I1180/I1142+E1079</f>
        <v>#REF!</v>
      </c>
      <c r="F1142" s="99"/>
      <c r="G1142" s="99"/>
      <c r="H1142" s="3" t="s">
        <v>62</v>
      </c>
      <c r="I1142" s="1">
        <v>2456000</v>
      </c>
      <c r="J1142" s="25">
        <f t="shared" si="68"/>
        <v>37</v>
      </c>
    </row>
    <row r="1143" spans="1:10" ht="16.95" customHeight="1">
      <c r="A1143" s="98" t="s">
        <v>13</v>
      </c>
      <c r="B1143" s="98"/>
      <c r="C1143" s="98"/>
      <c r="D1143" s="98"/>
      <c r="E1143" s="98"/>
      <c r="F1143" s="98"/>
      <c r="G1143" s="98"/>
      <c r="J1143" s="25">
        <f t="shared" si="68"/>
        <v>37</v>
      </c>
    </row>
    <row r="1144" spans="1:10" ht="16.95" customHeight="1">
      <c r="A1144" s="52" t="s">
        <v>14</v>
      </c>
      <c r="B1144" s="52" t="s">
        <v>15</v>
      </c>
      <c r="C1144" s="52" t="s">
        <v>16</v>
      </c>
      <c r="D1144" s="52" t="s">
        <v>17</v>
      </c>
      <c r="E1144" s="52" t="s">
        <v>18</v>
      </c>
      <c r="F1144" s="52" t="s">
        <v>19</v>
      </c>
      <c r="G1144" s="52" t="s">
        <v>20</v>
      </c>
      <c r="H1144" s="3" t="s">
        <v>21</v>
      </c>
      <c r="I1144" s="3" t="s">
        <v>22</v>
      </c>
      <c r="J1144" s="25">
        <f t="shared" si="68"/>
        <v>37</v>
      </c>
    </row>
    <row r="1145" spans="1:10" ht="16.95" customHeight="1">
      <c r="A1145" s="75" t="s">
        <v>65</v>
      </c>
      <c r="B1145" s="76" t="s">
        <v>69</v>
      </c>
      <c r="C1145" s="77"/>
      <c r="D1145" s="78"/>
      <c r="E1145" s="79"/>
      <c r="F1145" s="79"/>
      <c r="G1145" s="2"/>
      <c r="H1145" s="37"/>
      <c r="I1145" s="4"/>
      <c r="J1145" s="25">
        <f t="shared" si="68"/>
        <v>37</v>
      </c>
    </row>
    <row r="1146" spans="1:10" ht="34.950000000000003" customHeight="1">
      <c r="A1146" s="75">
        <v>1</v>
      </c>
      <c r="B1146" s="80" t="s">
        <v>91</v>
      </c>
      <c r="C1146" s="77" t="s">
        <v>48</v>
      </c>
      <c r="D1146" s="78">
        <v>1</v>
      </c>
      <c r="E1146" s="79"/>
      <c r="F1146" s="79" t="e">
        <f t="shared" ref="F1146:F1179" si="71">E1146+F1083</f>
        <v>#REF!</v>
      </c>
      <c r="G1146" s="2"/>
      <c r="H1146" s="37">
        <v>10508</v>
      </c>
      <c r="I1146" s="4">
        <f>H1146*E1146</f>
        <v>0</v>
      </c>
      <c r="J1146" s="25">
        <f t="shared" si="68"/>
        <v>37</v>
      </c>
    </row>
    <row r="1147" spans="1:10" ht="34.799999999999997" customHeight="1">
      <c r="A1147" s="75">
        <v>2</v>
      </c>
      <c r="B1147" s="80" t="s">
        <v>92</v>
      </c>
      <c r="C1147" s="77" t="s">
        <v>48</v>
      </c>
      <c r="D1147" s="78">
        <v>1</v>
      </c>
      <c r="E1147" s="79"/>
      <c r="F1147" s="79" t="e">
        <f t="shared" si="71"/>
        <v>#REF!</v>
      </c>
      <c r="G1147" s="2"/>
      <c r="H1147" s="37">
        <v>13223</v>
      </c>
      <c r="I1147" s="4">
        <f>H1147*E1147</f>
        <v>0</v>
      </c>
      <c r="J1147" s="25">
        <f t="shared" ref="J1147:J1210" si="72">J1084+2</f>
        <v>37</v>
      </c>
    </row>
    <row r="1148" spans="1:10" ht="53.4" customHeight="1">
      <c r="A1148" s="75">
        <v>3</v>
      </c>
      <c r="B1148" s="80" t="s">
        <v>93</v>
      </c>
      <c r="C1148" s="77" t="s">
        <v>48</v>
      </c>
      <c r="D1148" s="78">
        <v>1</v>
      </c>
      <c r="E1148" s="79"/>
      <c r="F1148" s="79" t="e">
        <f t="shared" si="71"/>
        <v>#REF!</v>
      </c>
      <c r="G1148" s="2"/>
      <c r="H1148" s="37">
        <v>310497</v>
      </c>
      <c r="I1148" s="4">
        <f t="shared" ref="I1148:I1179" si="73">H1148*E1148</f>
        <v>0</v>
      </c>
      <c r="J1148" s="25">
        <f t="shared" si="72"/>
        <v>37</v>
      </c>
    </row>
    <row r="1149" spans="1:10" ht="16.95" customHeight="1">
      <c r="A1149" s="75">
        <v>4</v>
      </c>
      <c r="B1149" s="80" t="s">
        <v>94</v>
      </c>
      <c r="C1149" s="77" t="s">
        <v>48</v>
      </c>
      <c r="D1149" s="78">
        <v>1</v>
      </c>
      <c r="E1149" s="79"/>
      <c r="F1149" s="79" t="e">
        <f t="shared" si="71"/>
        <v>#REF!</v>
      </c>
      <c r="G1149" s="2"/>
      <c r="H1149" s="37">
        <v>8375</v>
      </c>
      <c r="I1149" s="4">
        <f t="shared" si="73"/>
        <v>0</v>
      </c>
      <c r="J1149" s="25">
        <f t="shared" si="72"/>
        <v>37</v>
      </c>
    </row>
    <row r="1150" spans="1:10" ht="16.95" customHeight="1">
      <c r="A1150" s="75">
        <v>5</v>
      </c>
      <c r="B1150" s="80" t="s">
        <v>95</v>
      </c>
      <c r="C1150" s="77" t="s">
        <v>48</v>
      </c>
      <c r="D1150" s="78">
        <v>1</v>
      </c>
      <c r="E1150" s="79"/>
      <c r="F1150" s="79" t="e">
        <f t="shared" si="71"/>
        <v>#REF!</v>
      </c>
      <c r="G1150" s="2"/>
      <c r="H1150" s="37">
        <v>51618</v>
      </c>
      <c r="I1150" s="4">
        <f t="shared" si="73"/>
        <v>0</v>
      </c>
      <c r="J1150" s="25">
        <f t="shared" si="72"/>
        <v>37</v>
      </c>
    </row>
    <row r="1151" spans="1:10" ht="16.95" customHeight="1">
      <c r="A1151" s="75">
        <v>6</v>
      </c>
      <c r="B1151" s="80" t="s">
        <v>96</v>
      </c>
      <c r="C1151" s="77" t="s">
        <v>50</v>
      </c>
      <c r="D1151" s="78">
        <v>11.55</v>
      </c>
      <c r="E1151" s="79"/>
      <c r="F1151" s="79" t="e">
        <f t="shared" si="71"/>
        <v>#REF!</v>
      </c>
      <c r="G1151" s="2"/>
      <c r="H1151" s="37">
        <v>1188</v>
      </c>
      <c r="I1151" s="4">
        <f t="shared" si="73"/>
        <v>0</v>
      </c>
      <c r="J1151" s="25">
        <f t="shared" si="72"/>
        <v>37</v>
      </c>
    </row>
    <row r="1152" spans="1:10" ht="34.950000000000003" customHeight="1">
      <c r="A1152" s="75">
        <v>7</v>
      </c>
      <c r="B1152" s="80" t="s">
        <v>97</v>
      </c>
      <c r="C1152" s="77" t="s">
        <v>48</v>
      </c>
      <c r="D1152" s="78">
        <v>1</v>
      </c>
      <c r="E1152" s="79"/>
      <c r="F1152" s="79" t="e">
        <f t="shared" si="71"/>
        <v>#REF!</v>
      </c>
      <c r="G1152" s="2"/>
      <c r="H1152" s="37">
        <v>21157</v>
      </c>
      <c r="I1152" s="4">
        <f t="shared" si="73"/>
        <v>0</v>
      </c>
      <c r="J1152" s="25">
        <f t="shared" si="72"/>
        <v>37</v>
      </c>
    </row>
    <row r="1153" spans="1:10" ht="16.95" customHeight="1">
      <c r="A1153" s="75">
        <v>8</v>
      </c>
      <c r="B1153" s="80" t="s">
        <v>98</v>
      </c>
      <c r="C1153" s="77" t="s">
        <v>50</v>
      </c>
      <c r="D1153" s="78">
        <v>387</v>
      </c>
      <c r="E1153" s="79"/>
      <c r="F1153" s="79" t="e">
        <f t="shared" si="71"/>
        <v>#REF!</v>
      </c>
      <c r="G1153" s="2"/>
      <c r="H1153" s="37">
        <v>705</v>
      </c>
      <c r="I1153" s="4">
        <f t="shared" si="73"/>
        <v>0</v>
      </c>
      <c r="J1153" s="25">
        <f t="shared" si="72"/>
        <v>37</v>
      </c>
    </row>
    <row r="1154" spans="1:10" ht="16.95" customHeight="1">
      <c r="A1154" s="75">
        <v>9</v>
      </c>
      <c r="B1154" s="80" t="s">
        <v>99</v>
      </c>
      <c r="C1154" s="77" t="s">
        <v>50</v>
      </c>
      <c r="D1154" s="78">
        <v>170</v>
      </c>
      <c r="E1154" s="79"/>
      <c r="F1154" s="79" t="e">
        <f t="shared" si="71"/>
        <v>#REF!</v>
      </c>
      <c r="G1154" s="2"/>
      <c r="H1154" s="37">
        <v>617</v>
      </c>
      <c r="I1154" s="4">
        <f t="shared" si="73"/>
        <v>0</v>
      </c>
      <c r="J1154" s="25">
        <f t="shared" si="72"/>
        <v>37</v>
      </c>
    </row>
    <row r="1155" spans="1:10" ht="16.95" customHeight="1">
      <c r="A1155" s="75">
        <v>10</v>
      </c>
      <c r="B1155" s="80" t="s">
        <v>100</v>
      </c>
      <c r="C1155" s="77" t="s">
        <v>66</v>
      </c>
      <c r="D1155" s="78">
        <v>15</v>
      </c>
      <c r="E1155" s="79"/>
      <c r="F1155" s="79" t="e">
        <f t="shared" si="71"/>
        <v>#REF!</v>
      </c>
      <c r="G1155" s="2"/>
      <c r="H1155" s="37">
        <v>617</v>
      </c>
      <c r="I1155" s="4">
        <f t="shared" si="73"/>
        <v>0</v>
      </c>
      <c r="J1155" s="25">
        <f t="shared" si="72"/>
        <v>37</v>
      </c>
    </row>
    <row r="1156" spans="1:10" ht="16.95" customHeight="1">
      <c r="A1156" s="75">
        <v>11</v>
      </c>
      <c r="B1156" s="80" t="s">
        <v>101</v>
      </c>
      <c r="C1156" s="77" t="s">
        <v>50</v>
      </c>
      <c r="D1156" s="78">
        <v>75</v>
      </c>
      <c r="E1156" s="79"/>
      <c r="F1156" s="79" t="e">
        <f t="shared" si="71"/>
        <v>#REF!</v>
      </c>
      <c r="G1156" s="2"/>
      <c r="H1156" s="37">
        <v>1146</v>
      </c>
      <c r="I1156" s="4">
        <f t="shared" si="73"/>
        <v>0</v>
      </c>
      <c r="J1156" s="25">
        <f t="shared" si="72"/>
        <v>37</v>
      </c>
    </row>
    <row r="1157" spans="1:10" ht="16.95" customHeight="1">
      <c r="A1157" s="75">
        <v>12</v>
      </c>
      <c r="B1157" s="80" t="s">
        <v>102</v>
      </c>
      <c r="C1157" s="77" t="s">
        <v>50</v>
      </c>
      <c r="D1157" s="78">
        <v>5</v>
      </c>
      <c r="E1157" s="79"/>
      <c r="F1157" s="79" t="e">
        <f t="shared" si="71"/>
        <v>#REF!</v>
      </c>
      <c r="G1157" s="2"/>
      <c r="H1157" s="37">
        <v>1455</v>
      </c>
      <c r="I1157" s="4">
        <f t="shared" si="73"/>
        <v>0</v>
      </c>
      <c r="J1157" s="25">
        <f t="shared" si="72"/>
        <v>37</v>
      </c>
    </row>
    <row r="1158" spans="1:10" ht="16.95" customHeight="1">
      <c r="A1158" s="75">
        <v>13</v>
      </c>
      <c r="B1158" s="80" t="s">
        <v>103</v>
      </c>
      <c r="C1158" s="77" t="s">
        <v>50</v>
      </c>
      <c r="D1158" s="78">
        <v>217</v>
      </c>
      <c r="E1158" s="79"/>
      <c r="F1158" s="79" t="e">
        <f t="shared" si="71"/>
        <v>#REF!</v>
      </c>
      <c r="G1158" s="2"/>
      <c r="H1158" s="37">
        <v>1410</v>
      </c>
      <c r="I1158" s="4">
        <f t="shared" si="73"/>
        <v>0</v>
      </c>
      <c r="J1158" s="25">
        <f t="shared" si="72"/>
        <v>37</v>
      </c>
    </row>
    <row r="1159" spans="1:10" ht="16.95" customHeight="1">
      <c r="A1159" s="75">
        <v>14</v>
      </c>
      <c r="B1159" s="80" t="s">
        <v>104</v>
      </c>
      <c r="C1159" s="77" t="s">
        <v>49</v>
      </c>
      <c r="D1159" s="78">
        <v>84</v>
      </c>
      <c r="E1159" s="79"/>
      <c r="F1159" s="79" t="e">
        <f t="shared" si="71"/>
        <v>#REF!</v>
      </c>
      <c r="G1159" s="2"/>
      <c r="H1159" s="37">
        <v>529</v>
      </c>
      <c r="I1159" s="4">
        <f t="shared" si="73"/>
        <v>0</v>
      </c>
      <c r="J1159" s="25">
        <f t="shared" si="72"/>
        <v>37</v>
      </c>
    </row>
    <row r="1160" spans="1:10" ht="16.95" customHeight="1">
      <c r="A1160" s="75">
        <v>15</v>
      </c>
      <c r="B1160" s="80" t="s">
        <v>105</v>
      </c>
      <c r="C1160" s="77" t="s">
        <v>50</v>
      </c>
      <c r="D1160" s="78">
        <v>1</v>
      </c>
      <c r="E1160" s="79"/>
      <c r="F1160" s="79" t="e">
        <f t="shared" si="71"/>
        <v>#REF!</v>
      </c>
      <c r="G1160" s="2"/>
      <c r="H1160" s="37">
        <v>1146</v>
      </c>
      <c r="I1160" s="4">
        <f t="shared" si="73"/>
        <v>0</v>
      </c>
      <c r="J1160" s="25">
        <f t="shared" si="72"/>
        <v>37</v>
      </c>
    </row>
    <row r="1161" spans="1:10" ht="34.799999999999997" customHeight="1">
      <c r="A1161" s="75">
        <v>16</v>
      </c>
      <c r="B1161" s="80" t="s">
        <v>106</v>
      </c>
      <c r="C1161" s="77" t="s">
        <v>50</v>
      </c>
      <c r="D1161" s="78">
        <v>314</v>
      </c>
      <c r="E1161" s="79"/>
      <c r="F1161" s="79" t="e">
        <f t="shared" si="71"/>
        <v>#REF!</v>
      </c>
      <c r="G1161" s="2"/>
      <c r="H1161" s="37">
        <v>185</v>
      </c>
      <c r="I1161" s="4">
        <f t="shared" si="73"/>
        <v>0</v>
      </c>
      <c r="J1161" s="25">
        <f t="shared" si="72"/>
        <v>37</v>
      </c>
    </row>
    <row r="1162" spans="1:10" ht="16.95" customHeight="1">
      <c r="A1162" s="75">
        <v>17</v>
      </c>
      <c r="B1162" s="80" t="s">
        <v>107</v>
      </c>
      <c r="C1162" s="77" t="s">
        <v>48</v>
      </c>
      <c r="D1162" s="78">
        <v>1</v>
      </c>
      <c r="E1162" s="79"/>
      <c r="F1162" s="79" t="e">
        <f t="shared" si="71"/>
        <v>#REF!</v>
      </c>
      <c r="G1162" s="2"/>
      <c r="H1162" s="37">
        <v>89918</v>
      </c>
      <c r="I1162" s="4">
        <f t="shared" si="73"/>
        <v>0</v>
      </c>
      <c r="J1162" s="25">
        <f t="shared" si="72"/>
        <v>37</v>
      </c>
    </row>
    <row r="1163" spans="1:10" ht="16.95" customHeight="1">
      <c r="A1163" s="75">
        <v>18</v>
      </c>
      <c r="B1163" s="80" t="s">
        <v>108</v>
      </c>
      <c r="C1163" s="77" t="s">
        <v>120</v>
      </c>
      <c r="D1163" s="78">
        <v>15</v>
      </c>
      <c r="E1163" s="79"/>
      <c r="F1163" s="79" t="e">
        <f t="shared" si="71"/>
        <v>#REF!</v>
      </c>
      <c r="G1163" s="2"/>
      <c r="H1163" s="37">
        <v>661</v>
      </c>
      <c r="I1163" s="4">
        <f t="shared" si="73"/>
        <v>0</v>
      </c>
      <c r="J1163" s="25">
        <f t="shared" si="72"/>
        <v>37</v>
      </c>
    </row>
    <row r="1164" spans="1:10" ht="16.95" customHeight="1">
      <c r="A1164" s="75">
        <v>19</v>
      </c>
      <c r="B1164" s="80" t="s">
        <v>109</v>
      </c>
      <c r="C1164" s="77" t="s">
        <v>50</v>
      </c>
      <c r="D1164" s="78">
        <v>82</v>
      </c>
      <c r="E1164" s="79"/>
      <c r="F1164" s="79" t="e">
        <f t="shared" si="71"/>
        <v>#REF!</v>
      </c>
      <c r="G1164" s="2"/>
      <c r="H1164" s="37">
        <v>2909</v>
      </c>
      <c r="I1164" s="4">
        <f t="shared" si="73"/>
        <v>0</v>
      </c>
      <c r="J1164" s="25">
        <f t="shared" si="72"/>
        <v>37</v>
      </c>
    </row>
    <row r="1165" spans="1:10" ht="16.95" customHeight="1">
      <c r="A1165" s="75">
        <v>20</v>
      </c>
      <c r="B1165" s="80" t="s">
        <v>110</v>
      </c>
      <c r="C1165" s="77" t="s">
        <v>121</v>
      </c>
      <c r="D1165" s="78">
        <v>12</v>
      </c>
      <c r="E1165" s="79"/>
      <c r="F1165" s="79" t="e">
        <f t="shared" si="71"/>
        <v>#REF!</v>
      </c>
      <c r="G1165" s="2"/>
      <c r="H1165" s="37">
        <v>882</v>
      </c>
      <c r="I1165" s="4">
        <f t="shared" si="73"/>
        <v>0</v>
      </c>
      <c r="J1165" s="25">
        <f t="shared" si="72"/>
        <v>37</v>
      </c>
    </row>
    <row r="1166" spans="1:10" ht="16.95" customHeight="1">
      <c r="A1166" s="77">
        <v>21</v>
      </c>
      <c r="B1166" s="80" t="s">
        <v>111</v>
      </c>
      <c r="C1166" s="77" t="s">
        <v>122</v>
      </c>
      <c r="D1166" s="78">
        <v>3</v>
      </c>
      <c r="E1166" s="79"/>
      <c r="F1166" s="79" t="e">
        <f t="shared" si="71"/>
        <v>#REF!</v>
      </c>
      <c r="G1166" s="2"/>
      <c r="H1166" s="38">
        <v>1869</v>
      </c>
      <c r="I1166" s="4">
        <f t="shared" si="73"/>
        <v>0</v>
      </c>
      <c r="J1166" s="25">
        <f t="shared" si="72"/>
        <v>37</v>
      </c>
    </row>
    <row r="1167" spans="1:10" ht="34.950000000000003" customHeight="1">
      <c r="A1167" s="75">
        <v>22</v>
      </c>
      <c r="B1167" s="80" t="s">
        <v>112</v>
      </c>
      <c r="C1167" s="77" t="s">
        <v>48</v>
      </c>
      <c r="D1167" s="78">
        <v>1</v>
      </c>
      <c r="E1167" s="79"/>
      <c r="F1167" s="79" t="e">
        <f t="shared" si="71"/>
        <v>#REF!</v>
      </c>
      <c r="G1167" s="2"/>
      <c r="H1167" s="37">
        <v>82206</v>
      </c>
      <c r="I1167" s="4">
        <f t="shared" si="73"/>
        <v>0</v>
      </c>
      <c r="J1167" s="25">
        <f t="shared" si="72"/>
        <v>37</v>
      </c>
    </row>
    <row r="1168" spans="1:10" ht="16.95" customHeight="1">
      <c r="A1168" s="75">
        <v>23</v>
      </c>
      <c r="B1168" s="80" t="s">
        <v>113</v>
      </c>
      <c r="C1168" s="77" t="s">
        <v>48</v>
      </c>
      <c r="D1168" s="78">
        <v>1</v>
      </c>
      <c r="E1168" s="79"/>
      <c r="F1168" s="79" t="e">
        <f t="shared" si="71"/>
        <v>#REF!</v>
      </c>
      <c r="G1168" s="2"/>
      <c r="H1168" s="37">
        <v>142723</v>
      </c>
      <c r="I1168" s="4">
        <f t="shared" si="73"/>
        <v>0</v>
      </c>
      <c r="J1168" s="25">
        <f t="shared" si="72"/>
        <v>37</v>
      </c>
    </row>
    <row r="1169" spans="1:10" ht="16.95" customHeight="1">
      <c r="A1169" s="75">
        <v>24</v>
      </c>
      <c r="B1169" s="80" t="s">
        <v>114</v>
      </c>
      <c r="C1169" s="77" t="s">
        <v>48</v>
      </c>
      <c r="D1169" s="78">
        <v>1</v>
      </c>
      <c r="E1169" s="79"/>
      <c r="F1169" s="79" t="e">
        <f t="shared" si="71"/>
        <v>#REF!</v>
      </c>
      <c r="G1169" s="2"/>
      <c r="H1169" s="37">
        <v>37290</v>
      </c>
      <c r="I1169" s="4">
        <f t="shared" si="73"/>
        <v>0</v>
      </c>
      <c r="J1169" s="25">
        <f t="shared" si="72"/>
        <v>37</v>
      </c>
    </row>
    <row r="1170" spans="1:10" ht="16.95" customHeight="1">
      <c r="A1170" s="75">
        <v>25</v>
      </c>
      <c r="B1170" s="80" t="s">
        <v>115</v>
      </c>
      <c r="C1170" s="77" t="s">
        <v>48</v>
      </c>
      <c r="D1170" s="78">
        <v>1</v>
      </c>
      <c r="E1170" s="79"/>
      <c r="F1170" s="79" t="e">
        <f t="shared" si="71"/>
        <v>#REF!</v>
      </c>
      <c r="G1170" s="2"/>
      <c r="H1170" s="37">
        <v>99394</v>
      </c>
      <c r="I1170" s="4">
        <f t="shared" si="73"/>
        <v>0</v>
      </c>
      <c r="J1170" s="25">
        <f t="shared" si="72"/>
        <v>37</v>
      </c>
    </row>
    <row r="1171" spans="1:10" ht="34.950000000000003" customHeight="1">
      <c r="A1171" s="75">
        <v>26</v>
      </c>
      <c r="B1171" s="80" t="s">
        <v>116</v>
      </c>
      <c r="C1171" s="77" t="s">
        <v>48</v>
      </c>
      <c r="D1171" s="78">
        <v>1</v>
      </c>
      <c r="E1171" s="79"/>
      <c r="F1171" s="79" t="e">
        <f t="shared" si="71"/>
        <v>#REF!</v>
      </c>
      <c r="G1171" s="2"/>
      <c r="H1171" s="37">
        <v>21334</v>
      </c>
      <c r="I1171" s="4">
        <f t="shared" si="73"/>
        <v>0</v>
      </c>
      <c r="J1171" s="25">
        <f t="shared" si="72"/>
        <v>37</v>
      </c>
    </row>
    <row r="1172" spans="1:10" ht="16.95" customHeight="1">
      <c r="A1172" s="75">
        <v>27</v>
      </c>
      <c r="B1172" s="80" t="s">
        <v>117</v>
      </c>
      <c r="C1172" s="77" t="s">
        <v>48</v>
      </c>
      <c r="D1172" s="78">
        <v>1</v>
      </c>
      <c r="E1172" s="79"/>
      <c r="F1172" s="79" t="e">
        <f t="shared" si="71"/>
        <v>#REF!</v>
      </c>
      <c r="G1172" s="2"/>
      <c r="H1172" s="37">
        <v>29620</v>
      </c>
      <c r="I1172" s="4">
        <f t="shared" si="73"/>
        <v>0</v>
      </c>
      <c r="J1172" s="25">
        <f t="shared" si="72"/>
        <v>37</v>
      </c>
    </row>
    <row r="1173" spans="1:10" ht="16.95" customHeight="1">
      <c r="A1173" s="75">
        <v>28</v>
      </c>
      <c r="B1173" s="80" t="s">
        <v>118</v>
      </c>
      <c r="C1173" s="77" t="s">
        <v>48</v>
      </c>
      <c r="D1173" s="78">
        <v>1</v>
      </c>
      <c r="E1173" s="79"/>
      <c r="F1173" s="79" t="e">
        <f t="shared" si="71"/>
        <v>#REF!</v>
      </c>
      <c r="G1173" s="2"/>
      <c r="H1173" s="37">
        <v>18506</v>
      </c>
      <c r="I1173" s="4">
        <f t="shared" si="73"/>
        <v>0</v>
      </c>
      <c r="J1173" s="25">
        <f t="shared" si="72"/>
        <v>37</v>
      </c>
    </row>
    <row r="1174" spans="1:10" ht="16.95" customHeight="1">
      <c r="A1174" s="75">
        <v>29</v>
      </c>
      <c r="B1174" s="80" t="s">
        <v>119</v>
      </c>
      <c r="C1174" s="77" t="s">
        <v>48</v>
      </c>
      <c r="D1174" s="78">
        <v>1</v>
      </c>
      <c r="E1174" s="79"/>
      <c r="F1174" s="79" t="e">
        <f t="shared" si="71"/>
        <v>#REF!</v>
      </c>
      <c r="G1174" s="2"/>
      <c r="H1174" s="37">
        <v>34381</v>
      </c>
      <c r="I1174" s="4">
        <f t="shared" si="73"/>
        <v>0</v>
      </c>
      <c r="J1174" s="25">
        <f t="shared" si="72"/>
        <v>37</v>
      </c>
    </row>
    <row r="1175" spans="1:10" ht="16.95" customHeight="1">
      <c r="A1175" s="75" t="s">
        <v>79</v>
      </c>
      <c r="B1175" s="80" t="s">
        <v>80</v>
      </c>
      <c r="C1175" s="77" t="s">
        <v>48</v>
      </c>
      <c r="D1175" s="78">
        <v>1</v>
      </c>
      <c r="E1175" s="79">
        <f t="shared" ref="E1175:E1178" si="74">1/120</f>
        <v>8.3333333333333332E-3</v>
      </c>
      <c r="F1175" s="79" t="e">
        <f t="shared" si="71"/>
        <v>#REF!</v>
      </c>
      <c r="G1175" s="2"/>
      <c r="H1175" s="37">
        <v>21395</v>
      </c>
      <c r="I1175" s="4">
        <f t="shared" si="73"/>
        <v>178.29166666666666</v>
      </c>
      <c r="J1175" s="25">
        <f t="shared" si="72"/>
        <v>37</v>
      </c>
    </row>
    <row r="1176" spans="1:10" ht="16.95" customHeight="1">
      <c r="A1176" s="75" t="s">
        <v>81</v>
      </c>
      <c r="B1176" s="80" t="s">
        <v>82</v>
      </c>
      <c r="C1176" s="77" t="s">
        <v>48</v>
      </c>
      <c r="D1176" s="78">
        <v>1</v>
      </c>
      <c r="E1176" s="79">
        <f t="shared" si="74"/>
        <v>8.3333333333333332E-3</v>
      </c>
      <c r="F1176" s="79" t="e">
        <f t="shared" si="71"/>
        <v>#REF!</v>
      </c>
      <c r="G1176" s="2"/>
      <c r="H1176" s="37">
        <v>21395</v>
      </c>
      <c r="I1176" s="4">
        <f t="shared" si="73"/>
        <v>178.29166666666666</v>
      </c>
      <c r="J1176" s="25">
        <f t="shared" si="72"/>
        <v>37</v>
      </c>
    </row>
    <row r="1177" spans="1:10" ht="16.95" customHeight="1">
      <c r="A1177" s="75" t="s">
        <v>83</v>
      </c>
      <c r="B1177" s="80" t="s">
        <v>84</v>
      </c>
      <c r="C1177" s="77" t="s">
        <v>48</v>
      </c>
      <c r="D1177" s="78">
        <v>1</v>
      </c>
      <c r="E1177" s="79">
        <f t="shared" si="74"/>
        <v>8.3333333333333332E-3</v>
      </c>
      <c r="F1177" s="79" t="e">
        <f t="shared" si="71"/>
        <v>#REF!</v>
      </c>
      <c r="G1177" s="2"/>
      <c r="H1177" s="37">
        <v>149765</v>
      </c>
      <c r="I1177" s="4">
        <f t="shared" si="73"/>
        <v>1248.0416666666667</v>
      </c>
      <c r="J1177" s="25">
        <f t="shared" si="72"/>
        <v>37</v>
      </c>
    </row>
    <row r="1178" spans="1:10" ht="16.95" customHeight="1">
      <c r="A1178" s="75" t="s">
        <v>85</v>
      </c>
      <c r="B1178" s="80" t="s">
        <v>86</v>
      </c>
      <c r="C1178" s="77" t="s">
        <v>48</v>
      </c>
      <c r="D1178" s="78">
        <v>1</v>
      </c>
      <c r="E1178" s="79">
        <f t="shared" si="74"/>
        <v>8.3333333333333332E-3</v>
      </c>
      <c r="F1178" s="79" t="e">
        <f t="shared" si="71"/>
        <v>#REF!</v>
      </c>
      <c r="G1178" s="2"/>
      <c r="H1178" s="37">
        <v>6996</v>
      </c>
      <c r="I1178" s="4">
        <f t="shared" si="73"/>
        <v>58.3</v>
      </c>
      <c r="J1178" s="25">
        <f t="shared" si="72"/>
        <v>37</v>
      </c>
    </row>
    <row r="1179" spans="1:10" ht="16.95" customHeight="1">
      <c r="A1179" s="75" t="s">
        <v>87</v>
      </c>
      <c r="B1179" s="80" t="s">
        <v>88</v>
      </c>
      <c r="C1179" s="77" t="s">
        <v>48</v>
      </c>
      <c r="D1179" s="78">
        <v>1</v>
      </c>
      <c r="E1179" s="79">
        <f>1/120</f>
        <v>8.3333333333333332E-3</v>
      </c>
      <c r="F1179" s="79" t="e">
        <f t="shared" si="71"/>
        <v>#REF!</v>
      </c>
      <c r="G1179" s="2"/>
      <c r="H1179" s="37">
        <v>116952</v>
      </c>
      <c r="I1179" s="4">
        <f t="shared" si="73"/>
        <v>974.6</v>
      </c>
      <c r="J1179" s="25">
        <f t="shared" si="72"/>
        <v>37</v>
      </c>
    </row>
    <row r="1180" spans="1:10" ht="16.95" customHeight="1">
      <c r="A1180" s="95" t="s">
        <v>23</v>
      </c>
      <c r="B1180" s="95"/>
      <c r="C1180" s="50"/>
      <c r="D1180" s="50"/>
      <c r="E1180" s="50"/>
      <c r="F1180" s="50"/>
      <c r="G1180" s="50"/>
      <c r="H1180" s="3" t="s">
        <v>24</v>
      </c>
      <c r="I1180" s="5">
        <f>SUM(I1145:I1179)</f>
        <v>2637.5250000000001</v>
      </c>
      <c r="J1180" s="25">
        <f t="shared" si="72"/>
        <v>37</v>
      </c>
    </row>
    <row r="1181" spans="1:10" ht="16.95" customHeight="1">
      <c r="A1181" s="96" t="s">
        <v>25</v>
      </c>
      <c r="B1181" s="96"/>
      <c r="C1181" s="50"/>
      <c r="D1181" s="50"/>
      <c r="E1181" s="50"/>
      <c r="F1181" s="50"/>
      <c r="G1181" s="50"/>
      <c r="J1181" s="25">
        <f t="shared" si="72"/>
        <v>37</v>
      </c>
    </row>
    <row r="1182" spans="1:10" ht="16.95" customHeight="1">
      <c r="A1182" s="96" t="s">
        <v>26</v>
      </c>
      <c r="B1182" s="96"/>
      <c r="C1182" s="50"/>
      <c r="D1182" s="50"/>
      <c r="E1182" s="50"/>
      <c r="F1182" s="50"/>
      <c r="G1182" s="50"/>
      <c r="J1182" s="25">
        <f t="shared" si="72"/>
        <v>37</v>
      </c>
    </row>
    <row r="1183" spans="1:10" ht="16.95" customHeight="1">
      <c r="A1183" s="95" t="s">
        <v>27</v>
      </c>
      <c r="B1183" s="95"/>
      <c r="C1183" s="95"/>
      <c r="D1183" s="95"/>
      <c r="E1183" s="95"/>
      <c r="F1183" s="95"/>
      <c r="G1183" s="95"/>
      <c r="J1183" s="25">
        <f t="shared" si="72"/>
        <v>37</v>
      </c>
    </row>
    <row r="1184" spans="1:10" ht="16.95" customHeight="1">
      <c r="A1184" s="94" t="s">
        <v>28</v>
      </c>
      <c r="B1184" s="94"/>
      <c r="C1184" s="51" t="s">
        <v>29</v>
      </c>
      <c r="D1184" s="51" t="s">
        <v>30</v>
      </c>
      <c r="E1184" s="51" t="s">
        <v>18</v>
      </c>
      <c r="F1184" s="51" t="s">
        <v>31</v>
      </c>
      <c r="G1184" s="51" t="s">
        <v>20</v>
      </c>
      <c r="J1184" s="25">
        <f t="shared" si="72"/>
        <v>37</v>
      </c>
    </row>
    <row r="1185" spans="1:10" ht="16.95" customHeight="1">
      <c r="A1185" s="96"/>
      <c r="B1185" s="96"/>
      <c r="C1185" s="50"/>
      <c r="D1185" s="50"/>
      <c r="E1185" s="50"/>
      <c r="F1185" s="50"/>
      <c r="G1185" s="51"/>
      <c r="J1185" s="25">
        <f t="shared" si="72"/>
        <v>37</v>
      </c>
    </row>
    <row r="1186" spans="1:10" ht="16.95" customHeight="1">
      <c r="A1186" s="97"/>
      <c r="B1186" s="97"/>
      <c r="C1186" s="50"/>
      <c r="D1186" s="50"/>
      <c r="E1186" s="50"/>
      <c r="F1186" s="51"/>
      <c r="G1186" s="51"/>
      <c r="J1186" s="25">
        <f t="shared" si="72"/>
        <v>37</v>
      </c>
    </row>
    <row r="1187" spans="1:10" ht="16.95" customHeight="1">
      <c r="A1187" s="95" t="s">
        <v>32</v>
      </c>
      <c r="B1187" s="95"/>
      <c r="C1187" s="95"/>
      <c r="D1187" s="95"/>
      <c r="E1187" s="95"/>
      <c r="F1187" s="95"/>
      <c r="G1187" s="95"/>
      <c r="J1187" s="25">
        <f t="shared" si="72"/>
        <v>38</v>
      </c>
    </row>
    <row r="1188" spans="1:10" ht="16.95" customHeight="1">
      <c r="A1188" s="51" t="s">
        <v>33</v>
      </c>
      <c r="B1188" s="51" t="s">
        <v>34</v>
      </c>
      <c r="C1188" s="94" t="s">
        <v>35</v>
      </c>
      <c r="D1188" s="94"/>
      <c r="E1188" s="51" t="s">
        <v>36</v>
      </c>
      <c r="F1188" s="51" t="s">
        <v>37</v>
      </c>
      <c r="G1188" s="51" t="s">
        <v>38</v>
      </c>
      <c r="J1188" s="25">
        <f t="shared" si="72"/>
        <v>38</v>
      </c>
    </row>
    <row r="1189" spans="1:10" ht="16.95" customHeight="1">
      <c r="A1189" s="51" t="s">
        <v>39</v>
      </c>
      <c r="B1189" s="6"/>
      <c r="C1189" s="94" t="e">
        <f>B1189+C1126</f>
        <v>#REF!</v>
      </c>
      <c r="D1189" s="94"/>
      <c r="E1189" s="51"/>
      <c r="F1189" s="24"/>
      <c r="G1189" s="24"/>
      <c r="J1189" s="25">
        <f t="shared" si="72"/>
        <v>38</v>
      </c>
    </row>
    <row r="1190" spans="1:10" ht="16.95" customHeight="1">
      <c r="A1190" s="51" t="s">
        <v>40</v>
      </c>
      <c r="B1190" s="6"/>
      <c r="C1190" s="94" t="e">
        <f>B1190+C1127</f>
        <v>#REF!</v>
      </c>
      <c r="D1190" s="94"/>
      <c r="E1190" s="51"/>
      <c r="F1190" s="24"/>
      <c r="G1190" s="24"/>
      <c r="J1190" s="25">
        <f t="shared" si="72"/>
        <v>38</v>
      </c>
    </row>
    <row r="1191" spans="1:10" ht="36.6" customHeight="1">
      <c r="A1191" s="95" t="s">
        <v>41</v>
      </c>
      <c r="B1191" s="95"/>
      <c r="C1191" s="95"/>
      <c r="D1191" s="95"/>
      <c r="E1191" s="95"/>
      <c r="F1191" s="95"/>
      <c r="G1191" s="95"/>
      <c r="J1191" s="25">
        <f t="shared" si="72"/>
        <v>38</v>
      </c>
    </row>
    <row r="1192" spans="1:10" ht="90" customHeight="1">
      <c r="A1192" s="92" t="s">
        <v>42</v>
      </c>
      <c r="B1192" s="92"/>
      <c r="C1192" s="92"/>
      <c r="D1192" s="92"/>
      <c r="E1192" s="92"/>
      <c r="F1192" s="92"/>
      <c r="G1192" s="92"/>
      <c r="J1192" s="25">
        <f t="shared" si="72"/>
        <v>38</v>
      </c>
    </row>
    <row r="1193" spans="1:10" ht="16.95" customHeight="1">
      <c r="A1193" s="95" t="s">
        <v>43</v>
      </c>
      <c r="B1193" s="95"/>
      <c r="C1193" s="95"/>
      <c r="D1193" s="95"/>
      <c r="E1193" s="95"/>
      <c r="F1193" s="95"/>
      <c r="G1193" s="95"/>
      <c r="J1193" s="25">
        <f t="shared" si="72"/>
        <v>38</v>
      </c>
    </row>
    <row r="1194" spans="1:10" ht="16.95" customHeight="1">
      <c r="A1194" s="95" t="s">
        <v>44</v>
      </c>
      <c r="B1194" s="95"/>
      <c r="C1194" s="95"/>
      <c r="D1194" s="95"/>
      <c r="E1194" s="95"/>
      <c r="F1194" s="95"/>
      <c r="G1194" s="95"/>
      <c r="J1194" s="25">
        <f t="shared" si="72"/>
        <v>38</v>
      </c>
    </row>
    <row r="1195" spans="1:10" ht="16.95" customHeight="1">
      <c r="A1195" s="91" t="s">
        <v>64</v>
      </c>
      <c r="B1195" s="91"/>
      <c r="C1195" s="91"/>
      <c r="D1195" s="91"/>
      <c r="E1195" s="91"/>
      <c r="F1195" s="91"/>
      <c r="G1195" s="91"/>
      <c r="J1195" s="25">
        <f t="shared" si="72"/>
        <v>38</v>
      </c>
    </row>
    <row r="1196" spans="1:10" ht="120.6" customHeight="1">
      <c r="A1196" s="92" t="s">
        <v>45</v>
      </c>
      <c r="B1196" s="92"/>
      <c r="C1196" s="92"/>
      <c r="D1196" s="92"/>
      <c r="E1196" s="92"/>
      <c r="F1196" s="92"/>
      <c r="G1196" s="92"/>
      <c r="J1196" s="25">
        <f t="shared" si="72"/>
        <v>38</v>
      </c>
    </row>
    <row r="1197" spans="1:10" ht="140.4" customHeight="1">
      <c r="A1197" s="93" t="s">
        <v>46</v>
      </c>
      <c r="B1197" s="93"/>
      <c r="C1197" s="93"/>
      <c r="D1197" s="93"/>
      <c r="E1197" s="93"/>
      <c r="F1197" s="93"/>
      <c r="G1197" s="93"/>
      <c r="J1197" s="25">
        <f t="shared" si="72"/>
        <v>38</v>
      </c>
    </row>
    <row r="1198" spans="1:10" ht="37.200000000000003" customHeight="1">
      <c r="A1198" s="103" t="s">
        <v>0</v>
      </c>
      <c r="B1198" s="103"/>
      <c r="C1198" s="103"/>
      <c r="D1198" s="103"/>
      <c r="E1198" s="103"/>
      <c r="F1198" s="103"/>
      <c r="G1198" s="103"/>
      <c r="J1198" s="25">
        <f t="shared" si="72"/>
        <v>39</v>
      </c>
    </row>
    <row r="1199" spans="1:10" ht="16.95" customHeight="1">
      <c r="A1199" s="1" t="s">
        <v>1</v>
      </c>
      <c r="B1199" s="104">
        <f>B1136+1</f>
        <v>21</v>
      </c>
      <c r="C1199" s="104"/>
      <c r="D1199" s="104"/>
      <c r="E1199" s="104"/>
      <c r="F1199" s="104"/>
      <c r="G1199" s="104"/>
      <c r="J1199" s="25">
        <f t="shared" si="72"/>
        <v>39</v>
      </c>
    </row>
    <row r="1200" spans="1:10" ht="16.95" customHeight="1">
      <c r="A1200" s="1" t="s">
        <v>2</v>
      </c>
      <c r="B1200" s="105" t="s">
        <v>63</v>
      </c>
      <c r="C1200" s="105"/>
      <c r="D1200" s="105"/>
      <c r="E1200" s="106">
        <f>E1137+1</f>
        <v>46223</v>
      </c>
      <c r="F1200" s="106"/>
      <c r="G1200" s="106"/>
      <c r="J1200" s="25">
        <f t="shared" si="72"/>
        <v>39</v>
      </c>
    </row>
    <row r="1201" spans="1:10" ht="16.95" customHeight="1">
      <c r="A1201" s="53" t="s">
        <v>3</v>
      </c>
      <c r="B1201" s="2" t="s">
        <v>67</v>
      </c>
      <c r="C1201" s="98" t="s">
        <v>4</v>
      </c>
      <c r="D1201" s="98"/>
      <c r="E1201" s="98" t="s">
        <v>47</v>
      </c>
      <c r="F1201" s="98"/>
      <c r="G1201" s="98"/>
      <c r="J1201" s="25">
        <f t="shared" si="72"/>
        <v>39</v>
      </c>
    </row>
    <row r="1202" spans="1:10" ht="16.95" customHeight="1">
      <c r="A1202" s="53" t="s">
        <v>5</v>
      </c>
      <c r="B1202" s="54">
        <v>120</v>
      </c>
      <c r="C1202" s="98" t="s">
        <v>6</v>
      </c>
      <c r="D1202" s="98"/>
      <c r="E1202" s="98" t="s">
        <v>123</v>
      </c>
      <c r="F1202" s="98"/>
      <c r="G1202" s="98"/>
      <c r="J1202" s="25">
        <f t="shared" si="72"/>
        <v>39</v>
      </c>
    </row>
    <row r="1203" spans="1:10" ht="16.95" customHeight="1">
      <c r="A1203" s="53" t="s">
        <v>7</v>
      </c>
      <c r="B1203" s="54">
        <f>B1199</f>
        <v>21</v>
      </c>
      <c r="C1203" s="100" t="s">
        <v>8</v>
      </c>
      <c r="D1203" s="100"/>
      <c r="E1203" s="101">
        <f>B1202-B1203</f>
        <v>99</v>
      </c>
      <c r="F1203" s="101"/>
      <c r="G1203" s="101"/>
      <c r="J1203" s="25">
        <f t="shared" si="72"/>
        <v>39</v>
      </c>
    </row>
    <row r="1204" spans="1:10" ht="16.95" customHeight="1">
      <c r="A1204" s="53" t="s">
        <v>9</v>
      </c>
      <c r="B1204" s="55">
        <v>46204</v>
      </c>
      <c r="C1204" s="98" t="s">
        <v>10</v>
      </c>
      <c r="D1204" s="98"/>
      <c r="E1204" s="102">
        <f>B1204+B1202-1</f>
        <v>46323</v>
      </c>
      <c r="F1204" s="102"/>
      <c r="G1204" s="102"/>
      <c r="J1204" s="25">
        <f t="shared" si="72"/>
        <v>39</v>
      </c>
    </row>
    <row r="1205" spans="1:10" ht="16.95" customHeight="1">
      <c r="A1205" s="53" t="s">
        <v>11</v>
      </c>
      <c r="B1205" s="56" t="e">
        <f>HLOOKUP(B1199,進度表!$Q$2:$Z$3,2,1)+B1142</f>
        <v>#REF!</v>
      </c>
      <c r="C1205" s="98" t="s">
        <v>12</v>
      </c>
      <c r="D1205" s="98"/>
      <c r="E1205" s="99" t="e">
        <f>I1243/I1205+E1142</f>
        <v>#REF!</v>
      </c>
      <c r="F1205" s="99"/>
      <c r="G1205" s="99"/>
      <c r="H1205" s="3" t="s">
        <v>62</v>
      </c>
      <c r="I1205" s="1">
        <v>2456000</v>
      </c>
      <c r="J1205" s="25">
        <f t="shared" si="72"/>
        <v>39</v>
      </c>
    </row>
    <row r="1206" spans="1:10" ht="16.95" customHeight="1">
      <c r="A1206" s="98" t="s">
        <v>13</v>
      </c>
      <c r="B1206" s="98"/>
      <c r="C1206" s="98"/>
      <c r="D1206" s="98"/>
      <c r="E1206" s="98"/>
      <c r="F1206" s="98"/>
      <c r="G1206" s="98"/>
      <c r="J1206" s="25">
        <f t="shared" si="72"/>
        <v>39</v>
      </c>
    </row>
    <row r="1207" spans="1:10" ht="16.95" customHeight="1">
      <c r="A1207" s="52" t="s">
        <v>14</v>
      </c>
      <c r="B1207" s="52" t="s">
        <v>15</v>
      </c>
      <c r="C1207" s="52" t="s">
        <v>16</v>
      </c>
      <c r="D1207" s="52" t="s">
        <v>17</v>
      </c>
      <c r="E1207" s="52" t="s">
        <v>18</v>
      </c>
      <c r="F1207" s="52" t="s">
        <v>19</v>
      </c>
      <c r="G1207" s="52" t="s">
        <v>20</v>
      </c>
      <c r="H1207" s="3" t="s">
        <v>21</v>
      </c>
      <c r="I1207" s="3" t="s">
        <v>22</v>
      </c>
      <c r="J1207" s="25">
        <f t="shared" si="72"/>
        <v>39</v>
      </c>
    </row>
    <row r="1208" spans="1:10" ht="16.95" customHeight="1">
      <c r="A1208" s="75" t="s">
        <v>65</v>
      </c>
      <c r="B1208" s="76" t="s">
        <v>69</v>
      </c>
      <c r="C1208" s="77"/>
      <c r="D1208" s="78"/>
      <c r="E1208" s="79"/>
      <c r="F1208" s="79"/>
      <c r="G1208" s="2"/>
      <c r="H1208" s="37"/>
      <c r="I1208" s="4"/>
      <c r="J1208" s="25">
        <f t="shared" si="72"/>
        <v>39</v>
      </c>
    </row>
    <row r="1209" spans="1:10" ht="34.950000000000003" customHeight="1">
      <c r="A1209" s="75">
        <v>1</v>
      </c>
      <c r="B1209" s="80" t="s">
        <v>91</v>
      </c>
      <c r="C1209" s="77" t="s">
        <v>48</v>
      </c>
      <c r="D1209" s="78">
        <v>1</v>
      </c>
      <c r="E1209" s="79"/>
      <c r="F1209" s="79" t="e">
        <f t="shared" ref="F1209:F1242" si="75">E1209+F1146</f>
        <v>#REF!</v>
      </c>
      <c r="G1209" s="2"/>
      <c r="H1209" s="37">
        <v>10508</v>
      </c>
      <c r="I1209" s="4">
        <f>H1209*E1209</f>
        <v>0</v>
      </c>
      <c r="J1209" s="25">
        <f t="shared" si="72"/>
        <v>39</v>
      </c>
    </row>
    <row r="1210" spans="1:10" ht="34.799999999999997" customHeight="1">
      <c r="A1210" s="75">
        <v>2</v>
      </c>
      <c r="B1210" s="80" t="s">
        <v>92</v>
      </c>
      <c r="C1210" s="77" t="s">
        <v>48</v>
      </c>
      <c r="D1210" s="78">
        <v>1</v>
      </c>
      <c r="E1210" s="79"/>
      <c r="F1210" s="79" t="e">
        <f t="shared" si="75"/>
        <v>#REF!</v>
      </c>
      <c r="G1210" s="2"/>
      <c r="H1210" s="37">
        <v>13223</v>
      </c>
      <c r="I1210" s="4">
        <f>H1210*E1210</f>
        <v>0</v>
      </c>
      <c r="J1210" s="25">
        <f t="shared" si="72"/>
        <v>39</v>
      </c>
    </row>
    <row r="1211" spans="1:10" ht="53.4" customHeight="1">
      <c r="A1211" s="75">
        <v>3</v>
      </c>
      <c r="B1211" s="80" t="s">
        <v>93</v>
      </c>
      <c r="C1211" s="77" t="s">
        <v>48</v>
      </c>
      <c r="D1211" s="78">
        <v>1</v>
      </c>
      <c r="E1211" s="79"/>
      <c r="F1211" s="79" t="e">
        <f t="shared" si="75"/>
        <v>#REF!</v>
      </c>
      <c r="G1211" s="2"/>
      <c r="H1211" s="37">
        <v>310497</v>
      </c>
      <c r="I1211" s="4">
        <f t="shared" ref="I1211:I1242" si="76">H1211*E1211</f>
        <v>0</v>
      </c>
      <c r="J1211" s="25">
        <f t="shared" ref="J1211:J1274" si="77">J1148+2</f>
        <v>39</v>
      </c>
    </row>
    <row r="1212" spans="1:10" ht="16.95" customHeight="1">
      <c r="A1212" s="75">
        <v>4</v>
      </c>
      <c r="B1212" s="80" t="s">
        <v>94</v>
      </c>
      <c r="C1212" s="77" t="s">
        <v>48</v>
      </c>
      <c r="D1212" s="78">
        <v>1</v>
      </c>
      <c r="E1212" s="79"/>
      <c r="F1212" s="79" t="e">
        <f t="shared" si="75"/>
        <v>#REF!</v>
      </c>
      <c r="G1212" s="2"/>
      <c r="H1212" s="37">
        <v>8375</v>
      </c>
      <c r="I1212" s="4">
        <f t="shared" si="76"/>
        <v>0</v>
      </c>
      <c r="J1212" s="25">
        <f t="shared" si="77"/>
        <v>39</v>
      </c>
    </row>
    <row r="1213" spans="1:10" ht="16.95" customHeight="1">
      <c r="A1213" s="75">
        <v>5</v>
      </c>
      <c r="B1213" s="80" t="s">
        <v>95</v>
      </c>
      <c r="C1213" s="77" t="s">
        <v>48</v>
      </c>
      <c r="D1213" s="78">
        <v>1</v>
      </c>
      <c r="E1213" s="79"/>
      <c r="F1213" s="79" t="e">
        <f t="shared" si="75"/>
        <v>#REF!</v>
      </c>
      <c r="G1213" s="2"/>
      <c r="H1213" s="37">
        <v>51618</v>
      </c>
      <c r="I1213" s="4">
        <f t="shared" si="76"/>
        <v>0</v>
      </c>
      <c r="J1213" s="25">
        <f t="shared" si="77"/>
        <v>39</v>
      </c>
    </row>
    <row r="1214" spans="1:10" ht="16.95" customHeight="1">
      <c r="A1214" s="75">
        <v>6</v>
      </c>
      <c r="B1214" s="80" t="s">
        <v>96</v>
      </c>
      <c r="C1214" s="77" t="s">
        <v>50</v>
      </c>
      <c r="D1214" s="78">
        <v>11.55</v>
      </c>
      <c r="E1214" s="79"/>
      <c r="F1214" s="79" t="e">
        <f t="shared" si="75"/>
        <v>#REF!</v>
      </c>
      <c r="G1214" s="2"/>
      <c r="H1214" s="37">
        <v>1188</v>
      </c>
      <c r="I1214" s="4">
        <f t="shared" si="76"/>
        <v>0</v>
      </c>
      <c r="J1214" s="25">
        <f t="shared" si="77"/>
        <v>39</v>
      </c>
    </row>
    <row r="1215" spans="1:10" ht="34.950000000000003" customHeight="1">
      <c r="A1215" s="75">
        <v>7</v>
      </c>
      <c r="B1215" s="80" t="s">
        <v>97</v>
      </c>
      <c r="C1215" s="77" t="s">
        <v>48</v>
      </c>
      <c r="D1215" s="78">
        <v>1</v>
      </c>
      <c r="E1215" s="79"/>
      <c r="F1215" s="79" t="e">
        <f t="shared" si="75"/>
        <v>#REF!</v>
      </c>
      <c r="G1215" s="2"/>
      <c r="H1215" s="37">
        <v>21157</v>
      </c>
      <c r="I1215" s="4">
        <f t="shared" si="76"/>
        <v>0</v>
      </c>
      <c r="J1215" s="25">
        <f t="shared" si="77"/>
        <v>39</v>
      </c>
    </row>
    <row r="1216" spans="1:10" ht="16.95" customHeight="1">
      <c r="A1216" s="75">
        <v>8</v>
      </c>
      <c r="B1216" s="80" t="s">
        <v>98</v>
      </c>
      <c r="C1216" s="77" t="s">
        <v>50</v>
      </c>
      <c r="D1216" s="78">
        <v>387</v>
      </c>
      <c r="E1216" s="79"/>
      <c r="F1216" s="79" t="e">
        <f t="shared" si="75"/>
        <v>#REF!</v>
      </c>
      <c r="G1216" s="2"/>
      <c r="H1216" s="37">
        <v>705</v>
      </c>
      <c r="I1216" s="4">
        <f t="shared" si="76"/>
        <v>0</v>
      </c>
      <c r="J1216" s="25">
        <f t="shared" si="77"/>
        <v>39</v>
      </c>
    </row>
    <row r="1217" spans="1:10" ht="16.95" customHeight="1">
      <c r="A1217" s="75">
        <v>9</v>
      </c>
      <c r="B1217" s="80" t="s">
        <v>99</v>
      </c>
      <c r="C1217" s="77" t="s">
        <v>50</v>
      </c>
      <c r="D1217" s="78">
        <v>170</v>
      </c>
      <c r="E1217" s="79"/>
      <c r="F1217" s="79" t="e">
        <f t="shared" si="75"/>
        <v>#REF!</v>
      </c>
      <c r="G1217" s="2"/>
      <c r="H1217" s="37">
        <v>617</v>
      </c>
      <c r="I1217" s="4">
        <f t="shared" si="76"/>
        <v>0</v>
      </c>
      <c r="J1217" s="25">
        <f t="shared" si="77"/>
        <v>39</v>
      </c>
    </row>
    <row r="1218" spans="1:10" ht="16.95" customHeight="1">
      <c r="A1218" s="75">
        <v>10</v>
      </c>
      <c r="B1218" s="80" t="s">
        <v>100</v>
      </c>
      <c r="C1218" s="77" t="s">
        <v>66</v>
      </c>
      <c r="D1218" s="78">
        <v>15</v>
      </c>
      <c r="E1218" s="79"/>
      <c r="F1218" s="79" t="e">
        <f t="shared" si="75"/>
        <v>#REF!</v>
      </c>
      <c r="G1218" s="2"/>
      <c r="H1218" s="37">
        <v>617</v>
      </c>
      <c r="I1218" s="4">
        <f t="shared" si="76"/>
        <v>0</v>
      </c>
      <c r="J1218" s="25">
        <f t="shared" si="77"/>
        <v>39</v>
      </c>
    </row>
    <row r="1219" spans="1:10" ht="16.95" customHeight="1">
      <c r="A1219" s="75">
        <v>11</v>
      </c>
      <c r="B1219" s="80" t="s">
        <v>101</v>
      </c>
      <c r="C1219" s="77" t="s">
        <v>50</v>
      </c>
      <c r="D1219" s="78">
        <v>75</v>
      </c>
      <c r="E1219" s="79"/>
      <c r="F1219" s="79" t="e">
        <f t="shared" si="75"/>
        <v>#REF!</v>
      </c>
      <c r="G1219" s="2"/>
      <c r="H1219" s="37">
        <v>1146</v>
      </c>
      <c r="I1219" s="4">
        <f t="shared" si="76"/>
        <v>0</v>
      </c>
      <c r="J1219" s="25">
        <f t="shared" si="77"/>
        <v>39</v>
      </c>
    </row>
    <row r="1220" spans="1:10" ht="16.95" customHeight="1">
      <c r="A1220" s="75">
        <v>12</v>
      </c>
      <c r="B1220" s="80" t="s">
        <v>102</v>
      </c>
      <c r="C1220" s="77" t="s">
        <v>50</v>
      </c>
      <c r="D1220" s="78">
        <v>5</v>
      </c>
      <c r="E1220" s="79"/>
      <c r="F1220" s="79" t="e">
        <f t="shared" si="75"/>
        <v>#REF!</v>
      </c>
      <c r="G1220" s="2"/>
      <c r="H1220" s="37">
        <v>1455</v>
      </c>
      <c r="I1220" s="4">
        <f t="shared" si="76"/>
        <v>0</v>
      </c>
      <c r="J1220" s="25">
        <f t="shared" si="77"/>
        <v>39</v>
      </c>
    </row>
    <row r="1221" spans="1:10" ht="16.95" customHeight="1">
      <c r="A1221" s="75">
        <v>13</v>
      </c>
      <c r="B1221" s="80" t="s">
        <v>103</v>
      </c>
      <c r="C1221" s="77" t="s">
        <v>50</v>
      </c>
      <c r="D1221" s="78">
        <v>217</v>
      </c>
      <c r="E1221" s="79"/>
      <c r="F1221" s="79" t="e">
        <f t="shared" si="75"/>
        <v>#REF!</v>
      </c>
      <c r="G1221" s="2"/>
      <c r="H1221" s="37">
        <v>1410</v>
      </c>
      <c r="I1221" s="4">
        <f t="shared" si="76"/>
        <v>0</v>
      </c>
      <c r="J1221" s="25">
        <f t="shared" si="77"/>
        <v>39</v>
      </c>
    </row>
    <row r="1222" spans="1:10" ht="16.95" customHeight="1">
      <c r="A1222" s="75">
        <v>14</v>
      </c>
      <c r="B1222" s="80" t="s">
        <v>104</v>
      </c>
      <c r="C1222" s="77" t="s">
        <v>49</v>
      </c>
      <c r="D1222" s="78">
        <v>84</v>
      </c>
      <c r="E1222" s="79"/>
      <c r="F1222" s="79" t="e">
        <f t="shared" si="75"/>
        <v>#REF!</v>
      </c>
      <c r="G1222" s="2"/>
      <c r="H1222" s="37">
        <v>529</v>
      </c>
      <c r="I1222" s="4">
        <f t="shared" si="76"/>
        <v>0</v>
      </c>
      <c r="J1222" s="25">
        <f t="shared" si="77"/>
        <v>39</v>
      </c>
    </row>
    <row r="1223" spans="1:10" ht="16.95" customHeight="1">
      <c r="A1223" s="75">
        <v>15</v>
      </c>
      <c r="B1223" s="80" t="s">
        <v>105</v>
      </c>
      <c r="C1223" s="77" t="s">
        <v>50</v>
      </c>
      <c r="D1223" s="78">
        <v>1</v>
      </c>
      <c r="E1223" s="79"/>
      <c r="F1223" s="79" t="e">
        <f t="shared" si="75"/>
        <v>#REF!</v>
      </c>
      <c r="G1223" s="2"/>
      <c r="H1223" s="37">
        <v>1146</v>
      </c>
      <c r="I1223" s="4">
        <f t="shared" si="76"/>
        <v>0</v>
      </c>
      <c r="J1223" s="25">
        <f t="shared" si="77"/>
        <v>39</v>
      </c>
    </row>
    <row r="1224" spans="1:10" ht="34.799999999999997" customHeight="1">
      <c r="A1224" s="75">
        <v>16</v>
      </c>
      <c r="B1224" s="80" t="s">
        <v>106</v>
      </c>
      <c r="C1224" s="77" t="s">
        <v>50</v>
      </c>
      <c r="D1224" s="78">
        <v>314</v>
      </c>
      <c r="E1224" s="79"/>
      <c r="F1224" s="79" t="e">
        <f t="shared" si="75"/>
        <v>#REF!</v>
      </c>
      <c r="G1224" s="2"/>
      <c r="H1224" s="37">
        <v>185</v>
      </c>
      <c r="I1224" s="4">
        <f t="shared" si="76"/>
        <v>0</v>
      </c>
      <c r="J1224" s="25">
        <f t="shared" si="77"/>
        <v>39</v>
      </c>
    </row>
    <row r="1225" spans="1:10" ht="16.95" customHeight="1">
      <c r="A1225" s="75">
        <v>17</v>
      </c>
      <c r="B1225" s="80" t="s">
        <v>107</v>
      </c>
      <c r="C1225" s="77" t="s">
        <v>48</v>
      </c>
      <c r="D1225" s="78">
        <v>1</v>
      </c>
      <c r="E1225" s="79"/>
      <c r="F1225" s="79" t="e">
        <f t="shared" si="75"/>
        <v>#REF!</v>
      </c>
      <c r="G1225" s="2"/>
      <c r="H1225" s="37">
        <v>89918</v>
      </c>
      <c r="I1225" s="4">
        <f t="shared" si="76"/>
        <v>0</v>
      </c>
      <c r="J1225" s="25">
        <f t="shared" si="77"/>
        <v>39</v>
      </c>
    </row>
    <row r="1226" spans="1:10" ht="16.95" customHeight="1">
      <c r="A1226" s="75">
        <v>18</v>
      </c>
      <c r="B1226" s="80" t="s">
        <v>108</v>
      </c>
      <c r="C1226" s="77" t="s">
        <v>120</v>
      </c>
      <c r="D1226" s="78">
        <v>15</v>
      </c>
      <c r="E1226" s="79"/>
      <c r="F1226" s="79" t="e">
        <f t="shared" si="75"/>
        <v>#REF!</v>
      </c>
      <c r="G1226" s="2"/>
      <c r="H1226" s="37">
        <v>661</v>
      </c>
      <c r="I1226" s="4">
        <f t="shared" si="76"/>
        <v>0</v>
      </c>
      <c r="J1226" s="25">
        <f t="shared" si="77"/>
        <v>39</v>
      </c>
    </row>
    <row r="1227" spans="1:10" ht="16.95" customHeight="1">
      <c r="A1227" s="75">
        <v>19</v>
      </c>
      <c r="B1227" s="80" t="s">
        <v>109</v>
      </c>
      <c r="C1227" s="77" t="s">
        <v>50</v>
      </c>
      <c r="D1227" s="78">
        <v>82</v>
      </c>
      <c r="E1227" s="79"/>
      <c r="F1227" s="79" t="e">
        <f t="shared" si="75"/>
        <v>#REF!</v>
      </c>
      <c r="G1227" s="2"/>
      <c r="H1227" s="37">
        <v>2909</v>
      </c>
      <c r="I1227" s="4">
        <f t="shared" si="76"/>
        <v>0</v>
      </c>
      <c r="J1227" s="25">
        <f t="shared" si="77"/>
        <v>39</v>
      </c>
    </row>
    <row r="1228" spans="1:10" ht="16.95" customHeight="1">
      <c r="A1228" s="75">
        <v>20</v>
      </c>
      <c r="B1228" s="80" t="s">
        <v>110</v>
      </c>
      <c r="C1228" s="77" t="s">
        <v>121</v>
      </c>
      <c r="D1228" s="78">
        <v>12</v>
      </c>
      <c r="E1228" s="79"/>
      <c r="F1228" s="79" t="e">
        <f t="shared" si="75"/>
        <v>#REF!</v>
      </c>
      <c r="G1228" s="2"/>
      <c r="H1228" s="37">
        <v>882</v>
      </c>
      <c r="I1228" s="4">
        <f t="shared" si="76"/>
        <v>0</v>
      </c>
      <c r="J1228" s="25">
        <f t="shared" si="77"/>
        <v>39</v>
      </c>
    </row>
    <row r="1229" spans="1:10" ht="16.95" customHeight="1">
      <c r="A1229" s="77">
        <v>21</v>
      </c>
      <c r="B1229" s="80" t="s">
        <v>111</v>
      </c>
      <c r="C1229" s="77" t="s">
        <v>122</v>
      </c>
      <c r="D1229" s="78">
        <v>3</v>
      </c>
      <c r="E1229" s="79"/>
      <c r="F1229" s="79" t="e">
        <f t="shared" si="75"/>
        <v>#REF!</v>
      </c>
      <c r="G1229" s="2"/>
      <c r="H1229" s="38">
        <v>1869</v>
      </c>
      <c r="I1229" s="4">
        <f t="shared" si="76"/>
        <v>0</v>
      </c>
      <c r="J1229" s="25">
        <f t="shared" si="77"/>
        <v>39</v>
      </c>
    </row>
    <row r="1230" spans="1:10" ht="34.950000000000003" customHeight="1">
      <c r="A1230" s="75">
        <v>22</v>
      </c>
      <c r="B1230" s="80" t="s">
        <v>112</v>
      </c>
      <c r="C1230" s="77" t="s">
        <v>48</v>
      </c>
      <c r="D1230" s="78">
        <v>1</v>
      </c>
      <c r="E1230" s="79"/>
      <c r="F1230" s="79" t="e">
        <f t="shared" si="75"/>
        <v>#REF!</v>
      </c>
      <c r="G1230" s="2"/>
      <c r="H1230" s="37">
        <v>82206</v>
      </c>
      <c r="I1230" s="4">
        <f t="shared" si="76"/>
        <v>0</v>
      </c>
      <c r="J1230" s="25">
        <f t="shared" si="77"/>
        <v>39</v>
      </c>
    </row>
    <row r="1231" spans="1:10" ht="16.95" customHeight="1">
      <c r="A1231" s="75">
        <v>23</v>
      </c>
      <c r="B1231" s="80" t="s">
        <v>113</v>
      </c>
      <c r="C1231" s="77" t="s">
        <v>48</v>
      </c>
      <c r="D1231" s="78">
        <v>1</v>
      </c>
      <c r="E1231" s="79"/>
      <c r="F1231" s="79" t="e">
        <f t="shared" si="75"/>
        <v>#REF!</v>
      </c>
      <c r="G1231" s="2"/>
      <c r="H1231" s="37">
        <v>142723</v>
      </c>
      <c r="I1231" s="4">
        <f t="shared" si="76"/>
        <v>0</v>
      </c>
      <c r="J1231" s="25">
        <f t="shared" si="77"/>
        <v>39</v>
      </c>
    </row>
    <row r="1232" spans="1:10" ht="16.95" customHeight="1">
      <c r="A1232" s="75">
        <v>24</v>
      </c>
      <c r="B1232" s="80" t="s">
        <v>114</v>
      </c>
      <c r="C1232" s="77" t="s">
        <v>48</v>
      </c>
      <c r="D1232" s="78">
        <v>1</v>
      </c>
      <c r="E1232" s="79"/>
      <c r="F1232" s="79" t="e">
        <f t="shared" si="75"/>
        <v>#REF!</v>
      </c>
      <c r="G1232" s="2"/>
      <c r="H1232" s="37">
        <v>37290</v>
      </c>
      <c r="I1232" s="4">
        <f t="shared" si="76"/>
        <v>0</v>
      </c>
      <c r="J1232" s="25">
        <f t="shared" si="77"/>
        <v>39</v>
      </c>
    </row>
    <row r="1233" spans="1:10" ht="16.95" customHeight="1">
      <c r="A1233" s="75">
        <v>25</v>
      </c>
      <c r="B1233" s="80" t="s">
        <v>115</v>
      </c>
      <c r="C1233" s="77" t="s">
        <v>48</v>
      </c>
      <c r="D1233" s="78">
        <v>1</v>
      </c>
      <c r="E1233" s="79"/>
      <c r="F1233" s="79" t="e">
        <f t="shared" si="75"/>
        <v>#REF!</v>
      </c>
      <c r="G1233" s="2"/>
      <c r="H1233" s="37">
        <v>99394</v>
      </c>
      <c r="I1233" s="4">
        <f t="shared" si="76"/>
        <v>0</v>
      </c>
      <c r="J1233" s="25">
        <f t="shared" si="77"/>
        <v>39</v>
      </c>
    </row>
    <row r="1234" spans="1:10" ht="34.950000000000003" customHeight="1">
      <c r="A1234" s="75">
        <v>26</v>
      </c>
      <c r="B1234" s="80" t="s">
        <v>116</v>
      </c>
      <c r="C1234" s="77" t="s">
        <v>48</v>
      </c>
      <c r="D1234" s="78">
        <v>1</v>
      </c>
      <c r="E1234" s="79"/>
      <c r="F1234" s="79" t="e">
        <f t="shared" si="75"/>
        <v>#REF!</v>
      </c>
      <c r="G1234" s="2"/>
      <c r="H1234" s="37">
        <v>21334</v>
      </c>
      <c r="I1234" s="4">
        <f t="shared" si="76"/>
        <v>0</v>
      </c>
      <c r="J1234" s="25">
        <f t="shared" si="77"/>
        <v>39</v>
      </c>
    </row>
    <row r="1235" spans="1:10" ht="16.95" customHeight="1">
      <c r="A1235" s="75">
        <v>27</v>
      </c>
      <c r="B1235" s="80" t="s">
        <v>117</v>
      </c>
      <c r="C1235" s="77" t="s">
        <v>48</v>
      </c>
      <c r="D1235" s="78">
        <v>1</v>
      </c>
      <c r="E1235" s="79"/>
      <c r="F1235" s="79" t="e">
        <f t="shared" si="75"/>
        <v>#REF!</v>
      </c>
      <c r="G1235" s="2"/>
      <c r="H1235" s="37">
        <v>29620</v>
      </c>
      <c r="I1235" s="4">
        <f t="shared" si="76"/>
        <v>0</v>
      </c>
      <c r="J1235" s="25">
        <f t="shared" si="77"/>
        <v>39</v>
      </c>
    </row>
    <row r="1236" spans="1:10" ht="16.95" customHeight="1">
      <c r="A1236" s="75">
        <v>28</v>
      </c>
      <c r="B1236" s="80" t="s">
        <v>118</v>
      </c>
      <c r="C1236" s="77" t="s">
        <v>48</v>
      </c>
      <c r="D1236" s="78">
        <v>1</v>
      </c>
      <c r="E1236" s="79"/>
      <c r="F1236" s="79" t="e">
        <f t="shared" si="75"/>
        <v>#REF!</v>
      </c>
      <c r="G1236" s="2"/>
      <c r="H1236" s="37">
        <v>18506</v>
      </c>
      <c r="I1236" s="4">
        <f t="shared" si="76"/>
        <v>0</v>
      </c>
      <c r="J1236" s="25">
        <f t="shared" si="77"/>
        <v>39</v>
      </c>
    </row>
    <row r="1237" spans="1:10" ht="16.95" customHeight="1">
      <c r="A1237" s="75">
        <v>29</v>
      </c>
      <c r="B1237" s="80" t="s">
        <v>119</v>
      </c>
      <c r="C1237" s="77" t="s">
        <v>48</v>
      </c>
      <c r="D1237" s="78">
        <v>1</v>
      </c>
      <c r="E1237" s="79"/>
      <c r="F1237" s="79" t="e">
        <f t="shared" si="75"/>
        <v>#REF!</v>
      </c>
      <c r="G1237" s="2"/>
      <c r="H1237" s="37">
        <v>34381</v>
      </c>
      <c r="I1237" s="4">
        <f t="shared" si="76"/>
        <v>0</v>
      </c>
      <c r="J1237" s="25">
        <f t="shared" si="77"/>
        <v>39</v>
      </c>
    </row>
    <row r="1238" spans="1:10" ht="16.95" customHeight="1">
      <c r="A1238" s="75" t="s">
        <v>79</v>
      </c>
      <c r="B1238" s="80" t="s">
        <v>80</v>
      </c>
      <c r="C1238" s="77" t="s">
        <v>48</v>
      </c>
      <c r="D1238" s="78">
        <v>1</v>
      </c>
      <c r="E1238" s="79">
        <f t="shared" ref="E1238:E1241" si="78">1/120</f>
        <v>8.3333333333333332E-3</v>
      </c>
      <c r="F1238" s="79" t="e">
        <f t="shared" si="75"/>
        <v>#REF!</v>
      </c>
      <c r="G1238" s="2"/>
      <c r="H1238" s="37">
        <v>21395</v>
      </c>
      <c r="I1238" s="4">
        <f t="shared" si="76"/>
        <v>178.29166666666666</v>
      </c>
      <c r="J1238" s="25">
        <f t="shared" si="77"/>
        <v>39</v>
      </c>
    </row>
    <row r="1239" spans="1:10" ht="16.95" customHeight="1">
      <c r="A1239" s="75" t="s">
        <v>81</v>
      </c>
      <c r="B1239" s="80" t="s">
        <v>82</v>
      </c>
      <c r="C1239" s="77" t="s">
        <v>48</v>
      </c>
      <c r="D1239" s="78">
        <v>1</v>
      </c>
      <c r="E1239" s="79">
        <f t="shared" si="78"/>
        <v>8.3333333333333332E-3</v>
      </c>
      <c r="F1239" s="79" t="e">
        <f t="shared" si="75"/>
        <v>#REF!</v>
      </c>
      <c r="G1239" s="2"/>
      <c r="H1239" s="37">
        <v>21395</v>
      </c>
      <c r="I1239" s="4">
        <f t="shared" si="76"/>
        <v>178.29166666666666</v>
      </c>
      <c r="J1239" s="25">
        <f t="shared" si="77"/>
        <v>39</v>
      </c>
    </row>
    <row r="1240" spans="1:10" ht="16.95" customHeight="1">
      <c r="A1240" s="75" t="s">
        <v>83</v>
      </c>
      <c r="B1240" s="80" t="s">
        <v>84</v>
      </c>
      <c r="C1240" s="77" t="s">
        <v>48</v>
      </c>
      <c r="D1240" s="78">
        <v>1</v>
      </c>
      <c r="E1240" s="79">
        <f t="shared" si="78"/>
        <v>8.3333333333333332E-3</v>
      </c>
      <c r="F1240" s="79" t="e">
        <f t="shared" si="75"/>
        <v>#REF!</v>
      </c>
      <c r="G1240" s="2"/>
      <c r="H1240" s="37">
        <v>149765</v>
      </c>
      <c r="I1240" s="4">
        <f t="shared" si="76"/>
        <v>1248.0416666666667</v>
      </c>
      <c r="J1240" s="25">
        <f t="shared" si="77"/>
        <v>39</v>
      </c>
    </row>
    <row r="1241" spans="1:10" ht="16.95" customHeight="1">
      <c r="A1241" s="75" t="s">
        <v>85</v>
      </c>
      <c r="B1241" s="80" t="s">
        <v>86</v>
      </c>
      <c r="C1241" s="77" t="s">
        <v>48</v>
      </c>
      <c r="D1241" s="78">
        <v>1</v>
      </c>
      <c r="E1241" s="79">
        <f t="shared" si="78"/>
        <v>8.3333333333333332E-3</v>
      </c>
      <c r="F1241" s="79" t="e">
        <f t="shared" si="75"/>
        <v>#REF!</v>
      </c>
      <c r="G1241" s="2"/>
      <c r="H1241" s="37">
        <v>6996</v>
      </c>
      <c r="I1241" s="4">
        <f t="shared" si="76"/>
        <v>58.3</v>
      </c>
      <c r="J1241" s="25">
        <f t="shared" si="77"/>
        <v>39</v>
      </c>
    </row>
    <row r="1242" spans="1:10" ht="16.95" customHeight="1">
      <c r="A1242" s="75" t="s">
        <v>87</v>
      </c>
      <c r="B1242" s="80" t="s">
        <v>88</v>
      </c>
      <c r="C1242" s="77" t="s">
        <v>48</v>
      </c>
      <c r="D1242" s="78">
        <v>1</v>
      </c>
      <c r="E1242" s="79">
        <f>1/120</f>
        <v>8.3333333333333332E-3</v>
      </c>
      <c r="F1242" s="79" t="e">
        <f t="shared" si="75"/>
        <v>#REF!</v>
      </c>
      <c r="G1242" s="2"/>
      <c r="H1242" s="37">
        <v>116952</v>
      </c>
      <c r="I1242" s="4">
        <f t="shared" si="76"/>
        <v>974.6</v>
      </c>
      <c r="J1242" s="25">
        <f t="shared" si="77"/>
        <v>39</v>
      </c>
    </row>
    <row r="1243" spans="1:10" ht="16.95" customHeight="1">
      <c r="A1243" s="95" t="s">
        <v>23</v>
      </c>
      <c r="B1243" s="95"/>
      <c r="C1243" s="50"/>
      <c r="D1243" s="50"/>
      <c r="E1243" s="50"/>
      <c r="F1243" s="50"/>
      <c r="G1243" s="50"/>
      <c r="H1243" s="3" t="s">
        <v>24</v>
      </c>
      <c r="I1243" s="5">
        <f>SUM(I1208:I1242)</f>
        <v>2637.5250000000001</v>
      </c>
      <c r="J1243" s="25">
        <f t="shared" si="77"/>
        <v>39</v>
      </c>
    </row>
    <row r="1244" spans="1:10" ht="16.95" customHeight="1">
      <c r="A1244" s="96" t="s">
        <v>25</v>
      </c>
      <c r="B1244" s="96"/>
      <c r="C1244" s="50"/>
      <c r="D1244" s="50"/>
      <c r="E1244" s="50"/>
      <c r="F1244" s="50"/>
      <c r="G1244" s="50"/>
      <c r="J1244" s="25">
        <f t="shared" si="77"/>
        <v>39</v>
      </c>
    </row>
    <row r="1245" spans="1:10" ht="16.95" customHeight="1">
      <c r="A1245" s="96" t="s">
        <v>26</v>
      </c>
      <c r="B1245" s="96"/>
      <c r="C1245" s="50"/>
      <c r="D1245" s="50"/>
      <c r="E1245" s="50"/>
      <c r="F1245" s="50"/>
      <c r="G1245" s="50"/>
      <c r="J1245" s="25">
        <f t="shared" si="77"/>
        <v>39</v>
      </c>
    </row>
    <row r="1246" spans="1:10" ht="16.95" customHeight="1">
      <c r="A1246" s="95" t="s">
        <v>27</v>
      </c>
      <c r="B1246" s="95"/>
      <c r="C1246" s="95"/>
      <c r="D1246" s="95"/>
      <c r="E1246" s="95"/>
      <c r="F1246" s="95"/>
      <c r="G1246" s="95"/>
      <c r="J1246" s="25">
        <f t="shared" si="77"/>
        <v>39</v>
      </c>
    </row>
    <row r="1247" spans="1:10" ht="16.95" customHeight="1">
      <c r="A1247" s="94" t="s">
        <v>28</v>
      </c>
      <c r="B1247" s="94"/>
      <c r="C1247" s="51" t="s">
        <v>29</v>
      </c>
      <c r="D1247" s="51" t="s">
        <v>30</v>
      </c>
      <c r="E1247" s="51" t="s">
        <v>18</v>
      </c>
      <c r="F1247" s="51" t="s">
        <v>31</v>
      </c>
      <c r="G1247" s="51" t="s">
        <v>20</v>
      </c>
      <c r="J1247" s="25">
        <f t="shared" si="77"/>
        <v>39</v>
      </c>
    </row>
    <row r="1248" spans="1:10" ht="16.95" customHeight="1">
      <c r="A1248" s="96"/>
      <c r="B1248" s="96"/>
      <c r="C1248" s="50"/>
      <c r="D1248" s="50"/>
      <c r="E1248" s="50"/>
      <c r="F1248" s="50"/>
      <c r="G1248" s="51"/>
      <c r="J1248" s="25">
        <f t="shared" si="77"/>
        <v>39</v>
      </c>
    </row>
    <row r="1249" spans="1:10" ht="16.95" customHeight="1">
      <c r="A1249" s="97"/>
      <c r="B1249" s="97"/>
      <c r="C1249" s="50"/>
      <c r="D1249" s="50"/>
      <c r="E1249" s="50"/>
      <c r="F1249" s="51"/>
      <c r="G1249" s="51"/>
      <c r="J1249" s="25">
        <f t="shared" si="77"/>
        <v>39</v>
      </c>
    </row>
    <row r="1250" spans="1:10" ht="16.95" customHeight="1">
      <c r="A1250" s="95" t="s">
        <v>32</v>
      </c>
      <c r="B1250" s="95"/>
      <c r="C1250" s="95"/>
      <c r="D1250" s="95"/>
      <c r="E1250" s="95"/>
      <c r="F1250" s="95"/>
      <c r="G1250" s="95"/>
      <c r="J1250" s="25">
        <f t="shared" si="77"/>
        <v>40</v>
      </c>
    </row>
    <row r="1251" spans="1:10" ht="16.95" customHeight="1">
      <c r="A1251" s="51" t="s">
        <v>33</v>
      </c>
      <c r="B1251" s="51" t="s">
        <v>34</v>
      </c>
      <c r="C1251" s="94" t="s">
        <v>35</v>
      </c>
      <c r="D1251" s="94"/>
      <c r="E1251" s="51" t="s">
        <v>36</v>
      </c>
      <c r="F1251" s="51" t="s">
        <v>37</v>
      </c>
      <c r="G1251" s="51" t="s">
        <v>38</v>
      </c>
      <c r="J1251" s="25">
        <f t="shared" si="77"/>
        <v>40</v>
      </c>
    </row>
    <row r="1252" spans="1:10" ht="16.95" customHeight="1">
      <c r="A1252" s="51" t="s">
        <v>39</v>
      </c>
      <c r="B1252" s="6"/>
      <c r="C1252" s="94" t="e">
        <f>B1252+C1189</f>
        <v>#REF!</v>
      </c>
      <c r="D1252" s="94"/>
      <c r="E1252" s="51"/>
      <c r="F1252" s="24"/>
      <c r="G1252" s="24"/>
      <c r="J1252" s="25">
        <f t="shared" si="77"/>
        <v>40</v>
      </c>
    </row>
    <row r="1253" spans="1:10" ht="16.95" customHeight="1">
      <c r="A1253" s="51" t="s">
        <v>40</v>
      </c>
      <c r="B1253" s="6"/>
      <c r="C1253" s="94" t="e">
        <f>B1253+C1190</f>
        <v>#REF!</v>
      </c>
      <c r="D1253" s="94"/>
      <c r="E1253" s="51"/>
      <c r="F1253" s="24"/>
      <c r="G1253" s="24"/>
      <c r="J1253" s="25">
        <f t="shared" si="77"/>
        <v>40</v>
      </c>
    </row>
    <row r="1254" spans="1:10" ht="36.6" customHeight="1">
      <c r="A1254" s="95" t="s">
        <v>41</v>
      </c>
      <c r="B1254" s="95"/>
      <c r="C1254" s="95"/>
      <c r="D1254" s="95"/>
      <c r="E1254" s="95"/>
      <c r="F1254" s="95"/>
      <c r="G1254" s="95"/>
      <c r="J1254" s="25">
        <f t="shared" si="77"/>
        <v>40</v>
      </c>
    </row>
    <row r="1255" spans="1:10" ht="90" customHeight="1">
      <c r="A1255" s="92" t="s">
        <v>42</v>
      </c>
      <c r="B1255" s="92"/>
      <c r="C1255" s="92"/>
      <c r="D1255" s="92"/>
      <c r="E1255" s="92"/>
      <c r="F1255" s="92"/>
      <c r="G1255" s="92"/>
      <c r="J1255" s="25">
        <f t="shared" si="77"/>
        <v>40</v>
      </c>
    </row>
    <row r="1256" spans="1:10" ht="16.95" customHeight="1">
      <c r="A1256" s="95" t="s">
        <v>43</v>
      </c>
      <c r="B1256" s="95"/>
      <c r="C1256" s="95"/>
      <c r="D1256" s="95"/>
      <c r="E1256" s="95"/>
      <c r="F1256" s="95"/>
      <c r="G1256" s="95"/>
      <c r="J1256" s="25">
        <f t="shared" si="77"/>
        <v>40</v>
      </c>
    </row>
    <row r="1257" spans="1:10" ht="16.95" customHeight="1">
      <c r="A1257" s="95" t="s">
        <v>44</v>
      </c>
      <c r="B1257" s="95"/>
      <c r="C1257" s="95"/>
      <c r="D1257" s="95"/>
      <c r="E1257" s="95"/>
      <c r="F1257" s="95"/>
      <c r="G1257" s="95"/>
      <c r="J1257" s="25">
        <f t="shared" si="77"/>
        <v>40</v>
      </c>
    </row>
    <row r="1258" spans="1:10" ht="16.95" customHeight="1">
      <c r="A1258" s="91" t="s">
        <v>64</v>
      </c>
      <c r="B1258" s="91"/>
      <c r="C1258" s="91"/>
      <c r="D1258" s="91"/>
      <c r="E1258" s="91"/>
      <c r="F1258" s="91"/>
      <c r="G1258" s="91"/>
      <c r="J1258" s="25">
        <f t="shared" si="77"/>
        <v>40</v>
      </c>
    </row>
    <row r="1259" spans="1:10" ht="120.6" customHeight="1">
      <c r="A1259" s="92" t="s">
        <v>45</v>
      </c>
      <c r="B1259" s="92"/>
      <c r="C1259" s="92"/>
      <c r="D1259" s="92"/>
      <c r="E1259" s="92"/>
      <c r="F1259" s="92"/>
      <c r="G1259" s="92"/>
      <c r="J1259" s="25">
        <f t="shared" si="77"/>
        <v>40</v>
      </c>
    </row>
    <row r="1260" spans="1:10" ht="140.4" customHeight="1">
      <c r="A1260" s="93" t="s">
        <v>46</v>
      </c>
      <c r="B1260" s="93"/>
      <c r="C1260" s="93"/>
      <c r="D1260" s="93"/>
      <c r="E1260" s="93"/>
      <c r="F1260" s="93"/>
      <c r="G1260" s="93"/>
      <c r="J1260" s="25">
        <f t="shared" si="77"/>
        <v>40</v>
      </c>
    </row>
    <row r="1261" spans="1:10" ht="37.200000000000003" customHeight="1">
      <c r="A1261" s="103" t="s">
        <v>0</v>
      </c>
      <c r="B1261" s="103"/>
      <c r="C1261" s="103"/>
      <c r="D1261" s="103"/>
      <c r="E1261" s="103"/>
      <c r="F1261" s="103"/>
      <c r="G1261" s="103"/>
      <c r="J1261" s="25">
        <f t="shared" si="77"/>
        <v>41</v>
      </c>
    </row>
    <row r="1262" spans="1:10" ht="16.95" customHeight="1">
      <c r="A1262" s="1" t="s">
        <v>1</v>
      </c>
      <c r="B1262" s="104">
        <f>B1199+1</f>
        <v>22</v>
      </c>
      <c r="C1262" s="104"/>
      <c r="D1262" s="104"/>
      <c r="E1262" s="104"/>
      <c r="F1262" s="104"/>
      <c r="G1262" s="104"/>
      <c r="J1262" s="25">
        <f t="shared" si="77"/>
        <v>41</v>
      </c>
    </row>
    <row r="1263" spans="1:10" ht="16.95" customHeight="1">
      <c r="A1263" s="1" t="s">
        <v>2</v>
      </c>
      <c r="B1263" s="105" t="s">
        <v>63</v>
      </c>
      <c r="C1263" s="105"/>
      <c r="D1263" s="105"/>
      <c r="E1263" s="106">
        <f>E1200+1</f>
        <v>46224</v>
      </c>
      <c r="F1263" s="106"/>
      <c r="G1263" s="106"/>
      <c r="J1263" s="25">
        <f t="shared" si="77"/>
        <v>41</v>
      </c>
    </row>
    <row r="1264" spans="1:10" ht="16.95" customHeight="1">
      <c r="A1264" s="53" t="s">
        <v>3</v>
      </c>
      <c r="B1264" s="2" t="s">
        <v>67</v>
      </c>
      <c r="C1264" s="98" t="s">
        <v>4</v>
      </c>
      <c r="D1264" s="98"/>
      <c r="E1264" s="98" t="s">
        <v>47</v>
      </c>
      <c r="F1264" s="98"/>
      <c r="G1264" s="98"/>
      <c r="J1264" s="25">
        <f t="shared" si="77"/>
        <v>41</v>
      </c>
    </row>
    <row r="1265" spans="1:10" ht="16.95" customHeight="1">
      <c r="A1265" s="53" t="s">
        <v>5</v>
      </c>
      <c r="B1265" s="54">
        <v>120</v>
      </c>
      <c r="C1265" s="98" t="s">
        <v>6</v>
      </c>
      <c r="D1265" s="98"/>
      <c r="E1265" s="98" t="s">
        <v>123</v>
      </c>
      <c r="F1265" s="98"/>
      <c r="G1265" s="98"/>
      <c r="J1265" s="25">
        <f t="shared" si="77"/>
        <v>41</v>
      </c>
    </row>
    <row r="1266" spans="1:10" ht="16.95" customHeight="1">
      <c r="A1266" s="53" t="s">
        <v>7</v>
      </c>
      <c r="B1266" s="54">
        <f>B1262</f>
        <v>22</v>
      </c>
      <c r="C1266" s="100" t="s">
        <v>8</v>
      </c>
      <c r="D1266" s="100"/>
      <c r="E1266" s="101">
        <f>B1265-B1266</f>
        <v>98</v>
      </c>
      <c r="F1266" s="101"/>
      <c r="G1266" s="101"/>
      <c r="J1266" s="25">
        <f t="shared" si="77"/>
        <v>41</v>
      </c>
    </row>
    <row r="1267" spans="1:10" ht="16.95" customHeight="1">
      <c r="A1267" s="53" t="s">
        <v>9</v>
      </c>
      <c r="B1267" s="55">
        <v>46204</v>
      </c>
      <c r="C1267" s="98" t="s">
        <v>10</v>
      </c>
      <c r="D1267" s="98"/>
      <c r="E1267" s="102">
        <f>B1267+B1265-1</f>
        <v>46323</v>
      </c>
      <c r="F1267" s="102"/>
      <c r="G1267" s="102"/>
      <c r="J1267" s="25">
        <f t="shared" si="77"/>
        <v>41</v>
      </c>
    </row>
    <row r="1268" spans="1:10" ht="16.95" customHeight="1">
      <c r="A1268" s="53" t="s">
        <v>11</v>
      </c>
      <c r="B1268" s="56" t="e">
        <f>HLOOKUP(B1262,進度表!$Q$2:$Z$3,2,1)+B1205</f>
        <v>#REF!</v>
      </c>
      <c r="C1268" s="98" t="s">
        <v>12</v>
      </c>
      <c r="D1268" s="98"/>
      <c r="E1268" s="99" t="e">
        <f>I1306/I1268+E1205</f>
        <v>#REF!</v>
      </c>
      <c r="F1268" s="99"/>
      <c r="G1268" s="99"/>
      <c r="H1268" s="3" t="s">
        <v>62</v>
      </c>
      <c r="I1268" s="1">
        <v>2456000</v>
      </c>
      <c r="J1268" s="25">
        <f t="shared" si="77"/>
        <v>41</v>
      </c>
    </row>
    <row r="1269" spans="1:10" ht="16.95" customHeight="1">
      <c r="A1269" s="98" t="s">
        <v>13</v>
      </c>
      <c r="B1269" s="98"/>
      <c r="C1269" s="98"/>
      <c r="D1269" s="98"/>
      <c r="E1269" s="98"/>
      <c r="F1269" s="98"/>
      <c r="G1269" s="98"/>
      <c r="J1269" s="25">
        <f t="shared" si="77"/>
        <v>41</v>
      </c>
    </row>
    <row r="1270" spans="1:10" ht="16.95" customHeight="1">
      <c r="A1270" s="52" t="s">
        <v>14</v>
      </c>
      <c r="B1270" s="52" t="s">
        <v>15</v>
      </c>
      <c r="C1270" s="52" t="s">
        <v>16</v>
      </c>
      <c r="D1270" s="52" t="s">
        <v>17</v>
      </c>
      <c r="E1270" s="52" t="s">
        <v>18</v>
      </c>
      <c r="F1270" s="52" t="s">
        <v>19</v>
      </c>
      <c r="G1270" s="52" t="s">
        <v>20</v>
      </c>
      <c r="H1270" s="3" t="s">
        <v>21</v>
      </c>
      <c r="I1270" s="3" t="s">
        <v>22</v>
      </c>
      <c r="J1270" s="25">
        <f t="shared" si="77"/>
        <v>41</v>
      </c>
    </row>
    <row r="1271" spans="1:10" ht="16.95" customHeight="1">
      <c r="A1271" s="75" t="s">
        <v>65</v>
      </c>
      <c r="B1271" s="76" t="s">
        <v>69</v>
      </c>
      <c r="C1271" s="77"/>
      <c r="D1271" s="78"/>
      <c r="E1271" s="79"/>
      <c r="F1271" s="79"/>
      <c r="G1271" s="2"/>
      <c r="H1271" s="37"/>
      <c r="I1271" s="4"/>
      <c r="J1271" s="25">
        <f t="shared" si="77"/>
        <v>41</v>
      </c>
    </row>
    <row r="1272" spans="1:10" ht="34.950000000000003" customHeight="1">
      <c r="A1272" s="75">
        <v>1</v>
      </c>
      <c r="B1272" s="80" t="s">
        <v>91</v>
      </c>
      <c r="C1272" s="77" t="s">
        <v>48</v>
      </c>
      <c r="D1272" s="78">
        <v>1</v>
      </c>
      <c r="E1272" s="79"/>
      <c r="F1272" s="79" t="e">
        <f t="shared" ref="F1272:F1305" si="79">E1272+F1209</f>
        <v>#REF!</v>
      </c>
      <c r="G1272" s="2"/>
      <c r="H1272" s="37">
        <v>10508</v>
      </c>
      <c r="I1272" s="4">
        <f>H1272*E1272</f>
        <v>0</v>
      </c>
      <c r="J1272" s="25">
        <f t="shared" si="77"/>
        <v>41</v>
      </c>
    </row>
    <row r="1273" spans="1:10" ht="34.799999999999997" customHeight="1">
      <c r="A1273" s="75">
        <v>2</v>
      </c>
      <c r="B1273" s="80" t="s">
        <v>92</v>
      </c>
      <c r="C1273" s="77" t="s">
        <v>48</v>
      </c>
      <c r="D1273" s="78">
        <v>1</v>
      </c>
      <c r="E1273" s="79"/>
      <c r="F1273" s="79" t="e">
        <f t="shared" si="79"/>
        <v>#REF!</v>
      </c>
      <c r="G1273" s="2"/>
      <c r="H1273" s="37">
        <v>13223</v>
      </c>
      <c r="I1273" s="4">
        <f>H1273*E1273</f>
        <v>0</v>
      </c>
      <c r="J1273" s="25">
        <f t="shared" si="77"/>
        <v>41</v>
      </c>
    </row>
    <row r="1274" spans="1:10" ht="53.4" customHeight="1">
      <c r="A1274" s="75">
        <v>3</v>
      </c>
      <c r="B1274" s="80" t="s">
        <v>93</v>
      </c>
      <c r="C1274" s="77" t="s">
        <v>48</v>
      </c>
      <c r="D1274" s="78">
        <v>1</v>
      </c>
      <c r="E1274" s="79"/>
      <c r="F1274" s="79" t="e">
        <f t="shared" si="79"/>
        <v>#REF!</v>
      </c>
      <c r="G1274" s="2"/>
      <c r="H1274" s="37">
        <v>310497</v>
      </c>
      <c r="I1274" s="4">
        <f t="shared" ref="I1274:I1305" si="80">H1274*E1274</f>
        <v>0</v>
      </c>
      <c r="J1274" s="25">
        <f t="shared" si="77"/>
        <v>41</v>
      </c>
    </row>
    <row r="1275" spans="1:10" ht="16.95" customHeight="1">
      <c r="A1275" s="75">
        <v>4</v>
      </c>
      <c r="B1275" s="80" t="s">
        <v>94</v>
      </c>
      <c r="C1275" s="77" t="s">
        <v>48</v>
      </c>
      <c r="D1275" s="78">
        <v>1</v>
      </c>
      <c r="E1275" s="79"/>
      <c r="F1275" s="79" t="e">
        <f t="shared" si="79"/>
        <v>#REF!</v>
      </c>
      <c r="G1275" s="2"/>
      <c r="H1275" s="37">
        <v>8375</v>
      </c>
      <c r="I1275" s="4">
        <f t="shared" si="80"/>
        <v>0</v>
      </c>
      <c r="J1275" s="25">
        <f t="shared" ref="J1275:J1338" si="81">J1212+2</f>
        <v>41</v>
      </c>
    </row>
    <row r="1276" spans="1:10" ht="16.95" customHeight="1">
      <c r="A1276" s="75">
        <v>5</v>
      </c>
      <c r="B1276" s="80" t="s">
        <v>95</v>
      </c>
      <c r="C1276" s="77" t="s">
        <v>48</v>
      </c>
      <c r="D1276" s="78">
        <v>1</v>
      </c>
      <c r="E1276" s="79"/>
      <c r="F1276" s="79" t="e">
        <f t="shared" si="79"/>
        <v>#REF!</v>
      </c>
      <c r="G1276" s="2"/>
      <c r="H1276" s="37">
        <v>51618</v>
      </c>
      <c r="I1276" s="4">
        <f t="shared" si="80"/>
        <v>0</v>
      </c>
      <c r="J1276" s="25">
        <f t="shared" si="81"/>
        <v>41</v>
      </c>
    </row>
    <row r="1277" spans="1:10" ht="16.95" customHeight="1">
      <c r="A1277" s="75">
        <v>6</v>
      </c>
      <c r="B1277" s="80" t="s">
        <v>96</v>
      </c>
      <c r="C1277" s="77" t="s">
        <v>50</v>
      </c>
      <c r="D1277" s="78">
        <v>11.55</v>
      </c>
      <c r="E1277" s="79"/>
      <c r="F1277" s="79" t="e">
        <f t="shared" si="79"/>
        <v>#REF!</v>
      </c>
      <c r="G1277" s="2"/>
      <c r="H1277" s="37">
        <v>1188</v>
      </c>
      <c r="I1277" s="4">
        <f t="shared" si="80"/>
        <v>0</v>
      </c>
      <c r="J1277" s="25">
        <f t="shared" si="81"/>
        <v>41</v>
      </c>
    </row>
    <row r="1278" spans="1:10" ht="34.950000000000003" customHeight="1">
      <c r="A1278" s="75">
        <v>7</v>
      </c>
      <c r="B1278" s="80" t="s">
        <v>97</v>
      </c>
      <c r="C1278" s="77" t="s">
        <v>48</v>
      </c>
      <c r="D1278" s="78">
        <v>1</v>
      </c>
      <c r="E1278" s="79"/>
      <c r="F1278" s="79" t="e">
        <f t="shared" si="79"/>
        <v>#REF!</v>
      </c>
      <c r="G1278" s="2"/>
      <c r="H1278" s="37">
        <v>21157</v>
      </c>
      <c r="I1278" s="4">
        <f t="shared" si="80"/>
        <v>0</v>
      </c>
      <c r="J1278" s="25">
        <f t="shared" si="81"/>
        <v>41</v>
      </c>
    </row>
    <row r="1279" spans="1:10" ht="16.95" customHeight="1">
      <c r="A1279" s="75">
        <v>8</v>
      </c>
      <c r="B1279" s="80" t="s">
        <v>98</v>
      </c>
      <c r="C1279" s="77" t="s">
        <v>50</v>
      </c>
      <c r="D1279" s="78">
        <v>387</v>
      </c>
      <c r="E1279" s="79"/>
      <c r="F1279" s="79" t="e">
        <f t="shared" si="79"/>
        <v>#REF!</v>
      </c>
      <c r="G1279" s="2"/>
      <c r="H1279" s="37">
        <v>705</v>
      </c>
      <c r="I1279" s="4">
        <f t="shared" si="80"/>
        <v>0</v>
      </c>
      <c r="J1279" s="25">
        <f t="shared" si="81"/>
        <v>41</v>
      </c>
    </row>
    <row r="1280" spans="1:10" ht="16.95" customHeight="1">
      <c r="A1280" s="75">
        <v>9</v>
      </c>
      <c r="B1280" s="80" t="s">
        <v>99</v>
      </c>
      <c r="C1280" s="77" t="s">
        <v>50</v>
      </c>
      <c r="D1280" s="78">
        <v>170</v>
      </c>
      <c r="E1280" s="79"/>
      <c r="F1280" s="79" t="e">
        <f t="shared" si="79"/>
        <v>#REF!</v>
      </c>
      <c r="G1280" s="2"/>
      <c r="H1280" s="37">
        <v>617</v>
      </c>
      <c r="I1280" s="4">
        <f t="shared" si="80"/>
        <v>0</v>
      </c>
      <c r="J1280" s="25">
        <f t="shared" si="81"/>
        <v>41</v>
      </c>
    </row>
    <row r="1281" spans="1:10" ht="16.95" customHeight="1">
      <c r="A1281" s="75">
        <v>10</v>
      </c>
      <c r="B1281" s="80" t="s">
        <v>100</v>
      </c>
      <c r="C1281" s="77" t="s">
        <v>66</v>
      </c>
      <c r="D1281" s="78">
        <v>15</v>
      </c>
      <c r="E1281" s="79"/>
      <c r="F1281" s="79" t="e">
        <f t="shared" si="79"/>
        <v>#REF!</v>
      </c>
      <c r="G1281" s="2"/>
      <c r="H1281" s="37">
        <v>617</v>
      </c>
      <c r="I1281" s="4">
        <f t="shared" si="80"/>
        <v>0</v>
      </c>
      <c r="J1281" s="25">
        <f t="shared" si="81"/>
        <v>41</v>
      </c>
    </row>
    <row r="1282" spans="1:10" ht="16.95" customHeight="1">
      <c r="A1282" s="75">
        <v>11</v>
      </c>
      <c r="B1282" s="80" t="s">
        <v>101</v>
      </c>
      <c r="C1282" s="77" t="s">
        <v>50</v>
      </c>
      <c r="D1282" s="78">
        <v>75</v>
      </c>
      <c r="E1282" s="79"/>
      <c r="F1282" s="79" t="e">
        <f t="shared" si="79"/>
        <v>#REF!</v>
      </c>
      <c r="G1282" s="2"/>
      <c r="H1282" s="37">
        <v>1146</v>
      </c>
      <c r="I1282" s="4">
        <f t="shared" si="80"/>
        <v>0</v>
      </c>
      <c r="J1282" s="25">
        <f t="shared" si="81"/>
        <v>41</v>
      </c>
    </row>
    <row r="1283" spans="1:10" ht="16.95" customHeight="1">
      <c r="A1283" s="75">
        <v>12</v>
      </c>
      <c r="B1283" s="80" t="s">
        <v>102</v>
      </c>
      <c r="C1283" s="77" t="s">
        <v>50</v>
      </c>
      <c r="D1283" s="78">
        <v>5</v>
      </c>
      <c r="E1283" s="79"/>
      <c r="F1283" s="79" t="e">
        <f t="shared" si="79"/>
        <v>#REF!</v>
      </c>
      <c r="G1283" s="2"/>
      <c r="H1283" s="37">
        <v>1455</v>
      </c>
      <c r="I1283" s="4">
        <f t="shared" si="80"/>
        <v>0</v>
      </c>
      <c r="J1283" s="25">
        <f t="shared" si="81"/>
        <v>41</v>
      </c>
    </row>
    <row r="1284" spans="1:10" ht="16.95" customHeight="1">
      <c r="A1284" s="75">
        <v>13</v>
      </c>
      <c r="B1284" s="80" t="s">
        <v>103</v>
      </c>
      <c r="C1284" s="77" t="s">
        <v>50</v>
      </c>
      <c r="D1284" s="78">
        <v>217</v>
      </c>
      <c r="E1284" s="79"/>
      <c r="F1284" s="79" t="e">
        <f t="shared" si="79"/>
        <v>#REF!</v>
      </c>
      <c r="G1284" s="2"/>
      <c r="H1284" s="37">
        <v>1410</v>
      </c>
      <c r="I1284" s="4">
        <f t="shared" si="80"/>
        <v>0</v>
      </c>
      <c r="J1284" s="25">
        <f t="shared" si="81"/>
        <v>41</v>
      </c>
    </row>
    <row r="1285" spans="1:10" ht="16.95" customHeight="1">
      <c r="A1285" s="75">
        <v>14</v>
      </c>
      <c r="B1285" s="80" t="s">
        <v>104</v>
      </c>
      <c r="C1285" s="77" t="s">
        <v>49</v>
      </c>
      <c r="D1285" s="78">
        <v>84</v>
      </c>
      <c r="E1285" s="79"/>
      <c r="F1285" s="79" t="e">
        <f t="shared" si="79"/>
        <v>#REF!</v>
      </c>
      <c r="G1285" s="2"/>
      <c r="H1285" s="37">
        <v>529</v>
      </c>
      <c r="I1285" s="4">
        <f t="shared" si="80"/>
        <v>0</v>
      </c>
      <c r="J1285" s="25">
        <f t="shared" si="81"/>
        <v>41</v>
      </c>
    </row>
    <row r="1286" spans="1:10" ht="16.95" customHeight="1">
      <c r="A1286" s="75">
        <v>15</v>
      </c>
      <c r="B1286" s="80" t="s">
        <v>105</v>
      </c>
      <c r="C1286" s="77" t="s">
        <v>50</v>
      </c>
      <c r="D1286" s="78">
        <v>1</v>
      </c>
      <c r="E1286" s="79"/>
      <c r="F1286" s="79" t="e">
        <f t="shared" si="79"/>
        <v>#REF!</v>
      </c>
      <c r="G1286" s="2"/>
      <c r="H1286" s="37">
        <v>1146</v>
      </c>
      <c r="I1286" s="4">
        <f t="shared" si="80"/>
        <v>0</v>
      </c>
      <c r="J1286" s="25">
        <f t="shared" si="81"/>
        <v>41</v>
      </c>
    </row>
    <row r="1287" spans="1:10" ht="34.799999999999997" customHeight="1">
      <c r="A1287" s="75">
        <v>16</v>
      </c>
      <c r="B1287" s="80" t="s">
        <v>106</v>
      </c>
      <c r="C1287" s="77" t="s">
        <v>50</v>
      </c>
      <c r="D1287" s="78">
        <v>314</v>
      </c>
      <c r="E1287" s="79"/>
      <c r="F1287" s="79" t="e">
        <f t="shared" si="79"/>
        <v>#REF!</v>
      </c>
      <c r="G1287" s="2"/>
      <c r="H1287" s="37">
        <v>185</v>
      </c>
      <c r="I1287" s="4">
        <f t="shared" si="80"/>
        <v>0</v>
      </c>
      <c r="J1287" s="25">
        <f t="shared" si="81"/>
        <v>41</v>
      </c>
    </row>
    <row r="1288" spans="1:10" ht="16.95" customHeight="1">
      <c r="A1288" s="75">
        <v>17</v>
      </c>
      <c r="B1288" s="80" t="s">
        <v>107</v>
      </c>
      <c r="C1288" s="77" t="s">
        <v>48</v>
      </c>
      <c r="D1288" s="78">
        <v>1</v>
      </c>
      <c r="E1288" s="79"/>
      <c r="F1288" s="79" t="e">
        <f t="shared" si="79"/>
        <v>#REF!</v>
      </c>
      <c r="G1288" s="2"/>
      <c r="H1288" s="37">
        <v>89918</v>
      </c>
      <c r="I1288" s="4">
        <f t="shared" si="80"/>
        <v>0</v>
      </c>
      <c r="J1288" s="25">
        <f t="shared" si="81"/>
        <v>41</v>
      </c>
    </row>
    <row r="1289" spans="1:10" ht="16.95" customHeight="1">
      <c r="A1289" s="75">
        <v>18</v>
      </c>
      <c r="B1289" s="80" t="s">
        <v>108</v>
      </c>
      <c r="C1289" s="77" t="s">
        <v>120</v>
      </c>
      <c r="D1289" s="78">
        <v>15</v>
      </c>
      <c r="E1289" s="79"/>
      <c r="F1289" s="79" t="e">
        <f t="shared" si="79"/>
        <v>#REF!</v>
      </c>
      <c r="G1289" s="2"/>
      <c r="H1289" s="37">
        <v>661</v>
      </c>
      <c r="I1289" s="4">
        <f t="shared" si="80"/>
        <v>0</v>
      </c>
      <c r="J1289" s="25">
        <f t="shared" si="81"/>
        <v>41</v>
      </c>
    </row>
    <row r="1290" spans="1:10" ht="16.95" customHeight="1">
      <c r="A1290" s="75">
        <v>19</v>
      </c>
      <c r="B1290" s="80" t="s">
        <v>109</v>
      </c>
      <c r="C1290" s="77" t="s">
        <v>50</v>
      </c>
      <c r="D1290" s="78">
        <v>82</v>
      </c>
      <c r="E1290" s="79"/>
      <c r="F1290" s="79" t="e">
        <f t="shared" si="79"/>
        <v>#REF!</v>
      </c>
      <c r="G1290" s="2"/>
      <c r="H1290" s="37">
        <v>2909</v>
      </c>
      <c r="I1290" s="4">
        <f t="shared" si="80"/>
        <v>0</v>
      </c>
      <c r="J1290" s="25">
        <f t="shared" si="81"/>
        <v>41</v>
      </c>
    </row>
    <row r="1291" spans="1:10" ht="16.95" customHeight="1">
      <c r="A1291" s="75">
        <v>20</v>
      </c>
      <c r="B1291" s="80" t="s">
        <v>110</v>
      </c>
      <c r="C1291" s="77" t="s">
        <v>121</v>
      </c>
      <c r="D1291" s="78">
        <v>12</v>
      </c>
      <c r="E1291" s="79"/>
      <c r="F1291" s="79" t="e">
        <f t="shared" si="79"/>
        <v>#REF!</v>
      </c>
      <c r="G1291" s="2"/>
      <c r="H1291" s="37">
        <v>882</v>
      </c>
      <c r="I1291" s="4">
        <f t="shared" si="80"/>
        <v>0</v>
      </c>
      <c r="J1291" s="25">
        <f t="shared" si="81"/>
        <v>41</v>
      </c>
    </row>
    <row r="1292" spans="1:10" ht="16.95" customHeight="1">
      <c r="A1292" s="77">
        <v>21</v>
      </c>
      <c r="B1292" s="80" t="s">
        <v>111</v>
      </c>
      <c r="C1292" s="77" t="s">
        <v>122</v>
      </c>
      <c r="D1292" s="78">
        <v>3</v>
      </c>
      <c r="E1292" s="79"/>
      <c r="F1292" s="79" t="e">
        <f t="shared" si="79"/>
        <v>#REF!</v>
      </c>
      <c r="G1292" s="2"/>
      <c r="H1292" s="38">
        <v>1869</v>
      </c>
      <c r="I1292" s="4">
        <f t="shared" si="80"/>
        <v>0</v>
      </c>
      <c r="J1292" s="25">
        <f t="shared" si="81"/>
        <v>41</v>
      </c>
    </row>
    <row r="1293" spans="1:10" ht="34.950000000000003" customHeight="1">
      <c r="A1293" s="75">
        <v>22</v>
      </c>
      <c r="B1293" s="80" t="s">
        <v>112</v>
      </c>
      <c r="C1293" s="77" t="s">
        <v>48</v>
      </c>
      <c r="D1293" s="78">
        <v>1</v>
      </c>
      <c r="E1293" s="79"/>
      <c r="F1293" s="79" t="e">
        <f t="shared" si="79"/>
        <v>#REF!</v>
      </c>
      <c r="G1293" s="2"/>
      <c r="H1293" s="37">
        <v>82206</v>
      </c>
      <c r="I1293" s="4">
        <f t="shared" si="80"/>
        <v>0</v>
      </c>
      <c r="J1293" s="25">
        <f t="shared" si="81"/>
        <v>41</v>
      </c>
    </row>
    <row r="1294" spans="1:10" ht="16.95" customHeight="1">
      <c r="A1294" s="75">
        <v>23</v>
      </c>
      <c r="B1294" s="80" t="s">
        <v>113</v>
      </c>
      <c r="C1294" s="77" t="s">
        <v>48</v>
      </c>
      <c r="D1294" s="78">
        <v>1</v>
      </c>
      <c r="E1294" s="79"/>
      <c r="F1294" s="79" t="e">
        <f t="shared" si="79"/>
        <v>#REF!</v>
      </c>
      <c r="G1294" s="2"/>
      <c r="H1294" s="37">
        <v>142723</v>
      </c>
      <c r="I1294" s="4">
        <f t="shared" si="80"/>
        <v>0</v>
      </c>
      <c r="J1294" s="25">
        <f t="shared" si="81"/>
        <v>41</v>
      </c>
    </row>
    <row r="1295" spans="1:10" ht="16.95" customHeight="1">
      <c r="A1295" s="75">
        <v>24</v>
      </c>
      <c r="B1295" s="80" t="s">
        <v>114</v>
      </c>
      <c r="C1295" s="77" t="s">
        <v>48</v>
      </c>
      <c r="D1295" s="78">
        <v>1</v>
      </c>
      <c r="E1295" s="79"/>
      <c r="F1295" s="79" t="e">
        <f t="shared" si="79"/>
        <v>#REF!</v>
      </c>
      <c r="G1295" s="2"/>
      <c r="H1295" s="37">
        <v>37290</v>
      </c>
      <c r="I1295" s="4">
        <f t="shared" si="80"/>
        <v>0</v>
      </c>
      <c r="J1295" s="25">
        <f t="shared" si="81"/>
        <v>41</v>
      </c>
    </row>
    <row r="1296" spans="1:10" ht="16.95" customHeight="1">
      <c r="A1296" s="75">
        <v>25</v>
      </c>
      <c r="B1296" s="80" t="s">
        <v>115</v>
      </c>
      <c r="C1296" s="77" t="s">
        <v>48</v>
      </c>
      <c r="D1296" s="78">
        <v>1</v>
      </c>
      <c r="E1296" s="79"/>
      <c r="F1296" s="79" t="e">
        <f t="shared" si="79"/>
        <v>#REF!</v>
      </c>
      <c r="G1296" s="2"/>
      <c r="H1296" s="37">
        <v>99394</v>
      </c>
      <c r="I1296" s="4">
        <f t="shared" si="80"/>
        <v>0</v>
      </c>
      <c r="J1296" s="25">
        <f t="shared" si="81"/>
        <v>41</v>
      </c>
    </row>
    <row r="1297" spans="1:10" ht="34.950000000000003" customHeight="1">
      <c r="A1297" s="75">
        <v>26</v>
      </c>
      <c r="B1297" s="80" t="s">
        <v>116</v>
      </c>
      <c r="C1297" s="77" t="s">
        <v>48</v>
      </c>
      <c r="D1297" s="78">
        <v>1</v>
      </c>
      <c r="E1297" s="79"/>
      <c r="F1297" s="79" t="e">
        <f t="shared" si="79"/>
        <v>#REF!</v>
      </c>
      <c r="G1297" s="2"/>
      <c r="H1297" s="37">
        <v>21334</v>
      </c>
      <c r="I1297" s="4">
        <f t="shared" si="80"/>
        <v>0</v>
      </c>
      <c r="J1297" s="25">
        <f t="shared" si="81"/>
        <v>41</v>
      </c>
    </row>
    <row r="1298" spans="1:10" ht="16.95" customHeight="1">
      <c r="A1298" s="75">
        <v>27</v>
      </c>
      <c r="B1298" s="80" t="s">
        <v>117</v>
      </c>
      <c r="C1298" s="77" t="s">
        <v>48</v>
      </c>
      <c r="D1298" s="78">
        <v>1</v>
      </c>
      <c r="E1298" s="79"/>
      <c r="F1298" s="79" t="e">
        <f t="shared" si="79"/>
        <v>#REF!</v>
      </c>
      <c r="G1298" s="2"/>
      <c r="H1298" s="37">
        <v>29620</v>
      </c>
      <c r="I1298" s="4">
        <f t="shared" si="80"/>
        <v>0</v>
      </c>
      <c r="J1298" s="25">
        <f t="shared" si="81"/>
        <v>41</v>
      </c>
    </row>
    <row r="1299" spans="1:10" ht="16.95" customHeight="1">
      <c r="A1299" s="75">
        <v>28</v>
      </c>
      <c r="B1299" s="80" t="s">
        <v>118</v>
      </c>
      <c r="C1299" s="77" t="s">
        <v>48</v>
      </c>
      <c r="D1299" s="78">
        <v>1</v>
      </c>
      <c r="E1299" s="79"/>
      <c r="F1299" s="79" t="e">
        <f t="shared" si="79"/>
        <v>#REF!</v>
      </c>
      <c r="G1299" s="2"/>
      <c r="H1299" s="37">
        <v>18506</v>
      </c>
      <c r="I1299" s="4">
        <f t="shared" si="80"/>
        <v>0</v>
      </c>
      <c r="J1299" s="25">
        <f t="shared" si="81"/>
        <v>41</v>
      </c>
    </row>
    <row r="1300" spans="1:10" ht="16.95" customHeight="1">
      <c r="A1300" s="75">
        <v>29</v>
      </c>
      <c r="B1300" s="80" t="s">
        <v>119</v>
      </c>
      <c r="C1300" s="77" t="s">
        <v>48</v>
      </c>
      <c r="D1300" s="78">
        <v>1</v>
      </c>
      <c r="E1300" s="79"/>
      <c r="F1300" s="79" t="e">
        <f t="shared" si="79"/>
        <v>#REF!</v>
      </c>
      <c r="G1300" s="2"/>
      <c r="H1300" s="37">
        <v>34381</v>
      </c>
      <c r="I1300" s="4">
        <f t="shared" si="80"/>
        <v>0</v>
      </c>
      <c r="J1300" s="25">
        <f t="shared" si="81"/>
        <v>41</v>
      </c>
    </row>
    <row r="1301" spans="1:10" ht="16.95" customHeight="1">
      <c r="A1301" s="75" t="s">
        <v>79</v>
      </c>
      <c r="B1301" s="80" t="s">
        <v>80</v>
      </c>
      <c r="C1301" s="77" t="s">
        <v>48</v>
      </c>
      <c r="D1301" s="78">
        <v>1</v>
      </c>
      <c r="E1301" s="79">
        <f t="shared" ref="E1301:E1304" si="82">1/120</f>
        <v>8.3333333333333332E-3</v>
      </c>
      <c r="F1301" s="79" t="e">
        <f t="shared" si="79"/>
        <v>#REF!</v>
      </c>
      <c r="G1301" s="2"/>
      <c r="H1301" s="37">
        <v>21395</v>
      </c>
      <c r="I1301" s="4">
        <f t="shared" si="80"/>
        <v>178.29166666666666</v>
      </c>
      <c r="J1301" s="25">
        <f t="shared" si="81"/>
        <v>41</v>
      </c>
    </row>
    <row r="1302" spans="1:10" ht="16.95" customHeight="1">
      <c r="A1302" s="75" t="s">
        <v>81</v>
      </c>
      <c r="B1302" s="80" t="s">
        <v>82</v>
      </c>
      <c r="C1302" s="77" t="s">
        <v>48</v>
      </c>
      <c r="D1302" s="78">
        <v>1</v>
      </c>
      <c r="E1302" s="79">
        <f t="shared" si="82"/>
        <v>8.3333333333333332E-3</v>
      </c>
      <c r="F1302" s="79" t="e">
        <f t="shared" si="79"/>
        <v>#REF!</v>
      </c>
      <c r="G1302" s="2"/>
      <c r="H1302" s="37">
        <v>21395</v>
      </c>
      <c r="I1302" s="4">
        <f t="shared" si="80"/>
        <v>178.29166666666666</v>
      </c>
      <c r="J1302" s="25">
        <f t="shared" si="81"/>
        <v>41</v>
      </c>
    </row>
    <row r="1303" spans="1:10" ht="16.95" customHeight="1">
      <c r="A1303" s="75" t="s">
        <v>83</v>
      </c>
      <c r="B1303" s="80" t="s">
        <v>84</v>
      </c>
      <c r="C1303" s="77" t="s">
        <v>48</v>
      </c>
      <c r="D1303" s="78">
        <v>1</v>
      </c>
      <c r="E1303" s="79">
        <f t="shared" si="82"/>
        <v>8.3333333333333332E-3</v>
      </c>
      <c r="F1303" s="79" t="e">
        <f t="shared" si="79"/>
        <v>#REF!</v>
      </c>
      <c r="G1303" s="2"/>
      <c r="H1303" s="37">
        <v>149765</v>
      </c>
      <c r="I1303" s="4">
        <f t="shared" si="80"/>
        <v>1248.0416666666667</v>
      </c>
      <c r="J1303" s="25">
        <f t="shared" si="81"/>
        <v>41</v>
      </c>
    </row>
    <row r="1304" spans="1:10" ht="16.95" customHeight="1">
      <c r="A1304" s="75" t="s">
        <v>85</v>
      </c>
      <c r="B1304" s="80" t="s">
        <v>86</v>
      </c>
      <c r="C1304" s="77" t="s">
        <v>48</v>
      </c>
      <c r="D1304" s="78">
        <v>1</v>
      </c>
      <c r="E1304" s="79">
        <f t="shared" si="82"/>
        <v>8.3333333333333332E-3</v>
      </c>
      <c r="F1304" s="79" t="e">
        <f t="shared" si="79"/>
        <v>#REF!</v>
      </c>
      <c r="G1304" s="2"/>
      <c r="H1304" s="37">
        <v>6996</v>
      </c>
      <c r="I1304" s="4">
        <f t="shared" si="80"/>
        <v>58.3</v>
      </c>
      <c r="J1304" s="25">
        <f t="shared" si="81"/>
        <v>41</v>
      </c>
    </row>
    <row r="1305" spans="1:10" ht="16.95" customHeight="1">
      <c r="A1305" s="75" t="s">
        <v>87</v>
      </c>
      <c r="B1305" s="80" t="s">
        <v>88</v>
      </c>
      <c r="C1305" s="77" t="s">
        <v>48</v>
      </c>
      <c r="D1305" s="78">
        <v>1</v>
      </c>
      <c r="E1305" s="79">
        <f>1/120</f>
        <v>8.3333333333333332E-3</v>
      </c>
      <c r="F1305" s="79" t="e">
        <f t="shared" si="79"/>
        <v>#REF!</v>
      </c>
      <c r="G1305" s="2"/>
      <c r="H1305" s="37">
        <v>116952</v>
      </c>
      <c r="I1305" s="4">
        <f t="shared" si="80"/>
        <v>974.6</v>
      </c>
      <c r="J1305" s="25">
        <f t="shared" si="81"/>
        <v>41</v>
      </c>
    </row>
    <row r="1306" spans="1:10" ht="16.95" customHeight="1">
      <c r="A1306" s="95" t="s">
        <v>23</v>
      </c>
      <c r="B1306" s="95"/>
      <c r="C1306" s="50"/>
      <c r="D1306" s="50"/>
      <c r="E1306" s="50"/>
      <c r="F1306" s="50"/>
      <c r="G1306" s="50"/>
      <c r="H1306" s="3" t="s">
        <v>24</v>
      </c>
      <c r="I1306" s="5">
        <f>SUM(I1271:I1305)</f>
        <v>2637.5250000000001</v>
      </c>
      <c r="J1306" s="25">
        <f t="shared" si="81"/>
        <v>41</v>
      </c>
    </row>
    <row r="1307" spans="1:10" ht="16.95" customHeight="1">
      <c r="A1307" s="96" t="s">
        <v>25</v>
      </c>
      <c r="B1307" s="96"/>
      <c r="C1307" s="50"/>
      <c r="D1307" s="50"/>
      <c r="E1307" s="50"/>
      <c r="F1307" s="50"/>
      <c r="G1307" s="50"/>
      <c r="J1307" s="25">
        <f t="shared" si="81"/>
        <v>41</v>
      </c>
    </row>
    <row r="1308" spans="1:10" ht="16.95" customHeight="1">
      <c r="A1308" s="96" t="s">
        <v>26</v>
      </c>
      <c r="B1308" s="96"/>
      <c r="C1308" s="50"/>
      <c r="D1308" s="50"/>
      <c r="E1308" s="50"/>
      <c r="F1308" s="50"/>
      <c r="G1308" s="50"/>
      <c r="J1308" s="25">
        <f t="shared" si="81"/>
        <v>41</v>
      </c>
    </row>
    <row r="1309" spans="1:10" ht="16.95" customHeight="1">
      <c r="A1309" s="95" t="s">
        <v>27</v>
      </c>
      <c r="B1309" s="95"/>
      <c r="C1309" s="95"/>
      <c r="D1309" s="95"/>
      <c r="E1309" s="95"/>
      <c r="F1309" s="95"/>
      <c r="G1309" s="95"/>
      <c r="J1309" s="25">
        <f t="shared" si="81"/>
        <v>41</v>
      </c>
    </row>
    <row r="1310" spans="1:10" ht="16.95" customHeight="1">
      <c r="A1310" s="94" t="s">
        <v>28</v>
      </c>
      <c r="B1310" s="94"/>
      <c r="C1310" s="51" t="s">
        <v>29</v>
      </c>
      <c r="D1310" s="51" t="s">
        <v>30</v>
      </c>
      <c r="E1310" s="51" t="s">
        <v>18</v>
      </c>
      <c r="F1310" s="51" t="s">
        <v>31</v>
      </c>
      <c r="G1310" s="51" t="s">
        <v>20</v>
      </c>
      <c r="J1310" s="25">
        <f t="shared" si="81"/>
        <v>41</v>
      </c>
    </row>
    <row r="1311" spans="1:10" ht="16.95" customHeight="1">
      <c r="A1311" s="96"/>
      <c r="B1311" s="96"/>
      <c r="C1311" s="50"/>
      <c r="D1311" s="50"/>
      <c r="E1311" s="50"/>
      <c r="F1311" s="50"/>
      <c r="G1311" s="51"/>
      <c r="J1311" s="25">
        <f t="shared" si="81"/>
        <v>41</v>
      </c>
    </row>
    <row r="1312" spans="1:10" ht="16.95" customHeight="1">
      <c r="A1312" s="97"/>
      <c r="B1312" s="97"/>
      <c r="C1312" s="50"/>
      <c r="D1312" s="50"/>
      <c r="E1312" s="50"/>
      <c r="F1312" s="51"/>
      <c r="G1312" s="51"/>
      <c r="J1312" s="25">
        <f t="shared" si="81"/>
        <v>41</v>
      </c>
    </row>
    <row r="1313" spans="1:10" ht="16.95" customHeight="1">
      <c r="A1313" s="95" t="s">
        <v>32</v>
      </c>
      <c r="B1313" s="95"/>
      <c r="C1313" s="95"/>
      <c r="D1313" s="95"/>
      <c r="E1313" s="95"/>
      <c r="F1313" s="95"/>
      <c r="G1313" s="95"/>
      <c r="J1313" s="25">
        <f t="shared" si="81"/>
        <v>42</v>
      </c>
    </row>
    <row r="1314" spans="1:10" ht="16.95" customHeight="1">
      <c r="A1314" s="51" t="s">
        <v>33</v>
      </c>
      <c r="B1314" s="51" t="s">
        <v>34</v>
      </c>
      <c r="C1314" s="94" t="s">
        <v>35</v>
      </c>
      <c r="D1314" s="94"/>
      <c r="E1314" s="51" t="s">
        <v>36</v>
      </c>
      <c r="F1314" s="51" t="s">
        <v>37</v>
      </c>
      <c r="G1314" s="51" t="s">
        <v>38</v>
      </c>
      <c r="J1314" s="25">
        <f t="shared" si="81"/>
        <v>42</v>
      </c>
    </row>
    <row r="1315" spans="1:10" ht="16.95" customHeight="1">
      <c r="A1315" s="51" t="s">
        <v>39</v>
      </c>
      <c r="B1315" s="6"/>
      <c r="C1315" s="94" t="e">
        <f>B1315+C1252</f>
        <v>#REF!</v>
      </c>
      <c r="D1315" s="94"/>
      <c r="E1315" s="51"/>
      <c r="F1315" s="24"/>
      <c r="G1315" s="24"/>
      <c r="J1315" s="25">
        <f t="shared" si="81"/>
        <v>42</v>
      </c>
    </row>
    <row r="1316" spans="1:10" ht="16.95" customHeight="1">
      <c r="A1316" s="51" t="s">
        <v>40</v>
      </c>
      <c r="B1316" s="6"/>
      <c r="C1316" s="94" t="e">
        <f>B1316+C1253</f>
        <v>#REF!</v>
      </c>
      <c r="D1316" s="94"/>
      <c r="E1316" s="51"/>
      <c r="F1316" s="24"/>
      <c r="G1316" s="24"/>
      <c r="J1316" s="25">
        <f t="shared" si="81"/>
        <v>42</v>
      </c>
    </row>
    <row r="1317" spans="1:10" ht="36.6" customHeight="1">
      <c r="A1317" s="95" t="s">
        <v>41</v>
      </c>
      <c r="B1317" s="95"/>
      <c r="C1317" s="95"/>
      <c r="D1317" s="95"/>
      <c r="E1317" s="95"/>
      <c r="F1317" s="95"/>
      <c r="G1317" s="95"/>
      <c r="J1317" s="25">
        <f t="shared" si="81"/>
        <v>42</v>
      </c>
    </row>
    <row r="1318" spans="1:10" ht="90" customHeight="1">
      <c r="A1318" s="92" t="s">
        <v>42</v>
      </c>
      <c r="B1318" s="92"/>
      <c r="C1318" s="92"/>
      <c r="D1318" s="92"/>
      <c r="E1318" s="92"/>
      <c r="F1318" s="92"/>
      <c r="G1318" s="92"/>
      <c r="J1318" s="25">
        <f t="shared" si="81"/>
        <v>42</v>
      </c>
    </row>
    <row r="1319" spans="1:10" ht="16.95" customHeight="1">
      <c r="A1319" s="95" t="s">
        <v>43</v>
      </c>
      <c r="B1319" s="95"/>
      <c r="C1319" s="95"/>
      <c r="D1319" s="95"/>
      <c r="E1319" s="95"/>
      <c r="F1319" s="95"/>
      <c r="G1319" s="95"/>
      <c r="J1319" s="25">
        <f t="shared" si="81"/>
        <v>42</v>
      </c>
    </row>
    <row r="1320" spans="1:10" ht="16.95" customHeight="1">
      <c r="A1320" s="95" t="s">
        <v>44</v>
      </c>
      <c r="B1320" s="95"/>
      <c r="C1320" s="95"/>
      <c r="D1320" s="95"/>
      <c r="E1320" s="95"/>
      <c r="F1320" s="95"/>
      <c r="G1320" s="95"/>
      <c r="J1320" s="25">
        <f t="shared" si="81"/>
        <v>42</v>
      </c>
    </row>
    <row r="1321" spans="1:10" ht="16.95" customHeight="1">
      <c r="A1321" s="91" t="s">
        <v>64</v>
      </c>
      <c r="B1321" s="91"/>
      <c r="C1321" s="91"/>
      <c r="D1321" s="91"/>
      <c r="E1321" s="91"/>
      <c r="F1321" s="91"/>
      <c r="G1321" s="91"/>
      <c r="J1321" s="25">
        <f t="shared" si="81"/>
        <v>42</v>
      </c>
    </row>
    <row r="1322" spans="1:10" ht="120.6" customHeight="1">
      <c r="A1322" s="92" t="s">
        <v>45</v>
      </c>
      <c r="B1322" s="92"/>
      <c r="C1322" s="92"/>
      <c r="D1322" s="92"/>
      <c r="E1322" s="92"/>
      <c r="F1322" s="92"/>
      <c r="G1322" s="92"/>
      <c r="J1322" s="25">
        <f t="shared" si="81"/>
        <v>42</v>
      </c>
    </row>
    <row r="1323" spans="1:10" ht="140.4" customHeight="1">
      <c r="A1323" s="93" t="s">
        <v>46</v>
      </c>
      <c r="B1323" s="93"/>
      <c r="C1323" s="93"/>
      <c r="D1323" s="93"/>
      <c r="E1323" s="93"/>
      <c r="F1323" s="93"/>
      <c r="G1323" s="93"/>
      <c r="J1323" s="25">
        <f t="shared" si="81"/>
        <v>42</v>
      </c>
    </row>
    <row r="1324" spans="1:10" ht="37.200000000000003" customHeight="1">
      <c r="A1324" s="103" t="s">
        <v>0</v>
      </c>
      <c r="B1324" s="103"/>
      <c r="C1324" s="103"/>
      <c r="D1324" s="103"/>
      <c r="E1324" s="103"/>
      <c r="F1324" s="103"/>
      <c r="G1324" s="103"/>
      <c r="J1324" s="25">
        <f t="shared" si="81"/>
        <v>43</v>
      </c>
    </row>
    <row r="1325" spans="1:10" ht="16.95" customHeight="1">
      <c r="A1325" s="1" t="s">
        <v>1</v>
      </c>
      <c r="B1325" s="104">
        <f>B1262+1</f>
        <v>23</v>
      </c>
      <c r="C1325" s="104"/>
      <c r="D1325" s="104"/>
      <c r="E1325" s="104"/>
      <c r="F1325" s="104"/>
      <c r="G1325" s="104"/>
      <c r="J1325" s="25">
        <f t="shared" si="81"/>
        <v>43</v>
      </c>
    </row>
    <row r="1326" spans="1:10" ht="16.95" customHeight="1">
      <c r="A1326" s="1" t="s">
        <v>2</v>
      </c>
      <c r="B1326" s="105" t="s">
        <v>63</v>
      </c>
      <c r="C1326" s="105"/>
      <c r="D1326" s="105"/>
      <c r="E1326" s="106">
        <f>E1263+1</f>
        <v>46225</v>
      </c>
      <c r="F1326" s="106"/>
      <c r="G1326" s="106"/>
      <c r="J1326" s="25">
        <f t="shared" si="81"/>
        <v>43</v>
      </c>
    </row>
    <row r="1327" spans="1:10" ht="16.95" customHeight="1">
      <c r="A1327" s="53" t="s">
        <v>3</v>
      </c>
      <c r="B1327" s="2" t="s">
        <v>67</v>
      </c>
      <c r="C1327" s="98" t="s">
        <v>4</v>
      </c>
      <c r="D1327" s="98"/>
      <c r="E1327" s="98" t="s">
        <v>47</v>
      </c>
      <c r="F1327" s="98"/>
      <c r="G1327" s="98"/>
      <c r="J1327" s="25">
        <f t="shared" si="81"/>
        <v>43</v>
      </c>
    </row>
    <row r="1328" spans="1:10" ht="16.95" customHeight="1">
      <c r="A1328" s="53" t="s">
        <v>5</v>
      </c>
      <c r="B1328" s="54">
        <v>120</v>
      </c>
      <c r="C1328" s="98" t="s">
        <v>6</v>
      </c>
      <c r="D1328" s="98"/>
      <c r="E1328" s="98" t="s">
        <v>123</v>
      </c>
      <c r="F1328" s="98"/>
      <c r="G1328" s="98"/>
      <c r="J1328" s="25">
        <f t="shared" si="81"/>
        <v>43</v>
      </c>
    </row>
    <row r="1329" spans="1:10" ht="16.95" customHeight="1">
      <c r="A1329" s="53" t="s">
        <v>7</v>
      </c>
      <c r="B1329" s="54">
        <f>B1325</f>
        <v>23</v>
      </c>
      <c r="C1329" s="100" t="s">
        <v>8</v>
      </c>
      <c r="D1329" s="100"/>
      <c r="E1329" s="101">
        <f>B1328-B1329</f>
        <v>97</v>
      </c>
      <c r="F1329" s="101"/>
      <c r="G1329" s="101"/>
      <c r="J1329" s="25">
        <f t="shared" si="81"/>
        <v>43</v>
      </c>
    </row>
    <row r="1330" spans="1:10" ht="16.95" customHeight="1">
      <c r="A1330" s="53" t="s">
        <v>9</v>
      </c>
      <c r="B1330" s="55">
        <v>46204</v>
      </c>
      <c r="C1330" s="98" t="s">
        <v>10</v>
      </c>
      <c r="D1330" s="98"/>
      <c r="E1330" s="102">
        <f>B1330+B1328-1</f>
        <v>46323</v>
      </c>
      <c r="F1330" s="102"/>
      <c r="G1330" s="102"/>
      <c r="J1330" s="25">
        <f t="shared" si="81"/>
        <v>43</v>
      </c>
    </row>
    <row r="1331" spans="1:10" ht="16.95" customHeight="1">
      <c r="A1331" s="53" t="s">
        <v>11</v>
      </c>
      <c r="B1331" s="56" t="e">
        <f>HLOOKUP(B1325,進度表!$Q$2:$Z$3,2,1)+B1268</f>
        <v>#REF!</v>
      </c>
      <c r="C1331" s="98" t="s">
        <v>12</v>
      </c>
      <c r="D1331" s="98"/>
      <c r="E1331" s="99" t="e">
        <f>I1369/I1331+E1268</f>
        <v>#REF!</v>
      </c>
      <c r="F1331" s="99"/>
      <c r="G1331" s="99"/>
      <c r="H1331" s="3" t="s">
        <v>62</v>
      </c>
      <c r="I1331" s="1">
        <v>2456000</v>
      </c>
      <c r="J1331" s="25">
        <f t="shared" si="81"/>
        <v>43</v>
      </c>
    </row>
    <row r="1332" spans="1:10" ht="16.95" customHeight="1">
      <c r="A1332" s="98" t="s">
        <v>13</v>
      </c>
      <c r="B1332" s="98"/>
      <c r="C1332" s="98"/>
      <c r="D1332" s="98"/>
      <c r="E1332" s="98"/>
      <c r="F1332" s="98"/>
      <c r="G1332" s="98"/>
      <c r="J1332" s="25">
        <f t="shared" si="81"/>
        <v>43</v>
      </c>
    </row>
    <row r="1333" spans="1:10" ht="16.95" customHeight="1">
      <c r="A1333" s="52" t="s">
        <v>14</v>
      </c>
      <c r="B1333" s="52" t="s">
        <v>15</v>
      </c>
      <c r="C1333" s="52" t="s">
        <v>16</v>
      </c>
      <c r="D1333" s="52" t="s">
        <v>17</v>
      </c>
      <c r="E1333" s="52" t="s">
        <v>18</v>
      </c>
      <c r="F1333" s="52" t="s">
        <v>19</v>
      </c>
      <c r="G1333" s="52" t="s">
        <v>20</v>
      </c>
      <c r="H1333" s="3" t="s">
        <v>21</v>
      </c>
      <c r="I1333" s="3" t="s">
        <v>22</v>
      </c>
      <c r="J1333" s="25">
        <f t="shared" si="81"/>
        <v>43</v>
      </c>
    </row>
    <row r="1334" spans="1:10" ht="16.95" customHeight="1">
      <c r="A1334" s="75" t="s">
        <v>65</v>
      </c>
      <c r="B1334" s="76" t="s">
        <v>69</v>
      </c>
      <c r="C1334" s="77"/>
      <c r="D1334" s="78"/>
      <c r="E1334" s="79"/>
      <c r="F1334" s="79"/>
      <c r="G1334" s="2"/>
      <c r="H1334" s="37"/>
      <c r="I1334" s="4"/>
      <c r="J1334" s="25">
        <f t="shared" si="81"/>
        <v>43</v>
      </c>
    </row>
    <row r="1335" spans="1:10" ht="34.950000000000003" customHeight="1">
      <c r="A1335" s="75">
        <v>1</v>
      </c>
      <c r="B1335" s="80" t="s">
        <v>91</v>
      </c>
      <c r="C1335" s="77" t="s">
        <v>48</v>
      </c>
      <c r="D1335" s="78">
        <v>1</v>
      </c>
      <c r="E1335" s="79"/>
      <c r="F1335" s="79" t="e">
        <f t="shared" ref="F1335:F1368" si="83">E1335+F1272</f>
        <v>#REF!</v>
      </c>
      <c r="G1335" s="2"/>
      <c r="H1335" s="37">
        <v>10508</v>
      </c>
      <c r="I1335" s="4">
        <f>H1335*E1335</f>
        <v>0</v>
      </c>
      <c r="J1335" s="25">
        <f t="shared" si="81"/>
        <v>43</v>
      </c>
    </row>
    <row r="1336" spans="1:10" ht="34.799999999999997" customHeight="1">
      <c r="A1336" s="75">
        <v>2</v>
      </c>
      <c r="B1336" s="80" t="s">
        <v>92</v>
      </c>
      <c r="C1336" s="77" t="s">
        <v>48</v>
      </c>
      <c r="D1336" s="78">
        <v>1</v>
      </c>
      <c r="E1336" s="79"/>
      <c r="F1336" s="79" t="e">
        <f t="shared" si="83"/>
        <v>#REF!</v>
      </c>
      <c r="G1336" s="2"/>
      <c r="H1336" s="37">
        <v>13223</v>
      </c>
      <c r="I1336" s="4">
        <f>H1336*E1336</f>
        <v>0</v>
      </c>
      <c r="J1336" s="25">
        <f t="shared" si="81"/>
        <v>43</v>
      </c>
    </row>
    <row r="1337" spans="1:10" ht="53.4" customHeight="1">
      <c r="A1337" s="75">
        <v>3</v>
      </c>
      <c r="B1337" s="80" t="s">
        <v>93</v>
      </c>
      <c r="C1337" s="77" t="s">
        <v>48</v>
      </c>
      <c r="D1337" s="78">
        <v>1</v>
      </c>
      <c r="E1337" s="79"/>
      <c r="F1337" s="79" t="e">
        <f t="shared" si="83"/>
        <v>#REF!</v>
      </c>
      <c r="G1337" s="2"/>
      <c r="H1337" s="37">
        <v>310497</v>
      </c>
      <c r="I1337" s="4">
        <f t="shared" ref="I1337:I1368" si="84">H1337*E1337</f>
        <v>0</v>
      </c>
      <c r="J1337" s="25">
        <f t="shared" si="81"/>
        <v>43</v>
      </c>
    </row>
    <row r="1338" spans="1:10" ht="16.95" customHeight="1">
      <c r="A1338" s="75">
        <v>4</v>
      </c>
      <c r="B1338" s="80" t="s">
        <v>94</v>
      </c>
      <c r="C1338" s="77" t="s">
        <v>48</v>
      </c>
      <c r="D1338" s="78">
        <v>1</v>
      </c>
      <c r="E1338" s="79"/>
      <c r="F1338" s="79" t="e">
        <f t="shared" si="83"/>
        <v>#REF!</v>
      </c>
      <c r="G1338" s="2"/>
      <c r="H1338" s="37">
        <v>8375</v>
      </c>
      <c r="I1338" s="4">
        <f t="shared" si="84"/>
        <v>0</v>
      </c>
      <c r="J1338" s="25">
        <f t="shared" si="81"/>
        <v>43</v>
      </c>
    </row>
    <row r="1339" spans="1:10" ht="16.95" customHeight="1">
      <c r="A1339" s="75">
        <v>5</v>
      </c>
      <c r="B1339" s="80" t="s">
        <v>95</v>
      </c>
      <c r="C1339" s="77" t="s">
        <v>48</v>
      </c>
      <c r="D1339" s="78">
        <v>1</v>
      </c>
      <c r="E1339" s="79"/>
      <c r="F1339" s="79" t="e">
        <f t="shared" si="83"/>
        <v>#REF!</v>
      </c>
      <c r="G1339" s="2"/>
      <c r="H1339" s="37">
        <v>51618</v>
      </c>
      <c r="I1339" s="4">
        <f t="shared" si="84"/>
        <v>0</v>
      </c>
      <c r="J1339" s="25">
        <f t="shared" ref="J1339:J1402" si="85">J1276+2</f>
        <v>43</v>
      </c>
    </row>
    <row r="1340" spans="1:10" ht="16.95" customHeight="1">
      <c r="A1340" s="75">
        <v>6</v>
      </c>
      <c r="B1340" s="80" t="s">
        <v>96</v>
      </c>
      <c r="C1340" s="77" t="s">
        <v>50</v>
      </c>
      <c r="D1340" s="78">
        <v>11.55</v>
      </c>
      <c r="E1340" s="79"/>
      <c r="F1340" s="79" t="e">
        <f t="shared" si="83"/>
        <v>#REF!</v>
      </c>
      <c r="G1340" s="2"/>
      <c r="H1340" s="37">
        <v>1188</v>
      </c>
      <c r="I1340" s="4">
        <f t="shared" si="84"/>
        <v>0</v>
      </c>
      <c r="J1340" s="25">
        <f t="shared" si="85"/>
        <v>43</v>
      </c>
    </row>
    <row r="1341" spans="1:10" ht="34.950000000000003" customHeight="1">
      <c r="A1341" s="75">
        <v>7</v>
      </c>
      <c r="B1341" s="80" t="s">
        <v>97</v>
      </c>
      <c r="C1341" s="77" t="s">
        <v>48</v>
      </c>
      <c r="D1341" s="78">
        <v>1</v>
      </c>
      <c r="E1341" s="79"/>
      <c r="F1341" s="79" t="e">
        <f t="shared" si="83"/>
        <v>#REF!</v>
      </c>
      <c r="G1341" s="2"/>
      <c r="H1341" s="37">
        <v>21157</v>
      </c>
      <c r="I1341" s="4">
        <f t="shared" si="84"/>
        <v>0</v>
      </c>
      <c r="J1341" s="25">
        <f t="shared" si="85"/>
        <v>43</v>
      </c>
    </row>
    <row r="1342" spans="1:10" ht="16.95" customHeight="1">
      <c r="A1342" s="75">
        <v>8</v>
      </c>
      <c r="B1342" s="80" t="s">
        <v>98</v>
      </c>
      <c r="C1342" s="77" t="s">
        <v>50</v>
      </c>
      <c r="D1342" s="78">
        <v>387</v>
      </c>
      <c r="E1342" s="79"/>
      <c r="F1342" s="79" t="e">
        <f t="shared" si="83"/>
        <v>#REF!</v>
      </c>
      <c r="G1342" s="2"/>
      <c r="H1342" s="37">
        <v>705</v>
      </c>
      <c r="I1342" s="4">
        <f t="shared" si="84"/>
        <v>0</v>
      </c>
      <c r="J1342" s="25">
        <f t="shared" si="85"/>
        <v>43</v>
      </c>
    </row>
    <row r="1343" spans="1:10" ht="16.95" customHeight="1">
      <c r="A1343" s="75">
        <v>9</v>
      </c>
      <c r="B1343" s="80" t="s">
        <v>99</v>
      </c>
      <c r="C1343" s="77" t="s">
        <v>50</v>
      </c>
      <c r="D1343" s="78">
        <v>170</v>
      </c>
      <c r="E1343" s="79"/>
      <c r="F1343" s="79" t="e">
        <f t="shared" si="83"/>
        <v>#REF!</v>
      </c>
      <c r="G1343" s="2"/>
      <c r="H1343" s="37">
        <v>617</v>
      </c>
      <c r="I1343" s="4">
        <f t="shared" si="84"/>
        <v>0</v>
      </c>
      <c r="J1343" s="25">
        <f t="shared" si="85"/>
        <v>43</v>
      </c>
    </row>
    <row r="1344" spans="1:10" ht="16.95" customHeight="1">
      <c r="A1344" s="75">
        <v>10</v>
      </c>
      <c r="B1344" s="80" t="s">
        <v>100</v>
      </c>
      <c r="C1344" s="77" t="s">
        <v>66</v>
      </c>
      <c r="D1344" s="78">
        <v>15</v>
      </c>
      <c r="E1344" s="79"/>
      <c r="F1344" s="79" t="e">
        <f t="shared" si="83"/>
        <v>#REF!</v>
      </c>
      <c r="G1344" s="2"/>
      <c r="H1344" s="37">
        <v>617</v>
      </c>
      <c r="I1344" s="4">
        <f t="shared" si="84"/>
        <v>0</v>
      </c>
      <c r="J1344" s="25">
        <f t="shared" si="85"/>
        <v>43</v>
      </c>
    </row>
    <row r="1345" spans="1:10" ht="16.95" customHeight="1">
      <c r="A1345" s="75">
        <v>11</v>
      </c>
      <c r="B1345" s="80" t="s">
        <v>101</v>
      </c>
      <c r="C1345" s="77" t="s">
        <v>50</v>
      </c>
      <c r="D1345" s="78">
        <v>75</v>
      </c>
      <c r="E1345" s="79"/>
      <c r="F1345" s="79" t="e">
        <f t="shared" si="83"/>
        <v>#REF!</v>
      </c>
      <c r="G1345" s="2"/>
      <c r="H1345" s="37">
        <v>1146</v>
      </c>
      <c r="I1345" s="4">
        <f t="shared" si="84"/>
        <v>0</v>
      </c>
      <c r="J1345" s="25">
        <f t="shared" si="85"/>
        <v>43</v>
      </c>
    </row>
    <row r="1346" spans="1:10" ht="16.95" customHeight="1">
      <c r="A1346" s="75">
        <v>12</v>
      </c>
      <c r="B1346" s="80" t="s">
        <v>102</v>
      </c>
      <c r="C1346" s="77" t="s">
        <v>50</v>
      </c>
      <c r="D1346" s="78">
        <v>5</v>
      </c>
      <c r="E1346" s="79"/>
      <c r="F1346" s="79" t="e">
        <f t="shared" si="83"/>
        <v>#REF!</v>
      </c>
      <c r="G1346" s="2"/>
      <c r="H1346" s="37">
        <v>1455</v>
      </c>
      <c r="I1346" s="4">
        <f t="shared" si="84"/>
        <v>0</v>
      </c>
      <c r="J1346" s="25">
        <f t="shared" si="85"/>
        <v>43</v>
      </c>
    </row>
    <row r="1347" spans="1:10" ht="16.95" customHeight="1">
      <c r="A1347" s="75">
        <v>13</v>
      </c>
      <c r="B1347" s="80" t="s">
        <v>103</v>
      </c>
      <c r="C1347" s="77" t="s">
        <v>50</v>
      </c>
      <c r="D1347" s="78">
        <v>217</v>
      </c>
      <c r="E1347" s="79"/>
      <c r="F1347" s="79" t="e">
        <f t="shared" si="83"/>
        <v>#REF!</v>
      </c>
      <c r="G1347" s="2"/>
      <c r="H1347" s="37">
        <v>1410</v>
      </c>
      <c r="I1347" s="4">
        <f t="shared" si="84"/>
        <v>0</v>
      </c>
      <c r="J1347" s="25">
        <f t="shared" si="85"/>
        <v>43</v>
      </c>
    </row>
    <row r="1348" spans="1:10" ht="16.95" customHeight="1">
      <c r="A1348" s="75">
        <v>14</v>
      </c>
      <c r="B1348" s="80" t="s">
        <v>104</v>
      </c>
      <c r="C1348" s="77" t="s">
        <v>49</v>
      </c>
      <c r="D1348" s="78">
        <v>84</v>
      </c>
      <c r="E1348" s="79"/>
      <c r="F1348" s="79" t="e">
        <f t="shared" si="83"/>
        <v>#REF!</v>
      </c>
      <c r="G1348" s="2"/>
      <c r="H1348" s="37">
        <v>529</v>
      </c>
      <c r="I1348" s="4">
        <f t="shared" si="84"/>
        <v>0</v>
      </c>
      <c r="J1348" s="25">
        <f t="shared" si="85"/>
        <v>43</v>
      </c>
    </row>
    <row r="1349" spans="1:10" ht="16.95" customHeight="1">
      <c r="A1349" s="75">
        <v>15</v>
      </c>
      <c r="B1349" s="80" t="s">
        <v>105</v>
      </c>
      <c r="C1349" s="77" t="s">
        <v>50</v>
      </c>
      <c r="D1349" s="78">
        <v>1</v>
      </c>
      <c r="E1349" s="79"/>
      <c r="F1349" s="79" t="e">
        <f t="shared" si="83"/>
        <v>#REF!</v>
      </c>
      <c r="G1349" s="2"/>
      <c r="H1349" s="37">
        <v>1146</v>
      </c>
      <c r="I1349" s="4">
        <f t="shared" si="84"/>
        <v>0</v>
      </c>
      <c r="J1349" s="25">
        <f t="shared" si="85"/>
        <v>43</v>
      </c>
    </row>
    <row r="1350" spans="1:10" ht="34.799999999999997" customHeight="1">
      <c r="A1350" s="75">
        <v>16</v>
      </c>
      <c r="B1350" s="80" t="s">
        <v>106</v>
      </c>
      <c r="C1350" s="77" t="s">
        <v>50</v>
      </c>
      <c r="D1350" s="78">
        <v>314</v>
      </c>
      <c r="E1350" s="79"/>
      <c r="F1350" s="79" t="e">
        <f t="shared" si="83"/>
        <v>#REF!</v>
      </c>
      <c r="G1350" s="2"/>
      <c r="H1350" s="37">
        <v>185</v>
      </c>
      <c r="I1350" s="4">
        <f t="shared" si="84"/>
        <v>0</v>
      </c>
      <c r="J1350" s="25">
        <f t="shared" si="85"/>
        <v>43</v>
      </c>
    </row>
    <row r="1351" spans="1:10" ht="16.95" customHeight="1">
      <c r="A1351" s="75">
        <v>17</v>
      </c>
      <c r="B1351" s="80" t="s">
        <v>107</v>
      </c>
      <c r="C1351" s="77" t="s">
        <v>48</v>
      </c>
      <c r="D1351" s="78">
        <v>1</v>
      </c>
      <c r="E1351" s="79"/>
      <c r="F1351" s="79" t="e">
        <f t="shared" si="83"/>
        <v>#REF!</v>
      </c>
      <c r="G1351" s="2"/>
      <c r="H1351" s="37">
        <v>89918</v>
      </c>
      <c r="I1351" s="4">
        <f t="shared" si="84"/>
        <v>0</v>
      </c>
      <c r="J1351" s="25">
        <f t="shared" si="85"/>
        <v>43</v>
      </c>
    </row>
    <row r="1352" spans="1:10" ht="16.95" customHeight="1">
      <c r="A1352" s="75">
        <v>18</v>
      </c>
      <c r="B1352" s="80" t="s">
        <v>108</v>
      </c>
      <c r="C1352" s="77" t="s">
        <v>120</v>
      </c>
      <c r="D1352" s="78">
        <v>15</v>
      </c>
      <c r="E1352" s="79"/>
      <c r="F1352" s="79" t="e">
        <f t="shared" si="83"/>
        <v>#REF!</v>
      </c>
      <c r="G1352" s="2"/>
      <c r="H1352" s="37">
        <v>661</v>
      </c>
      <c r="I1352" s="4">
        <f t="shared" si="84"/>
        <v>0</v>
      </c>
      <c r="J1352" s="25">
        <f t="shared" si="85"/>
        <v>43</v>
      </c>
    </row>
    <row r="1353" spans="1:10" ht="16.95" customHeight="1">
      <c r="A1353" s="75">
        <v>19</v>
      </c>
      <c r="B1353" s="80" t="s">
        <v>109</v>
      </c>
      <c r="C1353" s="77" t="s">
        <v>50</v>
      </c>
      <c r="D1353" s="78">
        <v>82</v>
      </c>
      <c r="E1353" s="79"/>
      <c r="F1353" s="79" t="e">
        <f t="shared" si="83"/>
        <v>#REF!</v>
      </c>
      <c r="G1353" s="2"/>
      <c r="H1353" s="37">
        <v>2909</v>
      </c>
      <c r="I1353" s="4">
        <f t="shared" si="84"/>
        <v>0</v>
      </c>
      <c r="J1353" s="25">
        <f t="shared" si="85"/>
        <v>43</v>
      </c>
    </row>
    <row r="1354" spans="1:10" ht="16.95" customHeight="1">
      <c r="A1354" s="75">
        <v>20</v>
      </c>
      <c r="B1354" s="80" t="s">
        <v>110</v>
      </c>
      <c r="C1354" s="77" t="s">
        <v>121</v>
      </c>
      <c r="D1354" s="78">
        <v>12</v>
      </c>
      <c r="E1354" s="79"/>
      <c r="F1354" s="79" t="e">
        <f t="shared" si="83"/>
        <v>#REF!</v>
      </c>
      <c r="G1354" s="2"/>
      <c r="H1354" s="37">
        <v>882</v>
      </c>
      <c r="I1354" s="4">
        <f t="shared" si="84"/>
        <v>0</v>
      </c>
      <c r="J1354" s="25">
        <f t="shared" si="85"/>
        <v>43</v>
      </c>
    </row>
    <row r="1355" spans="1:10" ht="16.95" customHeight="1">
      <c r="A1355" s="77">
        <v>21</v>
      </c>
      <c r="B1355" s="80" t="s">
        <v>111</v>
      </c>
      <c r="C1355" s="77" t="s">
        <v>122</v>
      </c>
      <c r="D1355" s="78">
        <v>3</v>
      </c>
      <c r="E1355" s="79"/>
      <c r="F1355" s="79" t="e">
        <f t="shared" si="83"/>
        <v>#REF!</v>
      </c>
      <c r="G1355" s="2"/>
      <c r="H1355" s="38">
        <v>1869</v>
      </c>
      <c r="I1355" s="4">
        <f t="shared" si="84"/>
        <v>0</v>
      </c>
      <c r="J1355" s="25">
        <f t="shared" si="85"/>
        <v>43</v>
      </c>
    </row>
    <row r="1356" spans="1:10" ht="34.950000000000003" customHeight="1">
      <c r="A1356" s="75">
        <v>22</v>
      </c>
      <c r="B1356" s="80" t="s">
        <v>112</v>
      </c>
      <c r="C1356" s="77" t="s">
        <v>48</v>
      </c>
      <c r="D1356" s="78">
        <v>1</v>
      </c>
      <c r="E1356" s="79"/>
      <c r="F1356" s="79" t="e">
        <f t="shared" si="83"/>
        <v>#REF!</v>
      </c>
      <c r="G1356" s="2"/>
      <c r="H1356" s="37">
        <v>82206</v>
      </c>
      <c r="I1356" s="4">
        <f t="shared" si="84"/>
        <v>0</v>
      </c>
      <c r="J1356" s="25">
        <f t="shared" si="85"/>
        <v>43</v>
      </c>
    </row>
    <row r="1357" spans="1:10" ht="16.95" customHeight="1">
      <c r="A1357" s="75">
        <v>23</v>
      </c>
      <c r="B1357" s="80" t="s">
        <v>113</v>
      </c>
      <c r="C1357" s="77" t="s">
        <v>48</v>
      </c>
      <c r="D1357" s="78">
        <v>1</v>
      </c>
      <c r="E1357" s="79"/>
      <c r="F1357" s="79" t="e">
        <f t="shared" si="83"/>
        <v>#REF!</v>
      </c>
      <c r="G1357" s="2"/>
      <c r="H1357" s="37">
        <v>142723</v>
      </c>
      <c r="I1357" s="4">
        <f t="shared" si="84"/>
        <v>0</v>
      </c>
      <c r="J1357" s="25">
        <f t="shared" si="85"/>
        <v>43</v>
      </c>
    </row>
    <row r="1358" spans="1:10" ht="16.95" customHeight="1">
      <c r="A1358" s="75">
        <v>24</v>
      </c>
      <c r="B1358" s="80" t="s">
        <v>114</v>
      </c>
      <c r="C1358" s="77" t="s">
        <v>48</v>
      </c>
      <c r="D1358" s="78">
        <v>1</v>
      </c>
      <c r="E1358" s="79"/>
      <c r="F1358" s="79" t="e">
        <f t="shared" si="83"/>
        <v>#REF!</v>
      </c>
      <c r="G1358" s="2"/>
      <c r="H1358" s="37">
        <v>37290</v>
      </c>
      <c r="I1358" s="4">
        <f t="shared" si="84"/>
        <v>0</v>
      </c>
      <c r="J1358" s="25">
        <f t="shared" si="85"/>
        <v>43</v>
      </c>
    </row>
    <row r="1359" spans="1:10" ht="16.95" customHeight="1">
      <c r="A1359" s="75">
        <v>25</v>
      </c>
      <c r="B1359" s="80" t="s">
        <v>115</v>
      </c>
      <c r="C1359" s="77" t="s">
        <v>48</v>
      </c>
      <c r="D1359" s="78">
        <v>1</v>
      </c>
      <c r="E1359" s="79"/>
      <c r="F1359" s="79" t="e">
        <f t="shared" si="83"/>
        <v>#REF!</v>
      </c>
      <c r="G1359" s="2"/>
      <c r="H1359" s="37">
        <v>99394</v>
      </c>
      <c r="I1359" s="4">
        <f t="shared" si="84"/>
        <v>0</v>
      </c>
      <c r="J1359" s="25">
        <f t="shared" si="85"/>
        <v>43</v>
      </c>
    </row>
    <row r="1360" spans="1:10" ht="34.950000000000003" customHeight="1">
      <c r="A1360" s="75">
        <v>26</v>
      </c>
      <c r="B1360" s="80" t="s">
        <v>116</v>
      </c>
      <c r="C1360" s="77" t="s">
        <v>48</v>
      </c>
      <c r="D1360" s="78">
        <v>1</v>
      </c>
      <c r="E1360" s="79"/>
      <c r="F1360" s="79" t="e">
        <f t="shared" si="83"/>
        <v>#REF!</v>
      </c>
      <c r="G1360" s="2"/>
      <c r="H1360" s="37">
        <v>21334</v>
      </c>
      <c r="I1360" s="4">
        <f t="shared" si="84"/>
        <v>0</v>
      </c>
      <c r="J1360" s="25">
        <f t="shared" si="85"/>
        <v>43</v>
      </c>
    </row>
    <row r="1361" spans="1:10" ht="16.95" customHeight="1">
      <c r="A1361" s="75">
        <v>27</v>
      </c>
      <c r="B1361" s="80" t="s">
        <v>117</v>
      </c>
      <c r="C1361" s="77" t="s">
        <v>48</v>
      </c>
      <c r="D1361" s="78">
        <v>1</v>
      </c>
      <c r="E1361" s="79"/>
      <c r="F1361" s="79" t="e">
        <f t="shared" si="83"/>
        <v>#REF!</v>
      </c>
      <c r="G1361" s="2"/>
      <c r="H1361" s="37">
        <v>29620</v>
      </c>
      <c r="I1361" s="4">
        <f t="shared" si="84"/>
        <v>0</v>
      </c>
      <c r="J1361" s="25">
        <f t="shared" si="85"/>
        <v>43</v>
      </c>
    </row>
    <row r="1362" spans="1:10" ht="16.95" customHeight="1">
      <c r="A1362" s="75">
        <v>28</v>
      </c>
      <c r="B1362" s="80" t="s">
        <v>118</v>
      </c>
      <c r="C1362" s="77" t="s">
        <v>48</v>
      </c>
      <c r="D1362" s="78">
        <v>1</v>
      </c>
      <c r="E1362" s="79"/>
      <c r="F1362" s="79" t="e">
        <f t="shared" si="83"/>
        <v>#REF!</v>
      </c>
      <c r="G1362" s="2"/>
      <c r="H1362" s="37">
        <v>18506</v>
      </c>
      <c r="I1362" s="4">
        <f t="shared" si="84"/>
        <v>0</v>
      </c>
      <c r="J1362" s="25">
        <f t="shared" si="85"/>
        <v>43</v>
      </c>
    </row>
    <row r="1363" spans="1:10" ht="16.95" customHeight="1">
      <c r="A1363" s="75">
        <v>29</v>
      </c>
      <c r="B1363" s="80" t="s">
        <v>119</v>
      </c>
      <c r="C1363" s="77" t="s">
        <v>48</v>
      </c>
      <c r="D1363" s="78">
        <v>1</v>
      </c>
      <c r="E1363" s="79"/>
      <c r="F1363" s="79" t="e">
        <f t="shared" si="83"/>
        <v>#REF!</v>
      </c>
      <c r="G1363" s="2"/>
      <c r="H1363" s="37">
        <v>34381</v>
      </c>
      <c r="I1363" s="4">
        <f t="shared" si="84"/>
        <v>0</v>
      </c>
      <c r="J1363" s="25">
        <f t="shared" si="85"/>
        <v>43</v>
      </c>
    </row>
    <row r="1364" spans="1:10" ht="16.95" customHeight="1">
      <c r="A1364" s="75" t="s">
        <v>79</v>
      </c>
      <c r="B1364" s="80" t="s">
        <v>80</v>
      </c>
      <c r="C1364" s="77" t="s">
        <v>48</v>
      </c>
      <c r="D1364" s="78">
        <v>1</v>
      </c>
      <c r="E1364" s="79">
        <f t="shared" ref="E1364:E1367" si="86">1/120</f>
        <v>8.3333333333333332E-3</v>
      </c>
      <c r="F1364" s="79" t="e">
        <f t="shared" si="83"/>
        <v>#REF!</v>
      </c>
      <c r="G1364" s="2"/>
      <c r="H1364" s="37">
        <v>21395</v>
      </c>
      <c r="I1364" s="4">
        <f t="shared" si="84"/>
        <v>178.29166666666666</v>
      </c>
      <c r="J1364" s="25">
        <f t="shared" si="85"/>
        <v>43</v>
      </c>
    </row>
    <row r="1365" spans="1:10" ht="16.95" customHeight="1">
      <c r="A1365" s="75" t="s">
        <v>81</v>
      </c>
      <c r="B1365" s="80" t="s">
        <v>82</v>
      </c>
      <c r="C1365" s="77" t="s">
        <v>48</v>
      </c>
      <c r="D1365" s="78">
        <v>1</v>
      </c>
      <c r="E1365" s="79">
        <f t="shared" si="86"/>
        <v>8.3333333333333332E-3</v>
      </c>
      <c r="F1365" s="79" t="e">
        <f t="shared" si="83"/>
        <v>#REF!</v>
      </c>
      <c r="G1365" s="2"/>
      <c r="H1365" s="37">
        <v>21395</v>
      </c>
      <c r="I1365" s="4">
        <f t="shared" si="84"/>
        <v>178.29166666666666</v>
      </c>
      <c r="J1365" s="25">
        <f t="shared" si="85"/>
        <v>43</v>
      </c>
    </row>
    <row r="1366" spans="1:10" ht="16.95" customHeight="1">
      <c r="A1366" s="75" t="s">
        <v>83</v>
      </c>
      <c r="B1366" s="80" t="s">
        <v>84</v>
      </c>
      <c r="C1366" s="77" t="s">
        <v>48</v>
      </c>
      <c r="D1366" s="78">
        <v>1</v>
      </c>
      <c r="E1366" s="79">
        <f t="shared" si="86"/>
        <v>8.3333333333333332E-3</v>
      </c>
      <c r="F1366" s="79" t="e">
        <f t="shared" si="83"/>
        <v>#REF!</v>
      </c>
      <c r="G1366" s="2"/>
      <c r="H1366" s="37">
        <v>149765</v>
      </c>
      <c r="I1366" s="4">
        <f t="shared" si="84"/>
        <v>1248.0416666666667</v>
      </c>
      <c r="J1366" s="25">
        <f t="shared" si="85"/>
        <v>43</v>
      </c>
    </row>
    <row r="1367" spans="1:10" ht="16.95" customHeight="1">
      <c r="A1367" s="75" t="s">
        <v>85</v>
      </c>
      <c r="B1367" s="80" t="s">
        <v>86</v>
      </c>
      <c r="C1367" s="77" t="s">
        <v>48</v>
      </c>
      <c r="D1367" s="78">
        <v>1</v>
      </c>
      <c r="E1367" s="79">
        <f t="shared" si="86"/>
        <v>8.3333333333333332E-3</v>
      </c>
      <c r="F1367" s="79" t="e">
        <f t="shared" si="83"/>
        <v>#REF!</v>
      </c>
      <c r="G1367" s="2"/>
      <c r="H1367" s="37">
        <v>6996</v>
      </c>
      <c r="I1367" s="4">
        <f t="shared" si="84"/>
        <v>58.3</v>
      </c>
      <c r="J1367" s="25">
        <f t="shared" si="85"/>
        <v>43</v>
      </c>
    </row>
    <row r="1368" spans="1:10" ht="16.95" customHeight="1">
      <c r="A1368" s="75" t="s">
        <v>87</v>
      </c>
      <c r="B1368" s="80" t="s">
        <v>88</v>
      </c>
      <c r="C1368" s="77" t="s">
        <v>48</v>
      </c>
      <c r="D1368" s="78">
        <v>1</v>
      </c>
      <c r="E1368" s="79">
        <f>1/120</f>
        <v>8.3333333333333332E-3</v>
      </c>
      <c r="F1368" s="79" t="e">
        <f t="shared" si="83"/>
        <v>#REF!</v>
      </c>
      <c r="G1368" s="2"/>
      <c r="H1368" s="37">
        <v>116952</v>
      </c>
      <c r="I1368" s="4">
        <f t="shared" si="84"/>
        <v>974.6</v>
      </c>
      <c r="J1368" s="25">
        <f t="shared" si="85"/>
        <v>43</v>
      </c>
    </row>
    <row r="1369" spans="1:10" ht="16.95" customHeight="1">
      <c r="A1369" s="95" t="s">
        <v>23</v>
      </c>
      <c r="B1369" s="95"/>
      <c r="C1369" s="50"/>
      <c r="D1369" s="50"/>
      <c r="E1369" s="50"/>
      <c r="F1369" s="50"/>
      <c r="G1369" s="50"/>
      <c r="H1369" s="3" t="s">
        <v>24</v>
      </c>
      <c r="I1369" s="5">
        <f>SUM(I1334:I1368)</f>
        <v>2637.5250000000001</v>
      </c>
      <c r="J1369" s="25">
        <f t="shared" si="85"/>
        <v>43</v>
      </c>
    </row>
    <row r="1370" spans="1:10" ht="16.95" customHeight="1">
      <c r="A1370" s="96" t="s">
        <v>25</v>
      </c>
      <c r="B1370" s="96"/>
      <c r="C1370" s="50"/>
      <c r="D1370" s="50"/>
      <c r="E1370" s="50"/>
      <c r="F1370" s="50"/>
      <c r="G1370" s="50"/>
      <c r="J1370" s="25">
        <f t="shared" si="85"/>
        <v>43</v>
      </c>
    </row>
    <row r="1371" spans="1:10" ht="16.95" customHeight="1">
      <c r="A1371" s="96" t="s">
        <v>26</v>
      </c>
      <c r="B1371" s="96"/>
      <c r="C1371" s="50"/>
      <c r="D1371" s="50"/>
      <c r="E1371" s="50"/>
      <c r="F1371" s="50"/>
      <c r="G1371" s="50"/>
      <c r="J1371" s="25">
        <f t="shared" si="85"/>
        <v>43</v>
      </c>
    </row>
    <row r="1372" spans="1:10" ht="16.95" customHeight="1">
      <c r="A1372" s="95" t="s">
        <v>27</v>
      </c>
      <c r="B1372" s="95"/>
      <c r="C1372" s="95"/>
      <c r="D1372" s="95"/>
      <c r="E1372" s="95"/>
      <c r="F1372" s="95"/>
      <c r="G1372" s="95"/>
      <c r="J1372" s="25">
        <f t="shared" si="85"/>
        <v>43</v>
      </c>
    </row>
    <row r="1373" spans="1:10" ht="16.95" customHeight="1">
      <c r="A1373" s="94" t="s">
        <v>28</v>
      </c>
      <c r="B1373" s="94"/>
      <c r="C1373" s="51" t="s">
        <v>29</v>
      </c>
      <c r="D1373" s="51" t="s">
        <v>30</v>
      </c>
      <c r="E1373" s="51" t="s">
        <v>18</v>
      </c>
      <c r="F1373" s="51" t="s">
        <v>31</v>
      </c>
      <c r="G1373" s="51" t="s">
        <v>20</v>
      </c>
      <c r="J1373" s="25">
        <f t="shared" si="85"/>
        <v>43</v>
      </c>
    </row>
    <row r="1374" spans="1:10" ht="16.95" customHeight="1">
      <c r="A1374" s="96"/>
      <c r="B1374" s="96"/>
      <c r="C1374" s="50"/>
      <c r="D1374" s="50"/>
      <c r="E1374" s="50"/>
      <c r="F1374" s="50"/>
      <c r="G1374" s="51"/>
      <c r="J1374" s="25">
        <f t="shared" si="85"/>
        <v>43</v>
      </c>
    </row>
    <row r="1375" spans="1:10" ht="16.95" customHeight="1">
      <c r="A1375" s="97"/>
      <c r="B1375" s="97"/>
      <c r="C1375" s="50"/>
      <c r="D1375" s="50"/>
      <c r="E1375" s="50"/>
      <c r="F1375" s="51"/>
      <c r="G1375" s="51"/>
      <c r="J1375" s="25">
        <f t="shared" si="85"/>
        <v>43</v>
      </c>
    </row>
    <row r="1376" spans="1:10" ht="16.95" customHeight="1">
      <c r="A1376" s="95" t="s">
        <v>32</v>
      </c>
      <c r="B1376" s="95"/>
      <c r="C1376" s="95"/>
      <c r="D1376" s="95"/>
      <c r="E1376" s="95"/>
      <c r="F1376" s="95"/>
      <c r="G1376" s="95"/>
      <c r="J1376" s="25">
        <f t="shared" si="85"/>
        <v>44</v>
      </c>
    </row>
    <row r="1377" spans="1:10" ht="16.95" customHeight="1">
      <c r="A1377" s="51" t="s">
        <v>33</v>
      </c>
      <c r="B1377" s="51" t="s">
        <v>34</v>
      </c>
      <c r="C1377" s="94" t="s">
        <v>35</v>
      </c>
      <c r="D1377" s="94"/>
      <c r="E1377" s="51" t="s">
        <v>36</v>
      </c>
      <c r="F1377" s="51" t="s">
        <v>37</v>
      </c>
      <c r="G1377" s="51" t="s">
        <v>38</v>
      </c>
      <c r="J1377" s="25">
        <f t="shared" si="85"/>
        <v>44</v>
      </c>
    </row>
    <row r="1378" spans="1:10" ht="16.95" customHeight="1">
      <c r="A1378" s="51" t="s">
        <v>39</v>
      </c>
      <c r="B1378" s="6"/>
      <c r="C1378" s="94" t="e">
        <f>B1378+C1315</f>
        <v>#REF!</v>
      </c>
      <c r="D1378" s="94"/>
      <c r="E1378" s="51"/>
      <c r="F1378" s="24"/>
      <c r="G1378" s="24"/>
      <c r="J1378" s="25">
        <f t="shared" si="85"/>
        <v>44</v>
      </c>
    </row>
    <row r="1379" spans="1:10" ht="16.95" customHeight="1">
      <c r="A1379" s="51" t="s">
        <v>40</v>
      </c>
      <c r="B1379" s="6"/>
      <c r="C1379" s="94" t="e">
        <f>B1379+C1316</f>
        <v>#REF!</v>
      </c>
      <c r="D1379" s="94"/>
      <c r="E1379" s="51"/>
      <c r="F1379" s="24"/>
      <c r="G1379" s="24"/>
      <c r="J1379" s="25">
        <f t="shared" si="85"/>
        <v>44</v>
      </c>
    </row>
    <row r="1380" spans="1:10" ht="36.6" customHeight="1">
      <c r="A1380" s="95" t="s">
        <v>41</v>
      </c>
      <c r="B1380" s="95"/>
      <c r="C1380" s="95"/>
      <c r="D1380" s="95"/>
      <c r="E1380" s="95"/>
      <c r="F1380" s="95"/>
      <c r="G1380" s="95"/>
      <c r="J1380" s="25">
        <f t="shared" si="85"/>
        <v>44</v>
      </c>
    </row>
    <row r="1381" spans="1:10" ht="90" customHeight="1">
      <c r="A1381" s="92" t="s">
        <v>42</v>
      </c>
      <c r="B1381" s="92"/>
      <c r="C1381" s="92"/>
      <c r="D1381" s="92"/>
      <c r="E1381" s="92"/>
      <c r="F1381" s="92"/>
      <c r="G1381" s="92"/>
      <c r="J1381" s="25">
        <f t="shared" si="85"/>
        <v>44</v>
      </c>
    </row>
    <row r="1382" spans="1:10" ht="16.95" customHeight="1">
      <c r="A1382" s="95" t="s">
        <v>43</v>
      </c>
      <c r="B1382" s="95"/>
      <c r="C1382" s="95"/>
      <c r="D1382" s="95"/>
      <c r="E1382" s="95"/>
      <c r="F1382" s="95"/>
      <c r="G1382" s="95"/>
      <c r="J1382" s="25">
        <f t="shared" si="85"/>
        <v>44</v>
      </c>
    </row>
    <row r="1383" spans="1:10" ht="16.95" customHeight="1">
      <c r="A1383" s="95" t="s">
        <v>44</v>
      </c>
      <c r="B1383" s="95"/>
      <c r="C1383" s="95"/>
      <c r="D1383" s="95"/>
      <c r="E1383" s="95"/>
      <c r="F1383" s="95"/>
      <c r="G1383" s="95"/>
      <c r="J1383" s="25">
        <f t="shared" si="85"/>
        <v>44</v>
      </c>
    </row>
    <row r="1384" spans="1:10" ht="16.95" customHeight="1">
      <c r="A1384" s="91" t="s">
        <v>64</v>
      </c>
      <c r="B1384" s="91"/>
      <c r="C1384" s="91"/>
      <c r="D1384" s="91"/>
      <c r="E1384" s="91"/>
      <c r="F1384" s="91"/>
      <c r="G1384" s="91"/>
      <c r="J1384" s="25">
        <f t="shared" si="85"/>
        <v>44</v>
      </c>
    </row>
    <row r="1385" spans="1:10" ht="120.6" customHeight="1">
      <c r="A1385" s="92" t="s">
        <v>45</v>
      </c>
      <c r="B1385" s="92"/>
      <c r="C1385" s="92"/>
      <c r="D1385" s="92"/>
      <c r="E1385" s="92"/>
      <c r="F1385" s="92"/>
      <c r="G1385" s="92"/>
      <c r="J1385" s="25">
        <f t="shared" si="85"/>
        <v>44</v>
      </c>
    </row>
    <row r="1386" spans="1:10" ht="140.4" customHeight="1">
      <c r="A1386" s="93" t="s">
        <v>46</v>
      </c>
      <c r="B1386" s="93"/>
      <c r="C1386" s="93"/>
      <c r="D1386" s="93"/>
      <c r="E1386" s="93"/>
      <c r="F1386" s="93"/>
      <c r="G1386" s="93"/>
      <c r="J1386" s="25">
        <f t="shared" si="85"/>
        <v>44</v>
      </c>
    </row>
    <row r="1387" spans="1:10" ht="37.200000000000003" customHeight="1">
      <c r="A1387" s="103" t="s">
        <v>0</v>
      </c>
      <c r="B1387" s="103"/>
      <c r="C1387" s="103"/>
      <c r="D1387" s="103"/>
      <c r="E1387" s="103"/>
      <c r="F1387" s="103"/>
      <c r="G1387" s="103"/>
      <c r="J1387" s="25">
        <f t="shared" si="85"/>
        <v>45</v>
      </c>
    </row>
    <row r="1388" spans="1:10" ht="16.95" customHeight="1">
      <c r="A1388" s="1" t="s">
        <v>1</v>
      </c>
      <c r="B1388" s="104">
        <f>B1325+1</f>
        <v>24</v>
      </c>
      <c r="C1388" s="104"/>
      <c r="D1388" s="104"/>
      <c r="E1388" s="104"/>
      <c r="F1388" s="104"/>
      <c r="G1388" s="104"/>
      <c r="J1388" s="25">
        <f t="shared" si="85"/>
        <v>45</v>
      </c>
    </row>
    <row r="1389" spans="1:10" ht="16.95" customHeight="1">
      <c r="A1389" s="1" t="s">
        <v>2</v>
      </c>
      <c r="B1389" s="105" t="s">
        <v>63</v>
      </c>
      <c r="C1389" s="105"/>
      <c r="D1389" s="105"/>
      <c r="E1389" s="106">
        <f>E1326+1</f>
        <v>46226</v>
      </c>
      <c r="F1389" s="106"/>
      <c r="G1389" s="106"/>
      <c r="J1389" s="25">
        <f t="shared" si="85"/>
        <v>45</v>
      </c>
    </row>
    <row r="1390" spans="1:10" ht="16.95" customHeight="1">
      <c r="A1390" s="53" t="s">
        <v>3</v>
      </c>
      <c r="B1390" s="2" t="s">
        <v>67</v>
      </c>
      <c r="C1390" s="98" t="s">
        <v>4</v>
      </c>
      <c r="D1390" s="98"/>
      <c r="E1390" s="98" t="s">
        <v>47</v>
      </c>
      <c r="F1390" s="98"/>
      <c r="G1390" s="98"/>
      <c r="J1390" s="25">
        <f t="shared" si="85"/>
        <v>45</v>
      </c>
    </row>
    <row r="1391" spans="1:10" ht="16.95" customHeight="1">
      <c r="A1391" s="53" t="s">
        <v>5</v>
      </c>
      <c r="B1391" s="54">
        <v>120</v>
      </c>
      <c r="C1391" s="98" t="s">
        <v>6</v>
      </c>
      <c r="D1391" s="98"/>
      <c r="E1391" s="98" t="s">
        <v>123</v>
      </c>
      <c r="F1391" s="98"/>
      <c r="G1391" s="98"/>
      <c r="J1391" s="25">
        <f t="shared" si="85"/>
        <v>45</v>
      </c>
    </row>
    <row r="1392" spans="1:10" ht="16.95" customHeight="1">
      <c r="A1392" s="53" t="s">
        <v>7</v>
      </c>
      <c r="B1392" s="54">
        <f>B1388</f>
        <v>24</v>
      </c>
      <c r="C1392" s="100" t="s">
        <v>8</v>
      </c>
      <c r="D1392" s="100"/>
      <c r="E1392" s="101">
        <f>B1391-B1392</f>
        <v>96</v>
      </c>
      <c r="F1392" s="101"/>
      <c r="G1392" s="101"/>
      <c r="J1392" s="25">
        <f t="shared" si="85"/>
        <v>45</v>
      </c>
    </row>
    <row r="1393" spans="1:10" ht="16.95" customHeight="1">
      <c r="A1393" s="53" t="s">
        <v>9</v>
      </c>
      <c r="B1393" s="55">
        <v>46204</v>
      </c>
      <c r="C1393" s="98" t="s">
        <v>10</v>
      </c>
      <c r="D1393" s="98"/>
      <c r="E1393" s="102">
        <f>B1393+B1391-1</f>
        <v>46323</v>
      </c>
      <c r="F1393" s="102"/>
      <c r="G1393" s="102"/>
      <c r="J1393" s="25">
        <f t="shared" si="85"/>
        <v>45</v>
      </c>
    </row>
    <row r="1394" spans="1:10" ht="16.95" customHeight="1">
      <c r="A1394" s="53" t="s">
        <v>11</v>
      </c>
      <c r="B1394" s="56" t="e">
        <f>HLOOKUP(B1388,進度表!$Q$2:$Z$3,2,1)+B1331</f>
        <v>#REF!</v>
      </c>
      <c r="C1394" s="98" t="s">
        <v>12</v>
      </c>
      <c r="D1394" s="98"/>
      <c r="E1394" s="99" t="e">
        <f>I1432/I1394+E1331</f>
        <v>#REF!</v>
      </c>
      <c r="F1394" s="99"/>
      <c r="G1394" s="99"/>
      <c r="H1394" s="3" t="s">
        <v>62</v>
      </c>
      <c r="I1394" s="1">
        <v>2456000</v>
      </c>
      <c r="J1394" s="25">
        <f t="shared" si="85"/>
        <v>45</v>
      </c>
    </row>
    <row r="1395" spans="1:10" ht="16.95" customHeight="1">
      <c r="A1395" s="98" t="s">
        <v>13</v>
      </c>
      <c r="B1395" s="98"/>
      <c r="C1395" s="98"/>
      <c r="D1395" s="98"/>
      <c r="E1395" s="98"/>
      <c r="F1395" s="98"/>
      <c r="G1395" s="98"/>
      <c r="J1395" s="25">
        <f t="shared" si="85"/>
        <v>45</v>
      </c>
    </row>
    <row r="1396" spans="1:10" ht="16.95" customHeight="1">
      <c r="A1396" s="52" t="s">
        <v>14</v>
      </c>
      <c r="B1396" s="52" t="s">
        <v>15</v>
      </c>
      <c r="C1396" s="52" t="s">
        <v>16</v>
      </c>
      <c r="D1396" s="52" t="s">
        <v>17</v>
      </c>
      <c r="E1396" s="52" t="s">
        <v>18</v>
      </c>
      <c r="F1396" s="52" t="s">
        <v>19</v>
      </c>
      <c r="G1396" s="52" t="s">
        <v>20</v>
      </c>
      <c r="H1396" s="3" t="s">
        <v>21</v>
      </c>
      <c r="I1396" s="3" t="s">
        <v>22</v>
      </c>
      <c r="J1396" s="25">
        <f t="shared" si="85"/>
        <v>45</v>
      </c>
    </row>
    <row r="1397" spans="1:10" ht="16.95" customHeight="1">
      <c r="A1397" s="75" t="s">
        <v>65</v>
      </c>
      <c r="B1397" s="76" t="s">
        <v>69</v>
      </c>
      <c r="C1397" s="77"/>
      <c r="D1397" s="78"/>
      <c r="E1397" s="79"/>
      <c r="F1397" s="79"/>
      <c r="G1397" s="2"/>
      <c r="H1397" s="37"/>
      <c r="I1397" s="4"/>
      <c r="J1397" s="25">
        <f t="shared" si="85"/>
        <v>45</v>
      </c>
    </row>
    <row r="1398" spans="1:10" ht="34.950000000000003" customHeight="1">
      <c r="A1398" s="75">
        <v>1</v>
      </c>
      <c r="B1398" s="80" t="s">
        <v>91</v>
      </c>
      <c r="C1398" s="77" t="s">
        <v>48</v>
      </c>
      <c r="D1398" s="78">
        <v>1</v>
      </c>
      <c r="E1398" s="79"/>
      <c r="F1398" s="79" t="e">
        <f t="shared" ref="F1398:F1431" si="87">E1398+F1335</f>
        <v>#REF!</v>
      </c>
      <c r="G1398" s="2"/>
      <c r="H1398" s="37">
        <v>10508</v>
      </c>
      <c r="I1398" s="4">
        <f>H1398*E1398</f>
        <v>0</v>
      </c>
      <c r="J1398" s="25">
        <f t="shared" si="85"/>
        <v>45</v>
      </c>
    </row>
    <row r="1399" spans="1:10" ht="34.799999999999997" customHeight="1">
      <c r="A1399" s="75">
        <v>2</v>
      </c>
      <c r="B1399" s="80" t="s">
        <v>92</v>
      </c>
      <c r="C1399" s="77" t="s">
        <v>48</v>
      </c>
      <c r="D1399" s="78">
        <v>1</v>
      </c>
      <c r="E1399" s="79"/>
      <c r="F1399" s="79" t="e">
        <f t="shared" si="87"/>
        <v>#REF!</v>
      </c>
      <c r="G1399" s="2"/>
      <c r="H1399" s="37">
        <v>13223</v>
      </c>
      <c r="I1399" s="4">
        <f>H1399*E1399</f>
        <v>0</v>
      </c>
      <c r="J1399" s="25">
        <f t="shared" si="85"/>
        <v>45</v>
      </c>
    </row>
    <row r="1400" spans="1:10" ht="53.4" customHeight="1">
      <c r="A1400" s="75">
        <v>3</v>
      </c>
      <c r="B1400" s="80" t="s">
        <v>93</v>
      </c>
      <c r="C1400" s="77" t="s">
        <v>48</v>
      </c>
      <c r="D1400" s="78">
        <v>1</v>
      </c>
      <c r="E1400" s="79"/>
      <c r="F1400" s="79" t="e">
        <f t="shared" si="87"/>
        <v>#REF!</v>
      </c>
      <c r="G1400" s="2"/>
      <c r="H1400" s="37">
        <v>310497</v>
      </c>
      <c r="I1400" s="4">
        <f t="shared" ref="I1400:I1431" si="88">H1400*E1400</f>
        <v>0</v>
      </c>
      <c r="J1400" s="25">
        <f t="shared" si="85"/>
        <v>45</v>
      </c>
    </row>
    <row r="1401" spans="1:10" ht="16.95" customHeight="1">
      <c r="A1401" s="75">
        <v>4</v>
      </c>
      <c r="B1401" s="80" t="s">
        <v>94</v>
      </c>
      <c r="C1401" s="77" t="s">
        <v>48</v>
      </c>
      <c r="D1401" s="78">
        <v>1</v>
      </c>
      <c r="E1401" s="79"/>
      <c r="F1401" s="79" t="e">
        <f t="shared" si="87"/>
        <v>#REF!</v>
      </c>
      <c r="G1401" s="2"/>
      <c r="H1401" s="37">
        <v>8375</v>
      </c>
      <c r="I1401" s="4">
        <f t="shared" si="88"/>
        <v>0</v>
      </c>
      <c r="J1401" s="25">
        <f t="shared" si="85"/>
        <v>45</v>
      </c>
    </row>
    <row r="1402" spans="1:10" ht="16.95" customHeight="1">
      <c r="A1402" s="75">
        <v>5</v>
      </c>
      <c r="B1402" s="80" t="s">
        <v>95</v>
      </c>
      <c r="C1402" s="77" t="s">
        <v>48</v>
      </c>
      <c r="D1402" s="78">
        <v>1</v>
      </c>
      <c r="E1402" s="79"/>
      <c r="F1402" s="79" t="e">
        <f t="shared" si="87"/>
        <v>#REF!</v>
      </c>
      <c r="G1402" s="2"/>
      <c r="H1402" s="37">
        <v>51618</v>
      </c>
      <c r="I1402" s="4">
        <f t="shared" si="88"/>
        <v>0</v>
      </c>
      <c r="J1402" s="25">
        <f t="shared" si="85"/>
        <v>45</v>
      </c>
    </row>
    <row r="1403" spans="1:10" ht="16.95" customHeight="1">
      <c r="A1403" s="75">
        <v>6</v>
      </c>
      <c r="B1403" s="80" t="s">
        <v>96</v>
      </c>
      <c r="C1403" s="77" t="s">
        <v>50</v>
      </c>
      <c r="D1403" s="78">
        <v>11.55</v>
      </c>
      <c r="E1403" s="79"/>
      <c r="F1403" s="79" t="e">
        <f t="shared" si="87"/>
        <v>#REF!</v>
      </c>
      <c r="G1403" s="2"/>
      <c r="H1403" s="37">
        <v>1188</v>
      </c>
      <c r="I1403" s="4">
        <f t="shared" si="88"/>
        <v>0</v>
      </c>
      <c r="J1403" s="25">
        <f t="shared" ref="J1403:J1466" si="89">J1340+2</f>
        <v>45</v>
      </c>
    </row>
    <row r="1404" spans="1:10" ht="34.950000000000003" customHeight="1">
      <c r="A1404" s="75">
        <v>7</v>
      </c>
      <c r="B1404" s="80" t="s">
        <v>97</v>
      </c>
      <c r="C1404" s="77" t="s">
        <v>48</v>
      </c>
      <c r="D1404" s="78">
        <v>1</v>
      </c>
      <c r="E1404" s="79"/>
      <c r="F1404" s="79" t="e">
        <f t="shared" si="87"/>
        <v>#REF!</v>
      </c>
      <c r="G1404" s="2"/>
      <c r="H1404" s="37">
        <v>21157</v>
      </c>
      <c r="I1404" s="4">
        <f t="shared" si="88"/>
        <v>0</v>
      </c>
      <c r="J1404" s="25">
        <f t="shared" si="89"/>
        <v>45</v>
      </c>
    </row>
    <row r="1405" spans="1:10" ht="16.95" customHeight="1">
      <c r="A1405" s="75">
        <v>8</v>
      </c>
      <c r="B1405" s="80" t="s">
        <v>98</v>
      </c>
      <c r="C1405" s="77" t="s">
        <v>50</v>
      </c>
      <c r="D1405" s="78">
        <v>387</v>
      </c>
      <c r="E1405" s="79"/>
      <c r="F1405" s="79" t="e">
        <f t="shared" si="87"/>
        <v>#REF!</v>
      </c>
      <c r="G1405" s="2"/>
      <c r="H1405" s="37">
        <v>705</v>
      </c>
      <c r="I1405" s="4">
        <f t="shared" si="88"/>
        <v>0</v>
      </c>
      <c r="J1405" s="25">
        <f t="shared" si="89"/>
        <v>45</v>
      </c>
    </row>
    <row r="1406" spans="1:10" ht="16.95" customHeight="1">
      <c r="A1406" s="75">
        <v>9</v>
      </c>
      <c r="B1406" s="80" t="s">
        <v>99</v>
      </c>
      <c r="C1406" s="77" t="s">
        <v>50</v>
      </c>
      <c r="D1406" s="78">
        <v>170</v>
      </c>
      <c r="E1406" s="79"/>
      <c r="F1406" s="79" t="e">
        <f t="shared" si="87"/>
        <v>#REF!</v>
      </c>
      <c r="G1406" s="2"/>
      <c r="H1406" s="37">
        <v>617</v>
      </c>
      <c r="I1406" s="4">
        <f t="shared" si="88"/>
        <v>0</v>
      </c>
      <c r="J1406" s="25">
        <f t="shared" si="89"/>
        <v>45</v>
      </c>
    </row>
    <row r="1407" spans="1:10" ht="16.95" customHeight="1">
      <c r="A1407" s="75">
        <v>10</v>
      </c>
      <c r="B1407" s="80" t="s">
        <v>100</v>
      </c>
      <c r="C1407" s="77" t="s">
        <v>66</v>
      </c>
      <c r="D1407" s="78">
        <v>15</v>
      </c>
      <c r="E1407" s="79"/>
      <c r="F1407" s="79" t="e">
        <f t="shared" si="87"/>
        <v>#REF!</v>
      </c>
      <c r="G1407" s="2"/>
      <c r="H1407" s="37">
        <v>617</v>
      </c>
      <c r="I1407" s="4">
        <f t="shared" si="88"/>
        <v>0</v>
      </c>
      <c r="J1407" s="25">
        <f t="shared" si="89"/>
        <v>45</v>
      </c>
    </row>
    <row r="1408" spans="1:10" ht="16.95" customHeight="1">
      <c r="A1408" s="75">
        <v>11</v>
      </c>
      <c r="B1408" s="80" t="s">
        <v>101</v>
      </c>
      <c r="C1408" s="77" t="s">
        <v>50</v>
      </c>
      <c r="D1408" s="78">
        <v>75</v>
      </c>
      <c r="E1408" s="79"/>
      <c r="F1408" s="79" t="e">
        <f t="shared" si="87"/>
        <v>#REF!</v>
      </c>
      <c r="G1408" s="2"/>
      <c r="H1408" s="37">
        <v>1146</v>
      </c>
      <c r="I1408" s="4">
        <f t="shared" si="88"/>
        <v>0</v>
      </c>
      <c r="J1408" s="25">
        <f t="shared" si="89"/>
        <v>45</v>
      </c>
    </row>
    <row r="1409" spans="1:10" ht="16.95" customHeight="1">
      <c r="A1409" s="75">
        <v>12</v>
      </c>
      <c r="B1409" s="80" t="s">
        <v>102</v>
      </c>
      <c r="C1409" s="77" t="s">
        <v>50</v>
      </c>
      <c r="D1409" s="78">
        <v>5</v>
      </c>
      <c r="E1409" s="79"/>
      <c r="F1409" s="79" t="e">
        <f t="shared" si="87"/>
        <v>#REF!</v>
      </c>
      <c r="G1409" s="2"/>
      <c r="H1409" s="37">
        <v>1455</v>
      </c>
      <c r="I1409" s="4">
        <f t="shared" si="88"/>
        <v>0</v>
      </c>
      <c r="J1409" s="25">
        <f t="shared" si="89"/>
        <v>45</v>
      </c>
    </row>
    <row r="1410" spans="1:10" ht="16.95" customHeight="1">
      <c r="A1410" s="75">
        <v>13</v>
      </c>
      <c r="B1410" s="80" t="s">
        <v>103</v>
      </c>
      <c r="C1410" s="77" t="s">
        <v>50</v>
      </c>
      <c r="D1410" s="78">
        <v>217</v>
      </c>
      <c r="E1410" s="79"/>
      <c r="F1410" s="79" t="e">
        <f t="shared" si="87"/>
        <v>#REF!</v>
      </c>
      <c r="G1410" s="2"/>
      <c r="H1410" s="37">
        <v>1410</v>
      </c>
      <c r="I1410" s="4">
        <f t="shared" si="88"/>
        <v>0</v>
      </c>
      <c r="J1410" s="25">
        <f t="shared" si="89"/>
        <v>45</v>
      </c>
    </row>
    <row r="1411" spans="1:10" ht="16.95" customHeight="1">
      <c r="A1411" s="75">
        <v>14</v>
      </c>
      <c r="B1411" s="80" t="s">
        <v>104</v>
      </c>
      <c r="C1411" s="77" t="s">
        <v>49</v>
      </c>
      <c r="D1411" s="78">
        <v>84</v>
      </c>
      <c r="E1411" s="79"/>
      <c r="F1411" s="79" t="e">
        <f t="shared" si="87"/>
        <v>#REF!</v>
      </c>
      <c r="G1411" s="2"/>
      <c r="H1411" s="37">
        <v>529</v>
      </c>
      <c r="I1411" s="4">
        <f t="shared" si="88"/>
        <v>0</v>
      </c>
      <c r="J1411" s="25">
        <f t="shared" si="89"/>
        <v>45</v>
      </c>
    </row>
    <row r="1412" spans="1:10" ht="16.95" customHeight="1">
      <c r="A1412" s="75">
        <v>15</v>
      </c>
      <c r="B1412" s="80" t="s">
        <v>105</v>
      </c>
      <c r="C1412" s="77" t="s">
        <v>50</v>
      </c>
      <c r="D1412" s="78">
        <v>1</v>
      </c>
      <c r="E1412" s="79"/>
      <c r="F1412" s="79" t="e">
        <f t="shared" si="87"/>
        <v>#REF!</v>
      </c>
      <c r="G1412" s="2"/>
      <c r="H1412" s="37">
        <v>1146</v>
      </c>
      <c r="I1412" s="4">
        <f t="shared" si="88"/>
        <v>0</v>
      </c>
      <c r="J1412" s="25">
        <f t="shared" si="89"/>
        <v>45</v>
      </c>
    </row>
    <row r="1413" spans="1:10" ht="34.799999999999997" customHeight="1">
      <c r="A1413" s="75">
        <v>16</v>
      </c>
      <c r="B1413" s="80" t="s">
        <v>106</v>
      </c>
      <c r="C1413" s="77" t="s">
        <v>50</v>
      </c>
      <c r="D1413" s="78">
        <v>314</v>
      </c>
      <c r="E1413" s="79"/>
      <c r="F1413" s="79" t="e">
        <f t="shared" si="87"/>
        <v>#REF!</v>
      </c>
      <c r="G1413" s="2"/>
      <c r="H1413" s="37">
        <v>185</v>
      </c>
      <c r="I1413" s="4">
        <f t="shared" si="88"/>
        <v>0</v>
      </c>
      <c r="J1413" s="25">
        <f t="shared" si="89"/>
        <v>45</v>
      </c>
    </row>
    <row r="1414" spans="1:10" ht="16.95" customHeight="1">
      <c r="A1414" s="75">
        <v>17</v>
      </c>
      <c r="B1414" s="80" t="s">
        <v>107</v>
      </c>
      <c r="C1414" s="77" t="s">
        <v>48</v>
      </c>
      <c r="D1414" s="78">
        <v>1</v>
      </c>
      <c r="E1414" s="79"/>
      <c r="F1414" s="79" t="e">
        <f t="shared" si="87"/>
        <v>#REF!</v>
      </c>
      <c r="G1414" s="2"/>
      <c r="H1414" s="37">
        <v>89918</v>
      </c>
      <c r="I1414" s="4">
        <f t="shared" si="88"/>
        <v>0</v>
      </c>
      <c r="J1414" s="25">
        <f t="shared" si="89"/>
        <v>45</v>
      </c>
    </row>
    <row r="1415" spans="1:10" ht="16.95" customHeight="1">
      <c r="A1415" s="75">
        <v>18</v>
      </c>
      <c r="B1415" s="80" t="s">
        <v>108</v>
      </c>
      <c r="C1415" s="77" t="s">
        <v>120</v>
      </c>
      <c r="D1415" s="78">
        <v>15</v>
      </c>
      <c r="E1415" s="79"/>
      <c r="F1415" s="79" t="e">
        <f t="shared" si="87"/>
        <v>#REF!</v>
      </c>
      <c r="G1415" s="2"/>
      <c r="H1415" s="37">
        <v>661</v>
      </c>
      <c r="I1415" s="4">
        <f t="shared" si="88"/>
        <v>0</v>
      </c>
      <c r="J1415" s="25">
        <f t="shared" si="89"/>
        <v>45</v>
      </c>
    </row>
    <row r="1416" spans="1:10" ht="16.95" customHeight="1">
      <c r="A1416" s="75">
        <v>19</v>
      </c>
      <c r="B1416" s="80" t="s">
        <v>109</v>
      </c>
      <c r="C1416" s="77" t="s">
        <v>50</v>
      </c>
      <c r="D1416" s="78">
        <v>82</v>
      </c>
      <c r="E1416" s="79"/>
      <c r="F1416" s="79" t="e">
        <f t="shared" si="87"/>
        <v>#REF!</v>
      </c>
      <c r="G1416" s="2"/>
      <c r="H1416" s="37">
        <v>2909</v>
      </c>
      <c r="I1416" s="4">
        <f t="shared" si="88"/>
        <v>0</v>
      </c>
      <c r="J1416" s="25">
        <f t="shared" si="89"/>
        <v>45</v>
      </c>
    </row>
    <row r="1417" spans="1:10" ht="16.95" customHeight="1">
      <c r="A1417" s="75">
        <v>20</v>
      </c>
      <c r="B1417" s="80" t="s">
        <v>110</v>
      </c>
      <c r="C1417" s="77" t="s">
        <v>121</v>
      </c>
      <c r="D1417" s="78">
        <v>12</v>
      </c>
      <c r="E1417" s="79"/>
      <c r="F1417" s="79" t="e">
        <f t="shared" si="87"/>
        <v>#REF!</v>
      </c>
      <c r="G1417" s="2"/>
      <c r="H1417" s="37">
        <v>882</v>
      </c>
      <c r="I1417" s="4">
        <f t="shared" si="88"/>
        <v>0</v>
      </c>
      <c r="J1417" s="25">
        <f t="shared" si="89"/>
        <v>45</v>
      </c>
    </row>
    <row r="1418" spans="1:10" ht="16.95" customHeight="1">
      <c r="A1418" s="77">
        <v>21</v>
      </c>
      <c r="B1418" s="80" t="s">
        <v>111</v>
      </c>
      <c r="C1418" s="77" t="s">
        <v>122</v>
      </c>
      <c r="D1418" s="78">
        <v>3</v>
      </c>
      <c r="E1418" s="79"/>
      <c r="F1418" s="79" t="e">
        <f t="shared" si="87"/>
        <v>#REF!</v>
      </c>
      <c r="G1418" s="2"/>
      <c r="H1418" s="38">
        <v>1869</v>
      </c>
      <c r="I1418" s="4">
        <f t="shared" si="88"/>
        <v>0</v>
      </c>
      <c r="J1418" s="25">
        <f t="shared" si="89"/>
        <v>45</v>
      </c>
    </row>
    <row r="1419" spans="1:10" ht="34.950000000000003" customHeight="1">
      <c r="A1419" s="75">
        <v>22</v>
      </c>
      <c r="B1419" s="80" t="s">
        <v>112</v>
      </c>
      <c r="C1419" s="77" t="s">
        <v>48</v>
      </c>
      <c r="D1419" s="78">
        <v>1</v>
      </c>
      <c r="E1419" s="79"/>
      <c r="F1419" s="79" t="e">
        <f t="shared" si="87"/>
        <v>#REF!</v>
      </c>
      <c r="G1419" s="2"/>
      <c r="H1419" s="37">
        <v>82206</v>
      </c>
      <c r="I1419" s="4">
        <f t="shared" si="88"/>
        <v>0</v>
      </c>
      <c r="J1419" s="25">
        <f t="shared" si="89"/>
        <v>45</v>
      </c>
    </row>
    <row r="1420" spans="1:10" ht="16.95" customHeight="1">
      <c r="A1420" s="75">
        <v>23</v>
      </c>
      <c r="B1420" s="80" t="s">
        <v>113</v>
      </c>
      <c r="C1420" s="77" t="s">
        <v>48</v>
      </c>
      <c r="D1420" s="78">
        <v>1</v>
      </c>
      <c r="E1420" s="79"/>
      <c r="F1420" s="79" t="e">
        <f t="shared" si="87"/>
        <v>#REF!</v>
      </c>
      <c r="G1420" s="2"/>
      <c r="H1420" s="37">
        <v>142723</v>
      </c>
      <c r="I1420" s="4">
        <f t="shared" si="88"/>
        <v>0</v>
      </c>
      <c r="J1420" s="25">
        <f t="shared" si="89"/>
        <v>45</v>
      </c>
    </row>
    <row r="1421" spans="1:10" ht="16.95" customHeight="1">
      <c r="A1421" s="75">
        <v>24</v>
      </c>
      <c r="B1421" s="80" t="s">
        <v>114</v>
      </c>
      <c r="C1421" s="77" t="s">
        <v>48</v>
      </c>
      <c r="D1421" s="78">
        <v>1</v>
      </c>
      <c r="E1421" s="79"/>
      <c r="F1421" s="79" t="e">
        <f t="shared" si="87"/>
        <v>#REF!</v>
      </c>
      <c r="G1421" s="2"/>
      <c r="H1421" s="37">
        <v>37290</v>
      </c>
      <c r="I1421" s="4">
        <f t="shared" si="88"/>
        <v>0</v>
      </c>
      <c r="J1421" s="25">
        <f t="shared" si="89"/>
        <v>45</v>
      </c>
    </row>
    <row r="1422" spans="1:10" ht="16.95" customHeight="1">
      <c r="A1422" s="75">
        <v>25</v>
      </c>
      <c r="B1422" s="80" t="s">
        <v>115</v>
      </c>
      <c r="C1422" s="77" t="s">
        <v>48</v>
      </c>
      <c r="D1422" s="78">
        <v>1</v>
      </c>
      <c r="E1422" s="79"/>
      <c r="F1422" s="79" t="e">
        <f t="shared" si="87"/>
        <v>#REF!</v>
      </c>
      <c r="G1422" s="2"/>
      <c r="H1422" s="37">
        <v>99394</v>
      </c>
      <c r="I1422" s="4">
        <f t="shared" si="88"/>
        <v>0</v>
      </c>
      <c r="J1422" s="25">
        <f t="shared" si="89"/>
        <v>45</v>
      </c>
    </row>
    <row r="1423" spans="1:10" ht="34.950000000000003" customHeight="1">
      <c r="A1423" s="75">
        <v>26</v>
      </c>
      <c r="B1423" s="80" t="s">
        <v>116</v>
      </c>
      <c r="C1423" s="77" t="s">
        <v>48</v>
      </c>
      <c r="D1423" s="78">
        <v>1</v>
      </c>
      <c r="E1423" s="79"/>
      <c r="F1423" s="79" t="e">
        <f t="shared" si="87"/>
        <v>#REF!</v>
      </c>
      <c r="G1423" s="2"/>
      <c r="H1423" s="37">
        <v>21334</v>
      </c>
      <c r="I1423" s="4">
        <f t="shared" si="88"/>
        <v>0</v>
      </c>
      <c r="J1423" s="25">
        <f t="shared" si="89"/>
        <v>45</v>
      </c>
    </row>
    <row r="1424" spans="1:10" ht="16.95" customHeight="1">
      <c r="A1424" s="75">
        <v>27</v>
      </c>
      <c r="B1424" s="80" t="s">
        <v>117</v>
      </c>
      <c r="C1424" s="77" t="s">
        <v>48</v>
      </c>
      <c r="D1424" s="78">
        <v>1</v>
      </c>
      <c r="E1424" s="79"/>
      <c r="F1424" s="79" t="e">
        <f t="shared" si="87"/>
        <v>#REF!</v>
      </c>
      <c r="G1424" s="2"/>
      <c r="H1424" s="37">
        <v>29620</v>
      </c>
      <c r="I1424" s="4">
        <f t="shared" si="88"/>
        <v>0</v>
      </c>
      <c r="J1424" s="25">
        <f t="shared" si="89"/>
        <v>45</v>
      </c>
    </row>
    <row r="1425" spans="1:10" ht="16.95" customHeight="1">
      <c r="A1425" s="75">
        <v>28</v>
      </c>
      <c r="B1425" s="80" t="s">
        <v>118</v>
      </c>
      <c r="C1425" s="77" t="s">
        <v>48</v>
      </c>
      <c r="D1425" s="78">
        <v>1</v>
      </c>
      <c r="E1425" s="79"/>
      <c r="F1425" s="79" t="e">
        <f t="shared" si="87"/>
        <v>#REF!</v>
      </c>
      <c r="G1425" s="2"/>
      <c r="H1425" s="37">
        <v>18506</v>
      </c>
      <c r="I1425" s="4">
        <f t="shared" si="88"/>
        <v>0</v>
      </c>
      <c r="J1425" s="25">
        <f t="shared" si="89"/>
        <v>45</v>
      </c>
    </row>
    <row r="1426" spans="1:10" ht="16.95" customHeight="1">
      <c r="A1426" s="75">
        <v>29</v>
      </c>
      <c r="B1426" s="80" t="s">
        <v>119</v>
      </c>
      <c r="C1426" s="77" t="s">
        <v>48</v>
      </c>
      <c r="D1426" s="78">
        <v>1</v>
      </c>
      <c r="E1426" s="79"/>
      <c r="F1426" s="79" t="e">
        <f t="shared" si="87"/>
        <v>#REF!</v>
      </c>
      <c r="G1426" s="2"/>
      <c r="H1426" s="37">
        <v>34381</v>
      </c>
      <c r="I1426" s="4">
        <f t="shared" si="88"/>
        <v>0</v>
      </c>
      <c r="J1426" s="25">
        <f t="shared" si="89"/>
        <v>45</v>
      </c>
    </row>
    <row r="1427" spans="1:10" ht="16.95" customHeight="1">
      <c r="A1427" s="75" t="s">
        <v>79</v>
      </c>
      <c r="B1427" s="80" t="s">
        <v>80</v>
      </c>
      <c r="C1427" s="77" t="s">
        <v>48</v>
      </c>
      <c r="D1427" s="78">
        <v>1</v>
      </c>
      <c r="E1427" s="79">
        <f t="shared" ref="E1427:E1430" si="90">1/120</f>
        <v>8.3333333333333332E-3</v>
      </c>
      <c r="F1427" s="79" t="e">
        <f t="shared" si="87"/>
        <v>#REF!</v>
      </c>
      <c r="G1427" s="2"/>
      <c r="H1427" s="37">
        <v>21395</v>
      </c>
      <c r="I1427" s="4">
        <f t="shared" si="88"/>
        <v>178.29166666666666</v>
      </c>
      <c r="J1427" s="25">
        <f t="shared" si="89"/>
        <v>45</v>
      </c>
    </row>
    <row r="1428" spans="1:10" ht="16.95" customHeight="1">
      <c r="A1428" s="75" t="s">
        <v>81</v>
      </c>
      <c r="B1428" s="80" t="s">
        <v>82</v>
      </c>
      <c r="C1428" s="77" t="s">
        <v>48</v>
      </c>
      <c r="D1428" s="78">
        <v>1</v>
      </c>
      <c r="E1428" s="79">
        <f t="shared" si="90"/>
        <v>8.3333333333333332E-3</v>
      </c>
      <c r="F1428" s="79" t="e">
        <f t="shared" si="87"/>
        <v>#REF!</v>
      </c>
      <c r="G1428" s="2"/>
      <c r="H1428" s="37">
        <v>21395</v>
      </c>
      <c r="I1428" s="4">
        <f t="shared" si="88"/>
        <v>178.29166666666666</v>
      </c>
      <c r="J1428" s="25">
        <f t="shared" si="89"/>
        <v>45</v>
      </c>
    </row>
    <row r="1429" spans="1:10" ht="16.95" customHeight="1">
      <c r="A1429" s="75" t="s">
        <v>83</v>
      </c>
      <c r="B1429" s="80" t="s">
        <v>84</v>
      </c>
      <c r="C1429" s="77" t="s">
        <v>48</v>
      </c>
      <c r="D1429" s="78">
        <v>1</v>
      </c>
      <c r="E1429" s="79">
        <f t="shared" si="90"/>
        <v>8.3333333333333332E-3</v>
      </c>
      <c r="F1429" s="79" t="e">
        <f t="shared" si="87"/>
        <v>#REF!</v>
      </c>
      <c r="G1429" s="2"/>
      <c r="H1429" s="37">
        <v>149765</v>
      </c>
      <c r="I1429" s="4">
        <f t="shared" si="88"/>
        <v>1248.0416666666667</v>
      </c>
      <c r="J1429" s="25">
        <f t="shared" si="89"/>
        <v>45</v>
      </c>
    </row>
    <row r="1430" spans="1:10" ht="16.95" customHeight="1">
      <c r="A1430" s="75" t="s">
        <v>85</v>
      </c>
      <c r="B1430" s="80" t="s">
        <v>86</v>
      </c>
      <c r="C1430" s="77" t="s">
        <v>48</v>
      </c>
      <c r="D1430" s="78">
        <v>1</v>
      </c>
      <c r="E1430" s="79">
        <f t="shared" si="90"/>
        <v>8.3333333333333332E-3</v>
      </c>
      <c r="F1430" s="79" t="e">
        <f t="shared" si="87"/>
        <v>#REF!</v>
      </c>
      <c r="G1430" s="2"/>
      <c r="H1430" s="37">
        <v>6996</v>
      </c>
      <c r="I1430" s="4">
        <f t="shared" si="88"/>
        <v>58.3</v>
      </c>
      <c r="J1430" s="25">
        <f t="shared" si="89"/>
        <v>45</v>
      </c>
    </row>
    <row r="1431" spans="1:10" ht="16.95" customHeight="1">
      <c r="A1431" s="75" t="s">
        <v>87</v>
      </c>
      <c r="B1431" s="80" t="s">
        <v>88</v>
      </c>
      <c r="C1431" s="77" t="s">
        <v>48</v>
      </c>
      <c r="D1431" s="78">
        <v>1</v>
      </c>
      <c r="E1431" s="79">
        <f>1/120</f>
        <v>8.3333333333333332E-3</v>
      </c>
      <c r="F1431" s="79" t="e">
        <f t="shared" si="87"/>
        <v>#REF!</v>
      </c>
      <c r="G1431" s="2"/>
      <c r="H1431" s="37">
        <v>116952</v>
      </c>
      <c r="I1431" s="4">
        <f t="shared" si="88"/>
        <v>974.6</v>
      </c>
      <c r="J1431" s="25">
        <f t="shared" si="89"/>
        <v>45</v>
      </c>
    </row>
    <row r="1432" spans="1:10" ht="16.95" customHeight="1">
      <c r="A1432" s="95" t="s">
        <v>23</v>
      </c>
      <c r="B1432" s="95"/>
      <c r="C1432" s="50"/>
      <c r="D1432" s="50"/>
      <c r="E1432" s="50"/>
      <c r="F1432" s="50"/>
      <c r="G1432" s="50"/>
      <c r="H1432" s="3" t="s">
        <v>24</v>
      </c>
      <c r="I1432" s="5">
        <f>SUM(I1397:I1431)</f>
        <v>2637.5250000000001</v>
      </c>
      <c r="J1432" s="25">
        <f t="shared" si="89"/>
        <v>45</v>
      </c>
    </row>
    <row r="1433" spans="1:10" ht="16.95" customHeight="1">
      <c r="A1433" s="96" t="s">
        <v>25</v>
      </c>
      <c r="B1433" s="96"/>
      <c r="C1433" s="50"/>
      <c r="D1433" s="50"/>
      <c r="E1433" s="50"/>
      <c r="F1433" s="50"/>
      <c r="G1433" s="50"/>
      <c r="J1433" s="25">
        <f t="shared" si="89"/>
        <v>45</v>
      </c>
    </row>
    <row r="1434" spans="1:10" ht="16.95" customHeight="1">
      <c r="A1434" s="96" t="s">
        <v>26</v>
      </c>
      <c r="B1434" s="96"/>
      <c r="C1434" s="50"/>
      <c r="D1434" s="50"/>
      <c r="E1434" s="50"/>
      <c r="F1434" s="50"/>
      <c r="G1434" s="50"/>
      <c r="J1434" s="25">
        <f t="shared" si="89"/>
        <v>45</v>
      </c>
    </row>
    <row r="1435" spans="1:10" ht="16.95" customHeight="1">
      <c r="A1435" s="95" t="s">
        <v>27</v>
      </c>
      <c r="B1435" s="95"/>
      <c r="C1435" s="95"/>
      <c r="D1435" s="95"/>
      <c r="E1435" s="95"/>
      <c r="F1435" s="95"/>
      <c r="G1435" s="95"/>
      <c r="J1435" s="25">
        <f t="shared" si="89"/>
        <v>45</v>
      </c>
    </row>
    <row r="1436" spans="1:10" ht="16.95" customHeight="1">
      <c r="A1436" s="94" t="s">
        <v>28</v>
      </c>
      <c r="B1436" s="94"/>
      <c r="C1436" s="51" t="s">
        <v>29</v>
      </c>
      <c r="D1436" s="51" t="s">
        <v>30</v>
      </c>
      <c r="E1436" s="51" t="s">
        <v>18</v>
      </c>
      <c r="F1436" s="51" t="s">
        <v>31</v>
      </c>
      <c r="G1436" s="51" t="s">
        <v>20</v>
      </c>
      <c r="J1436" s="25">
        <f t="shared" si="89"/>
        <v>45</v>
      </c>
    </row>
    <row r="1437" spans="1:10" ht="16.95" customHeight="1">
      <c r="A1437" s="96"/>
      <c r="B1437" s="96"/>
      <c r="C1437" s="50"/>
      <c r="D1437" s="50"/>
      <c r="E1437" s="50"/>
      <c r="F1437" s="50"/>
      <c r="G1437" s="51"/>
      <c r="J1437" s="25">
        <f t="shared" si="89"/>
        <v>45</v>
      </c>
    </row>
    <row r="1438" spans="1:10" ht="16.95" customHeight="1">
      <c r="A1438" s="97"/>
      <c r="B1438" s="97"/>
      <c r="C1438" s="50"/>
      <c r="D1438" s="50"/>
      <c r="E1438" s="50"/>
      <c r="F1438" s="51"/>
      <c r="G1438" s="51"/>
      <c r="J1438" s="25">
        <f t="shared" si="89"/>
        <v>45</v>
      </c>
    </row>
    <row r="1439" spans="1:10" ht="16.95" customHeight="1">
      <c r="A1439" s="95" t="s">
        <v>32</v>
      </c>
      <c r="B1439" s="95"/>
      <c r="C1439" s="95"/>
      <c r="D1439" s="95"/>
      <c r="E1439" s="95"/>
      <c r="F1439" s="95"/>
      <c r="G1439" s="95"/>
      <c r="J1439" s="25">
        <f t="shared" si="89"/>
        <v>46</v>
      </c>
    </row>
    <row r="1440" spans="1:10" ht="16.95" customHeight="1">
      <c r="A1440" s="51" t="s">
        <v>33</v>
      </c>
      <c r="B1440" s="51" t="s">
        <v>34</v>
      </c>
      <c r="C1440" s="94" t="s">
        <v>35</v>
      </c>
      <c r="D1440" s="94"/>
      <c r="E1440" s="51" t="s">
        <v>36</v>
      </c>
      <c r="F1440" s="51" t="s">
        <v>37</v>
      </c>
      <c r="G1440" s="51" t="s">
        <v>38</v>
      </c>
      <c r="J1440" s="25">
        <f t="shared" si="89"/>
        <v>46</v>
      </c>
    </row>
    <row r="1441" spans="1:10" ht="16.95" customHeight="1">
      <c r="A1441" s="51" t="s">
        <v>39</v>
      </c>
      <c r="B1441" s="6"/>
      <c r="C1441" s="94" t="e">
        <f>B1441+C1378</f>
        <v>#REF!</v>
      </c>
      <c r="D1441" s="94"/>
      <c r="E1441" s="51"/>
      <c r="F1441" s="24"/>
      <c r="G1441" s="24"/>
      <c r="J1441" s="25">
        <f t="shared" si="89"/>
        <v>46</v>
      </c>
    </row>
    <row r="1442" spans="1:10" ht="16.95" customHeight="1">
      <c r="A1442" s="51" t="s">
        <v>40</v>
      </c>
      <c r="B1442" s="6"/>
      <c r="C1442" s="94" t="e">
        <f>B1442+C1379</f>
        <v>#REF!</v>
      </c>
      <c r="D1442" s="94"/>
      <c r="E1442" s="51"/>
      <c r="F1442" s="24"/>
      <c r="G1442" s="24"/>
      <c r="J1442" s="25">
        <f t="shared" si="89"/>
        <v>46</v>
      </c>
    </row>
    <row r="1443" spans="1:10" ht="36.6" customHeight="1">
      <c r="A1443" s="95" t="s">
        <v>41</v>
      </c>
      <c r="B1443" s="95"/>
      <c r="C1443" s="95"/>
      <c r="D1443" s="95"/>
      <c r="E1443" s="95"/>
      <c r="F1443" s="95"/>
      <c r="G1443" s="95"/>
      <c r="J1443" s="25">
        <f t="shared" si="89"/>
        <v>46</v>
      </c>
    </row>
    <row r="1444" spans="1:10" ht="90" customHeight="1">
      <c r="A1444" s="92" t="s">
        <v>42</v>
      </c>
      <c r="B1444" s="92"/>
      <c r="C1444" s="92"/>
      <c r="D1444" s="92"/>
      <c r="E1444" s="92"/>
      <c r="F1444" s="92"/>
      <c r="G1444" s="92"/>
      <c r="J1444" s="25">
        <f t="shared" si="89"/>
        <v>46</v>
      </c>
    </row>
    <row r="1445" spans="1:10" ht="16.95" customHeight="1">
      <c r="A1445" s="95" t="s">
        <v>43</v>
      </c>
      <c r="B1445" s="95"/>
      <c r="C1445" s="95"/>
      <c r="D1445" s="95"/>
      <c r="E1445" s="95"/>
      <c r="F1445" s="95"/>
      <c r="G1445" s="95"/>
      <c r="J1445" s="25">
        <f t="shared" si="89"/>
        <v>46</v>
      </c>
    </row>
    <row r="1446" spans="1:10" ht="16.95" customHeight="1">
      <c r="A1446" s="95" t="s">
        <v>44</v>
      </c>
      <c r="B1446" s="95"/>
      <c r="C1446" s="95"/>
      <c r="D1446" s="95"/>
      <c r="E1446" s="95"/>
      <c r="F1446" s="95"/>
      <c r="G1446" s="95"/>
      <c r="J1446" s="25">
        <f t="shared" si="89"/>
        <v>46</v>
      </c>
    </row>
    <row r="1447" spans="1:10" ht="16.95" customHeight="1">
      <c r="A1447" s="91" t="s">
        <v>64</v>
      </c>
      <c r="B1447" s="91"/>
      <c r="C1447" s="91"/>
      <c r="D1447" s="91"/>
      <c r="E1447" s="91"/>
      <c r="F1447" s="91"/>
      <c r="G1447" s="91"/>
      <c r="J1447" s="25">
        <f t="shared" si="89"/>
        <v>46</v>
      </c>
    </row>
    <row r="1448" spans="1:10" ht="120.6" customHeight="1">
      <c r="A1448" s="92" t="s">
        <v>45</v>
      </c>
      <c r="B1448" s="92"/>
      <c r="C1448" s="92"/>
      <c r="D1448" s="92"/>
      <c r="E1448" s="92"/>
      <c r="F1448" s="92"/>
      <c r="G1448" s="92"/>
      <c r="J1448" s="25">
        <f t="shared" si="89"/>
        <v>46</v>
      </c>
    </row>
    <row r="1449" spans="1:10" ht="140.4" customHeight="1">
      <c r="A1449" s="93" t="s">
        <v>46</v>
      </c>
      <c r="B1449" s="93"/>
      <c r="C1449" s="93"/>
      <c r="D1449" s="93"/>
      <c r="E1449" s="93"/>
      <c r="F1449" s="93"/>
      <c r="G1449" s="93"/>
      <c r="J1449" s="25">
        <f t="shared" si="89"/>
        <v>46</v>
      </c>
    </row>
    <row r="1450" spans="1:10" ht="37.200000000000003" customHeight="1">
      <c r="A1450" s="103" t="s">
        <v>0</v>
      </c>
      <c r="B1450" s="103"/>
      <c r="C1450" s="103"/>
      <c r="D1450" s="103"/>
      <c r="E1450" s="103"/>
      <c r="F1450" s="103"/>
      <c r="G1450" s="103"/>
      <c r="J1450" s="25">
        <f t="shared" si="89"/>
        <v>47</v>
      </c>
    </row>
    <row r="1451" spans="1:10" ht="16.95" customHeight="1">
      <c r="A1451" s="1" t="s">
        <v>1</v>
      </c>
      <c r="B1451" s="104">
        <f>B1388+1</f>
        <v>25</v>
      </c>
      <c r="C1451" s="104"/>
      <c r="D1451" s="104"/>
      <c r="E1451" s="104"/>
      <c r="F1451" s="104"/>
      <c r="G1451" s="104"/>
      <c r="J1451" s="25">
        <f t="shared" si="89"/>
        <v>47</v>
      </c>
    </row>
    <row r="1452" spans="1:10" ht="16.95" customHeight="1">
      <c r="A1452" s="1" t="s">
        <v>2</v>
      </c>
      <c r="B1452" s="105" t="s">
        <v>63</v>
      </c>
      <c r="C1452" s="105"/>
      <c r="D1452" s="105"/>
      <c r="E1452" s="106">
        <f>E1389+1</f>
        <v>46227</v>
      </c>
      <c r="F1452" s="106"/>
      <c r="G1452" s="106"/>
      <c r="J1452" s="25">
        <f t="shared" si="89"/>
        <v>47</v>
      </c>
    </row>
    <row r="1453" spans="1:10" ht="16.95" customHeight="1">
      <c r="A1453" s="53" t="s">
        <v>3</v>
      </c>
      <c r="B1453" s="2" t="s">
        <v>67</v>
      </c>
      <c r="C1453" s="98" t="s">
        <v>4</v>
      </c>
      <c r="D1453" s="98"/>
      <c r="E1453" s="98" t="s">
        <v>47</v>
      </c>
      <c r="F1453" s="98"/>
      <c r="G1453" s="98"/>
      <c r="J1453" s="25">
        <f t="shared" si="89"/>
        <v>47</v>
      </c>
    </row>
    <row r="1454" spans="1:10" ht="16.95" customHeight="1">
      <c r="A1454" s="53" t="s">
        <v>5</v>
      </c>
      <c r="B1454" s="54">
        <v>120</v>
      </c>
      <c r="C1454" s="98" t="s">
        <v>6</v>
      </c>
      <c r="D1454" s="98"/>
      <c r="E1454" s="98" t="s">
        <v>123</v>
      </c>
      <c r="F1454" s="98"/>
      <c r="G1454" s="98"/>
      <c r="J1454" s="25">
        <f t="shared" si="89"/>
        <v>47</v>
      </c>
    </row>
    <row r="1455" spans="1:10" ht="16.95" customHeight="1">
      <c r="A1455" s="53" t="s">
        <v>7</v>
      </c>
      <c r="B1455" s="54">
        <f>B1451</f>
        <v>25</v>
      </c>
      <c r="C1455" s="100" t="s">
        <v>8</v>
      </c>
      <c r="D1455" s="100"/>
      <c r="E1455" s="101">
        <f>B1454-B1455</f>
        <v>95</v>
      </c>
      <c r="F1455" s="101"/>
      <c r="G1455" s="101"/>
      <c r="J1455" s="25">
        <f t="shared" si="89"/>
        <v>47</v>
      </c>
    </row>
    <row r="1456" spans="1:10" ht="16.95" customHeight="1">
      <c r="A1456" s="53" t="s">
        <v>9</v>
      </c>
      <c r="B1456" s="55">
        <v>46204</v>
      </c>
      <c r="C1456" s="98" t="s">
        <v>10</v>
      </c>
      <c r="D1456" s="98"/>
      <c r="E1456" s="102">
        <f>B1456+B1454-1</f>
        <v>46323</v>
      </c>
      <c r="F1456" s="102"/>
      <c r="G1456" s="102"/>
      <c r="J1456" s="25">
        <f t="shared" si="89"/>
        <v>47</v>
      </c>
    </row>
    <row r="1457" spans="1:10" ht="16.95" customHeight="1">
      <c r="A1457" s="53" t="s">
        <v>11</v>
      </c>
      <c r="B1457" s="56" t="e">
        <f>HLOOKUP(B1451,進度表!$Q$2:$Z$3,2,1)+B1394</f>
        <v>#REF!</v>
      </c>
      <c r="C1457" s="98" t="s">
        <v>12</v>
      </c>
      <c r="D1457" s="98"/>
      <c r="E1457" s="99" t="e">
        <f>I1495/I1457+E1394</f>
        <v>#REF!</v>
      </c>
      <c r="F1457" s="99"/>
      <c r="G1457" s="99"/>
      <c r="H1457" s="3" t="s">
        <v>62</v>
      </c>
      <c r="I1457" s="1">
        <v>2456000</v>
      </c>
      <c r="J1457" s="25">
        <f t="shared" si="89"/>
        <v>47</v>
      </c>
    </row>
    <row r="1458" spans="1:10" ht="16.95" customHeight="1">
      <c r="A1458" s="98" t="s">
        <v>13</v>
      </c>
      <c r="B1458" s="98"/>
      <c r="C1458" s="98"/>
      <c r="D1458" s="98"/>
      <c r="E1458" s="98"/>
      <c r="F1458" s="98"/>
      <c r="G1458" s="98"/>
      <c r="J1458" s="25">
        <f t="shared" si="89"/>
        <v>47</v>
      </c>
    </row>
    <row r="1459" spans="1:10" ht="16.95" customHeight="1">
      <c r="A1459" s="52" t="s">
        <v>14</v>
      </c>
      <c r="B1459" s="52" t="s">
        <v>15</v>
      </c>
      <c r="C1459" s="52" t="s">
        <v>16</v>
      </c>
      <c r="D1459" s="52" t="s">
        <v>17</v>
      </c>
      <c r="E1459" s="52" t="s">
        <v>18</v>
      </c>
      <c r="F1459" s="52" t="s">
        <v>19</v>
      </c>
      <c r="G1459" s="52" t="s">
        <v>20</v>
      </c>
      <c r="H1459" s="3" t="s">
        <v>21</v>
      </c>
      <c r="I1459" s="3" t="s">
        <v>22</v>
      </c>
      <c r="J1459" s="25">
        <f t="shared" si="89"/>
        <v>47</v>
      </c>
    </row>
    <row r="1460" spans="1:10" ht="16.95" customHeight="1">
      <c r="A1460" s="75" t="s">
        <v>65</v>
      </c>
      <c r="B1460" s="76" t="s">
        <v>69</v>
      </c>
      <c r="C1460" s="77"/>
      <c r="D1460" s="78"/>
      <c r="E1460" s="79"/>
      <c r="F1460" s="79"/>
      <c r="G1460" s="2"/>
      <c r="H1460" s="37"/>
      <c r="I1460" s="4"/>
      <c r="J1460" s="25">
        <f t="shared" si="89"/>
        <v>47</v>
      </c>
    </row>
    <row r="1461" spans="1:10" ht="34.950000000000003" customHeight="1">
      <c r="A1461" s="75">
        <v>1</v>
      </c>
      <c r="B1461" s="80" t="s">
        <v>91</v>
      </c>
      <c r="C1461" s="77" t="s">
        <v>48</v>
      </c>
      <c r="D1461" s="78">
        <v>1</v>
      </c>
      <c r="E1461" s="79"/>
      <c r="F1461" s="79" t="e">
        <f t="shared" ref="F1461:F1494" si="91">E1461+F1398</f>
        <v>#REF!</v>
      </c>
      <c r="G1461" s="2"/>
      <c r="H1461" s="37">
        <v>10508</v>
      </c>
      <c r="I1461" s="4">
        <f>H1461*E1461</f>
        <v>0</v>
      </c>
      <c r="J1461" s="25">
        <f t="shared" si="89"/>
        <v>47</v>
      </c>
    </row>
    <row r="1462" spans="1:10" ht="34.799999999999997" customHeight="1">
      <c r="A1462" s="75">
        <v>2</v>
      </c>
      <c r="B1462" s="80" t="s">
        <v>92</v>
      </c>
      <c r="C1462" s="77" t="s">
        <v>48</v>
      </c>
      <c r="D1462" s="78">
        <v>1</v>
      </c>
      <c r="E1462" s="79"/>
      <c r="F1462" s="79" t="e">
        <f t="shared" si="91"/>
        <v>#REF!</v>
      </c>
      <c r="G1462" s="2"/>
      <c r="H1462" s="37">
        <v>13223</v>
      </c>
      <c r="I1462" s="4">
        <f>H1462*E1462</f>
        <v>0</v>
      </c>
      <c r="J1462" s="25">
        <f t="shared" si="89"/>
        <v>47</v>
      </c>
    </row>
    <row r="1463" spans="1:10" ht="53.4" customHeight="1">
      <c r="A1463" s="75">
        <v>3</v>
      </c>
      <c r="B1463" s="80" t="s">
        <v>93</v>
      </c>
      <c r="C1463" s="77" t="s">
        <v>48</v>
      </c>
      <c r="D1463" s="78">
        <v>1</v>
      </c>
      <c r="E1463" s="79"/>
      <c r="F1463" s="79" t="e">
        <f t="shared" si="91"/>
        <v>#REF!</v>
      </c>
      <c r="G1463" s="2"/>
      <c r="H1463" s="37">
        <v>310497</v>
      </c>
      <c r="I1463" s="4">
        <f t="shared" ref="I1463:I1494" si="92">H1463*E1463</f>
        <v>0</v>
      </c>
      <c r="J1463" s="25">
        <f t="shared" si="89"/>
        <v>47</v>
      </c>
    </row>
    <row r="1464" spans="1:10" ht="16.95" customHeight="1">
      <c r="A1464" s="75">
        <v>4</v>
      </c>
      <c r="B1464" s="80" t="s">
        <v>94</v>
      </c>
      <c r="C1464" s="77" t="s">
        <v>48</v>
      </c>
      <c r="D1464" s="78">
        <v>1</v>
      </c>
      <c r="E1464" s="79"/>
      <c r="F1464" s="79" t="e">
        <f t="shared" si="91"/>
        <v>#REF!</v>
      </c>
      <c r="G1464" s="2"/>
      <c r="H1464" s="37">
        <v>8375</v>
      </c>
      <c r="I1464" s="4">
        <f t="shared" si="92"/>
        <v>0</v>
      </c>
      <c r="J1464" s="25">
        <f t="shared" si="89"/>
        <v>47</v>
      </c>
    </row>
    <row r="1465" spans="1:10" ht="16.95" customHeight="1">
      <c r="A1465" s="75">
        <v>5</v>
      </c>
      <c r="B1465" s="80" t="s">
        <v>95</v>
      </c>
      <c r="C1465" s="77" t="s">
        <v>48</v>
      </c>
      <c r="D1465" s="78">
        <v>1</v>
      </c>
      <c r="E1465" s="79"/>
      <c r="F1465" s="79" t="e">
        <f t="shared" si="91"/>
        <v>#REF!</v>
      </c>
      <c r="G1465" s="2"/>
      <c r="H1465" s="37">
        <v>51618</v>
      </c>
      <c r="I1465" s="4">
        <f t="shared" si="92"/>
        <v>0</v>
      </c>
      <c r="J1465" s="25">
        <f t="shared" si="89"/>
        <v>47</v>
      </c>
    </row>
    <row r="1466" spans="1:10" ht="16.95" customHeight="1">
      <c r="A1466" s="75">
        <v>6</v>
      </c>
      <c r="B1466" s="80" t="s">
        <v>96</v>
      </c>
      <c r="C1466" s="77" t="s">
        <v>50</v>
      </c>
      <c r="D1466" s="78">
        <v>11.55</v>
      </c>
      <c r="E1466" s="79"/>
      <c r="F1466" s="79" t="e">
        <f t="shared" si="91"/>
        <v>#REF!</v>
      </c>
      <c r="G1466" s="2"/>
      <c r="H1466" s="37">
        <v>1188</v>
      </c>
      <c r="I1466" s="4">
        <f t="shared" si="92"/>
        <v>0</v>
      </c>
      <c r="J1466" s="25">
        <f t="shared" si="89"/>
        <v>47</v>
      </c>
    </row>
    <row r="1467" spans="1:10" ht="34.950000000000003" customHeight="1">
      <c r="A1467" s="75">
        <v>7</v>
      </c>
      <c r="B1467" s="80" t="s">
        <v>97</v>
      </c>
      <c r="C1467" s="77" t="s">
        <v>48</v>
      </c>
      <c r="D1467" s="78">
        <v>1</v>
      </c>
      <c r="E1467" s="79"/>
      <c r="F1467" s="79" t="e">
        <f t="shared" si="91"/>
        <v>#REF!</v>
      </c>
      <c r="G1467" s="2"/>
      <c r="H1467" s="37">
        <v>21157</v>
      </c>
      <c r="I1467" s="4">
        <f t="shared" si="92"/>
        <v>0</v>
      </c>
      <c r="J1467" s="25">
        <f t="shared" ref="J1467:J1530" si="93">J1404+2</f>
        <v>47</v>
      </c>
    </row>
    <row r="1468" spans="1:10" ht="16.95" customHeight="1">
      <c r="A1468" s="75">
        <v>8</v>
      </c>
      <c r="B1468" s="80" t="s">
        <v>98</v>
      </c>
      <c r="C1468" s="77" t="s">
        <v>50</v>
      </c>
      <c r="D1468" s="78">
        <v>387</v>
      </c>
      <c r="E1468" s="79"/>
      <c r="F1468" s="79" t="e">
        <f t="shared" si="91"/>
        <v>#REF!</v>
      </c>
      <c r="G1468" s="2"/>
      <c r="H1468" s="37">
        <v>705</v>
      </c>
      <c r="I1468" s="4">
        <f t="shared" si="92"/>
        <v>0</v>
      </c>
      <c r="J1468" s="25">
        <f t="shared" si="93"/>
        <v>47</v>
      </c>
    </row>
    <row r="1469" spans="1:10" ht="16.95" customHeight="1">
      <c r="A1469" s="75">
        <v>9</v>
      </c>
      <c r="B1469" s="80" t="s">
        <v>99</v>
      </c>
      <c r="C1469" s="77" t="s">
        <v>50</v>
      </c>
      <c r="D1469" s="78">
        <v>170</v>
      </c>
      <c r="E1469" s="79"/>
      <c r="F1469" s="79" t="e">
        <f t="shared" si="91"/>
        <v>#REF!</v>
      </c>
      <c r="G1469" s="2"/>
      <c r="H1469" s="37">
        <v>617</v>
      </c>
      <c r="I1469" s="4">
        <f t="shared" si="92"/>
        <v>0</v>
      </c>
      <c r="J1469" s="25">
        <f t="shared" si="93"/>
        <v>47</v>
      </c>
    </row>
    <row r="1470" spans="1:10" ht="16.95" customHeight="1">
      <c r="A1470" s="75">
        <v>10</v>
      </c>
      <c r="B1470" s="80" t="s">
        <v>100</v>
      </c>
      <c r="C1470" s="77" t="s">
        <v>66</v>
      </c>
      <c r="D1470" s="78">
        <v>15</v>
      </c>
      <c r="E1470" s="79"/>
      <c r="F1470" s="79" t="e">
        <f t="shared" si="91"/>
        <v>#REF!</v>
      </c>
      <c r="G1470" s="2"/>
      <c r="H1470" s="37">
        <v>617</v>
      </c>
      <c r="I1470" s="4">
        <f t="shared" si="92"/>
        <v>0</v>
      </c>
      <c r="J1470" s="25">
        <f t="shared" si="93"/>
        <v>47</v>
      </c>
    </row>
    <row r="1471" spans="1:10" ht="16.95" customHeight="1">
      <c r="A1471" s="75">
        <v>11</v>
      </c>
      <c r="B1471" s="80" t="s">
        <v>101</v>
      </c>
      <c r="C1471" s="77" t="s">
        <v>50</v>
      </c>
      <c r="D1471" s="78">
        <v>75</v>
      </c>
      <c r="E1471" s="79"/>
      <c r="F1471" s="79" t="e">
        <f t="shared" si="91"/>
        <v>#REF!</v>
      </c>
      <c r="G1471" s="2"/>
      <c r="H1471" s="37">
        <v>1146</v>
      </c>
      <c r="I1471" s="4">
        <f t="shared" si="92"/>
        <v>0</v>
      </c>
      <c r="J1471" s="25">
        <f t="shared" si="93"/>
        <v>47</v>
      </c>
    </row>
    <row r="1472" spans="1:10" ht="16.95" customHeight="1">
      <c r="A1472" s="75">
        <v>12</v>
      </c>
      <c r="B1472" s="80" t="s">
        <v>102</v>
      </c>
      <c r="C1472" s="77" t="s">
        <v>50</v>
      </c>
      <c r="D1472" s="78">
        <v>5</v>
      </c>
      <c r="E1472" s="79"/>
      <c r="F1472" s="79" t="e">
        <f t="shared" si="91"/>
        <v>#REF!</v>
      </c>
      <c r="G1472" s="2"/>
      <c r="H1472" s="37">
        <v>1455</v>
      </c>
      <c r="I1472" s="4">
        <f t="shared" si="92"/>
        <v>0</v>
      </c>
      <c r="J1472" s="25">
        <f t="shared" si="93"/>
        <v>47</v>
      </c>
    </row>
    <row r="1473" spans="1:10" ht="16.95" customHeight="1">
      <c r="A1473" s="75">
        <v>13</v>
      </c>
      <c r="B1473" s="80" t="s">
        <v>103</v>
      </c>
      <c r="C1473" s="77" t="s">
        <v>50</v>
      </c>
      <c r="D1473" s="78">
        <v>217</v>
      </c>
      <c r="E1473" s="79"/>
      <c r="F1473" s="79" t="e">
        <f t="shared" si="91"/>
        <v>#REF!</v>
      </c>
      <c r="G1473" s="2"/>
      <c r="H1473" s="37">
        <v>1410</v>
      </c>
      <c r="I1473" s="4">
        <f t="shared" si="92"/>
        <v>0</v>
      </c>
      <c r="J1473" s="25">
        <f t="shared" si="93"/>
        <v>47</v>
      </c>
    </row>
    <row r="1474" spans="1:10" ht="16.95" customHeight="1">
      <c r="A1474" s="75">
        <v>14</v>
      </c>
      <c r="B1474" s="80" t="s">
        <v>104</v>
      </c>
      <c r="C1474" s="77" t="s">
        <v>49</v>
      </c>
      <c r="D1474" s="78">
        <v>84</v>
      </c>
      <c r="E1474" s="79"/>
      <c r="F1474" s="79" t="e">
        <f t="shared" si="91"/>
        <v>#REF!</v>
      </c>
      <c r="G1474" s="2"/>
      <c r="H1474" s="37">
        <v>529</v>
      </c>
      <c r="I1474" s="4">
        <f t="shared" si="92"/>
        <v>0</v>
      </c>
      <c r="J1474" s="25">
        <f t="shared" si="93"/>
        <v>47</v>
      </c>
    </row>
    <row r="1475" spans="1:10" ht="16.95" customHeight="1">
      <c r="A1475" s="75">
        <v>15</v>
      </c>
      <c r="B1475" s="80" t="s">
        <v>105</v>
      </c>
      <c r="C1475" s="77" t="s">
        <v>50</v>
      </c>
      <c r="D1475" s="78">
        <v>1</v>
      </c>
      <c r="E1475" s="79"/>
      <c r="F1475" s="79" t="e">
        <f t="shared" si="91"/>
        <v>#REF!</v>
      </c>
      <c r="G1475" s="2"/>
      <c r="H1475" s="37">
        <v>1146</v>
      </c>
      <c r="I1475" s="4">
        <f t="shared" si="92"/>
        <v>0</v>
      </c>
      <c r="J1475" s="25">
        <f t="shared" si="93"/>
        <v>47</v>
      </c>
    </row>
    <row r="1476" spans="1:10" ht="34.799999999999997" customHeight="1">
      <c r="A1476" s="75">
        <v>16</v>
      </c>
      <c r="B1476" s="80" t="s">
        <v>106</v>
      </c>
      <c r="C1476" s="77" t="s">
        <v>50</v>
      </c>
      <c r="D1476" s="78">
        <v>314</v>
      </c>
      <c r="E1476" s="79"/>
      <c r="F1476" s="79" t="e">
        <f t="shared" si="91"/>
        <v>#REF!</v>
      </c>
      <c r="G1476" s="2"/>
      <c r="H1476" s="37">
        <v>185</v>
      </c>
      <c r="I1476" s="4">
        <f t="shared" si="92"/>
        <v>0</v>
      </c>
      <c r="J1476" s="25">
        <f t="shared" si="93"/>
        <v>47</v>
      </c>
    </row>
    <row r="1477" spans="1:10" ht="16.95" customHeight="1">
      <c r="A1477" s="75">
        <v>17</v>
      </c>
      <c r="B1477" s="80" t="s">
        <v>107</v>
      </c>
      <c r="C1477" s="77" t="s">
        <v>48</v>
      </c>
      <c r="D1477" s="78">
        <v>1</v>
      </c>
      <c r="E1477" s="79"/>
      <c r="F1477" s="79" t="e">
        <f t="shared" si="91"/>
        <v>#REF!</v>
      </c>
      <c r="G1477" s="2"/>
      <c r="H1477" s="37">
        <v>89918</v>
      </c>
      <c r="I1477" s="4">
        <f t="shared" si="92"/>
        <v>0</v>
      </c>
      <c r="J1477" s="25">
        <f t="shared" si="93"/>
        <v>47</v>
      </c>
    </row>
    <row r="1478" spans="1:10" ht="16.95" customHeight="1">
      <c r="A1478" s="75">
        <v>18</v>
      </c>
      <c r="B1478" s="80" t="s">
        <v>108</v>
      </c>
      <c r="C1478" s="77" t="s">
        <v>120</v>
      </c>
      <c r="D1478" s="78">
        <v>15</v>
      </c>
      <c r="E1478" s="79"/>
      <c r="F1478" s="79" t="e">
        <f t="shared" si="91"/>
        <v>#REF!</v>
      </c>
      <c r="G1478" s="2"/>
      <c r="H1478" s="37">
        <v>661</v>
      </c>
      <c r="I1478" s="4">
        <f t="shared" si="92"/>
        <v>0</v>
      </c>
      <c r="J1478" s="25">
        <f t="shared" si="93"/>
        <v>47</v>
      </c>
    </row>
    <row r="1479" spans="1:10" ht="16.95" customHeight="1">
      <c r="A1479" s="75">
        <v>19</v>
      </c>
      <c r="B1479" s="80" t="s">
        <v>109</v>
      </c>
      <c r="C1479" s="77" t="s">
        <v>50</v>
      </c>
      <c r="D1479" s="78">
        <v>82</v>
      </c>
      <c r="E1479" s="79"/>
      <c r="F1479" s="79" t="e">
        <f t="shared" si="91"/>
        <v>#REF!</v>
      </c>
      <c r="G1479" s="2"/>
      <c r="H1479" s="37">
        <v>2909</v>
      </c>
      <c r="I1479" s="4">
        <f t="shared" si="92"/>
        <v>0</v>
      </c>
      <c r="J1479" s="25">
        <f t="shared" si="93"/>
        <v>47</v>
      </c>
    </row>
    <row r="1480" spans="1:10" ht="16.95" customHeight="1">
      <c r="A1480" s="75">
        <v>20</v>
      </c>
      <c r="B1480" s="80" t="s">
        <v>110</v>
      </c>
      <c r="C1480" s="77" t="s">
        <v>121</v>
      </c>
      <c r="D1480" s="78">
        <v>12</v>
      </c>
      <c r="E1480" s="79"/>
      <c r="F1480" s="79" t="e">
        <f t="shared" si="91"/>
        <v>#REF!</v>
      </c>
      <c r="G1480" s="2"/>
      <c r="H1480" s="37">
        <v>882</v>
      </c>
      <c r="I1480" s="4">
        <f t="shared" si="92"/>
        <v>0</v>
      </c>
      <c r="J1480" s="25">
        <f t="shared" si="93"/>
        <v>47</v>
      </c>
    </row>
    <row r="1481" spans="1:10" ht="16.95" customHeight="1">
      <c r="A1481" s="77">
        <v>21</v>
      </c>
      <c r="B1481" s="80" t="s">
        <v>111</v>
      </c>
      <c r="C1481" s="77" t="s">
        <v>122</v>
      </c>
      <c r="D1481" s="78">
        <v>3</v>
      </c>
      <c r="E1481" s="79"/>
      <c r="F1481" s="79" t="e">
        <f t="shared" si="91"/>
        <v>#REF!</v>
      </c>
      <c r="G1481" s="2"/>
      <c r="H1481" s="38">
        <v>1869</v>
      </c>
      <c r="I1481" s="4">
        <f t="shared" si="92"/>
        <v>0</v>
      </c>
      <c r="J1481" s="25">
        <f t="shared" si="93"/>
        <v>47</v>
      </c>
    </row>
    <row r="1482" spans="1:10" ht="34.950000000000003" customHeight="1">
      <c r="A1482" s="75">
        <v>22</v>
      </c>
      <c r="B1482" s="80" t="s">
        <v>112</v>
      </c>
      <c r="C1482" s="77" t="s">
        <v>48</v>
      </c>
      <c r="D1482" s="78">
        <v>1</v>
      </c>
      <c r="E1482" s="79"/>
      <c r="F1482" s="79" t="e">
        <f t="shared" si="91"/>
        <v>#REF!</v>
      </c>
      <c r="G1482" s="2"/>
      <c r="H1482" s="37">
        <v>82206</v>
      </c>
      <c r="I1482" s="4">
        <f t="shared" si="92"/>
        <v>0</v>
      </c>
      <c r="J1482" s="25">
        <f t="shared" si="93"/>
        <v>47</v>
      </c>
    </row>
    <row r="1483" spans="1:10" ht="16.95" customHeight="1">
      <c r="A1483" s="75">
        <v>23</v>
      </c>
      <c r="B1483" s="80" t="s">
        <v>113</v>
      </c>
      <c r="C1483" s="77" t="s">
        <v>48</v>
      </c>
      <c r="D1483" s="78">
        <v>1</v>
      </c>
      <c r="E1483" s="79"/>
      <c r="F1483" s="79" t="e">
        <f t="shared" si="91"/>
        <v>#REF!</v>
      </c>
      <c r="G1483" s="2"/>
      <c r="H1483" s="37">
        <v>142723</v>
      </c>
      <c r="I1483" s="4">
        <f t="shared" si="92"/>
        <v>0</v>
      </c>
      <c r="J1483" s="25">
        <f t="shared" si="93"/>
        <v>47</v>
      </c>
    </row>
    <row r="1484" spans="1:10" ht="16.95" customHeight="1">
      <c r="A1484" s="75">
        <v>24</v>
      </c>
      <c r="B1484" s="80" t="s">
        <v>114</v>
      </c>
      <c r="C1484" s="77" t="s">
        <v>48</v>
      </c>
      <c r="D1484" s="78">
        <v>1</v>
      </c>
      <c r="E1484" s="79"/>
      <c r="F1484" s="79" t="e">
        <f t="shared" si="91"/>
        <v>#REF!</v>
      </c>
      <c r="G1484" s="2"/>
      <c r="H1484" s="37">
        <v>37290</v>
      </c>
      <c r="I1484" s="4">
        <f t="shared" si="92"/>
        <v>0</v>
      </c>
      <c r="J1484" s="25">
        <f t="shared" si="93"/>
        <v>47</v>
      </c>
    </row>
    <row r="1485" spans="1:10" ht="16.95" customHeight="1">
      <c r="A1485" s="75">
        <v>25</v>
      </c>
      <c r="B1485" s="80" t="s">
        <v>115</v>
      </c>
      <c r="C1485" s="77" t="s">
        <v>48</v>
      </c>
      <c r="D1485" s="78">
        <v>1</v>
      </c>
      <c r="E1485" s="79"/>
      <c r="F1485" s="79" t="e">
        <f t="shared" si="91"/>
        <v>#REF!</v>
      </c>
      <c r="G1485" s="2"/>
      <c r="H1485" s="37">
        <v>99394</v>
      </c>
      <c r="I1485" s="4">
        <f t="shared" si="92"/>
        <v>0</v>
      </c>
      <c r="J1485" s="25">
        <f t="shared" si="93"/>
        <v>47</v>
      </c>
    </row>
    <row r="1486" spans="1:10" ht="34.950000000000003" customHeight="1">
      <c r="A1486" s="75">
        <v>26</v>
      </c>
      <c r="B1486" s="80" t="s">
        <v>116</v>
      </c>
      <c r="C1486" s="77" t="s">
        <v>48</v>
      </c>
      <c r="D1486" s="78">
        <v>1</v>
      </c>
      <c r="E1486" s="79"/>
      <c r="F1486" s="79" t="e">
        <f t="shared" si="91"/>
        <v>#REF!</v>
      </c>
      <c r="G1486" s="2"/>
      <c r="H1486" s="37">
        <v>21334</v>
      </c>
      <c r="I1486" s="4">
        <f t="shared" si="92"/>
        <v>0</v>
      </c>
      <c r="J1486" s="25">
        <f t="shared" si="93"/>
        <v>47</v>
      </c>
    </row>
    <row r="1487" spans="1:10" ht="16.95" customHeight="1">
      <c r="A1487" s="75">
        <v>27</v>
      </c>
      <c r="B1487" s="80" t="s">
        <v>117</v>
      </c>
      <c r="C1487" s="77" t="s">
        <v>48</v>
      </c>
      <c r="D1487" s="78">
        <v>1</v>
      </c>
      <c r="E1487" s="79"/>
      <c r="F1487" s="79" t="e">
        <f t="shared" si="91"/>
        <v>#REF!</v>
      </c>
      <c r="G1487" s="2"/>
      <c r="H1487" s="37">
        <v>29620</v>
      </c>
      <c r="I1487" s="4">
        <f t="shared" si="92"/>
        <v>0</v>
      </c>
      <c r="J1487" s="25">
        <f t="shared" si="93"/>
        <v>47</v>
      </c>
    </row>
    <row r="1488" spans="1:10" ht="16.95" customHeight="1">
      <c r="A1488" s="75">
        <v>28</v>
      </c>
      <c r="B1488" s="80" t="s">
        <v>118</v>
      </c>
      <c r="C1488" s="77" t="s">
        <v>48</v>
      </c>
      <c r="D1488" s="78">
        <v>1</v>
      </c>
      <c r="E1488" s="79"/>
      <c r="F1488" s="79" t="e">
        <f t="shared" si="91"/>
        <v>#REF!</v>
      </c>
      <c r="G1488" s="2"/>
      <c r="H1488" s="37">
        <v>18506</v>
      </c>
      <c r="I1488" s="4">
        <f t="shared" si="92"/>
        <v>0</v>
      </c>
      <c r="J1488" s="25">
        <f t="shared" si="93"/>
        <v>47</v>
      </c>
    </row>
    <row r="1489" spans="1:10" ht="16.95" customHeight="1">
      <c r="A1489" s="75">
        <v>29</v>
      </c>
      <c r="B1489" s="80" t="s">
        <v>119</v>
      </c>
      <c r="C1489" s="77" t="s">
        <v>48</v>
      </c>
      <c r="D1489" s="78">
        <v>1</v>
      </c>
      <c r="E1489" s="79"/>
      <c r="F1489" s="79" t="e">
        <f t="shared" si="91"/>
        <v>#REF!</v>
      </c>
      <c r="G1489" s="2"/>
      <c r="H1489" s="37">
        <v>34381</v>
      </c>
      <c r="I1489" s="4">
        <f t="shared" si="92"/>
        <v>0</v>
      </c>
      <c r="J1489" s="25">
        <f t="shared" si="93"/>
        <v>47</v>
      </c>
    </row>
    <row r="1490" spans="1:10" ht="16.95" customHeight="1">
      <c r="A1490" s="75" t="s">
        <v>79</v>
      </c>
      <c r="B1490" s="80" t="s">
        <v>80</v>
      </c>
      <c r="C1490" s="77" t="s">
        <v>48</v>
      </c>
      <c r="D1490" s="78">
        <v>1</v>
      </c>
      <c r="E1490" s="79">
        <f t="shared" ref="E1490:E1493" si="94">1/120</f>
        <v>8.3333333333333332E-3</v>
      </c>
      <c r="F1490" s="79" t="e">
        <f t="shared" si="91"/>
        <v>#REF!</v>
      </c>
      <c r="G1490" s="2"/>
      <c r="H1490" s="37">
        <v>21395</v>
      </c>
      <c r="I1490" s="4">
        <f t="shared" si="92"/>
        <v>178.29166666666666</v>
      </c>
      <c r="J1490" s="25">
        <f t="shared" si="93"/>
        <v>47</v>
      </c>
    </row>
    <row r="1491" spans="1:10" ht="16.95" customHeight="1">
      <c r="A1491" s="75" t="s">
        <v>81</v>
      </c>
      <c r="B1491" s="80" t="s">
        <v>82</v>
      </c>
      <c r="C1491" s="77" t="s">
        <v>48</v>
      </c>
      <c r="D1491" s="78">
        <v>1</v>
      </c>
      <c r="E1491" s="79">
        <f t="shared" si="94"/>
        <v>8.3333333333333332E-3</v>
      </c>
      <c r="F1491" s="79" t="e">
        <f t="shared" si="91"/>
        <v>#REF!</v>
      </c>
      <c r="G1491" s="2"/>
      <c r="H1491" s="37">
        <v>21395</v>
      </c>
      <c r="I1491" s="4">
        <f t="shared" si="92"/>
        <v>178.29166666666666</v>
      </c>
      <c r="J1491" s="25">
        <f t="shared" si="93"/>
        <v>47</v>
      </c>
    </row>
    <row r="1492" spans="1:10" ht="16.95" customHeight="1">
      <c r="A1492" s="75" t="s">
        <v>83</v>
      </c>
      <c r="B1492" s="80" t="s">
        <v>84</v>
      </c>
      <c r="C1492" s="77" t="s">
        <v>48</v>
      </c>
      <c r="D1492" s="78">
        <v>1</v>
      </c>
      <c r="E1492" s="79">
        <f t="shared" si="94"/>
        <v>8.3333333333333332E-3</v>
      </c>
      <c r="F1492" s="79" t="e">
        <f t="shared" si="91"/>
        <v>#REF!</v>
      </c>
      <c r="G1492" s="2"/>
      <c r="H1492" s="37">
        <v>149765</v>
      </c>
      <c r="I1492" s="4">
        <f t="shared" si="92"/>
        <v>1248.0416666666667</v>
      </c>
      <c r="J1492" s="25">
        <f t="shared" si="93"/>
        <v>47</v>
      </c>
    </row>
    <row r="1493" spans="1:10" ht="16.95" customHeight="1">
      <c r="A1493" s="75" t="s">
        <v>85</v>
      </c>
      <c r="B1493" s="80" t="s">
        <v>86</v>
      </c>
      <c r="C1493" s="77" t="s">
        <v>48</v>
      </c>
      <c r="D1493" s="78">
        <v>1</v>
      </c>
      <c r="E1493" s="79">
        <f t="shared" si="94"/>
        <v>8.3333333333333332E-3</v>
      </c>
      <c r="F1493" s="79" t="e">
        <f t="shared" si="91"/>
        <v>#REF!</v>
      </c>
      <c r="G1493" s="2"/>
      <c r="H1493" s="37">
        <v>6996</v>
      </c>
      <c r="I1493" s="4">
        <f t="shared" si="92"/>
        <v>58.3</v>
      </c>
      <c r="J1493" s="25">
        <f t="shared" si="93"/>
        <v>47</v>
      </c>
    </row>
    <row r="1494" spans="1:10" ht="16.95" customHeight="1">
      <c r="A1494" s="75" t="s">
        <v>87</v>
      </c>
      <c r="B1494" s="80" t="s">
        <v>88</v>
      </c>
      <c r="C1494" s="77" t="s">
        <v>48</v>
      </c>
      <c r="D1494" s="78">
        <v>1</v>
      </c>
      <c r="E1494" s="79">
        <f>1/120</f>
        <v>8.3333333333333332E-3</v>
      </c>
      <c r="F1494" s="79" t="e">
        <f t="shared" si="91"/>
        <v>#REF!</v>
      </c>
      <c r="G1494" s="2"/>
      <c r="H1494" s="37">
        <v>116952</v>
      </c>
      <c r="I1494" s="4">
        <f t="shared" si="92"/>
        <v>974.6</v>
      </c>
      <c r="J1494" s="25">
        <f t="shared" si="93"/>
        <v>47</v>
      </c>
    </row>
    <row r="1495" spans="1:10" ht="16.95" customHeight="1">
      <c r="A1495" s="95" t="s">
        <v>23</v>
      </c>
      <c r="B1495" s="95"/>
      <c r="C1495" s="50"/>
      <c r="D1495" s="50"/>
      <c r="E1495" s="50"/>
      <c r="F1495" s="50"/>
      <c r="G1495" s="50"/>
      <c r="H1495" s="3" t="s">
        <v>24</v>
      </c>
      <c r="I1495" s="5">
        <f>SUM(I1460:I1494)</f>
        <v>2637.5250000000001</v>
      </c>
      <c r="J1495" s="25">
        <f t="shared" si="93"/>
        <v>47</v>
      </c>
    </row>
    <row r="1496" spans="1:10" ht="16.95" customHeight="1">
      <c r="A1496" s="96" t="s">
        <v>25</v>
      </c>
      <c r="B1496" s="96"/>
      <c r="C1496" s="50"/>
      <c r="D1496" s="50"/>
      <c r="E1496" s="50"/>
      <c r="F1496" s="50"/>
      <c r="G1496" s="50"/>
      <c r="J1496" s="25">
        <f t="shared" si="93"/>
        <v>47</v>
      </c>
    </row>
    <row r="1497" spans="1:10" ht="16.95" customHeight="1">
      <c r="A1497" s="96" t="s">
        <v>26</v>
      </c>
      <c r="B1497" s="96"/>
      <c r="C1497" s="50"/>
      <c r="D1497" s="50"/>
      <c r="E1497" s="50"/>
      <c r="F1497" s="50"/>
      <c r="G1497" s="50"/>
      <c r="J1497" s="25">
        <f t="shared" si="93"/>
        <v>47</v>
      </c>
    </row>
    <row r="1498" spans="1:10" ht="16.95" customHeight="1">
      <c r="A1498" s="95" t="s">
        <v>27</v>
      </c>
      <c r="B1498" s="95"/>
      <c r="C1498" s="95"/>
      <c r="D1498" s="95"/>
      <c r="E1498" s="95"/>
      <c r="F1498" s="95"/>
      <c r="G1498" s="95"/>
      <c r="J1498" s="25">
        <f t="shared" si="93"/>
        <v>47</v>
      </c>
    </row>
    <row r="1499" spans="1:10" ht="16.95" customHeight="1">
      <c r="A1499" s="94" t="s">
        <v>28</v>
      </c>
      <c r="B1499" s="94"/>
      <c r="C1499" s="51" t="s">
        <v>29</v>
      </c>
      <c r="D1499" s="51" t="s">
        <v>30</v>
      </c>
      <c r="E1499" s="51" t="s">
        <v>18</v>
      </c>
      <c r="F1499" s="51" t="s">
        <v>31</v>
      </c>
      <c r="G1499" s="51" t="s">
        <v>20</v>
      </c>
      <c r="J1499" s="25">
        <f t="shared" si="93"/>
        <v>47</v>
      </c>
    </row>
    <row r="1500" spans="1:10" ht="16.95" customHeight="1">
      <c r="A1500" s="96"/>
      <c r="B1500" s="96"/>
      <c r="C1500" s="50"/>
      <c r="D1500" s="50"/>
      <c r="E1500" s="50"/>
      <c r="F1500" s="50"/>
      <c r="G1500" s="51"/>
      <c r="J1500" s="25">
        <f t="shared" si="93"/>
        <v>47</v>
      </c>
    </row>
    <row r="1501" spans="1:10" ht="16.95" customHeight="1">
      <c r="A1501" s="97"/>
      <c r="B1501" s="97"/>
      <c r="C1501" s="50"/>
      <c r="D1501" s="50"/>
      <c r="E1501" s="50"/>
      <c r="F1501" s="51"/>
      <c r="G1501" s="51"/>
      <c r="J1501" s="25">
        <f t="shared" si="93"/>
        <v>47</v>
      </c>
    </row>
    <row r="1502" spans="1:10" ht="16.95" customHeight="1">
      <c r="A1502" s="95" t="s">
        <v>32</v>
      </c>
      <c r="B1502" s="95"/>
      <c r="C1502" s="95"/>
      <c r="D1502" s="95"/>
      <c r="E1502" s="95"/>
      <c r="F1502" s="95"/>
      <c r="G1502" s="95"/>
      <c r="J1502" s="25">
        <f t="shared" si="93"/>
        <v>48</v>
      </c>
    </row>
    <row r="1503" spans="1:10" ht="16.95" customHeight="1">
      <c r="A1503" s="51" t="s">
        <v>33</v>
      </c>
      <c r="B1503" s="51" t="s">
        <v>34</v>
      </c>
      <c r="C1503" s="94" t="s">
        <v>35</v>
      </c>
      <c r="D1503" s="94"/>
      <c r="E1503" s="51" t="s">
        <v>36</v>
      </c>
      <c r="F1503" s="51" t="s">
        <v>37</v>
      </c>
      <c r="G1503" s="51" t="s">
        <v>38</v>
      </c>
      <c r="J1503" s="25">
        <f t="shared" si="93"/>
        <v>48</v>
      </c>
    </row>
    <row r="1504" spans="1:10" ht="16.95" customHeight="1">
      <c r="A1504" s="51" t="s">
        <v>39</v>
      </c>
      <c r="B1504" s="6"/>
      <c r="C1504" s="94" t="e">
        <f>B1504+C1441</f>
        <v>#REF!</v>
      </c>
      <c r="D1504" s="94"/>
      <c r="E1504" s="51"/>
      <c r="F1504" s="24"/>
      <c r="G1504" s="24"/>
      <c r="J1504" s="25">
        <f t="shared" si="93"/>
        <v>48</v>
      </c>
    </row>
    <row r="1505" spans="1:10" ht="16.95" customHeight="1">
      <c r="A1505" s="51" t="s">
        <v>40</v>
      </c>
      <c r="B1505" s="6"/>
      <c r="C1505" s="94" t="e">
        <f>B1505+C1442</f>
        <v>#REF!</v>
      </c>
      <c r="D1505" s="94"/>
      <c r="E1505" s="51"/>
      <c r="F1505" s="24"/>
      <c r="G1505" s="24"/>
      <c r="J1505" s="25">
        <f t="shared" si="93"/>
        <v>48</v>
      </c>
    </row>
    <row r="1506" spans="1:10" ht="36.6" customHeight="1">
      <c r="A1506" s="95" t="s">
        <v>41</v>
      </c>
      <c r="B1506" s="95"/>
      <c r="C1506" s="95"/>
      <c r="D1506" s="95"/>
      <c r="E1506" s="95"/>
      <c r="F1506" s="95"/>
      <c r="G1506" s="95"/>
      <c r="J1506" s="25">
        <f t="shared" si="93"/>
        <v>48</v>
      </c>
    </row>
    <row r="1507" spans="1:10" ht="90" customHeight="1">
      <c r="A1507" s="92" t="s">
        <v>42</v>
      </c>
      <c r="B1507" s="92"/>
      <c r="C1507" s="92"/>
      <c r="D1507" s="92"/>
      <c r="E1507" s="92"/>
      <c r="F1507" s="92"/>
      <c r="G1507" s="92"/>
      <c r="J1507" s="25">
        <f t="shared" si="93"/>
        <v>48</v>
      </c>
    </row>
    <row r="1508" spans="1:10" ht="16.95" customHeight="1">
      <c r="A1508" s="95" t="s">
        <v>43</v>
      </c>
      <c r="B1508" s="95"/>
      <c r="C1508" s="95"/>
      <c r="D1508" s="95"/>
      <c r="E1508" s="95"/>
      <c r="F1508" s="95"/>
      <c r="G1508" s="95"/>
      <c r="J1508" s="25">
        <f t="shared" si="93"/>
        <v>48</v>
      </c>
    </row>
    <row r="1509" spans="1:10" ht="16.95" customHeight="1">
      <c r="A1509" s="95" t="s">
        <v>44</v>
      </c>
      <c r="B1509" s="95"/>
      <c r="C1509" s="95"/>
      <c r="D1509" s="95"/>
      <c r="E1509" s="95"/>
      <c r="F1509" s="95"/>
      <c r="G1509" s="95"/>
      <c r="J1509" s="25">
        <f t="shared" si="93"/>
        <v>48</v>
      </c>
    </row>
    <row r="1510" spans="1:10" ht="16.95" customHeight="1">
      <c r="A1510" s="91" t="s">
        <v>64</v>
      </c>
      <c r="B1510" s="91"/>
      <c r="C1510" s="91"/>
      <c r="D1510" s="91"/>
      <c r="E1510" s="91"/>
      <c r="F1510" s="91"/>
      <c r="G1510" s="91"/>
      <c r="J1510" s="25">
        <f t="shared" si="93"/>
        <v>48</v>
      </c>
    </row>
    <row r="1511" spans="1:10" ht="120.6" customHeight="1">
      <c r="A1511" s="92" t="s">
        <v>45</v>
      </c>
      <c r="B1511" s="92"/>
      <c r="C1511" s="92"/>
      <c r="D1511" s="92"/>
      <c r="E1511" s="92"/>
      <c r="F1511" s="92"/>
      <c r="G1511" s="92"/>
      <c r="J1511" s="25">
        <f t="shared" si="93"/>
        <v>48</v>
      </c>
    </row>
    <row r="1512" spans="1:10" ht="140.4" customHeight="1">
      <c r="A1512" s="93" t="s">
        <v>46</v>
      </c>
      <c r="B1512" s="93"/>
      <c r="C1512" s="93"/>
      <c r="D1512" s="93"/>
      <c r="E1512" s="93"/>
      <c r="F1512" s="93"/>
      <c r="G1512" s="93"/>
      <c r="J1512" s="25">
        <f t="shared" si="93"/>
        <v>48</v>
      </c>
    </row>
    <row r="1513" spans="1:10" ht="37.200000000000003" customHeight="1">
      <c r="A1513" s="103" t="s">
        <v>0</v>
      </c>
      <c r="B1513" s="103"/>
      <c r="C1513" s="103"/>
      <c r="D1513" s="103"/>
      <c r="E1513" s="103"/>
      <c r="F1513" s="103"/>
      <c r="G1513" s="103"/>
      <c r="J1513" s="25">
        <f t="shared" si="93"/>
        <v>49</v>
      </c>
    </row>
    <row r="1514" spans="1:10" ht="16.95" customHeight="1">
      <c r="A1514" s="1" t="s">
        <v>1</v>
      </c>
      <c r="B1514" s="104">
        <f>B1451+1</f>
        <v>26</v>
      </c>
      <c r="C1514" s="104"/>
      <c r="D1514" s="104"/>
      <c r="E1514" s="104"/>
      <c r="F1514" s="104"/>
      <c r="G1514" s="104"/>
      <c r="J1514" s="25">
        <f t="shared" si="93"/>
        <v>49</v>
      </c>
    </row>
    <row r="1515" spans="1:10" ht="16.95" customHeight="1">
      <c r="A1515" s="1" t="s">
        <v>2</v>
      </c>
      <c r="B1515" s="105" t="s">
        <v>63</v>
      </c>
      <c r="C1515" s="105"/>
      <c r="D1515" s="105"/>
      <c r="E1515" s="106">
        <f>E1452+1</f>
        <v>46228</v>
      </c>
      <c r="F1515" s="106"/>
      <c r="G1515" s="106"/>
      <c r="J1515" s="25">
        <f t="shared" si="93"/>
        <v>49</v>
      </c>
    </row>
    <row r="1516" spans="1:10" ht="16.95" customHeight="1">
      <c r="A1516" s="53" t="s">
        <v>3</v>
      </c>
      <c r="B1516" s="2" t="s">
        <v>67</v>
      </c>
      <c r="C1516" s="98" t="s">
        <v>4</v>
      </c>
      <c r="D1516" s="98"/>
      <c r="E1516" s="98" t="s">
        <v>47</v>
      </c>
      <c r="F1516" s="98"/>
      <c r="G1516" s="98"/>
      <c r="J1516" s="25">
        <f t="shared" si="93"/>
        <v>49</v>
      </c>
    </row>
    <row r="1517" spans="1:10" ht="16.95" customHeight="1">
      <c r="A1517" s="53" t="s">
        <v>5</v>
      </c>
      <c r="B1517" s="54">
        <v>120</v>
      </c>
      <c r="C1517" s="98" t="s">
        <v>6</v>
      </c>
      <c r="D1517" s="98"/>
      <c r="E1517" s="98" t="s">
        <v>123</v>
      </c>
      <c r="F1517" s="98"/>
      <c r="G1517" s="98"/>
      <c r="J1517" s="25">
        <f t="shared" si="93"/>
        <v>49</v>
      </c>
    </row>
    <row r="1518" spans="1:10" ht="16.95" customHeight="1">
      <c r="A1518" s="53" t="s">
        <v>7</v>
      </c>
      <c r="B1518" s="54">
        <f>B1514</f>
        <v>26</v>
      </c>
      <c r="C1518" s="100" t="s">
        <v>8</v>
      </c>
      <c r="D1518" s="100"/>
      <c r="E1518" s="101">
        <f>B1517-B1518</f>
        <v>94</v>
      </c>
      <c r="F1518" s="101"/>
      <c r="G1518" s="101"/>
      <c r="J1518" s="25">
        <f t="shared" si="93"/>
        <v>49</v>
      </c>
    </row>
    <row r="1519" spans="1:10" ht="16.95" customHeight="1">
      <c r="A1519" s="53" t="s">
        <v>9</v>
      </c>
      <c r="B1519" s="55">
        <v>46204</v>
      </c>
      <c r="C1519" s="98" t="s">
        <v>10</v>
      </c>
      <c r="D1519" s="98"/>
      <c r="E1519" s="102">
        <f>B1519+B1517-1</f>
        <v>46323</v>
      </c>
      <c r="F1519" s="102"/>
      <c r="G1519" s="102"/>
      <c r="J1519" s="25">
        <f t="shared" si="93"/>
        <v>49</v>
      </c>
    </row>
    <row r="1520" spans="1:10" ht="16.95" customHeight="1">
      <c r="A1520" s="53" t="s">
        <v>11</v>
      </c>
      <c r="B1520" s="56" t="e">
        <f>HLOOKUP(B1514,進度表!$Q$2:$Z$3,2,1)+B1457</f>
        <v>#REF!</v>
      </c>
      <c r="C1520" s="98" t="s">
        <v>12</v>
      </c>
      <c r="D1520" s="98"/>
      <c r="E1520" s="99" t="e">
        <f>I1558/I1520+E1457</f>
        <v>#REF!</v>
      </c>
      <c r="F1520" s="99"/>
      <c r="G1520" s="99"/>
      <c r="H1520" s="3" t="s">
        <v>62</v>
      </c>
      <c r="I1520" s="1">
        <v>2456000</v>
      </c>
      <c r="J1520" s="25">
        <f t="shared" si="93"/>
        <v>49</v>
      </c>
    </row>
    <row r="1521" spans="1:10" ht="16.95" customHeight="1">
      <c r="A1521" s="98" t="s">
        <v>13</v>
      </c>
      <c r="B1521" s="98"/>
      <c r="C1521" s="98"/>
      <c r="D1521" s="98"/>
      <c r="E1521" s="98"/>
      <c r="F1521" s="98"/>
      <c r="G1521" s="98"/>
      <c r="J1521" s="25">
        <f t="shared" si="93"/>
        <v>49</v>
      </c>
    </row>
    <row r="1522" spans="1:10" ht="16.95" customHeight="1">
      <c r="A1522" s="52" t="s">
        <v>14</v>
      </c>
      <c r="B1522" s="52" t="s">
        <v>15</v>
      </c>
      <c r="C1522" s="52" t="s">
        <v>16</v>
      </c>
      <c r="D1522" s="52" t="s">
        <v>17</v>
      </c>
      <c r="E1522" s="52" t="s">
        <v>18</v>
      </c>
      <c r="F1522" s="52" t="s">
        <v>19</v>
      </c>
      <c r="G1522" s="52" t="s">
        <v>20</v>
      </c>
      <c r="H1522" s="3" t="s">
        <v>21</v>
      </c>
      <c r="I1522" s="3" t="s">
        <v>22</v>
      </c>
      <c r="J1522" s="25">
        <f t="shared" si="93"/>
        <v>49</v>
      </c>
    </row>
    <row r="1523" spans="1:10" ht="16.95" customHeight="1">
      <c r="A1523" s="75" t="s">
        <v>65</v>
      </c>
      <c r="B1523" s="76" t="s">
        <v>69</v>
      </c>
      <c r="C1523" s="77"/>
      <c r="D1523" s="78"/>
      <c r="E1523" s="79"/>
      <c r="F1523" s="79"/>
      <c r="G1523" s="2"/>
      <c r="H1523" s="37"/>
      <c r="I1523" s="4"/>
      <c r="J1523" s="25">
        <f t="shared" si="93"/>
        <v>49</v>
      </c>
    </row>
    <row r="1524" spans="1:10" ht="34.950000000000003" customHeight="1">
      <c r="A1524" s="75">
        <v>1</v>
      </c>
      <c r="B1524" s="80" t="s">
        <v>91</v>
      </c>
      <c r="C1524" s="77" t="s">
        <v>48</v>
      </c>
      <c r="D1524" s="78">
        <v>1</v>
      </c>
      <c r="E1524" s="79"/>
      <c r="F1524" s="79" t="e">
        <f t="shared" ref="F1524:F1557" si="95">E1524+F1461</f>
        <v>#REF!</v>
      </c>
      <c r="G1524" s="2"/>
      <c r="H1524" s="37">
        <v>10508</v>
      </c>
      <c r="I1524" s="4">
        <f>H1524*E1524</f>
        <v>0</v>
      </c>
      <c r="J1524" s="25">
        <f t="shared" si="93"/>
        <v>49</v>
      </c>
    </row>
    <row r="1525" spans="1:10" ht="34.799999999999997" customHeight="1">
      <c r="A1525" s="75">
        <v>2</v>
      </c>
      <c r="B1525" s="80" t="s">
        <v>92</v>
      </c>
      <c r="C1525" s="77" t="s">
        <v>48</v>
      </c>
      <c r="D1525" s="78">
        <v>1</v>
      </c>
      <c r="E1525" s="79"/>
      <c r="F1525" s="79" t="e">
        <f t="shared" si="95"/>
        <v>#REF!</v>
      </c>
      <c r="G1525" s="2"/>
      <c r="H1525" s="37">
        <v>13223</v>
      </c>
      <c r="I1525" s="4">
        <f>H1525*E1525</f>
        <v>0</v>
      </c>
      <c r="J1525" s="25">
        <f t="shared" si="93"/>
        <v>49</v>
      </c>
    </row>
    <row r="1526" spans="1:10" ht="53.4" customHeight="1">
      <c r="A1526" s="75">
        <v>3</v>
      </c>
      <c r="B1526" s="80" t="s">
        <v>93</v>
      </c>
      <c r="C1526" s="77" t="s">
        <v>48</v>
      </c>
      <c r="D1526" s="78">
        <v>1</v>
      </c>
      <c r="E1526" s="79"/>
      <c r="F1526" s="79" t="e">
        <f t="shared" si="95"/>
        <v>#REF!</v>
      </c>
      <c r="G1526" s="2"/>
      <c r="H1526" s="37">
        <v>310497</v>
      </c>
      <c r="I1526" s="4">
        <f t="shared" ref="I1526:I1557" si="96">H1526*E1526</f>
        <v>0</v>
      </c>
      <c r="J1526" s="25">
        <f t="shared" si="93"/>
        <v>49</v>
      </c>
    </row>
    <row r="1527" spans="1:10" ht="16.95" customHeight="1">
      <c r="A1527" s="75">
        <v>4</v>
      </c>
      <c r="B1527" s="80" t="s">
        <v>94</v>
      </c>
      <c r="C1527" s="77" t="s">
        <v>48</v>
      </c>
      <c r="D1527" s="78">
        <v>1</v>
      </c>
      <c r="E1527" s="79"/>
      <c r="F1527" s="79" t="e">
        <f t="shared" si="95"/>
        <v>#REF!</v>
      </c>
      <c r="G1527" s="2"/>
      <c r="H1527" s="37">
        <v>8375</v>
      </c>
      <c r="I1527" s="4">
        <f t="shared" si="96"/>
        <v>0</v>
      </c>
      <c r="J1527" s="25">
        <f t="shared" si="93"/>
        <v>49</v>
      </c>
    </row>
    <row r="1528" spans="1:10" ht="16.95" customHeight="1">
      <c r="A1528" s="75">
        <v>5</v>
      </c>
      <c r="B1528" s="80" t="s">
        <v>95</v>
      </c>
      <c r="C1528" s="77" t="s">
        <v>48</v>
      </c>
      <c r="D1528" s="78">
        <v>1</v>
      </c>
      <c r="E1528" s="79"/>
      <c r="F1528" s="79" t="e">
        <f t="shared" si="95"/>
        <v>#REF!</v>
      </c>
      <c r="G1528" s="2"/>
      <c r="H1528" s="37">
        <v>51618</v>
      </c>
      <c r="I1528" s="4">
        <f t="shared" si="96"/>
        <v>0</v>
      </c>
      <c r="J1528" s="25">
        <f t="shared" si="93"/>
        <v>49</v>
      </c>
    </row>
    <row r="1529" spans="1:10" ht="16.95" customHeight="1">
      <c r="A1529" s="75">
        <v>6</v>
      </c>
      <c r="B1529" s="80" t="s">
        <v>96</v>
      </c>
      <c r="C1529" s="77" t="s">
        <v>50</v>
      </c>
      <c r="D1529" s="78">
        <v>11.55</v>
      </c>
      <c r="E1529" s="79"/>
      <c r="F1529" s="79" t="e">
        <f t="shared" si="95"/>
        <v>#REF!</v>
      </c>
      <c r="G1529" s="2"/>
      <c r="H1529" s="37">
        <v>1188</v>
      </c>
      <c r="I1529" s="4">
        <f t="shared" si="96"/>
        <v>0</v>
      </c>
      <c r="J1529" s="25">
        <f t="shared" si="93"/>
        <v>49</v>
      </c>
    </row>
    <row r="1530" spans="1:10" ht="34.950000000000003" customHeight="1">
      <c r="A1530" s="75">
        <v>7</v>
      </c>
      <c r="B1530" s="80" t="s">
        <v>97</v>
      </c>
      <c r="C1530" s="77" t="s">
        <v>48</v>
      </c>
      <c r="D1530" s="78">
        <v>1</v>
      </c>
      <c r="E1530" s="79"/>
      <c r="F1530" s="79" t="e">
        <f t="shared" si="95"/>
        <v>#REF!</v>
      </c>
      <c r="G1530" s="2"/>
      <c r="H1530" s="37">
        <v>21157</v>
      </c>
      <c r="I1530" s="4">
        <f t="shared" si="96"/>
        <v>0</v>
      </c>
      <c r="J1530" s="25">
        <f t="shared" si="93"/>
        <v>49</v>
      </c>
    </row>
    <row r="1531" spans="1:10" ht="16.95" customHeight="1">
      <c r="A1531" s="75">
        <v>8</v>
      </c>
      <c r="B1531" s="80" t="s">
        <v>98</v>
      </c>
      <c r="C1531" s="77" t="s">
        <v>50</v>
      </c>
      <c r="D1531" s="78">
        <v>387</v>
      </c>
      <c r="E1531" s="79"/>
      <c r="F1531" s="79" t="e">
        <f t="shared" si="95"/>
        <v>#REF!</v>
      </c>
      <c r="G1531" s="2"/>
      <c r="H1531" s="37">
        <v>705</v>
      </c>
      <c r="I1531" s="4">
        <f t="shared" si="96"/>
        <v>0</v>
      </c>
      <c r="J1531" s="25">
        <f t="shared" ref="J1531:J1594" si="97">J1468+2</f>
        <v>49</v>
      </c>
    </row>
    <row r="1532" spans="1:10" ht="16.95" customHeight="1">
      <c r="A1532" s="75">
        <v>9</v>
      </c>
      <c r="B1532" s="80" t="s">
        <v>99</v>
      </c>
      <c r="C1532" s="77" t="s">
        <v>50</v>
      </c>
      <c r="D1532" s="78">
        <v>170</v>
      </c>
      <c r="E1532" s="79"/>
      <c r="F1532" s="79" t="e">
        <f t="shared" si="95"/>
        <v>#REF!</v>
      </c>
      <c r="G1532" s="2"/>
      <c r="H1532" s="37">
        <v>617</v>
      </c>
      <c r="I1532" s="4">
        <f t="shared" si="96"/>
        <v>0</v>
      </c>
      <c r="J1532" s="25">
        <f t="shared" si="97"/>
        <v>49</v>
      </c>
    </row>
    <row r="1533" spans="1:10" ht="16.95" customHeight="1">
      <c r="A1533" s="75">
        <v>10</v>
      </c>
      <c r="B1533" s="80" t="s">
        <v>100</v>
      </c>
      <c r="C1533" s="77" t="s">
        <v>66</v>
      </c>
      <c r="D1533" s="78">
        <v>15</v>
      </c>
      <c r="E1533" s="79"/>
      <c r="F1533" s="79" t="e">
        <f t="shared" si="95"/>
        <v>#REF!</v>
      </c>
      <c r="G1533" s="2"/>
      <c r="H1533" s="37">
        <v>617</v>
      </c>
      <c r="I1533" s="4">
        <f t="shared" si="96"/>
        <v>0</v>
      </c>
      <c r="J1533" s="25">
        <f t="shared" si="97"/>
        <v>49</v>
      </c>
    </row>
    <row r="1534" spans="1:10" ht="16.95" customHeight="1">
      <c r="A1534" s="75">
        <v>11</v>
      </c>
      <c r="B1534" s="80" t="s">
        <v>101</v>
      </c>
      <c r="C1534" s="77" t="s">
        <v>50</v>
      </c>
      <c r="D1534" s="78">
        <v>75</v>
      </c>
      <c r="E1534" s="79"/>
      <c r="F1534" s="79" t="e">
        <f t="shared" si="95"/>
        <v>#REF!</v>
      </c>
      <c r="G1534" s="2"/>
      <c r="H1534" s="37">
        <v>1146</v>
      </c>
      <c r="I1534" s="4">
        <f t="shared" si="96"/>
        <v>0</v>
      </c>
      <c r="J1534" s="25">
        <f t="shared" si="97"/>
        <v>49</v>
      </c>
    </row>
    <row r="1535" spans="1:10" ht="16.95" customHeight="1">
      <c r="A1535" s="75">
        <v>12</v>
      </c>
      <c r="B1535" s="80" t="s">
        <v>102</v>
      </c>
      <c r="C1535" s="77" t="s">
        <v>50</v>
      </c>
      <c r="D1535" s="78">
        <v>5</v>
      </c>
      <c r="E1535" s="79"/>
      <c r="F1535" s="79" t="e">
        <f t="shared" si="95"/>
        <v>#REF!</v>
      </c>
      <c r="G1535" s="2"/>
      <c r="H1535" s="37">
        <v>1455</v>
      </c>
      <c r="I1535" s="4">
        <f t="shared" si="96"/>
        <v>0</v>
      </c>
      <c r="J1535" s="25">
        <f t="shared" si="97"/>
        <v>49</v>
      </c>
    </row>
    <row r="1536" spans="1:10" ht="16.95" customHeight="1">
      <c r="A1536" s="75">
        <v>13</v>
      </c>
      <c r="B1536" s="80" t="s">
        <v>103</v>
      </c>
      <c r="C1536" s="77" t="s">
        <v>50</v>
      </c>
      <c r="D1536" s="78">
        <v>217</v>
      </c>
      <c r="E1536" s="79"/>
      <c r="F1536" s="79" t="e">
        <f t="shared" si="95"/>
        <v>#REF!</v>
      </c>
      <c r="G1536" s="2"/>
      <c r="H1536" s="37">
        <v>1410</v>
      </c>
      <c r="I1536" s="4">
        <f t="shared" si="96"/>
        <v>0</v>
      </c>
      <c r="J1536" s="25">
        <f t="shared" si="97"/>
        <v>49</v>
      </c>
    </row>
    <row r="1537" spans="1:10" ht="16.95" customHeight="1">
      <c r="A1537" s="75">
        <v>14</v>
      </c>
      <c r="B1537" s="80" t="s">
        <v>104</v>
      </c>
      <c r="C1537" s="77" t="s">
        <v>49</v>
      </c>
      <c r="D1537" s="78">
        <v>84</v>
      </c>
      <c r="E1537" s="79"/>
      <c r="F1537" s="79" t="e">
        <f t="shared" si="95"/>
        <v>#REF!</v>
      </c>
      <c r="G1537" s="2"/>
      <c r="H1537" s="37">
        <v>529</v>
      </c>
      <c r="I1537" s="4">
        <f t="shared" si="96"/>
        <v>0</v>
      </c>
      <c r="J1537" s="25">
        <f t="shared" si="97"/>
        <v>49</v>
      </c>
    </row>
    <row r="1538" spans="1:10" ht="16.95" customHeight="1">
      <c r="A1538" s="75">
        <v>15</v>
      </c>
      <c r="B1538" s="80" t="s">
        <v>105</v>
      </c>
      <c r="C1538" s="77" t="s">
        <v>50</v>
      </c>
      <c r="D1538" s="78">
        <v>1</v>
      </c>
      <c r="E1538" s="79"/>
      <c r="F1538" s="79" t="e">
        <f t="shared" si="95"/>
        <v>#REF!</v>
      </c>
      <c r="G1538" s="2"/>
      <c r="H1538" s="37">
        <v>1146</v>
      </c>
      <c r="I1538" s="4">
        <f t="shared" si="96"/>
        <v>0</v>
      </c>
      <c r="J1538" s="25">
        <f t="shared" si="97"/>
        <v>49</v>
      </c>
    </row>
    <row r="1539" spans="1:10" ht="34.799999999999997" customHeight="1">
      <c r="A1539" s="75">
        <v>16</v>
      </c>
      <c r="B1539" s="80" t="s">
        <v>106</v>
      </c>
      <c r="C1539" s="77" t="s">
        <v>50</v>
      </c>
      <c r="D1539" s="78">
        <v>314</v>
      </c>
      <c r="E1539" s="79"/>
      <c r="F1539" s="79" t="e">
        <f t="shared" si="95"/>
        <v>#REF!</v>
      </c>
      <c r="G1539" s="2"/>
      <c r="H1539" s="37">
        <v>185</v>
      </c>
      <c r="I1539" s="4">
        <f t="shared" si="96"/>
        <v>0</v>
      </c>
      <c r="J1539" s="25">
        <f t="shared" si="97"/>
        <v>49</v>
      </c>
    </row>
    <row r="1540" spans="1:10" ht="16.95" customHeight="1">
      <c r="A1540" s="75">
        <v>17</v>
      </c>
      <c r="B1540" s="80" t="s">
        <v>107</v>
      </c>
      <c r="C1540" s="77" t="s">
        <v>48</v>
      </c>
      <c r="D1540" s="78">
        <v>1</v>
      </c>
      <c r="E1540" s="79"/>
      <c r="F1540" s="79" t="e">
        <f t="shared" si="95"/>
        <v>#REF!</v>
      </c>
      <c r="G1540" s="2"/>
      <c r="H1540" s="37">
        <v>89918</v>
      </c>
      <c r="I1540" s="4">
        <f t="shared" si="96"/>
        <v>0</v>
      </c>
      <c r="J1540" s="25">
        <f t="shared" si="97"/>
        <v>49</v>
      </c>
    </row>
    <row r="1541" spans="1:10" ht="16.95" customHeight="1">
      <c r="A1541" s="75">
        <v>18</v>
      </c>
      <c r="B1541" s="80" t="s">
        <v>108</v>
      </c>
      <c r="C1541" s="77" t="s">
        <v>120</v>
      </c>
      <c r="D1541" s="78">
        <v>15</v>
      </c>
      <c r="E1541" s="79"/>
      <c r="F1541" s="79" t="e">
        <f t="shared" si="95"/>
        <v>#REF!</v>
      </c>
      <c r="G1541" s="2"/>
      <c r="H1541" s="37">
        <v>661</v>
      </c>
      <c r="I1541" s="4">
        <f t="shared" si="96"/>
        <v>0</v>
      </c>
      <c r="J1541" s="25">
        <f t="shared" si="97"/>
        <v>49</v>
      </c>
    </row>
    <row r="1542" spans="1:10" ht="16.95" customHeight="1">
      <c r="A1542" s="75">
        <v>19</v>
      </c>
      <c r="B1542" s="80" t="s">
        <v>109</v>
      </c>
      <c r="C1542" s="77" t="s">
        <v>50</v>
      </c>
      <c r="D1542" s="78">
        <v>82</v>
      </c>
      <c r="E1542" s="79"/>
      <c r="F1542" s="79" t="e">
        <f t="shared" si="95"/>
        <v>#REF!</v>
      </c>
      <c r="G1542" s="2"/>
      <c r="H1542" s="37">
        <v>2909</v>
      </c>
      <c r="I1542" s="4">
        <f t="shared" si="96"/>
        <v>0</v>
      </c>
      <c r="J1542" s="25">
        <f t="shared" si="97"/>
        <v>49</v>
      </c>
    </row>
    <row r="1543" spans="1:10" ht="16.95" customHeight="1">
      <c r="A1543" s="75">
        <v>20</v>
      </c>
      <c r="B1543" s="80" t="s">
        <v>110</v>
      </c>
      <c r="C1543" s="77" t="s">
        <v>121</v>
      </c>
      <c r="D1543" s="78">
        <v>12</v>
      </c>
      <c r="E1543" s="79"/>
      <c r="F1543" s="79" t="e">
        <f t="shared" si="95"/>
        <v>#REF!</v>
      </c>
      <c r="G1543" s="2"/>
      <c r="H1543" s="37">
        <v>882</v>
      </c>
      <c r="I1543" s="4">
        <f t="shared" si="96"/>
        <v>0</v>
      </c>
      <c r="J1543" s="25">
        <f t="shared" si="97"/>
        <v>49</v>
      </c>
    </row>
    <row r="1544" spans="1:10" ht="16.95" customHeight="1">
      <c r="A1544" s="77">
        <v>21</v>
      </c>
      <c r="B1544" s="80" t="s">
        <v>111</v>
      </c>
      <c r="C1544" s="77" t="s">
        <v>122</v>
      </c>
      <c r="D1544" s="78">
        <v>3</v>
      </c>
      <c r="E1544" s="79"/>
      <c r="F1544" s="79" t="e">
        <f t="shared" si="95"/>
        <v>#REF!</v>
      </c>
      <c r="G1544" s="2"/>
      <c r="H1544" s="38">
        <v>1869</v>
      </c>
      <c r="I1544" s="4">
        <f t="shared" si="96"/>
        <v>0</v>
      </c>
      <c r="J1544" s="25">
        <f t="shared" si="97"/>
        <v>49</v>
      </c>
    </row>
    <row r="1545" spans="1:10" ht="34.950000000000003" customHeight="1">
      <c r="A1545" s="75">
        <v>22</v>
      </c>
      <c r="B1545" s="80" t="s">
        <v>112</v>
      </c>
      <c r="C1545" s="77" t="s">
        <v>48</v>
      </c>
      <c r="D1545" s="78">
        <v>1</v>
      </c>
      <c r="E1545" s="79"/>
      <c r="F1545" s="79" t="e">
        <f t="shared" si="95"/>
        <v>#REF!</v>
      </c>
      <c r="G1545" s="2"/>
      <c r="H1545" s="37">
        <v>82206</v>
      </c>
      <c r="I1545" s="4">
        <f t="shared" si="96"/>
        <v>0</v>
      </c>
      <c r="J1545" s="25">
        <f t="shared" si="97"/>
        <v>49</v>
      </c>
    </row>
    <row r="1546" spans="1:10" ht="16.95" customHeight="1">
      <c r="A1546" s="75">
        <v>23</v>
      </c>
      <c r="B1546" s="80" t="s">
        <v>113</v>
      </c>
      <c r="C1546" s="77" t="s">
        <v>48</v>
      </c>
      <c r="D1546" s="78">
        <v>1</v>
      </c>
      <c r="E1546" s="79"/>
      <c r="F1546" s="79" t="e">
        <f t="shared" si="95"/>
        <v>#REF!</v>
      </c>
      <c r="G1546" s="2"/>
      <c r="H1546" s="37">
        <v>142723</v>
      </c>
      <c r="I1546" s="4">
        <f t="shared" si="96"/>
        <v>0</v>
      </c>
      <c r="J1546" s="25">
        <f t="shared" si="97"/>
        <v>49</v>
      </c>
    </row>
    <row r="1547" spans="1:10" ht="16.95" customHeight="1">
      <c r="A1547" s="75">
        <v>24</v>
      </c>
      <c r="B1547" s="80" t="s">
        <v>114</v>
      </c>
      <c r="C1547" s="77" t="s">
        <v>48</v>
      </c>
      <c r="D1547" s="78">
        <v>1</v>
      </c>
      <c r="E1547" s="79"/>
      <c r="F1547" s="79" t="e">
        <f t="shared" si="95"/>
        <v>#REF!</v>
      </c>
      <c r="G1547" s="2"/>
      <c r="H1547" s="37">
        <v>37290</v>
      </c>
      <c r="I1547" s="4">
        <f t="shared" si="96"/>
        <v>0</v>
      </c>
      <c r="J1547" s="25">
        <f t="shared" si="97"/>
        <v>49</v>
      </c>
    </row>
    <row r="1548" spans="1:10" ht="16.95" customHeight="1">
      <c r="A1548" s="75">
        <v>25</v>
      </c>
      <c r="B1548" s="80" t="s">
        <v>115</v>
      </c>
      <c r="C1548" s="77" t="s">
        <v>48</v>
      </c>
      <c r="D1548" s="78">
        <v>1</v>
      </c>
      <c r="E1548" s="79"/>
      <c r="F1548" s="79" t="e">
        <f t="shared" si="95"/>
        <v>#REF!</v>
      </c>
      <c r="G1548" s="2"/>
      <c r="H1548" s="37">
        <v>99394</v>
      </c>
      <c r="I1548" s="4">
        <f t="shared" si="96"/>
        <v>0</v>
      </c>
      <c r="J1548" s="25">
        <f t="shared" si="97"/>
        <v>49</v>
      </c>
    </row>
    <row r="1549" spans="1:10" ht="34.950000000000003" customHeight="1">
      <c r="A1549" s="75">
        <v>26</v>
      </c>
      <c r="B1549" s="80" t="s">
        <v>116</v>
      </c>
      <c r="C1549" s="77" t="s">
        <v>48</v>
      </c>
      <c r="D1549" s="78">
        <v>1</v>
      </c>
      <c r="E1549" s="79"/>
      <c r="F1549" s="79" t="e">
        <f t="shared" si="95"/>
        <v>#REF!</v>
      </c>
      <c r="G1549" s="2"/>
      <c r="H1549" s="37">
        <v>21334</v>
      </c>
      <c r="I1549" s="4">
        <f t="shared" si="96"/>
        <v>0</v>
      </c>
      <c r="J1549" s="25">
        <f t="shared" si="97"/>
        <v>49</v>
      </c>
    </row>
    <row r="1550" spans="1:10" ht="16.95" customHeight="1">
      <c r="A1550" s="75">
        <v>27</v>
      </c>
      <c r="B1550" s="80" t="s">
        <v>117</v>
      </c>
      <c r="C1550" s="77" t="s">
        <v>48</v>
      </c>
      <c r="D1550" s="78">
        <v>1</v>
      </c>
      <c r="E1550" s="79"/>
      <c r="F1550" s="79" t="e">
        <f t="shared" si="95"/>
        <v>#REF!</v>
      </c>
      <c r="G1550" s="2"/>
      <c r="H1550" s="37">
        <v>29620</v>
      </c>
      <c r="I1550" s="4">
        <f t="shared" si="96"/>
        <v>0</v>
      </c>
      <c r="J1550" s="25">
        <f t="shared" si="97"/>
        <v>49</v>
      </c>
    </row>
    <row r="1551" spans="1:10" ht="16.95" customHeight="1">
      <c r="A1551" s="75">
        <v>28</v>
      </c>
      <c r="B1551" s="80" t="s">
        <v>118</v>
      </c>
      <c r="C1551" s="77" t="s">
        <v>48</v>
      </c>
      <c r="D1551" s="78">
        <v>1</v>
      </c>
      <c r="E1551" s="79"/>
      <c r="F1551" s="79" t="e">
        <f t="shared" si="95"/>
        <v>#REF!</v>
      </c>
      <c r="G1551" s="2"/>
      <c r="H1551" s="37">
        <v>18506</v>
      </c>
      <c r="I1551" s="4">
        <f t="shared" si="96"/>
        <v>0</v>
      </c>
      <c r="J1551" s="25">
        <f t="shared" si="97"/>
        <v>49</v>
      </c>
    </row>
    <row r="1552" spans="1:10" ht="16.95" customHeight="1">
      <c r="A1552" s="75">
        <v>29</v>
      </c>
      <c r="B1552" s="80" t="s">
        <v>119</v>
      </c>
      <c r="C1552" s="77" t="s">
        <v>48</v>
      </c>
      <c r="D1552" s="78">
        <v>1</v>
      </c>
      <c r="E1552" s="79"/>
      <c r="F1552" s="79" t="e">
        <f t="shared" si="95"/>
        <v>#REF!</v>
      </c>
      <c r="G1552" s="2"/>
      <c r="H1552" s="37">
        <v>34381</v>
      </c>
      <c r="I1552" s="4">
        <f t="shared" si="96"/>
        <v>0</v>
      </c>
      <c r="J1552" s="25">
        <f t="shared" si="97"/>
        <v>49</v>
      </c>
    </row>
    <row r="1553" spans="1:10" ht="16.95" customHeight="1">
      <c r="A1553" s="75" t="s">
        <v>79</v>
      </c>
      <c r="B1553" s="80" t="s">
        <v>80</v>
      </c>
      <c r="C1553" s="77" t="s">
        <v>48</v>
      </c>
      <c r="D1553" s="78">
        <v>1</v>
      </c>
      <c r="E1553" s="79">
        <f t="shared" ref="E1553:E1556" si="98">1/120</f>
        <v>8.3333333333333332E-3</v>
      </c>
      <c r="F1553" s="79" t="e">
        <f t="shared" si="95"/>
        <v>#REF!</v>
      </c>
      <c r="G1553" s="2"/>
      <c r="H1553" s="37">
        <v>21395</v>
      </c>
      <c r="I1553" s="4">
        <f t="shared" si="96"/>
        <v>178.29166666666666</v>
      </c>
      <c r="J1553" s="25">
        <f t="shared" si="97"/>
        <v>49</v>
      </c>
    </row>
    <row r="1554" spans="1:10" ht="16.95" customHeight="1">
      <c r="A1554" s="75" t="s">
        <v>81</v>
      </c>
      <c r="B1554" s="80" t="s">
        <v>82</v>
      </c>
      <c r="C1554" s="77" t="s">
        <v>48</v>
      </c>
      <c r="D1554" s="78">
        <v>1</v>
      </c>
      <c r="E1554" s="79">
        <f t="shared" si="98"/>
        <v>8.3333333333333332E-3</v>
      </c>
      <c r="F1554" s="79" t="e">
        <f t="shared" si="95"/>
        <v>#REF!</v>
      </c>
      <c r="G1554" s="2"/>
      <c r="H1554" s="37">
        <v>21395</v>
      </c>
      <c r="I1554" s="4">
        <f t="shared" si="96"/>
        <v>178.29166666666666</v>
      </c>
      <c r="J1554" s="25">
        <f t="shared" si="97"/>
        <v>49</v>
      </c>
    </row>
    <row r="1555" spans="1:10" ht="16.95" customHeight="1">
      <c r="A1555" s="75" t="s">
        <v>83</v>
      </c>
      <c r="B1555" s="80" t="s">
        <v>84</v>
      </c>
      <c r="C1555" s="77" t="s">
        <v>48</v>
      </c>
      <c r="D1555" s="78">
        <v>1</v>
      </c>
      <c r="E1555" s="79">
        <f t="shared" si="98"/>
        <v>8.3333333333333332E-3</v>
      </c>
      <c r="F1555" s="79" t="e">
        <f t="shared" si="95"/>
        <v>#REF!</v>
      </c>
      <c r="G1555" s="2"/>
      <c r="H1555" s="37">
        <v>149765</v>
      </c>
      <c r="I1555" s="4">
        <f t="shared" si="96"/>
        <v>1248.0416666666667</v>
      </c>
      <c r="J1555" s="25">
        <f t="shared" si="97"/>
        <v>49</v>
      </c>
    </row>
    <row r="1556" spans="1:10" ht="16.95" customHeight="1">
      <c r="A1556" s="75" t="s">
        <v>85</v>
      </c>
      <c r="B1556" s="80" t="s">
        <v>86</v>
      </c>
      <c r="C1556" s="77" t="s">
        <v>48</v>
      </c>
      <c r="D1556" s="78">
        <v>1</v>
      </c>
      <c r="E1556" s="79">
        <f t="shared" si="98"/>
        <v>8.3333333333333332E-3</v>
      </c>
      <c r="F1556" s="79" t="e">
        <f t="shared" si="95"/>
        <v>#REF!</v>
      </c>
      <c r="G1556" s="2"/>
      <c r="H1556" s="37">
        <v>6996</v>
      </c>
      <c r="I1556" s="4">
        <f t="shared" si="96"/>
        <v>58.3</v>
      </c>
      <c r="J1556" s="25">
        <f t="shared" si="97"/>
        <v>49</v>
      </c>
    </row>
    <row r="1557" spans="1:10" ht="16.95" customHeight="1">
      <c r="A1557" s="75" t="s">
        <v>87</v>
      </c>
      <c r="B1557" s="80" t="s">
        <v>88</v>
      </c>
      <c r="C1557" s="77" t="s">
        <v>48</v>
      </c>
      <c r="D1557" s="78">
        <v>1</v>
      </c>
      <c r="E1557" s="79">
        <f>1/120</f>
        <v>8.3333333333333332E-3</v>
      </c>
      <c r="F1557" s="79" t="e">
        <f t="shared" si="95"/>
        <v>#REF!</v>
      </c>
      <c r="G1557" s="2"/>
      <c r="H1557" s="37">
        <v>116952</v>
      </c>
      <c r="I1557" s="4">
        <f t="shared" si="96"/>
        <v>974.6</v>
      </c>
      <c r="J1557" s="25">
        <f t="shared" si="97"/>
        <v>49</v>
      </c>
    </row>
    <row r="1558" spans="1:10" ht="16.95" customHeight="1">
      <c r="A1558" s="95" t="s">
        <v>23</v>
      </c>
      <c r="B1558" s="95"/>
      <c r="C1558" s="50"/>
      <c r="D1558" s="50"/>
      <c r="E1558" s="50"/>
      <c r="F1558" s="50"/>
      <c r="G1558" s="50"/>
      <c r="H1558" s="3" t="s">
        <v>24</v>
      </c>
      <c r="I1558" s="5">
        <f>SUM(I1523:I1557)</f>
        <v>2637.5250000000001</v>
      </c>
      <c r="J1558" s="25">
        <f t="shared" si="97"/>
        <v>49</v>
      </c>
    </row>
    <row r="1559" spans="1:10" ht="16.95" customHeight="1">
      <c r="A1559" s="96" t="s">
        <v>25</v>
      </c>
      <c r="B1559" s="96"/>
      <c r="C1559" s="50"/>
      <c r="D1559" s="50"/>
      <c r="E1559" s="50"/>
      <c r="F1559" s="50"/>
      <c r="G1559" s="50"/>
      <c r="J1559" s="25">
        <f t="shared" si="97"/>
        <v>49</v>
      </c>
    </row>
    <row r="1560" spans="1:10" ht="16.95" customHeight="1">
      <c r="A1560" s="96" t="s">
        <v>26</v>
      </c>
      <c r="B1560" s="96"/>
      <c r="C1560" s="50"/>
      <c r="D1560" s="50"/>
      <c r="E1560" s="50"/>
      <c r="F1560" s="50"/>
      <c r="G1560" s="50"/>
      <c r="J1560" s="25">
        <f t="shared" si="97"/>
        <v>49</v>
      </c>
    </row>
    <row r="1561" spans="1:10" ht="16.95" customHeight="1">
      <c r="A1561" s="95" t="s">
        <v>27</v>
      </c>
      <c r="B1561" s="95"/>
      <c r="C1561" s="95"/>
      <c r="D1561" s="95"/>
      <c r="E1561" s="95"/>
      <c r="F1561" s="95"/>
      <c r="G1561" s="95"/>
      <c r="J1561" s="25">
        <f t="shared" si="97"/>
        <v>49</v>
      </c>
    </row>
    <row r="1562" spans="1:10" ht="16.95" customHeight="1">
      <c r="A1562" s="94" t="s">
        <v>28</v>
      </c>
      <c r="B1562" s="94"/>
      <c r="C1562" s="51" t="s">
        <v>29</v>
      </c>
      <c r="D1562" s="51" t="s">
        <v>30</v>
      </c>
      <c r="E1562" s="51" t="s">
        <v>18</v>
      </c>
      <c r="F1562" s="51" t="s">
        <v>31</v>
      </c>
      <c r="G1562" s="51" t="s">
        <v>20</v>
      </c>
      <c r="J1562" s="25">
        <f t="shared" si="97"/>
        <v>49</v>
      </c>
    </row>
    <row r="1563" spans="1:10" ht="16.95" customHeight="1">
      <c r="A1563" s="96"/>
      <c r="B1563" s="96"/>
      <c r="C1563" s="50"/>
      <c r="D1563" s="50"/>
      <c r="E1563" s="50"/>
      <c r="F1563" s="50"/>
      <c r="G1563" s="51"/>
      <c r="J1563" s="25">
        <f t="shared" si="97"/>
        <v>49</v>
      </c>
    </row>
    <row r="1564" spans="1:10" ht="16.95" customHeight="1">
      <c r="A1564" s="97"/>
      <c r="B1564" s="97"/>
      <c r="C1564" s="50"/>
      <c r="D1564" s="50"/>
      <c r="E1564" s="50"/>
      <c r="F1564" s="51"/>
      <c r="G1564" s="51"/>
      <c r="J1564" s="25">
        <f t="shared" si="97"/>
        <v>49</v>
      </c>
    </row>
    <row r="1565" spans="1:10" ht="16.95" customHeight="1">
      <c r="A1565" s="95" t="s">
        <v>32</v>
      </c>
      <c r="B1565" s="95"/>
      <c r="C1565" s="95"/>
      <c r="D1565" s="95"/>
      <c r="E1565" s="95"/>
      <c r="F1565" s="95"/>
      <c r="G1565" s="95"/>
      <c r="J1565" s="25">
        <f t="shared" si="97"/>
        <v>50</v>
      </c>
    </row>
    <row r="1566" spans="1:10" ht="16.95" customHeight="1">
      <c r="A1566" s="51" t="s">
        <v>33</v>
      </c>
      <c r="B1566" s="51" t="s">
        <v>34</v>
      </c>
      <c r="C1566" s="94" t="s">
        <v>35</v>
      </c>
      <c r="D1566" s="94"/>
      <c r="E1566" s="51" t="s">
        <v>36</v>
      </c>
      <c r="F1566" s="51" t="s">
        <v>37</v>
      </c>
      <c r="G1566" s="51" t="s">
        <v>38</v>
      </c>
      <c r="J1566" s="25">
        <f t="shared" si="97"/>
        <v>50</v>
      </c>
    </row>
    <row r="1567" spans="1:10" ht="16.95" customHeight="1">
      <c r="A1567" s="51" t="s">
        <v>39</v>
      </c>
      <c r="B1567" s="6"/>
      <c r="C1567" s="94" t="e">
        <f>B1567+C1504</f>
        <v>#REF!</v>
      </c>
      <c r="D1567" s="94"/>
      <c r="E1567" s="51"/>
      <c r="F1567" s="24"/>
      <c r="G1567" s="24"/>
      <c r="J1567" s="25">
        <f t="shared" si="97"/>
        <v>50</v>
      </c>
    </row>
    <row r="1568" spans="1:10" ht="16.95" customHeight="1">
      <c r="A1568" s="51" t="s">
        <v>40</v>
      </c>
      <c r="B1568" s="6"/>
      <c r="C1568" s="94" t="e">
        <f>B1568+C1505</f>
        <v>#REF!</v>
      </c>
      <c r="D1568" s="94"/>
      <c r="E1568" s="51"/>
      <c r="F1568" s="24"/>
      <c r="G1568" s="24"/>
      <c r="J1568" s="25">
        <f t="shared" si="97"/>
        <v>50</v>
      </c>
    </row>
    <row r="1569" spans="1:10" ht="36.6" customHeight="1">
      <c r="A1569" s="95" t="s">
        <v>41</v>
      </c>
      <c r="B1569" s="95"/>
      <c r="C1569" s="95"/>
      <c r="D1569" s="95"/>
      <c r="E1569" s="95"/>
      <c r="F1569" s="95"/>
      <c r="G1569" s="95"/>
      <c r="J1569" s="25">
        <f t="shared" si="97"/>
        <v>50</v>
      </c>
    </row>
    <row r="1570" spans="1:10" ht="90" customHeight="1">
      <c r="A1570" s="92" t="s">
        <v>42</v>
      </c>
      <c r="B1570" s="92"/>
      <c r="C1570" s="92"/>
      <c r="D1570" s="92"/>
      <c r="E1570" s="92"/>
      <c r="F1570" s="92"/>
      <c r="G1570" s="92"/>
      <c r="J1570" s="25">
        <f t="shared" si="97"/>
        <v>50</v>
      </c>
    </row>
    <row r="1571" spans="1:10" ht="16.95" customHeight="1">
      <c r="A1571" s="95" t="s">
        <v>43</v>
      </c>
      <c r="B1571" s="95"/>
      <c r="C1571" s="95"/>
      <c r="D1571" s="95"/>
      <c r="E1571" s="95"/>
      <c r="F1571" s="95"/>
      <c r="G1571" s="95"/>
      <c r="J1571" s="25">
        <f t="shared" si="97"/>
        <v>50</v>
      </c>
    </row>
    <row r="1572" spans="1:10" ht="16.95" customHeight="1">
      <c r="A1572" s="95" t="s">
        <v>44</v>
      </c>
      <c r="B1572" s="95"/>
      <c r="C1572" s="95"/>
      <c r="D1572" s="95"/>
      <c r="E1572" s="95"/>
      <c r="F1572" s="95"/>
      <c r="G1572" s="95"/>
      <c r="J1572" s="25">
        <f t="shared" si="97"/>
        <v>50</v>
      </c>
    </row>
    <row r="1573" spans="1:10" ht="16.95" customHeight="1">
      <c r="A1573" s="91" t="s">
        <v>64</v>
      </c>
      <c r="B1573" s="91"/>
      <c r="C1573" s="91"/>
      <c r="D1573" s="91"/>
      <c r="E1573" s="91"/>
      <c r="F1573" s="91"/>
      <c r="G1573" s="91"/>
      <c r="J1573" s="25">
        <f t="shared" si="97"/>
        <v>50</v>
      </c>
    </row>
    <row r="1574" spans="1:10" ht="120.6" customHeight="1">
      <c r="A1574" s="92" t="s">
        <v>45</v>
      </c>
      <c r="B1574" s="92"/>
      <c r="C1574" s="92"/>
      <c r="D1574" s="92"/>
      <c r="E1574" s="92"/>
      <c r="F1574" s="92"/>
      <c r="G1574" s="92"/>
      <c r="J1574" s="25">
        <f t="shared" si="97"/>
        <v>50</v>
      </c>
    </row>
    <row r="1575" spans="1:10" ht="140.4" customHeight="1">
      <c r="A1575" s="93" t="s">
        <v>46</v>
      </c>
      <c r="B1575" s="93"/>
      <c r="C1575" s="93"/>
      <c r="D1575" s="93"/>
      <c r="E1575" s="93"/>
      <c r="F1575" s="93"/>
      <c r="G1575" s="93"/>
      <c r="J1575" s="25">
        <f t="shared" si="97"/>
        <v>50</v>
      </c>
    </row>
    <row r="1576" spans="1:10" ht="37.200000000000003" customHeight="1">
      <c r="A1576" s="103" t="s">
        <v>0</v>
      </c>
      <c r="B1576" s="103"/>
      <c r="C1576" s="103"/>
      <c r="D1576" s="103"/>
      <c r="E1576" s="103"/>
      <c r="F1576" s="103"/>
      <c r="G1576" s="103"/>
      <c r="J1576" s="25">
        <f t="shared" si="97"/>
        <v>51</v>
      </c>
    </row>
    <row r="1577" spans="1:10" ht="16.95" customHeight="1">
      <c r="A1577" s="1" t="s">
        <v>1</v>
      </c>
      <c r="B1577" s="104">
        <f>B1514+1</f>
        <v>27</v>
      </c>
      <c r="C1577" s="104"/>
      <c r="D1577" s="104"/>
      <c r="E1577" s="104"/>
      <c r="F1577" s="104"/>
      <c r="G1577" s="104"/>
      <c r="J1577" s="25">
        <f t="shared" si="97"/>
        <v>51</v>
      </c>
    </row>
    <row r="1578" spans="1:10" ht="16.95" customHeight="1">
      <c r="A1578" s="1" t="s">
        <v>2</v>
      </c>
      <c r="B1578" s="105" t="s">
        <v>63</v>
      </c>
      <c r="C1578" s="105"/>
      <c r="D1578" s="105"/>
      <c r="E1578" s="106">
        <f>E1515+1</f>
        <v>46229</v>
      </c>
      <c r="F1578" s="106"/>
      <c r="G1578" s="106"/>
      <c r="J1578" s="25">
        <f t="shared" si="97"/>
        <v>51</v>
      </c>
    </row>
    <row r="1579" spans="1:10" ht="16.95" customHeight="1">
      <c r="A1579" s="53" t="s">
        <v>3</v>
      </c>
      <c r="B1579" s="2" t="s">
        <v>67</v>
      </c>
      <c r="C1579" s="98" t="s">
        <v>4</v>
      </c>
      <c r="D1579" s="98"/>
      <c r="E1579" s="98" t="s">
        <v>47</v>
      </c>
      <c r="F1579" s="98"/>
      <c r="G1579" s="98"/>
      <c r="J1579" s="25">
        <f t="shared" si="97"/>
        <v>51</v>
      </c>
    </row>
    <row r="1580" spans="1:10" ht="16.95" customHeight="1">
      <c r="A1580" s="53" t="s">
        <v>5</v>
      </c>
      <c r="B1580" s="54">
        <v>120</v>
      </c>
      <c r="C1580" s="98" t="s">
        <v>6</v>
      </c>
      <c r="D1580" s="98"/>
      <c r="E1580" s="98" t="s">
        <v>123</v>
      </c>
      <c r="F1580" s="98"/>
      <c r="G1580" s="98"/>
      <c r="J1580" s="25">
        <f t="shared" si="97"/>
        <v>51</v>
      </c>
    </row>
    <row r="1581" spans="1:10" ht="16.95" customHeight="1">
      <c r="A1581" s="53" t="s">
        <v>7</v>
      </c>
      <c r="B1581" s="54">
        <f>B1577</f>
        <v>27</v>
      </c>
      <c r="C1581" s="100" t="s">
        <v>8</v>
      </c>
      <c r="D1581" s="100"/>
      <c r="E1581" s="101">
        <f>B1580-B1581</f>
        <v>93</v>
      </c>
      <c r="F1581" s="101"/>
      <c r="G1581" s="101"/>
      <c r="J1581" s="25">
        <f t="shared" si="97"/>
        <v>51</v>
      </c>
    </row>
    <row r="1582" spans="1:10" ht="16.95" customHeight="1">
      <c r="A1582" s="53" t="s">
        <v>9</v>
      </c>
      <c r="B1582" s="55">
        <v>46204</v>
      </c>
      <c r="C1582" s="98" t="s">
        <v>10</v>
      </c>
      <c r="D1582" s="98"/>
      <c r="E1582" s="102">
        <f>B1582+B1580-1</f>
        <v>46323</v>
      </c>
      <c r="F1582" s="102"/>
      <c r="G1582" s="102"/>
      <c r="J1582" s="25">
        <f t="shared" si="97"/>
        <v>51</v>
      </c>
    </row>
    <row r="1583" spans="1:10" ht="16.95" customHeight="1">
      <c r="A1583" s="53" t="s">
        <v>11</v>
      </c>
      <c r="B1583" s="56" t="e">
        <f>HLOOKUP(B1577,進度表!$Q$2:$Z$3,2,1)+B1520</f>
        <v>#REF!</v>
      </c>
      <c r="C1583" s="98" t="s">
        <v>12</v>
      </c>
      <c r="D1583" s="98"/>
      <c r="E1583" s="99" t="e">
        <f>I1621/I1583+E1520</f>
        <v>#REF!</v>
      </c>
      <c r="F1583" s="99"/>
      <c r="G1583" s="99"/>
      <c r="H1583" s="3" t="s">
        <v>62</v>
      </c>
      <c r="I1583" s="1">
        <v>2456000</v>
      </c>
      <c r="J1583" s="25">
        <f t="shared" si="97"/>
        <v>51</v>
      </c>
    </row>
    <row r="1584" spans="1:10" ht="16.95" customHeight="1">
      <c r="A1584" s="98" t="s">
        <v>13</v>
      </c>
      <c r="B1584" s="98"/>
      <c r="C1584" s="98"/>
      <c r="D1584" s="98"/>
      <c r="E1584" s="98"/>
      <c r="F1584" s="98"/>
      <c r="G1584" s="98"/>
      <c r="J1584" s="25">
        <f t="shared" si="97"/>
        <v>51</v>
      </c>
    </row>
    <row r="1585" spans="1:10" ht="16.95" customHeight="1">
      <c r="A1585" s="52" t="s">
        <v>14</v>
      </c>
      <c r="B1585" s="52" t="s">
        <v>15</v>
      </c>
      <c r="C1585" s="52" t="s">
        <v>16</v>
      </c>
      <c r="D1585" s="52" t="s">
        <v>17</v>
      </c>
      <c r="E1585" s="52" t="s">
        <v>18</v>
      </c>
      <c r="F1585" s="52" t="s">
        <v>19</v>
      </c>
      <c r="G1585" s="52" t="s">
        <v>20</v>
      </c>
      <c r="H1585" s="3" t="s">
        <v>21</v>
      </c>
      <c r="I1585" s="3" t="s">
        <v>22</v>
      </c>
      <c r="J1585" s="25">
        <f t="shared" si="97"/>
        <v>51</v>
      </c>
    </row>
    <row r="1586" spans="1:10" ht="16.95" customHeight="1">
      <c r="A1586" s="75" t="s">
        <v>65</v>
      </c>
      <c r="B1586" s="76" t="s">
        <v>69</v>
      </c>
      <c r="C1586" s="77"/>
      <c r="D1586" s="78"/>
      <c r="E1586" s="79"/>
      <c r="F1586" s="79"/>
      <c r="G1586" s="2"/>
      <c r="H1586" s="37"/>
      <c r="I1586" s="4"/>
      <c r="J1586" s="25">
        <f t="shared" si="97"/>
        <v>51</v>
      </c>
    </row>
    <row r="1587" spans="1:10" ht="34.950000000000003" customHeight="1">
      <c r="A1587" s="75">
        <v>1</v>
      </c>
      <c r="B1587" s="80" t="s">
        <v>91</v>
      </c>
      <c r="C1587" s="77" t="s">
        <v>48</v>
      </c>
      <c r="D1587" s="78">
        <v>1</v>
      </c>
      <c r="E1587" s="79"/>
      <c r="F1587" s="79" t="e">
        <f t="shared" ref="F1587:F1620" si="99">E1587+F1524</f>
        <v>#REF!</v>
      </c>
      <c r="G1587" s="2"/>
      <c r="H1587" s="37">
        <v>10508</v>
      </c>
      <c r="I1587" s="4">
        <f>H1587*E1587</f>
        <v>0</v>
      </c>
      <c r="J1587" s="25">
        <f t="shared" si="97"/>
        <v>51</v>
      </c>
    </row>
    <row r="1588" spans="1:10" ht="34.799999999999997" customHeight="1">
      <c r="A1588" s="75">
        <v>2</v>
      </c>
      <c r="B1588" s="80" t="s">
        <v>92</v>
      </c>
      <c r="C1588" s="77" t="s">
        <v>48</v>
      </c>
      <c r="D1588" s="78">
        <v>1</v>
      </c>
      <c r="E1588" s="79"/>
      <c r="F1588" s="79" t="e">
        <f t="shared" si="99"/>
        <v>#REF!</v>
      </c>
      <c r="G1588" s="2"/>
      <c r="H1588" s="37">
        <v>13223</v>
      </c>
      <c r="I1588" s="4">
        <f>H1588*E1588</f>
        <v>0</v>
      </c>
      <c r="J1588" s="25">
        <f t="shared" si="97"/>
        <v>51</v>
      </c>
    </row>
    <row r="1589" spans="1:10" ht="53.4" customHeight="1">
      <c r="A1589" s="75">
        <v>3</v>
      </c>
      <c r="B1589" s="80" t="s">
        <v>93</v>
      </c>
      <c r="C1589" s="77" t="s">
        <v>48</v>
      </c>
      <c r="D1589" s="78">
        <v>1</v>
      </c>
      <c r="E1589" s="79"/>
      <c r="F1589" s="79" t="e">
        <f t="shared" si="99"/>
        <v>#REF!</v>
      </c>
      <c r="G1589" s="2"/>
      <c r="H1589" s="37">
        <v>310497</v>
      </c>
      <c r="I1589" s="4">
        <f t="shared" ref="I1589:I1620" si="100">H1589*E1589</f>
        <v>0</v>
      </c>
      <c r="J1589" s="25">
        <f t="shared" si="97"/>
        <v>51</v>
      </c>
    </row>
    <row r="1590" spans="1:10" ht="16.95" customHeight="1">
      <c r="A1590" s="75">
        <v>4</v>
      </c>
      <c r="B1590" s="80" t="s">
        <v>94</v>
      </c>
      <c r="C1590" s="77" t="s">
        <v>48</v>
      </c>
      <c r="D1590" s="78">
        <v>1</v>
      </c>
      <c r="E1590" s="79"/>
      <c r="F1590" s="79" t="e">
        <f t="shared" si="99"/>
        <v>#REF!</v>
      </c>
      <c r="G1590" s="2"/>
      <c r="H1590" s="37">
        <v>8375</v>
      </c>
      <c r="I1590" s="4">
        <f t="shared" si="100"/>
        <v>0</v>
      </c>
      <c r="J1590" s="25">
        <f t="shared" si="97"/>
        <v>51</v>
      </c>
    </row>
    <row r="1591" spans="1:10" ht="16.95" customHeight="1">
      <c r="A1591" s="75">
        <v>5</v>
      </c>
      <c r="B1591" s="80" t="s">
        <v>95</v>
      </c>
      <c r="C1591" s="77" t="s">
        <v>48</v>
      </c>
      <c r="D1591" s="78">
        <v>1</v>
      </c>
      <c r="E1591" s="79"/>
      <c r="F1591" s="79" t="e">
        <f t="shared" si="99"/>
        <v>#REF!</v>
      </c>
      <c r="G1591" s="2"/>
      <c r="H1591" s="37">
        <v>51618</v>
      </c>
      <c r="I1591" s="4">
        <f t="shared" si="100"/>
        <v>0</v>
      </c>
      <c r="J1591" s="25">
        <f t="shared" si="97"/>
        <v>51</v>
      </c>
    </row>
    <row r="1592" spans="1:10" ht="16.95" customHeight="1">
      <c r="A1592" s="75">
        <v>6</v>
      </c>
      <c r="B1592" s="80" t="s">
        <v>96</v>
      </c>
      <c r="C1592" s="77" t="s">
        <v>50</v>
      </c>
      <c r="D1592" s="78">
        <v>11.55</v>
      </c>
      <c r="E1592" s="79"/>
      <c r="F1592" s="79" t="e">
        <f t="shared" si="99"/>
        <v>#REF!</v>
      </c>
      <c r="G1592" s="2"/>
      <c r="H1592" s="37">
        <v>1188</v>
      </c>
      <c r="I1592" s="4">
        <f t="shared" si="100"/>
        <v>0</v>
      </c>
      <c r="J1592" s="25">
        <f t="shared" si="97"/>
        <v>51</v>
      </c>
    </row>
    <row r="1593" spans="1:10" ht="34.950000000000003" customHeight="1">
      <c r="A1593" s="75">
        <v>7</v>
      </c>
      <c r="B1593" s="80" t="s">
        <v>97</v>
      </c>
      <c r="C1593" s="77" t="s">
        <v>48</v>
      </c>
      <c r="D1593" s="78">
        <v>1</v>
      </c>
      <c r="E1593" s="79"/>
      <c r="F1593" s="79" t="e">
        <f t="shared" si="99"/>
        <v>#REF!</v>
      </c>
      <c r="G1593" s="2"/>
      <c r="H1593" s="37">
        <v>21157</v>
      </c>
      <c r="I1593" s="4">
        <f t="shared" si="100"/>
        <v>0</v>
      </c>
      <c r="J1593" s="25">
        <f t="shared" si="97"/>
        <v>51</v>
      </c>
    </row>
    <row r="1594" spans="1:10" ht="16.95" customHeight="1">
      <c r="A1594" s="75">
        <v>8</v>
      </c>
      <c r="B1594" s="80" t="s">
        <v>98</v>
      </c>
      <c r="C1594" s="77" t="s">
        <v>50</v>
      </c>
      <c r="D1594" s="78">
        <v>387</v>
      </c>
      <c r="E1594" s="79"/>
      <c r="F1594" s="79" t="e">
        <f t="shared" si="99"/>
        <v>#REF!</v>
      </c>
      <c r="G1594" s="2"/>
      <c r="H1594" s="37">
        <v>705</v>
      </c>
      <c r="I1594" s="4">
        <f t="shared" si="100"/>
        <v>0</v>
      </c>
      <c r="J1594" s="25">
        <f t="shared" si="97"/>
        <v>51</v>
      </c>
    </row>
    <row r="1595" spans="1:10" ht="16.95" customHeight="1">
      <c r="A1595" s="75">
        <v>9</v>
      </c>
      <c r="B1595" s="80" t="s">
        <v>99</v>
      </c>
      <c r="C1595" s="77" t="s">
        <v>50</v>
      </c>
      <c r="D1595" s="78">
        <v>170</v>
      </c>
      <c r="E1595" s="79"/>
      <c r="F1595" s="79" t="e">
        <f t="shared" si="99"/>
        <v>#REF!</v>
      </c>
      <c r="G1595" s="2"/>
      <c r="H1595" s="37">
        <v>617</v>
      </c>
      <c r="I1595" s="4">
        <f t="shared" si="100"/>
        <v>0</v>
      </c>
      <c r="J1595" s="25">
        <f t="shared" ref="J1595:J1658" si="101">J1532+2</f>
        <v>51</v>
      </c>
    </row>
    <row r="1596" spans="1:10" ht="16.95" customHeight="1">
      <c r="A1596" s="75">
        <v>10</v>
      </c>
      <c r="B1596" s="80" t="s">
        <v>100</v>
      </c>
      <c r="C1596" s="77" t="s">
        <v>66</v>
      </c>
      <c r="D1596" s="78">
        <v>15</v>
      </c>
      <c r="E1596" s="79"/>
      <c r="F1596" s="79" t="e">
        <f t="shared" si="99"/>
        <v>#REF!</v>
      </c>
      <c r="G1596" s="2"/>
      <c r="H1596" s="37">
        <v>617</v>
      </c>
      <c r="I1596" s="4">
        <f t="shared" si="100"/>
        <v>0</v>
      </c>
      <c r="J1596" s="25">
        <f t="shared" si="101"/>
        <v>51</v>
      </c>
    </row>
    <row r="1597" spans="1:10" ht="16.95" customHeight="1">
      <c r="A1597" s="75">
        <v>11</v>
      </c>
      <c r="B1597" s="80" t="s">
        <v>101</v>
      </c>
      <c r="C1597" s="77" t="s">
        <v>50</v>
      </c>
      <c r="D1597" s="78">
        <v>75</v>
      </c>
      <c r="E1597" s="79"/>
      <c r="F1597" s="79" t="e">
        <f t="shared" si="99"/>
        <v>#REF!</v>
      </c>
      <c r="G1597" s="2"/>
      <c r="H1597" s="37">
        <v>1146</v>
      </c>
      <c r="I1597" s="4">
        <f t="shared" si="100"/>
        <v>0</v>
      </c>
      <c r="J1597" s="25">
        <f t="shared" si="101"/>
        <v>51</v>
      </c>
    </row>
    <row r="1598" spans="1:10" ht="16.95" customHeight="1">
      <c r="A1598" s="75">
        <v>12</v>
      </c>
      <c r="B1598" s="80" t="s">
        <v>102</v>
      </c>
      <c r="C1598" s="77" t="s">
        <v>50</v>
      </c>
      <c r="D1598" s="78">
        <v>5</v>
      </c>
      <c r="E1598" s="79"/>
      <c r="F1598" s="79" t="e">
        <f t="shared" si="99"/>
        <v>#REF!</v>
      </c>
      <c r="G1598" s="2"/>
      <c r="H1598" s="37">
        <v>1455</v>
      </c>
      <c r="I1598" s="4">
        <f t="shared" si="100"/>
        <v>0</v>
      </c>
      <c r="J1598" s="25">
        <f t="shared" si="101"/>
        <v>51</v>
      </c>
    </row>
    <row r="1599" spans="1:10" ht="16.95" customHeight="1">
      <c r="A1599" s="75">
        <v>13</v>
      </c>
      <c r="B1599" s="80" t="s">
        <v>103</v>
      </c>
      <c r="C1599" s="77" t="s">
        <v>50</v>
      </c>
      <c r="D1599" s="78">
        <v>217</v>
      </c>
      <c r="E1599" s="79"/>
      <c r="F1599" s="79" t="e">
        <f t="shared" si="99"/>
        <v>#REF!</v>
      </c>
      <c r="G1599" s="2"/>
      <c r="H1599" s="37">
        <v>1410</v>
      </c>
      <c r="I1599" s="4">
        <f t="shared" si="100"/>
        <v>0</v>
      </c>
      <c r="J1599" s="25">
        <f t="shared" si="101"/>
        <v>51</v>
      </c>
    </row>
    <row r="1600" spans="1:10" ht="16.95" customHeight="1">
      <c r="A1600" s="75">
        <v>14</v>
      </c>
      <c r="B1600" s="80" t="s">
        <v>104</v>
      </c>
      <c r="C1600" s="77" t="s">
        <v>49</v>
      </c>
      <c r="D1600" s="78">
        <v>84</v>
      </c>
      <c r="E1600" s="79"/>
      <c r="F1600" s="79" t="e">
        <f t="shared" si="99"/>
        <v>#REF!</v>
      </c>
      <c r="G1600" s="2"/>
      <c r="H1600" s="37">
        <v>529</v>
      </c>
      <c r="I1600" s="4">
        <f t="shared" si="100"/>
        <v>0</v>
      </c>
      <c r="J1600" s="25">
        <f t="shared" si="101"/>
        <v>51</v>
      </c>
    </row>
    <row r="1601" spans="1:10" ht="16.95" customHeight="1">
      <c r="A1601" s="75">
        <v>15</v>
      </c>
      <c r="B1601" s="80" t="s">
        <v>105</v>
      </c>
      <c r="C1601" s="77" t="s">
        <v>50</v>
      </c>
      <c r="D1601" s="78">
        <v>1</v>
      </c>
      <c r="E1601" s="79"/>
      <c r="F1601" s="79" t="e">
        <f t="shared" si="99"/>
        <v>#REF!</v>
      </c>
      <c r="G1601" s="2"/>
      <c r="H1601" s="37">
        <v>1146</v>
      </c>
      <c r="I1601" s="4">
        <f t="shared" si="100"/>
        <v>0</v>
      </c>
      <c r="J1601" s="25">
        <f t="shared" si="101"/>
        <v>51</v>
      </c>
    </row>
    <row r="1602" spans="1:10" ht="34.799999999999997" customHeight="1">
      <c r="A1602" s="75">
        <v>16</v>
      </c>
      <c r="B1602" s="80" t="s">
        <v>106</v>
      </c>
      <c r="C1602" s="77" t="s">
        <v>50</v>
      </c>
      <c r="D1602" s="78">
        <v>314</v>
      </c>
      <c r="E1602" s="79"/>
      <c r="F1602" s="79" t="e">
        <f t="shared" si="99"/>
        <v>#REF!</v>
      </c>
      <c r="G1602" s="2"/>
      <c r="H1602" s="37">
        <v>185</v>
      </c>
      <c r="I1602" s="4">
        <f t="shared" si="100"/>
        <v>0</v>
      </c>
      <c r="J1602" s="25">
        <f t="shared" si="101"/>
        <v>51</v>
      </c>
    </row>
    <row r="1603" spans="1:10" ht="16.95" customHeight="1">
      <c r="A1603" s="75">
        <v>17</v>
      </c>
      <c r="B1603" s="80" t="s">
        <v>107</v>
      </c>
      <c r="C1603" s="77" t="s">
        <v>48</v>
      </c>
      <c r="D1603" s="78">
        <v>1</v>
      </c>
      <c r="E1603" s="79"/>
      <c r="F1603" s="79" t="e">
        <f t="shared" si="99"/>
        <v>#REF!</v>
      </c>
      <c r="G1603" s="2"/>
      <c r="H1603" s="37">
        <v>89918</v>
      </c>
      <c r="I1603" s="4">
        <f t="shared" si="100"/>
        <v>0</v>
      </c>
      <c r="J1603" s="25">
        <f t="shared" si="101"/>
        <v>51</v>
      </c>
    </row>
    <row r="1604" spans="1:10" ht="16.95" customHeight="1">
      <c r="A1604" s="75">
        <v>18</v>
      </c>
      <c r="B1604" s="80" t="s">
        <v>108</v>
      </c>
      <c r="C1604" s="77" t="s">
        <v>120</v>
      </c>
      <c r="D1604" s="78">
        <v>15</v>
      </c>
      <c r="E1604" s="79"/>
      <c r="F1604" s="79" t="e">
        <f t="shared" si="99"/>
        <v>#REF!</v>
      </c>
      <c r="G1604" s="2"/>
      <c r="H1604" s="37">
        <v>661</v>
      </c>
      <c r="I1604" s="4">
        <f t="shared" si="100"/>
        <v>0</v>
      </c>
      <c r="J1604" s="25">
        <f t="shared" si="101"/>
        <v>51</v>
      </c>
    </row>
    <row r="1605" spans="1:10" ht="16.95" customHeight="1">
      <c r="A1605" s="75">
        <v>19</v>
      </c>
      <c r="B1605" s="80" t="s">
        <v>109</v>
      </c>
      <c r="C1605" s="77" t="s">
        <v>50</v>
      </c>
      <c r="D1605" s="78">
        <v>82</v>
      </c>
      <c r="E1605" s="79"/>
      <c r="F1605" s="79" t="e">
        <f t="shared" si="99"/>
        <v>#REF!</v>
      </c>
      <c r="G1605" s="2"/>
      <c r="H1605" s="37">
        <v>2909</v>
      </c>
      <c r="I1605" s="4">
        <f t="shared" si="100"/>
        <v>0</v>
      </c>
      <c r="J1605" s="25">
        <f t="shared" si="101"/>
        <v>51</v>
      </c>
    </row>
    <row r="1606" spans="1:10" ht="16.95" customHeight="1">
      <c r="A1606" s="75">
        <v>20</v>
      </c>
      <c r="B1606" s="80" t="s">
        <v>110</v>
      </c>
      <c r="C1606" s="77" t="s">
        <v>121</v>
      </c>
      <c r="D1606" s="78">
        <v>12</v>
      </c>
      <c r="E1606" s="79"/>
      <c r="F1606" s="79" t="e">
        <f t="shared" si="99"/>
        <v>#REF!</v>
      </c>
      <c r="G1606" s="2"/>
      <c r="H1606" s="37">
        <v>882</v>
      </c>
      <c r="I1606" s="4">
        <f t="shared" si="100"/>
        <v>0</v>
      </c>
      <c r="J1606" s="25">
        <f t="shared" si="101"/>
        <v>51</v>
      </c>
    </row>
    <row r="1607" spans="1:10" ht="16.95" customHeight="1">
      <c r="A1607" s="77">
        <v>21</v>
      </c>
      <c r="B1607" s="80" t="s">
        <v>111</v>
      </c>
      <c r="C1607" s="77" t="s">
        <v>122</v>
      </c>
      <c r="D1607" s="78">
        <v>3</v>
      </c>
      <c r="E1607" s="79"/>
      <c r="F1607" s="79" t="e">
        <f t="shared" si="99"/>
        <v>#REF!</v>
      </c>
      <c r="G1607" s="2"/>
      <c r="H1607" s="38">
        <v>1869</v>
      </c>
      <c r="I1607" s="4">
        <f t="shared" si="100"/>
        <v>0</v>
      </c>
      <c r="J1607" s="25">
        <f t="shared" si="101"/>
        <v>51</v>
      </c>
    </row>
    <row r="1608" spans="1:10" ht="34.950000000000003" customHeight="1">
      <c r="A1608" s="75">
        <v>22</v>
      </c>
      <c r="B1608" s="80" t="s">
        <v>112</v>
      </c>
      <c r="C1608" s="77" t="s">
        <v>48</v>
      </c>
      <c r="D1608" s="78">
        <v>1</v>
      </c>
      <c r="E1608" s="79"/>
      <c r="F1608" s="79" t="e">
        <f t="shared" si="99"/>
        <v>#REF!</v>
      </c>
      <c r="G1608" s="2"/>
      <c r="H1608" s="37">
        <v>82206</v>
      </c>
      <c r="I1608" s="4">
        <f t="shared" si="100"/>
        <v>0</v>
      </c>
      <c r="J1608" s="25">
        <f t="shared" si="101"/>
        <v>51</v>
      </c>
    </row>
    <row r="1609" spans="1:10" ht="16.95" customHeight="1">
      <c r="A1609" s="75">
        <v>23</v>
      </c>
      <c r="B1609" s="80" t="s">
        <v>113</v>
      </c>
      <c r="C1609" s="77" t="s">
        <v>48</v>
      </c>
      <c r="D1609" s="78">
        <v>1</v>
      </c>
      <c r="E1609" s="79"/>
      <c r="F1609" s="79" t="e">
        <f t="shared" si="99"/>
        <v>#REF!</v>
      </c>
      <c r="G1609" s="2"/>
      <c r="H1609" s="37">
        <v>142723</v>
      </c>
      <c r="I1609" s="4">
        <f t="shared" si="100"/>
        <v>0</v>
      </c>
      <c r="J1609" s="25">
        <f t="shared" si="101"/>
        <v>51</v>
      </c>
    </row>
    <row r="1610" spans="1:10" ht="16.95" customHeight="1">
      <c r="A1610" s="75">
        <v>24</v>
      </c>
      <c r="B1610" s="80" t="s">
        <v>114</v>
      </c>
      <c r="C1610" s="77" t="s">
        <v>48</v>
      </c>
      <c r="D1610" s="78">
        <v>1</v>
      </c>
      <c r="E1610" s="79"/>
      <c r="F1610" s="79" t="e">
        <f t="shared" si="99"/>
        <v>#REF!</v>
      </c>
      <c r="G1610" s="2"/>
      <c r="H1610" s="37">
        <v>37290</v>
      </c>
      <c r="I1610" s="4">
        <f t="shared" si="100"/>
        <v>0</v>
      </c>
      <c r="J1610" s="25">
        <f t="shared" si="101"/>
        <v>51</v>
      </c>
    </row>
    <row r="1611" spans="1:10" ht="16.95" customHeight="1">
      <c r="A1611" s="75">
        <v>25</v>
      </c>
      <c r="B1611" s="80" t="s">
        <v>115</v>
      </c>
      <c r="C1611" s="77" t="s">
        <v>48</v>
      </c>
      <c r="D1611" s="78">
        <v>1</v>
      </c>
      <c r="E1611" s="79"/>
      <c r="F1611" s="79" t="e">
        <f t="shared" si="99"/>
        <v>#REF!</v>
      </c>
      <c r="G1611" s="2"/>
      <c r="H1611" s="37">
        <v>99394</v>
      </c>
      <c r="I1611" s="4">
        <f t="shared" si="100"/>
        <v>0</v>
      </c>
      <c r="J1611" s="25">
        <f t="shared" si="101"/>
        <v>51</v>
      </c>
    </row>
    <row r="1612" spans="1:10" ht="34.950000000000003" customHeight="1">
      <c r="A1612" s="75">
        <v>26</v>
      </c>
      <c r="B1612" s="80" t="s">
        <v>116</v>
      </c>
      <c r="C1612" s="77" t="s">
        <v>48</v>
      </c>
      <c r="D1612" s="78">
        <v>1</v>
      </c>
      <c r="E1612" s="79"/>
      <c r="F1612" s="79" t="e">
        <f t="shared" si="99"/>
        <v>#REF!</v>
      </c>
      <c r="G1612" s="2"/>
      <c r="H1612" s="37">
        <v>21334</v>
      </c>
      <c r="I1612" s="4">
        <f t="shared" si="100"/>
        <v>0</v>
      </c>
      <c r="J1612" s="25">
        <f t="shared" si="101"/>
        <v>51</v>
      </c>
    </row>
    <row r="1613" spans="1:10" ht="16.95" customHeight="1">
      <c r="A1613" s="75">
        <v>27</v>
      </c>
      <c r="B1613" s="80" t="s">
        <v>117</v>
      </c>
      <c r="C1613" s="77" t="s">
        <v>48</v>
      </c>
      <c r="D1613" s="78">
        <v>1</v>
      </c>
      <c r="E1613" s="79"/>
      <c r="F1613" s="79" t="e">
        <f t="shared" si="99"/>
        <v>#REF!</v>
      </c>
      <c r="G1613" s="2"/>
      <c r="H1613" s="37">
        <v>29620</v>
      </c>
      <c r="I1613" s="4">
        <f t="shared" si="100"/>
        <v>0</v>
      </c>
      <c r="J1613" s="25">
        <f t="shared" si="101"/>
        <v>51</v>
      </c>
    </row>
    <row r="1614" spans="1:10" ht="16.95" customHeight="1">
      <c r="A1614" s="75">
        <v>28</v>
      </c>
      <c r="B1614" s="80" t="s">
        <v>118</v>
      </c>
      <c r="C1614" s="77" t="s">
        <v>48</v>
      </c>
      <c r="D1614" s="78">
        <v>1</v>
      </c>
      <c r="E1614" s="79"/>
      <c r="F1614" s="79" t="e">
        <f t="shared" si="99"/>
        <v>#REF!</v>
      </c>
      <c r="G1614" s="2"/>
      <c r="H1614" s="37">
        <v>18506</v>
      </c>
      <c r="I1614" s="4">
        <f t="shared" si="100"/>
        <v>0</v>
      </c>
      <c r="J1614" s="25">
        <f t="shared" si="101"/>
        <v>51</v>
      </c>
    </row>
    <row r="1615" spans="1:10" ht="16.95" customHeight="1">
      <c r="A1615" s="75">
        <v>29</v>
      </c>
      <c r="B1615" s="80" t="s">
        <v>119</v>
      </c>
      <c r="C1615" s="77" t="s">
        <v>48</v>
      </c>
      <c r="D1615" s="78">
        <v>1</v>
      </c>
      <c r="E1615" s="79"/>
      <c r="F1615" s="79" t="e">
        <f t="shared" si="99"/>
        <v>#REF!</v>
      </c>
      <c r="G1615" s="2"/>
      <c r="H1615" s="37">
        <v>34381</v>
      </c>
      <c r="I1615" s="4">
        <f t="shared" si="100"/>
        <v>0</v>
      </c>
      <c r="J1615" s="25">
        <f t="shared" si="101"/>
        <v>51</v>
      </c>
    </row>
    <row r="1616" spans="1:10" ht="16.95" customHeight="1">
      <c r="A1616" s="75" t="s">
        <v>79</v>
      </c>
      <c r="B1616" s="80" t="s">
        <v>80</v>
      </c>
      <c r="C1616" s="77" t="s">
        <v>48</v>
      </c>
      <c r="D1616" s="78">
        <v>1</v>
      </c>
      <c r="E1616" s="79">
        <f t="shared" ref="E1616:E1619" si="102">1/120</f>
        <v>8.3333333333333332E-3</v>
      </c>
      <c r="F1616" s="79" t="e">
        <f t="shared" si="99"/>
        <v>#REF!</v>
      </c>
      <c r="G1616" s="2"/>
      <c r="H1616" s="37">
        <v>21395</v>
      </c>
      <c r="I1616" s="4">
        <f t="shared" si="100"/>
        <v>178.29166666666666</v>
      </c>
      <c r="J1616" s="25">
        <f t="shared" si="101"/>
        <v>51</v>
      </c>
    </row>
    <row r="1617" spans="1:10" ht="16.95" customHeight="1">
      <c r="A1617" s="75" t="s">
        <v>81</v>
      </c>
      <c r="B1617" s="80" t="s">
        <v>82</v>
      </c>
      <c r="C1617" s="77" t="s">
        <v>48</v>
      </c>
      <c r="D1617" s="78">
        <v>1</v>
      </c>
      <c r="E1617" s="79">
        <f t="shared" si="102"/>
        <v>8.3333333333333332E-3</v>
      </c>
      <c r="F1617" s="79" t="e">
        <f t="shared" si="99"/>
        <v>#REF!</v>
      </c>
      <c r="G1617" s="2"/>
      <c r="H1617" s="37">
        <v>21395</v>
      </c>
      <c r="I1617" s="4">
        <f t="shared" si="100"/>
        <v>178.29166666666666</v>
      </c>
      <c r="J1617" s="25">
        <f t="shared" si="101"/>
        <v>51</v>
      </c>
    </row>
    <row r="1618" spans="1:10" ht="16.95" customHeight="1">
      <c r="A1618" s="75" t="s">
        <v>83</v>
      </c>
      <c r="B1618" s="80" t="s">
        <v>84</v>
      </c>
      <c r="C1618" s="77" t="s">
        <v>48</v>
      </c>
      <c r="D1618" s="78">
        <v>1</v>
      </c>
      <c r="E1618" s="79">
        <f t="shared" si="102"/>
        <v>8.3333333333333332E-3</v>
      </c>
      <c r="F1618" s="79" t="e">
        <f t="shared" si="99"/>
        <v>#REF!</v>
      </c>
      <c r="G1618" s="2"/>
      <c r="H1618" s="37">
        <v>149765</v>
      </c>
      <c r="I1618" s="4">
        <f t="shared" si="100"/>
        <v>1248.0416666666667</v>
      </c>
      <c r="J1618" s="25">
        <f t="shared" si="101"/>
        <v>51</v>
      </c>
    </row>
    <row r="1619" spans="1:10" ht="16.95" customHeight="1">
      <c r="A1619" s="75" t="s">
        <v>85</v>
      </c>
      <c r="B1619" s="80" t="s">
        <v>86</v>
      </c>
      <c r="C1619" s="77" t="s">
        <v>48</v>
      </c>
      <c r="D1619" s="78">
        <v>1</v>
      </c>
      <c r="E1619" s="79">
        <f t="shared" si="102"/>
        <v>8.3333333333333332E-3</v>
      </c>
      <c r="F1619" s="79" t="e">
        <f t="shared" si="99"/>
        <v>#REF!</v>
      </c>
      <c r="G1619" s="2"/>
      <c r="H1619" s="37">
        <v>6996</v>
      </c>
      <c r="I1619" s="4">
        <f t="shared" si="100"/>
        <v>58.3</v>
      </c>
      <c r="J1619" s="25">
        <f t="shared" si="101"/>
        <v>51</v>
      </c>
    </row>
    <row r="1620" spans="1:10" ht="16.95" customHeight="1">
      <c r="A1620" s="75" t="s">
        <v>87</v>
      </c>
      <c r="B1620" s="80" t="s">
        <v>88</v>
      </c>
      <c r="C1620" s="77" t="s">
        <v>48</v>
      </c>
      <c r="D1620" s="78">
        <v>1</v>
      </c>
      <c r="E1620" s="79">
        <f>1/120</f>
        <v>8.3333333333333332E-3</v>
      </c>
      <c r="F1620" s="79" t="e">
        <f t="shared" si="99"/>
        <v>#REF!</v>
      </c>
      <c r="G1620" s="2"/>
      <c r="H1620" s="37">
        <v>116952</v>
      </c>
      <c r="I1620" s="4">
        <f t="shared" si="100"/>
        <v>974.6</v>
      </c>
      <c r="J1620" s="25">
        <f t="shared" si="101"/>
        <v>51</v>
      </c>
    </row>
    <row r="1621" spans="1:10" ht="16.95" customHeight="1">
      <c r="A1621" s="95" t="s">
        <v>23</v>
      </c>
      <c r="B1621" s="95"/>
      <c r="C1621" s="50"/>
      <c r="D1621" s="50"/>
      <c r="E1621" s="50"/>
      <c r="F1621" s="50"/>
      <c r="G1621" s="50"/>
      <c r="H1621" s="3" t="s">
        <v>24</v>
      </c>
      <c r="I1621" s="5">
        <f>SUM(I1586:I1620)</f>
        <v>2637.5250000000001</v>
      </c>
      <c r="J1621" s="25">
        <f t="shared" si="101"/>
        <v>51</v>
      </c>
    </row>
    <row r="1622" spans="1:10" ht="16.95" customHeight="1">
      <c r="A1622" s="96" t="s">
        <v>25</v>
      </c>
      <c r="B1622" s="96"/>
      <c r="C1622" s="50"/>
      <c r="D1622" s="50"/>
      <c r="E1622" s="50"/>
      <c r="F1622" s="50"/>
      <c r="G1622" s="50"/>
      <c r="J1622" s="25">
        <f t="shared" si="101"/>
        <v>51</v>
      </c>
    </row>
    <row r="1623" spans="1:10" ht="16.95" customHeight="1">
      <c r="A1623" s="96" t="s">
        <v>26</v>
      </c>
      <c r="B1623" s="96"/>
      <c r="C1623" s="50"/>
      <c r="D1623" s="50"/>
      <c r="E1623" s="50"/>
      <c r="F1623" s="50"/>
      <c r="G1623" s="50"/>
      <c r="J1623" s="25">
        <f t="shared" si="101"/>
        <v>51</v>
      </c>
    </row>
    <row r="1624" spans="1:10" ht="16.95" customHeight="1">
      <c r="A1624" s="95" t="s">
        <v>27</v>
      </c>
      <c r="B1624" s="95"/>
      <c r="C1624" s="95"/>
      <c r="D1624" s="95"/>
      <c r="E1624" s="95"/>
      <c r="F1624" s="95"/>
      <c r="G1624" s="95"/>
      <c r="J1624" s="25">
        <f t="shared" si="101"/>
        <v>51</v>
      </c>
    </row>
    <row r="1625" spans="1:10" ht="16.95" customHeight="1">
      <c r="A1625" s="94" t="s">
        <v>28</v>
      </c>
      <c r="B1625" s="94"/>
      <c r="C1625" s="51" t="s">
        <v>29</v>
      </c>
      <c r="D1625" s="51" t="s">
        <v>30</v>
      </c>
      <c r="E1625" s="51" t="s">
        <v>18</v>
      </c>
      <c r="F1625" s="51" t="s">
        <v>31</v>
      </c>
      <c r="G1625" s="51" t="s">
        <v>20</v>
      </c>
      <c r="J1625" s="25">
        <f t="shared" si="101"/>
        <v>51</v>
      </c>
    </row>
    <row r="1626" spans="1:10" ht="16.95" customHeight="1">
      <c r="A1626" s="96"/>
      <c r="B1626" s="96"/>
      <c r="C1626" s="50"/>
      <c r="D1626" s="50"/>
      <c r="E1626" s="50"/>
      <c r="F1626" s="50"/>
      <c r="G1626" s="51"/>
      <c r="J1626" s="25">
        <f t="shared" si="101"/>
        <v>51</v>
      </c>
    </row>
    <row r="1627" spans="1:10" ht="16.95" customHeight="1">
      <c r="A1627" s="97"/>
      <c r="B1627" s="97"/>
      <c r="C1627" s="50"/>
      <c r="D1627" s="50"/>
      <c r="E1627" s="50"/>
      <c r="F1627" s="51"/>
      <c r="G1627" s="51"/>
      <c r="J1627" s="25">
        <f t="shared" si="101"/>
        <v>51</v>
      </c>
    </row>
    <row r="1628" spans="1:10" ht="16.95" customHeight="1">
      <c r="A1628" s="95" t="s">
        <v>32</v>
      </c>
      <c r="B1628" s="95"/>
      <c r="C1628" s="95"/>
      <c r="D1628" s="95"/>
      <c r="E1628" s="95"/>
      <c r="F1628" s="95"/>
      <c r="G1628" s="95"/>
      <c r="J1628" s="25">
        <f t="shared" si="101"/>
        <v>52</v>
      </c>
    </row>
    <row r="1629" spans="1:10" ht="16.95" customHeight="1">
      <c r="A1629" s="51" t="s">
        <v>33</v>
      </c>
      <c r="B1629" s="51" t="s">
        <v>34</v>
      </c>
      <c r="C1629" s="94" t="s">
        <v>35</v>
      </c>
      <c r="D1629" s="94"/>
      <c r="E1629" s="51" t="s">
        <v>36</v>
      </c>
      <c r="F1629" s="51" t="s">
        <v>37</v>
      </c>
      <c r="G1629" s="51" t="s">
        <v>38</v>
      </c>
      <c r="J1629" s="25">
        <f t="shared" si="101"/>
        <v>52</v>
      </c>
    </row>
    <row r="1630" spans="1:10" ht="16.95" customHeight="1">
      <c r="A1630" s="51" t="s">
        <v>39</v>
      </c>
      <c r="B1630" s="6"/>
      <c r="C1630" s="94" t="e">
        <f>B1630+C1567</f>
        <v>#REF!</v>
      </c>
      <c r="D1630" s="94"/>
      <c r="E1630" s="51"/>
      <c r="F1630" s="24"/>
      <c r="G1630" s="24"/>
      <c r="J1630" s="25">
        <f t="shared" si="101"/>
        <v>52</v>
      </c>
    </row>
    <row r="1631" spans="1:10" ht="16.95" customHeight="1">
      <c r="A1631" s="51" t="s">
        <v>40</v>
      </c>
      <c r="B1631" s="6"/>
      <c r="C1631" s="94" t="e">
        <f>B1631+C1568</f>
        <v>#REF!</v>
      </c>
      <c r="D1631" s="94"/>
      <c r="E1631" s="51"/>
      <c r="F1631" s="24"/>
      <c r="G1631" s="24"/>
      <c r="J1631" s="25">
        <f t="shared" si="101"/>
        <v>52</v>
      </c>
    </row>
    <row r="1632" spans="1:10" ht="36.6" customHeight="1">
      <c r="A1632" s="95" t="s">
        <v>41</v>
      </c>
      <c r="B1632" s="95"/>
      <c r="C1632" s="95"/>
      <c r="D1632" s="95"/>
      <c r="E1632" s="95"/>
      <c r="F1632" s="95"/>
      <c r="G1632" s="95"/>
      <c r="J1632" s="25">
        <f t="shared" si="101"/>
        <v>52</v>
      </c>
    </row>
    <row r="1633" spans="1:10" ht="90" customHeight="1">
      <c r="A1633" s="92" t="s">
        <v>42</v>
      </c>
      <c r="B1633" s="92"/>
      <c r="C1633" s="92"/>
      <c r="D1633" s="92"/>
      <c r="E1633" s="92"/>
      <c r="F1633" s="92"/>
      <c r="G1633" s="92"/>
      <c r="J1633" s="25">
        <f t="shared" si="101"/>
        <v>52</v>
      </c>
    </row>
    <row r="1634" spans="1:10" ht="16.95" customHeight="1">
      <c r="A1634" s="95" t="s">
        <v>43</v>
      </c>
      <c r="B1634" s="95"/>
      <c r="C1634" s="95"/>
      <c r="D1634" s="95"/>
      <c r="E1634" s="95"/>
      <c r="F1634" s="95"/>
      <c r="G1634" s="95"/>
      <c r="J1634" s="25">
        <f t="shared" si="101"/>
        <v>52</v>
      </c>
    </row>
    <row r="1635" spans="1:10" ht="16.95" customHeight="1">
      <c r="A1635" s="95" t="s">
        <v>44</v>
      </c>
      <c r="B1635" s="95"/>
      <c r="C1635" s="95"/>
      <c r="D1635" s="95"/>
      <c r="E1635" s="95"/>
      <c r="F1635" s="95"/>
      <c r="G1635" s="95"/>
      <c r="J1635" s="25">
        <f t="shared" si="101"/>
        <v>52</v>
      </c>
    </row>
    <row r="1636" spans="1:10" ht="16.95" customHeight="1">
      <c r="A1636" s="91" t="s">
        <v>64</v>
      </c>
      <c r="B1636" s="91"/>
      <c r="C1636" s="91"/>
      <c r="D1636" s="91"/>
      <c r="E1636" s="91"/>
      <c r="F1636" s="91"/>
      <c r="G1636" s="91"/>
      <c r="J1636" s="25">
        <f t="shared" si="101"/>
        <v>52</v>
      </c>
    </row>
    <row r="1637" spans="1:10" ht="120.6" customHeight="1">
      <c r="A1637" s="92" t="s">
        <v>45</v>
      </c>
      <c r="B1637" s="92"/>
      <c r="C1637" s="92"/>
      <c r="D1637" s="92"/>
      <c r="E1637" s="92"/>
      <c r="F1637" s="92"/>
      <c r="G1637" s="92"/>
      <c r="J1637" s="25">
        <f t="shared" si="101"/>
        <v>52</v>
      </c>
    </row>
    <row r="1638" spans="1:10" ht="140.4" customHeight="1">
      <c r="A1638" s="93" t="s">
        <v>46</v>
      </c>
      <c r="B1638" s="93"/>
      <c r="C1638" s="93"/>
      <c r="D1638" s="93"/>
      <c r="E1638" s="93"/>
      <c r="F1638" s="93"/>
      <c r="G1638" s="93"/>
      <c r="J1638" s="25">
        <f t="shared" si="101"/>
        <v>52</v>
      </c>
    </row>
    <row r="1639" spans="1:10" ht="37.200000000000003" customHeight="1">
      <c r="A1639" s="103" t="s">
        <v>0</v>
      </c>
      <c r="B1639" s="103"/>
      <c r="C1639" s="103"/>
      <c r="D1639" s="103"/>
      <c r="E1639" s="103"/>
      <c r="F1639" s="103"/>
      <c r="G1639" s="103"/>
      <c r="J1639" s="25">
        <f t="shared" si="101"/>
        <v>53</v>
      </c>
    </row>
    <row r="1640" spans="1:10" ht="16.95" customHeight="1">
      <c r="A1640" s="1" t="s">
        <v>1</v>
      </c>
      <c r="B1640" s="104">
        <f>B1577+1</f>
        <v>28</v>
      </c>
      <c r="C1640" s="104"/>
      <c r="D1640" s="104"/>
      <c r="E1640" s="104"/>
      <c r="F1640" s="104"/>
      <c r="G1640" s="104"/>
      <c r="J1640" s="25">
        <f t="shared" si="101"/>
        <v>53</v>
      </c>
    </row>
    <row r="1641" spans="1:10" ht="16.95" customHeight="1">
      <c r="A1641" s="1" t="s">
        <v>2</v>
      </c>
      <c r="B1641" s="105" t="s">
        <v>63</v>
      </c>
      <c r="C1641" s="105"/>
      <c r="D1641" s="105"/>
      <c r="E1641" s="106">
        <f>E1578+1</f>
        <v>46230</v>
      </c>
      <c r="F1641" s="106"/>
      <c r="G1641" s="106"/>
      <c r="J1641" s="25">
        <f t="shared" si="101"/>
        <v>53</v>
      </c>
    </row>
    <row r="1642" spans="1:10" ht="16.95" customHeight="1">
      <c r="A1642" s="53" t="s">
        <v>3</v>
      </c>
      <c r="B1642" s="2" t="s">
        <v>67</v>
      </c>
      <c r="C1642" s="98" t="s">
        <v>4</v>
      </c>
      <c r="D1642" s="98"/>
      <c r="E1642" s="98" t="s">
        <v>47</v>
      </c>
      <c r="F1642" s="98"/>
      <c r="G1642" s="98"/>
      <c r="J1642" s="25">
        <f t="shared" si="101"/>
        <v>53</v>
      </c>
    </row>
    <row r="1643" spans="1:10" ht="16.95" customHeight="1">
      <c r="A1643" s="53" t="s">
        <v>5</v>
      </c>
      <c r="B1643" s="54">
        <v>120</v>
      </c>
      <c r="C1643" s="98" t="s">
        <v>6</v>
      </c>
      <c r="D1643" s="98"/>
      <c r="E1643" s="98" t="s">
        <v>123</v>
      </c>
      <c r="F1643" s="98"/>
      <c r="G1643" s="98"/>
      <c r="J1643" s="25">
        <f t="shared" si="101"/>
        <v>53</v>
      </c>
    </row>
    <row r="1644" spans="1:10" ht="16.95" customHeight="1">
      <c r="A1644" s="53" t="s">
        <v>7</v>
      </c>
      <c r="B1644" s="54">
        <f>B1640</f>
        <v>28</v>
      </c>
      <c r="C1644" s="100" t="s">
        <v>8</v>
      </c>
      <c r="D1644" s="100"/>
      <c r="E1644" s="101">
        <f>B1643-B1644</f>
        <v>92</v>
      </c>
      <c r="F1644" s="101"/>
      <c r="G1644" s="101"/>
      <c r="J1644" s="25">
        <f t="shared" si="101"/>
        <v>53</v>
      </c>
    </row>
    <row r="1645" spans="1:10" ht="16.95" customHeight="1">
      <c r="A1645" s="53" t="s">
        <v>9</v>
      </c>
      <c r="B1645" s="55">
        <v>46204</v>
      </c>
      <c r="C1645" s="98" t="s">
        <v>10</v>
      </c>
      <c r="D1645" s="98"/>
      <c r="E1645" s="102">
        <f>B1645+B1643-1</f>
        <v>46323</v>
      </c>
      <c r="F1645" s="102"/>
      <c r="G1645" s="102"/>
      <c r="J1645" s="25">
        <f t="shared" si="101"/>
        <v>53</v>
      </c>
    </row>
    <row r="1646" spans="1:10" ht="16.95" customHeight="1">
      <c r="A1646" s="53" t="s">
        <v>11</v>
      </c>
      <c r="B1646" s="56" t="e">
        <f>HLOOKUP(B1640,進度表!$Q$2:$Z$3,2,1)+B1583</f>
        <v>#REF!</v>
      </c>
      <c r="C1646" s="98" t="s">
        <v>12</v>
      </c>
      <c r="D1646" s="98"/>
      <c r="E1646" s="99" t="e">
        <f>I1684/I1646+E1583</f>
        <v>#REF!</v>
      </c>
      <c r="F1646" s="99"/>
      <c r="G1646" s="99"/>
      <c r="H1646" s="3" t="s">
        <v>62</v>
      </c>
      <c r="I1646" s="1">
        <v>2456000</v>
      </c>
      <c r="J1646" s="25">
        <f t="shared" si="101"/>
        <v>53</v>
      </c>
    </row>
    <row r="1647" spans="1:10" ht="16.95" customHeight="1">
      <c r="A1647" s="98" t="s">
        <v>13</v>
      </c>
      <c r="B1647" s="98"/>
      <c r="C1647" s="98"/>
      <c r="D1647" s="98"/>
      <c r="E1647" s="98"/>
      <c r="F1647" s="98"/>
      <c r="G1647" s="98"/>
      <c r="J1647" s="25">
        <f t="shared" si="101"/>
        <v>53</v>
      </c>
    </row>
    <row r="1648" spans="1:10" ht="16.95" customHeight="1">
      <c r="A1648" s="52" t="s">
        <v>14</v>
      </c>
      <c r="B1648" s="52" t="s">
        <v>15</v>
      </c>
      <c r="C1648" s="52" t="s">
        <v>16</v>
      </c>
      <c r="D1648" s="52" t="s">
        <v>17</v>
      </c>
      <c r="E1648" s="52" t="s">
        <v>18</v>
      </c>
      <c r="F1648" s="52" t="s">
        <v>19</v>
      </c>
      <c r="G1648" s="52" t="s">
        <v>20</v>
      </c>
      <c r="H1648" s="3" t="s">
        <v>21</v>
      </c>
      <c r="I1648" s="3" t="s">
        <v>22</v>
      </c>
      <c r="J1648" s="25">
        <f t="shared" si="101"/>
        <v>53</v>
      </c>
    </row>
    <row r="1649" spans="1:10" ht="16.95" customHeight="1">
      <c r="A1649" s="75" t="s">
        <v>65</v>
      </c>
      <c r="B1649" s="76" t="s">
        <v>69</v>
      </c>
      <c r="C1649" s="77"/>
      <c r="D1649" s="78"/>
      <c r="E1649" s="79"/>
      <c r="F1649" s="79"/>
      <c r="G1649" s="2"/>
      <c r="H1649" s="37"/>
      <c r="I1649" s="4"/>
      <c r="J1649" s="25">
        <f t="shared" si="101"/>
        <v>53</v>
      </c>
    </row>
    <row r="1650" spans="1:10" ht="34.950000000000003" customHeight="1">
      <c r="A1650" s="75">
        <v>1</v>
      </c>
      <c r="B1650" s="80" t="s">
        <v>91</v>
      </c>
      <c r="C1650" s="77" t="s">
        <v>48</v>
      </c>
      <c r="D1650" s="78">
        <v>1</v>
      </c>
      <c r="E1650" s="79"/>
      <c r="F1650" s="79" t="e">
        <f t="shared" ref="F1650:F1683" si="103">E1650+F1587</f>
        <v>#REF!</v>
      </c>
      <c r="G1650" s="2"/>
      <c r="H1650" s="37">
        <v>10508</v>
      </c>
      <c r="I1650" s="4">
        <f>H1650*E1650</f>
        <v>0</v>
      </c>
      <c r="J1650" s="25">
        <f t="shared" si="101"/>
        <v>53</v>
      </c>
    </row>
    <row r="1651" spans="1:10" ht="34.799999999999997" customHeight="1">
      <c r="A1651" s="75">
        <v>2</v>
      </c>
      <c r="B1651" s="80" t="s">
        <v>92</v>
      </c>
      <c r="C1651" s="77" t="s">
        <v>48</v>
      </c>
      <c r="D1651" s="78">
        <v>1</v>
      </c>
      <c r="E1651" s="79"/>
      <c r="F1651" s="79" t="e">
        <f t="shared" si="103"/>
        <v>#REF!</v>
      </c>
      <c r="G1651" s="2"/>
      <c r="H1651" s="37">
        <v>13223</v>
      </c>
      <c r="I1651" s="4">
        <f>H1651*E1651</f>
        <v>0</v>
      </c>
      <c r="J1651" s="25">
        <f t="shared" si="101"/>
        <v>53</v>
      </c>
    </row>
    <row r="1652" spans="1:10" ht="53.4" customHeight="1">
      <c r="A1652" s="75">
        <v>3</v>
      </c>
      <c r="B1652" s="80" t="s">
        <v>93</v>
      </c>
      <c r="C1652" s="77" t="s">
        <v>48</v>
      </c>
      <c r="D1652" s="78">
        <v>1</v>
      </c>
      <c r="E1652" s="79"/>
      <c r="F1652" s="79" t="e">
        <f t="shared" si="103"/>
        <v>#REF!</v>
      </c>
      <c r="G1652" s="2"/>
      <c r="H1652" s="37">
        <v>310497</v>
      </c>
      <c r="I1652" s="4">
        <f t="shared" ref="I1652:I1683" si="104">H1652*E1652</f>
        <v>0</v>
      </c>
      <c r="J1652" s="25">
        <f t="shared" si="101"/>
        <v>53</v>
      </c>
    </row>
    <row r="1653" spans="1:10" ht="16.95" customHeight="1">
      <c r="A1653" s="75">
        <v>4</v>
      </c>
      <c r="B1653" s="80" t="s">
        <v>94</v>
      </c>
      <c r="C1653" s="77" t="s">
        <v>48</v>
      </c>
      <c r="D1653" s="78">
        <v>1</v>
      </c>
      <c r="E1653" s="79"/>
      <c r="F1653" s="79" t="e">
        <f t="shared" si="103"/>
        <v>#REF!</v>
      </c>
      <c r="G1653" s="2"/>
      <c r="H1653" s="37">
        <v>8375</v>
      </c>
      <c r="I1653" s="4">
        <f t="shared" si="104"/>
        <v>0</v>
      </c>
      <c r="J1653" s="25">
        <f t="shared" si="101"/>
        <v>53</v>
      </c>
    </row>
    <row r="1654" spans="1:10" ht="16.95" customHeight="1">
      <c r="A1654" s="75">
        <v>5</v>
      </c>
      <c r="B1654" s="80" t="s">
        <v>95</v>
      </c>
      <c r="C1654" s="77" t="s">
        <v>48</v>
      </c>
      <c r="D1654" s="78">
        <v>1</v>
      </c>
      <c r="E1654" s="79"/>
      <c r="F1654" s="79" t="e">
        <f t="shared" si="103"/>
        <v>#REF!</v>
      </c>
      <c r="G1654" s="2"/>
      <c r="H1654" s="37">
        <v>51618</v>
      </c>
      <c r="I1654" s="4">
        <f t="shared" si="104"/>
        <v>0</v>
      </c>
      <c r="J1654" s="25">
        <f t="shared" si="101"/>
        <v>53</v>
      </c>
    </row>
    <row r="1655" spans="1:10" ht="16.95" customHeight="1">
      <c r="A1655" s="75">
        <v>6</v>
      </c>
      <c r="B1655" s="80" t="s">
        <v>96</v>
      </c>
      <c r="C1655" s="77" t="s">
        <v>50</v>
      </c>
      <c r="D1655" s="78">
        <v>11.55</v>
      </c>
      <c r="E1655" s="79"/>
      <c r="F1655" s="79" t="e">
        <f t="shared" si="103"/>
        <v>#REF!</v>
      </c>
      <c r="G1655" s="2"/>
      <c r="H1655" s="37">
        <v>1188</v>
      </c>
      <c r="I1655" s="4">
        <f t="shared" si="104"/>
        <v>0</v>
      </c>
      <c r="J1655" s="25">
        <f t="shared" si="101"/>
        <v>53</v>
      </c>
    </row>
    <row r="1656" spans="1:10" ht="34.950000000000003" customHeight="1">
      <c r="A1656" s="75">
        <v>7</v>
      </c>
      <c r="B1656" s="80" t="s">
        <v>97</v>
      </c>
      <c r="C1656" s="77" t="s">
        <v>48</v>
      </c>
      <c r="D1656" s="78">
        <v>1</v>
      </c>
      <c r="E1656" s="79"/>
      <c r="F1656" s="79" t="e">
        <f t="shared" si="103"/>
        <v>#REF!</v>
      </c>
      <c r="G1656" s="2"/>
      <c r="H1656" s="37">
        <v>21157</v>
      </c>
      <c r="I1656" s="4">
        <f t="shared" si="104"/>
        <v>0</v>
      </c>
      <c r="J1656" s="25">
        <f t="shared" si="101"/>
        <v>53</v>
      </c>
    </row>
    <row r="1657" spans="1:10" ht="16.95" customHeight="1">
      <c r="A1657" s="75">
        <v>8</v>
      </c>
      <c r="B1657" s="80" t="s">
        <v>98</v>
      </c>
      <c r="C1657" s="77" t="s">
        <v>50</v>
      </c>
      <c r="D1657" s="78">
        <v>387</v>
      </c>
      <c r="E1657" s="79"/>
      <c r="F1657" s="79" t="e">
        <f t="shared" si="103"/>
        <v>#REF!</v>
      </c>
      <c r="G1657" s="2"/>
      <c r="H1657" s="37">
        <v>705</v>
      </c>
      <c r="I1657" s="4">
        <f t="shared" si="104"/>
        <v>0</v>
      </c>
      <c r="J1657" s="25">
        <f t="shared" si="101"/>
        <v>53</v>
      </c>
    </row>
    <row r="1658" spans="1:10" ht="16.95" customHeight="1">
      <c r="A1658" s="75">
        <v>9</v>
      </c>
      <c r="B1658" s="80" t="s">
        <v>99</v>
      </c>
      <c r="C1658" s="77" t="s">
        <v>50</v>
      </c>
      <c r="D1658" s="78">
        <v>170</v>
      </c>
      <c r="E1658" s="79"/>
      <c r="F1658" s="79" t="e">
        <f t="shared" si="103"/>
        <v>#REF!</v>
      </c>
      <c r="G1658" s="2"/>
      <c r="H1658" s="37">
        <v>617</v>
      </c>
      <c r="I1658" s="4">
        <f t="shared" si="104"/>
        <v>0</v>
      </c>
      <c r="J1658" s="25">
        <f t="shared" si="101"/>
        <v>53</v>
      </c>
    </row>
    <row r="1659" spans="1:10" ht="16.95" customHeight="1">
      <c r="A1659" s="75">
        <v>10</v>
      </c>
      <c r="B1659" s="80" t="s">
        <v>100</v>
      </c>
      <c r="C1659" s="77" t="s">
        <v>66</v>
      </c>
      <c r="D1659" s="78">
        <v>15</v>
      </c>
      <c r="E1659" s="79"/>
      <c r="F1659" s="79" t="e">
        <f t="shared" si="103"/>
        <v>#REF!</v>
      </c>
      <c r="G1659" s="2"/>
      <c r="H1659" s="37">
        <v>617</v>
      </c>
      <c r="I1659" s="4">
        <f t="shared" si="104"/>
        <v>0</v>
      </c>
      <c r="J1659" s="25">
        <f t="shared" ref="J1659:J1722" si="105">J1596+2</f>
        <v>53</v>
      </c>
    </row>
    <row r="1660" spans="1:10" ht="16.95" customHeight="1">
      <c r="A1660" s="75">
        <v>11</v>
      </c>
      <c r="B1660" s="80" t="s">
        <v>101</v>
      </c>
      <c r="C1660" s="77" t="s">
        <v>50</v>
      </c>
      <c r="D1660" s="78">
        <v>75</v>
      </c>
      <c r="E1660" s="79"/>
      <c r="F1660" s="79" t="e">
        <f t="shared" si="103"/>
        <v>#REF!</v>
      </c>
      <c r="G1660" s="2"/>
      <c r="H1660" s="37">
        <v>1146</v>
      </c>
      <c r="I1660" s="4">
        <f t="shared" si="104"/>
        <v>0</v>
      </c>
      <c r="J1660" s="25">
        <f t="shared" si="105"/>
        <v>53</v>
      </c>
    </row>
    <row r="1661" spans="1:10" ht="16.95" customHeight="1">
      <c r="A1661" s="75">
        <v>12</v>
      </c>
      <c r="B1661" s="80" t="s">
        <v>102</v>
      </c>
      <c r="C1661" s="77" t="s">
        <v>50</v>
      </c>
      <c r="D1661" s="78">
        <v>5</v>
      </c>
      <c r="E1661" s="79"/>
      <c r="F1661" s="79" t="e">
        <f t="shared" si="103"/>
        <v>#REF!</v>
      </c>
      <c r="G1661" s="2"/>
      <c r="H1661" s="37">
        <v>1455</v>
      </c>
      <c r="I1661" s="4">
        <f t="shared" si="104"/>
        <v>0</v>
      </c>
      <c r="J1661" s="25">
        <f t="shared" si="105"/>
        <v>53</v>
      </c>
    </row>
    <row r="1662" spans="1:10" ht="16.95" customHeight="1">
      <c r="A1662" s="75">
        <v>13</v>
      </c>
      <c r="B1662" s="80" t="s">
        <v>103</v>
      </c>
      <c r="C1662" s="77" t="s">
        <v>50</v>
      </c>
      <c r="D1662" s="78">
        <v>217</v>
      </c>
      <c r="E1662" s="79"/>
      <c r="F1662" s="79" t="e">
        <f t="shared" si="103"/>
        <v>#REF!</v>
      </c>
      <c r="G1662" s="2"/>
      <c r="H1662" s="37">
        <v>1410</v>
      </c>
      <c r="I1662" s="4">
        <f t="shared" si="104"/>
        <v>0</v>
      </c>
      <c r="J1662" s="25">
        <f t="shared" si="105"/>
        <v>53</v>
      </c>
    </row>
    <row r="1663" spans="1:10" ht="16.95" customHeight="1">
      <c r="A1663" s="75">
        <v>14</v>
      </c>
      <c r="B1663" s="80" t="s">
        <v>104</v>
      </c>
      <c r="C1663" s="77" t="s">
        <v>49</v>
      </c>
      <c r="D1663" s="78">
        <v>84</v>
      </c>
      <c r="E1663" s="79"/>
      <c r="F1663" s="79" t="e">
        <f t="shared" si="103"/>
        <v>#REF!</v>
      </c>
      <c r="G1663" s="2"/>
      <c r="H1663" s="37">
        <v>529</v>
      </c>
      <c r="I1663" s="4">
        <f t="shared" si="104"/>
        <v>0</v>
      </c>
      <c r="J1663" s="25">
        <f t="shared" si="105"/>
        <v>53</v>
      </c>
    </row>
    <row r="1664" spans="1:10" ht="16.95" customHeight="1">
      <c r="A1664" s="75">
        <v>15</v>
      </c>
      <c r="B1664" s="80" t="s">
        <v>105</v>
      </c>
      <c r="C1664" s="77" t="s">
        <v>50</v>
      </c>
      <c r="D1664" s="78">
        <v>1</v>
      </c>
      <c r="E1664" s="79"/>
      <c r="F1664" s="79" t="e">
        <f t="shared" si="103"/>
        <v>#REF!</v>
      </c>
      <c r="G1664" s="2"/>
      <c r="H1664" s="37">
        <v>1146</v>
      </c>
      <c r="I1664" s="4">
        <f t="shared" si="104"/>
        <v>0</v>
      </c>
      <c r="J1664" s="25">
        <f t="shared" si="105"/>
        <v>53</v>
      </c>
    </row>
    <row r="1665" spans="1:10" ht="34.799999999999997" customHeight="1">
      <c r="A1665" s="75">
        <v>16</v>
      </c>
      <c r="B1665" s="80" t="s">
        <v>106</v>
      </c>
      <c r="C1665" s="77" t="s">
        <v>50</v>
      </c>
      <c r="D1665" s="78">
        <v>314</v>
      </c>
      <c r="E1665" s="79"/>
      <c r="F1665" s="79" t="e">
        <f t="shared" si="103"/>
        <v>#REF!</v>
      </c>
      <c r="G1665" s="2"/>
      <c r="H1665" s="37">
        <v>185</v>
      </c>
      <c r="I1665" s="4">
        <f t="shared" si="104"/>
        <v>0</v>
      </c>
      <c r="J1665" s="25">
        <f t="shared" si="105"/>
        <v>53</v>
      </c>
    </row>
    <row r="1666" spans="1:10" ht="16.95" customHeight="1">
      <c r="A1666" s="75">
        <v>17</v>
      </c>
      <c r="B1666" s="80" t="s">
        <v>107</v>
      </c>
      <c r="C1666" s="77" t="s">
        <v>48</v>
      </c>
      <c r="D1666" s="78">
        <v>1</v>
      </c>
      <c r="E1666" s="79"/>
      <c r="F1666" s="79" t="e">
        <f t="shared" si="103"/>
        <v>#REF!</v>
      </c>
      <c r="G1666" s="2"/>
      <c r="H1666" s="37">
        <v>89918</v>
      </c>
      <c r="I1666" s="4">
        <f t="shared" si="104"/>
        <v>0</v>
      </c>
      <c r="J1666" s="25">
        <f t="shared" si="105"/>
        <v>53</v>
      </c>
    </row>
    <row r="1667" spans="1:10" ht="16.95" customHeight="1">
      <c r="A1667" s="75">
        <v>18</v>
      </c>
      <c r="B1667" s="80" t="s">
        <v>108</v>
      </c>
      <c r="C1667" s="77" t="s">
        <v>120</v>
      </c>
      <c r="D1667" s="78">
        <v>15</v>
      </c>
      <c r="E1667" s="79"/>
      <c r="F1667" s="79" t="e">
        <f t="shared" si="103"/>
        <v>#REF!</v>
      </c>
      <c r="G1667" s="2"/>
      <c r="H1667" s="37">
        <v>661</v>
      </c>
      <c r="I1667" s="4">
        <f t="shared" si="104"/>
        <v>0</v>
      </c>
      <c r="J1667" s="25">
        <f t="shared" si="105"/>
        <v>53</v>
      </c>
    </row>
    <row r="1668" spans="1:10" ht="16.95" customHeight="1">
      <c r="A1668" s="75">
        <v>19</v>
      </c>
      <c r="B1668" s="80" t="s">
        <v>109</v>
      </c>
      <c r="C1668" s="77" t="s">
        <v>50</v>
      </c>
      <c r="D1668" s="78">
        <v>82</v>
      </c>
      <c r="E1668" s="79"/>
      <c r="F1668" s="79" t="e">
        <f t="shared" si="103"/>
        <v>#REF!</v>
      </c>
      <c r="G1668" s="2"/>
      <c r="H1668" s="37">
        <v>2909</v>
      </c>
      <c r="I1668" s="4">
        <f t="shared" si="104"/>
        <v>0</v>
      </c>
      <c r="J1668" s="25">
        <f t="shared" si="105"/>
        <v>53</v>
      </c>
    </row>
    <row r="1669" spans="1:10" ht="16.95" customHeight="1">
      <c r="A1669" s="75">
        <v>20</v>
      </c>
      <c r="B1669" s="80" t="s">
        <v>110</v>
      </c>
      <c r="C1669" s="77" t="s">
        <v>121</v>
      </c>
      <c r="D1669" s="78">
        <v>12</v>
      </c>
      <c r="E1669" s="79"/>
      <c r="F1669" s="79" t="e">
        <f t="shared" si="103"/>
        <v>#REF!</v>
      </c>
      <c r="G1669" s="2"/>
      <c r="H1669" s="37">
        <v>882</v>
      </c>
      <c r="I1669" s="4">
        <f t="shared" si="104"/>
        <v>0</v>
      </c>
      <c r="J1669" s="25">
        <f t="shared" si="105"/>
        <v>53</v>
      </c>
    </row>
    <row r="1670" spans="1:10" ht="16.95" customHeight="1">
      <c r="A1670" s="77">
        <v>21</v>
      </c>
      <c r="B1670" s="80" t="s">
        <v>111</v>
      </c>
      <c r="C1670" s="77" t="s">
        <v>122</v>
      </c>
      <c r="D1670" s="78">
        <v>3</v>
      </c>
      <c r="E1670" s="79"/>
      <c r="F1670" s="79" t="e">
        <f t="shared" si="103"/>
        <v>#REF!</v>
      </c>
      <c r="G1670" s="2"/>
      <c r="H1670" s="38">
        <v>1869</v>
      </c>
      <c r="I1670" s="4">
        <f t="shared" si="104"/>
        <v>0</v>
      </c>
      <c r="J1670" s="25">
        <f t="shared" si="105"/>
        <v>53</v>
      </c>
    </row>
    <row r="1671" spans="1:10" ht="34.950000000000003" customHeight="1">
      <c r="A1671" s="75">
        <v>22</v>
      </c>
      <c r="B1671" s="80" t="s">
        <v>112</v>
      </c>
      <c r="C1671" s="77" t="s">
        <v>48</v>
      </c>
      <c r="D1671" s="78">
        <v>1</v>
      </c>
      <c r="E1671" s="79"/>
      <c r="F1671" s="79" t="e">
        <f t="shared" si="103"/>
        <v>#REF!</v>
      </c>
      <c r="G1671" s="2"/>
      <c r="H1671" s="37">
        <v>82206</v>
      </c>
      <c r="I1671" s="4">
        <f t="shared" si="104"/>
        <v>0</v>
      </c>
      <c r="J1671" s="25">
        <f t="shared" si="105"/>
        <v>53</v>
      </c>
    </row>
    <row r="1672" spans="1:10" ht="16.95" customHeight="1">
      <c r="A1672" s="75">
        <v>23</v>
      </c>
      <c r="B1672" s="80" t="s">
        <v>113</v>
      </c>
      <c r="C1672" s="77" t="s">
        <v>48</v>
      </c>
      <c r="D1672" s="78">
        <v>1</v>
      </c>
      <c r="E1672" s="79"/>
      <c r="F1672" s="79" t="e">
        <f t="shared" si="103"/>
        <v>#REF!</v>
      </c>
      <c r="G1672" s="2"/>
      <c r="H1672" s="37">
        <v>142723</v>
      </c>
      <c r="I1672" s="4">
        <f t="shared" si="104"/>
        <v>0</v>
      </c>
      <c r="J1672" s="25">
        <f t="shared" si="105"/>
        <v>53</v>
      </c>
    </row>
    <row r="1673" spans="1:10" ht="16.95" customHeight="1">
      <c r="A1673" s="75">
        <v>24</v>
      </c>
      <c r="B1673" s="80" t="s">
        <v>114</v>
      </c>
      <c r="C1673" s="77" t="s">
        <v>48</v>
      </c>
      <c r="D1673" s="78">
        <v>1</v>
      </c>
      <c r="E1673" s="79"/>
      <c r="F1673" s="79" t="e">
        <f t="shared" si="103"/>
        <v>#REF!</v>
      </c>
      <c r="G1673" s="2"/>
      <c r="H1673" s="37">
        <v>37290</v>
      </c>
      <c r="I1673" s="4">
        <f t="shared" si="104"/>
        <v>0</v>
      </c>
      <c r="J1673" s="25">
        <f t="shared" si="105"/>
        <v>53</v>
      </c>
    </row>
    <row r="1674" spans="1:10" ht="16.95" customHeight="1">
      <c r="A1674" s="75">
        <v>25</v>
      </c>
      <c r="B1674" s="80" t="s">
        <v>115</v>
      </c>
      <c r="C1674" s="77" t="s">
        <v>48</v>
      </c>
      <c r="D1674" s="78">
        <v>1</v>
      </c>
      <c r="E1674" s="79"/>
      <c r="F1674" s="79" t="e">
        <f t="shared" si="103"/>
        <v>#REF!</v>
      </c>
      <c r="G1674" s="2"/>
      <c r="H1674" s="37">
        <v>99394</v>
      </c>
      <c r="I1674" s="4">
        <f t="shared" si="104"/>
        <v>0</v>
      </c>
      <c r="J1674" s="25">
        <f t="shared" si="105"/>
        <v>53</v>
      </c>
    </row>
    <row r="1675" spans="1:10" ht="34.950000000000003" customHeight="1">
      <c r="A1675" s="75">
        <v>26</v>
      </c>
      <c r="B1675" s="80" t="s">
        <v>116</v>
      </c>
      <c r="C1675" s="77" t="s">
        <v>48</v>
      </c>
      <c r="D1675" s="78">
        <v>1</v>
      </c>
      <c r="E1675" s="79"/>
      <c r="F1675" s="79" t="e">
        <f t="shared" si="103"/>
        <v>#REF!</v>
      </c>
      <c r="G1675" s="2"/>
      <c r="H1675" s="37">
        <v>21334</v>
      </c>
      <c r="I1675" s="4">
        <f t="shared" si="104"/>
        <v>0</v>
      </c>
      <c r="J1675" s="25">
        <f t="shared" si="105"/>
        <v>53</v>
      </c>
    </row>
    <row r="1676" spans="1:10" ht="16.95" customHeight="1">
      <c r="A1676" s="75">
        <v>27</v>
      </c>
      <c r="B1676" s="80" t="s">
        <v>117</v>
      </c>
      <c r="C1676" s="77" t="s">
        <v>48</v>
      </c>
      <c r="D1676" s="78">
        <v>1</v>
      </c>
      <c r="E1676" s="79"/>
      <c r="F1676" s="79" t="e">
        <f t="shared" si="103"/>
        <v>#REF!</v>
      </c>
      <c r="G1676" s="2"/>
      <c r="H1676" s="37">
        <v>29620</v>
      </c>
      <c r="I1676" s="4">
        <f t="shared" si="104"/>
        <v>0</v>
      </c>
      <c r="J1676" s="25">
        <f t="shared" si="105"/>
        <v>53</v>
      </c>
    </row>
    <row r="1677" spans="1:10" ht="16.95" customHeight="1">
      <c r="A1677" s="75">
        <v>28</v>
      </c>
      <c r="B1677" s="80" t="s">
        <v>118</v>
      </c>
      <c r="C1677" s="77" t="s">
        <v>48</v>
      </c>
      <c r="D1677" s="78">
        <v>1</v>
      </c>
      <c r="E1677" s="79"/>
      <c r="F1677" s="79" t="e">
        <f t="shared" si="103"/>
        <v>#REF!</v>
      </c>
      <c r="G1677" s="2"/>
      <c r="H1677" s="37">
        <v>18506</v>
      </c>
      <c r="I1677" s="4">
        <f t="shared" si="104"/>
        <v>0</v>
      </c>
      <c r="J1677" s="25">
        <f t="shared" si="105"/>
        <v>53</v>
      </c>
    </row>
    <row r="1678" spans="1:10" ht="16.95" customHeight="1">
      <c r="A1678" s="75">
        <v>29</v>
      </c>
      <c r="B1678" s="80" t="s">
        <v>119</v>
      </c>
      <c r="C1678" s="77" t="s">
        <v>48</v>
      </c>
      <c r="D1678" s="78">
        <v>1</v>
      </c>
      <c r="E1678" s="79"/>
      <c r="F1678" s="79" t="e">
        <f t="shared" si="103"/>
        <v>#REF!</v>
      </c>
      <c r="G1678" s="2"/>
      <c r="H1678" s="37">
        <v>34381</v>
      </c>
      <c r="I1678" s="4">
        <f t="shared" si="104"/>
        <v>0</v>
      </c>
      <c r="J1678" s="25">
        <f t="shared" si="105"/>
        <v>53</v>
      </c>
    </row>
    <row r="1679" spans="1:10" ht="16.95" customHeight="1">
      <c r="A1679" s="75" t="s">
        <v>79</v>
      </c>
      <c r="B1679" s="80" t="s">
        <v>80</v>
      </c>
      <c r="C1679" s="77" t="s">
        <v>48</v>
      </c>
      <c r="D1679" s="78">
        <v>1</v>
      </c>
      <c r="E1679" s="79">
        <f t="shared" ref="E1679:E1682" si="106">1/120</f>
        <v>8.3333333333333332E-3</v>
      </c>
      <c r="F1679" s="79" t="e">
        <f t="shared" si="103"/>
        <v>#REF!</v>
      </c>
      <c r="G1679" s="2"/>
      <c r="H1679" s="37">
        <v>21395</v>
      </c>
      <c r="I1679" s="4">
        <f t="shared" si="104"/>
        <v>178.29166666666666</v>
      </c>
      <c r="J1679" s="25">
        <f t="shared" si="105"/>
        <v>53</v>
      </c>
    </row>
    <row r="1680" spans="1:10" ht="16.95" customHeight="1">
      <c r="A1680" s="75" t="s">
        <v>81</v>
      </c>
      <c r="B1680" s="80" t="s">
        <v>82</v>
      </c>
      <c r="C1680" s="77" t="s">
        <v>48</v>
      </c>
      <c r="D1680" s="78">
        <v>1</v>
      </c>
      <c r="E1680" s="79">
        <f t="shared" si="106"/>
        <v>8.3333333333333332E-3</v>
      </c>
      <c r="F1680" s="79" t="e">
        <f t="shared" si="103"/>
        <v>#REF!</v>
      </c>
      <c r="G1680" s="2"/>
      <c r="H1680" s="37">
        <v>21395</v>
      </c>
      <c r="I1680" s="4">
        <f t="shared" si="104"/>
        <v>178.29166666666666</v>
      </c>
      <c r="J1680" s="25">
        <f t="shared" si="105"/>
        <v>53</v>
      </c>
    </row>
    <row r="1681" spans="1:10" ht="16.95" customHeight="1">
      <c r="A1681" s="75" t="s">
        <v>83</v>
      </c>
      <c r="B1681" s="80" t="s">
        <v>84</v>
      </c>
      <c r="C1681" s="77" t="s">
        <v>48</v>
      </c>
      <c r="D1681" s="78">
        <v>1</v>
      </c>
      <c r="E1681" s="79">
        <f t="shared" si="106"/>
        <v>8.3333333333333332E-3</v>
      </c>
      <c r="F1681" s="79" t="e">
        <f t="shared" si="103"/>
        <v>#REF!</v>
      </c>
      <c r="G1681" s="2"/>
      <c r="H1681" s="37">
        <v>149765</v>
      </c>
      <c r="I1681" s="4">
        <f t="shared" si="104"/>
        <v>1248.0416666666667</v>
      </c>
      <c r="J1681" s="25">
        <f t="shared" si="105"/>
        <v>53</v>
      </c>
    </row>
    <row r="1682" spans="1:10" ht="16.95" customHeight="1">
      <c r="A1682" s="75" t="s">
        <v>85</v>
      </c>
      <c r="B1682" s="80" t="s">
        <v>86</v>
      </c>
      <c r="C1682" s="77" t="s">
        <v>48</v>
      </c>
      <c r="D1682" s="78">
        <v>1</v>
      </c>
      <c r="E1682" s="79">
        <f t="shared" si="106"/>
        <v>8.3333333333333332E-3</v>
      </c>
      <c r="F1682" s="79" t="e">
        <f t="shared" si="103"/>
        <v>#REF!</v>
      </c>
      <c r="G1682" s="2"/>
      <c r="H1682" s="37">
        <v>6996</v>
      </c>
      <c r="I1682" s="4">
        <f t="shared" si="104"/>
        <v>58.3</v>
      </c>
      <c r="J1682" s="25">
        <f t="shared" si="105"/>
        <v>53</v>
      </c>
    </row>
    <row r="1683" spans="1:10" ht="16.95" customHeight="1">
      <c r="A1683" s="75" t="s">
        <v>87</v>
      </c>
      <c r="B1683" s="80" t="s">
        <v>88</v>
      </c>
      <c r="C1683" s="77" t="s">
        <v>48</v>
      </c>
      <c r="D1683" s="78">
        <v>1</v>
      </c>
      <c r="E1683" s="79">
        <f>1/120</f>
        <v>8.3333333333333332E-3</v>
      </c>
      <c r="F1683" s="79" t="e">
        <f t="shared" si="103"/>
        <v>#REF!</v>
      </c>
      <c r="G1683" s="2"/>
      <c r="H1683" s="37">
        <v>116952</v>
      </c>
      <c r="I1683" s="4">
        <f t="shared" si="104"/>
        <v>974.6</v>
      </c>
      <c r="J1683" s="25">
        <f t="shared" si="105"/>
        <v>53</v>
      </c>
    </row>
    <row r="1684" spans="1:10" ht="16.95" customHeight="1">
      <c r="A1684" s="95" t="s">
        <v>23</v>
      </c>
      <c r="B1684" s="95"/>
      <c r="C1684" s="50"/>
      <c r="D1684" s="50"/>
      <c r="E1684" s="50"/>
      <c r="F1684" s="50"/>
      <c r="G1684" s="50"/>
      <c r="H1684" s="3" t="s">
        <v>24</v>
      </c>
      <c r="I1684" s="5">
        <f>SUM(I1649:I1683)</f>
        <v>2637.5250000000001</v>
      </c>
      <c r="J1684" s="25">
        <f t="shared" si="105"/>
        <v>53</v>
      </c>
    </row>
    <row r="1685" spans="1:10" ht="16.95" customHeight="1">
      <c r="A1685" s="96" t="s">
        <v>25</v>
      </c>
      <c r="B1685" s="96"/>
      <c r="C1685" s="50"/>
      <c r="D1685" s="50"/>
      <c r="E1685" s="50"/>
      <c r="F1685" s="50"/>
      <c r="G1685" s="50"/>
      <c r="J1685" s="25">
        <f t="shared" si="105"/>
        <v>53</v>
      </c>
    </row>
    <row r="1686" spans="1:10" ht="16.95" customHeight="1">
      <c r="A1686" s="96" t="s">
        <v>26</v>
      </c>
      <c r="B1686" s="96"/>
      <c r="C1686" s="50"/>
      <c r="D1686" s="50"/>
      <c r="E1686" s="50"/>
      <c r="F1686" s="50"/>
      <c r="G1686" s="50"/>
      <c r="J1686" s="25">
        <f t="shared" si="105"/>
        <v>53</v>
      </c>
    </row>
    <row r="1687" spans="1:10" ht="16.95" customHeight="1">
      <c r="A1687" s="95" t="s">
        <v>27</v>
      </c>
      <c r="B1687" s="95"/>
      <c r="C1687" s="95"/>
      <c r="D1687" s="95"/>
      <c r="E1687" s="95"/>
      <c r="F1687" s="95"/>
      <c r="G1687" s="95"/>
      <c r="J1687" s="25">
        <f t="shared" si="105"/>
        <v>53</v>
      </c>
    </row>
    <row r="1688" spans="1:10" ht="16.95" customHeight="1">
      <c r="A1688" s="94" t="s">
        <v>28</v>
      </c>
      <c r="B1688" s="94"/>
      <c r="C1688" s="51" t="s">
        <v>29</v>
      </c>
      <c r="D1688" s="51" t="s">
        <v>30</v>
      </c>
      <c r="E1688" s="51" t="s">
        <v>18</v>
      </c>
      <c r="F1688" s="51" t="s">
        <v>31</v>
      </c>
      <c r="G1688" s="51" t="s">
        <v>20</v>
      </c>
      <c r="J1688" s="25">
        <f t="shared" si="105"/>
        <v>53</v>
      </c>
    </row>
    <row r="1689" spans="1:10" ht="16.95" customHeight="1">
      <c r="A1689" s="96"/>
      <c r="B1689" s="96"/>
      <c r="C1689" s="50"/>
      <c r="D1689" s="50"/>
      <c r="E1689" s="50"/>
      <c r="F1689" s="50"/>
      <c r="G1689" s="51"/>
      <c r="J1689" s="25">
        <f t="shared" si="105"/>
        <v>53</v>
      </c>
    </row>
    <row r="1690" spans="1:10" ht="16.95" customHeight="1">
      <c r="A1690" s="97"/>
      <c r="B1690" s="97"/>
      <c r="C1690" s="50"/>
      <c r="D1690" s="50"/>
      <c r="E1690" s="50"/>
      <c r="F1690" s="51"/>
      <c r="G1690" s="51"/>
      <c r="J1690" s="25">
        <f t="shared" si="105"/>
        <v>53</v>
      </c>
    </row>
    <row r="1691" spans="1:10" ht="16.95" customHeight="1">
      <c r="A1691" s="95" t="s">
        <v>32</v>
      </c>
      <c r="B1691" s="95"/>
      <c r="C1691" s="95"/>
      <c r="D1691" s="95"/>
      <c r="E1691" s="95"/>
      <c r="F1691" s="95"/>
      <c r="G1691" s="95"/>
      <c r="J1691" s="25">
        <f t="shared" si="105"/>
        <v>54</v>
      </c>
    </row>
    <row r="1692" spans="1:10" ht="16.95" customHeight="1">
      <c r="A1692" s="51" t="s">
        <v>33</v>
      </c>
      <c r="B1692" s="51" t="s">
        <v>34</v>
      </c>
      <c r="C1692" s="94" t="s">
        <v>35</v>
      </c>
      <c r="D1692" s="94"/>
      <c r="E1692" s="51" t="s">
        <v>36</v>
      </c>
      <c r="F1692" s="51" t="s">
        <v>37</v>
      </c>
      <c r="G1692" s="51" t="s">
        <v>38</v>
      </c>
      <c r="J1692" s="25">
        <f t="shared" si="105"/>
        <v>54</v>
      </c>
    </row>
    <row r="1693" spans="1:10" ht="16.95" customHeight="1">
      <c r="A1693" s="51" t="s">
        <v>39</v>
      </c>
      <c r="B1693" s="6"/>
      <c r="C1693" s="94" t="e">
        <f>B1693+C1630</f>
        <v>#REF!</v>
      </c>
      <c r="D1693" s="94"/>
      <c r="E1693" s="51"/>
      <c r="F1693" s="24"/>
      <c r="G1693" s="24"/>
      <c r="J1693" s="25">
        <f t="shared" si="105"/>
        <v>54</v>
      </c>
    </row>
    <row r="1694" spans="1:10" ht="16.95" customHeight="1">
      <c r="A1694" s="51" t="s">
        <v>40</v>
      </c>
      <c r="B1694" s="6"/>
      <c r="C1694" s="94" t="e">
        <f>B1694+C1631</f>
        <v>#REF!</v>
      </c>
      <c r="D1694" s="94"/>
      <c r="E1694" s="51"/>
      <c r="F1694" s="24"/>
      <c r="G1694" s="24"/>
      <c r="J1694" s="25">
        <f t="shared" si="105"/>
        <v>54</v>
      </c>
    </row>
    <row r="1695" spans="1:10" ht="36.6" customHeight="1">
      <c r="A1695" s="95" t="s">
        <v>41</v>
      </c>
      <c r="B1695" s="95"/>
      <c r="C1695" s="95"/>
      <c r="D1695" s="95"/>
      <c r="E1695" s="95"/>
      <c r="F1695" s="95"/>
      <c r="G1695" s="95"/>
      <c r="J1695" s="25">
        <f t="shared" si="105"/>
        <v>54</v>
      </c>
    </row>
    <row r="1696" spans="1:10" ht="90" customHeight="1">
      <c r="A1696" s="92" t="s">
        <v>42</v>
      </c>
      <c r="B1696" s="92"/>
      <c r="C1696" s="92"/>
      <c r="D1696" s="92"/>
      <c r="E1696" s="92"/>
      <c r="F1696" s="92"/>
      <c r="G1696" s="92"/>
      <c r="J1696" s="25">
        <f t="shared" si="105"/>
        <v>54</v>
      </c>
    </row>
    <row r="1697" spans="1:10" ht="16.95" customHeight="1">
      <c r="A1697" s="95" t="s">
        <v>43</v>
      </c>
      <c r="B1697" s="95"/>
      <c r="C1697" s="95"/>
      <c r="D1697" s="95"/>
      <c r="E1697" s="95"/>
      <c r="F1697" s="95"/>
      <c r="G1697" s="95"/>
      <c r="J1697" s="25">
        <f t="shared" si="105"/>
        <v>54</v>
      </c>
    </row>
    <row r="1698" spans="1:10" ht="16.95" customHeight="1">
      <c r="A1698" s="95" t="s">
        <v>44</v>
      </c>
      <c r="B1698" s="95"/>
      <c r="C1698" s="95"/>
      <c r="D1698" s="95"/>
      <c r="E1698" s="95"/>
      <c r="F1698" s="95"/>
      <c r="G1698" s="95"/>
      <c r="J1698" s="25">
        <f t="shared" si="105"/>
        <v>54</v>
      </c>
    </row>
    <row r="1699" spans="1:10" ht="16.95" customHeight="1">
      <c r="A1699" s="91" t="s">
        <v>64</v>
      </c>
      <c r="B1699" s="91"/>
      <c r="C1699" s="91"/>
      <c r="D1699" s="91"/>
      <c r="E1699" s="91"/>
      <c r="F1699" s="91"/>
      <c r="G1699" s="91"/>
      <c r="J1699" s="25">
        <f t="shared" si="105"/>
        <v>54</v>
      </c>
    </row>
    <row r="1700" spans="1:10" ht="120.6" customHeight="1">
      <c r="A1700" s="92" t="s">
        <v>45</v>
      </c>
      <c r="B1700" s="92"/>
      <c r="C1700" s="92"/>
      <c r="D1700" s="92"/>
      <c r="E1700" s="92"/>
      <c r="F1700" s="92"/>
      <c r="G1700" s="92"/>
      <c r="J1700" s="25">
        <f t="shared" si="105"/>
        <v>54</v>
      </c>
    </row>
    <row r="1701" spans="1:10" ht="140.4" customHeight="1">
      <c r="A1701" s="93" t="s">
        <v>46</v>
      </c>
      <c r="B1701" s="93"/>
      <c r="C1701" s="93"/>
      <c r="D1701" s="93"/>
      <c r="E1701" s="93"/>
      <c r="F1701" s="93"/>
      <c r="G1701" s="93"/>
      <c r="J1701" s="25">
        <f t="shared" si="105"/>
        <v>54</v>
      </c>
    </row>
    <row r="1702" spans="1:10" ht="37.200000000000003" customHeight="1">
      <c r="A1702" s="103" t="s">
        <v>0</v>
      </c>
      <c r="B1702" s="103"/>
      <c r="C1702" s="103"/>
      <c r="D1702" s="103"/>
      <c r="E1702" s="103"/>
      <c r="F1702" s="103"/>
      <c r="G1702" s="103"/>
      <c r="J1702" s="25">
        <f t="shared" si="105"/>
        <v>55</v>
      </c>
    </row>
    <row r="1703" spans="1:10" ht="16.95" customHeight="1">
      <c r="A1703" s="1" t="s">
        <v>1</v>
      </c>
      <c r="B1703" s="104">
        <f>B1640+1</f>
        <v>29</v>
      </c>
      <c r="C1703" s="104"/>
      <c r="D1703" s="104"/>
      <c r="E1703" s="104"/>
      <c r="F1703" s="104"/>
      <c r="G1703" s="104"/>
      <c r="J1703" s="25">
        <f t="shared" si="105"/>
        <v>55</v>
      </c>
    </row>
    <row r="1704" spans="1:10" ht="16.95" customHeight="1">
      <c r="A1704" s="1" t="s">
        <v>2</v>
      </c>
      <c r="B1704" s="105" t="s">
        <v>63</v>
      </c>
      <c r="C1704" s="105"/>
      <c r="D1704" s="105"/>
      <c r="E1704" s="106">
        <f>E1641+1</f>
        <v>46231</v>
      </c>
      <c r="F1704" s="106"/>
      <c r="G1704" s="106"/>
      <c r="J1704" s="25">
        <f t="shared" si="105"/>
        <v>55</v>
      </c>
    </row>
    <row r="1705" spans="1:10" ht="16.95" customHeight="1">
      <c r="A1705" s="53" t="s">
        <v>3</v>
      </c>
      <c r="B1705" s="2" t="s">
        <v>67</v>
      </c>
      <c r="C1705" s="98" t="s">
        <v>4</v>
      </c>
      <c r="D1705" s="98"/>
      <c r="E1705" s="98" t="s">
        <v>47</v>
      </c>
      <c r="F1705" s="98"/>
      <c r="G1705" s="98"/>
      <c r="J1705" s="25">
        <f t="shared" si="105"/>
        <v>55</v>
      </c>
    </row>
    <row r="1706" spans="1:10" ht="16.95" customHeight="1">
      <c r="A1706" s="53" t="s">
        <v>5</v>
      </c>
      <c r="B1706" s="54">
        <v>120</v>
      </c>
      <c r="C1706" s="98" t="s">
        <v>6</v>
      </c>
      <c r="D1706" s="98"/>
      <c r="E1706" s="98" t="s">
        <v>123</v>
      </c>
      <c r="F1706" s="98"/>
      <c r="G1706" s="98"/>
      <c r="J1706" s="25">
        <f t="shared" si="105"/>
        <v>55</v>
      </c>
    </row>
    <row r="1707" spans="1:10" ht="16.95" customHeight="1">
      <c r="A1707" s="53" t="s">
        <v>7</v>
      </c>
      <c r="B1707" s="54">
        <f>B1703</f>
        <v>29</v>
      </c>
      <c r="C1707" s="100" t="s">
        <v>8</v>
      </c>
      <c r="D1707" s="100"/>
      <c r="E1707" s="101">
        <f>B1706-B1707</f>
        <v>91</v>
      </c>
      <c r="F1707" s="101"/>
      <c r="G1707" s="101"/>
      <c r="J1707" s="25">
        <f t="shared" si="105"/>
        <v>55</v>
      </c>
    </row>
    <row r="1708" spans="1:10" ht="16.95" customHeight="1">
      <c r="A1708" s="53" t="s">
        <v>9</v>
      </c>
      <c r="B1708" s="55">
        <v>46204</v>
      </c>
      <c r="C1708" s="98" t="s">
        <v>10</v>
      </c>
      <c r="D1708" s="98"/>
      <c r="E1708" s="102">
        <f>B1708+B1706-1</f>
        <v>46323</v>
      </c>
      <c r="F1708" s="102"/>
      <c r="G1708" s="102"/>
      <c r="J1708" s="25">
        <f t="shared" si="105"/>
        <v>55</v>
      </c>
    </row>
    <row r="1709" spans="1:10" ht="16.95" customHeight="1">
      <c r="A1709" s="53" t="s">
        <v>11</v>
      </c>
      <c r="B1709" s="56" t="e">
        <f>HLOOKUP(B1703,進度表!$Q$2:$Z$3,2,1)+B1646</f>
        <v>#REF!</v>
      </c>
      <c r="C1709" s="98" t="s">
        <v>12</v>
      </c>
      <c r="D1709" s="98"/>
      <c r="E1709" s="99" t="e">
        <f>I1747/I1709+E1646</f>
        <v>#REF!</v>
      </c>
      <c r="F1709" s="99"/>
      <c r="G1709" s="99"/>
      <c r="H1709" s="3" t="s">
        <v>62</v>
      </c>
      <c r="I1709" s="1">
        <v>2456000</v>
      </c>
      <c r="J1709" s="25">
        <f t="shared" si="105"/>
        <v>55</v>
      </c>
    </row>
    <row r="1710" spans="1:10" ht="16.95" customHeight="1">
      <c r="A1710" s="98" t="s">
        <v>13</v>
      </c>
      <c r="B1710" s="98"/>
      <c r="C1710" s="98"/>
      <c r="D1710" s="98"/>
      <c r="E1710" s="98"/>
      <c r="F1710" s="98"/>
      <c r="G1710" s="98"/>
      <c r="J1710" s="25">
        <f t="shared" si="105"/>
        <v>55</v>
      </c>
    </row>
    <row r="1711" spans="1:10" ht="16.95" customHeight="1">
      <c r="A1711" s="52" t="s">
        <v>14</v>
      </c>
      <c r="B1711" s="52" t="s">
        <v>15</v>
      </c>
      <c r="C1711" s="52" t="s">
        <v>16</v>
      </c>
      <c r="D1711" s="52" t="s">
        <v>17</v>
      </c>
      <c r="E1711" s="52" t="s">
        <v>18</v>
      </c>
      <c r="F1711" s="52" t="s">
        <v>19</v>
      </c>
      <c r="G1711" s="52" t="s">
        <v>20</v>
      </c>
      <c r="H1711" s="3" t="s">
        <v>21</v>
      </c>
      <c r="I1711" s="3" t="s">
        <v>22</v>
      </c>
      <c r="J1711" s="25">
        <f t="shared" si="105"/>
        <v>55</v>
      </c>
    </row>
    <row r="1712" spans="1:10" ht="16.95" customHeight="1">
      <c r="A1712" s="75" t="s">
        <v>65</v>
      </c>
      <c r="B1712" s="76" t="s">
        <v>69</v>
      </c>
      <c r="C1712" s="77"/>
      <c r="D1712" s="78"/>
      <c r="E1712" s="79"/>
      <c r="F1712" s="79"/>
      <c r="G1712" s="2"/>
      <c r="H1712" s="37"/>
      <c r="I1712" s="4"/>
      <c r="J1712" s="25">
        <f t="shared" si="105"/>
        <v>55</v>
      </c>
    </row>
    <row r="1713" spans="1:10" ht="34.950000000000003" customHeight="1">
      <c r="A1713" s="75">
        <v>1</v>
      </c>
      <c r="B1713" s="80" t="s">
        <v>91</v>
      </c>
      <c r="C1713" s="77" t="s">
        <v>48</v>
      </c>
      <c r="D1713" s="78">
        <v>1</v>
      </c>
      <c r="E1713" s="79"/>
      <c r="F1713" s="79" t="e">
        <f t="shared" ref="F1713:F1746" si="107">E1713+F1650</f>
        <v>#REF!</v>
      </c>
      <c r="G1713" s="2"/>
      <c r="H1713" s="37">
        <v>10508</v>
      </c>
      <c r="I1713" s="4">
        <f>H1713*E1713</f>
        <v>0</v>
      </c>
      <c r="J1713" s="25">
        <f t="shared" si="105"/>
        <v>55</v>
      </c>
    </row>
    <row r="1714" spans="1:10" ht="34.799999999999997" customHeight="1">
      <c r="A1714" s="75">
        <v>2</v>
      </c>
      <c r="B1714" s="80" t="s">
        <v>92</v>
      </c>
      <c r="C1714" s="77" t="s">
        <v>48</v>
      </c>
      <c r="D1714" s="78">
        <v>1</v>
      </c>
      <c r="E1714" s="79"/>
      <c r="F1714" s="79" t="e">
        <f t="shared" si="107"/>
        <v>#REF!</v>
      </c>
      <c r="G1714" s="2"/>
      <c r="H1714" s="37">
        <v>13223</v>
      </c>
      <c r="I1714" s="4">
        <f>H1714*E1714</f>
        <v>0</v>
      </c>
      <c r="J1714" s="25">
        <f t="shared" si="105"/>
        <v>55</v>
      </c>
    </row>
    <row r="1715" spans="1:10" ht="53.4" customHeight="1">
      <c r="A1715" s="75">
        <v>3</v>
      </c>
      <c r="B1715" s="80" t="s">
        <v>93</v>
      </c>
      <c r="C1715" s="77" t="s">
        <v>48</v>
      </c>
      <c r="D1715" s="78">
        <v>1</v>
      </c>
      <c r="E1715" s="79"/>
      <c r="F1715" s="79" t="e">
        <f t="shared" si="107"/>
        <v>#REF!</v>
      </c>
      <c r="G1715" s="2"/>
      <c r="H1715" s="37">
        <v>310497</v>
      </c>
      <c r="I1715" s="4">
        <f t="shared" ref="I1715:I1746" si="108">H1715*E1715</f>
        <v>0</v>
      </c>
      <c r="J1715" s="25">
        <f t="shared" si="105"/>
        <v>55</v>
      </c>
    </row>
    <row r="1716" spans="1:10" ht="16.95" customHeight="1">
      <c r="A1716" s="75">
        <v>4</v>
      </c>
      <c r="B1716" s="80" t="s">
        <v>94</v>
      </c>
      <c r="C1716" s="77" t="s">
        <v>48</v>
      </c>
      <c r="D1716" s="78">
        <v>1</v>
      </c>
      <c r="E1716" s="79"/>
      <c r="F1716" s="79" t="e">
        <f t="shared" si="107"/>
        <v>#REF!</v>
      </c>
      <c r="G1716" s="2"/>
      <c r="H1716" s="37">
        <v>8375</v>
      </c>
      <c r="I1716" s="4">
        <f t="shared" si="108"/>
        <v>0</v>
      </c>
      <c r="J1716" s="25">
        <f t="shared" si="105"/>
        <v>55</v>
      </c>
    </row>
    <row r="1717" spans="1:10" ht="16.95" customHeight="1">
      <c r="A1717" s="75">
        <v>5</v>
      </c>
      <c r="B1717" s="80" t="s">
        <v>95</v>
      </c>
      <c r="C1717" s="77" t="s">
        <v>48</v>
      </c>
      <c r="D1717" s="78">
        <v>1</v>
      </c>
      <c r="E1717" s="79"/>
      <c r="F1717" s="79" t="e">
        <f t="shared" si="107"/>
        <v>#REF!</v>
      </c>
      <c r="G1717" s="2"/>
      <c r="H1717" s="37">
        <v>51618</v>
      </c>
      <c r="I1717" s="4">
        <f t="shared" si="108"/>
        <v>0</v>
      </c>
      <c r="J1717" s="25">
        <f t="shared" si="105"/>
        <v>55</v>
      </c>
    </row>
    <row r="1718" spans="1:10" ht="16.95" customHeight="1">
      <c r="A1718" s="75">
        <v>6</v>
      </c>
      <c r="B1718" s="80" t="s">
        <v>96</v>
      </c>
      <c r="C1718" s="77" t="s">
        <v>50</v>
      </c>
      <c r="D1718" s="78">
        <v>11.55</v>
      </c>
      <c r="E1718" s="79"/>
      <c r="F1718" s="79" t="e">
        <f t="shared" si="107"/>
        <v>#REF!</v>
      </c>
      <c r="G1718" s="2"/>
      <c r="H1718" s="37">
        <v>1188</v>
      </c>
      <c r="I1718" s="4">
        <f t="shared" si="108"/>
        <v>0</v>
      </c>
      <c r="J1718" s="25">
        <f t="shared" si="105"/>
        <v>55</v>
      </c>
    </row>
    <row r="1719" spans="1:10" ht="34.950000000000003" customHeight="1">
      <c r="A1719" s="75">
        <v>7</v>
      </c>
      <c r="B1719" s="80" t="s">
        <v>97</v>
      </c>
      <c r="C1719" s="77" t="s">
        <v>48</v>
      </c>
      <c r="D1719" s="78">
        <v>1</v>
      </c>
      <c r="E1719" s="79"/>
      <c r="F1719" s="79" t="e">
        <f t="shared" si="107"/>
        <v>#REF!</v>
      </c>
      <c r="G1719" s="2"/>
      <c r="H1719" s="37">
        <v>21157</v>
      </c>
      <c r="I1719" s="4">
        <f t="shared" si="108"/>
        <v>0</v>
      </c>
      <c r="J1719" s="25">
        <f t="shared" si="105"/>
        <v>55</v>
      </c>
    </row>
    <row r="1720" spans="1:10" ht="16.95" customHeight="1">
      <c r="A1720" s="75">
        <v>8</v>
      </c>
      <c r="B1720" s="80" t="s">
        <v>98</v>
      </c>
      <c r="C1720" s="77" t="s">
        <v>50</v>
      </c>
      <c r="D1720" s="78">
        <v>387</v>
      </c>
      <c r="E1720" s="79"/>
      <c r="F1720" s="79" t="e">
        <f t="shared" si="107"/>
        <v>#REF!</v>
      </c>
      <c r="G1720" s="2"/>
      <c r="H1720" s="37">
        <v>705</v>
      </c>
      <c r="I1720" s="4">
        <f t="shared" si="108"/>
        <v>0</v>
      </c>
      <c r="J1720" s="25">
        <f t="shared" si="105"/>
        <v>55</v>
      </c>
    </row>
    <row r="1721" spans="1:10" ht="16.95" customHeight="1">
      <c r="A1721" s="75">
        <v>9</v>
      </c>
      <c r="B1721" s="80" t="s">
        <v>99</v>
      </c>
      <c r="C1721" s="77" t="s">
        <v>50</v>
      </c>
      <c r="D1721" s="78">
        <v>170</v>
      </c>
      <c r="E1721" s="79"/>
      <c r="F1721" s="79" t="e">
        <f t="shared" si="107"/>
        <v>#REF!</v>
      </c>
      <c r="G1721" s="2"/>
      <c r="H1721" s="37">
        <v>617</v>
      </c>
      <c r="I1721" s="4">
        <f t="shared" si="108"/>
        <v>0</v>
      </c>
      <c r="J1721" s="25">
        <f t="shared" si="105"/>
        <v>55</v>
      </c>
    </row>
    <row r="1722" spans="1:10" ht="16.95" customHeight="1">
      <c r="A1722" s="75">
        <v>10</v>
      </c>
      <c r="B1722" s="80" t="s">
        <v>100</v>
      </c>
      <c r="C1722" s="77" t="s">
        <v>66</v>
      </c>
      <c r="D1722" s="78">
        <v>15</v>
      </c>
      <c r="E1722" s="79"/>
      <c r="F1722" s="79" t="e">
        <f t="shared" si="107"/>
        <v>#REF!</v>
      </c>
      <c r="G1722" s="2"/>
      <c r="H1722" s="37">
        <v>617</v>
      </c>
      <c r="I1722" s="4">
        <f t="shared" si="108"/>
        <v>0</v>
      </c>
      <c r="J1722" s="25">
        <f t="shared" si="105"/>
        <v>55</v>
      </c>
    </row>
    <row r="1723" spans="1:10" ht="16.95" customHeight="1">
      <c r="A1723" s="75">
        <v>11</v>
      </c>
      <c r="B1723" s="80" t="s">
        <v>101</v>
      </c>
      <c r="C1723" s="77" t="s">
        <v>50</v>
      </c>
      <c r="D1723" s="78">
        <v>75</v>
      </c>
      <c r="E1723" s="79"/>
      <c r="F1723" s="79" t="e">
        <f t="shared" si="107"/>
        <v>#REF!</v>
      </c>
      <c r="G1723" s="2"/>
      <c r="H1723" s="37">
        <v>1146</v>
      </c>
      <c r="I1723" s="4">
        <f t="shared" si="108"/>
        <v>0</v>
      </c>
      <c r="J1723" s="25">
        <f t="shared" ref="J1723:J1786" si="109">J1660+2</f>
        <v>55</v>
      </c>
    </row>
    <row r="1724" spans="1:10" ht="16.95" customHeight="1">
      <c r="A1724" s="75">
        <v>12</v>
      </c>
      <c r="B1724" s="80" t="s">
        <v>102</v>
      </c>
      <c r="C1724" s="77" t="s">
        <v>50</v>
      </c>
      <c r="D1724" s="78">
        <v>5</v>
      </c>
      <c r="E1724" s="79"/>
      <c r="F1724" s="79" t="e">
        <f t="shared" si="107"/>
        <v>#REF!</v>
      </c>
      <c r="G1724" s="2"/>
      <c r="H1724" s="37">
        <v>1455</v>
      </c>
      <c r="I1724" s="4">
        <f t="shared" si="108"/>
        <v>0</v>
      </c>
      <c r="J1724" s="25">
        <f t="shared" si="109"/>
        <v>55</v>
      </c>
    </row>
    <row r="1725" spans="1:10" ht="16.95" customHeight="1">
      <c r="A1725" s="75">
        <v>13</v>
      </c>
      <c r="B1725" s="80" t="s">
        <v>103</v>
      </c>
      <c r="C1725" s="77" t="s">
        <v>50</v>
      </c>
      <c r="D1725" s="78">
        <v>217</v>
      </c>
      <c r="E1725" s="79"/>
      <c r="F1725" s="79" t="e">
        <f t="shared" si="107"/>
        <v>#REF!</v>
      </c>
      <c r="G1725" s="2"/>
      <c r="H1725" s="37">
        <v>1410</v>
      </c>
      <c r="I1725" s="4">
        <f t="shared" si="108"/>
        <v>0</v>
      </c>
      <c r="J1725" s="25">
        <f t="shared" si="109"/>
        <v>55</v>
      </c>
    </row>
    <row r="1726" spans="1:10" ht="16.95" customHeight="1">
      <c r="A1726" s="75">
        <v>14</v>
      </c>
      <c r="B1726" s="80" t="s">
        <v>104</v>
      </c>
      <c r="C1726" s="77" t="s">
        <v>49</v>
      </c>
      <c r="D1726" s="78">
        <v>84</v>
      </c>
      <c r="E1726" s="79"/>
      <c r="F1726" s="79" t="e">
        <f t="shared" si="107"/>
        <v>#REF!</v>
      </c>
      <c r="G1726" s="2"/>
      <c r="H1726" s="37">
        <v>529</v>
      </c>
      <c r="I1726" s="4">
        <f t="shared" si="108"/>
        <v>0</v>
      </c>
      <c r="J1726" s="25">
        <f t="shared" si="109"/>
        <v>55</v>
      </c>
    </row>
    <row r="1727" spans="1:10" ht="16.95" customHeight="1">
      <c r="A1727" s="75">
        <v>15</v>
      </c>
      <c r="B1727" s="80" t="s">
        <v>105</v>
      </c>
      <c r="C1727" s="77" t="s">
        <v>50</v>
      </c>
      <c r="D1727" s="78">
        <v>1</v>
      </c>
      <c r="E1727" s="79"/>
      <c r="F1727" s="79" t="e">
        <f t="shared" si="107"/>
        <v>#REF!</v>
      </c>
      <c r="G1727" s="2"/>
      <c r="H1727" s="37">
        <v>1146</v>
      </c>
      <c r="I1727" s="4">
        <f t="shared" si="108"/>
        <v>0</v>
      </c>
      <c r="J1727" s="25">
        <f t="shared" si="109"/>
        <v>55</v>
      </c>
    </row>
    <row r="1728" spans="1:10" ht="34.799999999999997" customHeight="1">
      <c r="A1728" s="75">
        <v>16</v>
      </c>
      <c r="B1728" s="80" t="s">
        <v>106</v>
      </c>
      <c r="C1728" s="77" t="s">
        <v>50</v>
      </c>
      <c r="D1728" s="78">
        <v>314</v>
      </c>
      <c r="E1728" s="79"/>
      <c r="F1728" s="79" t="e">
        <f t="shared" si="107"/>
        <v>#REF!</v>
      </c>
      <c r="G1728" s="2"/>
      <c r="H1728" s="37">
        <v>185</v>
      </c>
      <c r="I1728" s="4">
        <f t="shared" si="108"/>
        <v>0</v>
      </c>
      <c r="J1728" s="25">
        <f t="shared" si="109"/>
        <v>55</v>
      </c>
    </row>
    <row r="1729" spans="1:10" ht="16.95" customHeight="1">
      <c r="A1729" s="75">
        <v>17</v>
      </c>
      <c r="B1729" s="80" t="s">
        <v>107</v>
      </c>
      <c r="C1729" s="77" t="s">
        <v>48</v>
      </c>
      <c r="D1729" s="78">
        <v>1</v>
      </c>
      <c r="E1729" s="79"/>
      <c r="F1729" s="79" t="e">
        <f t="shared" si="107"/>
        <v>#REF!</v>
      </c>
      <c r="G1729" s="2"/>
      <c r="H1729" s="37">
        <v>89918</v>
      </c>
      <c r="I1729" s="4">
        <f t="shared" si="108"/>
        <v>0</v>
      </c>
      <c r="J1729" s="25">
        <f t="shared" si="109"/>
        <v>55</v>
      </c>
    </row>
    <row r="1730" spans="1:10" ht="16.95" customHeight="1">
      <c r="A1730" s="75">
        <v>18</v>
      </c>
      <c r="B1730" s="80" t="s">
        <v>108</v>
      </c>
      <c r="C1730" s="77" t="s">
        <v>120</v>
      </c>
      <c r="D1730" s="78">
        <v>15</v>
      </c>
      <c r="E1730" s="79"/>
      <c r="F1730" s="79" t="e">
        <f t="shared" si="107"/>
        <v>#REF!</v>
      </c>
      <c r="G1730" s="2"/>
      <c r="H1730" s="37">
        <v>661</v>
      </c>
      <c r="I1730" s="4">
        <f t="shared" si="108"/>
        <v>0</v>
      </c>
      <c r="J1730" s="25">
        <f t="shared" si="109"/>
        <v>55</v>
      </c>
    </row>
    <row r="1731" spans="1:10" ht="16.95" customHeight="1">
      <c r="A1731" s="75">
        <v>19</v>
      </c>
      <c r="B1731" s="80" t="s">
        <v>109</v>
      </c>
      <c r="C1731" s="77" t="s">
        <v>50</v>
      </c>
      <c r="D1731" s="78">
        <v>82</v>
      </c>
      <c r="E1731" s="79"/>
      <c r="F1731" s="79" t="e">
        <f t="shared" si="107"/>
        <v>#REF!</v>
      </c>
      <c r="G1731" s="2"/>
      <c r="H1731" s="37">
        <v>2909</v>
      </c>
      <c r="I1731" s="4">
        <f t="shared" si="108"/>
        <v>0</v>
      </c>
      <c r="J1731" s="25">
        <f t="shared" si="109"/>
        <v>55</v>
      </c>
    </row>
    <row r="1732" spans="1:10" ht="16.95" customHeight="1">
      <c r="A1732" s="75">
        <v>20</v>
      </c>
      <c r="B1732" s="80" t="s">
        <v>110</v>
      </c>
      <c r="C1732" s="77" t="s">
        <v>121</v>
      </c>
      <c r="D1732" s="78">
        <v>12</v>
      </c>
      <c r="E1732" s="79"/>
      <c r="F1732" s="79" t="e">
        <f t="shared" si="107"/>
        <v>#REF!</v>
      </c>
      <c r="G1732" s="2"/>
      <c r="H1732" s="37">
        <v>882</v>
      </c>
      <c r="I1732" s="4">
        <f t="shared" si="108"/>
        <v>0</v>
      </c>
      <c r="J1732" s="25">
        <f t="shared" si="109"/>
        <v>55</v>
      </c>
    </row>
    <row r="1733" spans="1:10" ht="16.95" customHeight="1">
      <c r="A1733" s="77">
        <v>21</v>
      </c>
      <c r="B1733" s="80" t="s">
        <v>111</v>
      </c>
      <c r="C1733" s="77" t="s">
        <v>122</v>
      </c>
      <c r="D1733" s="78">
        <v>3</v>
      </c>
      <c r="E1733" s="79"/>
      <c r="F1733" s="79" t="e">
        <f t="shared" si="107"/>
        <v>#REF!</v>
      </c>
      <c r="G1733" s="2"/>
      <c r="H1733" s="38">
        <v>1869</v>
      </c>
      <c r="I1733" s="4">
        <f t="shared" si="108"/>
        <v>0</v>
      </c>
      <c r="J1733" s="25">
        <f t="shared" si="109"/>
        <v>55</v>
      </c>
    </row>
    <row r="1734" spans="1:10" ht="34.950000000000003" customHeight="1">
      <c r="A1734" s="75">
        <v>22</v>
      </c>
      <c r="B1734" s="80" t="s">
        <v>112</v>
      </c>
      <c r="C1734" s="77" t="s">
        <v>48</v>
      </c>
      <c r="D1734" s="78">
        <v>1</v>
      </c>
      <c r="E1734" s="79"/>
      <c r="F1734" s="79" t="e">
        <f t="shared" si="107"/>
        <v>#REF!</v>
      </c>
      <c r="G1734" s="2"/>
      <c r="H1734" s="37">
        <v>82206</v>
      </c>
      <c r="I1734" s="4">
        <f t="shared" si="108"/>
        <v>0</v>
      </c>
      <c r="J1734" s="25">
        <f t="shared" si="109"/>
        <v>55</v>
      </c>
    </row>
    <row r="1735" spans="1:10" ht="16.95" customHeight="1">
      <c r="A1735" s="75">
        <v>23</v>
      </c>
      <c r="B1735" s="80" t="s">
        <v>113</v>
      </c>
      <c r="C1735" s="77" t="s">
        <v>48</v>
      </c>
      <c r="D1735" s="78">
        <v>1</v>
      </c>
      <c r="E1735" s="79"/>
      <c r="F1735" s="79" t="e">
        <f t="shared" si="107"/>
        <v>#REF!</v>
      </c>
      <c r="G1735" s="2"/>
      <c r="H1735" s="37">
        <v>142723</v>
      </c>
      <c r="I1735" s="4">
        <f t="shared" si="108"/>
        <v>0</v>
      </c>
      <c r="J1735" s="25">
        <f t="shared" si="109"/>
        <v>55</v>
      </c>
    </row>
    <row r="1736" spans="1:10" ht="16.95" customHeight="1">
      <c r="A1736" s="75">
        <v>24</v>
      </c>
      <c r="B1736" s="80" t="s">
        <v>114</v>
      </c>
      <c r="C1736" s="77" t="s">
        <v>48</v>
      </c>
      <c r="D1736" s="78">
        <v>1</v>
      </c>
      <c r="E1736" s="79"/>
      <c r="F1736" s="79" t="e">
        <f t="shared" si="107"/>
        <v>#REF!</v>
      </c>
      <c r="G1736" s="2"/>
      <c r="H1736" s="37">
        <v>37290</v>
      </c>
      <c r="I1736" s="4">
        <f t="shared" si="108"/>
        <v>0</v>
      </c>
      <c r="J1736" s="25">
        <f t="shared" si="109"/>
        <v>55</v>
      </c>
    </row>
    <row r="1737" spans="1:10" ht="16.95" customHeight="1">
      <c r="A1737" s="75">
        <v>25</v>
      </c>
      <c r="B1737" s="80" t="s">
        <v>115</v>
      </c>
      <c r="C1737" s="77" t="s">
        <v>48</v>
      </c>
      <c r="D1737" s="78">
        <v>1</v>
      </c>
      <c r="E1737" s="79"/>
      <c r="F1737" s="79" t="e">
        <f t="shared" si="107"/>
        <v>#REF!</v>
      </c>
      <c r="G1737" s="2"/>
      <c r="H1737" s="37">
        <v>99394</v>
      </c>
      <c r="I1737" s="4">
        <f t="shared" si="108"/>
        <v>0</v>
      </c>
      <c r="J1737" s="25">
        <f t="shared" si="109"/>
        <v>55</v>
      </c>
    </row>
    <row r="1738" spans="1:10" ht="34.950000000000003" customHeight="1">
      <c r="A1738" s="75">
        <v>26</v>
      </c>
      <c r="B1738" s="80" t="s">
        <v>116</v>
      </c>
      <c r="C1738" s="77" t="s">
        <v>48</v>
      </c>
      <c r="D1738" s="78">
        <v>1</v>
      </c>
      <c r="E1738" s="79"/>
      <c r="F1738" s="79" t="e">
        <f t="shared" si="107"/>
        <v>#REF!</v>
      </c>
      <c r="G1738" s="2"/>
      <c r="H1738" s="37">
        <v>21334</v>
      </c>
      <c r="I1738" s="4">
        <f t="shared" si="108"/>
        <v>0</v>
      </c>
      <c r="J1738" s="25">
        <f t="shared" si="109"/>
        <v>55</v>
      </c>
    </row>
    <row r="1739" spans="1:10" ht="16.95" customHeight="1">
      <c r="A1739" s="75">
        <v>27</v>
      </c>
      <c r="B1739" s="80" t="s">
        <v>117</v>
      </c>
      <c r="C1739" s="77" t="s">
        <v>48</v>
      </c>
      <c r="D1739" s="78">
        <v>1</v>
      </c>
      <c r="E1739" s="79"/>
      <c r="F1739" s="79" t="e">
        <f t="shared" si="107"/>
        <v>#REF!</v>
      </c>
      <c r="G1739" s="2"/>
      <c r="H1739" s="37">
        <v>29620</v>
      </c>
      <c r="I1739" s="4">
        <f t="shared" si="108"/>
        <v>0</v>
      </c>
      <c r="J1739" s="25">
        <f t="shared" si="109"/>
        <v>55</v>
      </c>
    </row>
    <row r="1740" spans="1:10" ht="16.95" customHeight="1">
      <c r="A1740" s="75">
        <v>28</v>
      </c>
      <c r="B1740" s="80" t="s">
        <v>118</v>
      </c>
      <c r="C1740" s="77" t="s">
        <v>48</v>
      </c>
      <c r="D1740" s="78">
        <v>1</v>
      </c>
      <c r="E1740" s="79"/>
      <c r="F1740" s="79" t="e">
        <f t="shared" si="107"/>
        <v>#REF!</v>
      </c>
      <c r="G1740" s="2"/>
      <c r="H1740" s="37">
        <v>18506</v>
      </c>
      <c r="I1740" s="4">
        <f t="shared" si="108"/>
        <v>0</v>
      </c>
      <c r="J1740" s="25">
        <f t="shared" si="109"/>
        <v>55</v>
      </c>
    </row>
    <row r="1741" spans="1:10" ht="16.95" customHeight="1">
      <c r="A1741" s="75">
        <v>29</v>
      </c>
      <c r="B1741" s="80" t="s">
        <v>119</v>
      </c>
      <c r="C1741" s="77" t="s">
        <v>48</v>
      </c>
      <c r="D1741" s="78">
        <v>1</v>
      </c>
      <c r="E1741" s="79"/>
      <c r="F1741" s="79" t="e">
        <f t="shared" si="107"/>
        <v>#REF!</v>
      </c>
      <c r="G1741" s="2"/>
      <c r="H1741" s="37">
        <v>34381</v>
      </c>
      <c r="I1741" s="4">
        <f t="shared" si="108"/>
        <v>0</v>
      </c>
      <c r="J1741" s="25">
        <f t="shared" si="109"/>
        <v>55</v>
      </c>
    </row>
    <row r="1742" spans="1:10" ht="16.95" customHeight="1">
      <c r="A1742" s="75" t="s">
        <v>79</v>
      </c>
      <c r="B1742" s="80" t="s">
        <v>80</v>
      </c>
      <c r="C1742" s="77" t="s">
        <v>48</v>
      </c>
      <c r="D1742" s="78">
        <v>1</v>
      </c>
      <c r="E1742" s="79">
        <f t="shared" ref="E1742:E1745" si="110">1/120</f>
        <v>8.3333333333333332E-3</v>
      </c>
      <c r="F1742" s="79" t="e">
        <f t="shared" si="107"/>
        <v>#REF!</v>
      </c>
      <c r="G1742" s="2"/>
      <c r="H1742" s="37">
        <v>21395</v>
      </c>
      <c r="I1742" s="4">
        <f t="shared" si="108"/>
        <v>178.29166666666666</v>
      </c>
      <c r="J1742" s="25">
        <f t="shared" si="109"/>
        <v>55</v>
      </c>
    </row>
    <row r="1743" spans="1:10" ht="16.95" customHeight="1">
      <c r="A1743" s="75" t="s">
        <v>81</v>
      </c>
      <c r="B1743" s="80" t="s">
        <v>82</v>
      </c>
      <c r="C1743" s="77" t="s">
        <v>48</v>
      </c>
      <c r="D1743" s="78">
        <v>1</v>
      </c>
      <c r="E1743" s="79">
        <f t="shared" si="110"/>
        <v>8.3333333333333332E-3</v>
      </c>
      <c r="F1743" s="79" t="e">
        <f t="shared" si="107"/>
        <v>#REF!</v>
      </c>
      <c r="G1743" s="2"/>
      <c r="H1743" s="37">
        <v>21395</v>
      </c>
      <c r="I1743" s="4">
        <f t="shared" si="108"/>
        <v>178.29166666666666</v>
      </c>
      <c r="J1743" s="25">
        <f t="shared" si="109"/>
        <v>55</v>
      </c>
    </row>
    <row r="1744" spans="1:10" ht="16.95" customHeight="1">
      <c r="A1744" s="75" t="s">
        <v>83</v>
      </c>
      <c r="B1744" s="80" t="s">
        <v>84</v>
      </c>
      <c r="C1744" s="77" t="s">
        <v>48</v>
      </c>
      <c r="D1744" s="78">
        <v>1</v>
      </c>
      <c r="E1744" s="79">
        <f t="shared" si="110"/>
        <v>8.3333333333333332E-3</v>
      </c>
      <c r="F1744" s="79" t="e">
        <f t="shared" si="107"/>
        <v>#REF!</v>
      </c>
      <c r="G1744" s="2"/>
      <c r="H1744" s="37">
        <v>149765</v>
      </c>
      <c r="I1744" s="4">
        <f t="shared" si="108"/>
        <v>1248.0416666666667</v>
      </c>
      <c r="J1744" s="25">
        <f t="shared" si="109"/>
        <v>55</v>
      </c>
    </row>
    <row r="1745" spans="1:10" ht="16.95" customHeight="1">
      <c r="A1745" s="75" t="s">
        <v>85</v>
      </c>
      <c r="B1745" s="80" t="s">
        <v>86</v>
      </c>
      <c r="C1745" s="77" t="s">
        <v>48</v>
      </c>
      <c r="D1745" s="78">
        <v>1</v>
      </c>
      <c r="E1745" s="79">
        <f t="shared" si="110"/>
        <v>8.3333333333333332E-3</v>
      </c>
      <c r="F1745" s="79" t="e">
        <f t="shared" si="107"/>
        <v>#REF!</v>
      </c>
      <c r="G1745" s="2"/>
      <c r="H1745" s="37">
        <v>6996</v>
      </c>
      <c r="I1745" s="4">
        <f t="shared" si="108"/>
        <v>58.3</v>
      </c>
      <c r="J1745" s="25">
        <f t="shared" si="109"/>
        <v>55</v>
      </c>
    </row>
    <row r="1746" spans="1:10" ht="16.95" customHeight="1">
      <c r="A1746" s="75" t="s">
        <v>87</v>
      </c>
      <c r="B1746" s="80" t="s">
        <v>88</v>
      </c>
      <c r="C1746" s="77" t="s">
        <v>48</v>
      </c>
      <c r="D1746" s="78">
        <v>1</v>
      </c>
      <c r="E1746" s="79">
        <f>1/120</f>
        <v>8.3333333333333332E-3</v>
      </c>
      <c r="F1746" s="79" t="e">
        <f t="shared" si="107"/>
        <v>#REF!</v>
      </c>
      <c r="G1746" s="2"/>
      <c r="H1746" s="37">
        <v>116952</v>
      </c>
      <c r="I1746" s="4">
        <f t="shared" si="108"/>
        <v>974.6</v>
      </c>
      <c r="J1746" s="25">
        <f t="shared" si="109"/>
        <v>55</v>
      </c>
    </row>
    <row r="1747" spans="1:10" ht="16.95" customHeight="1">
      <c r="A1747" s="95" t="s">
        <v>23</v>
      </c>
      <c r="B1747" s="95"/>
      <c r="C1747" s="50"/>
      <c r="D1747" s="50"/>
      <c r="E1747" s="50"/>
      <c r="F1747" s="50"/>
      <c r="G1747" s="50"/>
      <c r="H1747" s="3" t="s">
        <v>24</v>
      </c>
      <c r="I1747" s="5">
        <f>SUM(I1712:I1746)</f>
        <v>2637.5250000000001</v>
      </c>
      <c r="J1747" s="25">
        <f t="shared" si="109"/>
        <v>55</v>
      </c>
    </row>
    <row r="1748" spans="1:10" ht="16.95" customHeight="1">
      <c r="A1748" s="96" t="s">
        <v>25</v>
      </c>
      <c r="B1748" s="96"/>
      <c r="C1748" s="50"/>
      <c r="D1748" s="50"/>
      <c r="E1748" s="50"/>
      <c r="F1748" s="50"/>
      <c r="G1748" s="50"/>
      <c r="J1748" s="25">
        <f t="shared" si="109"/>
        <v>55</v>
      </c>
    </row>
    <row r="1749" spans="1:10" ht="16.95" customHeight="1">
      <c r="A1749" s="96" t="s">
        <v>26</v>
      </c>
      <c r="B1749" s="96"/>
      <c r="C1749" s="50"/>
      <c r="D1749" s="50"/>
      <c r="E1749" s="50"/>
      <c r="F1749" s="50"/>
      <c r="G1749" s="50"/>
      <c r="J1749" s="25">
        <f t="shared" si="109"/>
        <v>55</v>
      </c>
    </row>
    <row r="1750" spans="1:10" ht="16.95" customHeight="1">
      <c r="A1750" s="95" t="s">
        <v>27</v>
      </c>
      <c r="B1750" s="95"/>
      <c r="C1750" s="95"/>
      <c r="D1750" s="95"/>
      <c r="E1750" s="95"/>
      <c r="F1750" s="95"/>
      <c r="G1750" s="95"/>
      <c r="J1750" s="25">
        <f t="shared" si="109"/>
        <v>55</v>
      </c>
    </row>
    <row r="1751" spans="1:10" ht="16.95" customHeight="1">
      <c r="A1751" s="94" t="s">
        <v>28</v>
      </c>
      <c r="B1751" s="94"/>
      <c r="C1751" s="51" t="s">
        <v>29</v>
      </c>
      <c r="D1751" s="51" t="s">
        <v>30</v>
      </c>
      <c r="E1751" s="51" t="s">
        <v>18</v>
      </c>
      <c r="F1751" s="51" t="s">
        <v>31</v>
      </c>
      <c r="G1751" s="51" t="s">
        <v>20</v>
      </c>
      <c r="J1751" s="25">
        <f t="shared" si="109"/>
        <v>55</v>
      </c>
    </row>
    <row r="1752" spans="1:10" ht="16.95" customHeight="1">
      <c r="A1752" s="96"/>
      <c r="B1752" s="96"/>
      <c r="C1752" s="50"/>
      <c r="D1752" s="50"/>
      <c r="E1752" s="50"/>
      <c r="F1752" s="50"/>
      <c r="G1752" s="51"/>
      <c r="J1752" s="25">
        <f t="shared" si="109"/>
        <v>55</v>
      </c>
    </row>
    <row r="1753" spans="1:10" ht="16.95" customHeight="1">
      <c r="A1753" s="97"/>
      <c r="B1753" s="97"/>
      <c r="C1753" s="50"/>
      <c r="D1753" s="50"/>
      <c r="E1753" s="50"/>
      <c r="F1753" s="51"/>
      <c r="G1753" s="51"/>
      <c r="J1753" s="25">
        <f t="shared" si="109"/>
        <v>55</v>
      </c>
    </row>
    <row r="1754" spans="1:10" ht="16.95" customHeight="1">
      <c r="A1754" s="95" t="s">
        <v>32</v>
      </c>
      <c r="B1754" s="95"/>
      <c r="C1754" s="95"/>
      <c r="D1754" s="95"/>
      <c r="E1754" s="95"/>
      <c r="F1754" s="95"/>
      <c r="G1754" s="95"/>
      <c r="J1754" s="25">
        <f t="shared" si="109"/>
        <v>56</v>
      </c>
    </row>
    <row r="1755" spans="1:10" ht="16.95" customHeight="1">
      <c r="A1755" s="51" t="s">
        <v>33</v>
      </c>
      <c r="B1755" s="51" t="s">
        <v>34</v>
      </c>
      <c r="C1755" s="94" t="s">
        <v>35</v>
      </c>
      <c r="D1755" s="94"/>
      <c r="E1755" s="51" t="s">
        <v>36</v>
      </c>
      <c r="F1755" s="51" t="s">
        <v>37</v>
      </c>
      <c r="G1755" s="51" t="s">
        <v>38</v>
      </c>
      <c r="J1755" s="25">
        <f t="shared" si="109"/>
        <v>56</v>
      </c>
    </row>
    <row r="1756" spans="1:10" ht="16.95" customHeight="1">
      <c r="A1756" s="51" t="s">
        <v>39</v>
      </c>
      <c r="B1756" s="6"/>
      <c r="C1756" s="94" t="e">
        <f>B1756+C1693</f>
        <v>#REF!</v>
      </c>
      <c r="D1756" s="94"/>
      <c r="E1756" s="51"/>
      <c r="F1756" s="24"/>
      <c r="G1756" s="24"/>
      <c r="J1756" s="25">
        <f t="shared" si="109"/>
        <v>56</v>
      </c>
    </row>
    <row r="1757" spans="1:10" ht="16.95" customHeight="1">
      <c r="A1757" s="51" t="s">
        <v>40</v>
      </c>
      <c r="B1757" s="6"/>
      <c r="C1757" s="94" t="e">
        <f>B1757+C1694</f>
        <v>#REF!</v>
      </c>
      <c r="D1757" s="94"/>
      <c r="E1757" s="51"/>
      <c r="F1757" s="24"/>
      <c r="G1757" s="24"/>
      <c r="J1757" s="25">
        <f t="shared" si="109"/>
        <v>56</v>
      </c>
    </row>
    <row r="1758" spans="1:10" ht="36.6" customHeight="1">
      <c r="A1758" s="95" t="s">
        <v>41</v>
      </c>
      <c r="B1758" s="95"/>
      <c r="C1758" s="95"/>
      <c r="D1758" s="95"/>
      <c r="E1758" s="95"/>
      <c r="F1758" s="95"/>
      <c r="G1758" s="95"/>
      <c r="J1758" s="25">
        <f t="shared" si="109"/>
        <v>56</v>
      </c>
    </row>
    <row r="1759" spans="1:10" ht="90" customHeight="1">
      <c r="A1759" s="92" t="s">
        <v>42</v>
      </c>
      <c r="B1759" s="92"/>
      <c r="C1759" s="92"/>
      <c r="D1759" s="92"/>
      <c r="E1759" s="92"/>
      <c r="F1759" s="92"/>
      <c r="G1759" s="92"/>
      <c r="J1759" s="25">
        <f t="shared" si="109"/>
        <v>56</v>
      </c>
    </row>
    <row r="1760" spans="1:10" ht="16.95" customHeight="1">
      <c r="A1760" s="95" t="s">
        <v>43</v>
      </c>
      <c r="B1760" s="95"/>
      <c r="C1760" s="95"/>
      <c r="D1760" s="95"/>
      <c r="E1760" s="95"/>
      <c r="F1760" s="95"/>
      <c r="G1760" s="95"/>
      <c r="J1760" s="25">
        <f t="shared" si="109"/>
        <v>56</v>
      </c>
    </row>
    <row r="1761" spans="1:10" ht="16.95" customHeight="1">
      <c r="A1761" s="95" t="s">
        <v>44</v>
      </c>
      <c r="B1761" s="95"/>
      <c r="C1761" s="95"/>
      <c r="D1761" s="95"/>
      <c r="E1761" s="95"/>
      <c r="F1761" s="95"/>
      <c r="G1761" s="95"/>
      <c r="J1761" s="25">
        <f t="shared" si="109"/>
        <v>56</v>
      </c>
    </row>
    <row r="1762" spans="1:10" ht="16.95" customHeight="1">
      <c r="A1762" s="91" t="s">
        <v>64</v>
      </c>
      <c r="B1762" s="91"/>
      <c r="C1762" s="91"/>
      <c r="D1762" s="91"/>
      <c r="E1762" s="91"/>
      <c r="F1762" s="91"/>
      <c r="G1762" s="91"/>
      <c r="J1762" s="25">
        <f t="shared" si="109"/>
        <v>56</v>
      </c>
    </row>
    <row r="1763" spans="1:10" ht="120.6" customHeight="1">
      <c r="A1763" s="92" t="s">
        <v>45</v>
      </c>
      <c r="B1763" s="92"/>
      <c r="C1763" s="92"/>
      <c r="D1763" s="92"/>
      <c r="E1763" s="92"/>
      <c r="F1763" s="92"/>
      <c r="G1763" s="92"/>
      <c r="J1763" s="25">
        <f t="shared" si="109"/>
        <v>56</v>
      </c>
    </row>
    <row r="1764" spans="1:10" ht="140.4" customHeight="1">
      <c r="A1764" s="93" t="s">
        <v>46</v>
      </c>
      <c r="B1764" s="93"/>
      <c r="C1764" s="93"/>
      <c r="D1764" s="93"/>
      <c r="E1764" s="93"/>
      <c r="F1764" s="93"/>
      <c r="G1764" s="93"/>
      <c r="J1764" s="25">
        <f t="shared" si="109"/>
        <v>56</v>
      </c>
    </row>
    <row r="1765" spans="1:10" ht="37.200000000000003" customHeight="1">
      <c r="A1765" s="103" t="s">
        <v>0</v>
      </c>
      <c r="B1765" s="103"/>
      <c r="C1765" s="103"/>
      <c r="D1765" s="103"/>
      <c r="E1765" s="103"/>
      <c r="F1765" s="103"/>
      <c r="G1765" s="103"/>
      <c r="J1765" s="25">
        <f t="shared" si="109"/>
        <v>57</v>
      </c>
    </row>
    <row r="1766" spans="1:10" ht="16.95" customHeight="1">
      <c r="A1766" s="1" t="s">
        <v>1</v>
      </c>
      <c r="B1766" s="104">
        <f>B1703+1</f>
        <v>30</v>
      </c>
      <c r="C1766" s="104"/>
      <c r="D1766" s="104"/>
      <c r="E1766" s="104"/>
      <c r="F1766" s="104"/>
      <c r="G1766" s="104"/>
      <c r="J1766" s="25">
        <f t="shared" si="109"/>
        <v>57</v>
      </c>
    </row>
    <row r="1767" spans="1:10" ht="16.95" customHeight="1">
      <c r="A1767" s="1" t="s">
        <v>2</v>
      </c>
      <c r="B1767" s="105" t="s">
        <v>63</v>
      </c>
      <c r="C1767" s="105"/>
      <c r="D1767" s="105"/>
      <c r="E1767" s="106">
        <f>E1704+1</f>
        <v>46232</v>
      </c>
      <c r="F1767" s="106"/>
      <c r="G1767" s="106"/>
      <c r="J1767" s="25">
        <f t="shared" si="109"/>
        <v>57</v>
      </c>
    </row>
    <row r="1768" spans="1:10" ht="16.95" customHeight="1">
      <c r="A1768" s="53" t="s">
        <v>3</v>
      </c>
      <c r="B1768" s="2" t="s">
        <v>67</v>
      </c>
      <c r="C1768" s="98" t="s">
        <v>4</v>
      </c>
      <c r="D1768" s="98"/>
      <c r="E1768" s="98" t="s">
        <v>47</v>
      </c>
      <c r="F1768" s="98"/>
      <c r="G1768" s="98"/>
      <c r="J1768" s="25">
        <f t="shared" si="109"/>
        <v>57</v>
      </c>
    </row>
    <row r="1769" spans="1:10" ht="16.95" customHeight="1">
      <c r="A1769" s="53" t="s">
        <v>5</v>
      </c>
      <c r="B1769" s="54">
        <v>120</v>
      </c>
      <c r="C1769" s="98" t="s">
        <v>6</v>
      </c>
      <c r="D1769" s="98"/>
      <c r="E1769" s="98" t="s">
        <v>123</v>
      </c>
      <c r="F1769" s="98"/>
      <c r="G1769" s="98"/>
      <c r="J1769" s="25">
        <f t="shared" si="109"/>
        <v>57</v>
      </c>
    </row>
    <row r="1770" spans="1:10" ht="16.95" customHeight="1">
      <c r="A1770" s="53" t="s">
        <v>7</v>
      </c>
      <c r="B1770" s="54">
        <f>B1766</f>
        <v>30</v>
      </c>
      <c r="C1770" s="100" t="s">
        <v>8</v>
      </c>
      <c r="D1770" s="100"/>
      <c r="E1770" s="101">
        <f>B1769-B1770</f>
        <v>90</v>
      </c>
      <c r="F1770" s="101"/>
      <c r="G1770" s="101"/>
      <c r="J1770" s="25">
        <f t="shared" si="109"/>
        <v>57</v>
      </c>
    </row>
    <row r="1771" spans="1:10" ht="16.95" customHeight="1">
      <c r="A1771" s="53" t="s">
        <v>9</v>
      </c>
      <c r="B1771" s="55">
        <v>46204</v>
      </c>
      <c r="C1771" s="98" t="s">
        <v>10</v>
      </c>
      <c r="D1771" s="98"/>
      <c r="E1771" s="102">
        <f>B1771+B1769-1</f>
        <v>46323</v>
      </c>
      <c r="F1771" s="102"/>
      <c r="G1771" s="102"/>
      <c r="J1771" s="25">
        <f t="shared" si="109"/>
        <v>57</v>
      </c>
    </row>
    <row r="1772" spans="1:10" ht="16.95" customHeight="1">
      <c r="A1772" s="53" t="s">
        <v>11</v>
      </c>
      <c r="B1772" s="56" t="e">
        <f>HLOOKUP(B1766,進度表!$Q$2:$Z$3,2,1)+B1709</f>
        <v>#REF!</v>
      </c>
      <c r="C1772" s="98" t="s">
        <v>12</v>
      </c>
      <c r="D1772" s="98"/>
      <c r="E1772" s="99" t="e">
        <f>I1810/I1772+E1709</f>
        <v>#REF!</v>
      </c>
      <c r="F1772" s="99"/>
      <c r="G1772" s="99"/>
      <c r="H1772" s="3" t="s">
        <v>62</v>
      </c>
      <c r="I1772" s="1">
        <v>2456000</v>
      </c>
      <c r="J1772" s="25">
        <f t="shared" si="109"/>
        <v>57</v>
      </c>
    </row>
    <row r="1773" spans="1:10" ht="16.95" customHeight="1">
      <c r="A1773" s="98" t="s">
        <v>13</v>
      </c>
      <c r="B1773" s="98"/>
      <c r="C1773" s="98"/>
      <c r="D1773" s="98"/>
      <c r="E1773" s="98"/>
      <c r="F1773" s="98"/>
      <c r="G1773" s="98"/>
      <c r="J1773" s="25">
        <f t="shared" si="109"/>
        <v>57</v>
      </c>
    </row>
    <row r="1774" spans="1:10" ht="16.95" customHeight="1">
      <c r="A1774" s="52" t="s">
        <v>14</v>
      </c>
      <c r="B1774" s="52" t="s">
        <v>15</v>
      </c>
      <c r="C1774" s="52" t="s">
        <v>16</v>
      </c>
      <c r="D1774" s="52" t="s">
        <v>17</v>
      </c>
      <c r="E1774" s="52" t="s">
        <v>18</v>
      </c>
      <c r="F1774" s="52" t="s">
        <v>19</v>
      </c>
      <c r="G1774" s="52" t="s">
        <v>20</v>
      </c>
      <c r="H1774" s="3" t="s">
        <v>21</v>
      </c>
      <c r="I1774" s="3" t="s">
        <v>22</v>
      </c>
      <c r="J1774" s="25">
        <f t="shared" si="109"/>
        <v>57</v>
      </c>
    </row>
    <row r="1775" spans="1:10" ht="16.95" customHeight="1">
      <c r="A1775" s="75" t="s">
        <v>65</v>
      </c>
      <c r="B1775" s="76" t="s">
        <v>69</v>
      </c>
      <c r="C1775" s="77"/>
      <c r="D1775" s="78"/>
      <c r="E1775" s="79"/>
      <c r="F1775" s="79"/>
      <c r="G1775" s="2"/>
      <c r="H1775" s="37"/>
      <c r="I1775" s="4"/>
      <c r="J1775" s="25">
        <f t="shared" si="109"/>
        <v>57</v>
      </c>
    </row>
    <row r="1776" spans="1:10" ht="34.950000000000003" customHeight="1">
      <c r="A1776" s="75">
        <v>1</v>
      </c>
      <c r="B1776" s="80" t="s">
        <v>91</v>
      </c>
      <c r="C1776" s="77" t="s">
        <v>48</v>
      </c>
      <c r="D1776" s="78">
        <v>1</v>
      </c>
      <c r="E1776" s="79"/>
      <c r="F1776" s="79" t="e">
        <f t="shared" ref="F1776:F1809" si="111">E1776+F1713</f>
        <v>#REF!</v>
      </c>
      <c r="G1776" s="2"/>
      <c r="H1776" s="37">
        <v>10508</v>
      </c>
      <c r="I1776" s="4">
        <f>H1776*E1776</f>
        <v>0</v>
      </c>
      <c r="J1776" s="25">
        <f t="shared" si="109"/>
        <v>57</v>
      </c>
    </row>
    <row r="1777" spans="1:10" ht="34.799999999999997" customHeight="1">
      <c r="A1777" s="75">
        <v>2</v>
      </c>
      <c r="B1777" s="80" t="s">
        <v>92</v>
      </c>
      <c r="C1777" s="77" t="s">
        <v>48</v>
      </c>
      <c r="D1777" s="78">
        <v>1</v>
      </c>
      <c r="E1777" s="79"/>
      <c r="F1777" s="79" t="e">
        <f t="shared" si="111"/>
        <v>#REF!</v>
      </c>
      <c r="G1777" s="2"/>
      <c r="H1777" s="37">
        <v>13223</v>
      </c>
      <c r="I1777" s="4">
        <f>H1777*E1777</f>
        <v>0</v>
      </c>
      <c r="J1777" s="25">
        <f t="shared" si="109"/>
        <v>57</v>
      </c>
    </row>
    <row r="1778" spans="1:10" ht="53.4" customHeight="1">
      <c r="A1778" s="75">
        <v>3</v>
      </c>
      <c r="B1778" s="80" t="s">
        <v>93</v>
      </c>
      <c r="C1778" s="77" t="s">
        <v>48</v>
      </c>
      <c r="D1778" s="78">
        <v>1</v>
      </c>
      <c r="E1778" s="79"/>
      <c r="F1778" s="79" t="e">
        <f t="shared" si="111"/>
        <v>#REF!</v>
      </c>
      <c r="G1778" s="2"/>
      <c r="H1778" s="37">
        <v>310497</v>
      </c>
      <c r="I1778" s="4">
        <f t="shared" ref="I1778:I1809" si="112">H1778*E1778</f>
        <v>0</v>
      </c>
      <c r="J1778" s="25">
        <f t="shared" si="109"/>
        <v>57</v>
      </c>
    </row>
    <row r="1779" spans="1:10" ht="16.95" customHeight="1">
      <c r="A1779" s="75">
        <v>4</v>
      </c>
      <c r="B1779" s="80" t="s">
        <v>94</v>
      </c>
      <c r="C1779" s="77" t="s">
        <v>48</v>
      </c>
      <c r="D1779" s="78">
        <v>1</v>
      </c>
      <c r="E1779" s="79"/>
      <c r="F1779" s="79" t="e">
        <f t="shared" si="111"/>
        <v>#REF!</v>
      </c>
      <c r="G1779" s="2"/>
      <c r="H1779" s="37">
        <v>8375</v>
      </c>
      <c r="I1779" s="4">
        <f t="shared" si="112"/>
        <v>0</v>
      </c>
      <c r="J1779" s="25">
        <f t="shared" si="109"/>
        <v>57</v>
      </c>
    </row>
    <row r="1780" spans="1:10" ht="16.95" customHeight="1">
      <c r="A1780" s="75">
        <v>5</v>
      </c>
      <c r="B1780" s="80" t="s">
        <v>95</v>
      </c>
      <c r="C1780" s="77" t="s">
        <v>48</v>
      </c>
      <c r="D1780" s="78">
        <v>1</v>
      </c>
      <c r="E1780" s="79"/>
      <c r="F1780" s="79" t="e">
        <f t="shared" si="111"/>
        <v>#REF!</v>
      </c>
      <c r="G1780" s="2"/>
      <c r="H1780" s="37">
        <v>51618</v>
      </c>
      <c r="I1780" s="4">
        <f t="shared" si="112"/>
        <v>0</v>
      </c>
      <c r="J1780" s="25">
        <f t="shared" si="109"/>
        <v>57</v>
      </c>
    </row>
    <row r="1781" spans="1:10" ht="16.95" customHeight="1">
      <c r="A1781" s="75">
        <v>6</v>
      </c>
      <c r="B1781" s="80" t="s">
        <v>96</v>
      </c>
      <c r="C1781" s="77" t="s">
        <v>50</v>
      </c>
      <c r="D1781" s="78">
        <v>11.55</v>
      </c>
      <c r="E1781" s="79"/>
      <c r="F1781" s="79" t="e">
        <f t="shared" si="111"/>
        <v>#REF!</v>
      </c>
      <c r="G1781" s="2"/>
      <c r="H1781" s="37">
        <v>1188</v>
      </c>
      <c r="I1781" s="4">
        <f t="shared" si="112"/>
        <v>0</v>
      </c>
      <c r="J1781" s="25">
        <f t="shared" si="109"/>
        <v>57</v>
      </c>
    </row>
    <row r="1782" spans="1:10" ht="34.950000000000003" customHeight="1">
      <c r="A1782" s="75">
        <v>7</v>
      </c>
      <c r="B1782" s="80" t="s">
        <v>97</v>
      </c>
      <c r="C1782" s="77" t="s">
        <v>48</v>
      </c>
      <c r="D1782" s="78">
        <v>1</v>
      </c>
      <c r="E1782" s="79"/>
      <c r="F1782" s="79" t="e">
        <f t="shared" si="111"/>
        <v>#REF!</v>
      </c>
      <c r="G1782" s="2"/>
      <c r="H1782" s="37">
        <v>21157</v>
      </c>
      <c r="I1782" s="4">
        <f t="shared" si="112"/>
        <v>0</v>
      </c>
      <c r="J1782" s="25">
        <f t="shared" si="109"/>
        <v>57</v>
      </c>
    </row>
    <row r="1783" spans="1:10" ht="16.95" customHeight="1">
      <c r="A1783" s="75">
        <v>8</v>
      </c>
      <c r="B1783" s="80" t="s">
        <v>98</v>
      </c>
      <c r="C1783" s="77" t="s">
        <v>50</v>
      </c>
      <c r="D1783" s="78">
        <v>387</v>
      </c>
      <c r="E1783" s="79"/>
      <c r="F1783" s="79" t="e">
        <f t="shared" si="111"/>
        <v>#REF!</v>
      </c>
      <c r="G1783" s="2"/>
      <c r="H1783" s="37">
        <v>705</v>
      </c>
      <c r="I1783" s="4">
        <f t="shared" si="112"/>
        <v>0</v>
      </c>
      <c r="J1783" s="25">
        <f t="shared" si="109"/>
        <v>57</v>
      </c>
    </row>
    <row r="1784" spans="1:10" ht="16.95" customHeight="1">
      <c r="A1784" s="75">
        <v>9</v>
      </c>
      <c r="B1784" s="80" t="s">
        <v>99</v>
      </c>
      <c r="C1784" s="77" t="s">
        <v>50</v>
      </c>
      <c r="D1784" s="78">
        <v>170</v>
      </c>
      <c r="E1784" s="79"/>
      <c r="F1784" s="79" t="e">
        <f t="shared" si="111"/>
        <v>#REF!</v>
      </c>
      <c r="G1784" s="2"/>
      <c r="H1784" s="37">
        <v>617</v>
      </c>
      <c r="I1784" s="4">
        <f t="shared" si="112"/>
        <v>0</v>
      </c>
      <c r="J1784" s="25">
        <f t="shared" si="109"/>
        <v>57</v>
      </c>
    </row>
    <row r="1785" spans="1:10" ht="16.95" customHeight="1">
      <c r="A1785" s="75">
        <v>10</v>
      </c>
      <c r="B1785" s="80" t="s">
        <v>100</v>
      </c>
      <c r="C1785" s="77" t="s">
        <v>66</v>
      </c>
      <c r="D1785" s="78">
        <v>15</v>
      </c>
      <c r="E1785" s="79"/>
      <c r="F1785" s="79" t="e">
        <f t="shared" si="111"/>
        <v>#REF!</v>
      </c>
      <c r="G1785" s="2"/>
      <c r="H1785" s="37">
        <v>617</v>
      </c>
      <c r="I1785" s="4">
        <f t="shared" si="112"/>
        <v>0</v>
      </c>
      <c r="J1785" s="25">
        <f t="shared" si="109"/>
        <v>57</v>
      </c>
    </row>
    <row r="1786" spans="1:10" ht="16.95" customHeight="1">
      <c r="A1786" s="75">
        <v>11</v>
      </c>
      <c r="B1786" s="80" t="s">
        <v>101</v>
      </c>
      <c r="C1786" s="77" t="s">
        <v>50</v>
      </c>
      <c r="D1786" s="78">
        <v>75</v>
      </c>
      <c r="E1786" s="79"/>
      <c r="F1786" s="79" t="e">
        <f t="shared" si="111"/>
        <v>#REF!</v>
      </c>
      <c r="G1786" s="2"/>
      <c r="H1786" s="37">
        <v>1146</v>
      </c>
      <c r="I1786" s="4">
        <f t="shared" si="112"/>
        <v>0</v>
      </c>
      <c r="J1786" s="25">
        <f t="shared" si="109"/>
        <v>57</v>
      </c>
    </row>
    <row r="1787" spans="1:10" ht="16.95" customHeight="1">
      <c r="A1787" s="75">
        <v>12</v>
      </c>
      <c r="B1787" s="80" t="s">
        <v>102</v>
      </c>
      <c r="C1787" s="77" t="s">
        <v>50</v>
      </c>
      <c r="D1787" s="78">
        <v>5</v>
      </c>
      <c r="E1787" s="79"/>
      <c r="F1787" s="79" t="e">
        <f t="shared" si="111"/>
        <v>#REF!</v>
      </c>
      <c r="G1787" s="2"/>
      <c r="H1787" s="37">
        <v>1455</v>
      </c>
      <c r="I1787" s="4">
        <f t="shared" si="112"/>
        <v>0</v>
      </c>
      <c r="J1787" s="25">
        <f t="shared" ref="J1787:J1850" si="113">J1724+2</f>
        <v>57</v>
      </c>
    </row>
    <row r="1788" spans="1:10" ht="16.95" customHeight="1">
      <c r="A1788" s="75">
        <v>13</v>
      </c>
      <c r="B1788" s="80" t="s">
        <v>103</v>
      </c>
      <c r="C1788" s="77" t="s">
        <v>50</v>
      </c>
      <c r="D1788" s="78">
        <v>217</v>
      </c>
      <c r="E1788" s="79"/>
      <c r="F1788" s="79" t="e">
        <f t="shared" si="111"/>
        <v>#REF!</v>
      </c>
      <c r="G1788" s="2"/>
      <c r="H1788" s="37">
        <v>1410</v>
      </c>
      <c r="I1788" s="4">
        <f t="shared" si="112"/>
        <v>0</v>
      </c>
      <c r="J1788" s="25">
        <f t="shared" si="113"/>
        <v>57</v>
      </c>
    </row>
    <row r="1789" spans="1:10" ht="16.95" customHeight="1">
      <c r="A1789" s="75">
        <v>14</v>
      </c>
      <c r="B1789" s="80" t="s">
        <v>104</v>
      </c>
      <c r="C1789" s="77" t="s">
        <v>49</v>
      </c>
      <c r="D1789" s="78">
        <v>84</v>
      </c>
      <c r="E1789" s="79"/>
      <c r="F1789" s="79" t="e">
        <f t="shared" si="111"/>
        <v>#REF!</v>
      </c>
      <c r="G1789" s="2"/>
      <c r="H1789" s="37">
        <v>529</v>
      </c>
      <c r="I1789" s="4">
        <f t="shared" si="112"/>
        <v>0</v>
      </c>
      <c r="J1789" s="25">
        <f t="shared" si="113"/>
        <v>57</v>
      </c>
    </row>
    <row r="1790" spans="1:10" ht="16.95" customHeight="1">
      <c r="A1790" s="75">
        <v>15</v>
      </c>
      <c r="B1790" s="80" t="s">
        <v>105</v>
      </c>
      <c r="C1790" s="77" t="s">
        <v>50</v>
      </c>
      <c r="D1790" s="78">
        <v>1</v>
      </c>
      <c r="E1790" s="79"/>
      <c r="F1790" s="79" t="e">
        <f t="shared" si="111"/>
        <v>#REF!</v>
      </c>
      <c r="G1790" s="2"/>
      <c r="H1790" s="37">
        <v>1146</v>
      </c>
      <c r="I1790" s="4">
        <f t="shared" si="112"/>
        <v>0</v>
      </c>
      <c r="J1790" s="25">
        <f t="shared" si="113"/>
        <v>57</v>
      </c>
    </row>
    <row r="1791" spans="1:10" ht="34.799999999999997" customHeight="1">
      <c r="A1791" s="75">
        <v>16</v>
      </c>
      <c r="B1791" s="80" t="s">
        <v>106</v>
      </c>
      <c r="C1791" s="77" t="s">
        <v>50</v>
      </c>
      <c r="D1791" s="78">
        <v>314</v>
      </c>
      <c r="E1791" s="79"/>
      <c r="F1791" s="79" t="e">
        <f t="shared" si="111"/>
        <v>#REF!</v>
      </c>
      <c r="G1791" s="2"/>
      <c r="H1791" s="37">
        <v>185</v>
      </c>
      <c r="I1791" s="4">
        <f t="shared" si="112"/>
        <v>0</v>
      </c>
      <c r="J1791" s="25">
        <f t="shared" si="113"/>
        <v>57</v>
      </c>
    </row>
    <row r="1792" spans="1:10" ht="16.95" customHeight="1">
      <c r="A1792" s="75">
        <v>17</v>
      </c>
      <c r="B1792" s="80" t="s">
        <v>107</v>
      </c>
      <c r="C1792" s="77" t="s">
        <v>48</v>
      </c>
      <c r="D1792" s="78">
        <v>1</v>
      </c>
      <c r="E1792" s="79"/>
      <c r="F1792" s="79" t="e">
        <f t="shared" si="111"/>
        <v>#REF!</v>
      </c>
      <c r="G1792" s="2"/>
      <c r="H1792" s="37">
        <v>89918</v>
      </c>
      <c r="I1792" s="4">
        <f t="shared" si="112"/>
        <v>0</v>
      </c>
      <c r="J1792" s="25">
        <f t="shared" si="113"/>
        <v>57</v>
      </c>
    </row>
    <row r="1793" spans="1:10" ht="16.95" customHeight="1">
      <c r="A1793" s="75">
        <v>18</v>
      </c>
      <c r="B1793" s="80" t="s">
        <v>108</v>
      </c>
      <c r="C1793" s="77" t="s">
        <v>120</v>
      </c>
      <c r="D1793" s="78">
        <v>15</v>
      </c>
      <c r="E1793" s="79"/>
      <c r="F1793" s="79" t="e">
        <f t="shared" si="111"/>
        <v>#REF!</v>
      </c>
      <c r="G1793" s="2"/>
      <c r="H1793" s="37">
        <v>661</v>
      </c>
      <c r="I1793" s="4">
        <f t="shared" si="112"/>
        <v>0</v>
      </c>
      <c r="J1793" s="25">
        <f t="shared" si="113"/>
        <v>57</v>
      </c>
    </row>
    <row r="1794" spans="1:10" ht="16.95" customHeight="1">
      <c r="A1794" s="75">
        <v>19</v>
      </c>
      <c r="B1794" s="80" t="s">
        <v>109</v>
      </c>
      <c r="C1794" s="77" t="s">
        <v>50</v>
      </c>
      <c r="D1794" s="78">
        <v>82</v>
      </c>
      <c r="E1794" s="79"/>
      <c r="F1794" s="79" t="e">
        <f t="shared" si="111"/>
        <v>#REF!</v>
      </c>
      <c r="G1794" s="2"/>
      <c r="H1794" s="37">
        <v>2909</v>
      </c>
      <c r="I1794" s="4">
        <f t="shared" si="112"/>
        <v>0</v>
      </c>
      <c r="J1794" s="25">
        <f t="shared" si="113"/>
        <v>57</v>
      </c>
    </row>
    <row r="1795" spans="1:10" ht="16.95" customHeight="1">
      <c r="A1795" s="75">
        <v>20</v>
      </c>
      <c r="B1795" s="80" t="s">
        <v>110</v>
      </c>
      <c r="C1795" s="77" t="s">
        <v>121</v>
      </c>
      <c r="D1795" s="78">
        <v>12</v>
      </c>
      <c r="E1795" s="79"/>
      <c r="F1795" s="79" t="e">
        <f t="shared" si="111"/>
        <v>#REF!</v>
      </c>
      <c r="G1795" s="2"/>
      <c r="H1795" s="37">
        <v>882</v>
      </c>
      <c r="I1795" s="4">
        <f t="shared" si="112"/>
        <v>0</v>
      </c>
      <c r="J1795" s="25">
        <f t="shared" si="113"/>
        <v>57</v>
      </c>
    </row>
    <row r="1796" spans="1:10" ht="16.95" customHeight="1">
      <c r="A1796" s="77">
        <v>21</v>
      </c>
      <c r="B1796" s="80" t="s">
        <v>111</v>
      </c>
      <c r="C1796" s="77" t="s">
        <v>122</v>
      </c>
      <c r="D1796" s="78">
        <v>3</v>
      </c>
      <c r="E1796" s="79"/>
      <c r="F1796" s="79" t="e">
        <f t="shared" si="111"/>
        <v>#REF!</v>
      </c>
      <c r="G1796" s="2"/>
      <c r="H1796" s="38">
        <v>1869</v>
      </c>
      <c r="I1796" s="4">
        <f t="shared" si="112"/>
        <v>0</v>
      </c>
      <c r="J1796" s="25">
        <f t="shared" si="113"/>
        <v>57</v>
      </c>
    </row>
    <row r="1797" spans="1:10" ht="34.950000000000003" customHeight="1">
      <c r="A1797" s="75">
        <v>22</v>
      </c>
      <c r="B1797" s="80" t="s">
        <v>112</v>
      </c>
      <c r="C1797" s="77" t="s">
        <v>48</v>
      </c>
      <c r="D1797" s="78">
        <v>1</v>
      </c>
      <c r="E1797" s="79"/>
      <c r="F1797" s="79" t="e">
        <f t="shared" si="111"/>
        <v>#REF!</v>
      </c>
      <c r="G1797" s="2"/>
      <c r="H1797" s="37">
        <v>82206</v>
      </c>
      <c r="I1797" s="4">
        <f t="shared" si="112"/>
        <v>0</v>
      </c>
      <c r="J1797" s="25">
        <f t="shared" si="113"/>
        <v>57</v>
      </c>
    </row>
    <row r="1798" spans="1:10" ht="16.95" customHeight="1">
      <c r="A1798" s="75">
        <v>23</v>
      </c>
      <c r="B1798" s="80" t="s">
        <v>113</v>
      </c>
      <c r="C1798" s="77" t="s">
        <v>48</v>
      </c>
      <c r="D1798" s="78">
        <v>1</v>
      </c>
      <c r="E1798" s="79"/>
      <c r="F1798" s="79" t="e">
        <f t="shared" si="111"/>
        <v>#REF!</v>
      </c>
      <c r="G1798" s="2"/>
      <c r="H1798" s="37">
        <v>142723</v>
      </c>
      <c r="I1798" s="4">
        <f t="shared" si="112"/>
        <v>0</v>
      </c>
      <c r="J1798" s="25">
        <f t="shared" si="113"/>
        <v>57</v>
      </c>
    </row>
    <row r="1799" spans="1:10" ht="16.95" customHeight="1">
      <c r="A1799" s="75">
        <v>24</v>
      </c>
      <c r="B1799" s="80" t="s">
        <v>114</v>
      </c>
      <c r="C1799" s="77" t="s">
        <v>48</v>
      </c>
      <c r="D1799" s="78">
        <v>1</v>
      </c>
      <c r="E1799" s="79"/>
      <c r="F1799" s="79" t="e">
        <f t="shared" si="111"/>
        <v>#REF!</v>
      </c>
      <c r="G1799" s="2"/>
      <c r="H1799" s="37">
        <v>37290</v>
      </c>
      <c r="I1799" s="4">
        <f t="shared" si="112"/>
        <v>0</v>
      </c>
      <c r="J1799" s="25">
        <f t="shared" si="113"/>
        <v>57</v>
      </c>
    </row>
    <row r="1800" spans="1:10" ht="16.95" customHeight="1">
      <c r="A1800" s="75">
        <v>25</v>
      </c>
      <c r="B1800" s="80" t="s">
        <v>115</v>
      </c>
      <c r="C1800" s="77" t="s">
        <v>48</v>
      </c>
      <c r="D1800" s="78">
        <v>1</v>
      </c>
      <c r="E1800" s="79"/>
      <c r="F1800" s="79" t="e">
        <f t="shared" si="111"/>
        <v>#REF!</v>
      </c>
      <c r="G1800" s="2"/>
      <c r="H1800" s="37">
        <v>99394</v>
      </c>
      <c r="I1800" s="4">
        <f t="shared" si="112"/>
        <v>0</v>
      </c>
      <c r="J1800" s="25">
        <f t="shared" si="113"/>
        <v>57</v>
      </c>
    </row>
    <row r="1801" spans="1:10" ht="34.950000000000003" customHeight="1">
      <c r="A1801" s="75">
        <v>26</v>
      </c>
      <c r="B1801" s="80" t="s">
        <v>116</v>
      </c>
      <c r="C1801" s="77" t="s">
        <v>48</v>
      </c>
      <c r="D1801" s="78">
        <v>1</v>
      </c>
      <c r="E1801" s="79"/>
      <c r="F1801" s="79" t="e">
        <f t="shared" si="111"/>
        <v>#REF!</v>
      </c>
      <c r="G1801" s="2"/>
      <c r="H1801" s="37">
        <v>21334</v>
      </c>
      <c r="I1801" s="4">
        <f t="shared" si="112"/>
        <v>0</v>
      </c>
      <c r="J1801" s="25">
        <f t="shared" si="113"/>
        <v>57</v>
      </c>
    </row>
    <row r="1802" spans="1:10" ht="16.95" customHeight="1">
      <c r="A1802" s="75">
        <v>27</v>
      </c>
      <c r="B1802" s="80" t="s">
        <v>117</v>
      </c>
      <c r="C1802" s="77" t="s">
        <v>48</v>
      </c>
      <c r="D1802" s="78">
        <v>1</v>
      </c>
      <c r="E1802" s="79"/>
      <c r="F1802" s="79" t="e">
        <f t="shared" si="111"/>
        <v>#REF!</v>
      </c>
      <c r="G1802" s="2"/>
      <c r="H1802" s="37">
        <v>29620</v>
      </c>
      <c r="I1802" s="4">
        <f t="shared" si="112"/>
        <v>0</v>
      </c>
      <c r="J1802" s="25">
        <f t="shared" si="113"/>
        <v>57</v>
      </c>
    </row>
    <row r="1803" spans="1:10" ht="16.95" customHeight="1">
      <c r="A1803" s="75">
        <v>28</v>
      </c>
      <c r="B1803" s="80" t="s">
        <v>118</v>
      </c>
      <c r="C1803" s="77" t="s">
        <v>48</v>
      </c>
      <c r="D1803" s="78">
        <v>1</v>
      </c>
      <c r="E1803" s="79"/>
      <c r="F1803" s="79" t="e">
        <f t="shared" si="111"/>
        <v>#REF!</v>
      </c>
      <c r="G1803" s="2"/>
      <c r="H1803" s="37">
        <v>18506</v>
      </c>
      <c r="I1803" s="4">
        <f t="shared" si="112"/>
        <v>0</v>
      </c>
      <c r="J1803" s="25">
        <f t="shared" si="113"/>
        <v>57</v>
      </c>
    </row>
    <row r="1804" spans="1:10" ht="16.95" customHeight="1">
      <c r="A1804" s="75">
        <v>29</v>
      </c>
      <c r="B1804" s="80" t="s">
        <v>119</v>
      </c>
      <c r="C1804" s="77" t="s">
        <v>48</v>
      </c>
      <c r="D1804" s="78">
        <v>1</v>
      </c>
      <c r="E1804" s="79"/>
      <c r="F1804" s="79" t="e">
        <f t="shared" si="111"/>
        <v>#REF!</v>
      </c>
      <c r="G1804" s="2"/>
      <c r="H1804" s="37">
        <v>34381</v>
      </c>
      <c r="I1804" s="4">
        <f t="shared" si="112"/>
        <v>0</v>
      </c>
      <c r="J1804" s="25">
        <f t="shared" si="113"/>
        <v>57</v>
      </c>
    </row>
    <row r="1805" spans="1:10" ht="16.95" customHeight="1">
      <c r="A1805" s="75" t="s">
        <v>79</v>
      </c>
      <c r="B1805" s="80" t="s">
        <v>80</v>
      </c>
      <c r="C1805" s="77" t="s">
        <v>48</v>
      </c>
      <c r="D1805" s="78">
        <v>1</v>
      </c>
      <c r="E1805" s="79">
        <f t="shared" ref="E1805:E1808" si="114">1/120</f>
        <v>8.3333333333333332E-3</v>
      </c>
      <c r="F1805" s="79" t="e">
        <f t="shared" si="111"/>
        <v>#REF!</v>
      </c>
      <c r="G1805" s="2"/>
      <c r="H1805" s="37">
        <v>21395</v>
      </c>
      <c r="I1805" s="4">
        <f t="shared" si="112"/>
        <v>178.29166666666666</v>
      </c>
      <c r="J1805" s="25">
        <f t="shared" si="113"/>
        <v>57</v>
      </c>
    </row>
    <row r="1806" spans="1:10" ht="16.95" customHeight="1">
      <c r="A1806" s="75" t="s">
        <v>81</v>
      </c>
      <c r="B1806" s="80" t="s">
        <v>82</v>
      </c>
      <c r="C1806" s="77" t="s">
        <v>48</v>
      </c>
      <c r="D1806" s="78">
        <v>1</v>
      </c>
      <c r="E1806" s="79">
        <f t="shared" si="114"/>
        <v>8.3333333333333332E-3</v>
      </c>
      <c r="F1806" s="79" t="e">
        <f t="shared" si="111"/>
        <v>#REF!</v>
      </c>
      <c r="G1806" s="2"/>
      <c r="H1806" s="37">
        <v>21395</v>
      </c>
      <c r="I1806" s="4">
        <f t="shared" si="112"/>
        <v>178.29166666666666</v>
      </c>
      <c r="J1806" s="25">
        <f t="shared" si="113"/>
        <v>57</v>
      </c>
    </row>
    <row r="1807" spans="1:10" ht="16.95" customHeight="1">
      <c r="A1807" s="75" t="s">
        <v>83</v>
      </c>
      <c r="B1807" s="80" t="s">
        <v>84</v>
      </c>
      <c r="C1807" s="77" t="s">
        <v>48</v>
      </c>
      <c r="D1807" s="78">
        <v>1</v>
      </c>
      <c r="E1807" s="79">
        <f t="shared" si="114"/>
        <v>8.3333333333333332E-3</v>
      </c>
      <c r="F1807" s="79" t="e">
        <f t="shared" si="111"/>
        <v>#REF!</v>
      </c>
      <c r="G1807" s="2"/>
      <c r="H1807" s="37">
        <v>149765</v>
      </c>
      <c r="I1807" s="4">
        <f t="shared" si="112"/>
        <v>1248.0416666666667</v>
      </c>
      <c r="J1807" s="25">
        <f t="shared" si="113"/>
        <v>57</v>
      </c>
    </row>
    <row r="1808" spans="1:10" ht="16.95" customHeight="1">
      <c r="A1808" s="75" t="s">
        <v>85</v>
      </c>
      <c r="B1808" s="80" t="s">
        <v>86</v>
      </c>
      <c r="C1808" s="77" t="s">
        <v>48</v>
      </c>
      <c r="D1808" s="78">
        <v>1</v>
      </c>
      <c r="E1808" s="79">
        <f t="shared" si="114"/>
        <v>8.3333333333333332E-3</v>
      </c>
      <c r="F1808" s="79" t="e">
        <f t="shared" si="111"/>
        <v>#REF!</v>
      </c>
      <c r="G1808" s="2"/>
      <c r="H1808" s="37">
        <v>6996</v>
      </c>
      <c r="I1808" s="4">
        <f t="shared" si="112"/>
        <v>58.3</v>
      </c>
      <c r="J1808" s="25">
        <f t="shared" si="113"/>
        <v>57</v>
      </c>
    </row>
    <row r="1809" spans="1:10" ht="16.95" customHeight="1">
      <c r="A1809" s="75" t="s">
        <v>87</v>
      </c>
      <c r="B1809" s="80" t="s">
        <v>88</v>
      </c>
      <c r="C1809" s="77" t="s">
        <v>48</v>
      </c>
      <c r="D1809" s="78">
        <v>1</v>
      </c>
      <c r="E1809" s="79">
        <f>1/120</f>
        <v>8.3333333333333332E-3</v>
      </c>
      <c r="F1809" s="79" t="e">
        <f t="shared" si="111"/>
        <v>#REF!</v>
      </c>
      <c r="G1809" s="2"/>
      <c r="H1809" s="37">
        <v>116952</v>
      </c>
      <c r="I1809" s="4">
        <f t="shared" si="112"/>
        <v>974.6</v>
      </c>
      <c r="J1809" s="25">
        <f t="shared" si="113"/>
        <v>57</v>
      </c>
    </row>
    <row r="1810" spans="1:10" ht="16.95" customHeight="1">
      <c r="A1810" s="95" t="s">
        <v>23</v>
      </c>
      <c r="B1810" s="95"/>
      <c r="C1810" s="50"/>
      <c r="D1810" s="50"/>
      <c r="E1810" s="50"/>
      <c r="F1810" s="50"/>
      <c r="G1810" s="50"/>
      <c r="H1810" s="3" t="s">
        <v>24</v>
      </c>
      <c r="I1810" s="5">
        <f>SUM(I1775:I1809)</f>
        <v>2637.5250000000001</v>
      </c>
      <c r="J1810" s="25">
        <f t="shared" si="113"/>
        <v>57</v>
      </c>
    </row>
    <row r="1811" spans="1:10" ht="16.95" customHeight="1">
      <c r="A1811" s="96" t="s">
        <v>25</v>
      </c>
      <c r="B1811" s="96"/>
      <c r="C1811" s="50"/>
      <c r="D1811" s="50"/>
      <c r="E1811" s="50"/>
      <c r="F1811" s="50"/>
      <c r="G1811" s="50"/>
      <c r="J1811" s="25">
        <f t="shared" si="113"/>
        <v>57</v>
      </c>
    </row>
    <row r="1812" spans="1:10" ht="16.95" customHeight="1">
      <c r="A1812" s="96" t="s">
        <v>26</v>
      </c>
      <c r="B1812" s="96"/>
      <c r="C1812" s="50"/>
      <c r="D1812" s="50"/>
      <c r="E1812" s="50"/>
      <c r="F1812" s="50"/>
      <c r="G1812" s="50"/>
      <c r="J1812" s="25">
        <f t="shared" si="113"/>
        <v>57</v>
      </c>
    </row>
    <row r="1813" spans="1:10" ht="16.95" customHeight="1">
      <c r="A1813" s="95" t="s">
        <v>27</v>
      </c>
      <c r="B1813" s="95"/>
      <c r="C1813" s="95"/>
      <c r="D1813" s="95"/>
      <c r="E1813" s="95"/>
      <c r="F1813" s="95"/>
      <c r="G1813" s="95"/>
      <c r="J1813" s="25">
        <f t="shared" si="113"/>
        <v>57</v>
      </c>
    </row>
    <row r="1814" spans="1:10" ht="16.95" customHeight="1">
      <c r="A1814" s="94" t="s">
        <v>28</v>
      </c>
      <c r="B1814" s="94"/>
      <c r="C1814" s="51" t="s">
        <v>29</v>
      </c>
      <c r="D1814" s="51" t="s">
        <v>30</v>
      </c>
      <c r="E1814" s="51" t="s">
        <v>18</v>
      </c>
      <c r="F1814" s="51" t="s">
        <v>31</v>
      </c>
      <c r="G1814" s="51" t="s">
        <v>20</v>
      </c>
      <c r="J1814" s="25">
        <f t="shared" si="113"/>
        <v>57</v>
      </c>
    </row>
    <row r="1815" spans="1:10" ht="16.95" customHeight="1">
      <c r="A1815" s="96"/>
      <c r="B1815" s="96"/>
      <c r="C1815" s="50"/>
      <c r="D1815" s="50"/>
      <c r="E1815" s="50"/>
      <c r="F1815" s="50"/>
      <c r="G1815" s="51"/>
      <c r="J1815" s="25">
        <f t="shared" si="113"/>
        <v>57</v>
      </c>
    </row>
    <row r="1816" spans="1:10" ht="16.95" customHeight="1">
      <c r="A1816" s="97"/>
      <c r="B1816" s="97"/>
      <c r="C1816" s="50"/>
      <c r="D1816" s="50"/>
      <c r="E1816" s="50"/>
      <c r="F1816" s="51"/>
      <c r="G1816" s="51"/>
      <c r="J1816" s="25">
        <f t="shared" si="113"/>
        <v>57</v>
      </c>
    </row>
    <row r="1817" spans="1:10" ht="16.95" customHeight="1">
      <c r="A1817" s="95" t="s">
        <v>32</v>
      </c>
      <c r="B1817" s="95"/>
      <c r="C1817" s="95"/>
      <c r="D1817" s="95"/>
      <c r="E1817" s="95"/>
      <c r="F1817" s="95"/>
      <c r="G1817" s="95"/>
      <c r="J1817" s="25">
        <f t="shared" si="113"/>
        <v>58</v>
      </c>
    </row>
    <row r="1818" spans="1:10" ht="16.95" customHeight="1">
      <c r="A1818" s="51" t="s">
        <v>33</v>
      </c>
      <c r="B1818" s="51" t="s">
        <v>34</v>
      </c>
      <c r="C1818" s="94" t="s">
        <v>35</v>
      </c>
      <c r="D1818" s="94"/>
      <c r="E1818" s="51" t="s">
        <v>36</v>
      </c>
      <c r="F1818" s="51" t="s">
        <v>37</v>
      </c>
      <c r="G1818" s="51" t="s">
        <v>38</v>
      </c>
      <c r="J1818" s="25">
        <f t="shared" si="113"/>
        <v>58</v>
      </c>
    </row>
    <row r="1819" spans="1:10" ht="16.95" customHeight="1">
      <c r="A1819" s="51" t="s">
        <v>39</v>
      </c>
      <c r="B1819" s="6"/>
      <c r="C1819" s="94" t="e">
        <f>B1819+C1756</f>
        <v>#REF!</v>
      </c>
      <c r="D1819" s="94"/>
      <c r="E1819" s="51"/>
      <c r="F1819" s="24"/>
      <c r="G1819" s="24"/>
      <c r="J1819" s="25">
        <f t="shared" si="113"/>
        <v>58</v>
      </c>
    </row>
    <row r="1820" spans="1:10" ht="16.95" customHeight="1">
      <c r="A1820" s="51" t="s">
        <v>40</v>
      </c>
      <c r="B1820" s="6"/>
      <c r="C1820" s="94" t="e">
        <f>B1820+C1757</f>
        <v>#REF!</v>
      </c>
      <c r="D1820" s="94"/>
      <c r="E1820" s="51"/>
      <c r="F1820" s="24"/>
      <c r="G1820" s="24"/>
      <c r="J1820" s="25">
        <f t="shared" si="113"/>
        <v>58</v>
      </c>
    </row>
    <row r="1821" spans="1:10" ht="36.6" customHeight="1">
      <c r="A1821" s="95" t="s">
        <v>41</v>
      </c>
      <c r="B1821" s="95"/>
      <c r="C1821" s="95"/>
      <c r="D1821" s="95"/>
      <c r="E1821" s="95"/>
      <c r="F1821" s="95"/>
      <c r="G1821" s="95"/>
      <c r="J1821" s="25">
        <f t="shared" si="113"/>
        <v>58</v>
      </c>
    </row>
    <row r="1822" spans="1:10" ht="90" customHeight="1">
      <c r="A1822" s="92" t="s">
        <v>42</v>
      </c>
      <c r="B1822" s="92"/>
      <c r="C1822" s="92"/>
      <c r="D1822" s="92"/>
      <c r="E1822" s="92"/>
      <c r="F1822" s="92"/>
      <c r="G1822" s="92"/>
      <c r="J1822" s="25">
        <f t="shared" si="113"/>
        <v>58</v>
      </c>
    </row>
    <row r="1823" spans="1:10" ht="16.95" customHeight="1">
      <c r="A1823" s="95" t="s">
        <v>43</v>
      </c>
      <c r="B1823" s="95"/>
      <c r="C1823" s="95"/>
      <c r="D1823" s="95"/>
      <c r="E1823" s="95"/>
      <c r="F1823" s="95"/>
      <c r="G1823" s="95"/>
      <c r="J1823" s="25">
        <f t="shared" si="113"/>
        <v>58</v>
      </c>
    </row>
    <row r="1824" spans="1:10" ht="16.95" customHeight="1">
      <c r="A1824" s="95" t="s">
        <v>44</v>
      </c>
      <c r="B1824" s="95"/>
      <c r="C1824" s="95"/>
      <c r="D1824" s="95"/>
      <c r="E1824" s="95"/>
      <c r="F1824" s="95"/>
      <c r="G1824" s="95"/>
      <c r="J1824" s="25">
        <f t="shared" si="113"/>
        <v>58</v>
      </c>
    </row>
    <row r="1825" spans="1:10" ht="16.95" customHeight="1">
      <c r="A1825" s="91" t="s">
        <v>64</v>
      </c>
      <c r="B1825" s="91"/>
      <c r="C1825" s="91"/>
      <c r="D1825" s="91"/>
      <c r="E1825" s="91"/>
      <c r="F1825" s="91"/>
      <c r="G1825" s="91"/>
      <c r="J1825" s="25">
        <f t="shared" si="113"/>
        <v>58</v>
      </c>
    </row>
    <row r="1826" spans="1:10" ht="120.6" customHeight="1">
      <c r="A1826" s="92" t="s">
        <v>45</v>
      </c>
      <c r="B1826" s="92"/>
      <c r="C1826" s="92"/>
      <c r="D1826" s="92"/>
      <c r="E1826" s="92"/>
      <c r="F1826" s="92"/>
      <c r="G1826" s="92"/>
      <c r="J1826" s="25">
        <f t="shared" si="113"/>
        <v>58</v>
      </c>
    </row>
    <row r="1827" spans="1:10" ht="140.4" customHeight="1">
      <c r="A1827" s="93" t="s">
        <v>46</v>
      </c>
      <c r="B1827" s="93"/>
      <c r="C1827" s="93"/>
      <c r="D1827" s="93"/>
      <c r="E1827" s="93"/>
      <c r="F1827" s="93"/>
      <c r="G1827" s="93"/>
      <c r="J1827" s="25">
        <f t="shared" si="113"/>
        <v>58</v>
      </c>
    </row>
    <row r="1828" spans="1:10" ht="37.200000000000003" customHeight="1">
      <c r="A1828" s="103" t="s">
        <v>0</v>
      </c>
      <c r="B1828" s="103"/>
      <c r="C1828" s="103"/>
      <c r="D1828" s="103"/>
      <c r="E1828" s="103"/>
      <c r="F1828" s="103"/>
      <c r="G1828" s="103"/>
      <c r="J1828" s="25">
        <f t="shared" si="113"/>
        <v>59</v>
      </c>
    </row>
    <row r="1829" spans="1:10" ht="16.95" customHeight="1">
      <c r="A1829" s="1" t="s">
        <v>1</v>
      </c>
      <c r="B1829" s="104">
        <f>B1766+1</f>
        <v>31</v>
      </c>
      <c r="C1829" s="104"/>
      <c r="D1829" s="104"/>
      <c r="E1829" s="104"/>
      <c r="F1829" s="104"/>
      <c r="G1829" s="104"/>
      <c r="J1829" s="25">
        <f t="shared" si="113"/>
        <v>59</v>
      </c>
    </row>
    <row r="1830" spans="1:10" ht="16.95" customHeight="1">
      <c r="A1830" s="1" t="s">
        <v>2</v>
      </c>
      <c r="B1830" s="105" t="s">
        <v>63</v>
      </c>
      <c r="C1830" s="105"/>
      <c r="D1830" s="105"/>
      <c r="E1830" s="106">
        <f>E1767+1</f>
        <v>46233</v>
      </c>
      <c r="F1830" s="106"/>
      <c r="G1830" s="106"/>
      <c r="J1830" s="25">
        <f t="shared" si="113"/>
        <v>59</v>
      </c>
    </row>
    <row r="1831" spans="1:10" ht="16.95" customHeight="1">
      <c r="A1831" s="53" t="s">
        <v>3</v>
      </c>
      <c r="B1831" s="2" t="s">
        <v>67</v>
      </c>
      <c r="C1831" s="98" t="s">
        <v>4</v>
      </c>
      <c r="D1831" s="98"/>
      <c r="E1831" s="98" t="s">
        <v>47</v>
      </c>
      <c r="F1831" s="98"/>
      <c r="G1831" s="98"/>
      <c r="J1831" s="25">
        <f t="shared" si="113"/>
        <v>59</v>
      </c>
    </row>
    <row r="1832" spans="1:10" ht="16.95" customHeight="1">
      <c r="A1832" s="53" t="s">
        <v>5</v>
      </c>
      <c r="B1832" s="54">
        <v>120</v>
      </c>
      <c r="C1832" s="98" t="s">
        <v>6</v>
      </c>
      <c r="D1832" s="98"/>
      <c r="E1832" s="98" t="s">
        <v>123</v>
      </c>
      <c r="F1832" s="98"/>
      <c r="G1832" s="98"/>
      <c r="J1832" s="25">
        <f t="shared" si="113"/>
        <v>59</v>
      </c>
    </row>
    <row r="1833" spans="1:10" ht="16.95" customHeight="1">
      <c r="A1833" s="53" t="s">
        <v>7</v>
      </c>
      <c r="B1833" s="54">
        <f>B1829</f>
        <v>31</v>
      </c>
      <c r="C1833" s="100" t="s">
        <v>8</v>
      </c>
      <c r="D1833" s="100"/>
      <c r="E1833" s="101">
        <f>B1832-B1833</f>
        <v>89</v>
      </c>
      <c r="F1833" s="101"/>
      <c r="G1833" s="101"/>
      <c r="J1833" s="25">
        <f t="shared" si="113"/>
        <v>59</v>
      </c>
    </row>
    <row r="1834" spans="1:10" ht="16.95" customHeight="1">
      <c r="A1834" s="53" t="s">
        <v>9</v>
      </c>
      <c r="B1834" s="55">
        <v>46204</v>
      </c>
      <c r="C1834" s="98" t="s">
        <v>10</v>
      </c>
      <c r="D1834" s="98"/>
      <c r="E1834" s="102">
        <f>B1834+B1832-1</f>
        <v>46323</v>
      </c>
      <c r="F1834" s="102"/>
      <c r="G1834" s="102"/>
      <c r="J1834" s="25">
        <f t="shared" si="113"/>
        <v>59</v>
      </c>
    </row>
    <row r="1835" spans="1:10" ht="16.95" customHeight="1">
      <c r="A1835" s="53" t="s">
        <v>11</v>
      </c>
      <c r="B1835" s="56" t="e">
        <f>HLOOKUP(B1829,進度表!$Q$2:$Z$3,2,1)+B1772</f>
        <v>#REF!</v>
      </c>
      <c r="C1835" s="98" t="s">
        <v>12</v>
      </c>
      <c r="D1835" s="98"/>
      <c r="E1835" s="99" t="e">
        <f>I1873/I1835+E1772</f>
        <v>#REF!</v>
      </c>
      <c r="F1835" s="99"/>
      <c r="G1835" s="99"/>
      <c r="H1835" s="3" t="s">
        <v>62</v>
      </c>
      <c r="I1835" s="1">
        <v>2456000</v>
      </c>
      <c r="J1835" s="25">
        <f t="shared" si="113"/>
        <v>59</v>
      </c>
    </row>
    <row r="1836" spans="1:10" ht="16.95" customHeight="1">
      <c r="A1836" s="98" t="s">
        <v>13</v>
      </c>
      <c r="B1836" s="98"/>
      <c r="C1836" s="98"/>
      <c r="D1836" s="98"/>
      <c r="E1836" s="98"/>
      <c r="F1836" s="98"/>
      <c r="G1836" s="98"/>
      <c r="J1836" s="25">
        <f t="shared" si="113"/>
        <v>59</v>
      </c>
    </row>
    <row r="1837" spans="1:10" ht="16.95" customHeight="1">
      <c r="A1837" s="52" t="s">
        <v>14</v>
      </c>
      <c r="B1837" s="52" t="s">
        <v>15</v>
      </c>
      <c r="C1837" s="52" t="s">
        <v>16</v>
      </c>
      <c r="D1837" s="52" t="s">
        <v>17</v>
      </c>
      <c r="E1837" s="52" t="s">
        <v>18</v>
      </c>
      <c r="F1837" s="52" t="s">
        <v>19</v>
      </c>
      <c r="G1837" s="52" t="s">
        <v>20</v>
      </c>
      <c r="H1837" s="3" t="s">
        <v>21</v>
      </c>
      <c r="I1837" s="3" t="s">
        <v>22</v>
      </c>
      <c r="J1837" s="25">
        <f t="shared" si="113"/>
        <v>59</v>
      </c>
    </row>
    <row r="1838" spans="1:10" ht="16.95" customHeight="1">
      <c r="A1838" s="75" t="s">
        <v>65</v>
      </c>
      <c r="B1838" s="76" t="s">
        <v>69</v>
      </c>
      <c r="C1838" s="77"/>
      <c r="D1838" s="78"/>
      <c r="E1838" s="79"/>
      <c r="F1838" s="79"/>
      <c r="G1838" s="2"/>
      <c r="H1838" s="37"/>
      <c r="I1838" s="4"/>
      <c r="J1838" s="25">
        <f t="shared" si="113"/>
        <v>59</v>
      </c>
    </row>
    <row r="1839" spans="1:10" ht="34.950000000000003" customHeight="1">
      <c r="A1839" s="75">
        <v>1</v>
      </c>
      <c r="B1839" s="80" t="s">
        <v>91</v>
      </c>
      <c r="C1839" s="77" t="s">
        <v>48</v>
      </c>
      <c r="D1839" s="78">
        <v>1</v>
      </c>
      <c r="E1839" s="79"/>
      <c r="F1839" s="79" t="e">
        <f t="shared" ref="F1839:F1872" si="115">E1839+F1776</f>
        <v>#REF!</v>
      </c>
      <c r="G1839" s="2"/>
      <c r="H1839" s="37">
        <v>10508</v>
      </c>
      <c r="I1839" s="4">
        <f>H1839*E1839</f>
        <v>0</v>
      </c>
      <c r="J1839" s="25">
        <f t="shared" si="113"/>
        <v>59</v>
      </c>
    </row>
    <row r="1840" spans="1:10" ht="34.799999999999997" customHeight="1">
      <c r="A1840" s="75">
        <v>2</v>
      </c>
      <c r="B1840" s="80" t="s">
        <v>92</v>
      </c>
      <c r="C1840" s="77" t="s">
        <v>48</v>
      </c>
      <c r="D1840" s="78">
        <v>1</v>
      </c>
      <c r="E1840" s="79"/>
      <c r="F1840" s="79" t="e">
        <f t="shared" si="115"/>
        <v>#REF!</v>
      </c>
      <c r="G1840" s="2"/>
      <c r="H1840" s="37">
        <v>13223</v>
      </c>
      <c r="I1840" s="4">
        <f>H1840*E1840</f>
        <v>0</v>
      </c>
      <c r="J1840" s="25">
        <f t="shared" si="113"/>
        <v>59</v>
      </c>
    </row>
    <row r="1841" spans="1:10" ht="53.4" customHeight="1">
      <c r="A1841" s="75">
        <v>3</v>
      </c>
      <c r="B1841" s="80" t="s">
        <v>93</v>
      </c>
      <c r="C1841" s="77" t="s">
        <v>48</v>
      </c>
      <c r="D1841" s="78">
        <v>1</v>
      </c>
      <c r="E1841" s="79"/>
      <c r="F1841" s="79" t="e">
        <f t="shared" si="115"/>
        <v>#REF!</v>
      </c>
      <c r="G1841" s="2"/>
      <c r="H1841" s="37">
        <v>310497</v>
      </c>
      <c r="I1841" s="4">
        <f t="shared" ref="I1841:I1872" si="116">H1841*E1841</f>
        <v>0</v>
      </c>
      <c r="J1841" s="25">
        <f t="shared" si="113"/>
        <v>59</v>
      </c>
    </row>
    <row r="1842" spans="1:10" ht="16.95" customHeight="1">
      <c r="A1842" s="75">
        <v>4</v>
      </c>
      <c r="B1842" s="80" t="s">
        <v>94</v>
      </c>
      <c r="C1842" s="77" t="s">
        <v>48</v>
      </c>
      <c r="D1842" s="78">
        <v>1</v>
      </c>
      <c r="E1842" s="79"/>
      <c r="F1842" s="79" t="e">
        <f t="shared" si="115"/>
        <v>#REF!</v>
      </c>
      <c r="G1842" s="2"/>
      <c r="H1842" s="37">
        <v>8375</v>
      </c>
      <c r="I1842" s="4">
        <f t="shared" si="116"/>
        <v>0</v>
      </c>
      <c r="J1842" s="25">
        <f t="shared" si="113"/>
        <v>59</v>
      </c>
    </row>
    <row r="1843" spans="1:10" ht="16.95" customHeight="1">
      <c r="A1843" s="75">
        <v>5</v>
      </c>
      <c r="B1843" s="80" t="s">
        <v>95</v>
      </c>
      <c r="C1843" s="77" t="s">
        <v>48</v>
      </c>
      <c r="D1843" s="78">
        <v>1</v>
      </c>
      <c r="E1843" s="79"/>
      <c r="F1843" s="79" t="e">
        <f t="shared" si="115"/>
        <v>#REF!</v>
      </c>
      <c r="G1843" s="2"/>
      <c r="H1843" s="37">
        <v>51618</v>
      </c>
      <c r="I1843" s="4">
        <f t="shared" si="116"/>
        <v>0</v>
      </c>
      <c r="J1843" s="25">
        <f t="shared" si="113"/>
        <v>59</v>
      </c>
    </row>
    <row r="1844" spans="1:10" ht="16.95" customHeight="1">
      <c r="A1844" s="75">
        <v>6</v>
      </c>
      <c r="B1844" s="80" t="s">
        <v>96</v>
      </c>
      <c r="C1844" s="77" t="s">
        <v>50</v>
      </c>
      <c r="D1844" s="78">
        <v>11.55</v>
      </c>
      <c r="E1844" s="79"/>
      <c r="F1844" s="79" t="e">
        <f t="shared" si="115"/>
        <v>#REF!</v>
      </c>
      <c r="G1844" s="2"/>
      <c r="H1844" s="37">
        <v>1188</v>
      </c>
      <c r="I1844" s="4">
        <f t="shared" si="116"/>
        <v>0</v>
      </c>
      <c r="J1844" s="25">
        <f t="shared" si="113"/>
        <v>59</v>
      </c>
    </row>
    <row r="1845" spans="1:10" ht="34.950000000000003" customHeight="1">
      <c r="A1845" s="75">
        <v>7</v>
      </c>
      <c r="B1845" s="80" t="s">
        <v>97</v>
      </c>
      <c r="C1845" s="77" t="s">
        <v>48</v>
      </c>
      <c r="D1845" s="78">
        <v>1</v>
      </c>
      <c r="E1845" s="79"/>
      <c r="F1845" s="79" t="e">
        <f t="shared" si="115"/>
        <v>#REF!</v>
      </c>
      <c r="G1845" s="2"/>
      <c r="H1845" s="37">
        <v>21157</v>
      </c>
      <c r="I1845" s="4">
        <f t="shared" si="116"/>
        <v>0</v>
      </c>
      <c r="J1845" s="25">
        <f t="shared" si="113"/>
        <v>59</v>
      </c>
    </row>
    <row r="1846" spans="1:10" ht="16.95" customHeight="1">
      <c r="A1846" s="75">
        <v>8</v>
      </c>
      <c r="B1846" s="80" t="s">
        <v>98</v>
      </c>
      <c r="C1846" s="77" t="s">
        <v>50</v>
      </c>
      <c r="D1846" s="78">
        <v>387</v>
      </c>
      <c r="E1846" s="79"/>
      <c r="F1846" s="79" t="e">
        <f t="shared" si="115"/>
        <v>#REF!</v>
      </c>
      <c r="G1846" s="2"/>
      <c r="H1846" s="37">
        <v>705</v>
      </c>
      <c r="I1846" s="4">
        <f t="shared" si="116"/>
        <v>0</v>
      </c>
      <c r="J1846" s="25">
        <f t="shared" si="113"/>
        <v>59</v>
      </c>
    </row>
    <row r="1847" spans="1:10" ht="16.95" customHeight="1">
      <c r="A1847" s="75">
        <v>9</v>
      </c>
      <c r="B1847" s="80" t="s">
        <v>99</v>
      </c>
      <c r="C1847" s="77" t="s">
        <v>50</v>
      </c>
      <c r="D1847" s="78">
        <v>170</v>
      </c>
      <c r="E1847" s="79"/>
      <c r="F1847" s="79" t="e">
        <f t="shared" si="115"/>
        <v>#REF!</v>
      </c>
      <c r="G1847" s="2"/>
      <c r="H1847" s="37">
        <v>617</v>
      </c>
      <c r="I1847" s="4">
        <f t="shared" si="116"/>
        <v>0</v>
      </c>
      <c r="J1847" s="25">
        <f t="shared" si="113"/>
        <v>59</v>
      </c>
    </row>
    <row r="1848" spans="1:10" ht="16.95" customHeight="1">
      <c r="A1848" s="75">
        <v>10</v>
      </c>
      <c r="B1848" s="80" t="s">
        <v>100</v>
      </c>
      <c r="C1848" s="77" t="s">
        <v>66</v>
      </c>
      <c r="D1848" s="78">
        <v>15</v>
      </c>
      <c r="E1848" s="79"/>
      <c r="F1848" s="79" t="e">
        <f t="shared" si="115"/>
        <v>#REF!</v>
      </c>
      <c r="G1848" s="2"/>
      <c r="H1848" s="37">
        <v>617</v>
      </c>
      <c r="I1848" s="4">
        <f t="shared" si="116"/>
        <v>0</v>
      </c>
      <c r="J1848" s="25">
        <f t="shared" si="113"/>
        <v>59</v>
      </c>
    </row>
    <row r="1849" spans="1:10" ht="16.95" customHeight="1">
      <c r="A1849" s="75">
        <v>11</v>
      </c>
      <c r="B1849" s="80" t="s">
        <v>101</v>
      </c>
      <c r="C1849" s="77" t="s">
        <v>50</v>
      </c>
      <c r="D1849" s="78">
        <v>75</v>
      </c>
      <c r="E1849" s="79"/>
      <c r="F1849" s="79" t="e">
        <f t="shared" si="115"/>
        <v>#REF!</v>
      </c>
      <c r="G1849" s="2"/>
      <c r="H1849" s="37">
        <v>1146</v>
      </c>
      <c r="I1849" s="4">
        <f t="shared" si="116"/>
        <v>0</v>
      </c>
      <c r="J1849" s="25">
        <f t="shared" si="113"/>
        <v>59</v>
      </c>
    </row>
    <row r="1850" spans="1:10" ht="16.95" customHeight="1">
      <c r="A1850" s="75">
        <v>12</v>
      </c>
      <c r="B1850" s="80" t="s">
        <v>102</v>
      </c>
      <c r="C1850" s="77" t="s">
        <v>50</v>
      </c>
      <c r="D1850" s="78">
        <v>5</v>
      </c>
      <c r="E1850" s="79"/>
      <c r="F1850" s="79" t="e">
        <f t="shared" si="115"/>
        <v>#REF!</v>
      </c>
      <c r="G1850" s="2"/>
      <c r="H1850" s="37">
        <v>1455</v>
      </c>
      <c r="I1850" s="4">
        <f t="shared" si="116"/>
        <v>0</v>
      </c>
      <c r="J1850" s="25">
        <f t="shared" si="113"/>
        <v>59</v>
      </c>
    </row>
    <row r="1851" spans="1:10" ht="16.95" customHeight="1">
      <c r="A1851" s="75">
        <v>13</v>
      </c>
      <c r="B1851" s="80" t="s">
        <v>103</v>
      </c>
      <c r="C1851" s="77" t="s">
        <v>50</v>
      </c>
      <c r="D1851" s="78">
        <v>217</v>
      </c>
      <c r="E1851" s="79"/>
      <c r="F1851" s="79" t="e">
        <f t="shared" si="115"/>
        <v>#REF!</v>
      </c>
      <c r="G1851" s="2"/>
      <c r="H1851" s="37">
        <v>1410</v>
      </c>
      <c r="I1851" s="4">
        <f t="shared" si="116"/>
        <v>0</v>
      </c>
      <c r="J1851" s="25">
        <f t="shared" ref="J1851:J1914" si="117">J1788+2</f>
        <v>59</v>
      </c>
    </row>
    <row r="1852" spans="1:10" ht="16.95" customHeight="1">
      <c r="A1852" s="75">
        <v>14</v>
      </c>
      <c r="B1852" s="80" t="s">
        <v>104</v>
      </c>
      <c r="C1852" s="77" t="s">
        <v>49</v>
      </c>
      <c r="D1852" s="78">
        <v>84</v>
      </c>
      <c r="E1852" s="79"/>
      <c r="F1852" s="79" t="e">
        <f t="shared" si="115"/>
        <v>#REF!</v>
      </c>
      <c r="G1852" s="2"/>
      <c r="H1852" s="37">
        <v>529</v>
      </c>
      <c r="I1852" s="4">
        <f t="shared" si="116"/>
        <v>0</v>
      </c>
      <c r="J1852" s="25">
        <f t="shared" si="117"/>
        <v>59</v>
      </c>
    </row>
    <row r="1853" spans="1:10" ht="16.95" customHeight="1">
      <c r="A1853" s="75">
        <v>15</v>
      </c>
      <c r="B1853" s="80" t="s">
        <v>105</v>
      </c>
      <c r="C1853" s="77" t="s">
        <v>50</v>
      </c>
      <c r="D1853" s="78">
        <v>1</v>
      </c>
      <c r="E1853" s="79"/>
      <c r="F1853" s="79" t="e">
        <f t="shared" si="115"/>
        <v>#REF!</v>
      </c>
      <c r="G1853" s="2"/>
      <c r="H1853" s="37">
        <v>1146</v>
      </c>
      <c r="I1853" s="4">
        <f t="shared" si="116"/>
        <v>0</v>
      </c>
      <c r="J1853" s="25">
        <f t="shared" si="117"/>
        <v>59</v>
      </c>
    </row>
    <row r="1854" spans="1:10" ht="34.799999999999997" customHeight="1">
      <c r="A1854" s="75">
        <v>16</v>
      </c>
      <c r="B1854" s="80" t="s">
        <v>106</v>
      </c>
      <c r="C1854" s="77" t="s">
        <v>50</v>
      </c>
      <c r="D1854" s="78">
        <v>314</v>
      </c>
      <c r="E1854" s="79"/>
      <c r="F1854" s="79" t="e">
        <f t="shared" si="115"/>
        <v>#REF!</v>
      </c>
      <c r="G1854" s="2"/>
      <c r="H1854" s="37">
        <v>185</v>
      </c>
      <c r="I1854" s="4">
        <f t="shared" si="116"/>
        <v>0</v>
      </c>
      <c r="J1854" s="25">
        <f t="shared" si="117"/>
        <v>59</v>
      </c>
    </row>
    <row r="1855" spans="1:10" ht="16.95" customHeight="1">
      <c r="A1855" s="75">
        <v>17</v>
      </c>
      <c r="B1855" s="80" t="s">
        <v>107</v>
      </c>
      <c r="C1855" s="77" t="s">
        <v>48</v>
      </c>
      <c r="D1855" s="78">
        <v>1</v>
      </c>
      <c r="E1855" s="79"/>
      <c r="F1855" s="79" t="e">
        <f t="shared" si="115"/>
        <v>#REF!</v>
      </c>
      <c r="G1855" s="2"/>
      <c r="H1855" s="37">
        <v>89918</v>
      </c>
      <c r="I1855" s="4">
        <f t="shared" si="116"/>
        <v>0</v>
      </c>
      <c r="J1855" s="25">
        <f t="shared" si="117"/>
        <v>59</v>
      </c>
    </row>
    <row r="1856" spans="1:10" ht="16.95" customHeight="1">
      <c r="A1856" s="75">
        <v>18</v>
      </c>
      <c r="B1856" s="80" t="s">
        <v>108</v>
      </c>
      <c r="C1856" s="77" t="s">
        <v>120</v>
      </c>
      <c r="D1856" s="78">
        <v>15</v>
      </c>
      <c r="E1856" s="79"/>
      <c r="F1856" s="79" t="e">
        <f t="shared" si="115"/>
        <v>#REF!</v>
      </c>
      <c r="G1856" s="2"/>
      <c r="H1856" s="37">
        <v>661</v>
      </c>
      <c r="I1856" s="4">
        <f t="shared" si="116"/>
        <v>0</v>
      </c>
      <c r="J1856" s="25">
        <f t="shared" si="117"/>
        <v>59</v>
      </c>
    </row>
    <row r="1857" spans="1:10" ht="16.95" customHeight="1">
      <c r="A1857" s="75">
        <v>19</v>
      </c>
      <c r="B1857" s="80" t="s">
        <v>109</v>
      </c>
      <c r="C1857" s="77" t="s">
        <v>50</v>
      </c>
      <c r="D1857" s="78">
        <v>82</v>
      </c>
      <c r="E1857" s="79"/>
      <c r="F1857" s="79" t="e">
        <f t="shared" si="115"/>
        <v>#REF!</v>
      </c>
      <c r="G1857" s="2"/>
      <c r="H1857" s="37">
        <v>2909</v>
      </c>
      <c r="I1857" s="4">
        <f t="shared" si="116"/>
        <v>0</v>
      </c>
      <c r="J1857" s="25">
        <f t="shared" si="117"/>
        <v>59</v>
      </c>
    </row>
    <row r="1858" spans="1:10" ht="16.95" customHeight="1">
      <c r="A1858" s="75">
        <v>20</v>
      </c>
      <c r="B1858" s="80" t="s">
        <v>110</v>
      </c>
      <c r="C1858" s="77" t="s">
        <v>121</v>
      </c>
      <c r="D1858" s="78">
        <v>12</v>
      </c>
      <c r="E1858" s="79"/>
      <c r="F1858" s="79" t="e">
        <f t="shared" si="115"/>
        <v>#REF!</v>
      </c>
      <c r="G1858" s="2"/>
      <c r="H1858" s="37">
        <v>882</v>
      </c>
      <c r="I1858" s="4">
        <f t="shared" si="116"/>
        <v>0</v>
      </c>
      <c r="J1858" s="25">
        <f t="shared" si="117"/>
        <v>59</v>
      </c>
    </row>
    <row r="1859" spans="1:10" ht="16.95" customHeight="1">
      <c r="A1859" s="77">
        <v>21</v>
      </c>
      <c r="B1859" s="80" t="s">
        <v>111</v>
      </c>
      <c r="C1859" s="77" t="s">
        <v>122</v>
      </c>
      <c r="D1859" s="78">
        <v>3</v>
      </c>
      <c r="E1859" s="79"/>
      <c r="F1859" s="79" t="e">
        <f t="shared" si="115"/>
        <v>#REF!</v>
      </c>
      <c r="G1859" s="2"/>
      <c r="H1859" s="38">
        <v>1869</v>
      </c>
      <c r="I1859" s="4">
        <f t="shared" si="116"/>
        <v>0</v>
      </c>
      <c r="J1859" s="25">
        <f t="shared" si="117"/>
        <v>59</v>
      </c>
    </row>
    <row r="1860" spans="1:10" ht="34.950000000000003" customHeight="1">
      <c r="A1860" s="75">
        <v>22</v>
      </c>
      <c r="B1860" s="80" t="s">
        <v>112</v>
      </c>
      <c r="C1860" s="77" t="s">
        <v>48</v>
      </c>
      <c r="D1860" s="78">
        <v>1</v>
      </c>
      <c r="E1860" s="79"/>
      <c r="F1860" s="79" t="e">
        <f t="shared" si="115"/>
        <v>#REF!</v>
      </c>
      <c r="G1860" s="2"/>
      <c r="H1860" s="37">
        <v>82206</v>
      </c>
      <c r="I1860" s="4">
        <f t="shared" si="116"/>
        <v>0</v>
      </c>
      <c r="J1860" s="25">
        <f t="shared" si="117"/>
        <v>59</v>
      </c>
    </row>
    <row r="1861" spans="1:10" ht="16.95" customHeight="1">
      <c r="A1861" s="75">
        <v>23</v>
      </c>
      <c r="B1861" s="80" t="s">
        <v>113</v>
      </c>
      <c r="C1861" s="77" t="s">
        <v>48</v>
      </c>
      <c r="D1861" s="78">
        <v>1</v>
      </c>
      <c r="E1861" s="79"/>
      <c r="F1861" s="79" t="e">
        <f t="shared" si="115"/>
        <v>#REF!</v>
      </c>
      <c r="G1861" s="2"/>
      <c r="H1861" s="37">
        <v>142723</v>
      </c>
      <c r="I1861" s="4">
        <f t="shared" si="116"/>
        <v>0</v>
      </c>
      <c r="J1861" s="25">
        <f t="shared" si="117"/>
        <v>59</v>
      </c>
    </row>
    <row r="1862" spans="1:10" ht="16.95" customHeight="1">
      <c r="A1862" s="75">
        <v>24</v>
      </c>
      <c r="B1862" s="80" t="s">
        <v>114</v>
      </c>
      <c r="C1862" s="77" t="s">
        <v>48</v>
      </c>
      <c r="D1862" s="78">
        <v>1</v>
      </c>
      <c r="E1862" s="79"/>
      <c r="F1862" s="79" t="e">
        <f t="shared" si="115"/>
        <v>#REF!</v>
      </c>
      <c r="G1862" s="2"/>
      <c r="H1862" s="37">
        <v>37290</v>
      </c>
      <c r="I1862" s="4">
        <f t="shared" si="116"/>
        <v>0</v>
      </c>
      <c r="J1862" s="25">
        <f t="shared" si="117"/>
        <v>59</v>
      </c>
    </row>
    <row r="1863" spans="1:10" ht="16.95" customHeight="1">
      <c r="A1863" s="75">
        <v>25</v>
      </c>
      <c r="B1863" s="80" t="s">
        <v>115</v>
      </c>
      <c r="C1863" s="77" t="s">
        <v>48</v>
      </c>
      <c r="D1863" s="78">
        <v>1</v>
      </c>
      <c r="E1863" s="79"/>
      <c r="F1863" s="79" t="e">
        <f t="shared" si="115"/>
        <v>#REF!</v>
      </c>
      <c r="G1863" s="2"/>
      <c r="H1863" s="37">
        <v>99394</v>
      </c>
      <c r="I1863" s="4">
        <f t="shared" si="116"/>
        <v>0</v>
      </c>
      <c r="J1863" s="25">
        <f t="shared" si="117"/>
        <v>59</v>
      </c>
    </row>
    <row r="1864" spans="1:10" ht="34.950000000000003" customHeight="1">
      <c r="A1864" s="75">
        <v>26</v>
      </c>
      <c r="B1864" s="80" t="s">
        <v>116</v>
      </c>
      <c r="C1864" s="77" t="s">
        <v>48</v>
      </c>
      <c r="D1864" s="78">
        <v>1</v>
      </c>
      <c r="E1864" s="79"/>
      <c r="F1864" s="79" t="e">
        <f t="shared" si="115"/>
        <v>#REF!</v>
      </c>
      <c r="G1864" s="2"/>
      <c r="H1864" s="37">
        <v>21334</v>
      </c>
      <c r="I1864" s="4">
        <f t="shared" si="116"/>
        <v>0</v>
      </c>
      <c r="J1864" s="25">
        <f t="shared" si="117"/>
        <v>59</v>
      </c>
    </row>
    <row r="1865" spans="1:10" ht="16.95" customHeight="1">
      <c r="A1865" s="75">
        <v>27</v>
      </c>
      <c r="B1865" s="80" t="s">
        <v>117</v>
      </c>
      <c r="C1865" s="77" t="s">
        <v>48</v>
      </c>
      <c r="D1865" s="78">
        <v>1</v>
      </c>
      <c r="E1865" s="79"/>
      <c r="F1865" s="79" t="e">
        <f t="shared" si="115"/>
        <v>#REF!</v>
      </c>
      <c r="G1865" s="2"/>
      <c r="H1865" s="37">
        <v>29620</v>
      </c>
      <c r="I1865" s="4">
        <f t="shared" si="116"/>
        <v>0</v>
      </c>
      <c r="J1865" s="25">
        <f t="shared" si="117"/>
        <v>59</v>
      </c>
    </row>
    <row r="1866" spans="1:10" ht="16.95" customHeight="1">
      <c r="A1866" s="75">
        <v>28</v>
      </c>
      <c r="B1866" s="80" t="s">
        <v>118</v>
      </c>
      <c r="C1866" s="77" t="s">
        <v>48</v>
      </c>
      <c r="D1866" s="78">
        <v>1</v>
      </c>
      <c r="E1866" s="79"/>
      <c r="F1866" s="79" t="e">
        <f t="shared" si="115"/>
        <v>#REF!</v>
      </c>
      <c r="G1866" s="2"/>
      <c r="H1866" s="37">
        <v>18506</v>
      </c>
      <c r="I1866" s="4">
        <f t="shared" si="116"/>
        <v>0</v>
      </c>
      <c r="J1866" s="25">
        <f t="shared" si="117"/>
        <v>59</v>
      </c>
    </row>
    <row r="1867" spans="1:10" ht="16.95" customHeight="1">
      <c r="A1867" s="75">
        <v>29</v>
      </c>
      <c r="B1867" s="80" t="s">
        <v>119</v>
      </c>
      <c r="C1867" s="77" t="s">
        <v>48</v>
      </c>
      <c r="D1867" s="78">
        <v>1</v>
      </c>
      <c r="E1867" s="79"/>
      <c r="F1867" s="79" t="e">
        <f t="shared" si="115"/>
        <v>#REF!</v>
      </c>
      <c r="G1867" s="2"/>
      <c r="H1867" s="37">
        <v>34381</v>
      </c>
      <c r="I1867" s="4">
        <f t="shared" si="116"/>
        <v>0</v>
      </c>
      <c r="J1867" s="25">
        <f t="shared" si="117"/>
        <v>59</v>
      </c>
    </row>
    <row r="1868" spans="1:10" ht="16.95" customHeight="1">
      <c r="A1868" s="75" t="s">
        <v>79</v>
      </c>
      <c r="B1868" s="80" t="s">
        <v>80</v>
      </c>
      <c r="C1868" s="77" t="s">
        <v>48</v>
      </c>
      <c r="D1868" s="78">
        <v>1</v>
      </c>
      <c r="E1868" s="79">
        <f t="shared" ref="E1868:E1871" si="118">1/120</f>
        <v>8.3333333333333332E-3</v>
      </c>
      <c r="F1868" s="79" t="e">
        <f t="shared" si="115"/>
        <v>#REF!</v>
      </c>
      <c r="G1868" s="2"/>
      <c r="H1868" s="37">
        <v>21395</v>
      </c>
      <c r="I1868" s="4">
        <f t="shared" si="116"/>
        <v>178.29166666666666</v>
      </c>
      <c r="J1868" s="25">
        <f t="shared" si="117"/>
        <v>59</v>
      </c>
    </row>
    <row r="1869" spans="1:10" ht="16.95" customHeight="1">
      <c r="A1869" s="75" t="s">
        <v>81</v>
      </c>
      <c r="B1869" s="80" t="s">
        <v>82</v>
      </c>
      <c r="C1869" s="77" t="s">
        <v>48</v>
      </c>
      <c r="D1869" s="78">
        <v>1</v>
      </c>
      <c r="E1869" s="79">
        <f t="shared" si="118"/>
        <v>8.3333333333333332E-3</v>
      </c>
      <c r="F1869" s="79" t="e">
        <f t="shared" si="115"/>
        <v>#REF!</v>
      </c>
      <c r="G1869" s="2"/>
      <c r="H1869" s="37">
        <v>21395</v>
      </c>
      <c r="I1869" s="4">
        <f t="shared" si="116"/>
        <v>178.29166666666666</v>
      </c>
      <c r="J1869" s="25">
        <f t="shared" si="117"/>
        <v>59</v>
      </c>
    </row>
    <row r="1870" spans="1:10" ht="16.95" customHeight="1">
      <c r="A1870" s="75" t="s">
        <v>83</v>
      </c>
      <c r="B1870" s="80" t="s">
        <v>84</v>
      </c>
      <c r="C1870" s="77" t="s">
        <v>48</v>
      </c>
      <c r="D1870" s="78">
        <v>1</v>
      </c>
      <c r="E1870" s="79">
        <f t="shared" si="118"/>
        <v>8.3333333333333332E-3</v>
      </c>
      <c r="F1870" s="79" t="e">
        <f t="shared" si="115"/>
        <v>#REF!</v>
      </c>
      <c r="G1870" s="2"/>
      <c r="H1870" s="37">
        <v>149765</v>
      </c>
      <c r="I1870" s="4">
        <f t="shared" si="116"/>
        <v>1248.0416666666667</v>
      </c>
      <c r="J1870" s="25">
        <f t="shared" si="117"/>
        <v>59</v>
      </c>
    </row>
    <row r="1871" spans="1:10" ht="16.95" customHeight="1">
      <c r="A1871" s="75" t="s">
        <v>85</v>
      </c>
      <c r="B1871" s="80" t="s">
        <v>86</v>
      </c>
      <c r="C1871" s="77" t="s">
        <v>48</v>
      </c>
      <c r="D1871" s="78">
        <v>1</v>
      </c>
      <c r="E1871" s="79">
        <f t="shared" si="118"/>
        <v>8.3333333333333332E-3</v>
      </c>
      <c r="F1871" s="79" t="e">
        <f t="shared" si="115"/>
        <v>#REF!</v>
      </c>
      <c r="G1871" s="2"/>
      <c r="H1871" s="37">
        <v>6996</v>
      </c>
      <c r="I1871" s="4">
        <f t="shared" si="116"/>
        <v>58.3</v>
      </c>
      <c r="J1871" s="25">
        <f t="shared" si="117"/>
        <v>59</v>
      </c>
    </row>
    <row r="1872" spans="1:10" ht="16.95" customHeight="1">
      <c r="A1872" s="75" t="s">
        <v>87</v>
      </c>
      <c r="B1872" s="80" t="s">
        <v>88</v>
      </c>
      <c r="C1872" s="77" t="s">
        <v>48</v>
      </c>
      <c r="D1872" s="78">
        <v>1</v>
      </c>
      <c r="E1872" s="79">
        <f>1/120</f>
        <v>8.3333333333333332E-3</v>
      </c>
      <c r="F1872" s="79" t="e">
        <f t="shared" si="115"/>
        <v>#REF!</v>
      </c>
      <c r="G1872" s="2"/>
      <c r="H1872" s="37">
        <v>116952</v>
      </c>
      <c r="I1872" s="4">
        <f t="shared" si="116"/>
        <v>974.6</v>
      </c>
      <c r="J1872" s="25">
        <f t="shared" si="117"/>
        <v>59</v>
      </c>
    </row>
    <row r="1873" spans="1:10" ht="16.95" customHeight="1">
      <c r="A1873" s="95" t="s">
        <v>23</v>
      </c>
      <c r="B1873" s="95"/>
      <c r="C1873" s="50"/>
      <c r="D1873" s="50"/>
      <c r="E1873" s="50"/>
      <c r="F1873" s="50"/>
      <c r="G1873" s="50"/>
      <c r="H1873" s="3" t="s">
        <v>24</v>
      </c>
      <c r="I1873" s="5">
        <f>SUM(I1838:I1872)</f>
        <v>2637.5250000000001</v>
      </c>
      <c r="J1873" s="25">
        <f t="shared" si="117"/>
        <v>59</v>
      </c>
    </row>
    <row r="1874" spans="1:10" ht="16.95" customHeight="1">
      <c r="A1874" s="96" t="s">
        <v>25</v>
      </c>
      <c r="B1874" s="96"/>
      <c r="C1874" s="50"/>
      <c r="D1874" s="50"/>
      <c r="E1874" s="50"/>
      <c r="F1874" s="50"/>
      <c r="G1874" s="50"/>
      <c r="J1874" s="25">
        <f t="shared" si="117"/>
        <v>59</v>
      </c>
    </row>
    <row r="1875" spans="1:10" ht="16.95" customHeight="1">
      <c r="A1875" s="96" t="s">
        <v>26</v>
      </c>
      <c r="B1875" s="96"/>
      <c r="C1875" s="50"/>
      <c r="D1875" s="50"/>
      <c r="E1875" s="50"/>
      <c r="F1875" s="50"/>
      <c r="G1875" s="50"/>
      <c r="J1875" s="25">
        <f t="shared" si="117"/>
        <v>59</v>
      </c>
    </row>
    <row r="1876" spans="1:10" ht="16.95" customHeight="1">
      <c r="A1876" s="95" t="s">
        <v>27</v>
      </c>
      <c r="B1876" s="95"/>
      <c r="C1876" s="95"/>
      <c r="D1876" s="95"/>
      <c r="E1876" s="95"/>
      <c r="F1876" s="95"/>
      <c r="G1876" s="95"/>
      <c r="J1876" s="25">
        <f t="shared" si="117"/>
        <v>59</v>
      </c>
    </row>
    <row r="1877" spans="1:10" ht="16.95" customHeight="1">
      <c r="A1877" s="94" t="s">
        <v>28</v>
      </c>
      <c r="B1877" s="94"/>
      <c r="C1877" s="51" t="s">
        <v>29</v>
      </c>
      <c r="D1877" s="51" t="s">
        <v>30</v>
      </c>
      <c r="E1877" s="51" t="s">
        <v>18</v>
      </c>
      <c r="F1877" s="51" t="s">
        <v>31</v>
      </c>
      <c r="G1877" s="51" t="s">
        <v>20</v>
      </c>
      <c r="J1877" s="25">
        <f t="shared" si="117"/>
        <v>59</v>
      </c>
    </row>
    <row r="1878" spans="1:10" ht="16.95" customHeight="1">
      <c r="A1878" s="96"/>
      <c r="B1878" s="96"/>
      <c r="C1878" s="50"/>
      <c r="D1878" s="50"/>
      <c r="E1878" s="50"/>
      <c r="F1878" s="50"/>
      <c r="G1878" s="51"/>
      <c r="J1878" s="25">
        <f t="shared" si="117"/>
        <v>59</v>
      </c>
    </row>
    <row r="1879" spans="1:10" ht="16.95" customHeight="1">
      <c r="A1879" s="97"/>
      <c r="B1879" s="97"/>
      <c r="C1879" s="50"/>
      <c r="D1879" s="50"/>
      <c r="E1879" s="50"/>
      <c r="F1879" s="51"/>
      <c r="G1879" s="51"/>
      <c r="J1879" s="25">
        <f t="shared" si="117"/>
        <v>59</v>
      </c>
    </row>
    <row r="1880" spans="1:10" ht="16.95" customHeight="1">
      <c r="A1880" s="95" t="s">
        <v>32</v>
      </c>
      <c r="B1880" s="95"/>
      <c r="C1880" s="95"/>
      <c r="D1880" s="95"/>
      <c r="E1880" s="95"/>
      <c r="F1880" s="95"/>
      <c r="G1880" s="95"/>
      <c r="J1880" s="25">
        <f t="shared" si="117"/>
        <v>60</v>
      </c>
    </row>
    <row r="1881" spans="1:10" ht="16.95" customHeight="1">
      <c r="A1881" s="51" t="s">
        <v>33</v>
      </c>
      <c r="B1881" s="51" t="s">
        <v>34</v>
      </c>
      <c r="C1881" s="94" t="s">
        <v>35</v>
      </c>
      <c r="D1881" s="94"/>
      <c r="E1881" s="51" t="s">
        <v>36</v>
      </c>
      <c r="F1881" s="51" t="s">
        <v>37</v>
      </c>
      <c r="G1881" s="51" t="s">
        <v>38</v>
      </c>
      <c r="J1881" s="25">
        <f t="shared" si="117"/>
        <v>60</v>
      </c>
    </row>
    <row r="1882" spans="1:10" ht="16.95" customHeight="1">
      <c r="A1882" s="51" t="s">
        <v>39</v>
      </c>
      <c r="B1882" s="6"/>
      <c r="C1882" s="94" t="e">
        <f>B1882+C1819</f>
        <v>#REF!</v>
      </c>
      <c r="D1882" s="94"/>
      <c r="E1882" s="51"/>
      <c r="F1882" s="24"/>
      <c r="G1882" s="24"/>
      <c r="J1882" s="25">
        <f t="shared" si="117"/>
        <v>60</v>
      </c>
    </row>
    <row r="1883" spans="1:10" ht="16.95" customHeight="1">
      <c r="A1883" s="51" t="s">
        <v>40</v>
      </c>
      <c r="B1883" s="6"/>
      <c r="C1883" s="94" t="e">
        <f>B1883+C1820</f>
        <v>#REF!</v>
      </c>
      <c r="D1883" s="94"/>
      <c r="E1883" s="51"/>
      <c r="F1883" s="24"/>
      <c r="G1883" s="24"/>
      <c r="J1883" s="25">
        <f t="shared" si="117"/>
        <v>60</v>
      </c>
    </row>
    <row r="1884" spans="1:10" ht="36.6" customHeight="1">
      <c r="A1884" s="95" t="s">
        <v>41</v>
      </c>
      <c r="B1884" s="95"/>
      <c r="C1884" s="95"/>
      <c r="D1884" s="95"/>
      <c r="E1884" s="95"/>
      <c r="F1884" s="95"/>
      <c r="G1884" s="95"/>
      <c r="J1884" s="25">
        <f t="shared" si="117"/>
        <v>60</v>
      </c>
    </row>
    <row r="1885" spans="1:10" ht="90" customHeight="1">
      <c r="A1885" s="92" t="s">
        <v>42</v>
      </c>
      <c r="B1885" s="92"/>
      <c r="C1885" s="92"/>
      <c r="D1885" s="92"/>
      <c r="E1885" s="92"/>
      <c r="F1885" s="92"/>
      <c r="G1885" s="92"/>
      <c r="J1885" s="25">
        <f t="shared" si="117"/>
        <v>60</v>
      </c>
    </row>
    <row r="1886" spans="1:10" ht="16.95" customHeight="1">
      <c r="A1886" s="95" t="s">
        <v>43</v>
      </c>
      <c r="B1886" s="95"/>
      <c r="C1886" s="95"/>
      <c r="D1886" s="95"/>
      <c r="E1886" s="95"/>
      <c r="F1886" s="95"/>
      <c r="G1886" s="95"/>
      <c r="J1886" s="25">
        <f t="shared" si="117"/>
        <v>60</v>
      </c>
    </row>
    <row r="1887" spans="1:10" ht="16.95" customHeight="1">
      <c r="A1887" s="95" t="s">
        <v>44</v>
      </c>
      <c r="B1887" s="95"/>
      <c r="C1887" s="95"/>
      <c r="D1887" s="95"/>
      <c r="E1887" s="95"/>
      <c r="F1887" s="95"/>
      <c r="G1887" s="95"/>
      <c r="J1887" s="25">
        <f t="shared" si="117"/>
        <v>60</v>
      </c>
    </row>
    <row r="1888" spans="1:10" ht="16.95" customHeight="1">
      <c r="A1888" s="91" t="s">
        <v>64</v>
      </c>
      <c r="B1888" s="91"/>
      <c r="C1888" s="91"/>
      <c r="D1888" s="91"/>
      <c r="E1888" s="91"/>
      <c r="F1888" s="91"/>
      <c r="G1888" s="91"/>
      <c r="J1888" s="25">
        <f t="shared" si="117"/>
        <v>60</v>
      </c>
    </row>
    <row r="1889" spans="1:10" ht="120.6" customHeight="1">
      <c r="A1889" s="92" t="s">
        <v>45</v>
      </c>
      <c r="B1889" s="92"/>
      <c r="C1889" s="92"/>
      <c r="D1889" s="92"/>
      <c r="E1889" s="92"/>
      <c r="F1889" s="92"/>
      <c r="G1889" s="92"/>
      <c r="J1889" s="25">
        <f t="shared" si="117"/>
        <v>60</v>
      </c>
    </row>
    <row r="1890" spans="1:10" ht="140.4" customHeight="1">
      <c r="A1890" s="93" t="s">
        <v>46</v>
      </c>
      <c r="B1890" s="93"/>
      <c r="C1890" s="93"/>
      <c r="D1890" s="93"/>
      <c r="E1890" s="93"/>
      <c r="F1890" s="93"/>
      <c r="G1890" s="93"/>
      <c r="J1890" s="25">
        <f t="shared" si="117"/>
        <v>60</v>
      </c>
    </row>
    <row r="1891" spans="1:10" ht="37.200000000000003" customHeight="1">
      <c r="A1891" s="103" t="s">
        <v>0</v>
      </c>
      <c r="B1891" s="103"/>
      <c r="C1891" s="103"/>
      <c r="D1891" s="103"/>
      <c r="E1891" s="103"/>
      <c r="F1891" s="103"/>
      <c r="G1891" s="103"/>
      <c r="J1891" s="25">
        <f t="shared" si="117"/>
        <v>61</v>
      </c>
    </row>
    <row r="1892" spans="1:10" ht="16.95" customHeight="1">
      <c r="A1892" s="1" t="s">
        <v>1</v>
      </c>
      <c r="B1892" s="104">
        <f>B1829+1</f>
        <v>32</v>
      </c>
      <c r="C1892" s="104"/>
      <c r="D1892" s="104"/>
      <c r="E1892" s="104"/>
      <c r="F1892" s="104"/>
      <c r="G1892" s="104"/>
      <c r="J1892" s="25">
        <f t="shared" si="117"/>
        <v>61</v>
      </c>
    </row>
    <row r="1893" spans="1:10" ht="16.95" customHeight="1">
      <c r="A1893" s="1" t="s">
        <v>2</v>
      </c>
      <c r="B1893" s="105" t="s">
        <v>63</v>
      </c>
      <c r="C1893" s="105"/>
      <c r="D1893" s="105"/>
      <c r="E1893" s="106">
        <f>E1830+1</f>
        <v>46234</v>
      </c>
      <c r="F1893" s="106"/>
      <c r="G1893" s="106"/>
      <c r="J1893" s="25">
        <f t="shared" si="117"/>
        <v>61</v>
      </c>
    </row>
    <row r="1894" spans="1:10" ht="16.95" customHeight="1">
      <c r="A1894" s="53" t="s">
        <v>3</v>
      </c>
      <c r="B1894" s="2" t="s">
        <v>67</v>
      </c>
      <c r="C1894" s="98" t="s">
        <v>4</v>
      </c>
      <c r="D1894" s="98"/>
      <c r="E1894" s="98" t="s">
        <v>47</v>
      </c>
      <c r="F1894" s="98"/>
      <c r="G1894" s="98"/>
      <c r="J1894" s="25">
        <f t="shared" si="117"/>
        <v>61</v>
      </c>
    </row>
    <row r="1895" spans="1:10" ht="16.95" customHeight="1">
      <c r="A1895" s="53" t="s">
        <v>5</v>
      </c>
      <c r="B1895" s="54">
        <v>120</v>
      </c>
      <c r="C1895" s="98" t="s">
        <v>6</v>
      </c>
      <c r="D1895" s="98"/>
      <c r="E1895" s="98" t="s">
        <v>123</v>
      </c>
      <c r="F1895" s="98"/>
      <c r="G1895" s="98"/>
      <c r="J1895" s="25">
        <f t="shared" si="117"/>
        <v>61</v>
      </c>
    </row>
    <row r="1896" spans="1:10" ht="16.95" customHeight="1">
      <c r="A1896" s="53" t="s">
        <v>7</v>
      </c>
      <c r="B1896" s="54">
        <f>B1892</f>
        <v>32</v>
      </c>
      <c r="C1896" s="100" t="s">
        <v>8</v>
      </c>
      <c r="D1896" s="100"/>
      <c r="E1896" s="101">
        <f>B1895-B1896</f>
        <v>88</v>
      </c>
      <c r="F1896" s="101"/>
      <c r="G1896" s="101"/>
      <c r="J1896" s="25">
        <f t="shared" si="117"/>
        <v>61</v>
      </c>
    </row>
    <row r="1897" spans="1:10" ht="16.95" customHeight="1">
      <c r="A1897" s="53" t="s">
        <v>9</v>
      </c>
      <c r="B1897" s="55">
        <v>46204</v>
      </c>
      <c r="C1897" s="98" t="s">
        <v>10</v>
      </c>
      <c r="D1897" s="98"/>
      <c r="E1897" s="102">
        <f>B1897+B1895-1</f>
        <v>46323</v>
      </c>
      <c r="F1897" s="102"/>
      <c r="G1897" s="102"/>
      <c r="J1897" s="25">
        <f t="shared" si="117"/>
        <v>61</v>
      </c>
    </row>
    <row r="1898" spans="1:10" ht="16.95" customHeight="1">
      <c r="A1898" s="53" t="s">
        <v>11</v>
      </c>
      <c r="B1898" s="56" t="e">
        <f>HLOOKUP(B1892,進度表!$Q$2:$Z$3,2,1)+B1835</f>
        <v>#REF!</v>
      </c>
      <c r="C1898" s="98" t="s">
        <v>12</v>
      </c>
      <c r="D1898" s="98"/>
      <c r="E1898" s="99" t="e">
        <f>I1936/I1898+E1835</f>
        <v>#REF!</v>
      </c>
      <c r="F1898" s="99"/>
      <c r="G1898" s="99"/>
      <c r="H1898" s="3" t="s">
        <v>62</v>
      </c>
      <c r="I1898" s="1">
        <v>2456000</v>
      </c>
      <c r="J1898" s="25">
        <f t="shared" si="117"/>
        <v>61</v>
      </c>
    </row>
    <row r="1899" spans="1:10" ht="16.95" customHeight="1">
      <c r="A1899" s="98" t="s">
        <v>13</v>
      </c>
      <c r="B1899" s="98"/>
      <c r="C1899" s="98"/>
      <c r="D1899" s="98"/>
      <c r="E1899" s="98"/>
      <c r="F1899" s="98"/>
      <c r="G1899" s="98"/>
      <c r="J1899" s="25">
        <f t="shared" si="117"/>
        <v>61</v>
      </c>
    </row>
    <row r="1900" spans="1:10" ht="16.95" customHeight="1">
      <c r="A1900" s="52" t="s">
        <v>14</v>
      </c>
      <c r="B1900" s="52" t="s">
        <v>15</v>
      </c>
      <c r="C1900" s="52" t="s">
        <v>16</v>
      </c>
      <c r="D1900" s="52" t="s">
        <v>17</v>
      </c>
      <c r="E1900" s="52" t="s">
        <v>18</v>
      </c>
      <c r="F1900" s="52" t="s">
        <v>19</v>
      </c>
      <c r="G1900" s="52" t="s">
        <v>20</v>
      </c>
      <c r="H1900" s="3" t="s">
        <v>21</v>
      </c>
      <c r="I1900" s="3" t="s">
        <v>22</v>
      </c>
      <c r="J1900" s="25">
        <f t="shared" si="117"/>
        <v>61</v>
      </c>
    </row>
    <row r="1901" spans="1:10" ht="16.95" customHeight="1">
      <c r="A1901" s="75" t="s">
        <v>65</v>
      </c>
      <c r="B1901" s="76" t="s">
        <v>69</v>
      </c>
      <c r="C1901" s="77"/>
      <c r="D1901" s="78"/>
      <c r="E1901" s="79"/>
      <c r="F1901" s="79"/>
      <c r="G1901" s="2"/>
      <c r="H1901" s="37"/>
      <c r="I1901" s="4"/>
      <c r="J1901" s="25">
        <f t="shared" si="117"/>
        <v>61</v>
      </c>
    </row>
    <row r="1902" spans="1:10" ht="34.950000000000003" customHeight="1">
      <c r="A1902" s="75">
        <v>1</v>
      </c>
      <c r="B1902" s="80" t="s">
        <v>91</v>
      </c>
      <c r="C1902" s="77" t="s">
        <v>48</v>
      </c>
      <c r="D1902" s="78">
        <v>1</v>
      </c>
      <c r="E1902" s="79"/>
      <c r="F1902" s="79" t="e">
        <f t="shared" ref="F1902:F1935" si="119">E1902+F1839</f>
        <v>#REF!</v>
      </c>
      <c r="G1902" s="2"/>
      <c r="H1902" s="37">
        <v>10508</v>
      </c>
      <c r="I1902" s="4">
        <f>H1902*E1902</f>
        <v>0</v>
      </c>
      <c r="J1902" s="25">
        <f t="shared" si="117"/>
        <v>61</v>
      </c>
    </row>
    <row r="1903" spans="1:10" ht="34.799999999999997" customHeight="1">
      <c r="A1903" s="75">
        <v>2</v>
      </c>
      <c r="B1903" s="80" t="s">
        <v>92</v>
      </c>
      <c r="C1903" s="77" t="s">
        <v>48</v>
      </c>
      <c r="D1903" s="78">
        <v>1</v>
      </c>
      <c r="E1903" s="79"/>
      <c r="F1903" s="79" t="e">
        <f t="shared" si="119"/>
        <v>#REF!</v>
      </c>
      <c r="G1903" s="2"/>
      <c r="H1903" s="37">
        <v>13223</v>
      </c>
      <c r="I1903" s="4">
        <f>H1903*E1903</f>
        <v>0</v>
      </c>
      <c r="J1903" s="25">
        <f t="shared" si="117"/>
        <v>61</v>
      </c>
    </row>
    <row r="1904" spans="1:10" ht="53.4" customHeight="1">
      <c r="A1904" s="75">
        <v>3</v>
      </c>
      <c r="B1904" s="80" t="s">
        <v>93</v>
      </c>
      <c r="C1904" s="77" t="s">
        <v>48</v>
      </c>
      <c r="D1904" s="78">
        <v>1</v>
      </c>
      <c r="E1904" s="79"/>
      <c r="F1904" s="79" t="e">
        <f t="shared" si="119"/>
        <v>#REF!</v>
      </c>
      <c r="G1904" s="2"/>
      <c r="H1904" s="37">
        <v>310497</v>
      </c>
      <c r="I1904" s="4">
        <f t="shared" ref="I1904:I1935" si="120">H1904*E1904</f>
        <v>0</v>
      </c>
      <c r="J1904" s="25">
        <f t="shared" si="117"/>
        <v>61</v>
      </c>
    </row>
    <row r="1905" spans="1:10" ht="16.95" customHeight="1">
      <c r="A1905" s="75">
        <v>4</v>
      </c>
      <c r="B1905" s="80" t="s">
        <v>94</v>
      </c>
      <c r="C1905" s="77" t="s">
        <v>48</v>
      </c>
      <c r="D1905" s="78">
        <v>1</v>
      </c>
      <c r="E1905" s="79"/>
      <c r="F1905" s="79" t="e">
        <f t="shared" si="119"/>
        <v>#REF!</v>
      </c>
      <c r="G1905" s="2"/>
      <c r="H1905" s="37">
        <v>8375</v>
      </c>
      <c r="I1905" s="4">
        <f t="shared" si="120"/>
        <v>0</v>
      </c>
      <c r="J1905" s="25">
        <f t="shared" si="117"/>
        <v>61</v>
      </c>
    </row>
    <row r="1906" spans="1:10" ht="16.95" customHeight="1">
      <c r="A1906" s="75">
        <v>5</v>
      </c>
      <c r="B1906" s="80" t="s">
        <v>95</v>
      </c>
      <c r="C1906" s="77" t="s">
        <v>48</v>
      </c>
      <c r="D1906" s="78">
        <v>1</v>
      </c>
      <c r="E1906" s="79"/>
      <c r="F1906" s="79" t="e">
        <f t="shared" si="119"/>
        <v>#REF!</v>
      </c>
      <c r="G1906" s="2"/>
      <c r="H1906" s="37">
        <v>51618</v>
      </c>
      <c r="I1906" s="4">
        <f t="shared" si="120"/>
        <v>0</v>
      </c>
      <c r="J1906" s="25">
        <f t="shared" si="117"/>
        <v>61</v>
      </c>
    </row>
    <row r="1907" spans="1:10" ht="16.95" customHeight="1">
      <c r="A1907" s="75">
        <v>6</v>
      </c>
      <c r="B1907" s="80" t="s">
        <v>96</v>
      </c>
      <c r="C1907" s="77" t="s">
        <v>50</v>
      </c>
      <c r="D1907" s="78">
        <v>11.55</v>
      </c>
      <c r="E1907" s="79"/>
      <c r="F1907" s="79" t="e">
        <f t="shared" si="119"/>
        <v>#REF!</v>
      </c>
      <c r="G1907" s="2"/>
      <c r="H1907" s="37">
        <v>1188</v>
      </c>
      <c r="I1907" s="4">
        <f t="shared" si="120"/>
        <v>0</v>
      </c>
      <c r="J1907" s="25">
        <f t="shared" si="117"/>
        <v>61</v>
      </c>
    </row>
    <row r="1908" spans="1:10" ht="34.950000000000003" customHeight="1">
      <c r="A1908" s="75">
        <v>7</v>
      </c>
      <c r="B1908" s="80" t="s">
        <v>97</v>
      </c>
      <c r="C1908" s="77" t="s">
        <v>48</v>
      </c>
      <c r="D1908" s="78">
        <v>1</v>
      </c>
      <c r="E1908" s="79"/>
      <c r="F1908" s="79" t="e">
        <f t="shared" si="119"/>
        <v>#REF!</v>
      </c>
      <c r="G1908" s="2"/>
      <c r="H1908" s="37">
        <v>21157</v>
      </c>
      <c r="I1908" s="4">
        <f t="shared" si="120"/>
        <v>0</v>
      </c>
      <c r="J1908" s="25">
        <f t="shared" si="117"/>
        <v>61</v>
      </c>
    </row>
    <row r="1909" spans="1:10" ht="16.95" customHeight="1">
      <c r="A1909" s="75">
        <v>8</v>
      </c>
      <c r="B1909" s="80" t="s">
        <v>98</v>
      </c>
      <c r="C1909" s="77" t="s">
        <v>50</v>
      </c>
      <c r="D1909" s="78">
        <v>387</v>
      </c>
      <c r="E1909" s="79"/>
      <c r="F1909" s="79" t="e">
        <f t="shared" si="119"/>
        <v>#REF!</v>
      </c>
      <c r="G1909" s="2"/>
      <c r="H1909" s="37">
        <v>705</v>
      </c>
      <c r="I1909" s="4">
        <f t="shared" si="120"/>
        <v>0</v>
      </c>
      <c r="J1909" s="25">
        <f t="shared" si="117"/>
        <v>61</v>
      </c>
    </row>
    <row r="1910" spans="1:10" ht="16.95" customHeight="1">
      <c r="A1910" s="75">
        <v>9</v>
      </c>
      <c r="B1910" s="80" t="s">
        <v>99</v>
      </c>
      <c r="C1910" s="77" t="s">
        <v>50</v>
      </c>
      <c r="D1910" s="78">
        <v>170</v>
      </c>
      <c r="E1910" s="79"/>
      <c r="F1910" s="79" t="e">
        <f t="shared" si="119"/>
        <v>#REF!</v>
      </c>
      <c r="G1910" s="2"/>
      <c r="H1910" s="37">
        <v>617</v>
      </c>
      <c r="I1910" s="4">
        <f t="shared" si="120"/>
        <v>0</v>
      </c>
      <c r="J1910" s="25">
        <f t="shared" si="117"/>
        <v>61</v>
      </c>
    </row>
    <row r="1911" spans="1:10" ht="16.95" customHeight="1">
      <c r="A1911" s="75">
        <v>10</v>
      </c>
      <c r="B1911" s="80" t="s">
        <v>100</v>
      </c>
      <c r="C1911" s="77" t="s">
        <v>66</v>
      </c>
      <c r="D1911" s="78">
        <v>15</v>
      </c>
      <c r="E1911" s="79"/>
      <c r="F1911" s="79" t="e">
        <f t="shared" si="119"/>
        <v>#REF!</v>
      </c>
      <c r="G1911" s="2"/>
      <c r="H1911" s="37">
        <v>617</v>
      </c>
      <c r="I1911" s="4">
        <f t="shared" si="120"/>
        <v>0</v>
      </c>
      <c r="J1911" s="25">
        <f t="shared" si="117"/>
        <v>61</v>
      </c>
    </row>
    <row r="1912" spans="1:10" ht="16.95" customHeight="1">
      <c r="A1912" s="75">
        <v>11</v>
      </c>
      <c r="B1912" s="80" t="s">
        <v>101</v>
      </c>
      <c r="C1912" s="77" t="s">
        <v>50</v>
      </c>
      <c r="D1912" s="78">
        <v>75</v>
      </c>
      <c r="E1912" s="79"/>
      <c r="F1912" s="79" t="e">
        <f t="shared" si="119"/>
        <v>#REF!</v>
      </c>
      <c r="G1912" s="2"/>
      <c r="H1912" s="37">
        <v>1146</v>
      </c>
      <c r="I1912" s="4">
        <f t="shared" si="120"/>
        <v>0</v>
      </c>
      <c r="J1912" s="25">
        <f t="shared" si="117"/>
        <v>61</v>
      </c>
    </row>
    <row r="1913" spans="1:10" ht="16.95" customHeight="1">
      <c r="A1913" s="75">
        <v>12</v>
      </c>
      <c r="B1913" s="80" t="s">
        <v>102</v>
      </c>
      <c r="C1913" s="77" t="s">
        <v>50</v>
      </c>
      <c r="D1913" s="78">
        <v>5</v>
      </c>
      <c r="E1913" s="79"/>
      <c r="F1913" s="79" t="e">
        <f t="shared" si="119"/>
        <v>#REF!</v>
      </c>
      <c r="G1913" s="2"/>
      <c r="H1913" s="37">
        <v>1455</v>
      </c>
      <c r="I1913" s="4">
        <f t="shared" si="120"/>
        <v>0</v>
      </c>
      <c r="J1913" s="25">
        <f t="shared" si="117"/>
        <v>61</v>
      </c>
    </row>
    <row r="1914" spans="1:10" ht="16.95" customHeight="1">
      <c r="A1914" s="75">
        <v>13</v>
      </c>
      <c r="B1914" s="80" t="s">
        <v>103</v>
      </c>
      <c r="C1914" s="77" t="s">
        <v>50</v>
      </c>
      <c r="D1914" s="78">
        <v>217</v>
      </c>
      <c r="E1914" s="79"/>
      <c r="F1914" s="79" t="e">
        <f t="shared" si="119"/>
        <v>#REF!</v>
      </c>
      <c r="G1914" s="2"/>
      <c r="H1914" s="37">
        <v>1410</v>
      </c>
      <c r="I1914" s="4">
        <f t="shared" si="120"/>
        <v>0</v>
      </c>
      <c r="J1914" s="25">
        <f t="shared" si="117"/>
        <v>61</v>
      </c>
    </row>
    <row r="1915" spans="1:10" ht="16.95" customHeight="1">
      <c r="A1915" s="75">
        <v>14</v>
      </c>
      <c r="B1915" s="80" t="s">
        <v>104</v>
      </c>
      <c r="C1915" s="77" t="s">
        <v>49</v>
      </c>
      <c r="D1915" s="78">
        <v>84</v>
      </c>
      <c r="E1915" s="79"/>
      <c r="F1915" s="79" t="e">
        <f t="shared" si="119"/>
        <v>#REF!</v>
      </c>
      <c r="G1915" s="2"/>
      <c r="H1915" s="37">
        <v>529</v>
      </c>
      <c r="I1915" s="4">
        <f t="shared" si="120"/>
        <v>0</v>
      </c>
      <c r="J1915" s="25">
        <f t="shared" ref="J1915:J1942" si="121">J1852+2</f>
        <v>61</v>
      </c>
    </row>
    <row r="1916" spans="1:10" ht="16.95" customHeight="1">
      <c r="A1916" s="75">
        <v>15</v>
      </c>
      <c r="B1916" s="80" t="s">
        <v>105</v>
      </c>
      <c r="C1916" s="77" t="s">
        <v>50</v>
      </c>
      <c r="D1916" s="78">
        <v>1</v>
      </c>
      <c r="E1916" s="79"/>
      <c r="F1916" s="79" t="e">
        <f t="shared" si="119"/>
        <v>#REF!</v>
      </c>
      <c r="G1916" s="2"/>
      <c r="H1916" s="37">
        <v>1146</v>
      </c>
      <c r="I1916" s="4">
        <f t="shared" si="120"/>
        <v>0</v>
      </c>
      <c r="J1916" s="25">
        <f t="shared" si="121"/>
        <v>61</v>
      </c>
    </row>
    <row r="1917" spans="1:10" ht="34.799999999999997" customHeight="1">
      <c r="A1917" s="75">
        <v>16</v>
      </c>
      <c r="B1917" s="80" t="s">
        <v>106</v>
      </c>
      <c r="C1917" s="77" t="s">
        <v>50</v>
      </c>
      <c r="D1917" s="78">
        <v>314</v>
      </c>
      <c r="E1917" s="79"/>
      <c r="F1917" s="79" t="e">
        <f t="shared" si="119"/>
        <v>#REF!</v>
      </c>
      <c r="G1917" s="2"/>
      <c r="H1917" s="37">
        <v>185</v>
      </c>
      <c r="I1917" s="4">
        <f t="shared" si="120"/>
        <v>0</v>
      </c>
      <c r="J1917" s="25">
        <f t="shared" si="121"/>
        <v>61</v>
      </c>
    </row>
    <row r="1918" spans="1:10" ht="16.95" customHeight="1">
      <c r="A1918" s="75">
        <v>17</v>
      </c>
      <c r="B1918" s="80" t="s">
        <v>107</v>
      </c>
      <c r="C1918" s="77" t="s">
        <v>48</v>
      </c>
      <c r="D1918" s="78">
        <v>1</v>
      </c>
      <c r="E1918" s="79"/>
      <c r="F1918" s="79" t="e">
        <f t="shared" si="119"/>
        <v>#REF!</v>
      </c>
      <c r="G1918" s="2"/>
      <c r="H1918" s="37">
        <v>89918</v>
      </c>
      <c r="I1918" s="4">
        <f t="shared" si="120"/>
        <v>0</v>
      </c>
      <c r="J1918" s="25">
        <f t="shared" si="121"/>
        <v>61</v>
      </c>
    </row>
    <row r="1919" spans="1:10" ht="16.95" customHeight="1">
      <c r="A1919" s="75">
        <v>18</v>
      </c>
      <c r="B1919" s="80" t="s">
        <v>108</v>
      </c>
      <c r="C1919" s="77" t="s">
        <v>120</v>
      </c>
      <c r="D1919" s="78">
        <v>15</v>
      </c>
      <c r="E1919" s="79"/>
      <c r="F1919" s="79" t="e">
        <f t="shared" si="119"/>
        <v>#REF!</v>
      </c>
      <c r="G1919" s="2"/>
      <c r="H1919" s="37">
        <v>661</v>
      </c>
      <c r="I1919" s="4">
        <f t="shared" si="120"/>
        <v>0</v>
      </c>
      <c r="J1919" s="25">
        <f t="shared" si="121"/>
        <v>61</v>
      </c>
    </row>
    <row r="1920" spans="1:10" ht="16.95" customHeight="1">
      <c r="A1920" s="75">
        <v>19</v>
      </c>
      <c r="B1920" s="80" t="s">
        <v>109</v>
      </c>
      <c r="C1920" s="77" t="s">
        <v>50</v>
      </c>
      <c r="D1920" s="78">
        <v>82</v>
      </c>
      <c r="E1920" s="79"/>
      <c r="F1920" s="79" t="e">
        <f t="shared" si="119"/>
        <v>#REF!</v>
      </c>
      <c r="G1920" s="2"/>
      <c r="H1920" s="37">
        <v>2909</v>
      </c>
      <c r="I1920" s="4">
        <f t="shared" si="120"/>
        <v>0</v>
      </c>
      <c r="J1920" s="25">
        <f t="shared" si="121"/>
        <v>61</v>
      </c>
    </row>
    <row r="1921" spans="1:10" ht="16.95" customHeight="1">
      <c r="A1921" s="75">
        <v>20</v>
      </c>
      <c r="B1921" s="80" t="s">
        <v>110</v>
      </c>
      <c r="C1921" s="77" t="s">
        <v>121</v>
      </c>
      <c r="D1921" s="78">
        <v>12</v>
      </c>
      <c r="E1921" s="79"/>
      <c r="F1921" s="79" t="e">
        <f t="shared" si="119"/>
        <v>#REF!</v>
      </c>
      <c r="G1921" s="2"/>
      <c r="H1921" s="37">
        <v>882</v>
      </c>
      <c r="I1921" s="4">
        <f t="shared" si="120"/>
        <v>0</v>
      </c>
      <c r="J1921" s="25">
        <f t="shared" si="121"/>
        <v>61</v>
      </c>
    </row>
    <row r="1922" spans="1:10" ht="16.95" customHeight="1">
      <c r="A1922" s="77">
        <v>21</v>
      </c>
      <c r="B1922" s="80" t="s">
        <v>111</v>
      </c>
      <c r="C1922" s="77" t="s">
        <v>122</v>
      </c>
      <c r="D1922" s="78">
        <v>3</v>
      </c>
      <c r="E1922" s="79"/>
      <c r="F1922" s="79" t="e">
        <f t="shared" si="119"/>
        <v>#REF!</v>
      </c>
      <c r="G1922" s="2"/>
      <c r="H1922" s="38">
        <v>1869</v>
      </c>
      <c r="I1922" s="4">
        <f t="shared" si="120"/>
        <v>0</v>
      </c>
      <c r="J1922" s="25">
        <f t="shared" si="121"/>
        <v>61</v>
      </c>
    </row>
    <row r="1923" spans="1:10" ht="34.950000000000003" customHeight="1">
      <c r="A1923" s="75">
        <v>22</v>
      </c>
      <c r="B1923" s="80" t="s">
        <v>112</v>
      </c>
      <c r="C1923" s="77" t="s">
        <v>48</v>
      </c>
      <c r="D1923" s="78">
        <v>1</v>
      </c>
      <c r="E1923" s="79"/>
      <c r="F1923" s="79" t="e">
        <f t="shared" si="119"/>
        <v>#REF!</v>
      </c>
      <c r="G1923" s="2"/>
      <c r="H1923" s="37">
        <v>82206</v>
      </c>
      <c r="I1923" s="4">
        <f t="shared" si="120"/>
        <v>0</v>
      </c>
      <c r="J1923" s="25">
        <f t="shared" si="121"/>
        <v>61</v>
      </c>
    </row>
    <row r="1924" spans="1:10" ht="16.95" customHeight="1">
      <c r="A1924" s="75">
        <v>23</v>
      </c>
      <c r="B1924" s="80" t="s">
        <v>113</v>
      </c>
      <c r="C1924" s="77" t="s">
        <v>48</v>
      </c>
      <c r="D1924" s="78">
        <v>1</v>
      </c>
      <c r="E1924" s="79"/>
      <c r="F1924" s="79" t="e">
        <f t="shared" si="119"/>
        <v>#REF!</v>
      </c>
      <c r="G1924" s="2"/>
      <c r="H1924" s="37">
        <v>142723</v>
      </c>
      <c r="I1924" s="4">
        <f t="shared" si="120"/>
        <v>0</v>
      </c>
      <c r="J1924" s="25">
        <f t="shared" si="121"/>
        <v>61</v>
      </c>
    </row>
    <row r="1925" spans="1:10" ht="16.95" customHeight="1">
      <c r="A1925" s="75">
        <v>24</v>
      </c>
      <c r="B1925" s="80" t="s">
        <v>114</v>
      </c>
      <c r="C1925" s="77" t="s">
        <v>48</v>
      </c>
      <c r="D1925" s="78">
        <v>1</v>
      </c>
      <c r="E1925" s="79"/>
      <c r="F1925" s="79" t="e">
        <f t="shared" si="119"/>
        <v>#REF!</v>
      </c>
      <c r="G1925" s="2"/>
      <c r="H1925" s="37">
        <v>37290</v>
      </c>
      <c r="I1925" s="4">
        <f t="shared" si="120"/>
        <v>0</v>
      </c>
      <c r="J1925" s="25">
        <f t="shared" si="121"/>
        <v>61</v>
      </c>
    </row>
    <row r="1926" spans="1:10" ht="16.95" customHeight="1">
      <c r="A1926" s="75">
        <v>25</v>
      </c>
      <c r="B1926" s="80" t="s">
        <v>115</v>
      </c>
      <c r="C1926" s="77" t="s">
        <v>48</v>
      </c>
      <c r="D1926" s="78">
        <v>1</v>
      </c>
      <c r="E1926" s="79"/>
      <c r="F1926" s="79" t="e">
        <f t="shared" si="119"/>
        <v>#REF!</v>
      </c>
      <c r="G1926" s="2"/>
      <c r="H1926" s="37">
        <v>99394</v>
      </c>
      <c r="I1926" s="4">
        <f t="shared" si="120"/>
        <v>0</v>
      </c>
      <c r="J1926" s="25">
        <f t="shared" si="121"/>
        <v>61</v>
      </c>
    </row>
    <row r="1927" spans="1:10" ht="34.950000000000003" customHeight="1">
      <c r="A1927" s="75">
        <v>26</v>
      </c>
      <c r="B1927" s="80" t="s">
        <v>116</v>
      </c>
      <c r="C1927" s="77" t="s">
        <v>48</v>
      </c>
      <c r="D1927" s="78">
        <v>1</v>
      </c>
      <c r="E1927" s="79"/>
      <c r="F1927" s="79" t="e">
        <f t="shared" si="119"/>
        <v>#REF!</v>
      </c>
      <c r="G1927" s="2"/>
      <c r="H1927" s="37">
        <v>21334</v>
      </c>
      <c r="I1927" s="4">
        <f t="shared" si="120"/>
        <v>0</v>
      </c>
      <c r="J1927" s="25">
        <f t="shared" si="121"/>
        <v>61</v>
      </c>
    </row>
    <row r="1928" spans="1:10" ht="16.95" customHeight="1">
      <c r="A1928" s="75">
        <v>27</v>
      </c>
      <c r="B1928" s="80" t="s">
        <v>117</v>
      </c>
      <c r="C1928" s="77" t="s">
        <v>48</v>
      </c>
      <c r="D1928" s="78">
        <v>1</v>
      </c>
      <c r="E1928" s="79"/>
      <c r="F1928" s="79" t="e">
        <f t="shared" si="119"/>
        <v>#REF!</v>
      </c>
      <c r="G1928" s="2"/>
      <c r="H1928" s="37">
        <v>29620</v>
      </c>
      <c r="I1928" s="4">
        <f t="shared" si="120"/>
        <v>0</v>
      </c>
      <c r="J1928" s="25">
        <f t="shared" si="121"/>
        <v>61</v>
      </c>
    </row>
    <row r="1929" spans="1:10" ht="16.95" customHeight="1">
      <c r="A1929" s="75">
        <v>28</v>
      </c>
      <c r="B1929" s="80" t="s">
        <v>118</v>
      </c>
      <c r="C1929" s="77" t="s">
        <v>48</v>
      </c>
      <c r="D1929" s="78">
        <v>1</v>
      </c>
      <c r="E1929" s="79"/>
      <c r="F1929" s="79" t="e">
        <f t="shared" si="119"/>
        <v>#REF!</v>
      </c>
      <c r="G1929" s="2"/>
      <c r="H1929" s="37">
        <v>18506</v>
      </c>
      <c r="I1929" s="4">
        <f t="shared" si="120"/>
        <v>0</v>
      </c>
      <c r="J1929" s="25">
        <f t="shared" si="121"/>
        <v>61</v>
      </c>
    </row>
    <row r="1930" spans="1:10" ht="16.95" customHeight="1">
      <c r="A1930" s="75">
        <v>29</v>
      </c>
      <c r="B1930" s="80" t="s">
        <v>119</v>
      </c>
      <c r="C1930" s="77" t="s">
        <v>48</v>
      </c>
      <c r="D1930" s="78">
        <v>1</v>
      </c>
      <c r="E1930" s="79"/>
      <c r="F1930" s="79" t="e">
        <f t="shared" si="119"/>
        <v>#REF!</v>
      </c>
      <c r="G1930" s="2"/>
      <c r="H1930" s="37">
        <v>34381</v>
      </c>
      <c r="I1930" s="4">
        <f t="shared" si="120"/>
        <v>0</v>
      </c>
      <c r="J1930" s="25">
        <f t="shared" si="121"/>
        <v>61</v>
      </c>
    </row>
    <row r="1931" spans="1:10" ht="16.95" customHeight="1">
      <c r="A1931" s="75" t="s">
        <v>79</v>
      </c>
      <c r="B1931" s="80" t="s">
        <v>80</v>
      </c>
      <c r="C1931" s="77" t="s">
        <v>48</v>
      </c>
      <c r="D1931" s="78">
        <v>1</v>
      </c>
      <c r="E1931" s="79">
        <f t="shared" ref="E1931:E1934" si="122">1/120</f>
        <v>8.3333333333333332E-3</v>
      </c>
      <c r="F1931" s="79" t="e">
        <f t="shared" si="119"/>
        <v>#REF!</v>
      </c>
      <c r="G1931" s="2"/>
      <c r="H1931" s="37">
        <v>21395</v>
      </c>
      <c r="I1931" s="4">
        <f t="shared" si="120"/>
        <v>178.29166666666666</v>
      </c>
      <c r="J1931" s="25">
        <f t="shared" si="121"/>
        <v>61</v>
      </c>
    </row>
    <row r="1932" spans="1:10" ht="16.95" customHeight="1">
      <c r="A1932" s="75" t="s">
        <v>81</v>
      </c>
      <c r="B1932" s="80" t="s">
        <v>82</v>
      </c>
      <c r="C1932" s="77" t="s">
        <v>48</v>
      </c>
      <c r="D1932" s="78">
        <v>1</v>
      </c>
      <c r="E1932" s="79">
        <f t="shared" si="122"/>
        <v>8.3333333333333332E-3</v>
      </c>
      <c r="F1932" s="79" t="e">
        <f t="shared" si="119"/>
        <v>#REF!</v>
      </c>
      <c r="G1932" s="2"/>
      <c r="H1932" s="37">
        <v>21395</v>
      </c>
      <c r="I1932" s="4">
        <f t="shared" si="120"/>
        <v>178.29166666666666</v>
      </c>
      <c r="J1932" s="25">
        <f t="shared" si="121"/>
        <v>61</v>
      </c>
    </row>
    <row r="1933" spans="1:10" ht="16.95" customHeight="1">
      <c r="A1933" s="75" t="s">
        <v>83</v>
      </c>
      <c r="B1933" s="80" t="s">
        <v>84</v>
      </c>
      <c r="C1933" s="77" t="s">
        <v>48</v>
      </c>
      <c r="D1933" s="78">
        <v>1</v>
      </c>
      <c r="E1933" s="79">
        <f t="shared" si="122"/>
        <v>8.3333333333333332E-3</v>
      </c>
      <c r="F1933" s="79" t="e">
        <f t="shared" si="119"/>
        <v>#REF!</v>
      </c>
      <c r="G1933" s="2"/>
      <c r="H1933" s="37">
        <v>149765</v>
      </c>
      <c r="I1933" s="4">
        <f t="shared" si="120"/>
        <v>1248.0416666666667</v>
      </c>
      <c r="J1933" s="25">
        <f t="shared" si="121"/>
        <v>61</v>
      </c>
    </row>
    <row r="1934" spans="1:10" ht="16.95" customHeight="1">
      <c r="A1934" s="75" t="s">
        <v>85</v>
      </c>
      <c r="B1934" s="80" t="s">
        <v>86</v>
      </c>
      <c r="C1934" s="77" t="s">
        <v>48</v>
      </c>
      <c r="D1934" s="78">
        <v>1</v>
      </c>
      <c r="E1934" s="79">
        <f t="shared" si="122"/>
        <v>8.3333333333333332E-3</v>
      </c>
      <c r="F1934" s="79" t="e">
        <f t="shared" si="119"/>
        <v>#REF!</v>
      </c>
      <c r="G1934" s="2"/>
      <c r="H1934" s="37">
        <v>6996</v>
      </c>
      <c r="I1934" s="4">
        <f t="shared" si="120"/>
        <v>58.3</v>
      </c>
      <c r="J1934" s="25">
        <f t="shared" si="121"/>
        <v>61</v>
      </c>
    </row>
    <row r="1935" spans="1:10" ht="16.95" customHeight="1">
      <c r="A1935" s="75" t="s">
        <v>87</v>
      </c>
      <c r="B1935" s="80" t="s">
        <v>88</v>
      </c>
      <c r="C1935" s="77" t="s">
        <v>48</v>
      </c>
      <c r="D1935" s="78">
        <v>1</v>
      </c>
      <c r="E1935" s="79">
        <f>1/120</f>
        <v>8.3333333333333332E-3</v>
      </c>
      <c r="F1935" s="79" t="e">
        <f t="shared" si="119"/>
        <v>#REF!</v>
      </c>
      <c r="G1935" s="2"/>
      <c r="H1935" s="37">
        <v>116952</v>
      </c>
      <c r="I1935" s="4">
        <f t="shared" si="120"/>
        <v>974.6</v>
      </c>
      <c r="J1935" s="25">
        <f t="shared" si="121"/>
        <v>61</v>
      </c>
    </row>
    <row r="1936" spans="1:10" ht="16.95" customHeight="1">
      <c r="A1936" s="95" t="s">
        <v>23</v>
      </c>
      <c r="B1936" s="95"/>
      <c r="C1936" s="50"/>
      <c r="D1936" s="50"/>
      <c r="E1936" s="50"/>
      <c r="F1936" s="50"/>
      <c r="G1936" s="50"/>
      <c r="H1936" s="3" t="s">
        <v>24</v>
      </c>
      <c r="I1936" s="5">
        <f>SUM(I1901:I1935)</f>
        <v>2637.5250000000001</v>
      </c>
      <c r="J1936" s="25">
        <f t="shared" si="121"/>
        <v>61</v>
      </c>
    </row>
    <row r="1937" spans="1:10" ht="16.95" customHeight="1">
      <c r="A1937" s="96" t="s">
        <v>25</v>
      </c>
      <c r="B1937" s="96"/>
      <c r="C1937" s="50"/>
      <c r="D1937" s="50"/>
      <c r="E1937" s="50"/>
      <c r="F1937" s="50"/>
      <c r="G1937" s="50"/>
      <c r="J1937" s="25">
        <f t="shared" si="121"/>
        <v>61</v>
      </c>
    </row>
    <row r="1938" spans="1:10" ht="16.95" customHeight="1">
      <c r="A1938" s="96" t="s">
        <v>26</v>
      </c>
      <c r="B1938" s="96"/>
      <c r="C1938" s="50"/>
      <c r="D1938" s="50"/>
      <c r="E1938" s="50"/>
      <c r="F1938" s="50"/>
      <c r="G1938" s="50"/>
      <c r="J1938" s="25">
        <f t="shared" si="121"/>
        <v>61</v>
      </c>
    </row>
    <row r="1939" spans="1:10" ht="16.95" customHeight="1">
      <c r="A1939" s="95" t="s">
        <v>27</v>
      </c>
      <c r="B1939" s="95"/>
      <c r="C1939" s="95"/>
      <c r="D1939" s="95"/>
      <c r="E1939" s="95"/>
      <c r="F1939" s="95"/>
      <c r="G1939" s="95"/>
      <c r="J1939" s="25">
        <f t="shared" si="121"/>
        <v>61</v>
      </c>
    </row>
    <row r="1940" spans="1:10" ht="16.95" customHeight="1">
      <c r="A1940" s="94" t="s">
        <v>28</v>
      </c>
      <c r="B1940" s="94"/>
      <c r="C1940" s="51" t="s">
        <v>29</v>
      </c>
      <c r="D1940" s="51" t="s">
        <v>30</v>
      </c>
      <c r="E1940" s="51" t="s">
        <v>18</v>
      </c>
      <c r="F1940" s="51" t="s">
        <v>31</v>
      </c>
      <c r="G1940" s="51" t="s">
        <v>20</v>
      </c>
      <c r="J1940" s="25">
        <f t="shared" si="121"/>
        <v>61</v>
      </c>
    </row>
    <row r="1941" spans="1:10" ht="16.95" customHeight="1">
      <c r="A1941" s="96"/>
      <c r="B1941" s="96"/>
      <c r="C1941" s="50"/>
      <c r="D1941" s="50"/>
      <c r="E1941" s="50"/>
      <c r="F1941" s="50"/>
      <c r="G1941" s="51"/>
      <c r="J1941" s="25">
        <f t="shared" si="121"/>
        <v>61</v>
      </c>
    </row>
    <row r="1942" spans="1:10" ht="16.95" customHeight="1">
      <c r="A1942" s="97"/>
      <c r="B1942" s="97"/>
      <c r="C1942" s="50"/>
      <c r="D1942" s="50"/>
      <c r="E1942" s="50"/>
      <c r="F1942" s="51"/>
      <c r="G1942" s="51"/>
      <c r="J1942" s="25">
        <f t="shared" si="121"/>
        <v>61</v>
      </c>
    </row>
    <row r="1943" spans="1:10" ht="16.95" customHeight="1">
      <c r="A1943" s="95" t="s">
        <v>32</v>
      </c>
      <c r="B1943" s="95"/>
      <c r="C1943" s="95"/>
      <c r="D1943" s="95"/>
      <c r="E1943" s="95"/>
      <c r="F1943" s="95"/>
      <c r="G1943" s="95"/>
      <c r="J1943" s="25">
        <f t="shared" ref="J1943:J1953" si="123">J1880+2</f>
        <v>62</v>
      </c>
    </row>
    <row r="1944" spans="1:10" ht="16.95" customHeight="1">
      <c r="A1944" s="51" t="s">
        <v>33</v>
      </c>
      <c r="B1944" s="51" t="s">
        <v>34</v>
      </c>
      <c r="C1944" s="94" t="s">
        <v>35</v>
      </c>
      <c r="D1944" s="94"/>
      <c r="E1944" s="51" t="s">
        <v>36</v>
      </c>
      <c r="F1944" s="51" t="s">
        <v>37</v>
      </c>
      <c r="G1944" s="51" t="s">
        <v>38</v>
      </c>
      <c r="J1944" s="25">
        <f t="shared" si="123"/>
        <v>62</v>
      </c>
    </row>
    <row r="1945" spans="1:10" ht="16.95" customHeight="1">
      <c r="A1945" s="51" t="s">
        <v>39</v>
      </c>
      <c r="B1945" s="6"/>
      <c r="C1945" s="94" t="e">
        <f>B1945+C1882</f>
        <v>#REF!</v>
      </c>
      <c r="D1945" s="94"/>
      <c r="E1945" s="51"/>
      <c r="F1945" s="24"/>
      <c r="G1945" s="24"/>
      <c r="J1945" s="25">
        <f t="shared" si="123"/>
        <v>62</v>
      </c>
    </row>
    <row r="1946" spans="1:10" ht="16.95" customHeight="1">
      <c r="A1946" s="51" t="s">
        <v>40</v>
      </c>
      <c r="B1946" s="6"/>
      <c r="C1946" s="94" t="e">
        <f>B1946+C1883</f>
        <v>#REF!</v>
      </c>
      <c r="D1946" s="94"/>
      <c r="E1946" s="51"/>
      <c r="F1946" s="24"/>
      <c r="G1946" s="24"/>
      <c r="J1946" s="25">
        <f t="shared" si="123"/>
        <v>62</v>
      </c>
    </row>
    <row r="1947" spans="1:10" ht="36.6" customHeight="1">
      <c r="A1947" s="95" t="s">
        <v>41</v>
      </c>
      <c r="B1947" s="95"/>
      <c r="C1947" s="95"/>
      <c r="D1947" s="95"/>
      <c r="E1947" s="95"/>
      <c r="F1947" s="95"/>
      <c r="G1947" s="95"/>
      <c r="J1947" s="25">
        <f t="shared" si="123"/>
        <v>62</v>
      </c>
    </row>
    <row r="1948" spans="1:10" ht="90" customHeight="1">
      <c r="A1948" s="92" t="s">
        <v>42</v>
      </c>
      <c r="B1948" s="92"/>
      <c r="C1948" s="92"/>
      <c r="D1948" s="92"/>
      <c r="E1948" s="92"/>
      <c r="F1948" s="92"/>
      <c r="G1948" s="92"/>
      <c r="J1948" s="25">
        <f t="shared" si="123"/>
        <v>62</v>
      </c>
    </row>
    <row r="1949" spans="1:10" ht="16.95" customHeight="1">
      <c r="A1949" s="95" t="s">
        <v>43</v>
      </c>
      <c r="B1949" s="95"/>
      <c r="C1949" s="95"/>
      <c r="D1949" s="95"/>
      <c r="E1949" s="95"/>
      <c r="F1949" s="95"/>
      <c r="G1949" s="95"/>
      <c r="J1949" s="25">
        <f t="shared" si="123"/>
        <v>62</v>
      </c>
    </row>
    <row r="1950" spans="1:10" ht="16.95" customHeight="1">
      <c r="A1950" s="95" t="s">
        <v>44</v>
      </c>
      <c r="B1950" s="95"/>
      <c r="C1950" s="95"/>
      <c r="D1950" s="95"/>
      <c r="E1950" s="95"/>
      <c r="F1950" s="95"/>
      <c r="G1950" s="95"/>
      <c r="J1950" s="25">
        <f t="shared" si="123"/>
        <v>62</v>
      </c>
    </row>
    <row r="1951" spans="1:10" ht="16.95" customHeight="1">
      <c r="A1951" s="91" t="s">
        <v>64</v>
      </c>
      <c r="B1951" s="91"/>
      <c r="C1951" s="91"/>
      <c r="D1951" s="91"/>
      <c r="E1951" s="91"/>
      <c r="F1951" s="91"/>
      <c r="G1951" s="91"/>
      <c r="J1951" s="25">
        <f t="shared" si="123"/>
        <v>62</v>
      </c>
    </row>
    <row r="1952" spans="1:10" ht="120.6" customHeight="1">
      <c r="A1952" s="92" t="s">
        <v>45</v>
      </c>
      <c r="B1952" s="92"/>
      <c r="C1952" s="92"/>
      <c r="D1952" s="92"/>
      <c r="E1952" s="92"/>
      <c r="F1952" s="92"/>
      <c r="G1952" s="92"/>
      <c r="J1952" s="25">
        <f t="shared" si="123"/>
        <v>62</v>
      </c>
    </row>
    <row r="1953" spans="1:10" ht="140.4" customHeight="1">
      <c r="A1953" s="93" t="s">
        <v>46</v>
      </c>
      <c r="B1953" s="93"/>
      <c r="C1953" s="93"/>
      <c r="D1953" s="93"/>
      <c r="E1953" s="93"/>
      <c r="F1953" s="93"/>
      <c r="G1953" s="93"/>
      <c r="J1953" s="25">
        <f t="shared" si="123"/>
        <v>62</v>
      </c>
    </row>
  </sheetData>
  <mergeCells count="1023">
    <mergeCell ref="C8:D8"/>
    <mergeCell ref="E8:G8"/>
    <mergeCell ref="A9:G9"/>
    <mergeCell ref="A46:B46"/>
    <mergeCell ref="A47:B47"/>
    <mergeCell ref="A48:B48"/>
    <mergeCell ref="C5:D5"/>
    <mergeCell ref="E5:G5"/>
    <mergeCell ref="C6:D6"/>
    <mergeCell ref="E6:G6"/>
    <mergeCell ref="C7:D7"/>
    <mergeCell ref="E7:G7"/>
    <mergeCell ref="A1:G1"/>
    <mergeCell ref="B2:G2"/>
    <mergeCell ref="B3:D3"/>
    <mergeCell ref="E3:G3"/>
    <mergeCell ref="C4:D4"/>
    <mergeCell ref="E4:G4"/>
    <mergeCell ref="A61:G61"/>
    <mergeCell ref="A62:G62"/>
    <mergeCell ref="A63:G63"/>
    <mergeCell ref="A64:G64"/>
    <mergeCell ref="B65:G65"/>
    <mergeCell ref="B66:D66"/>
    <mergeCell ref="E66:G66"/>
    <mergeCell ref="C55:D55"/>
    <mergeCell ref="C56:D56"/>
    <mergeCell ref="A57:G57"/>
    <mergeCell ref="A58:G58"/>
    <mergeCell ref="A59:G59"/>
    <mergeCell ref="A60:G60"/>
    <mergeCell ref="A49:G49"/>
    <mergeCell ref="A50:B50"/>
    <mergeCell ref="A51:B51"/>
    <mergeCell ref="A52:B52"/>
    <mergeCell ref="A53:G53"/>
    <mergeCell ref="C54:D54"/>
    <mergeCell ref="A110:B110"/>
    <mergeCell ref="A111:B111"/>
    <mergeCell ref="A112:G112"/>
    <mergeCell ref="A113:B113"/>
    <mergeCell ref="A114:B114"/>
    <mergeCell ref="A115:B115"/>
    <mergeCell ref="C70:D70"/>
    <mergeCell ref="E70:G70"/>
    <mergeCell ref="C71:D71"/>
    <mergeCell ref="E71:G71"/>
    <mergeCell ref="A72:G72"/>
    <mergeCell ref="A109:B109"/>
    <mergeCell ref="C67:D67"/>
    <mergeCell ref="E67:G67"/>
    <mergeCell ref="C68:D68"/>
    <mergeCell ref="E68:G68"/>
    <mergeCell ref="C69:D69"/>
    <mergeCell ref="E69:G69"/>
    <mergeCell ref="B128:G128"/>
    <mergeCell ref="B129:D129"/>
    <mergeCell ref="E129:G129"/>
    <mergeCell ref="C130:D130"/>
    <mergeCell ref="E130:G130"/>
    <mergeCell ref="C131:D131"/>
    <mergeCell ref="E131:G131"/>
    <mergeCell ref="A122:G122"/>
    <mergeCell ref="A123:G123"/>
    <mergeCell ref="A124:G124"/>
    <mergeCell ref="A125:G125"/>
    <mergeCell ref="A126:G126"/>
    <mergeCell ref="A127:G127"/>
    <mergeCell ref="A116:G116"/>
    <mergeCell ref="C117:D117"/>
    <mergeCell ref="C118:D118"/>
    <mergeCell ref="C119:D119"/>
    <mergeCell ref="A120:G120"/>
    <mergeCell ref="A121:G121"/>
    <mergeCell ref="A177:B177"/>
    <mergeCell ref="A178:B178"/>
    <mergeCell ref="A179:G179"/>
    <mergeCell ref="C180:D180"/>
    <mergeCell ref="C181:D181"/>
    <mergeCell ref="C182:D182"/>
    <mergeCell ref="A135:G135"/>
    <mergeCell ref="A172:B172"/>
    <mergeCell ref="A173:B173"/>
    <mergeCell ref="A174:B174"/>
    <mergeCell ref="A175:G175"/>
    <mergeCell ref="A176:B176"/>
    <mergeCell ref="C132:D132"/>
    <mergeCell ref="E132:G132"/>
    <mergeCell ref="C133:D133"/>
    <mergeCell ref="E133:G133"/>
    <mergeCell ref="C134:D134"/>
    <mergeCell ref="E134:G134"/>
    <mergeCell ref="C194:D194"/>
    <mergeCell ref="E194:G194"/>
    <mergeCell ref="C195:D195"/>
    <mergeCell ref="E195:G195"/>
    <mergeCell ref="C196:D196"/>
    <mergeCell ref="E196:G196"/>
    <mergeCell ref="A189:G189"/>
    <mergeCell ref="A190:G190"/>
    <mergeCell ref="B191:G191"/>
    <mergeCell ref="B192:D192"/>
    <mergeCell ref="E192:G192"/>
    <mergeCell ref="C193:D193"/>
    <mergeCell ref="E193:G193"/>
    <mergeCell ref="A183:G183"/>
    <mergeCell ref="A184:G184"/>
    <mergeCell ref="A185:G185"/>
    <mergeCell ref="A186:G186"/>
    <mergeCell ref="A187:G187"/>
    <mergeCell ref="A188:G188"/>
    <mergeCell ref="C244:D244"/>
    <mergeCell ref="C245:D245"/>
    <mergeCell ref="A246:G246"/>
    <mergeCell ref="A247:G247"/>
    <mergeCell ref="A248:G248"/>
    <mergeCell ref="A249:G249"/>
    <mergeCell ref="A238:G238"/>
    <mergeCell ref="A239:B239"/>
    <mergeCell ref="A240:B240"/>
    <mergeCell ref="A241:B241"/>
    <mergeCell ref="A242:G242"/>
    <mergeCell ref="C243:D243"/>
    <mergeCell ref="C197:D197"/>
    <mergeCell ref="E197:G197"/>
    <mergeCell ref="A198:G198"/>
    <mergeCell ref="A235:B235"/>
    <mergeCell ref="A236:B236"/>
    <mergeCell ref="A237:B237"/>
    <mergeCell ref="C259:D259"/>
    <mergeCell ref="E259:G259"/>
    <mergeCell ref="C260:D260"/>
    <mergeCell ref="E260:G260"/>
    <mergeCell ref="A261:G261"/>
    <mergeCell ref="A298:B298"/>
    <mergeCell ref="C256:D256"/>
    <mergeCell ref="E256:G256"/>
    <mergeCell ref="C257:D257"/>
    <mergeCell ref="E257:G257"/>
    <mergeCell ref="C258:D258"/>
    <mergeCell ref="E258:G258"/>
    <mergeCell ref="A250:G250"/>
    <mergeCell ref="A251:G251"/>
    <mergeCell ref="A252:G252"/>
    <mergeCell ref="A253:G253"/>
    <mergeCell ref="B254:G254"/>
    <mergeCell ref="B255:D255"/>
    <mergeCell ref="E255:G255"/>
    <mergeCell ref="A311:G311"/>
    <mergeCell ref="A312:G312"/>
    <mergeCell ref="A313:G313"/>
    <mergeCell ref="A314:G314"/>
    <mergeCell ref="A315:G315"/>
    <mergeCell ref="A316:G316"/>
    <mergeCell ref="A305:G305"/>
    <mergeCell ref="C306:D306"/>
    <mergeCell ref="C307:D307"/>
    <mergeCell ref="C308:D308"/>
    <mergeCell ref="A309:G309"/>
    <mergeCell ref="A310:G310"/>
    <mergeCell ref="A299:B299"/>
    <mergeCell ref="A300:B300"/>
    <mergeCell ref="A301:G301"/>
    <mergeCell ref="A302:B302"/>
    <mergeCell ref="A303:B303"/>
    <mergeCell ref="A304:B304"/>
    <mergeCell ref="A324:G324"/>
    <mergeCell ref="A361:B361"/>
    <mergeCell ref="A362:B362"/>
    <mergeCell ref="A363:B363"/>
    <mergeCell ref="A364:G364"/>
    <mergeCell ref="A365:B365"/>
    <mergeCell ref="C321:D321"/>
    <mergeCell ref="E321:G321"/>
    <mergeCell ref="C322:D322"/>
    <mergeCell ref="E322:G322"/>
    <mergeCell ref="C323:D323"/>
    <mergeCell ref="E323:G323"/>
    <mergeCell ref="B317:G317"/>
    <mergeCell ref="B318:D318"/>
    <mergeCell ref="E318:G318"/>
    <mergeCell ref="C319:D319"/>
    <mergeCell ref="E319:G319"/>
    <mergeCell ref="C320:D320"/>
    <mergeCell ref="E320:G320"/>
    <mergeCell ref="A378:G378"/>
    <mergeCell ref="A379:G379"/>
    <mergeCell ref="B380:G380"/>
    <mergeCell ref="B381:D381"/>
    <mergeCell ref="E381:G381"/>
    <mergeCell ref="C382:D382"/>
    <mergeCell ref="E382:G382"/>
    <mergeCell ref="A372:G372"/>
    <mergeCell ref="A373:G373"/>
    <mergeCell ref="A374:G374"/>
    <mergeCell ref="A375:G375"/>
    <mergeCell ref="A376:G376"/>
    <mergeCell ref="A377:G377"/>
    <mergeCell ref="A366:B366"/>
    <mergeCell ref="A367:B367"/>
    <mergeCell ref="A368:G368"/>
    <mergeCell ref="C369:D369"/>
    <mergeCell ref="C370:D370"/>
    <mergeCell ref="C371:D371"/>
    <mergeCell ref="A427:G427"/>
    <mergeCell ref="A428:B428"/>
    <mergeCell ref="A429:B429"/>
    <mergeCell ref="A430:B430"/>
    <mergeCell ref="A431:G431"/>
    <mergeCell ref="C432:D432"/>
    <mergeCell ref="C386:D386"/>
    <mergeCell ref="E386:G386"/>
    <mergeCell ref="A387:G387"/>
    <mergeCell ref="A424:B424"/>
    <mergeCell ref="A425:B425"/>
    <mergeCell ref="A426:B426"/>
    <mergeCell ref="C383:D383"/>
    <mergeCell ref="E383:G383"/>
    <mergeCell ref="C384:D384"/>
    <mergeCell ref="E384:G384"/>
    <mergeCell ref="C385:D385"/>
    <mergeCell ref="E385:G385"/>
    <mergeCell ref="C445:D445"/>
    <mergeCell ref="E445:G445"/>
    <mergeCell ref="C446:D446"/>
    <mergeCell ref="E446:G446"/>
    <mergeCell ref="C447:D447"/>
    <mergeCell ref="E447:G447"/>
    <mergeCell ref="A439:G439"/>
    <mergeCell ref="A440:G440"/>
    <mergeCell ref="A441:G441"/>
    <mergeCell ref="A442:G442"/>
    <mergeCell ref="B443:G443"/>
    <mergeCell ref="B444:D444"/>
    <mergeCell ref="E444:G444"/>
    <mergeCell ref="C433:D433"/>
    <mergeCell ref="C434:D434"/>
    <mergeCell ref="A435:G435"/>
    <mergeCell ref="A436:G436"/>
    <mergeCell ref="A437:G437"/>
    <mergeCell ref="A438:G438"/>
    <mergeCell ref="A494:G494"/>
    <mergeCell ref="C495:D495"/>
    <mergeCell ref="C496:D496"/>
    <mergeCell ref="C497:D497"/>
    <mergeCell ref="A498:G498"/>
    <mergeCell ref="A499:G499"/>
    <mergeCell ref="A488:B488"/>
    <mergeCell ref="A489:B489"/>
    <mergeCell ref="A490:G490"/>
    <mergeCell ref="A491:B491"/>
    <mergeCell ref="A492:B492"/>
    <mergeCell ref="A493:B493"/>
    <mergeCell ref="C448:D448"/>
    <mergeCell ref="E448:G448"/>
    <mergeCell ref="C449:D449"/>
    <mergeCell ref="E449:G449"/>
    <mergeCell ref="A450:G450"/>
    <mergeCell ref="A487:B487"/>
    <mergeCell ref="C510:D510"/>
    <mergeCell ref="E510:G510"/>
    <mergeCell ref="C511:D511"/>
    <mergeCell ref="E511:G511"/>
    <mergeCell ref="C512:D512"/>
    <mergeCell ref="E512:G512"/>
    <mergeCell ref="B506:G506"/>
    <mergeCell ref="B507:D507"/>
    <mergeCell ref="E507:G507"/>
    <mergeCell ref="C508:D508"/>
    <mergeCell ref="E508:G508"/>
    <mergeCell ref="C509:D509"/>
    <mergeCell ref="E509:G509"/>
    <mergeCell ref="A500:G500"/>
    <mergeCell ref="A501:G501"/>
    <mergeCell ref="A502:G502"/>
    <mergeCell ref="A503:G503"/>
    <mergeCell ref="A504:G504"/>
    <mergeCell ref="A505:G505"/>
    <mergeCell ref="A561:G561"/>
    <mergeCell ref="A562:G562"/>
    <mergeCell ref="A563:G563"/>
    <mergeCell ref="A564:G564"/>
    <mergeCell ref="A565:G565"/>
    <mergeCell ref="A566:G566"/>
    <mergeCell ref="A555:B555"/>
    <mergeCell ref="A556:B556"/>
    <mergeCell ref="A557:G557"/>
    <mergeCell ref="C558:D558"/>
    <mergeCell ref="C559:D559"/>
    <mergeCell ref="C560:D560"/>
    <mergeCell ref="A513:G513"/>
    <mergeCell ref="A550:B550"/>
    <mergeCell ref="A551:B551"/>
    <mergeCell ref="A552:B552"/>
    <mergeCell ref="A553:G553"/>
    <mergeCell ref="A554:B554"/>
    <mergeCell ref="C575:D575"/>
    <mergeCell ref="E575:G575"/>
    <mergeCell ref="A576:G576"/>
    <mergeCell ref="A613:B613"/>
    <mergeCell ref="A614:B614"/>
    <mergeCell ref="A615:B615"/>
    <mergeCell ref="C572:D572"/>
    <mergeCell ref="E572:G572"/>
    <mergeCell ref="C573:D573"/>
    <mergeCell ref="E573:G573"/>
    <mergeCell ref="C574:D574"/>
    <mergeCell ref="E574:G574"/>
    <mergeCell ref="A567:G567"/>
    <mergeCell ref="A568:G568"/>
    <mergeCell ref="B569:G569"/>
    <mergeCell ref="B570:D570"/>
    <mergeCell ref="E570:G570"/>
    <mergeCell ref="C571:D571"/>
    <mergeCell ref="E571:G571"/>
    <mergeCell ref="A628:G628"/>
    <mergeCell ref="A629:G629"/>
    <mergeCell ref="A630:G630"/>
    <mergeCell ref="A631:G631"/>
    <mergeCell ref="B632:G632"/>
    <mergeCell ref="B633:D633"/>
    <mergeCell ref="E633:G633"/>
    <mergeCell ref="C622:D622"/>
    <mergeCell ref="C623:D623"/>
    <mergeCell ref="A624:G624"/>
    <mergeCell ref="A625:G625"/>
    <mergeCell ref="A626:G626"/>
    <mergeCell ref="A627:G627"/>
    <mergeCell ref="A616:G616"/>
    <mergeCell ref="A617:B617"/>
    <mergeCell ref="A618:B618"/>
    <mergeCell ref="A619:B619"/>
    <mergeCell ref="A620:G620"/>
    <mergeCell ref="C621:D621"/>
    <mergeCell ref="A677:B677"/>
    <mergeCell ref="A678:B678"/>
    <mergeCell ref="A679:G679"/>
    <mergeCell ref="A680:B680"/>
    <mergeCell ref="A681:B681"/>
    <mergeCell ref="A682:B682"/>
    <mergeCell ref="C637:D637"/>
    <mergeCell ref="E637:G637"/>
    <mergeCell ref="C638:D638"/>
    <mergeCell ref="E638:G638"/>
    <mergeCell ref="A639:G639"/>
    <mergeCell ref="A676:B676"/>
    <mergeCell ref="C634:D634"/>
    <mergeCell ref="E634:G634"/>
    <mergeCell ref="C635:D635"/>
    <mergeCell ref="E635:G635"/>
    <mergeCell ref="C636:D636"/>
    <mergeCell ref="E636:G636"/>
    <mergeCell ref="B695:G695"/>
    <mergeCell ref="B696:D696"/>
    <mergeCell ref="E696:G696"/>
    <mergeCell ref="C697:D697"/>
    <mergeCell ref="E697:G697"/>
    <mergeCell ref="C698:D698"/>
    <mergeCell ref="E698:G698"/>
    <mergeCell ref="A689:G689"/>
    <mergeCell ref="A690:G690"/>
    <mergeCell ref="A691:G691"/>
    <mergeCell ref="A692:G692"/>
    <mergeCell ref="A693:G693"/>
    <mergeCell ref="A694:G694"/>
    <mergeCell ref="A683:G683"/>
    <mergeCell ref="C684:D684"/>
    <mergeCell ref="C685:D685"/>
    <mergeCell ref="C686:D686"/>
    <mergeCell ref="A687:G687"/>
    <mergeCell ref="A688:G688"/>
    <mergeCell ref="A744:B744"/>
    <mergeCell ref="A745:B745"/>
    <mergeCell ref="A746:G746"/>
    <mergeCell ref="C747:D747"/>
    <mergeCell ref="C748:D748"/>
    <mergeCell ref="C749:D749"/>
    <mergeCell ref="A702:G702"/>
    <mergeCell ref="A739:B739"/>
    <mergeCell ref="A740:B740"/>
    <mergeCell ref="A741:B741"/>
    <mergeCell ref="A742:G742"/>
    <mergeCell ref="A743:B743"/>
    <mergeCell ref="C699:D699"/>
    <mergeCell ref="E699:G699"/>
    <mergeCell ref="C700:D700"/>
    <mergeCell ref="E700:G700"/>
    <mergeCell ref="C701:D701"/>
    <mergeCell ref="E701:G701"/>
    <mergeCell ref="C761:D761"/>
    <mergeCell ref="E761:G761"/>
    <mergeCell ref="C762:D762"/>
    <mergeCell ref="E762:G762"/>
    <mergeCell ref="C763:D763"/>
    <mergeCell ref="E763:G763"/>
    <mergeCell ref="A756:G756"/>
    <mergeCell ref="A757:G757"/>
    <mergeCell ref="B758:G758"/>
    <mergeCell ref="B759:D759"/>
    <mergeCell ref="E759:G759"/>
    <mergeCell ref="C760:D760"/>
    <mergeCell ref="E760:G760"/>
    <mergeCell ref="A750:G750"/>
    <mergeCell ref="A751:G751"/>
    <mergeCell ref="A752:G752"/>
    <mergeCell ref="A753:G753"/>
    <mergeCell ref="A754:G754"/>
    <mergeCell ref="A755:G755"/>
    <mergeCell ref="C811:D811"/>
    <mergeCell ref="C812:D812"/>
    <mergeCell ref="A813:G813"/>
    <mergeCell ref="A814:G814"/>
    <mergeCell ref="A815:G815"/>
    <mergeCell ref="A816:G816"/>
    <mergeCell ref="A805:G805"/>
    <mergeCell ref="A806:B806"/>
    <mergeCell ref="A807:B807"/>
    <mergeCell ref="A808:B808"/>
    <mergeCell ref="A809:G809"/>
    <mergeCell ref="C810:D810"/>
    <mergeCell ref="C764:D764"/>
    <mergeCell ref="E764:G764"/>
    <mergeCell ref="A765:G765"/>
    <mergeCell ref="A802:B802"/>
    <mergeCell ref="A803:B803"/>
    <mergeCell ref="A804:B804"/>
    <mergeCell ref="C826:D826"/>
    <mergeCell ref="E826:G826"/>
    <mergeCell ref="C827:D827"/>
    <mergeCell ref="E827:G827"/>
    <mergeCell ref="A828:G828"/>
    <mergeCell ref="A865:B865"/>
    <mergeCell ref="C823:D823"/>
    <mergeCell ref="E823:G823"/>
    <mergeCell ref="C824:D824"/>
    <mergeCell ref="E824:G824"/>
    <mergeCell ref="C825:D825"/>
    <mergeCell ref="E825:G825"/>
    <mergeCell ref="A817:G817"/>
    <mergeCell ref="A818:G818"/>
    <mergeCell ref="A819:G819"/>
    <mergeCell ref="A820:G820"/>
    <mergeCell ref="B821:G821"/>
    <mergeCell ref="B822:D822"/>
    <mergeCell ref="E822:G822"/>
    <mergeCell ref="A878:G878"/>
    <mergeCell ref="A879:G879"/>
    <mergeCell ref="A880:G880"/>
    <mergeCell ref="A881:G881"/>
    <mergeCell ref="A882:G882"/>
    <mergeCell ref="A883:G883"/>
    <mergeCell ref="A872:G872"/>
    <mergeCell ref="C873:D873"/>
    <mergeCell ref="C874:D874"/>
    <mergeCell ref="C875:D875"/>
    <mergeCell ref="A876:G876"/>
    <mergeCell ref="A877:G877"/>
    <mergeCell ref="A866:B866"/>
    <mergeCell ref="A867:B867"/>
    <mergeCell ref="A868:G868"/>
    <mergeCell ref="A869:B869"/>
    <mergeCell ref="A870:B870"/>
    <mergeCell ref="A871:B871"/>
    <mergeCell ref="A891:G891"/>
    <mergeCell ref="A928:B928"/>
    <mergeCell ref="A929:B929"/>
    <mergeCell ref="A930:B930"/>
    <mergeCell ref="A931:G931"/>
    <mergeCell ref="A932:B932"/>
    <mergeCell ref="C888:D888"/>
    <mergeCell ref="E888:G888"/>
    <mergeCell ref="C889:D889"/>
    <mergeCell ref="E889:G889"/>
    <mergeCell ref="C890:D890"/>
    <mergeCell ref="E890:G890"/>
    <mergeCell ref="B884:G884"/>
    <mergeCell ref="B885:D885"/>
    <mergeCell ref="E885:G885"/>
    <mergeCell ref="C886:D886"/>
    <mergeCell ref="E886:G886"/>
    <mergeCell ref="C887:D887"/>
    <mergeCell ref="E887:G887"/>
    <mergeCell ref="A945:G945"/>
    <mergeCell ref="A946:G946"/>
    <mergeCell ref="B947:G947"/>
    <mergeCell ref="B948:D948"/>
    <mergeCell ref="E948:G948"/>
    <mergeCell ref="C949:D949"/>
    <mergeCell ref="E949:G949"/>
    <mergeCell ref="A939:G939"/>
    <mergeCell ref="A940:G940"/>
    <mergeCell ref="A941:G941"/>
    <mergeCell ref="A942:G942"/>
    <mergeCell ref="A943:G943"/>
    <mergeCell ref="A944:G944"/>
    <mergeCell ref="A933:B933"/>
    <mergeCell ref="A934:B934"/>
    <mergeCell ref="A935:G935"/>
    <mergeCell ref="C936:D936"/>
    <mergeCell ref="C937:D937"/>
    <mergeCell ref="C938:D938"/>
    <mergeCell ref="A994:G994"/>
    <mergeCell ref="A995:B995"/>
    <mergeCell ref="A996:B996"/>
    <mergeCell ref="A997:B997"/>
    <mergeCell ref="A998:G998"/>
    <mergeCell ref="C999:D999"/>
    <mergeCell ref="C953:D953"/>
    <mergeCell ref="E953:G953"/>
    <mergeCell ref="A954:G954"/>
    <mergeCell ref="A991:B991"/>
    <mergeCell ref="A992:B992"/>
    <mergeCell ref="A993:B993"/>
    <mergeCell ref="C950:D950"/>
    <mergeCell ref="E950:G950"/>
    <mergeCell ref="C951:D951"/>
    <mergeCell ref="E951:G951"/>
    <mergeCell ref="C952:D952"/>
    <mergeCell ref="E952:G952"/>
    <mergeCell ref="C1012:D1012"/>
    <mergeCell ref="E1012:G1012"/>
    <mergeCell ref="C1013:D1013"/>
    <mergeCell ref="E1013:G1013"/>
    <mergeCell ref="C1014:D1014"/>
    <mergeCell ref="E1014:G1014"/>
    <mergeCell ref="A1006:G1006"/>
    <mergeCell ref="A1007:G1007"/>
    <mergeCell ref="A1008:G1008"/>
    <mergeCell ref="A1009:G1009"/>
    <mergeCell ref="B1010:G1010"/>
    <mergeCell ref="B1011:D1011"/>
    <mergeCell ref="E1011:G1011"/>
    <mergeCell ref="C1000:D1000"/>
    <mergeCell ref="C1001:D1001"/>
    <mergeCell ref="A1002:G1002"/>
    <mergeCell ref="A1003:G1003"/>
    <mergeCell ref="A1004:G1004"/>
    <mergeCell ref="A1005:G1005"/>
    <mergeCell ref="A1061:G1061"/>
    <mergeCell ref="C1062:D1062"/>
    <mergeCell ref="C1063:D1063"/>
    <mergeCell ref="C1064:D1064"/>
    <mergeCell ref="A1065:G1065"/>
    <mergeCell ref="A1066:G1066"/>
    <mergeCell ref="A1055:B1055"/>
    <mergeCell ref="A1056:B1056"/>
    <mergeCell ref="A1057:G1057"/>
    <mergeCell ref="A1058:B1058"/>
    <mergeCell ref="A1059:B1059"/>
    <mergeCell ref="A1060:B1060"/>
    <mergeCell ref="C1015:D1015"/>
    <mergeCell ref="E1015:G1015"/>
    <mergeCell ref="C1016:D1016"/>
    <mergeCell ref="E1016:G1016"/>
    <mergeCell ref="A1017:G1017"/>
    <mergeCell ref="A1054:B1054"/>
    <mergeCell ref="C1077:D1077"/>
    <mergeCell ref="E1077:G1077"/>
    <mergeCell ref="C1078:D1078"/>
    <mergeCell ref="E1078:G1078"/>
    <mergeCell ref="C1079:D1079"/>
    <mergeCell ref="E1079:G1079"/>
    <mergeCell ref="B1073:G1073"/>
    <mergeCell ref="B1074:D1074"/>
    <mergeCell ref="E1074:G1074"/>
    <mergeCell ref="C1075:D1075"/>
    <mergeCell ref="E1075:G1075"/>
    <mergeCell ref="C1076:D1076"/>
    <mergeCell ref="E1076:G1076"/>
    <mergeCell ref="A1067:G1067"/>
    <mergeCell ref="A1068:G1068"/>
    <mergeCell ref="A1069:G1069"/>
    <mergeCell ref="A1070:G1070"/>
    <mergeCell ref="A1071:G1071"/>
    <mergeCell ref="A1072:G1072"/>
    <mergeCell ref="A1128:G1128"/>
    <mergeCell ref="A1129:G1129"/>
    <mergeCell ref="A1130:G1130"/>
    <mergeCell ref="A1131:G1131"/>
    <mergeCell ref="A1132:G1132"/>
    <mergeCell ref="A1133:G1133"/>
    <mergeCell ref="A1122:B1122"/>
    <mergeCell ref="A1123:B1123"/>
    <mergeCell ref="A1124:G1124"/>
    <mergeCell ref="C1125:D1125"/>
    <mergeCell ref="C1126:D1126"/>
    <mergeCell ref="C1127:D1127"/>
    <mergeCell ref="A1080:G1080"/>
    <mergeCell ref="A1117:B1117"/>
    <mergeCell ref="A1118:B1118"/>
    <mergeCell ref="A1119:B1119"/>
    <mergeCell ref="A1120:G1120"/>
    <mergeCell ref="A1121:B1121"/>
    <mergeCell ref="C1142:D1142"/>
    <mergeCell ref="E1142:G1142"/>
    <mergeCell ref="A1143:G1143"/>
    <mergeCell ref="A1180:B1180"/>
    <mergeCell ref="A1181:B1181"/>
    <mergeCell ref="A1182:B1182"/>
    <mergeCell ref="C1139:D1139"/>
    <mergeCell ref="E1139:G1139"/>
    <mergeCell ref="C1140:D1140"/>
    <mergeCell ref="E1140:G1140"/>
    <mergeCell ref="C1141:D1141"/>
    <mergeCell ref="E1141:G1141"/>
    <mergeCell ref="A1134:G1134"/>
    <mergeCell ref="A1135:G1135"/>
    <mergeCell ref="B1136:G1136"/>
    <mergeCell ref="B1137:D1137"/>
    <mergeCell ref="E1137:G1137"/>
    <mergeCell ref="C1138:D1138"/>
    <mergeCell ref="E1138:G1138"/>
    <mergeCell ref="A1195:G1195"/>
    <mergeCell ref="A1196:G1196"/>
    <mergeCell ref="A1197:G1197"/>
    <mergeCell ref="A1198:G1198"/>
    <mergeCell ref="B1199:G1199"/>
    <mergeCell ref="B1200:D1200"/>
    <mergeCell ref="E1200:G1200"/>
    <mergeCell ref="C1189:D1189"/>
    <mergeCell ref="C1190:D1190"/>
    <mergeCell ref="A1191:G1191"/>
    <mergeCell ref="A1192:G1192"/>
    <mergeCell ref="A1193:G1193"/>
    <mergeCell ref="A1194:G1194"/>
    <mergeCell ref="A1183:G1183"/>
    <mergeCell ref="A1184:B1184"/>
    <mergeCell ref="A1185:B1185"/>
    <mergeCell ref="A1186:B1186"/>
    <mergeCell ref="A1187:G1187"/>
    <mergeCell ref="C1188:D1188"/>
    <mergeCell ref="A1244:B1244"/>
    <mergeCell ref="A1245:B1245"/>
    <mergeCell ref="A1246:G1246"/>
    <mergeCell ref="A1247:B1247"/>
    <mergeCell ref="A1248:B1248"/>
    <mergeCell ref="A1249:B1249"/>
    <mergeCell ref="C1204:D1204"/>
    <mergeCell ref="E1204:G1204"/>
    <mergeCell ref="C1205:D1205"/>
    <mergeCell ref="E1205:G1205"/>
    <mergeCell ref="A1206:G1206"/>
    <mergeCell ref="A1243:B1243"/>
    <mergeCell ref="C1201:D1201"/>
    <mergeCell ref="E1201:G1201"/>
    <mergeCell ref="C1202:D1202"/>
    <mergeCell ref="E1202:G1202"/>
    <mergeCell ref="C1203:D1203"/>
    <mergeCell ref="E1203:G1203"/>
    <mergeCell ref="B1262:G1262"/>
    <mergeCell ref="B1263:D1263"/>
    <mergeCell ref="E1263:G1263"/>
    <mergeCell ref="C1264:D1264"/>
    <mergeCell ref="E1264:G1264"/>
    <mergeCell ref="C1265:D1265"/>
    <mergeCell ref="E1265:G1265"/>
    <mergeCell ref="A1256:G1256"/>
    <mergeCell ref="A1257:G1257"/>
    <mergeCell ref="A1258:G1258"/>
    <mergeCell ref="A1259:G1259"/>
    <mergeCell ref="A1260:G1260"/>
    <mergeCell ref="A1261:G1261"/>
    <mergeCell ref="A1250:G1250"/>
    <mergeCell ref="C1251:D1251"/>
    <mergeCell ref="C1252:D1252"/>
    <mergeCell ref="C1253:D1253"/>
    <mergeCell ref="A1254:G1254"/>
    <mergeCell ref="A1255:G1255"/>
    <mergeCell ref="A1311:B1311"/>
    <mergeCell ref="A1312:B1312"/>
    <mergeCell ref="A1313:G1313"/>
    <mergeCell ref="C1314:D1314"/>
    <mergeCell ref="C1315:D1315"/>
    <mergeCell ref="C1316:D1316"/>
    <mergeCell ref="A1269:G1269"/>
    <mergeCell ref="A1306:B1306"/>
    <mergeCell ref="A1307:B1307"/>
    <mergeCell ref="A1308:B1308"/>
    <mergeCell ref="A1309:G1309"/>
    <mergeCell ref="A1310:B1310"/>
    <mergeCell ref="C1266:D1266"/>
    <mergeCell ref="E1266:G1266"/>
    <mergeCell ref="C1267:D1267"/>
    <mergeCell ref="E1267:G1267"/>
    <mergeCell ref="C1268:D1268"/>
    <mergeCell ref="E1268:G1268"/>
    <mergeCell ref="C1328:D1328"/>
    <mergeCell ref="E1328:G1328"/>
    <mergeCell ref="C1329:D1329"/>
    <mergeCell ref="E1329:G1329"/>
    <mergeCell ref="C1330:D1330"/>
    <mergeCell ref="E1330:G1330"/>
    <mergeCell ref="A1323:G1323"/>
    <mergeCell ref="A1324:G1324"/>
    <mergeCell ref="B1325:G1325"/>
    <mergeCell ref="B1326:D1326"/>
    <mergeCell ref="E1326:G1326"/>
    <mergeCell ref="C1327:D1327"/>
    <mergeCell ref="E1327:G1327"/>
    <mergeCell ref="A1317:G1317"/>
    <mergeCell ref="A1318:G1318"/>
    <mergeCell ref="A1319:G1319"/>
    <mergeCell ref="A1320:G1320"/>
    <mergeCell ref="A1321:G1321"/>
    <mergeCell ref="A1322:G1322"/>
    <mergeCell ref="C1378:D1378"/>
    <mergeCell ref="C1379:D1379"/>
    <mergeCell ref="A1380:G1380"/>
    <mergeCell ref="A1381:G1381"/>
    <mergeCell ref="A1382:G1382"/>
    <mergeCell ref="A1383:G1383"/>
    <mergeCell ref="A1372:G1372"/>
    <mergeCell ref="A1373:B1373"/>
    <mergeCell ref="A1374:B1374"/>
    <mergeCell ref="A1375:B1375"/>
    <mergeCell ref="A1376:G1376"/>
    <mergeCell ref="C1377:D1377"/>
    <mergeCell ref="C1331:D1331"/>
    <mergeCell ref="E1331:G1331"/>
    <mergeCell ref="A1332:G1332"/>
    <mergeCell ref="A1369:B1369"/>
    <mergeCell ref="A1370:B1370"/>
    <mergeCell ref="A1371:B1371"/>
    <mergeCell ref="C1393:D1393"/>
    <mergeCell ref="E1393:G1393"/>
    <mergeCell ref="C1394:D1394"/>
    <mergeCell ref="E1394:G1394"/>
    <mergeCell ref="A1395:G1395"/>
    <mergeCell ref="A1432:B1432"/>
    <mergeCell ref="C1390:D1390"/>
    <mergeCell ref="E1390:G1390"/>
    <mergeCell ref="C1391:D1391"/>
    <mergeCell ref="E1391:G1391"/>
    <mergeCell ref="C1392:D1392"/>
    <mergeCell ref="E1392:G1392"/>
    <mergeCell ref="A1384:G1384"/>
    <mergeCell ref="A1385:G1385"/>
    <mergeCell ref="A1386:G1386"/>
    <mergeCell ref="A1387:G1387"/>
    <mergeCell ref="B1388:G1388"/>
    <mergeCell ref="B1389:D1389"/>
    <mergeCell ref="E1389:G1389"/>
    <mergeCell ref="A1445:G1445"/>
    <mergeCell ref="A1446:G1446"/>
    <mergeCell ref="A1447:G1447"/>
    <mergeCell ref="A1448:G1448"/>
    <mergeCell ref="A1449:G1449"/>
    <mergeCell ref="A1450:G1450"/>
    <mergeCell ref="A1439:G1439"/>
    <mergeCell ref="C1440:D1440"/>
    <mergeCell ref="C1441:D1441"/>
    <mergeCell ref="C1442:D1442"/>
    <mergeCell ref="A1443:G1443"/>
    <mergeCell ref="A1444:G1444"/>
    <mergeCell ref="A1433:B1433"/>
    <mergeCell ref="A1434:B1434"/>
    <mergeCell ref="A1435:G1435"/>
    <mergeCell ref="A1436:B1436"/>
    <mergeCell ref="A1437:B1437"/>
    <mergeCell ref="A1438:B1438"/>
    <mergeCell ref="A1458:G1458"/>
    <mergeCell ref="A1495:B1495"/>
    <mergeCell ref="A1496:B1496"/>
    <mergeCell ref="A1497:B1497"/>
    <mergeCell ref="A1498:G1498"/>
    <mergeCell ref="A1499:B1499"/>
    <mergeCell ref="C1455:D1455"/>
    <mergeCell ref="E1455:G1455"/>
    <mergeCell ref="C1456:D1456"/>
    <mergeCell ref="E1456:G1456"/>
    <mergeCell ref="C1457:D1457"/>
    <mergeCell ref="E1457:G1457"/>
    <mergeCell ref="B1451:G1451"/>
    <mergeCell ref="B1452:D1452"/>
    <mergeCell ref="E1452:G1452"/>
    <mergeCell ref="C1453:D1453"/>
    <mergeCell ref="E1453:G1453"/>
    <mergeCell ref="C1454:D1454"/>
    <mergeCell ref="E1454:G1454"/>
    <mergeCell ref="A1512:G1512"/>
    <mergeCell ref="A1513:G1513"/>
    <mergeCell ref="B1514:G1514"/>
    <mergeCell ref="B1515:D1515"/>
    <mergeCell ref="E1515:G1515"/>
    <mergeCell ref="C1516:D1516"/>
    <mergeCell ref="E1516:G1516"/>
    <mergeCell ref="A1506:G1506"/>
    <mergeCell ref="A1507:G1507"/>
    <mergeCell ref="A1508:G1508"/>
    <mergeCell ref="A1509:G1509"/>
    <mergeCell ref="A1510:G1510"/>
    <mergeCell ref="A1511:G1511"/>
    <mergeCell ref="A1500:B1500"/>
    <mergeCell ref="A1501:B1501"/>
    <mergeCell ref="A1502:G1502"/>
    <mergeCell ref="C1503:D1503"/>
    <mergeCell ref="C1504:D1504"/>
    <mergeCell ref="C1505:D1505"/>
    <mergeCell ref="A1561:G1561"/>
    <mergeCell ref="A1562:B1562"/>
    <mergeCell ref="A1563:B1563"/>
    <mergeCell ref="A1564:B1564"/>
    <mergeCell ref="A1565:G1565"/>
    <mergeCell ref="C1566:D1566"/>
    <mergeCell ref="C1520:D1520"/>
    <mergeCell ref="E1520:G1520"/>
    <mergeCell ref="A1521:G1521"/>
    <mergeCell ref="A1558:B1558"/>
    <mergeCell ref="A1559:B1559"/>
    <mergeCell ref="A1560:B1560"/>
    <mergeCell ref="C1517:D1517"/>
    <mergeCell ref="E1517:G1517"/>
    <mergeCell ref="C1518:D1518"/>
    <mergeCell ref="E1518:G1518"/>
    <mergeCell ref="C1519:D1519"/>
    <mergeCell ref="E1519:G1519"/>
    <mergeCell ref="C1579:D1579"/>
    <mergeCell ref="E1579:G1579"/>
    <mergeCell ref="C1580:D1580"/>
    <mergeCell ref="E1580:G1580"/>
    <mergeCell ref="C1581:D1581"/>
    <mergeCell ref="E1581:G1581"/>
    <mergeCell ref="A1573:G1573"/>
    <mergeCell ref="A1574:G1574"/>
    <mergeCell ref="A1575:G1575"/>
    <mergeCell ref="A1576:G1576"/>
    <mergeCell ref="B1577:G1577"/>
    <mergeCell ref="B1578:D1578"/>
    <mergeCell ref="E1578:G1578"/>
    <mergeCell ref="C1567:D1567"/>
    <mergeCell ref="C1568:D1568"/>
    <mergeCell ref="A1569:G1569"/>
    <mergeCell ref="A1570:G1570"/>
    <mergeCell ref="A1571:G1571"/>
    <mergeCell ref="A1572:G1572"/>
    <mergeCell ref="A1628:G1628"/>
    <mergeCell ref="C1629:D1629"/>
    <mergeCell ref="C1630:D1630"/>
    <mergeCell ref="C1631:D1631"/>
    <mergeCell ref="A1632:G1632"/>
    <mergeCell ref="A1633:G1633"/>
    <mergeCell ref="A1622:B1622"/>
    <mergeCell ref="A1623:B1623"/>
    <mergeCell ref="A1624:G1624"/>
    <mergeCell ref="A1625:B1625"/>
    <mergeCell ref="A1626:B1626"/>
    <mergeCell ref="A1627:B1627"/>
    <mergeCell ref="C1582:D1582"/>
    <mergeCell ref="E1582:G1582"/>
    <mergeCell ref="C1583:D1583"/>
    <mergeCell ref="E1583:G1583"/>
    <mergeCell ref="A1584:G1584"/>
    <mergeCell ref="A1621:B1621"/>
    <mergeCell ref="C1644:D1644"/>
    <mergeCell ref="E1644:G1644"/>
    <mergeCell ref="C1645:D1645"/>
    <mergeCell ref="E1645:G1645"/>
    <mergeCell ref="C1646:D1646"/>
    <mergeCell ref="E1646:G1646"/>
    <mergeCell ref="B1640:G1640"/>
    <mergeCell ref="B1641:D1641"/>
    <mergeCell ref="E1641:G1641"/>
    <mergeCell ref="C1642:D1642"/>
    <mergeCell ref="E1642:G1642"/>
    <mergeCell ref="C1643:D1643"/>
    <mergeCell ref="E1643:G1643"/>
    <mergeCell ref="A1634:G1634"/>
    <mergeCell ref="A1635:G1635"/>
    <mergeCell ref="A1636:G1636"/>
    <mergeCell ref="A1637:G1637"/>
    <mergeCell ref="A1638:G1638"/>
    <mergeCell ref="A1639:G1639"/>
    <mergeCell ref="A1695:G1695"/>
    <mergeCell ref="A1696:G1696"/>
    <mergeCell ref="A1697:G1697"/>
    <mergeCell ref="A1698:G1698"/>
    <mergeCell ref="A1699:G1699"/>
    <mergeCell ref="A1700:G1700"/>
    <mergeCell ref="A1689:B1689"/>
    <mergeCell ref="A1690:B1690"/>
    <mergeCell ref="A1691:G1691"/>
    <mergeCell ref="C1692:D1692"/>
    <mergeCell ref="C1693:D1693"/>
    <mergeCell ref="C1694:D1694"/>
    <mergeCell ref="A1647:G1647"/>
    <mergeCell ref="A1684:B1684"/>
    <mergeCell ref="A1685:B1685"/>
    <mergeCell ref="A1686:B1686"/>
    <mergeCell ref="A1687:G1687"/>
    <mergeCell ref="A1688:B1688"/>
    <mergeCell ref="C1709:D1709"/>
    <mergeCell ref="E1709:G1709"/>
    <mergeCell ref="A1710:G1710"/>
    <mergeCell ref="A1747:B1747"/>
    <mergeCell ref="A1748:B1748"/>
    <mergeCell ref="A1749:B1749"/>
    <mergeCell ref="C1706:D1706"/>
    <mergeCell ref="E1706:G1706"/>
    <mergeCell ref="C1707:D1707"/>
    <mergeCell ref="E1707:G1707"/>
    <mergeCell ref="C1708:D1708"/>
    <mergeCell ref="E1708:G1708"/>
    <mergeCell ref="A1701:G1701"/>
    <mergeCell ref="A1702:G1702"/>
    <mergeCell ref="B1703:G1703"/>
    <mergeCell ref="B1704:D1704"/>
    <mergeCell ref="E1704:G1704"/>
    <mergeCell ref="C1705:D1705"/>
    <mergeCell ref="E1705:G1705"/>
    <mergeCell ref="A1762:G1762"/>
    <mergeCell ref="A1763:G1763"/>
    <mergeCell ref="A1764:G1764"/>
    <mergeCell ref="A1765:G1765"/>
    <mergeCell ref="B1766:G1766"/>
    <mergeCell ref="B1767:D1767"/>
    <mergeCell ref="E1767:G1767"/>
    <mergeCell ref="C1756:D1756"/>
    <mergeCell ref="C1757:D1757"/>
    <mergeCell ref="A1758:G1758"/>
    <mergeCell ref="A1759:G1759"/>
    <mergeCell ref="A1760:G1760"/>
    <mergeCell ref="A1761:G1761"/>
    <mergeCell ref="A1750:G1750"/>
    <mergeCell ref="A1751:B1751"/>
    <mergeCell ref="A1752:B1752"/>
    <mergeCell ref="A1753:B1753"/>
    <mergeCell ref="A1754:G1754"/>
    <mergeCell ref="C1755:D1755"/>
    <mergeCell ref="A1811:B1811"/>
    <mergeCell ref="A1812:B1812"/>
    <mergeCell ref="A1813:G1813"/>
    <mergeCell ref="A1814:B1814"/>
    <mergeCell ref="A1815:B1815"/>
    <mergeCell ref="A1816:B1816"/>
    <mergeCell ref="C1771:D1771"/>
    <mergeCell ref="E1771:G1771"/>
    <mergeCell ref="C1772:D1772"/>
    <mergeCell ref="E1772:G1772"/>
    <mergeCell ref="A1773:G1773"/>
    <mergeCell ref="A1810:B1810"/>
    <mergeCell ref="C1768:D1768"/>
    <mergeCell ref="E1768:G1768"/>
    <mergeCell ref="C1769:D1769"/>
    <mergeCell ref="E1769:G1769"/>
    <mergeCell ref="C1770:D1770"/>
    <mergeCell ref="E1770:G1770"/>
    <mergeCell ref="B1829:G1829"/>
    <mergeCell ref="B1830:D1830"/>
    <mergeCell ref="E1830:G1830"/>
    <mergeCell ref="C1831:D1831"/>
    <mergeCell ref="E1831:G1831"/>
    <mergeCell ref="C1832:D1832"/>
    <mergeCell ref="E1832:G1832"/>
    <mergeCell ref="A1823:G1823"/>
    <mergeCell ref="A1824:G1824"/>
    <mergeCell ref="A1825:G1825"/>
    <mergeCell ref="A1826:G1826"/>
    <mergeCell ref="A1827:G1827"/>
    <mergeCell ref="A1828:G1828"/>
    <mergeCell ref="A1817:G1817"/>
    <mergeCell ref="C1818:D1818"/>
    <mergeCell ref="C1819:D1819"/>
    <mergeCell ref="C1820:D1820"/>
    <mergeCell ref="A1821:G1821"/>
    <mergeCell ref="A1822:G1822"/>
    <mergeCell ref="A1878:B1878"/>
    <mergeCell ref="A1879:B1879"/>
    <mergeCell ref="A1880:G1880"/>
    <mergeCell ref="C1881:D1881"/>
    <mergeCell ref="C1882:D1882"/>
    <mergeCell ref="C1883:D1883"/>
    <mergeCell ref="A1836:G1836"/>
    <mergeCell ref="A1873:B1873"/>
    <mergeCell ref="A1874:B1874"/>
    <mergeCell ref="A1875:B1875"/>
    <mergeCell ref="A1876:G1876"/>
    <mergeCell ref="A1877:B1877"/>
    <mergeCell ref="C1833:D1833"/>
    <mergeCell ref="E1833:G1833"/>
    <mergeCell ref="C1834:D1834"/>
    <mergeCell ref="E1834:G1834"/>
    <mergeCell ref="C1835:D1835"/>
    <mergeCell ref="E1835:G1835"/>
    <mergeCell ref="C1895:D1895"/>
    <mergeCell ref="E1895:G1895"/>
    <mergeCell ref="C1896:D1896"/>
    <mergeCell ref="E1896:G1896"/>
    <mergeCell ref="C1897:D1897"/>
    <mergeCell ref="E1897:G1897"/>
    <mergeCell ref="A1890:G1890"/>
    <mergeCell ref="A1891:G1891"/>
    <mergeCell ref="B1892:G1892"/>
    <mergeCell ref="B1893:D1893"/>
    <mergeCell ref="E1893:G1893"/>
    <mergeCell ref="C1894:D1894"/>
    <mergeCell ref="E1894:G1894"/>
    <mergeCell ref="A1884:G1884"/>
    <mergeCell ref="A1885:G1885"/>
    <mergeCell ref="A1886:G1886"/>
    <mergeCell ref="A1887:G1887"/>
    <mergeCell ref="A1888:G1888"/>
    <mergeCell ref="A1889:G1889"/>
    <mergeCell ref="A1951:G1951"/>
    <mergeCell ref="A1952:G1952"/>
    <mergeCell ref="A1953:G1953"/>
    <mergeCell ref="C1945:D1945"/>
    <mergeCell ref="C1946:D1946"/>
    <mergeCell ref="A1947:G1947"/>
    <mergeCell ref="A1948:G1948"/>
    <mergeCell ref="A1949:G1949"/>
    <mergeCell ref="A1950:G1950"/>
    <mergeCell ref="A1939:G1939"/>
    <mergeCell ref="A1940:B1940"/>
    <mergeCell ref="A1941:B1941"/>
    <mergeCell ref="A1942:B1942"/>
    <mergeCell ref="A1943:G1943"/>
    <mergeCell ref="C1944:D1944"/>
    <mergeCell ref="C1898:D1898"/>
    <mergeCell ref="E1898:G1898"/>
    <mergeCell ref="A1899:G1899"/>
    <mergeCell ref="A1936:B1936"/>
    <mergeCell ref="A1937:B1937"/>
    <mergeCell ref="A1938:B1938"/>
  </mergeCells>
  <phoneticPr fontId="2" type="noConversion"/>
  <pageMargins left="0.43307086614173229" right="0.23622047244094491" top="0.74803149606299213" bottom="0.59055118110236227" header="0.31496062992125984" footer="0.31496062992125984"/>
  <pageSetup paperSize="9" scale="67" fitToHeight="0" orientation="portrait" r:id="rId1"/>
  <rowBreaks count="62" manualBreakCount="62">
    <brk id="52" max="6" man="1"/>
    <brk id="63" max="16383" man="1"/>
    <brk id="115" max="6" man="1"/>
    <brk id="126" max="6" man="1"/>
    <brk id="178" max="6" man="1"/>
    <brk id="189" max="6" man="1"/>
    <brk id="241" max="6" man="1"/>
    <brk id="252" max="6" man="1"/>
    <brk id="304" max="6" man="1"/>
    <brk id="315" max="6" man="1"/>
    <brk id="367" max="6" man="1"/>
    <brk id="378" max="6" man="1"/>
    <brk id="430" max="6" man="1"/>
    <brk id="441" max="6" man="1"/>
    <brk id="493" max="6" man="1"/>
    <brk id="504" max="6" man="1"/>
    <brk id="556" max="6" man="1"/>
    <brk id="567" max="6" man="1"/>
    <brk id="619" max="6" man="1"/>
    <brk id="630" max="6" man="1"/>
    <brk id="682" max="6" man="1"/>
    <brk id="693" max="6" man="1"/>
    <brk id="745" max="6" man="1"/>
    <brk id="756" max="6" man="1"/>
    <brk id="808" max="6" man="1"/>
    <brk id="819" max="6" man="1"/>
    <brk id="871" max="6" man="1"/>
    <brk id="882" max="6" man="1"/>
    <brk id="934" max="6" man="1"/>
    <brk id="945" max="6" man="1"/>
    <brk id="997" max="6" man="1"/>
    <brk id="1008" max="6" man="1"/>
    <brk id="1060" max="6" man="1"/>
    <brk id="1071" max="6" man="1"/>
    <brk id="1123" max="6" man="1"/>
    <brk id="1134" max="6" man="1"/>
    <brk id="1186" max="6" man="1"/>
    <brk id="1197" max="6" man="1"/>
    <brk id="1249" max="6" man="1"/>
    <brk id="1260" max="6" man="1"/>
    <brk id="1312" max="6" man="1"/>
    <brk id="1323" max="6" man="1"/>
    <brk id="1375" max="6" man="1"/>
    <brk id="1386" max="6" man="1"/>
    <brk id="1438" max="6" man="1"/>
    <brk id="1449" max="6" man="1"/>
    <brk id="1501" max="6" man="1"/>
    <brk id="1512" max="6" man="1"/>
    <brk id="1564" max="6" man="1"/>
    <brk id="1575" max="6" man="1"/>
    <brk id="1627" max="6" man="1"/>
    <brk id="1638" max="6" man="1"/>
    <brk id="1690" max="6" man="1"/>
    <brk id="1701" max="6" man="1"/>
    <brk id="1753" max="6" man="1"/>
    <brk id="1764" max="6" man="1"/>
    <brk id="1816" max="6" man="1"/>
    <brk id="1827" max="6" man="1"/>
    <brk id="1879" max="6" man="1"/>
    <brk id="1890" max="6" man="1"/>
    <brk id="1942" max="6" man="1"/>
    <brk id="195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1B4E8-C3CC-4C4C-BFE7-06A40C21DEEE}">
  <sheetPr>
    <pageSetUpPr fitToPage="1"/>
  </sheetPr>
  <dimension ref="A1:J1953"/>
  <sheetViews>
    <sheetView view="pageBreakPreview" zoomScaleNormal="85" zoomScaleSheetLayoutView="100" workbookViewId="0">
      <selection activeCell="B10" sqref="B10"/>
    </sheetView>
  </sheetViews>
  <sheetFormatPr defaultColWidth="9.875" defaultRowHeight="16.2"/>
  <cols>
    <col min="1" max="1" width="16.25" style="1" customWidth="1"/>
    <col min="2" max="2" width="67.25" style="1" customWidth="1"/>
    <col min="3" max="3" width="6.75" style="1" customWidth="1"/>
    <col min="4" max="4" width="14.375" style="1" customWidth="1"/>
    <col min="5" max="5" width="18.375" style="1" customWidth="1"/>
    <col min="6" max="6" width="17.5" style="1" customWidth="1"/>
    <col min="7" max="7" width="15.25" style="1" customWidth="1"/>
    <col min="8" max="8" width="21.875" style="1" customWidth="1"/>
    <col min="9" max="9" width="18.75" style="1" customWidth="1"/>
    <col min="10" max="10" width="18.375" style="25" bestFit="1" customWidth="1"/>
    <col min="11" max="16384" width="9.875" style="1"/>
  </cols>
  <sheetData>
    <row r="1" spans="1:10" ht="37.200000000000003" customHeight="1">
      <c r="A1" s="103" t="s">
        <v>0</v>
      </c>
      <c r="B1" s="103"/>
      <c r="C1" s="103"/>
      <c r="D1" s="103"/>
      <c r="E1" s="103"/>
      <c r="F1" s="103"/>
      <c r="G1" s="103"/>
      <c r="J1" s="25">
        <v>1</v>
      </c>
    </row>
    <row r="2" spans="1:10" ht="16.95" customHeight="1">
      <c r="A2" s="1" t="s">
        <v>1</v>
      </c>
      <c r="B2" s="104">
        <v>2</v>
      </c>
      <c r="C2" s="104"/>
      <c r="D2" s="104"/>
      <c r="E2" s="104"/>
      <c r="F2" s="104"/>
      <c r="G2" s="104"/>
      <c r="J2" s="25">
        <v>1</v>
      </c>
    </row>
    <row r="3" spans="1:10" ht="16.95" customHeight="1">
      <c r="A3" s="1" t="s">
        <v>2</v>
      </c>
      <c r="B3" s="105" t="s">
        <v>63</v>
      </c>
      <c r="C3" s="105"/>
      <c r="D3" s="105"/>
      <c r="E3" s="106">
        <v>46204</v>
      </c>
      <c r="F3" s="106"/>
      <c r="G3" s="106"/>
      <c r="J3" s="25">
        <v>1</v>
      </c>
    </row>
    <row r="4" spans="1:10" ht="16.95" customHeight="1">
      <c r="A4" s="53" t="s">
        <v>3</v>
      </c>
      <c r="B4" s="2" t="s">
        <v>67</v>
      </c>
      <c r="C4" s="98" t="s">
        <v>4</v>
      </c>
      <c r="D4" s="98"/>
      <c r="E4" s="98" t="s">
        <v>47</v>
      </c>
      <c r="F4" s="98"/>
      <c r="G4" s="98"/>
      <c r="J4" s="25">
        <v>1</v>
      </c>
    </row>
    <row r="5" spans="1:10" ht="16.95" customHeight="1">
      <c r="A5" s="53" t="s">
        <v>5</v>
      </c>
      <c r="B5" s="54">
        <v>120</v>
      </c>
      <c r="C5" s="98" t="s">
        <v>6</v>
      </c>
      <c r="D5" s="98"/>
      <c r="E5" s="98" t="s">
        <v>123</v>
      </c>
      <c r="F5" s="98"/>
      <c r="G5" s="98"/>
      <c r="J5" s="25">
        <v>1</v>
      </c>
    </row>
    <row r="6" spans="1:10" ht="16.95" customHeight="1">
      <c r="A6" s="53" t="s">
        <v>7</v>
      </c>
      <c r="B6" s="54">
        <f>B2</f>
        <v>2</v>
      </c>
      <c r="C6" s="100" t="s">
        <v>8</v>
      </c>
      <c r="D6" s="100"/>
      <c r="E6" s="101">
        <f>B5-B6</f>
        <v>118</v>
      </c>
      <c r="F6" s="101"/>
      <c r="G6" s="101"/>
      <c r="J6" s="25">
        <v>1</v>
      </c>
    </row>
    <row r="7" spans="1:10" ht="16.95" customHeight="1">
      <c r="A7" s="53" t="s">
        <v>9</v>
      </c>
      <c r="B7" s="55">
        <v>46204</v>
      </c>
      <c r="C7" s="98" t="s">
        <v>10</v>
      </c>
      <c r="D7" s="98"/>
      <c r="E7" s="102">
        <f>B7+B5-1</f>
        <v>46323</v>
      </c>
      <c r="F7" s="102"/>
      <c r="G7" s="102"/>
      <c r="J7" s="25">
        <v>1</v>
      </c>
    </row>
    <row r="8" spans="1:10" ht="16.95" customHeight="1">
      <c r="A8" s="53" t="s">
        <v>11</v>
      </c>
      <c r="B8" s="56" t="e">
        <f>HLOOKUP(B2,進度表!$Q$2:$Z$3,2,1)+#REF!</f>
        <v>#REF!</v>
      </c>
      <c r="C8" s="98" t="s">
        <v>12</v>
      </c>
      <c r="D8" s="98"/>
      <c r="E8" s="99" t="e">
        <f>I46/I8+#REF!</f>
        <v>#REF!</v>
      </c>
      <c r="F8" s="99"/>
      <c r="G8" s="99"/>
      <c r="H8" s="3" t="s">
        <v>62</v>
      </c>
      <c r="I8" s="1">
        <v>2456000</v>
      </c>
      <c r="J8" s="25">
        <v>1</v>
      </c>
    </row>
    <row r="9" spans="1:10" ht="16.95" customHeight="1">
      <c r="A9" s="98" t="s">
        <v>13</v>
      </c>
      <c r="B9" s="98"/>
      <c r="C9" s="98"/>
      <c r="D9" s="98"/>
      <c r="E9" s="98"/>
      <c r="F9" s="98"/>
      <c r="G9" s="98"/>
      <c r="J9" s="25">
        <v>1</v>
      </c>
    </row>
    <row r="10" spans="1:10" ht="16.95" customHeight="1">
      <c r="A10" s="52" t="s">
        <v>14</v>
      </c>
      <c r="B10" s="52" t="s">
        <v>15</v>
      </c>
      <c r="C10" s="52" t="s">
        <v>16</v>
      </c>
      <c r="D10" s="52" t="s">
        <v>17</v>
      </c>
      <c r="E10" s="52" t="s">
        <v>18</v>
      </c>
      <c r="F10" s="52" t="s">
        <v>19</v>
      </c>
      <c r="G10" s="52" t="s">
        <v>20</v>
      </c>
      <c r="H10" s="3" t="s">
        <v>21</v>
      </c>
      <c r="I10" s="3" t="s">
        <v>22</v>
      </c>
      <c r="J10" s="25">
        <v>1</v>
      </c>
    </row>
    <row r="11" spans="1:10" ht="16.95" customHeight="1">
      <c r="A11" s="75" t="s">
        <v>65</v>
      </c>
      <c r="B11" s="76" t="s">
        <v>69</v>
      </c>
      <c r="C11" s="77"/>
      <c r="D11" s="78"/>
      <c r="E11" s="79"/>
      <c r="F11" s="79"/>
      <c r="G11" s="2"/>
      <c r="H11" s="37"/>
      <c r="I11" s="4"/>
      <c r="J11" s="25">
        <v>1</v>
      </c>
    </row>
    <row r="12" spans="1:10" ht="34.950000000000003" customHeight="1">
      <c r="A12" s="75">
        <v>1</v>
      </c>
      <c r="B12" s="80" t="s">
        <v>91</v>
      </c>
      <c r="C12" s="77" t="s">
        <v>48</v>
      </c>
      <c r="D12" s="78">
        <v>1</v>
      </c>
      <c r="E12" s="79"/>
      <c r="F12" s="79" t="e">
        <f>E12+#REF!</f>
        <v>#REF!</v>
      </c>
      <c r="G12" s="2"/>
      <c r="H12" s="37">
        <v>10508</v>
      </c>
      <c r="I12" s="4">
        <f>H12*E12</f>
        <v>0</v>
      </c>
      <c r="J12" s="25">
        <v>1</v>
      </c>
    </row>
    <row r="13" spans="1:10" ht="34.799999999999997" customHeight="1">
      <c r="A13" s="75">
        <v>2</v>
      </c>
      <c r="B13" s="80" t="s">
        <v>92</v>
      </c>
      <c r="C13" s="77" t="s">
        <v>48</v>
      </c>
      <c r="D13" s="78">
        <v>1</v>
      </c>
      <c r="E13" s="79"/>
      <c r="F13" s="79" t="e">
        <f>E13+#REF!</f>
        <v>#REF!</v>
      </c>
      <c r="G13" s="2"/>
      <c r="H13" s="37">
        <v>13223</v>
      </c>
      <c r="I13" s="4">
        <f>H13*E13</f>
        <v>0</v>
      </c>
      <c r="J13" s="25">
        <v>1</v>
      </c>
    </row>
    <row r="14" spans="1:10" ht="53.4" customHeight="1">
      <c r="A14" s="75">
        <v>3</v>
      </c>
      <c r="B14" s="80" t="s">
        <v>93</v>
      </c>
      <c r="C14" s="77" t="s">
        <v>48</v>
      </c>
      <c r="D14" s="78">
        <v>1</v>
      </c>
      <c r="E14" s="79"/>
      <c r="F14" s="79" t="e">
        <f>E14+#REF!</f>
        <v>#REF!</v>
      </c>
      <c r="G14" s="2"/>
      <c r="H14" s="37">
        <v>310497</v>
      </c>
      <c r="I14" s="4">
        <f t="shared" ref="I14:I45" si="0">H14*E14</f>
        <v>0</v>
      </c>
      <c r="J14" s="25">
        <v>1</v>
      </c>
    </row>
    <row r="15" spans="1:10" ht="16.95" customHeight="1">
      <c r="A15" s="75">
        <v>4</v>
      </c>
      <c r="B15" s="80" t="s">
        <v>94</v>
      </c>
      <c r="C15" s="77" t="s">
        <v>48</v>
      </c>
      <c r="D15" s="78">
        <v>1</v>
      </c>
      <c r="E15" s="79"/>
      <c r="F15" s="79" t="e">
        <f>E15+#REF!</f>
        <v>#REF!</v>
      </c>
      <c r="G15" s="2"/>
      <c r="H15" s="37">
        <v>8375</v>
      </c>
      <c r="I15" s="4">
        <f t="shared" si="0"/>
        <v>0</v>
      </c>
      <c r="J15" s="25">
        <v>1</v>
      </c>
    </row>
    <row r="16" spans="1:10" ht="16.95" customHeight="1">
      <c r="A16" s="75">
        <v>5</v>
      </c>
      <c r="B16" s="80" t="s">
        <v>95</v>
      </c>
      <c r="C16" s="77" t="s">
        <v>48</v>
      </c>
      <c r="D16" s="78">
        <v>1</v>
      </c>
      <c r="E16" s="79"/>
      <c r="F16" s="79" t="e">
        <f>E16+#REF!</f>
        <v>#REF!</v>
      </c>
      <c r="G16" s="2"/>
      <c r="H16" s="37">
        <v>51618</v>
      </c>
      <c r="I16" s="4">
        <f t="shared" si="0"/>
        <v>0</v>
      </c>
      <c r="J16" s="25">
        <v>1</v>
      </c>
    </row>
    <row r="17" spans="1:10" ht="16.95" customHeight="1">
      <c r="A17" s="75">
        <v>6</v>
      </c>
      <c r="B17" s="80" t="s">
        <v>96</v>
      </c>
      <c r="C17" s="77" t="s">
        <v>50</v>
      </c>
      <c r="D17" s="78">
        <v>11.55</v>
      </c>
      <c r="E17" s="79"/>
      <c r="F17" s="79" t="e">
        <f>E17+#REF!</f>
        <v>#REF!</v>
      </c>
      <c r="G17" s="2"/>
      <c r="H17" s="37">
        <v>1188</v>
      </c>
      <c r="I17" s="4">
        <f t="shared" si="0"/>
        <v>0</v>
      </c>
      <c r="J17" s="25">
        <v>1</v>
      </c>
    </row>
    <row r="18" spans="1:10" ht="34.950000000000003" customHeight="1">
      <c r="A18" s="75">
        <v>7</v>
      </c>
      <c r="B18" s="80" t="s">
        <v>97</v>
      </c>
      <c r="C18" s="77" t="s">
        <v>48</v>
      </c>
      <c r="D18" s="78">
        <v>1</v>
      </c>
      <c r="E18" s="79"/>
      <c r="F18" s="79" t="e">
        <f>E18+#REF!</f>
        <v>#REF!</v>
      </c>
      <c r="G18" s="2"/>
      <c r="H18" s="37">
        <v>21157</v>
      </c>
      <c r="I18" s="4">
        <f t="shared" si="0"/>
        <v>0</v>
      </c>
      <c r="J18" s="25">
        <v>1</v>
      </c>
    </row>
    <row r="19" spans="1:10" ht="16.95" customHeight="1">
      <c r="A19" s="75">
        <v>8</v>
      </c>
      <c r="B19" s="80" t="s">
        <v>98</v>
      </c>
      <c r="C19" s="77" t="s">
        <v>50</v>
      </c>
      <c r="D19" s="78">
        <v>387</v>
      </c>
      <c r="E19" s="79"/>
      <c r="F19" s="79" t="e">
        <f>E19+#REF!</f>
        <v>#REF!</v>
      </c>
      <c r="G19" s="2"/>
      <c r="H19" s="37">
        <v>705</v>
      </c>
      <c r="I19" s="4">
        <f t="shared" si="0"/>
        <v>0</v>
      </c>
      <c r="J19" s="25">
        <v>1</v>
      </c>
    </row>
    <row r="20" spans="1:10" ht="16.95" customHeight="1">
      <c r="A20" s="75">
        <v>9</v>
      </c>
      <c r="B20" s="80" t="s">
        <v>99</v>
      </c>
      <c r="C20" s="77" t="s">
        <v>50</v>
      </c>
      <c r="D20" s="78">
        <v>170</v>
      </c>
      <c r="E20" s="79"/>
      <c r="F20" s="79" t="e">
        <f>E20+#REF!</f>
        <v>#REF!</v>
      </c>
      <c r="G20" s="2"/>
      <c r="H20" s="37">
        <v>617</v>
      </c>
      <c r="I20" s="4">
        <f t="shared" si="0"/>
        <v>0</v>
      </c>
      <c r="J20" s="25">
        <v>1</v>
      </c>
    </row>
    <row r="21" spans="1:10" ht="16.95" customHeight="1">
      <c r="A21" s="75">
        <v>10</v>
      </c>
      <c r="B21" s="80" t="s">
        <v>100</v>
      </c>
      <c r="C21" s="77" t="s">
        <v>66</v>
      </c>
      <c r="D21" s="78">
        <v>15</v>
      </c>
      <c r="E21" s="79"/>
      <c r="F21" s="79" t="e">
        <f>E21+#REF!</f>
        <v>#REF!</v>
      </c>
      <c r="G21" s="2"/>
      <c r="H21" s="37">
        <v>617</v>
      </c>
      <c r="I21" s="4">
        <f t="shared" si="0"/>
        <v>0</v>
      </c>
      <c r="J21" s="25">
        <v>1</v>
      </c>
    </row>
    <row r="22" spans="1:10" ht="16.95" customHeight="1">
      <c r="A22" s="75">
        <v>11</v>
      </c>
      <c r="B22" s="80" t="s">
        <v>101</v>
      </c>
      <c r="C22" s="77" t="s">
        <v>50</v>
      </c>
      <c r="D22" s="78">
        <v>75</v>
      </c>
      <c r="E22" s="79"/>
      <c r="F22" s="79" t="e">
        <f>E22+#REF!</f>
        <v>#REF!</v>
      </c>
      <c r="G22" s="2"/>
      <c r="H22" s="37">
        <v>1146</v>
      </c>
      <c r="I22" s="4">
        <f t="shared" si="0"/>
        <v>0</v>
      </c>
      <c r="J22" s="25">
        <v>1</v>
      </c>
    </row>
    <row r="23" spans="1:10" ht="16.95" customHeight="1">
      <c r="A23" s="75">
        <v>12</v>
      </c>
      <c r="B23" s="80" t="s">
        <v>102</v>
      </c>
      <c r="C23" s="77" t="s">
        <v>50</v>
      </c>
      <c r="D23" s="78">
        <v>5</v>
      </c>
      <c r="E23" s="79"/>
      <c r="F23" s="79" t="e">
        <f>E23+#REF!</f>
        <v>#REF!</v>
      </c>
      <c r="G23" s="2"/>
      <c r="H23" s="37">
        <v>1455</v>
      </c>
      <c r="I23" s="4">
        <f t="shared" si="0"/>
        <v>0</v>
      </c>
      <c r="J23" s="25">
        <v>1</v>
      </c>
    </row>
    <row r="24" spans="1:10" ht="16.95" customHeight="1">
      <c r="A24" s="75">
        <v>13</v>
      </c>
      <c r="B24" s="80" t="s">
        <v>103</v>
      </c>
      <c r="C24" s="77" t="s">
        <v>50</v>
      </c>
      <c r="D24" s="78">
        <v>217</v>
      </c>
      <c r="E24" s="79"/>
      <c r="F24" s="79" t="e">
        <f>E24+#REF!</f>
        <v>#REF!</v>
      </c>
      <c r="G24" s="2"/>
      <c r="H24" s="37">
        <v>1410</v>
      </c>
      <c r="I24" s="4">
        <f t="shared" si="0"/>
        <v>0</v>
      </c>
      <c r="J24" s="25">
        <v>1</v>
      </c>
    </row>
    <row r="25" spans="1:10" ht="16.95" customHeight="1">
      <c r="A25" s="75">
        <v>14</v>
      </c>
      <c r="B25" s="80" t="s">
        <v>104</v>
      </c>
      <c r="C25" s="77" t="s">
        <v>49</v>
      </c>
      <c r="D25" s="78">
        <v>84</v>
      </c>
      <c r="E25" s="79"/>
      <c r="F25" s="79" t="e">
        <f>E25+#REF!</f>
        <v>#REF!</v>
      </c>
      <c r="G25" s="2"/>
      <c r="H25" s="37">
        <v>529</v>
      </c>
      <c r="I25" s="4">
        <f t="shared" si="0"/>
        <v>0</v>
      </c>
      <c r="J25" s="25">
        <v>1</v>
      </c>
    </row>
    <row r="26" spans="1:10" ht="16.95" customHeight="1">
      <c r="A26" s="75">
        <v>15</v>
      </c>
      <c r="B26" s="80" t="s">
        <v>105</v>
      </c>
      <c r="C26" s="77" t="s">
        <v>50</v>
      </c>
      <c r="D26" s="78">
        <v>1</v>
      </c>
      <c r="E26" s="79"/>
      <c r="F26" s="79" t="e">
        <f>E26+#REF!</f>
        <v>#REF!</v>
      </c>
      <c r="G26" s="2"/>
      <c r="H26" s="37">
        <v>1146</v>
      </c>
      <c r="I26" s="4">
        <f t="shared" si="0"/>
        <v>0</v>
      </c>
      <c r="J26" s="25">
        <v>1</v>
      </c>
    </row>
    <row r="27" spans="1:10" ht="34.799999999999997" customHeight="1">
      <c r="A27" s="75">
        <v>16</v>
      </c>
      <c r="B27" s="80" t="s">
        <v>106</v>
      </c>
      <c r="C27" s="77" t="s">
        <v>50</v>
      </c>
      <c r="D27" s="78">
        <v>314</v>
      </c>
      <c r="E27" s="79"/>
      <c r="F27" s="79" t="e">
        <f>E27+#REF!</f>
        <v>#REF!</v>
      </c>
      <c r="G27" s="2"/>
      <c r="H27" s="37">
        <v>185</v>
      </c>
      <c r="I27" s="4">
        <f t="shared" si="0"/>
        <v>0</v>
      </c>
      <c r="J27" s="25">
        <v>1</v>
      </c>
    </row>
    <row r="28" spans="1:10" ht="16.95" customHeight="1">
      <c r="A28" s="75">
        <v>17</v>
      </c>
      <c r="B28" s="80" t="s">
        <v>107</v>
      </c>
      <c r="C28" s="77" t="s">
        <v>48</v>
      </c>
      <c r="D28" s="78">
        <v>1</v>
      </c>
      <c r="E28" s="79"/>
      <c r="F28" s="79" t="e">
        <f>E28+#REF!</f>
        <v>#REF!</v>
      </c>
      <c r="G28" s="2"/>
      <c r="H28" s="37">
        <v>89918</v>
      </c>
      <c r="I28" s="4">
        <f t="shared" si="0"/>
        <v>0</v>
      </c>
      <c r="J28" s="25">
        <v>1</v>
      </c>
    </row>
    <row r="29" spans="1:10" ht="16.95" customHeight="1">
      <c r="A29" s="75">
        <v>18</v>
      </c>
      <c r="B29" s="80" t="s">
        <v>108</v>
      </c>
      <c r="C29" s="77" t="s">
        <v>120</v>
      </c>
      <c r="D29" s="78">
        <v>15</v>
      </c>
      <c r="E29" s="79"/>
      <c r="F29" s="79" t="e">
        <f>E29+#REF!</f>
        <v>#REF!</v>
      </c>
      <c r="G29" s="2"/>
      <c r="H29" s="37">
        <v>661</v>
      </c>
      <c r="I29" s="4">
        <f t="shared" si="0"/>
        <v>0</v>
      </c>
      <c r="J29" s="25">
        <v>1</v>
      </c>
    </row>
    <row r="30" spans="1:10" ht="16.95" customHeight="1">
      <c r="A30" s="75">
        <v>19</v>
      </c>
      <c r="B30" s="80" t="s">
        <v>109</v>
      </c>
      <c r="C30" s="77" t="s">
        <v>50</v>
      </c>
      <c r="D30" s="78">
        <v>82</v>
      </c>
      <c r="E30" s="79"/>
      <c r="F30" s="79" t="e">
        <f>E30+#REF!</f>
        <v>#REF!</v>
      </c>
      <c r="G30" s="2"/>
      <c r="H30" s="37">
        <v>2909</v>
      </c>
      <c r="I30" s="4">
        <f t="shared" si="0"/>
        <v>0</v>
      </c>
      <c r="J30" s="25">
        <v>1</v>
      </c>
    </row>
    <row r="31" spans="1:10" ht="16.95" customHeight="1">
      <c r="A31" s="75">
        <v>20</v>
      </c>
      <c r="B31" s="80" t="s">
        <v>110</v>
      </c>
      <c r="C31" s="77" t="s">
        <v>121</v>
      </c>
      <c r="D31" s="78">
        <v>12</v>
      </c>
      <c r="E31" s="79"/>
      <c r="F31" s="79" t="e">
        <f>E31+#REF!</f>
        <v>#REF!</v>
      </c>
      <c r="G31" s="2"/>
      <c r="H31" s="37">
        <v>882</v>
      </c>
      <c r="I31" s="4">
        <f t="shared" si="0"/>
        <v>0</v>
      </c>
      <c r="J31" s="25">
        <v>1</v>
      </c>
    </row>
    <row r="32" spans="1:10" ht="16.95" customHeight="1">
      <c r="A32" s="77">
        <v>21</v>
      </c>
      <c r="B32" s="80" t="s">
        <v>111</v>
      </c>
      <c r="C32" s="77" t="s">
        <v>122</v>
      </c>
      <c r="D32" s="78">
        <v>3</v>
      </c>
      <c r="E32" s="79"/>
      <c r="F32" s="79" t="e">
        <f>E32+#REF!</f>
        <v>#REF!</v>
      </c>
      <c r="G32" s="2"/>
      <c r="H32" s="38">
        <v>1869</v>
      </c>
      <c r="I32" s="4">
        <f t="shared" si="0"/>
        <v>0</v>
      </c>
      <c r="J32" s="25">
        <v>1</v>
      </c>
    </row>
    <row r="33" spans="1:10" ht="34.950000000000003" customHeight="1">
      <c r="A33" s="75">
        <v>22</v>
      </c>
      <c r="B33" s="80" t="s">
        <v>112</v>
      </c>
      <c r="C33" s="77" t="s">
        <v>48</v>
      </c>
      <c r="D33" s="78">
        <v>1</v>
      </c>
      <c r="E33" s="79"/>
      <c r="F33" s="79" t="e">
        <f>E33+#REF!</f>
        <v>#REF!</v>
      </c>
      <c r="G33" s="2"/>
      <c r="H33" s="37">
        <v>82206</v>
      </c>
      <c r="I33" s="4">
        <f t="shared" si="0"/>
        <v>0</v>
      </c>
      <c r="J33" s="25">
        <v>1</v>
      </c>
    </row>
    <row r="34" spans="1:10" ht="16.95" customHeight="1">
      <c r="A34" s="75">
        <v>23</v>
      </c>
      <c r="B34" s="80" t="s">
        <v>113</v>
      </c>
      <c r="C34" s="77" t="s">
        <v>48</v>
      </c>
      <c r="D34" s="78">
        <v>1</v>
      </c>
      <c r="E34" s="79"/>
      <c r="F34" s="79" t="e">
        <f>E34+#REF!</f>
        <v>#REF!</v>
      </c>
      <c r="G34" s="2"/>
      <c r="H34" s="37">
        <v>142723</v>
      </c>
      <c r="I34" s="4">
        <f t="shared" si="0"/>
        <v>0</v>
      </c>
      <c r="J34" s="25">
        <v>1</v>
      </c>
    </row>
    <row r="35" spans="1:10" ht="16.95" customHeight="1">
      <c r="A35" s="75">
        <v>24</v>
      </c>
      <c r="B35" s="80" t="s">
        <v>114</v>
      </c>
      <c r="C35" s="77" t="s">
        <v>48</v>
      </c>
      <c r="D35" s="78">
        <v>1</v>
      </c>
      <c r="E35" s="79"/>
      <c r="F35" s="79" t="e">
        <f>E35+#REF!</f>
        <v>#REF!</v>
      </c>
      <c r="G35" s="2"/>
      <c r="H35" s="37">
        <v>37290</v>
      </c>
      <c r="I35" s="4">
        <f t="shared" si="0"/>
        <v>0</v>
      </c>
      <c r="J35" s="25">
        <v>1</v>
      </c>
    </row>
    <row r="36" spans="1:10" ht="16.95" customHeight="1">
      <c r="A36" s="75">
        <v>25</v>
      </c>
      <c r="B36" s="80" t="s">
        <v>115</v>
      </c>
      <c r="C36" s="77" t="s">
        <v>48</v>
      </c>
      <c r="D36" s="78">
        <v>1</v>
      </c>
      <c r="E36" s="79"/>
      <c r="F36" s="79" t="e">
        <f>E36+#REF!</f>
        <v>#REF!</v>
      </c>
      <c r="G36" s="2"/>
      <c r="H36" s="37">
        <v>99394</v>
      </c>
      <c r="I36" s="4">
        <f t="shared" si="0"/>
        <v>0</v>
      </c>
      <c r="J36" s="25">
        <v>1</v>
      </c>
    </row>
    <row r="37" spans="1:10" ht="34.950000000000003" customHeight="1">
      <c r="A37" s="75">
        <v>26</v>
      </c>
      <c r="B37" s="80" t="s">
        <v>116</v>
      </c>
      <c r="C37" s="77" t="s">
        <v>48</v>
      </c>
      <c r="D37" s="78">
        <v>1</v>
      </c>
      <c r="E37" s="79"/>
      <c r="F37" s="79" t="e">
        <f>E37+#REF!</f>
        <v>#REF!</v>
      </c>
      <c r="G37" s="2"/>
      <c r="H37" s="37">
        <v>21334</v>
      </c>
      <c r="I37" s="4">
        <f t="shared" si="0"/>
        <v>0</v>
      </c>
      <c r="J37" s="25">
        <v>1</v>
      </c>
    </row>
    <row r="38" spans="1:10" ht="16.95" customHeight="1">
      <c r="A38" s="75">
        <v>27</v>
      </c>
      <c r="B38" s="80" t="s">
        <v>117</v>
      </c>
      <c r="C38" s="77" t="s">
        <v>48</v>
      </c>
      <c r="D38" s="78">
        <v>1</v>
      </c>
      <c r="E38" s="79"/>
      <c r="F38" s="79" t="e">
        <f>E38+#REF!</f>
        <v>#REF!</v>
      </c>
      <c r="G38" s="2"/>
      <c r="H38" s="37">
        <v>29620</v>
      </c>
      <c r="I38" s="4">
        <f t="shared" si="0"/>
        <v>0</v>
      </c>
      <c r="J38" s="25">
        <v>1</v>
      </c>
    </row>
    <row r="39" spans="1:10" ht="16.95" customHeight="1">
      <c r="A39" s="75">
        <v>28</v>
      </c>
      <c r="B39" s="80" t="s">
        <v>118</v>
      </c>
      <c r="C39" s="77" t="s">
        <v>48</v>
      </c>
      <c r="D39" s="78">
        <v>1</v>
      </c>
      <c r="E39" s="79"/>
      <c r="F39" s="79" t="e">
        <f>E39+#REF!</f>
        <v>#REF!</v>
      </c>
      <c r="G39" s="2"/>
      <c r="H39" s="37">
        <v>18506</v>
      </c>
      <c r="I39" s="4">
        <f t="shared" si="0"/>
        <v>0</v>
      </c>
      <c r="J39" s="25">
        <v>1</v>
      </c>
    </row>
    <row r="40" spans="1:10" ht="16.95" customHeight="1">
      <c r="A40" s="75">
        <v>29</v>
      </c>
      <c r="B40" s="80" t="s">
        <v>119</v>
      </c>
      <c r="C40" s="77" t="s">
        <v>48</v>
      </c>
      <c r="D40" s="78">
        <v>1</v>
      </c>
      <c r="E40" s="79"/>
      <c r="F40" s="79" t="e">
        <f>E40+#REF!</f>
        <v>#REF!</v>
      </c>
      <c r="G40" s="2"/>
      <c r="H40" s="37">
        <v>34381</v>
      </c>
      <c r="I40" s="4">
        <f t="shared" si="0"/>
        <v>0</v>
      </c>
      <c r="J40" s="25">
        <v>1</v>
      </c>
    </row>
    <row r="41" spans="1:10" ht="16.95" customHeight="1">
      <c r="A41" s="75" t="s">
        <v>79</v>
      </c>
      <c r="B41" s="80" t="s">
        <v>80</v>
      </c>
      <c r="C41" s="77" t="s">
        <v>48</v>
      </c>
      <c r="D41" s="78">
        <v>1</v>
      </c>
      <c r="E41" s="79">
        <f t="shared" ref="E41:E44" si="1">1/120</f>
        <v>8.3333333333333332E-3</v>
      </c>
      <c r="F41" s="79" t="e">
        <f>E41+#REF!</f>
        <v>#REF!</v>
      </c>
      <c r="G41" s="2"/>
      <c r="H41" s="37">
        <v>21395</v>
      </c>
      <c r="I41" s="4">
        <f t="shared" si="0"/>
        <v>178.29166666666666</v>
      </c>
      <c r="J41" s="25">
        <v>1</v>
      </c>
    </row>
    <row r="42" spans="1:10" ht="16.95" customHeight="1">
      <c r="A42" s="75" t="s">
        <v>81</v>
      </c>
      <c r="B42" s="80" t="s">
        <v>82</v>
      </c>
      <c r="C42" s="77" t="s">
        <v>48</v>
      </c>
      <c r="D42" s="78">
        <v>1</v>
      </c>
      <c r="E42" s="79">
        <f t="shared" si="1"/>
        <v>8.3333333333333332E-3</v>
      </c>
      <c r="F42" s="79" t="e">
        <f>E42+#REF!</f>
        <v>#REF!</v>
      </c>
      <c r="G42" s="2"/>
      <c r="H42" s="37">
        <v>21395</v>
      </c>
      <c r="I42" s="4">
        <f t="shared" si="0"/>
        <v>178.29166666666666</v>
      </c>
      <c r="J42" s="25">
        <v>1</v>
      </c>
    </row>
    <row r="43" spans="1:10" ht="16.95" customHeight="1">
      <c r="A43" s="75" t="s">
        <v>83</v>
      </c>
      <c r="B43" s="80" t="s">
        <v>84</v>
      </c>
      <c r="C43" s="77" t="s">
        <v>48</v>
      </c>
      <c r="D43" s="78">
        <v>1</v>
      </c>
      <c r="E43" s="79">
        <f t="shared" si="1"/>
        <v>8.3333333333333332E-3</v>
      </c>
      <c r="F43" s="79" t="e">
        <f>E43+#REF!</f>
        <v>#REF!</v>
      </c>
      <c r="G43" s="2"/>
      <c r="H43" s="37">
        <v>149765</v>
      </c>
      <c r="I43" s="4">
        <f t="shared" si="0"/>
        <v>1248.0416666666667</v>
      </c>
      <c r="J43" s="25">
        <v>1</v>
      </c>
    </row>
    <row r="44" spans="1:10" ht="16.95" customHeight="1">
      <c r="A44" s="75" t="s">
        <v>85</v>
      </c>
      <c r="B44" s="80" t="s">
        <v>86</v>
      </c>
      <c r="C44" s="77" t="s">
        <v>48</v>
      </c>
      <c r="D44" s="78">
        <v>1</v>
      </c>
      <c r="E44" s="79">
        <f t="shared" si="1"/>
        <v>8.3333333333333332E-3</v>
      </c>
      <c r="F44" s="79" t="e">
        <f>E44+#REF!</f>
        <v>#REF!</v>
      </c>
      <c r="G44" s="2"/>
      <c r="H44" s="37">
        <v>6996</v>
      </c>
      <c r="I44" s="4">
        <f t="shared" si="0"/>
        <v>58.3</v>
      </c>
      <c r="J44" s="25">
        <v>1</v>
      </c>
    </row>
    <row r="45" spans="1:10" ht="16.95" customHeight="1">
      <c r="A45" s="75" t="s">
        <v>87</v>
      </c>
      <c r="B45" s="80" t="s">
        <v>88</v>
      </c>
      <c r="C45" s="77" t="s">
        <v>48</v>
      </c>
      <c r="D45" s="78">
        <v>1</v>
      </c>
      <c r="E45" s="79">
        <f>1/120</f>
        <v>8.3333333333333332E-3</v>
      </c>
      <c r="F45" s="79" t="e">
        <f>E45+#REF!</f>
        <v>#REF!</v>
      </c>
      <c r="G45" s="2"/>
      <c r="H45" s="37">
        <v>116952</v>
      </c>
      <c r="I45" s="4">
        <f t="shared" si="0"/>
        <v>974.6</v>
      </c>
      <c r="J45" s="25">
        <v>1</v>
      </c>
    </row>
    <row r="46" spans="1:10" ht="16.95" customHeight="1">
      <c r="A46" s="95" t="s">
        <v>23</v>
      </c>
      <c r="B46" s="95"/>
      <c r="C46" s="50"/>
      <c r="D46" s="50"/>
      <c r="E46" s="50"/>
      <c r="F46" s="50"/>
      <c r="G46" s="50"/>
      <c r="H46" s="3" t="s">
        <v>24</v>
      </c>
      <c r="I46" s="5">
        <f>SUM(I11:I45)</f>
        <v>2637.5250000000001</v>
      </c>
      <c r="J46" s="25">
        <v>1</v>
      </c>
    </row>
    <row r="47" spans="1:10" ht="16.95" customHeight="1">
      <c r="A47" s="96" t="s">
        <v>25</v>
      </c>
      <c r="B47" s="96"/>
      <c r="C47" s="50"/>
      <c r="D47" s="50"/>
      <c r="E47" s="50"/>
      <c r="F47" s="50"/>
      <c r="G47" s="50"/>
      <c r="J47" s="25">
        <v>1</v>
      </c>
    </row>
    <row r="48" spans="1:10" ht="16.95" customHeight="1">
      <c r="A48" s="96" t="s">
        <v>26</v>
      </c>
      <c r="B48" s="96"/>
      <c r="C48" s="50"/>
      <c r="D48" s="50"/>
      <c r="E48" s="50"/>
      <c r="F48" s="50"/>
      <c r="G48" s="50"/>
      <c r="J48" s="25">
        <v>1</v>
      </c>
    </row>
    <row r="49" spans="1:10" ht="16.95" customHeight="1">
      <c r="A49" s="95" t="s">
        <v>27</v>
      </c>
      <c r="B49" s="95"/>
      <c r="C49" s="95"/>
      <c r="D49" s="95"/>
      <c r="E49" s="95"/>
      <c r="F49" s="95"/>
      <c r="G49" s="95"/>
      <c r="J49" s="25">
        <v>1</v>
      </c>
    </row>
    <row r="50" spans="1:10" ht="16.95" customHeight="1">
      <c r="A50" s="94" t="s">
        <v>28</v>
      </c>
      <c r="B50" s="94"/>
      <c r="C50" s="51" t="s">
        <v>29</v>
      </c>
      <c r="D50" s="51" t="s">
        <v>30</v>
      </c>
      <c r="E50" s="51" t="s">
        <v>18</v>
      </c>
      <c r="F50" s="51" t="s">
        <v>31</v>
      </c>
      <c r="G50" s="51" t="s">
        <v>20</v>
      </c>
      <c r="J50" s="25">
        <v>1</v>
      </c>
    </row>
    <row r="51" spans="1:10" ht="16.95" customHeight="1">
      <c r="A51" s="96"/>
      <c r="B51" s="96"/>
      <c r="C51" s="50"/>
      <c r="D51" s="50"/>
      <c r="E51" s="50"/>
      <c r="F51" s="50"/>
      <c r="G51" s="51"/>
      <c r="J51" s="25">
        <v>1</v>
      </c>
    </row>
    <row r="52" spans="1:10" ht="16.95" customHeight="1">
      <c r="A52" s="97"/>
      <c r="B52" s="97"/>
      <c r="C52" s="50"/>
      <c r="D52" s="50"/>
      <c r="E52" s="50"/>
      <c r="F52" s="51"/>
      <c r="G52" s="51"/>
      <c r="J52" s="25">
        <v>1</v>
      </c>
    </row>
    <row r="53" spans="1:10" ht="16.95" customHeight="1">
      <c r="A53" s="95" t="s">
        <v>32</v>
      </c>
      <c r="B53" s="95"/>
      <c r="C53" s="95"/>
      <c r="D53" s="95"/>
      <c r="E53" s="95"/>
      <c r="F53" s="95"/>
      <c r="G53" s="95"/>
      <c r="J53" s="25">
        <v>2</v>
      </c>
    </row>
    <row r="54" spans="1:10" ht="16.95" customHeight="1">
      <c r="A54" s="51" t="s">
        <v>33</v>
      </c>
      <c r="B54" s="51" t="s">
        <v>34</v>
      </c>
      <c r="C54" s="94" t="s">
        <v>35</v>
      </c>
      <c r="D54" s="94"/>
      <c r="E54" s="51" t="s">
        <v>36</v>
      </c>
      <c r="F54" s="51" t="s">
        <v>37</v>
      </c>
      <c r="G54" s="51" t="s">
        <v>38</v>
      </c>
      <c r="J54" s="25">
        <v>2</v>
      </c>
    </row>
    <row r="55" spans="1:10" ht="16.95" customHeight="1">
      <c r="A55" s="51" t="s">
        <v>39</v>
      </c>
      <c r="B55" s="6"/>
      <c r="C55" s="94" t="e">
        <f>B55+#REF!</f>
        <v>#REF!</v>
      </c>
      <c r="D55" s="94"/>
      <c r="E55" s="51"/>
      <c r="F55" s="24"/>
      <c r="G55" s="24"/>
      <c r="J55" s="25">
        <v>2</v>
      </c>
    </row>
    <row r="56" spans="1:10" ht="16.95" customHeight="1">
      <c r="A56" s="51" t="s">
        <v>40</v>
      </c>
      <c r="B56" s="6"/>
      <c r="C56" s="94" t="e">
        <f>B56+#REF!</f>
        <v>#REF!</v>
      </c>
      <c r="D56" s="94"/>
      <c r="E56" s="51"/>
      <c r="F56" s="24"/>
      <c r="G56" s="24"/>
      <c r="J56" s="25">
        <v>2</v>
      </c>
    </row>
    <row r="57" spans="1:10" ht="36.6" customHeight="1">
      <c r="A57" s="95" t="s">
        <v>41</v>
      </c>
      <c r="B57" s="95"/>
      <c r="C57" s="95"/>
      <c r="D57" s="95"/>
      <c r="E57" s="95"/>
      <c r="F57" s="95"/>
      <c r="G57" s="95"/>
      <c r="J57" s="25">
        <v>2</v>
      </c>
    </row>
    <row r="58" spans="1:10" ht="90" customHeight="1">
      <c r="A58" s="92" t="s">
        <v>42</v>
      </c>
      <c r="B58" s="92"/>
      <c r="C58" s="92"/>
      <c r="D58" s="92"/>
      <c r="E58" s="92"/>
      <c r="F58" s="92"/>
      <c r="G58" s="92"/>
      <c r="J58" s="25">
        <v>2</v>
      </c>
    </row>
    <row r="59" spans="1:10" ht="16.95" customHeight="1">
      <c r="A59" s="95" t="s">
        <v>43</v>
      </c>
      <c r="B59" s="95"/>
      <c r="C59" s="95"/>
      <c r="D59" s="95"/>
      <c r="E59" s="95"/>
      <c r="F59" s="95"/>
      <c r="G59" s="95"/>
      <c r="J59" s="25">
        <v>2</v>
      </c>
    </row>
    <row r="60" spans="1:10" ht="16.95" customHeight="1">
      <c r="A60" s="95" t="s">
        <v>44</v>
      </c>
      <c r="B60" s="95"/>
      <c r="C60" s="95"/>
      <c r="D60" s="95"/>
      <c r="E60" s="95"/>
      <c r="F60" s="95"/>
      <c r="G60" s="95"/>
      <c r="J60" s="25">
        <v>2</v>
      </c>
    </row>
    <row r="61" spans="1:10" ht="16.95" customHeight="1">
      <c r="A61" s="91" t="s">
        <v>64</v>
      </c>
      <c r="B61" s="91"/>
      <c r="C61" s="91"/>
      <c r="D61" s="91"/>
      <c r="E61" s="91"/>
      <c r="F61" s="91"/>
      <c r="G61" s="91"/>
      <c r="J61" s="25">
        <v>2</v>
      </c>
    </row>
    <row r="62" spans="1:10" ht="120.6" customHeight="1">
      <c r="A62" s="92" t="s">
        <v>45</v>
      </c>
      <c r="B62" s="92"/>
      <c r="C62" s="92"/>
      <c r="D62" s="92"/>
      <c r="E62" s="92"/>
      <c r="F62" s="92"/>
      <c r="G62" s="92"/>
      <c r="J62" s="25">
        <v>2</v>
      </c>
    </row>
    <row r="63" spans="1:10" ht="140.4" customHeight="1">
      <c r="A63" s="93" t="s">
        <v>46</v>
      </c>
      <c r="B63" s="93"/>
      <c r="C63" s="93"/>
      <c r="D63" s="93"/>
      <c r="E63" s="93"/>
      <c r="F63" s="93"/>
      <c r="G63" s="93"/>
      <c r="J63" s="25">
        <v>2</v>
      </c>
    </row>
    <row r="64" spans="1:10" ht="37.200000000000003" customHeight="1">
      <c r="A64" s="103" t="s">
        <v>0</v>
      </c>
      <c r="B64" s="103"/>
      <c r="C64" s="103"/>
      <c r="D64" s="103"/>
      <c r="E64" s="103"/>
      <c r="F64" s="103"/>
      <c r="G64" s="103"/>
      <c r="J64" s="25">
        <f t="shared" ref="J64:J127" si="2">J1+2</f>
        <v>3</v>
      </c>
    </row>
    <row r="65" spans="1:10" ht="16.95" customHeight="1">
      <c r="A65" s="1" t="s">
        <v>1</v>
      </c>
      <c r="B65" s="104">
        <f>B2+1</f>
        <v>3</v>
      </c>
      <c r="C65" s="104"/>
      <c r="D65" s="104"/>
      <c r="E65" s="104"/>
      <c r="F65" s="104"/>
      <c r="G65" s="104"/>
      <c r="J65" s="25">
        <f t="shared" si="2"/>
        <v>3</v>
      </c>
    </row>
    <row r="66" spans="1:10" ht="16.95" customHeight="1">
      <c r="A66" s="1" t="s">
        <v>2</v>
      </c>
      <c r="B66" s="105" t="s">
        <v>63</v>
      </c>
      <c r="C66" s="105"/>
      <c r="D66" s="105"/>
      <c r="E66" s="106">
        <f>E3+1</f>
        <v>46205</v>
      </c>
      <c r="F66" s="106"/>
      <c r="G66" s="106"/>
      <c r="J66" s="25">
        <f t="shared" si="2"/>
        <v>3</v>
      </c>
    </row>
    <row r="67" spans="1:10" ht="16.95" customHeight="1">
      <c r="A67" s="53" t="s">
        <v>3</v>
      </c>
      <c r="B67" s="2" t="s">
        <v>67</v>
      </c>
      <c r="C67" s="98" t="s">
        <v>4</v>
      </c>
      <c r="D67" s="98"/>
      <c r="E67" s="98" t="s">
        <v>47</v>
      </c>
      <c r="F67" s="98"/>
      <c r="G67" s="98"/>
      <c r="J67" s="25">
        <f t="shared" si="2"/>
        <v>3</v>
      </c>
    </row>
    <row r="68" spans="1:10" ht="16.95" customHeight="1">
      <c r="A68" s="53" t="s">
        <v>5</v>
      </c>
      <c r="B68" s="54">
        <v>120</v>
      </c>
      <c r="C68" s="98" t="s">
        <v>6</v>
      </c>
      <c r="D68" s="98"/>
      <c r="E68" s="98" t="s">
        <v>123</v>
      </c>
      <c r="F68" s="98"/>
      <c r="G68" s="98"/>
      <c r="J68" s="25">
        <f t="shared" si="2"/>
        <v>3</v>
      </c>
    </row>
    <row r="69" spans="1:10" ht="16.95" customHeight="1">
      <c r="A69" s="53" t="s">
        <v>7</v>
      </c>
      <c r="B69" s="54">
        <f>B65</f>
        <v>3</v>
      </c>
      <c r="C69" s="100" t="s">
        <v>8</v>
      </c>
      <c r="D69" s="100"/>
      <c r="E69" s="101">
        <f>B68-B69</f>
        <v>117</v>
      </c>
      <c r="F69" s="101"/>
      <c r="G69" s="101"/>
      <c r="J69" s="25">
        <f t="shared" si="2"/>
        <v>3</v>
      </c>
    </row>
    <row r="70" spans="1:10" ht="16.95" customHeight="1">
      <c r="A70" s="53" t="s">
        <v>9</v>
      </c>
      <c r="B70" s="55">
        <v>46204</v>
      </c>
      <c r="C70" s="98" t="s">
        <v>10</v>
      </c>
      <c r="D70" s="98"/>
      <c r="E70" s="102">
        <f>B70+B68-1</f>
        <v>46323</v>
      </c>
      <c r="F70" s="102"/>
      <c r="G70" s="102"/>
      <c r="J70" s="25">
        <f t="shared" si="2"/>
        <v>3</v>
      </c>
    </row>
    <row r="71" spans="1:10" ht="16.95" customHeight="1">
      <c r="A71" s="53" t="s">
        <v>11</v>
      </c>
      <c r="B71" s="56" t="e">
        <f>HLOOKUP(B65,進度表!$Q$2:$Z$3,2,1)+B8</f>
        <v>#REF!</v>
      </c>
      <c r="C71" s="98" t="s">
        <v>12</v>
      </c>
      <c r="D71" s="98"/>
      <c r="E71" s="99" t="e">
        <f>I109/I71+E8</f>
        <v>#REF!</v>
      </c>
      <c r="F71" s="99"/>
      <c r="G71" s="99"/>
      <c r="H71" s="3" t="s">
        <v>62</v>
      </c>
      <c r="I71" s="1">
        <v>2456000</v>
      </c>
      <c r="J71" s="25">
        <f t="shared" si="2"/>
        <v>3</v>
      </c>
    </row>
    <row r="72" spans="1:10" ht="16.95" customHeight="1">
      <c r="A72" s="98" t="s">
        <v>13</v>
      </c>
      <c r="B72" s="98"/>
      <c r="C72" s="98"/>
      <c r="D72" s="98"/>
      <c r="E72" s="98"/>
      <c r="F72" s="98"/>
      <c r="G72" s="98"/>
      <c r="J72" s="25">
        <f t="shared" si="2"/>
        <v>3</v>
      </c>
    </row>
    <row r="73" spans="1:10" ht="16.95" customHeight="1">
      <c r="A73" s="52" t="s">
        <v>14</v>
      </c>
      <c r="B73" s="52" t="s">
        <v>15</v>
      </c>
      <c r="C73" s="52" t="s">
        <v>16</v>
      </c>
      <c r="D73" s="52" t="s">
        <v>17</v>
      </c>
      <c r="E73" s="52" t="s">
        <v>18</v>
      </c>
      <c r="F73" s="52" t="s">
        <v>19</v>
      </c>
      <c r="G73" s="52" t="s">
        <v>20</v>
      </c>
      <c r="H73" s="3" t="s">
        <v>21</v>
      </c>
      <c r="I73" s="3" t="s">
        <v>22</v>
      </c>
      <c r="J73" s="25">
        <f t="shared" si="2"/>
        <v>3</v>
      </c>
    </row>
    <row r="74" spans="1:10" ht="16.95" customHeight="1">
      <c r="A74" s="75" t="s">
        <v>65</v>
      </c>
      <c r="B74" s="76" t="s">
        <v>69</v>
      </c>
      <c r="C74" s="77"/>
      <c r="D74" s="78"/>
      <c r="E74" s="79"/>
      <c r="F74" s="79"/>
      <c r="G74" s="2"/>
      <c r="H74" s="37"/>
      <c r="I74" s="4"/>
      <c r="J74" s="25">
        <f t="shared" si="2"/>
        <v>3</v>
      </c>
    </row>
    <row r="75" spans="1:10" ht="34.950000000000003" customHeight="1">
      <c r="A75" s="75">
        <v>1</v>
      </c>
      <c r="B75" s="80" t="s">
        <v>91</v>
      </c>
      <c r="C75" s="77" t="s">
        <v>48</v>
      </c>
      <c r="D75" s="78">
        <v>1</v>
      </c>
      <c r="E75" s="79"/>
      <c r="F75" s="79" t="e">
        <f t="shared" ref="F75:F108" si="3">E75+F12</f>
        <v>#REF!</v>
      </c>
      <c r="G75" s="2"/>
      <c r="H75" s="37">
        <v>10508</v>
      </c>
      <c r="I75" s="4">
        <f>H75*E75</f>
        <v>0</v>
      </c>
      <c r="J75" s="25">
        <f t="shared" si="2"/>
        <v>3</v>
      </c>
    </row>
    <row r="76" spans="1:10" ht="34.799999999999997" customHeight="1">
      <c r="A76" s="75">
        <v>2</v>
      </c>
      <c r="B76" s="80" t="s">
        <v>92</v>
      </c>
      <c r="C76" s="77" t="s">
        <v>48</v>
      </c>
      <c r="D76" s="78">
        <v>1</v>
      </c>
      <c r="E76" s="79"/>
      <c r="F76" s="79" t="e">
        <f t="shared" si="3"/>
        <v>#REF!</v>
      </c>
      <c r="G76" s="2"/>
      <c r="H76" s="37">
        <v>13223</v>
      </c>
      <c r="I76" s="4">
        <f>H76*E76</f>
        <v>0</v>
      </c>
      <c r="J76" s="25">
        <f t="shared" si="2"/>
        <v>3</v>
      </c>
    </row>
    <row r="77" spans="1:10" ht="53.4" customHeight="1">
      <c r="A77" s="75">
        <v>3</v>
      </c>
      <c r="B77" s="80" t="s">
        <v>93</v>
      </c>
      <c r="C77" s="77" t="s">
        <v>48</v>
      </c>
      <c r="D77" s="78">
        <v>1</v>
      </c>
      <c r="E77" s="79"/>
      <c r="F77" s="79" t="e">
        <f t="shared" si="3"/>
        <v>#REF!</v>
      </c>
      <c r="G77" s="2"/>
      <c r="H77" s="37">
        <v>310497</v>
      </c>
      <c r="I77" s="4">
        <f t="shared" ref="I77:I108" si="4">H77*E77</f>
        <v>0</v>
      </c>
      <c r="J77" s="25">
        <f t="shared" si="2"/>
        <v>3</v>
      </c>
    </row>
    <row r="78" spans="1:10" ht="16.95" customHeight="1">
      <c r="A78" s="75">
        <v>4</v>
      </c>
      <c r="B78" s="80" t="s">
        <v>94</v>
      </c>
      <c r="C78" s="77" t="s">
        <v>48</v>
      </c>
      <c r="D78" s="78">
        <v>1</v>
      </c>
      <c r="E78" s="79"/>
      <c r="F78" s="79" t="e">
        <f t="shared" si="3"/>
        <v>#REF!</v>
      </c>
      <c r="G78" s="2"/>
      <c r="H78" s="37">
        <v>8375</v>
      </c>
      <c r="I78" s="4">
        <f t="shared" si="4"/>
        <v>0</v>
      </c>
      <c r="J78" s="25">
        <f t="shared" si="2"/>
        <v>3</v>
      </c>
    </row>
    <row r="79" spans="1:10" ht="16.95" customHeight="1">
      <c r="A79" s="75">
        <v>5</v>
      </c>
      <c r="B79" s="80" t="s">
        <v>95</v>
      </c>
      <c r="C79" s="77" t="s">
        <v>48</v>
      </c>
      <c r="D79" s="78">
        <v>1</v>
      </c>
      <c r="E79" s="79"/>
      <c r="F79" s="79" t="e">
        <f t="shared" si="3"/>
        <v>#REF!</v>
      </c>
      <c r="G79" s="2"/>
      <c r="H79" s="37">
        <v>51618</v>
      </c>
      <c r="I79" s="4">
        <f t="shared" si="4"/>
        <v>0</v>
      </c>
      <c r="J79" s="25">
        <f t="shared" si="2"/>
        <v>3</v>
      </c>
    </row>
    <row r="80" spans="1:10" ht="16.95" customHeight="1">
      <c r="A80" s="75">
        <v>6</v>
      </c>
      <c r="B80" s="80" t="s">
        <v>96</v>
      </c>
      <c r="C80" s="77" t="s">
        <v>50</v>
      </c>
      <c r="D80" s="78">
        <v>11.55</v>
      </c>
      <c r="E80" s="79"/>
      <c r="F80" s="79" t="e">
        <f t="shared" si="3"/>
        <v>#REF!</v>
      </c>
      <c r="G80" s="2"/>
      <c r="H80" s="37">
        <v>1188</v>
      </c>
      <c r="I80" s="4">
        <f t="shared" si="4"/>
        <v>0</v>
      </c>
      <c r="J80" s="25">
        <f t="shared" si="2"/>
        <v>3</v>
      </c>
    </row>
    <row r="81" spans="1:10" ht="34.950000000000003" customHeight="1">
      <c r="A81" s="75">
        <v>7</v>
      </c>
      <c r="B81" s="80" t="s">
        <v>97</v>
      </c>
      <c r="C81" s="77" t="s">
        <v>48</v>
      </c>
      <c r="D81" s="78">
        <v>1</v>
      </c>
      <c r="E81" s="79"/>
      <c r="F81" s="79" t="e">
        <f t="shared" si="3"/>
        <v>#REF!</v>
      </c>
      <c r="G81" s="2"/>
      <c r="H81" s="37">
        <v>21157</v>
      </c>
      <c r="I81" s="4">
        <f t="shared" si="4"/>
        <v>0</v>
      </c>
      <c r="J81" s="25">
        <f t="shared" si="2"/>
        <v>3</v>
      </c>
    </row>
    <row r="82" spans="1:10" ht="16.95" customHeight="1">
      <c r="A82" s="75">
        <v>8</v>
      </c>
      <c r="B82" s="80" t="s">
        <v>98</v>
      </c>
      <c r="C82" s="77" t="s">
        <v>50</v>
      </c>
      <c r="D82" s="78">
        <v>387</v>
      </c>
      <c r="E82" s="79"/>
      <c r="F82" s="79" t="e">
        <f t="shared" si="3"/>
        <v>#REF!</v>
      </c>
      <c r="G82" s="2"/>
      <c r="H82" s="37">
        <v>705</v>
      </c>
      <c r="I82" s="4">
        <f t="shared" si="4"/>
        <v>0</v>
      </c>
      <c r="J82" s="25">
        <f t="shared" si="2"/>
        <v>3</v>
      </c>
    </row>
    <row r="83" spans="1:10" ht="16.95" customHeight="1">
      <c r="A83" s="75">
        <v>9</v>
      </c>
      <c r="B83" s="80" t="s">
        <v>99</v>
      </c>
      <c r="C83" s="77" t="s">
        <v>50</v>
      </c>
      <c r="D83" s="78">
        <v>170</v>
      </c>
      <c r="E83" s="79"/>
      <c r="F83" s="79" t="e">
        <f t="shared" si="3"/>
        <v>#REF!</v>
      </c>
      <c r="G83" s="2"/>
      <c r="H83" s="37">
        <v>617</v>
      </c>
      <c r="I83" s="4">
        <f t="shared" si="4"/>
        <v>0</v>
      </c>
      <c r="J83" s="25">
        <f t="shared" si="2"/>
        <v>3</v>
      </c>
    </row>
    <row r="84" spans="1:10" ht="16.95" customHeight="1">
      <c r="A84" s="75">
        <v>10</v>
      </c>
      <c r="B84" s="80" t="s">
        <v>100</v>
      </c>
      <c r="C84" s="77" t="s">
        <v>66</v>
      </c>
      <c r="D84" s="78">
        <v>15</v>
      </c>
      <c r="E84" s="79"/>
      <c r="F84" s="79" t="e">
        <f t="shared" si="3"/>
        <v>#REF!</v>
      </c>
      <c r="G84" s="2"/>
      <c r="H84" s="37">
        <v>617</v>
      </c>
      <c r="I84" s="4">
        <f t="shared" si="4"/>
        <v>0</v>
      </c>
      <c r="J84" s="25">
        <f t="shared" si="2"/>
        <v>3</v>
      </c>
    </row>
    <row r="85" spans="1:10" ht="16.95" customHeight="1">
      <c r="A85" s="75">
        <v>11</v>
      </c>
      <c r="B85" s="80" t="s">
        <v>101</v>
      </c>
      <c r="C85" s="77" t="s">
        <v>50</v>
      </c>
      <c r="D85" s="78">
        <v>75</v>
      </c>
      <c r="E85" s="79"/>
      <c r="F85" s="79" t="e">
        <f t="shared" si="3"/>
        <v>#REF!</v>
      </c>
      <c r="G85" s="2"/>
      <c r="H85" s="37">
        <v>1146</v>
      </c>
      <c r="I85" s="4">
        <f t="shared" si="4"/>
        <v>0</v>
      </c>
      <c r="J85" s="25">
        <f t="shared" si="2"/>
        <v>3</v>
      </c>
    </row>
    <row r="86" spans="1:10" ht="16.95" customHeight="1">
      <c r="A86" s="75">
        <v>12</v>
      </c>
      <c r="B86" s="80" t="s">
        <v>102</v>
      </c>
      <c r="C86" s="77" t="s">
        <v>50</v>
      </c>
      <c r="D86" s="78">
        <v>5</v>
      </c>
      <c r="E86" s="79"/>
      <c r="F86" s="79" t="e">
        <f t="shared" si="3"/>
        <v>#REF!</v>
      </c>
      <c r="G86" s="2"/>
      <c r="H86" s="37">
        <v>1455</v>
      </c>
      <c r="I86" s="4">
        <f t="shared" si="4"/>
        <v>0</v>
      </c>
      <c r="J86" s="25">
        <f t="shared" si="2"/>
        <v>3</v>
      </c>
    </row>
    <row r="87" spans="1:10" ht="16.95" customHeight="1">
      <c r="A87" s="75">
        <v>13</v>
      </c>
      <c r="B87" s="80" t="s">
        <v>103</v>
      </c>
      <c r="C87" s="77" t="s">
        <v>50</v>
      </c>
      <c r="D87" s="78">
        <v>217</v>
      </c>
      <c r="E87" s="79"/>
      <c r="F87" s="79" t="e">
        <f t="shared" si="3"/>
        <v>#REF!</v>
      </c>
      <c r="G87" s="2"/>
      <c r="H87" s="37">
        <v>1410</v>
      </c>
      <c r="I87" s="4">
        <f t="shared" si="4"/>
        <v>0</v>
      </c>
      <c r="J87" s="25">
        <f t="shared" si="2"/>
        <v>3</v>
      </c>
    </row>
    <row r="88" spans="1:10" ht="16.95" customHeight="1">
      <c r="A88" s="75">
        <v>14</v>
      </c>
      <c r="B88" s="80" t="s">
        <v>104</v>
      </c>
      <c r="C88" s="77" t="s">
        <v>49</v>
      </c>
      <c r="D88" s="78">
        <v>84</v>
      </c>
      <c r="E88" s="79"/>
      <c r="F88" s="79" t="e">
        <f t="shared" si="3"/>
        <v>#REF!</v>
      </c>
      <c r="G88" s="2"/>
      <c r="H88" s="37">
        <v>529</v>
      </c>
      <c r="I88" s="4">
        <f t="shared" si="4"/>
        <v>0</v>
      </c>
      <c r="J88" s="25">
        <f t="shared" si="2"/>
        <v>3</v>
      </c>
    </row>
    <row r="89" spans="1:10" ht="16.95" customHeight="1">
      <c r="A89" s="75">
        <v>15</v>
      </c>
      <c r="B89" s="80" t="s">
        <v>105</v>
      </c>
      <c r="C89" s="77" t="s">
        <v>50</v>
      </c>
      <c r="D89" s="78">
        <v>1</v>
      </c>
      <c r="E89" s="79"/>
      <c r="F89" s="79" t="e">
        <f t="shared" si="3"/>
        <v>#REF!</v>
      </c>
      <c r="G89" s="2"/>
      <c r="H89" s="37">
        <v>1146</v>
      </c>
      <c r="I89" s="4">
        <f t="shared" si="4"/>
        <v>0</v>
      </c>
      <c r="J89" s="25">
        <f t="shared" si="2"/>
        <v>3</v>
      </c>
    </row>
    <row r="90" spans="1:10" ht="34.799999999999997" customHeight="1">
      <c r="A90" s="75">
        <v>16</v>
      </c>
      <c r="B90" s="80" t="s">
        <v>106</v>
      </c>
      <c r="C90" s="77" t="s">
        <v>50</v>
      </c>
      <c r="D90" s="78">
        <v>314</v>
      </c>
      <c r="E90" s="79"/>
      <c r="F90" s="79" t="e">
        <f t="shared" si="3"/>
        <v>#REF!</v>
      </c>
      <c r="G90" s="2"/>
      <c r="H90" s="37">
        <v>185</v>
      </c>
      <c r="I90" s="4">
        <f t="shared" si="4"/>
        <v>0</v>
      </c>
      <c r="J90" s="25">
        <f t="shared" si="2"/>
        <v>3</v>
      </c>
    </row>
    <row r="91" spans="1:10" ht="16.95" customHeight="1">
      <c r="A91" s="75">
        <v>17</v>
      </c>
      <c r="B91" s="80" t="s">
        <v>107</v>
      </c>
      <c r="C91" s="77" t="s">
        <v>48</v>
      </c>
      <c r="D91" s="78">
        <v>1</v>
      </c>
      <c r="E91" s="79"/>
      <c r="F91" s="79" t="e">
        <f t="shared" si="3"/>
        <v>#REF!</v>
      </c>
      <c r="G91" s="2"/>
      <c r="H91" s="37">
        <v>89918</v>
      </c>
      <c r="I91" s="4">
        <f t="shared" si="4"/>
        <v>0</v>
      </c>
      <c r="J91" s="25">
        <f t="shared" si="2"/>
        <v>3</v>
      </c>
    </row>
    <row r="92" spans="1:10" ht="16.95" customHeight="1">
      <c r="A92" s="75">
        <v>18</v>
      </c>
      <c r="B92" s="80" t="s">
        <v>108</v>
      </c>
      <c r="C92" s="77" t="s">
        <v>120</v>
      </c>
      <c r="D92" s="78">
        <v>15</v>
      </c>
      <c r="E92" s="79"/>
      <c r="F92" s="79" t="e">
        <f t="shared" si="3"/>
        <v>#REF!</v>
      </c>
      <c r="G92" s="2"/>
      <c r="H92" s="37">
        <v>661</v>
      </c>
      <c r="I92" s="4">
        <f t="shared" si="4"/>
        <v>0</v>
      </c>
      <c r="J92" s="25">
        <f t="shared" si="2"/>
        <v>3</v>
      </c>
    </row>
    <row r="93" spans="1:10" ht="16.95" customHeight="1">
      <c r="A93" s="75">
        <v>19</v>
      </c>
      <c r="B93" s="80" t="s">
        <v>109</v>
      </c>
      <c r="C93" s="77" t="s">
        <v>50</v>
      </c>
      <c r="D93" s="78">
        <v>82</v>
      </c>
      <c r="E93" s="79"/>
      <c r="F93" s="79" t="e">
        <f t="shared" si="3"/>
        <v>#REF!</v>
      </c>
      <c r="G93" s="2"/>
      <c r="H93" s="37">
        <v>2909</v>
      </c>
      <c r="I93" s="4">
        <f t="shared" si="4"/>
        <v>0</v>
      </c>
      <c r="J93" s="25">
        <f t="shared" si="2"/>
        <v>3</v>
      </c>
    </row>
    <row r="94" spans="1:10" ht="16.95" customHeight="1">
      <c r="A94" s="75">
        <v>20</v>
      </c>
      <c r="B94" s="80" t="s">
        <v>110</v>
      </c>
      <c r="C94" s="77" t="s">
        <v>121</v>
      </c>
      <c r="D94" s="78">
        <v>12</v>
      </c>
      <c r="E94" s="79"/>
      <c r="F94" s="79" t="e">
        <f t="shared" si="3"/>
        <v>#REF!</v>
      </c>
      <c r="G94" s="2"/>
      <c r="H94" s="37">
        <v>882</v>
      </c>
      <c r="I94" s="4">
        <f t="shared" si="4"/>
        <v>0</v>
      </c>
      <c r="J94" s="25">
        <f t="shared" si="2"/>
        <v>3</v>
      </c>
    </row>
    <row r="95" spans="1:10" ht="16.95" customHeight="1">
      <c r="A95" s="77">
        <v>21</v>
      </c>
      <c r="B95" s="80" t="s">
        <v>111</v>
      </c>
      <c r="C95" s="77" t="s">
        <v>122</v>
      </c>
      <c r="D95" s="78">
        <v>3</v>
      </c>
      <c r="E95" s="79"/>
      <c r="F95" s="79" t="e">
        <f t="shared" si="3"/>
        <v>#REF!</v>
      </c>
      <c r="G95" s="2"/>
      <c r="H95" s="38">
        <v>1869</v>
      </c>
      <c r="I95" s="4">
        <f t="shared" si="4"/>
        <v>0</v>
      </c>
      <c r="J95" s="25">
        <f t="shared" si="2"/>
        <v>3</v>
      </c>
    </row>
    <row r="96" spans="1:10" ht="34.950000000000003" customHeight="1">
      <c r="A96" s="75">
        <v>22</v>
      </c>
      <c r="B96" s="80" t="s">
        <v>112</v>
      </c>
      <c r="C96" s="77" t="s">
        <v>48</v>
      </c>
      <c r="D96" s="78">
        <v>1</v>
      </c>
      <c r="E96" s="79"/>
      <c r="F96" s="79" t="e">
        <f t="shared" si="3"/>
        <v>#REF!</v>
      </c>
      <c r="G96" s="2"/>
      <c r="H96" s="37">
        <v>82206</v>
      </c>
      <c r="I96" s="4">
        <f t="shared" si="4"/>
        <v>0</v>
      </c>
      <c r="J96" s="25">
        <f t="shared" si="2"/>
        <v>3</v>
      </c>
    </row>
    <row r="97" spans="1:10" ht="16.95" customHeight="1">
      <c r="A97" s="75">
        <v>23</v>
      </c>
      <c r="B97" s="80" t="s">
        <v>113</v>
      </c>
      <c r="C97" s="77" t="s">
        <v>48</v>
      </c>
      <c r="D97" s="78">
        <v>1</v>
      </c>
      <c r="E97" s="79"/>
      <c r="F97" s="79" t="e">
        <f t="shared" si="3"/>
        <v>#REF!</v>
      </c>
      <c r="G97" s="2"/>
      <c r="H97" s="37">
        <v>142723</v>
      </c>
      <c r="I97" s="4">
        <f t="shared" si="4"/>
        <v>0</v>
      </c>
      <c r="J97" s="25">
        <f t="shared" si="2"/>
        <v>3</v>
      </c>
    </row>
    <row r="98" spans="1:10" ht="16.95" customHeight="1">
      <c r="A98" s="75">
        <v>24</v>
      </c>
      <c r="B98" s="80" t="s">
        <v>114</v>
      </c>
      <c r="C98" s="77" t="s">
        <v>48</v>
      </c>
      <c r="D98" s="78">
        <v>1</v>
      </c>
      <c r="E98" s="79"/>
      <c r="F98" s="79" t="e">
        <f t="shared" si="3"/>
        <v>#REF!</v>
      </c>
      <c r="G98" s="2"/>
      <c r="H98" s="37">
        <v>37290</v>
      </c>
      <c r="I98" s="4">
        <f t="shared" si="4"/>
        <v>0</v>
      </c>
      <c r="J98" s="25">
        <f t="shared" si="2"/>
        <v>3</v>
      </c>
    </row>
    <row r="99" spans="1:10" ht="16.95" customHeight="1">
      <c r="A99" s="75">
        <v>25</v>
      </c>
      <c r="B99" s="80" t="s">
        <v>115</v>
      </c>
      <c r="C99" s="77" t="s">
        <v>48</v>
      </c>
      <c r="D99" s="78">
        <v>1</v>
      </c>
      <c r="E99" s="79"/>
      <c r="F99" s="79" t="e">
        <f t="shared" si="3"/>
        <v>#REF!</v>
      </c>
      <c r="G99" s="2"/>
      <c r="H99" s="37">
        <v>99394</v>
      </c>
      <c r="I99" s="4">
        <f t="shared" si="4"/>
        <v>0</v>
      </c>
      <c r="J99" s="25">
        <f t="shared" si="2"/>
        <v>3</v>
      </c>
    </row>
    <row r="100" spans="1:10" ht="34.950000000000003" customHeight="1">
      <c r="A100" s="75">
        <v>26</v>
      </c>
      <c r="B100" s="80" t="s">
        <v>116</v>
      </c>
      <c r="C100" s="77" t="s">
        <v>48</v>
      </c>
      <c r="D100" s="78">
        <v>1</v>
      </c>
      <c r="E100" s="79"/>
      <c r="F100" s="79" t="e">
        <f t="shared" si="3"/>
        <v>#REF!</v>
      </c>
      <c r="G100" s="2"/>
      <c r="H100" s="37">
        <v>21334</v>
      </c>
      <c r="I100" s="4">
        <f t="shared" si="4"/>
        <v>0</v>
      </c>
      <c r="J100" s="25">
        <f t="shared" si="2"/>
        <v>3</v>
      </c>
    </row>
    <row r="101" spans="1:10" ht="16.95" customHeight="1">
      <c r="A101" s="75">
        <v>27</v>
      </c>
      <c r="B101" s="80" t="s">
        <v>117</v>
      </c>
      <c r="C101" s="77" t="s">
        <v>48</v>
      </c>
      <c r="D101" s="78">
        <v>1</v>
      </c>
      <c r="E101" s="79"/>
      <c r="F101" s="79" t="e">
        <f t="shared" si="3"/>
        <v>#REF!</v>
      </c>
      <c r="G101" s="2"/>
      <c r="H101" s="37">
        <v>29620</v>
      </c>
      <c r="I101" s="4">
        <f t="shared" si="4"/>
        <v>0</v>
      </c>
      <c r="J101" s="25">
        <f t="shared" si="2"/>
        <v>3</v>
      </c>
    </row>
    <row r="102" spans="1:10" ht="16.95" customHeight="1">
      <c r="A102" s="75">
        <v>28</v>
      </c>
      <c r="B102" s="80" t="s">
        <v>118</v>
      </c>
      <c r="C102" s="77" t="s">
        <v>48</v>
      </c>
      <c r="D102" s="78">
        <v>1</v>
      </c>
      <c r="E102" s="79"/>
      <c r="F102" s="79" t="e">
        <f t="shared" si="3"/>
        <v>#REF!</v>
      </c>
      <c r="G102" s="2"/>
      <c r="H102" s="37">
        <v>18506</v>
      </c>
      <c r="I102" s="4">
        <f t="shared" si="4"/>
        <v>0</v>
      </c>
      <c r="J102" s="25">
        <f t="shared" si="2"/>
        <v>3</v>
      </c>
    </row>
    <row r="103" spans="1:10" ht="16.95" customHeight="1">
      <c r="A103" s="75">
        <v>29</v>
      </c>
      <c r="B103" s="80" t="s">
        <v>119</v>
      </c>
      <c r="C103" s="77" t="s">
        <v>48</v>
      </c>
      <c r="D103" s="78">
        <v>1</v>
      </c>
      <c r="E103" s="79"/>
      <c r="F103" s="79" t="e">
        <f t="shared" si="3"/>
        <v>#REF!</v>
      </c>
      <c r="G103" s="2"/>
      <c r="H103" s="37">
        <v>34381</v>
      </c>
      <c r="I103" s="4">
        <f t="shared" si="4"/>
        <v>0</v>
      </c>
      <c r="J103" s="25">
        <f t="shared" si="2"/>
        <v>3</v>
      </c>
    </row>
    <row r="104" spans="1:10" ht="16.95" customHeight="1">
      <c r="A104" s="75" t="s">
        <v>79</v>
      </c>
      <c r="B104" s="80" t="s">
        <v>80</v>
      </c>
      <c r="C104" s="77" t="s">
        <v>48</v>
      </c>
      <c r="D104" s="78">
        <v>1</v>
      </c>
      <c r="E104" s="79">
        <f t="shared" ref="E104:E107" si="5">1/120</f>
        <v>8.3333333333333332E-3</v>
      </c>
      <c r="F104" s="79" t="e">
        <f t="shared" si="3"/>
        <v>#REF!</v>
      </c>
      <c r="G104" s="2"/>
      <c r="H104" s="37">
        <v>21395</v>
      </c>
      <c r="I104" s="4">
        <f t="shared" si="4"/>
        <v>178.29166666666666</v>
      </c>
      <c r="J104" s="25">
        <f t="shared" si="2"/>
        <v>3</v>
      </c>
    </row>
    <row r="105" spans="1:10" ht="16.95" customHeight="1">
      <c r="A105" s="75" t="s">
        <v>81</v>
      </c>
      <c r="B105" s="80" t="s">
        <v>82</v>
      </c>
      <c r="C105" s="77" t="s">
        <v>48</v>
      </c>
      <c r="D105" s="78">
        <v>1</v>
      </c>
      <c r="E105" s="79">
        <f t="shared" si="5"/>
        <v>8.3333333333333332E-3</v>
      </c>
      <c r="F105" s="79" t="e">
        <f t="shared" si="3"/>
        <v>#REF!</v>
      </c>
      <c r="G105" s="2"/>
      <c r="H105" s="37">
        <v>21395</v>
      </c>
      <c r="I105" s="4">
        <f t="shared" si="4"/>
        <v>178.29166666666666</v>
      </c>
      <c r="J105" s="25">
        <f t="shared" si="2"/>
        <v>3</v>
      </c>
    </row>
    <row r="106" spans="1:10" ht="16.95" customHeight="1">
      <c r="A106" s="75" t="s">
        <v>83</v>
      </c>
      <c r="B106" s="80" t="s">
        <v>84</v>
      </c>
      <c r="C106" s="77" t="s">
        <v>48</v>
      </c>
      <c r="D106" s="78">
        <v>1</v>
      </c>
      <c r="E106" s="79">
        <f t="shared" si="5"/>
        <v>8.3333333333333332E-3</v>
      </c>
      <c r="F106" s="79" t="e">
        <f t="shared" si="3"/>
        <v>#REF!</v>
      </c>
      <c r="G106" s="2"/>
      <c r="H106" s="37">
        <v>149765</v>
      </c>
      <c r="I106" s="4">
        <f t="shared" si="4"/>
        <v>1248.0416666666667</v>
      </c>
      <c r="J106" s="25">
        <f t="shared" si="2"/>
        <v>3</v>
      </c>
    </row>
    <row r="107" spans="1:10" ht="16.95" customHeight="1">
      <c r="A107" s="75" t="s">
        <v>85</v>
      </c>
      <c r="B107" s="80" t="s">
        <v>86</v>
      </c>
      <c r="C107" s="77" t="s">
        <v>48</v>
      </c>
      <c r="D107" s="78">
        <v>1</v>
      </c>
      <c r="E107" s="79">
        <f t="shared" si="5"/>
        <v>8.3333333333333332E-3</v>
      </c>
      <c r="F107" s="79" t="e">
        <f t="shared" si="3"/>
        <v>#REF!</v>
      </c>
      <c r="G107" s="2"/>
      <c r="H107" s="37">
        <v>6996</v>
      </c>
      <c r="I107" s="4">
        <f t="shared" si="4"/>
        <v>58.3</v>
      </c>
      <c r="J107" s="25">
        <f t="shared" si="2"/>
        <v>3</v>
      </c>
    </row>
    <row r="108" spans="1:10" ht="16.95" customHeight="1">
      <c r="A108" s="75" t="s">
        <v>87</v>
      </c>
      <c r="B108" s="80" t="s">
        <v>88</v>
      </c>
      <c r="C108" s="77" t="s">
        <v>48</v>
      </c>
      <c r="D108" s="78">
        <v>1</v>
      </c>
      <c r="E108" s="79">
        <f>1/120</f>
        <v>8.3333333333333332E-3</v>
      </c>
      <c r="F108" s="79" t="e">
        <f t="shared" si="3"/>
        <v>#REF!</v>
      </c>
      <c r="G108" s="2"/>
      <c r="H108" s="37">
        <v>116952</v>
      </c>
      <c r="I108" s="4">
        <f t="shared" si="4"/>
        <v>974.6</v>
      </c>
      <c r="J108" s="25">
        <f t="shared" si="2"/>
        <v>3</v>
      </c>
    </row>
    <row r="109" spans="1:10" ht="16.95" customHeight="1">
      <c r="A109" s="95" t="s">
        <v>23</v>
      </c>
      <c r="B109" s="95"/>
      <c r="C109" s="50"/>
      <c r="D109" s="50"/>
      <c r="E109" s="50"/>
      <c r="F109" s="50"/>
      <c r="G109" s="50"/>
      <c r="H109" s="3" t="s">
        <v>24</v>
      </c>
      <c r="I109" s="5">
        <f>SUM(I74:I108)</f>
        <v>2637.5250000000001</v>
      </c>
      <c r="J109" s="25">
        <f t="shared" si="2"/>
        <v>3</v>
      </c>
    </row>
    <row r="110" spans="1:10" ht="16.95" customHeight="1">
      <c r="A110" s="96" t="s">
        <v>25</v>
      </c>
      <c r="B110" s="96"/>
      <c r="C110" s="50"/>
      <c r="D110" s="50"/>
      <c r="E110" s="50"/>
      <c r="F110" s="50"/>
      <c r="G110" s="50"/>
      <c r="J110" s="25">
        <f t="shared" si="2"/>
        <v>3</v>
      </c>
    </row>
    <row r="111" spans="1:10" ht="16.95" customHeight="1">
      <c r="A111" s="96" t="s">
        <v>26</v>
      </c>
      <c r="B111" s="96"/>
      <c r="C111" s="50"/>
      <c r="D111" s="50"/>
      <c r="E111" s="50"/>
      <c r="F111" s="50"/>
      <c r="G111" s="50"/>
      <c r="J111" s="25">
        <f t="shared" si="2"/>
        <v>3</v>
      </c>
    </row>
    <row r="112" spans="1:10" ht="16.95" customHeight="1">
      <c r="A112" s="95" t="s">
        <v>27</v>
      </c>
      <c r="B112" s="95"/>
      <c r="C112" s="95"/>
      <c r="D112" s="95"/>
      <c r="E112" s="95"/>
      <c r="F112" s="95"/>
      <c r="G112" s="95"/>
      <c r="J112" s="25">
        <f t="shared" si="2"/>
        <v>3</v>
      </c>
    </row>
    <row r="113" spans="1:10" ht="16.95" customHeight="1">
      <c r="A113" s="94" t="s">
        <v>28</v>
      </c>
      <c r="B113" s="94"/>
      <c r="C113" s="51" t="s">
        <v>29</v>
      </c>
      <c r="D113" s="51" t="s">
        <v>30</v>
      </c>
      <c r="E113" s="51" t="s">
        <v>18</v>
      </c>
      <c r="F113" s="51" t="s">
        <v>31</v>
      </c>
      <c r="G113" s="51" t="s">
        <v>20</v>
      </c>
      <c r="J113" s="25">
        <f t="shared" si="2"/>
        <v>3</v>
      </c>
    </row>
    <row r="114" spans="1:10" ht="16.95" customHeight="1">
      <c r="A114" s="96"/>
      <c r="B114" s="96"/>
      <c r="C114" s="50"/>
      <c r="D114" s="50"/>
      <c r="E114" s="50"/>
      <c r="F114" s="50"/>
      <c r="G114" s="51"/>
      <c r="J114" s="25">
        <f t="shared" si="2"/>
        <v>3</v>
      </c>
    </row>
    <row r="115" spans="1:10" ht="16.95" customHeight="1">
      <c r="A115" s="97"/>
      <c r="B115" s="97"/>
      <c r="C115" s="50"/>
      <c r="D115" s="50"/>
      <c r="E115" s="50"/>
      <c r="F115" s="51"/>
      <c r="G115" s="51"/>
      <c r="J115" s="25">
        <f t="shared" si="2"/>
        <v>3</v>
      </c>
    </row>
    <row r="116" spans="1:10" ht="16.95" customHeight="1">
      <c r="A116" s="95" t="s">
        <v>32</v>
      </c>
      <c r="B116" s="95"/>
      <c r="C116" s="95"/>
      <c r="D116" s="95"/>
      <c r="E116" s="95"/>
      <c r="F116" s="95"/>
      <c r="G116" s="95"/>
      <c r="J116" s="25">
        <f t="shared" si="2"/>
        <v>4</v>
      </c>
    </row>
    <row r="117" spans="1:10" ht="16.95" customHeight="1">
      <c r="A117" s="51" t="s">
        <v>33</v>
      </c>
      <c r="B117" s="51" t="s">
        <v>34</v>
      </c>
      <c r="C117" s="94" t="s">
        <v>35</v>
      </c>
      <c r="D117" s="94"/>
      <c r="E117" s="51" t="s">
        <v>36</v>
      </c>
      <c r="F117" s="51" t="s">
        <v>37</v>
      </c>
      <c r="G117" s="51" t="s">
        <v>38</v>
      </c>
      <c r="J117" s="25">
        <f t="shared" si="2"/>
        <v>4</v>
      </c>
    </row>
    <row r="118" spans="1:10" ht="16.95" customHeight="1">
      <c r="A118" s="51" t="s">
        <v>39</v>
      </c>
      <c r="B118" s="6"/>
      <c r="C118" s="94" t="e">
        <f>B118+C55</f>
        <v>#REF!</v>
      </c>
      <c r="D118" s="94"/>
      <c r="E118" s="51"/>
      <c r="F118" s="24"/>
      <c r="G118" s="24"/>
      <c r="J118" s="25">
        <f t="shared" si="2"/>
        <v>4</v>
      </c>
    </row>
    <row r="119" spans="1:10" ht="16.95" customHeight="1">
      <c r="A119" s="51" t="s">
        <v>40</v>
      </c>
      <c r="B119" s="6"/>
      <c r="C119" s="94" t="e">
        <f>B119+C56</f>
        <v>#REF!</v>
      </c>
      <c r="D119" s="94"/>
      <c r="E119" s="51"/>
      <c r="F119" s="24"/>
      <c r="G119" s="24"/>
      <c r="J119" s="25">
        <f t="shared" si="2"/>
        <v>4</v>
      </c>
    </row>
    <row r="120" spans="1:10" ht="36.6" customHeight="1">
      <c r="A120" s="95" t="s">
        <v>41</v>
      </c>
      <c r="B120" s="95"/>
      <c r="C120" s="95"/>
      <c r="D120" s="95"/>
      <c r="E120" s="95"/>
      <c r="F120" s="95"/>
      <c r="G120" s="95"/>
      <c r="J120" s="25">
        <f t="shared" si="2"/>
        <v>4</v>
      </c>
    </row>
    <row r="121" spans="1:10" ht="90" customHeight="1">
      <c r="A121" s="92" t="s">
        <v>42</v>
      </c>
      <c r="B121" s="92"/>
      <c r="C121" s="92"/>
      <c r="D121" s="92"/>
      <c r="E121" s="92"/>
      <c r="F121" s="92"/>
      <c r="G121" s="92"/>
      <c r="J121" s="25">
        <f t="shared" si="2"/>
        <v>4</v>
      </c>
    </row>
    <row r="122" spans="1:10" ht="16.95" customHeight="1">
      <c r="A122" s="95" t="s">
        <v>43</v>
      </c>
      <c r="B122" s="95"/>
      <c r="C122" s="95"/>
      <c r="D122" s="95"/>
      <c r="E122" s="95"/>
      <c r="F122" s="95"/>
      <c r="G122" s="95"/>
      <c r="J122" s="25">
        <f t="shared" si="2"/>
        <v>4</v>
      </c>
    </row>
    <row r="123" spans="1:10" ht="16.95" customHeight="1">
      <c r="A123" s="95" t="s">
        <v>44</v>
      </c>
      <c r="B123" s="95"/>
      <c r="C123" s="95"/>
      <c r="D123" s="95"/>
      <c r="E123" s="95"/>
      <c r="F123" s="95"/>
      <c r="G123" s="95"/>
      <c r="J123" s="25">
        <f t="shared" si="2"/>
        <v>4</v>
      </c>
    </row>
    <row r="124" spans="1:10" ht="16.95" customHeight="1">
      <c r="A124" s="91" t="s">
        <v>64</v>
      </c>
      <c r="B124" s="91"/>
      <c r="C124" s="91"/>
      <c r="D124" s="91"/>
      <c r="E124" s="91"/>
      <c r="F124" s="91"/>
      <c r="G124" s="91"/>
      <c r="J124" s="25">
        <f t="shared" si="2"/>
        <v>4</v>
      </c>
    </row>
    <row r="125" spans="1:10" ht="120.6" customHeight="1">
      <c r="A125" s="92" t="s">
        <v>45</v>
      </c>
      <c r="B125" s="92"/>
      <c r="C125" s="92"/>
      <c r="D125" s="92"/>
      <c r="E125" s="92"/>
      <c r="F125" s="92"/>
      <c r="G125" s="92"/>
      <c r="J125" s="25">
        <f t="shared" si="2"/>
        <v>4</v>
      </c>
    </row>
    <row r="126" spans="1:10" ht="140.4" customHeight="1">
      <c r="A126" s="93" t="s">
        <v>46</v>
      </c>
      <c r="B126" s="93"/>
      <c r="C126" s="93"/>
      <c r="D126" s="93"/>
      <c r="E126" s="93"/>
      <c r="F126" s="93"/>
      <c r="G126" s="93"/>
      <c r="J126" s="25">
        <f t="shared" si="2"/>
        <v>4</v>
      </c>
    </row>
    <row r="127" spans="1:10" ht="37.200000000000003" customHeight="1">
      <c r="A127" s="103" t="s">
        <v>0</v>
      </c>
      <c r="B127" s="103"/>
      <c r="C127" s="103"/>
      <c r="D127" s="103"/>
      <c r="E127" s="103"/>
      <c r="F127" s="103"/>
      <c r="G127" s="103"/>
      <c r="J127" s="25">
        <f t="shared" si="2"/>
        <v>5</v>
      </c>
    </row>
    <row r="128" spans="1:10" ht="16.95" customHeight="1">
      <c r="A128" s="1" t="s">
        <v>1</v>
      </c>
      <c r="B128" s="104">
        <f>B65+1</f>
        <v>4</v>
      </c>
      <c r="C128" s="104"/>
      <c r="D128" s="104"/>
      <c r="E128" s="104"/>
      <c r="F128" s="104"/>
      <c r="G128" s="104"/>
      <c r="J128" s="25">
        <f t="shared" ref="J128:J191" si="6">J65+2</f>
        <v>5</v>
      </c>
    </row>
    <row r="129" spans="1:10" ht="16.95" customHeight="1">
      <c r="A129" s="1" t="s">
        <v>2</v>
      </c>
      <c r="B129" s="105" t="s">
        <v>63</v>
      </c>
      <c r="C129" s="105"/>
      <c r="D129" s="105"/>
      <c r="E129" s="106">
        <f>E66+1</f>
        <v>46206</v>
      </c>
      <c r="F129" s="106"/>
      <c r="G129" s="106"/>
      <c r="J129" s="25">
        <f t="shared" si="6"/>
        <v>5</v>
      </c>
    </row>
    <row r="130" spans="1:10" ht="16.95" customHeight="1">
      <c r="A130" s="53" t="s">
        <v>3</v>
      </c>
      <c r="B130" s="2" t="s">
        <v>67</v>
      </c>
      <c r="C130" s="98" t="s">
        <v>4</v>
      </c>
      <c r="D130" s="98"/>
      <c r="E130" s="98" t="s">
        <v>47</v>
      </c>
      <c r="F130" s="98"/>
      <c r="G130" s="98"/>
      <c r="J130" s="25">
        <f t="shared" si="6"/>
        <v>5</v>
      </c>
    </row>
    <row r="131" spans="1:10" ht="16.95" customHeight="1">
      <c r="A131" s="53" t="s">
        <v>5</v>
      </c>
      <c r="B131" s="54">
        <v>120</v>
      </c>
      <c r="C131" s="98" t="s">
        <v>6</v>
      </c>
      <c r="D131" s="98"/>
      <c r="E131" s="98" t="s">
        <v>123</v>
      </c>
      <c r="F131" s="98"/>
      <c r="G131" s="98"/>
      <c r="J131" s="25">
        <f t="shared" si="6"/>
        <v>5</v>
      </c>
    </row>
    <row r="132" spans="1:10" ht="16.95" customHeight="1">
      <c r="A132" s="53" t="s">
        <v>7</v>
      </c>
      <c r="B132" s="54">
        <f>B128</f>
        <v>4</v>
      </c>
      <c r="C132" s="100" t="s">
        <v>8</v>
      </c>
      <c r="D132" s="100"/>
      <c r="E132" s="101">
        <f>B131-B132</f>
        <v>116</v>
      </c>
      <c r="F132" s="101"/>
      <c r="G132" s="101"/>
      <c r="J132" s="25">
        <f t="shared" si="6"/>
        <v>5</v>
      </c>
    </row>
    <row r="133" spans="1:10" ht="16.95" customHeight="1">
      <c r="A133" s="53" t="s">
        <v>9</v>
      </c>
      <c r="B133" s="55">
        <v>46204</v>
      </c>
      <c r="C133" s="98" t="s">
        <v>10</v>
      </c>
      <c r="D133" s="98"/>
      <c r="E133" s="102">
        <f>B133+B131-1</f>
        <v>46323</v>
      </c>
      <c r="F133" s="102"/>
      <c r="G133" s="102"/>
      <c r="J133" s="25">
        <f t="shared" si="6"/>
        <v>5</v>
      </c>
    </row>
    <row r="134" spans="1:10" ht="16.95" customHeight="1">
      <c r="A134" s="53" t="s">
        <v>11</v>
      </c>
      <c r="B134" s="56" t="e">
        <f>HLOOKUP(B128,進度表!$Q$2:$Z$3,2,1)+B71</f>
        <v>#REF!</v>
      </c>
      <c r="C134" s="98" t="s">
        <v>12</v>
      </c>
      <c r="D134" s="98"/>
      <c r="E134" s="99" t="e">
        <f>I172/I134+E71</f>
        <v>#REF!</v>
      </c>
      <c r="F134" s="99"/>
      <c r="G134" s="99"/>
      <c r="H134" s="3" t="s">
        <v>62</v>
      </c>
      <c r="I134" s="1">
        <v>2456000</v>
      </c>
      <c r="J134" s="25">
        <f t="shared" si="6"/>
        <v>5</v>
      </c>
    </row>
    <row r="135" spans="1:10" ht="16.95" customHeight="1">
      <c r="A135" s="98" t="s">
        <v>13</v>
      </c>
      <c r="B135" s="98"/>
      <c r="C135" s="98"/>
      <c r="D135" s="98"/>
      <c r="E135" s="98"/>
      <c r="F135" s="98"/>
      <c r="G135" s="98"/>
      <c r="J135" s="25">
        <f t="shared" si="6"/>
        <v>5</v>
      </c>
    </row>
    <row r="136" spans="1:10" ht="16.95" customHeight="1">
      <c r="A136" s="52" t="s">
        <v>14</v>
      </c>
      <c r="B136" s="52" t="s">
        <v>15</v>
      </c>
      <c r="C136" s="52" t="s">
        <v>16</v>
      </c>
      <c r="D136" s="52" t="s">
        <v>17</v>
      </c>
      <c r="E136" s="52" t="s">
        <v>18</v>
      </c>
      <c r="F136" s="52" t="s">
        <v>19</v>
      </c>
      <c r="G136" s="52" t="s">
        <v>20</v>
      </c>
      <c r="H136" s="3" t="s">
        <v>21</v>
      </c>
      <c r="I136" s="3" t="s">
        <v>22</v>
      </c>
      <c r="J136" s="25">
        <f t="shared" si="6"/>
        <v>5</v>
      </c>
    </row>
    <row r="137" spans="1:10" ht="16.95" customHeight="1">
      <c r="A137" s="75" t="s">
        <v>65</v>
      </c>
      <c r="B137" s="76" t="s">
        <v>69</v>
      </c>
      <c r="C137" s="77"/>
      <c r="D137" s="78"/>
      <c r="E137" s="79"/>
      <c r="F137" s="79"/>
      <c r="G137" s="2"/>
      <c r="H137" s="37"/>
      <c r="I137" s="4"/>
      <c r="J137" s="25">
        <f t="shared" si="6"/>
        <v>5</v>
      </c>
    </row>
    <row r="138" spans="1:10" ht="34.950000000000003" customHeight="1">
      <c r="A138" s="75">
        <v>1</v>
      </c>
      <c r="B138" s="80" t="s">
        <v>91</v>
      </c>
      <c r="C138" s="77" t="s">
        <v>48</v>
      </c>
      <c r="D138" s="78">
        <v>1</v>
      </c>
      <c r="E138" s="79"/>
      <c r="F138" s="79" t="e">
        <f t="shared" ref="F138:F171" si="7">E138+F75</f>
        <v>#REF!</v>
      </c>
      <c r="G138" s="2"/>
      <c r="H138" s="37">
        <v>10508</v>
      </c>
      <c r="I138" s="4">
        <f>H138*E138</f>
        <v>0</v>
      </c>
      <c r="J138" s="25">
        <f t="shared" si="6"/>
        <v>5</v>
      </c>
    </row>
    <row r="139" spans="1:10" ht="34.799999999999997" customHeight="1">
      <c r="A139" s="75">
        <v>2</v>
      </c>
      <c r="B139" s="80" t="s">
        <v>92</v>
      </c>
      <c r="C139" s="77" t="s">
        <v>48</v>
      </c>
      <c r="D139" s="78">
        <v>1</v>
      </c>
      <c r="E139" s="79"/>
      <c r="F139" s="79" t="e">
        <f t="shared" si="7"/>
        <v>#REF!</v>
      </c>
      <c r="G139" s="2"/>
      <c r="H139" s="37">
        <v>13223</v>
      </c>
      <c r="I139" s="4">
        <f>H139*E139</f>
        <v>0</v>
      </c>
      <c r="J139" s="25">
        <f t="shared" si="6"/>
        <v>5</v>
      </c>
    </row>
    <row r="140" spans="1:10" ht="53.4" customHeight="1">
      <c r="A140" s="75">
        <v>3</v>
      </c>
      <c r="B140" s="80" t="s">
        <v>93</v>
      </c>
      <c r="C140" s="77" t="s">
        <v>48</v>
      </c>
      <c r="D140" s="78">
        <v>1</v>
      </c>
      <c r="E140" s="79"/>
      <c r="F140" s="79" t="e">
        <f t="shared" si="7"/>
        <v>#REF!</v>
      </c>
      <c r="G140" s="2"/>
      <c r="H140" s="37">
        <v>310497</v>
      </c>
      <c r="I140" s="4">
        <f t="shared" ref="I140:I171" si="8">H140*E140</f>
        <v>0</v>
      </c>
      <c r="J140" s="25">
        <f t="shared" si="6"/>
        <v>5</v>
      </c>
    </row>
    <row r="141" spans="1:10" ht="16.95" customHeight="1">
      <c r="A141" s="75">
        <v>4</v>
      </c>
      <c r="B141" s="80" t="s">
        <v>94</v>
      </c>
      <c r="C141" s="77" t="s">
        <v>48</v>
      </c>
      <c r="D141" s="78">
        <v>1</v>
      </c>
      <c r="E141" s="79"/>
      <c r="F141" s="79" t="e">
        <f t="shared" si="7"/>
        <v>#REF!</v>
      </c>
      <c r="G141" s="2"/>
      <c r="H141" s="37">
        <v>8375</v>
      </c>
      <c r="I141" s="4">
        <f t="shared" si="8"/>
        <v>0</v>
      </c>
      <c r="J141" s="25">
        <f t="shared" si="6"/>
        <v>5</v>
      </c>
    </row>
    <row r="142" spans="1:10" ht="16.95" customHeight="1">
      <c r="A142" s="75">
        <v>5</v>
      </c>
      <c r="B142" s="80" t="s">
        <v>95</v>
      </c>
      <c r="C142" s="77" t="s">
        <v>48</v>
      </c>
      <c r="D142" s="78">
        <v>1</v>
      </c>
      <c r="E142" s="79"/>
      <c r="F142" s="79" t="e">
        <f t="shared" si="7"/>
        <v>#REF!</v>
      </c>
      <c r="G142" s="2"/>
      <c r="H142" s="37">
        <v>51618</v>
      </c>
      <c r="I142" s="4">
        <f t="shared" si="8"/>
        <v>0</v>
      </c>
      <c r="J142" s="25">
        <f t="shared" si="6"/>
        <v>5</v>
      </c>
    </row>
    <row r="143" spans="1:10" ht="16.95" customHeight="1">
      <c r="A143" s="75">
        <v>6</v>
      </c>
      <c r="B143" s="80" t="s">
        <v>96</v>
      </c>
      <c r="C143" s="77" t="s">
        <v>50</v>
      </c>
      <c r="D143" s="78">
        <v>11.55</v>
      </c>
      <c r="E143" s="79"/>
      <c r="F143" s="79" t="e">
        <f t="shared" si="7"/>
        <v>#REF!</v>
      </c>
      <c r="G143" s="2"/>
      <c r="H143" s="37">
        <v>1188</v>
      </c>
      <c r="I143" s="4">
        <f t="shared" si="8"/>
        <v>0</v>
      </c>
      <c r="J143" s="25">
        <f t="shared" si="6"/>
        <v>5</v>
      </c>
    </row>
    <row r="144" spans="1:10" ht="34.950000000000003" customHeight="1">
      <c r="A144" s="75">
        <v>7</v>
      </c>
      <c r="B144" s="80" t="s">
        <v>97</v>
      </c>
      <c r="C144" s="77" t="s">
        <v>48</v>
      </c>
      <c r="D144" s="78">
        <v>1</v>
      </c>
      <c r="E144" s="79"/>
      <c r="F144" s="79" t="e">
        <f t="shared" si="7"/>
        <v>#REF!</v>
      </c>
      <c r="G144" s="2"/>
      <c r="H144" s="37">
        <v>21157</v>
      </c>
      <c r="I144" s="4">
        <f t="shared" si="8"/>
        <v>0</v>
      </c>
      <c r="J144" s="25">
        <f t="shared" si="6"/>
        <v>5</v>
      </c>
    </row>
    <row r="145" spans="1:10" ht="16.95" customHeight="1">
      <c r="A145" s="75">
        <v>8</v>
      </c>
      <c r="B145" s="80" t="s">
        <v>98</v>
      </c>
      <c r="C145" s="77" t="s">
        <v>50</v>
      </c>
      <c r="D145" s="78">
        <v>387</v>
      </c>
      <c r="E145" s="79"/>
      <c r="F145" s="79" t="e">
        <f t="shared" si="7"/>
        <v>#REF!</v>
      </c>
      <c r="G145" s="2"/>
      <c r="H145" s="37">
        <v>705</v>
      </c>
      <c r="I145" s="4">
        <f t="shared" si="8"/>
        <v>0</v>
      </c>
      <c r="J145" s="25">
        <f t="shared" si="6"/>
        <v>5</v>
      </c>
    </row>
    <row r="146" spans="1:10" ht="16.95" customHeight="1">
      <c r="A146" s="75">
        <v>9</v>
      </c>
      <c r="B146" s="80" t="s">
        <v>99</v>
      </c>
      <c r="C146" s="77" t="s">
        <v>50</v>
      </c>
      <c r="D146" s="78">
        <v>170</v>
      </c>
      <c r="E146" s="79"/>
      <c r="F146" s="79" t="e">
        <f t="shared" si="7"/>
        <v>#REF!</v>
      </c>
      <c r="G146" s="2"/>
      <c r="H146" s="37">
        <v>617</v>
      </c>
      <c r="I146" s="4">
        <f t="shared" si="8"/>
        <v>0</v>
      </c>
      <c r="J146" s="25">
        <f t="shared" si="6"/>
        <v>5</v>
      </c>
    </row>
    <row r="147" spans="1:10" ht="16.95" customHeight="1">
      <c r="A147" s="75">
        <v>10</v>
      </c>
      <c r="B147" s="80" t="s">
        <v>100</v>
      </c>
      <c r="C147" s="77" t="s">
        <v>66</v>
      </c>
      <c r="D147" s="78">
        <v>15</v>
      </c>
      <c r="E147" s="79"/>
      <c r="F147" s="79" t="e">
        <f t="shared" si="7"/>
        <v>#REF!</v>
      </c>
      <c r="G147" s="2"/>
      <c r="H147" s="37">
        <v>617</v>
      </c>
      <c r="I147" s="4">
        <f t="shared" si="8"/>
        <v>0</v>
      </c>
      <c r="J147" s="25">
        <f t="shared" si="6"/>
        <v>5</v>
      </c>
    </row>
    <row r="148" spans="1:10" ht="16.95" customHeight="1">
      <c r="A148" s="75">
        <v>11</v>
      </c>
      <c r="B148" s="80" t="s">
        <v>101</v>
      </c>
      <c r="C148" s="77" t="s">
        <v>50</v>
      </c>
      <c r="D148" s="78">
        <v>75</v>
      </c>
      <c r="E148" s="79"/>
      <c r="F148" s="79" t="e">
        <f t="shared" si="7"/>
        <v>#REF!</v>
      </c>
      <c r="G148" s="2"/>
      <c r="H148" s="37">
        <v>1146</v>
      </c>
      <c r="I148" s="4">
        <f t="shared" si="8"/>
        <v>0</v>
      </c>
      <c r="J148" s="25">
        <f t="shared" si="6"/>
        <v>5</v>
      </c>
    </row>
    <row r="149" spans="1:10" ht="16.95" customHeight="1">
      <c r="A149" s="75">
        <v>12</v>
      </c>
      <c r="B149" s="80" t="s">
        <v>102</v>
      </c>
      <c r="C149" s="77" t="s">
        <v>50</v>
      </c>
      <c r="D149" s="78">
        <v>5</v>
      </c>
      <c r="E149" s="79"/>
      <c r="F149" s="79" t="e">
        <f t="shared" si="7"/>
        <v>#REF!</v>
      </c>
      <c r="G149" s="2"/>
      <c r="H149" s="37">
        <v>1455</v>
      </c>
      <c r="I149" s="4">
        <f t="shared" si="8"/>
        <v>0</v>
      </c>
      <c r="J149" s="25">
        <f t="shared" si="6"/>
        <v>5</v>
      </c>
    </row>
    <row r="150" spans="1:10" ht="16.95" customHeight="1">
      <c r="A150" s="75">
        <v>13</v>
      </c>
      <c r="B150" s="80" t="s">
        <v>103</v>
      </c>
      <c r="C150" s="77" t="s">
        <v>50</v>
      </c>
      <c r="D150" s="78">
        <v>217</v>
      </c>
      <c r="E150" s="79"/>
      <c r="F150" s="79" t="e">
        <f t="shared" si="7"/>
        <v>#REF!</v>
      </c>
      <c r="G150" s="2"/>
      <c r="H150" s="37">
        <v>1410</v>
      </c>
      <c r="I150" s="4">
        <f t="shared" si="8"/>
        <v>0</v>
      </c>
      <c r="J150" s="25">
        <f t="shared" si="6"/>
        <v>5</v>
      </c>
    </row>
    <row r="151" spans="1:10" ht="16.95" customHeight="1">
      <c r="A151" s="75">
        <v>14</v>
      </c>
      <c r="B151" s="80" t="s">
        <v>104</v>
      </c>
      <c r="C151" s="77" t="s">
        <v>49</v>
      </c>
      <c r="D151" s="78">
        <v>84</v>
      </c>
      <c r="E151" s="79"/>
      <c r="F151" s="79" t="e">
        <f t="shared" si="7"/>
        <v>#REF!</v>
      </c>
      <c r="G151" s="2"/>
      <c r="H151" s="37">
        <v>529</v>
      </c>
      <c r="I151" s="4">
        <f t="shared" si="8"/>
        <v>0</v>
      </c>
      <c r="J151" s="25">
        <f t="shared" si="6"/>
        <v>5</v>
      </c>
    </row>
    <row r="152" spans="1:10" ht="16.95" customHeight="1">
      <c r="A152" s="75">
        <v>15</v>
      </c>
      <c r="B152" s="80" t="s">
        <v>105</v>
      </c>
      <c r="C152" s="77" t="s">
        <v>50</v>
      </c>
      <c r="D152" s="78">
        <v>1</v>
      </c>
      <c r="E152" s="79"/>
      <c r="F152" s="79" t="e">
        <f t="shared" si="7"/>
        <v>#REF!</v>
      </c>
      <c r="G152" s="2"/>
      <c r="H152" s="37">
        <v>1146</v>
      </c>
      <c r="I152" s="4">
        <f t="shared" si="8"/>
        <v>0</v>
      </c>
      <c r="J152" s="25">
        <f t="shared" si="6"/>
        <v>5</v>
      </c>
    </row>
    <row r="153" spans="1:10" ht="34.799999999999997" customHeight="1">
      <c r="A153" s="75">
        <v>16</v>
      </c>
      <c r="B153" s="80" t="s">
        <v>106</v>
      </c>
      <c r="C153" s="77" t="s">
        <v>50</v>
      </c>
      <c r="D153" s="78">
        <v>314</v>
      </c>
      <c r="E153" s="79"/>
      <c r="F153" s="79" t="e">
        <f t="shared" si="7"/>
        <v>#REF!</v>
      </c>
      <c r="G153" s="2"/>
      <c r="H153" s="37">
        <v>185</v>
      </c>
      <c r="I153" s="4">
        <f t="shared" si="8"/>
        <v>0</v>
      </c>
      <c r="J153" s="25">
        <f t="shared" si="6"/>
        <v>5</v>
      </c>
    </row>
    <row r="154" spans="1:10" ht="16.95" customHeight="1">
      <c r="A154" s="75">
        <v>17</v>
      </c>
      <c r="B154" s="80" t="s">
        <v>107</v>
      </c>
      <c r="C154" s="77" t="s">
        <v>48</v>
      </c>
      <c r="D154" s="78">
        <v>1</v>
      </c>
      <c r="E154" s="79"/>
      <c r="F154" s="79" t="e">
        <f t="shared" si="7"/>
        <v>#REF!</v>
      </c>
      <c r="G154" s="2"/>
      <c r="H154" s="37">
        <v>89918</v>
      </c>
      <c r="I154" s="4">
        <f t="shared" si="8"/>
        <v>0</v>
      </c>
      <c r="J154" s="25">
        <f t="shared" si="6"/>
        <v>5</v>
      </c>
    </row>
    <row r="155" spans="1:10" ht="16.95" customHeight="1">
      <c r="A155" s="75">
        <v>18</v>
      </c>
      <c r="B155" s="80" t="s">
        <v>108</v>
      </c>
      <c r="C155" s="77" t="s">
        <v>120</v>
      </c>
      <c r="D155" s="78">
        <v>15</v>
      </c>
      <c r="E155" s="79"/>
      <c r="F155" s="79" t="e">
        <f t="shared" si="7"/>
        <v>#REF!</v>
      </c>
      <c r="G155" s="2"/>
      <c r="H155" s="37">
        <v>661</v>
      </c>
      <c r="I155" s="4">
        <f t="shared" si="8"/>
        <v>0</v>
      </c>
      <c r="J155" s="25">
        <f t="shared" si="6"/>
        <v>5</v>
      </c>
    </row>
    <row r="156" spans="1:10" ht="16.95" customHeight="1">
      <c r="A156" s="75">
        <v>19</v>
      </c>
      <c r="B156" s="80" t="s">
        <v>109</v>
      </c>
      <c r="C156" s="77" t="s">
        <v>50</v>
      </c>
      <c r="D156" s="78">
        <v>82</v>
      </c>
      <c r="E156" s="79"/>
      <c r="F156" s="79" t="e">
        <f t="shared" si="7"/>
        <v>#REF!</v>
      </c>
      <c r="G156" s="2"/>
      <c r="H156" s="37">
        <v>2909</v>
      </c>
      <c r="I156" s="4">
        <f t="shared" si="8"/>
        <v>0</v>
      </c>
      <c r="J156" s="25">
        <f t="shared" si="6"/>
        <v>5</v>
      </c>
    </row>
    <row r="157" spans="1:10" ht="16.95" customHeight="1">
      <c r="A157" s="75">
        <v>20</v>
      </c>
      <c r="B157" s="80" t="s">
        <v>110</v>
      </c>
      <c r="C157" s="77" t="s">
        <v>121</v>
      </c>
      <c r="D157" s="78">
        <v>12</v>
      </c>
      <c r="E157" s="79"/>
      <c r="F157" s="79" t="e">
        <f t="shared" si="7"/>
        <v>#REF!</v>
      </c>
      <c r="G157" s="2"/>
      <c r="H157" s="37">
        <v>882</v>
      </c>
      <c r="I157" s="4">
        <f t="shared" si="8"/>
        <v>0</v>
      </c>
      <c r="J157" s="25">
        <f t="shared" si="6"/>
        <v>5</v>
      </c>
    </row>
    <row r="158" spans="1:10" ht="16.95" customHeight="1">
      <c r="A158" s="77">
        <v>21</v>
      </c>
      <c r="B158" s="80" t="s">
        <v>111</v>
      </c>
      <c r="C158" s="77" t="s">
        <v>122</v>
      </c>
      <c r="D158" s="78">
        <v>3</v>
      </c>
      <c r="E158" s="79"/>
      <c r="F158" s="79" t="e">
        <f t="shared" si="7"/>
        <v>#REF!</v>
      </c>
      <c r="G158" s="2"/>
      <c r="H158" s="38">
        <v>1869</v>
      </c>
      <c r="I158" s="4">
        <f t="shared" si="8"/>
        <v>0</v>
      </c>
      <c r="J158" s="25">
        <f t="shared" si="6"/>
        <v>5</v>
      </c>
    </row>
    <row r="159" spans="1:10" ht="34.950000000000003" customHeight="1">
      <c r="A159" s="75">
        <v>22</v>
      </c>
      <c r="B159" s="80" t="s">
        <v>112</v>
      </c>
      <c r="C159" s="77" t="s">
        <v>48</v>
      </c>
      <c r="D159" s="78">
        <v>1</v>
      </c>
      <c r="E159" s="79"/>
      <c r="F159" s="79" t="e">
        <f t="shared" si="7"/>
        <v>#REF!</v>
      </c>
      <c r="G159" s="2"/>
      <c r="H159" s="37">
        <v>82206</v>
      </c>
      <c r="I159" s="4">
        <f t="shared" si="8"/>
        <v>0</v>
      </c>
      <c r="J159" s="25">
        <f t="shared" si="6"/>
        <v>5</v>
      </c>
    </row>
    <row r="160" spans="1:10" ht="16.95" customHeight="1">
      <c r="A160" s="75">
        <v>23</v>
      </c>
      <c r="B160" s="80" t="s">
        <v>113</v>
      </c>
      <c r="C160" s="77" t="s">
        <v>48</v>
      </c>
      <c r="D160" s="78">
        <v>1</v>
      </c>
      <c r="E160" s="79"/>
      <c r="F160" s="79" t="e">
        <f t="shared" si="7"/>
        <v>#REF!</v>
      </c>
      <c r="G160" s="2"/>
      <c r="H160" s="37">
        <v>142723</v>
      </c>
      <c r="I160" s="4">
        <f t="shared" si="8"/>
        <v>0</v>
      </c>
      <c r="J160" s="25">
        <f t="shared" si="6"/>
        <v>5</v>
      </c>
    </row>
    <row r="161" spans="1:10" ht="16.95" customHeight="1">
      <c r="A161" s="75">
        <v>24</v>
      </c>
      <c r="B161" s="80" t="s">
        <v>114</v>
      </c>
      <c r="C161" s="77" t="s">
        <v>48</v>
      </c>
      <c r="D161" s="78">
        <v>1</v>
      </c>
      <c r="E161" s="79"/>
      <c r="F161" s="79" t="e">
        <f t="shared" si="7"/>
        <v>#REF!</v>
      </c>
      <c r="G161" s="2"/>
      <c r="H161" s="37">
        <v>37290</v>
      </c>
      <c r="I161" s="4">
        <f t="shared" si="8"/>
        <v>0</v>
      </c>
      <c r="J161" s="25">
        <f t="shared" si="6"/>
        <v>5</v>
      </c>
    </row>
    <row r="162" spans="1:10" ht="16.95" customHeight="1">
      <c r="A162" s="75">
        <v>25</v>
      </c>
      <c r="B162" s="80" t="s">
        <v>115</v>
      </c>
      <c r="C162" s="77" t="s">
        <v>48</v>
      </c>
      <c r="D162" s="78">
        <v>1</v>
      </c>
      <c r="E162" s="79"/>
      <c r="F162" s="79" t="e">
        <f t="shared" si="7"/>
        <v>#REF!</v>
      </c>
      <c r="G162" s="2"/>
      <c r="H162" s="37">
        <v>99394</v>
      </c>
      <c r="I162" s="4">
        <f t="shared" si="8"/>
        <v>0</v>
      </c>
      <c r="J162" s="25">
        <f t="shared" si="6"/>
        <v>5</v>
      </c>
    </row>
    <row r="163" spans="1:10" ht="34.950000000000003" customHeight="1">
      <c r="A163" s="75">
        <v>26</v>
      </c>
      <c r="B163" s="80" t="s">
        <v>116</v>
      </c>
      <c r="C163" s="77" t="s">
        <v>48</v>
      </c>
      <c r="D163" s="78">
        <v>1</v>
      </c>
      <c r="E163" s="79"/>
      <c r="F163" s="79" t="e">
        <f t="shared" si="7"/>
        <v>#REF!</v>
      </c>
      <c r="G163" s="2"/>
      <c r="H163" s="37">
        <v>21334</v>
      </c>
      <c r="I163" s="4">
        <f t="shared" si="8"/>
        <v>0</v>
      </c>
      <c r="J163" s="25">
        <f t="shared" si="6"/>
        <v>5</v>
      </c>
    </row>
    <row r="164" spans="1:10" ht="16.95" customHeight="1">
      <c r="A164" s="75">
        <v>27</v>
      </c>
      <c r="B164" s="80" t="s">
        <v>117</v>
      </c>
      <c r="C164" s="77" t="s">
        <v>48</v>
      </c>
      <c r="D164" s="78">
        <v>1</v>
      </c>
      <c r="E164" s="79"/>
      <c r="F164" s="79" t="e">
        <f t="shared" si="7"/>
        <v>#REF!</v>
      </c>
      <c r="G164" s="2"/>
      <c r="H164" s="37">
        <v>29620</v>
      </c>
      <c r="I164" s="4">
        <f t="shared" si="8"/>
        <v>0</v>
      </c>
      <c r="J164" s="25">
        <f t="shared" si="6"/>
        <v>5</v>
      </c>
    </row>
    <row r="165" spans="1:10" ht="16.95" customHeight="1">
      <c r="A165" s="75">
        <v>28</v>
      </c>
      <c r="B165" s="80" t="s">
        <v>118</v>
      </c>
      <c r="C165" s="77" t="s">
        <v>48</v>
      </c>
      <c r="D165" s="78">
        <v>1</v>
      </c>
      <c r="E165" s="79"/>
      <c r="F165" s="79" t="e">
        <f t="shared" si="7"/>
        <v>#REF!</v>
      </c>
      <c r="G165" s="2"/>
      <c r="H165" s="37">
        <v>18506</v>
      </c>
      <c r="I165" s="4">
        <f t="shared" si="8"/>
        <v>0</v>
      </c>
      <c r="J165" s="25">
        <f t="shared" si="6"/>
        <v>5</v>
      </c>
    </row>
    <row r="166" spans="1:10" ht="16.95" customHeight="1">
      <c r="A166" s="75">
        <v>29</v>
      </c>
      <c r="B166" s="80" t="s">
        <v>119</v>
      </c>
      <c r="C166" s="77" t="s">
        <v>48</v>
      </c>
      <c r="D166" s="78">
        <v>1</v>
      </c>
      <c r="E166" s="79"/>
      <c r="F166" s="79" t="e">
        <f t="shared" si="7"/>
        <v>#REF!</v>
      </c>
      <c r="G166" s="2"/>
      <c r="H166" s="37">
        <v>34381</v>
      </c>
      <c r="I166" s="4">
        <f t="shared" si="8"/>
        <v>0</v>
      </c>
      <c r="J166" s="25">
        <f t="shared" si="6"/>
        <v>5</v>
      </c>
    </row>
    <row r="167" spans="1:10" ht="16.95" customHeight="1">
      <c r="A167" s="75" t="s">
        <v>79</v>
      </c>
      <c r="B167" s="80" t="s">
        <v>80</v>
      </c>
      <c r="C167" s="77" t="s">
        <v>48</v>
      </c>
      <c r="D167" s="78">
        <v>1</v>
      </c>
      <c r="E167" s="79">
        <f t="shared" ref="E167:E170" si="9">1/120</f>
        <v>8.3333333333333332E-3</v>
      </c>
      <c r="F167" s="79" t="e">
        <f t="shared" si="7"/>
        <v>#REF!</v>
      </c>
      <c r="G167" s="2"/>
      <c r="H167" s="37">
        <v>21395</v>
      </c>
      <c r="I167" s="4">
        <f t="shared" si="8"/>
        <v>178.29166666666666</v>
      </c>
      <c r="J167" s="25">
        <f t="shared" si="6"/>
        <v>5</v>
      </c>
    </row>
    <row r="168" spans="1:10" ht="16.95" customHeight="1">
      <c r="A168" s="75" t="s">
        <v>81</v>
      </c>
      <c r="B168" s="80" t="s">
        <v>82</v>
      </c>
      <c r="C168" s="77" t="s">
        <v>48</v>
      </c>
      <c r="D168" s="78">
        <v>1</v>
      </c>
      <c r="E168" s="79">
        <f t="shared" si="9"/>
        <v>8.3333333333333332E-3</v>
      </c>
      <c r="F168" s="79" t="e">
        <f t="shared" si="7"/>
        <v>#REF!</v>
      </c>
      <c r="G168" s="2"/>
      <c r="H168" s="37">
        <v>21395</v>
      </c>
      <c r="I168" s="4">
        <f t="shared" si="8"/>
        <v>178.29166666666666</v>
      </c>
      <c r="J168" s="25">
        <f t="shared" si="6"/>
        <v>5</v>
      </c>
    </row>
    <row r="169" spans="1:10" ht="16.95" customHeight="1">
      <c r="A169" s="75" t="s">
        <v>83</v>
      </c>
      <c r="B169" s="80" t="s">
        <v>84</v>
      </c>
      <c r="C169" s="77" t="s">
        <v>48</v>
      </c>
      <c r="D169" s="78">
        <v>1</v>
      </c>
      <c r="E169" s="79">
        <f t="shared" si="9"/>
        <v>8.3333333333333332E-3</v>
      </c>
      <c r="F169" s="79" t="e">
        <f t="shared" si="7"/>
        <v>#REF!</v>
      </c>
      <c r="G169" s="2"/>
      <c r="H169" s="37">
        <v>149765</v>
      </c>
      <c r="I169" s="4">
        <f t="shared" si="8"/>
        <v>1248.0416666666667</v>
      </c>
      <c r="J169" s="25">
        <f t="shared" si="6"/>
        <v>5</v>
      </c>
    </row>
    <row r="170" spans="1:10" ht="16.95" customHeight="1">
      <c r="A170" s="75" t="s">
        <v>85</v>
      </c>
      <c r="B170" s="80" t="s">
        <v>86</v>
      </c>
      <c r="C170" s="77" t="s">
        <v>48</v>
      </c>
      <c r="D170" s="78">
        <v>1</v>
      </c>
      <c r="E170" s="79">
        <f t="shared" si="9"/>
        <v>8.3333333333333332E-3</v>
      </c>
      <c r="F170" s="79" t="e">
        <f t="shared" si="7"/>
        <v>#REF!</v>
      </c>
      <c r="G170" s="2"/>
      <c r="H170" s="37">
        <v>6996</v>
      </c>
      <c r="I170" s="4">
        <f t="shared" si="8"/>
        <v>58.3</v>
      </c>
      <c r="J170" s="25">
        <f t="shared" si="6"/>
        <v>5</v>
      </c>
    </row>
    <row r="171" spans="1:10" ht="16.95" customHeight="1">
      <c r="A171" s="75" t="s">
        <v>87</v>
      </c>
      <c r="B171" s="80" t="s">
        <v>88</v>
      </c>
      <c r="C171" s="77" t="s">
        <v>48</v>
      </c>
      <c r="D171" s="78">
        <v>1</v>
      </c>
      <c r="E171" s="79">
        <f>1/120</f>
        <v>8.3333333333333332E-3</v>
      </c>
      <c r="F171" s="79" t="e">
        <f t="shared" si="7"/>
        <v>#REF!</v>
      </c>
      <c r="G171" s="2"/>
      <c r="H171" s="37">
        <v>116952</v>
      </c>
      <c r="I171" s="4">
        <f t="shared" si="8"/>
        <v>974.6</v>
      </c>
      <c r="J171" s="25">
        <f t="shared" si="6"/>
        <v>5</v>
      </c>
    </row>
    <row r="172" spans="1:10" ht="16.95" customHeight="1">
      <c r="A172" s="95" t="s">
        <v>23</v>
      </c>
      <c r="B172" s="95"/>
      <c r="C172" s="50"/>
      <c r="D172" s="50"/>
      <c r="E172" s="50"/>
      <c r="F172" s="50"/>
      <c r="G172" s="50"/>
      <c r="H172" s="3" t="s">
        <v>24</v>
      </c>
      <c r="I172" s="5">
        <f>SUM(I137:I171)</f>
        <v>2637.5250000000001</v>
      </c>
      <c r="J172" s="25">
        <f t="shared" si="6"/>
        <v>5</v>
      </c>
    </row>
    <row r="173" spans="1:10" ht="16.95" customHeight="1">
      <c r="A173" s="96" t="s">
        <v>25</v>
      </c>
      <c r="B173" s="96"/>
      <c r="C173" s="50"/>
      <c r="D173" s="50"/>
      <c r="E173" s="50"/>
      <c r="F173" s="50"/>
      <c r="G173" s="50"/>
      <c r="J173" s="25">
        <f t="shared" si="6"/>
        <v>5</v>
      </c>
    </row>
    <row r="174" spans="1:10" ht="16.95" customHeight="1">
      <c r="A174" s="96" t="s">
        <v>26</v>
      </c>
      <c r="B174" s="96"/>
      <c r="C174" s="50"/>
      <c r="D174" s="50"/>
      <c r="E174" s="50"/>
      <c r="F174" s="50"/>
      <c r="G174" s="50"/>
      <c r="J174" s="25">
        <f t="shared" si="6"/>
        <v>5</v>
      </c>
    </row>
    <row r="175" spans="1:10" ht="16.95" customHeight="1">
      <c r="A175" s="95" t="s">
        <v>27</v>
      </c>
      <c r="B175" s="95"/>
      <c r="C175" s="95"/>
      <c r="D175" s="95"/>
      <c r="E175" s="95"/>
      <c r="F175" s="95"/>
      <c r="G175" s="95"/>
      <c r="J175" s="25">
        <f t="shared" si="6"/>
        <v>5</v>
      </c>
    </row>
    <row r="176" spans="1:10" ht="16.95" customHeight="1">
      <c r="A176" s="94" t="s">
        <v>28</v>
      </c>
      <c r="B176" s="94"/>
      <c r="C176" s="51" t="s">
        <v>29</v>
      </c>
      <c r="D176" s="51" t="s">
        <v>30</v>
      </c>
      <c r="E176" s="51" t="s">
        <v>18</v>
      </c>
      <c r="F176" s="51" t="s">
        <v>31</v>
      </c>
      <c r="G176" s="51" t="s">
        <v>20</v>
      </c>
      <c r="J176" s="25">
        <f t="shared" si="6"/>
        <v>5</v>
      </c>
    </row>
    <row r="177" spans="1:10" ht="16.95" customHeight="1">
      <c r="A177" s="96"/>
      <c r="B177" s="96"/>
      <c r="C177" s="50"/>
      <c r="D177" s="50"/>
      <c r="E177" s="50"/>
      <c r="F177" s="50"/>
      <c r="G177" s="51"/>
      <c r="J177" s="25">
        <f t="shared" si="6"/>
        <v>5</v>
      </c>
    </row>
    <row r="178" spans="1:10" ht="16.95" customHeight="1">
      <c r="A178" s="97"/>
      <c r="B178" s="97"/>
      <c r="C178" s="50"/>
      <c r="D178" s="50"/>
      <c r="E178" s="50"/>
      <c r="F178" s="51"/>
      <c r="G178" s="51"/>
      <c r="J178" s="25">
        <f t="shared" si="6"/>
        <v>5</v>
      </c>
    </row>
    <row r="179" spans="1:10" ht="16.95" customHeight="1">
      <c r="A179" s="95" t="s">
        <v>32</v>
      </c>
      <c r="B179" s="95"/>
      <c r="C179" s="95"/>
      <c r="D179" s="95"/>
      <c r="E179" s="95"/>
      <c r="F179" s="95"/>
      <c r="G179" s="95"/>
      <c r="J179" s="25">
        <f t="shared" si="6"/>
        <v>6</v>
      </c>
    </row>
    <row r="180" spans="1:10" ht="16.95" customHeight="1">
      <c r="A180" s="51" t="s">
        <v>33</v>
      </c>
      <c r="B180" s="51" t="s">
        <v>34</v>
      </c>
      <c r="C180" s="94" t="s">
        <v>35</v>
      </c>
      <c r="D180" s="94"/>
      <c r="E180" s="51" t="s">
        <v>36</v>
      </c>
      <c r="F180" s="51" t="s">
        <v>37</v>
      </c>
      <c r="G180" s="51" t="s">
        <v>38</v>
      </c>
      <c r="J180" s="25">
        <f t="shared" si="6"/>
        <v>6</v>
      </c>
    </row>
    <row r="181" spans="1:10" ht="16.95" customHeight="1">
      <c r="A181" s="51" t="s">
        <v>39</v>
      </c>
      <c r="B181" s="6"/>
      <c r="C181" s="94" t="e">
        <f>B181+C118</f>
        <v>#REF!</v>
      </c>
      <c r="D181" s="94"/>
      <c r="E181" s="51"/>
      <c r="F181" s="24"/>
      <c r="G181" s="24"/>
      <c r="J181" s="25">
        <f t="shared" si="6"/>
        <v>6</v>
      </c>
    </row>
    <row r="182" spans="1:10" ht="16.95" customHeight="1">
      <c r="A182" s="51" t="s">
        <v>40</v>
      </c>
      <c r="B182" s="6"/>
      <c r="C182" s="94" t="e">
        <f>B182+C119</f>
        <v>#REF!</v>
      </c>
      <c r="D182" s="94"/>
      <c r="E182" s="51"/>
      <c r="F182" s="24"/>
      <c r="G182" s="24"/>
      <c r="J182" s="25">
        <f t="shared" si="6"/>
        <v>6</v>
      </c>
    </row>
    <row r="183" spans="1:10" ht="36.6" customHeight="1">
      <c r="A183" s="95" t="s">
        <v>41</v>
      </c>
      <c r="B183" s="95"/>
      <c r="C183" s="95"/>
      <c r="D183" s="95"/>
      <c r="E183" s="95"/>
      <c r="F183" s="95"/>
      <c r="G183" s="95"/>
      <c r="J183" s="25">
        <f t="shared" si="6"/>
        <v>6</v>
      </c>
    </row>
    <row r="184" spans="1:10" ht="90" customHeight="1">
      <c r="A184" s="92" t="s">
        <v>42</v>
      </c>
      <c r="B184" s="92"/>
      <c r="C184" s="92"/>
      <c r="D184" s="92"/>
      <c r="E184" s="92"/>
      <c r="F184" s="92"/>
      <c r="G184" s="92"/>
      <c r="J184" s="25">
        <f t="shared" si="6"/>
        <v>6</v>
      </c>
    </row>
    <row r="185" spans="1:10" ht="16.95" customHeight="1">
      <c r="A185" s="95" t="s">
        <v>43</v>
      </c>
      <c r="B185" s="95"/>
      <c r="C185" s="95"/>
      <c r="D185" s="95"/>
      <c r="E185" s="95"/>
      <c r="F185" s="95"/>
      <c r="G185" s="95"/>
      <c r="J185" s="25">
        <f t="shared" si="6"/>
        <v>6</v>
      </c>
    </row>
    <row r="186" spans="1:10" ht="16.95" customHeight="1">
      <c r="A186" s="95" t="s">
        <v>44</v>
      </c>
      <c r="B186" s="95"/>
      <c r="C186" s="95"/>
      <c r="D186" s="95"/>
      <c r="E186" s="95"/>
      <c r="F186" s="95"/>
      <c r="G186" s="95"/>
      <c r="J186" s="25">
        <f t="shared" si="6"/>
        <v>6</v>
      </c>
    </row>
    <row r="187" spans="1:10" ht="16.95" customHeight="1">
      <c r="A187" s="91" t="s">
        <v>64</v>
      </c>
      <c r="B187" s="91"/>
      <c r="C187" s="91"/>
      <c r="D187" s="91"/>
      <c r="E187" s="91"/>
      <c r="F187" s="91"/>
      <c r="G187" s="91"/>
      <c r="J187" s="25">
        <f t="shared" si="6"/>
        <v>6</v>
      </c>
    </row>
    <row r="188" spans="1:10" ht="120.6" customHeight="1">
      <c r="A188" s="92" t="s">
        <v>45</v>
      </c>
      <c r="B188" s="92"/>
      <c r="C188" s="92"/>
      <c r="D188" s="92"/>
      <c r="E188" s="92"/>
      <c r="F188" s="92"/>
      <c r="G188" s="92"/>
      <c r="J188" s="25">
        <f t="shared" si="6"/>
        <v>6</v>
      </c>
    </row>
    <row r="189" spans="1:10" ht="140.4" customHeight="1">
      <c r="A189" s="93" t="s">
        <v>46</v>
      </c>
      <c r="B189" s="93"/>
      <c r="C189" s="93"/>
      <c r="D189" s="93"/>
      <c r="E189" s="93"/>
      <c r="F189" s="93"/>
      <c r="G189" s="93"/>
      <c r="J189" s="25">
        <f t="shared" si="6"/>
        <v>6</v>
      </c>
    </row>
    <row r="190" spans="1:10" ht="37.200000000000003" customHeight="1">
      <c r="A190" s="103" t="s">
        <v>0</v>
      </c>
      <c r="B190" s="103"/>
      <c r="C190" s="103"/>
      <c r="D190" s="103"/>
      <c r="E190" s="103"/>
      <c r="F190" s="103"/>
      <c r="G190" s="103"/>
      <c r="J190" s="25">
        <f t="shared" si="6"/>
        <v>7</v>
      </c>
    </row>
    <row r="191" spans="1:10" ht="16.95" customHeight="1">
      <c r="A191" s="1" t="s">
        <v>1</v>
      </c>
      <c r="B191" s="104">
        <f>B128+1</f>
        <v>5</v>
      </c>
      <c r="C191" s="104"/>
      <c r="D191" s="104"/>
      <c r="E191" s="104"/>
      <c r="F191" s="104"/>
      <c r="G191" s="104"/>
      <c r="J191" s="25">
        <f t="shared" si="6"/>
        <v>7</v>
      </c>
    </row>
    <row r="192" spans="1:10" ht="16.95" customHeight="1">
      <c r="A192" s="1" t="s">
        <v>2</v>
      </c>
      <c r="B192" s="105" t="s">
        <v>63</v>
      </c>
      <c r="C192" s="105"/>
      <c r="D192" s="105"/>
      <c r="E192" s="106">
        <f>E129+1</f>
        <v>46207</v>
      </c>
      <c r="F192" s="106"/>
      <c r="G192" s="106"/>
      <c r="J192" s="25">
        <f t="shared" ref="J192:J255" si="10">J129+2</f>
        <v>7</v>
      </c>
    </row>
    <row r="193" spans="1:10" ht="16.95" customHeight="1">
      <c r="A193" s="53" t="s">
        <v>3</v>
      </c>
      <c r="B193" s="2" t="s">
        <v>67</v>
      </c>
      <c r="C193" s="98" t="s">
        <v>4</v>
      </c>
      <c r="D193" s="98"/>
      <c r="E193" s="98" t="s">
        <v>47</v>
      </c>
      <c r="F193" s="98"/>
      <c r="G193" s="98"/>
      <c r="J193" s="25">
        <f t="shared" si="10"/>
        <v>7</v>
      </c>
    </row>
    <row r="194" spans="1:10" ht="16.95" customHeight="1">
      <c r="A194" s="53" t="s">
        <v>5</v>
      </c>
      <c r="B194" s="54">
        <v>120</v>
      </c>
      <c r="C194" s="98" t="s">
        <v>6</v>
      </c>
      <c r="D194" s="98"/>
      <c r="E194" s="98" t="s">
        <v>123</v>
      </c>
      <c r="F194" s="98"/>
      <c r="G194" s="98"/>
      <c r="J194" s="25">
        <f t="shared" si="10"/>
        <v>7</v>
      </c>
    </row>
    <row r="195" spans="1:10" ht="16.95" customHeight="1">
      <c r="A195" s="53" t="s">
        <v>7</v>
      </c>
      <c r="B195" s="54">
        <f>B191</f>
        <v>5</v>
      </c>
      <c r="C195" s="100" t="s">
        <v>8</v>
      </c>
      <c r="D195" s="100"/>
      <c r="E195" s="101">
        <f>B194-B195</f>
        <v>115</v>
      </c>
      <c r="F195" s="101"/>
      <c r="G195" s="101"/>
      <c r="J195" s="25">
        <f t="shared" si="10"/>
        <v>7</v>
      </c>
    </row>
    <row r="196" spans="1:10" ht="16.95" customHeight="1">
      <c r="A196" s="53" t="s">
        <v>9</v>
      </c>
      <c r="B196" s="55">
        <v>46204</v>
      </c>
      <c r="C196" s="98" t="s">
        <v>10</v>
      </c>
      <c r="D196" s="98"/>
      <c r="E196" s="102">
        <f>B196+B194-1</f>
        <v>46323</v>
      </c>
      <c r="F196" s="102"/>
      <c r="G196" s="102"/>
      <c r="J196" s="25">
        <f t="shared" si="10"/>
        <v>7</v>
      </c>
    </row>
    <row r="197" spans="1:10" ht="16.95" customHeight="1">
      <c r="A197" s="53" t="s">
        <v>11</v>
      </c>
      <c r="B197" s="56" t="e">
        <f>HLOOKUP(B191,進度表!$Q$2:$Z$3,2,1)+B134</f>
        <v>#REF!</v>
      </c>
      <c r="C197" s="98" t="s">
        <v>12</v>
      </c>
      <c r="D197" s="98"/>
      <c r="E197" s="99" t="e">
        <f>I235/I197+E134</f>
        <v>#REF!</v>
      </c>
      <c r="F197" s="99"/>
      <c r="G197" s="99"/>
      <c r="H197" s="3" t="s">
        <v>62</v>
      </c>
      <c r="I197" s="1">
        <v>2456000</v>
      </c>
      <c r="J197" s="25">
        <f t="shared" si="10"/>
        <v>7</v>
      </c>
    </row>
    <row r="198" spans="1:10" ht="16.95" customHeight="1">
      <c r="A198" s="98" t="s">
        <v>13</v>
      </c>
      <c r="B198" s="98"/>
      <c r="C198" s="98"/>
      <c r="D198" s="98"/>
      <c r="E198" s="98"/>
      <c r="F198" s="98"/>
      <c r="G198" s="98"/>
      <c r="J198" s="25">
        <f t="shared" si="10"/>
        <v>7</v>
      </c>
    </row>
    <row r="199" spans="1:10" ht="16.95" customHeight="1">
      <c r="A199" s="52" t="s">
        <v>14</v>
      </c>
      <c r="B199" s="52" t="s">
        <v>15</v>
      </c>
      <c r="C199" s="52" t="s">
        <v>16</v>
      </c>
      <c r="D199" s="52" t="s">
        <v>17</v>
      </c>
      <c r="E199" s="52" t="s">
        <v>18</v>
      </c>
      <c r="F199" s="52" t="s">
        <v>19</v>
      </c>
      <c r="G199" s="52" t="s">
        <v>20</v>
      </c>
      <c r="H199" s="3" t="s">
        <v>21</v>
      </c>
      <c r="I199" s="3" t="s">
        <v>22</v>
      </c>
      <c r="J199" s="25">
        <f t="shared" si="10"/>
        <v>7</v>
      </c>
    </row>
    <row r="200" spans="1:10" ht="16.95" customHeight="1">
      <c r="A200" s="75" t="s">
        <v>65</v>
      </c>
      <c r="B200" s="76" t="s">
        <v>69</v>
      </c>
      <c r="C200" s="77"/>
      <c r="D200" s="78"/>
      <c r="E200" s="79"/>
      <c r="F200" s="79"/>
      <c r="G200" s="2"/>
      <c r="H200" s="37"/>
      <c r="I200" s="4"/>
      <c r="J200" s="25">
        <f t="shared" si="10"/>
        <v>7</v>
      </c>
    </row>
    <row r="201" spans="1:10" ht="34.950000000000003" customHeight="1">
      <c r="A201" s="75">
        <v>1</v>
      </c>
      <c r="B201" s="80" t="s">
        <v>91</v>
      </c>
      <c r="C201" s="77" t="s">
        <v>48</v>
      </c>
      <c r="D201" s="78">
        <v>1</v>
      </c>
      <c r="E201" s="79"/>
      <c r="F201" s="79" t="e">
        <f t="shared" ref="F201:F234" si="11">E201+F138</f>
        <v>#REF!</v>
      </c>
      <c r="G201" s="2"/>
      <c r="H201" s="37">
        <v>10508</v>
      </c>
      <c r="I201" s="4">
        <f>H201*E201</f>
        <v>0</v>
      </c>
      <c r="J201" s="25">
        <f t="shared" si="10"/>
        <v>7</v>
      </c>
    </row>
    <row r="202" spans="1:10" ht="34.799999999999997" customHeight="1">
      <c r="A202" s="75">
        <v>2</v>
      </c>
      <c r="B202" s="80" t="s">
        <v>92</v>
      </c>
      <c r="C202" s="77" t="s">
        <v>48</v>
      </c>
      <c r="D202" s="78">
        <v>1</v>
      </c>
      <c r="E202" s="79"/>
      <c r="F202" s="79" t="e">
        <f t="shared" si="11"/>
        <v>#REF!</v>
      </c>
      <c r="G202" s="2"/>
      <c r="H202" s="37">
        <v>13223</v>
      </c>
      <c r="I202" s="4">
        <f>H202*E202</f>
        <v>0</v>
      </c>
      <c r="J202" s="25">
        <f t="shared" si="10"/>
        <v>7</v>
      </c>
    </row>
    <row r="203" spans="1:10" ht="53.4" customHeight="1">
      <c r="A203" s="75">
        <v>3</v>
      </c>
      <c r="B203" s="80" t="s">
        <v>93</v>
      </c>
      <c r="C203" s="77" t="s">
        <v>48</v>
      </c>
      <c r="D203" s="78">
        <v>1</v>
      </c>
      <c r="E203" s="79"/>
      <c r="F203" s="79" t="e">
        <f t="shared" si="11"/>
        <v>#REF!</v>
      </c>
      <c r="G203" s="2"/>
      <c r="H203" s="37">
        <v>310497</v>
      </c>
      <c r="I203" s="4">
        <f t="shared" ref="I203:I234" si="12">H203*E203</f>
        <v>0</v>
      </c>
      <c r="J203" s="25">
        <f t="shared" si="10"/>
        <v>7</v>
      </c>
    </row>
    <row r="204" spans="1:10" ht="16.95" customHeight="1">
      <c r="A204" s="75">
        <v>4</v>
      </c>
      <c r="B204" s="80" t="s">
        <v>94</v>
      </c>
      <c r="C204" s="77" t="s">
        <v>48</v>
      </c>
      <c r="D204" s="78">
        <v>1</v>
      </c>
      <c r="E204" s="79"/>
      <c r="F204" s="79" t="e">
        <f t="shared" si="11"/>
        <v>#REF!</v>
      </c>
      <c r="G204" s="2"/>
      <c r="H204" s="37">
        <v>8375</v>
      </c>
      <c r="I204" s="4">
        <f t="shared" si="12"/>
        <v>0</v>
      </c>
      <c r="J204" s="25">
        <f t="shared" si="10"/>
        <v>7</v>
      </c>
    </row>
    <row r="205" spans="1:10" ht="16.95" customHeight="1">
      <c r="A205" s="75">
        <v>5</v>
      </c>
      <c r="B205" s="80" t="s">
        <v>95</v>
      </c>
      <c r="C205" s="77" t="s">
        <v>48</v>
      </c>
      <c r="D205" s="78">
        <v>1</v>
      </c>
      <c r="E205" s="79"/>
      <c r="F205" s="79" t="e">
        <f t="shared" si="11"/>
        <v>#REF!</v>
      </c>
      <c r="G205" s="2"/>
      <c r="H205" s="37">
        <v>51618</v>
      </c>
      <c r="I205" s="4">
        <f t="shared" si="12"/>
        <v>0</v>
      </c>
      <c r="J205" s="25">
        <f t="shared" si="10"/>
        <v>7</v>
      </c>
    </row>
    <row r="206" spans="1:10" ht="16.95" customHeight="1">
      <c r="A206" s="75">
        <v>6</v>
      </c>
      <c r="B206" s="80" t="s">
        <v>96</v>
      </c>
      <c r="C206" s="77" t="s">
        <v>50</v>
      </c>
      <c r="D206" s="78">
        <v>11.55</v>
      </c>
      <c r="E206" s="79"/>
      <c r="F206" s="79" t="e">
        <f t="shared" si="11"/>
        <v>#REF!</v>
      </c>
      <c r="G206" s="2"/>
      <c r="H206" s="37">
        <v>1188</v>
      </c>
      <c r="I206" s="4">
        <f t="shared" si="12"/>
        <v>0</v>
      </c>
      <c r="J206" s="25">
        <f t="shared" si="10"/>
        <v>7</v>
      </c>
    </row>
    <row r="207" spans="1:10" ht="34.950000000000003" customHeight="1">
      <c r="A207" s="75">
        <v>7</v>
      </c>
      <c r="B207" s="80" t="s">
        <v>97</v>
      </c>
      <c r="C207" s="77" t="s">
        <v>48</v>
      </c>
      <c r="D207" s="78">
        <v>1</v>
      </c>
      <c r="E207" s="79"/>
      <c r="F207" s="79" t="e">
        <f t="shared" si="11"/>
        <v>#REF!</v>
      </c>
      <c r="G207" s="2"/>
      <c r="H207" s="37">
        <v>21157</v>
      </c>
      <c r="I207" s="4">
        <f t="shared" si="12"/>
        <v>0</v>
      </c>
      <c r="J207" s="25">
        <f t="shared" si="10"/>
        <v>7</v>
      </c>
    </row>
    <row r="208" spans="1:10" ht="16.95" customHeight="1">
      <c r="A208" s="75">
        <v>8</v>
      </c>
      <c r="B208" s="80" t="s">
        <v>98</v>
      </c>
      <c r="C208" s="77" t="s">
        <v>50</v>
      </c>
      <c r="D208" s="78">
        <v>387</v>
      </c>
      <c r="E208" s="79"/>
      <c r="F208" s="79" t="e">
        <f t="shared" si="11"/>
        <v>#REF!</v>
      </c>
      <c r="G208" s="2"/>
      <c r="H208" s="37">
        <v>705</v>
      </c>
      <c r="I208" s="4">
        <f t="shared" si="12"/>
        <v>0</v>
      </c>
      <c r="J208" s="25">
        <f t="shared" si="10"/>
        <v>7</v>
      </c>
    </row>
    <row r="209" spans="1:10" ht="16.95" customHeight="1">
      <c r="A209" s="75">
        <v>9</v>
      </c>
      <c r="B209" s="80" t="s">
        <v>99</v>
      </c>
      <c r="C209" s="77" t="s">
        <v>50</v>
      </c>
      <c r="D209" s="78">
        <v>170</v>
      </c>
      <c r="E209" s="79"/>
      <c r="F209" s="79" t="e">
        <f t="shared" si="11"/>
        <v>#REF!</v>
      </c>
      <c r="G209" s="2"/>
      <c r="H209" s="37">
        <v>617</v>
      </c>
      <c r="I209" s="4">
        <f t="shared" si="12"/>
        <v>0</v>
      </c>
      <c r="J209" s="25">
        <f t="shared" si="10"/>
        <v>7</v>
      </c>
    </row>
    <row r="210" spans="1:10" ht="16.95" customHeight="1">
      <c r="A210" s="75">
        <v>10</v>
      </c>
      <c r="B210" s="80" t="s">
        <v>100</v>
      </c>
      <c r="C210" s="77" t="s">
        <v>66</v>
      </c>
      <c r="D210" s="78">
        <v>15</v>
      </c>
      <c r="E210" s="79"/>
      <c r="F210" s="79" t="e">
        <f t="shared" si="11"/>
        <v>#REF!</v>
      </c>
      <c r="G210" s="2"/>
      <c r="H210" s="37">
        <v>617</v>
      </c>
      <c r="I210" s="4">
        <f t="shared" si="12"/>
        <v>0</v>
      </c>
      <c r="J210" s="25">
        <f t="shared" si="10"/>
        <v>7</v>
      </c>
    </row>
    <row r="211" spans="1:10" ht="16.95" customHeight="1">
      <c r="A211" s="75">
        <v>11</v>
      </c>
      <c r="B211" s="80" t="s">
        <v>101</v>
      </c>
      <c r="C211" s="77" t="s">
        <v>50</v>
      </c>
      <c r="D211" s="78">
        <v>75</v>
      </c>
      <c r="E211" s="79"/>
      <c r="F211" s="79" t="e">
        <f t="shared" si="11"/>
        <v>#REF!</v>
      </c>
      <c r="G211" s="2"/>
      <c r="H211" s="37">
        <v>1146</v>
      </c>
      <c r="I211" s="4">
        <f t="shared" si="12"/>
        <v>0</v>
      </c>
      <c r="J211" s="25">
        <f t="shared" si="10"/>
        <v>7</v>
      </c>
    </row>
    <row r="212" spans="1:10" ht="16.95" customHeight="1">
      <c r="A212" s="75">
        <v>12</v>
      </c>
      <c r="B212" s="80" t="s">
        <v>102</v>
      </c>
      <c r="C212" s="77" t="s">
        <v>50</v>
      </c>
      <c r="D212" s="78">
        <v>5</v>
      </c>
      <c r="E212" s="79"/>
      <c r="F212" s="79" t="e">
        <f t="shared" si="11"/>
        <v>#REF!</v>
      </c>
      <c r="G212" s="2"/>
      <c r="H212" s="37">
        <v>1455</v>
      </c>
      <c r="I212" s="4">
        <f t="shared" si="12"/>
        <v>0</v>
      </c>
      <c r="J212" s="25">
        <f t="shared" si="10"/>
        <v>7</v>
      </c>
    </row>
    <row r="213" spans="1:10" ht="16.95" customHeight="1">
      <c r="A213" s="75">
        <v>13</v>
      </c>
      <c r="B213" s="80" t="s">
        <v>103</v>
      </c>
      <c r="C213" s="77" t="s">
        <v>50</v>
      </c>
      <c r="D213" s="78">
        <v>217</v>
      </c>
      <c r="E213" s="79"/>
      <c r="F213" s="79" t="e">
        <f t="shared" si="11"/>
        <v>#REF!</v>
      </c>
      <c r="G213" s="2"/>
      <c r="H213" s="37">
        <v>1410</v>
      </c>
      <c r="I213" s="4">
        <f t="shared" si="12"/>
        <v>0</v>
      </c>
      <c r="J213" s="25">
        <f t="shared" si="10"/>
        <v>7</v>
      </c>
    </row>
    <row r="214" spans="1:10" ht="16.95" customHeight="1">
      <c r="A214" s="75">
        <v>14</v>
      </c>
      <c r="B214" s="80" t="s">
        <v>104</v>
      </c>
      <c r="C214" s="77" t="s">
        <v>49</v>
      </c>
      <c r="D214" s="78">
        <v>84</v>
      </c>
      <c r="E214" s="79"/>
      <c r="F214" s="79" t="e">
        <f t="shared" si="11"/>
        <v>#REF!</v>
      </c>
      <c r="G214" s="2"/>
      <c r="H214" s="37">
        <v>529</v>
      </c>
      <c r="I214" s="4">
        <f t="shared" si="12"/>
        <v>0</v>
      </c>
      <c r="J214" s="25">
        <f t="shared" si="10"/>
        <v>7</v>
      </c>
    </row>
    <row r="215" spans="1:10" ht="16.95" customHeight="1">
      <c r="A215" s="75">
        <v>15</v>
      </c>
      <c r="B215" s="80" t="s">
        <v>105</v>
      </c>
      <c r="C215" s="77" t="s">
        <v>50</v>
      </c>
      <c r="D215" s="78">
        <v>1</v>
      </c>
      <c r="E215" s="79"/>
      <c r="F215" s="79" t="e">
        <f t="shared" si="11"/>
        <v>#REF!</v>
      </c>
      <c r="G215" s="2"/>
      <c r="H215" s="37">
        <v>1146</v>
      </c>
      <c r="I215" s="4">
        <f t="shared" si="12"/>
        <v>0</v>
      </c>
      <c r="J215" s="25">
        <f t="shared" si="10"/>
        <v>7</v>
      </c>
    </row>
    <row r="216" spans="1:10" ht="34.799999999999997" customHeight="1">
      <c r="A216" s="75">
        <v>16</v>
      </c>
      <c r="B216" s="80" t="s">
        <v>106</v>
      </c>
      <c r="C216" s="77" t="s">
        <v>50</v>
      </c>
      <c r="D216" s="78">
        <v>314</v>
      </c>
      <c r="E216" s="79"/>
      <c r="F216" s="79" t="e">
        <f t="shared" si="11"/>
        <v>#REF!</v>
      </c>
      <c r="G216" s="2"/>
      <c r="H216" s="37">
        <v>185</v>
      </c>
      <c r="I216" s="4">
        <f t="shared" si="12"/>
        <v>0</v>
      </c>
      <c r="J216" s="25">
        <f t="shared" si="10"/>
        <v>7</v>
      </c>
    </row>
    <row r="217" spans="1:10" ht="16.95" customHeight="1">
      <c r="A217" s="75">
        <v>17</v>
      </c>
      <c r="B217" s="80" t="s">
        <v>107</v>
      </c>
      <c r="C217" s="77" t="s">
        <v>48</v>
      </c>
      <c r="D217" s="78">
        <v>1</v>
      </c>
      <c r="E217" s="79"/>
      <c r="F217" s="79" t="e">
        <f t="shared" si="11"/>
        <v>#REF!</v>
      </c>
      <c r="G217" s="2"/>
      <c r="H217" s="37">
        <v>89918</v>
      </c>
      <c r="I217" s="4">
        <f t="shared" si="12"/>
        <v>0</v>
      </c>
      <c r="J217" s="25">
        <f t="shared" si="10"/>
        <v>7</v>
      </c>
    </row>
    <row r="218" spans="1:10" ht="16.95" customHeight="1">
      <c r="A218" s="75">
        <v>18</v>
      </c>
      <c r="B218" s="80" t="s">
        <v>108</v>
      </c>
      <c r="C218" s="77" t="s">
        <v>120</v>
      </c>
      <c r="D218" s="78">
        <v>15</v>
      </c>
      <c r="E218" s="79"/>
      <c r="F218" s="79" t="e">
        <f t="shared" si="11"/>
        <v>#REF!</v>
      </c>
      <c r="G218" s="2"/>
      <c r="H218" s="37">
        <v>661</v>
      </c>
      <c r="I218" s="4">
        <f t="shared" si="12"/>
        <v>0</v>
      </c>
      <c r="J218" s="25">
        <f t="shared" si="10"/>
        <v>7</v>
      </c>
    </row>
    <row r="219" spans="1:10" ht="16.95" customHeight="1">
      <c r="A219" s="75">
        <v>19</v>
      </c>
      <c r="B219" s="80" t="s">
        <v>109</v>
      </c>
      <c r="C219" s="77" t="s">
        <v>50</v>
      </c>
      <c r="D219" s="78">
        <v>82</v>
      </c>
      <c r="E219" s="79"/>
      <c r="F219" s="79" t="e">
        <f t="shared" si="11"/>
        <v>#REF!</v>
      </c>
      <c r="G219" s="2"/>
      <c r="H219" s="37">
        <v>2909</v>
      </c>
      <c r="I219" s="4">
        <f t="shared" si="12"/>
        <v>0</v>
      </c>
      <c r="J219" s="25">
        <f t="shared" si="10"/>
        <v>7</v>
      </c>
    </row>
    <row r="220" spans="1:10" ht="16.95" customHeight="1">
      <c r="A220" s="75">
        <v>20</v>
      </c>
      <c r="B220" s="80" t="s">
        <v>110</v>
      </c>
      <c r="C220" s="77" t="s">
        <v>121</v>
      </c>
      <c r="D220" s="78">
        <v>12</v>
      </c>
      <c r="E220" s="79"/>
      <c r="F220" s="79" t="e">
        <f t="shared" si="11"/>
        <v>#REF!</v>
      </c>
      <c r="G220" s="2"/>
      <c r="H220" s="37">
        <v>882</v>
      </c>
      <c r="I220" s="4">
        <f t="shared" si="12"/>
        <v>0</v>
      </c>
      <c r="J220" s="25">
        <f t="shared" si="10"/>
        <v>7</v>
      </c>
    </row>
    <row r="221" spans="1:10" ht="16.95" customHeight="1">
      <c r="A221" s="77">
        <v>21</v>
      </c>
      <c r="B221" s="80" t="s">
        <v>111</v>
      </c>
      <c r="C221" s="77" t="s">
        <v>122</v>
      </c>
      <c r="D221" s="78">
        <v>3</v>
      </c>
      <c r="E221" s="79"/>
      <c r="F221" s="79" t="e">
        <f t="shared" si="11"/>
        <v>#REF!</v>
      </c>
      <c r="G221" s="2"/>
      <c r="H221" s="38">
        <v>1869</v>
      </c>
      <c r="I221" s="4">
        <f t="shared" si="12"/>
        <v>0</v>
      </c>
      <c r="J221" s="25">
        <f t="shared" si="10"/>
        <v>7</v>
      </c>
    </row>
    <row r="222" spans="1:10" ht="34.950000000000003" customHeight="1">
      <c r="A222" s="75">
        <v>22</v>
      </c>
      <c r="B222" s="80" t="s">
        <v>112</v>
      </c>
      <c r="C222" s="77" t="s">
        <v>48</v>
      </c>
      <c r="D222" s="78">
        <v>1</v>
      </c>
      <c r="E222" s="79"/>
      <c r="F222" s="79" t="e">
        <f t="shared" si="11"/>
        <v>#REF!</v>
      </c>
      <c r="G222" s="2"/>
      <c r="H222" s="37">
        <v>82206</v>
      </c>
      <c r="I222" s="4">
        <f t="shared" si="12"/>
        <v>0</v>
      </c>
      <c r="J222" s="25">
        <f t="shared" si="10"/>
        <v>7</v>
      </c>
    </row>
    <row r="223" spans="1:10" ht="16.95" customHeight="1">
      <c r="A223" s="75">
        <v>23</v>
      </c>
      <c r="B223" s="80" t="s">
        <v>113</v>
      </c>
      <c r="C223" s="77" t="s">
        <v>48</v>
      </c>
      <c r="D223" s="78">
        <v>1</v>
      </c>
      <c r="E223" s="79"/>
      <c r="F223" s="79" t="e">
        <f t="shared" si="11"/>
        <v>#REF!</v>
      </c>
      <c r="G223" s="2"/>
      <c r="H223" s="37">
        <v>142723</v>
      </c>
      <c r="I223" s="4">
        <f t="shared" si="12"/>
        <v>0</v>
      </c>
      <c r="J223" s="25">
        <f t="shared" si="10"/>
        <v>7</v>
      </c>
    </row>
    <row r="224" spans="1:10" ht="16.95" customHeight="1">
      <c r="A224" s="75">
        <v>24</v>
      </c>
      <c r="B224" s="80" t="s">
        <v>114</v>
      </c>
      <c r="C224" s="77" t="s">
        <v>48</v>
      </c>
      <c r="D224" s="78">
        <v>1</v>
      </c>
      <c r="E224" s="79"/>
      <c r="F224" s="79" t="e">
        <f t="shared" si="11"/>
        <v>#REF!</v>
      </c>
      <c r="G224" s="2"/>
      <c r="H224" s="37">
        <v>37290</v>
      </c>
      <c r="I224" s="4">
        <f t="shared" si="12"/>
        <v>0</v>
      </c>
      <c r="J224" s="25">
        <f t="shared" si="10"/>
        <v>7</v>
      </c>
    </row>
    <row r="225" spans="1:10" ht="16.95" customHeight="1">
      <c r="A225" s="75">
        <v>25</v>
      </c>
      <c r="B225" s="80" t="s">
        <v>115</v>
      </c>
      <c r="C225" s="77" t="s">
        <v>48</v>
      </c>
      <c r="D225" s="78">
        <v>1</v>
      </c>
      <c r="E225" s="79"/>
      <c r="F225" s="79" t="e">
        <f t="shared" si="11"/>
        <v>#REF!</v>
      </c>
      <c r="G225" s="2"/>
      <c r="H225" s="37">
        <v>99394</v>
      </c>
      <c r="I225" s="4">
        <f t="shared" si="12"/>
        <v>0</v>
      </c>
      <c r="J225" s="25">
        <f t="shared" si="10"/>
        <v>7</v>
      </c>
    </row>
    <row r="226" spans="1:10" ht="34.950000000000003" customHeight="1">
      <c r="A226" s="75">
        <v>26</v>
      </c>
      <c r="B226" s="80" t="s">
        <v>116</v>
      </c>
      <c r="C226" s="77" t="s">
        <v>48</v>
      </c>
      <c r="D226" s="78">
        <v>1</v>
      </c>
      <c r="E226" s="79"/>
      <c r="F226" s="79" t="e">
        <f t="shared" si="11"/>
        <v>#REF!</v>
      </c>
      <c r="G226" s="2"/>
      <c r="H226" s="37">
        <v>21334</v>
      </c>
      <c r="I226" s="4">
        <f t="shared" si="12"/>
        <v>0</v>
      </c>
      <c r="J226" s="25">
        <f t="shared" si="10"/>
        <v>7</v>
      </c>
    </row>
    <row r="227" spans="1:10" ht="16.95" customHeight="1">
      <c r="A227" s="75">
        <v>27</v>
      </c>
      <c r="B227" s="80" t="s">
        <v>117</v>
      </c>
      <c r="C227" s="77" t="s">
        <v>48</v>
      </c>
      <c r="D227" s="78">
        <v>1</v>
      </c>
      <c r="E227" s="79"/>
      <c r="F227" s="79" t="e">
        <f t="shared" si="11"/>
        <v>#REF!</v>
      </c>
      <c r="G227" s="2"/>
      <c r="H227" s="37">
        <v>29620</v>
      </c>
      <c r="I227" s="4">
        <f t="shared" si="12"/>
        <v>0</v>
      </c>
      <c r="J227" s="25">
        <f t="shared" si="10"/>
        <v>7</v>
      </c>
    </row>
    <row r="228" spans="1:10" ht="16.95" customHeight="1">
      <c r="A228" s="75">
        <v>28</v>
      </c>
      <c r="B228" s="80" t="s">
        <v>118</v>
      </c>
      <c r="C228" s="77" t="s">
        <v>48</v>
      </c>
      <c r="D228" s="78">
        <v>1</v>
      </c>
      <c r="E228" s="79"/>
      <c r="F228" s="79" t="e">
        <f t="shared" si="11"/>
        <v>#REF!</v>
      </c>
      <c r="G228" s="2"/>
      <c r="H228" s="37">
        <v>18506</v>
      </c>
      <c r="I228" s="4">
        <f t="shared" si="12"/>
        <v>0</v>
      </c>
      <c r="J228" s="25">
        <f t="shared" si="10"/>
        <v>7</v>
      </c>
    </row>
    <row r="229" spans="1:10" ht="16.95" customHeight="1">
      <c r="A229" s="75">
        <v>29</v>
      </c>
      <c r="B229" s="80" t="s">
        <v>119</v>
      </c>
      <c r="C229" s="77" t="s">
        <v>48</v>
      </c>
      <c r="D229" s="78">
        <v>1</v>
      </c>
      <c r="E229" s="79"/>
      <c r="F229" s="79" t="e">
        <f t="shared" si="11"/>
        <v>#REF!</v>
      </c>
      <c r="G229" s="2"/>
      <c r="H229" s="37">
        <v>34381</v>
      </c>
      <c r="I229" s="4">
        <f t="shared" si="12"/>
        <v>0</v>
      </c>
      <c r="J229" s="25">
        <f t="shared" si="10"/>
        <v>7</v>
      </c>
    </row>
    <row r="230" spans="1:10" ht="16.95" customHeight="1">
      <c r="A230" s="75" t="s">
        <v>79</v>
      </c>
      <c r="B230" s="80" t="s">
        <v>80</v>
      </c>
      <c r="C230" s="77" t="s">
        <v>48</v>
      </c>
      <c r="D230" s="78">
        <v>1</v>
      </c>
      <c r="E230" s="79">
        <f t="shared" ref="E230:E233" si="13">1/120</f>
        <v>8.3333333333333332E-3</v>
      </c>
      <c r="F230" s="79" t="e">
        <f t="shared" si="11"/>
        <v>#REF!</v>
      </c>
      <c r="G230" s="2"/>
      <c r="H230" s="37">
        <v>21395</v>
      </c>
      <c r="I230" s="4">
        <f t="shared" si="12"/>
        <v>178.29166666666666</v>
      </c>
      <c r="J230" s="25">
        <f t="shared" si="10"/>
        <v>7</v>
      </c>
    </row>
    <row r="231" spans="1:10" ht="16.95" customHeight="1">
      <c r="A231" s="75" t="s">
        <v>81</v>
      </c>
      <c r="B231" s="80" t="s">
        <v>82</v>
      </c>
      <c r="C231" s="77" t="s">
        <v>48</v>
      </c>
      <c r="D231" s="78">
        <v>1</v>
      </c>
      <c r="E231" s="79">
        <f t="shared" si="13"/>
        <v>8.3333333333333332E-3</v>
      </c>
      <c r="F231" s="79" t="e">
        <f t="shared" si="11"/>
        <v>#REF!</v>
      </c>
      <c r="G231" s="2"/>
      <c r="H231" s="37">
        <v>21395</v>
      </c>
      <c r="I231" s="4">
        <f t="shared" si="12"/>
        <v>178.29166666666666</v>
      </c>
      <c r="J231" s="25">
        <f t="shared" si="10"/>
        <v>7</v>
      </c>
    </row>
    <row r="232" spans="1:10" ht="16.95" customHeight="1">
      <c r="A232" s="75" t="s">
        <v>83</v>
      </c>
      <c r="B232" s="80" t="s">
        <v>84</v>
      </c>
      <c r="C232" s="77" t="s">
        <v>48</v>
      </c>
      <c r="D232" s="78">
        <v>1</v>
      </c>
      <c r="E232" s="79">
        <f t="shared" si="13"/>
        <v>8.3333333333333332E-3</v>
      </c>
      <c r="F232" s="79" t="e">
        <f t="shared" si="11"/>
        <v>#REF!</v>
      </c>
      <c r="G232" s="2"/>
      <c r="H232" s="37">
        <v>149765</v>
      </c>
      <c r="I232" s="4">
        <f t="shared" si="12"/>
        <v>1248.0416666666667</v>
      </c>
      <c r="J232" s="25">
        <f t="shared" si="10"/>
        <v>7</v>
      </c>
    </row>
    <row r="233" spans="1:10" ht="16.95" customHeight="1">
      <c r="A233" s="75" t="s">
        <v>85</v>
      </c>
      <c r="B233" s="80" t="s">
        <v>86</v>
      </c>
      <c r="C233" s="77" t="s">
        <v>48</v>
      </c>
      <c r="D233" s="78">
        <v>1</v>
      </c>
      <c r="E233" s="79">
        <f t="shared" si="13"/>
        <v>8.3333333333333332E-3</v>
      </c>
      <c r="F233" s="79" t="e">
        <f t="shared" si="11"/>
        <v>#REF!</v>
      </c>
      <c r="G233" s="2"/>
      <c r="H233" s="37">
        <v>6996</v>
      </c>
      <c r="I233" s="4">
        <f t="shared" si="12"/>
        <v>58.3</v>
      </c>
      <c r="J233" s="25">
        <f t="shared" si="10"/>
        <v>7</v>
      </c>
    </row>
    <row r="234" spans="1:10" ht="16.95" customHeight="1">
      <c r="A234" s="75" t="s">
        <v>87</v>
      </c>
      <c r="B234" s="80" t="s">
        <v>88</v>
      </c>
      <c r="C234" s="77" t="s">
        <v>48</v>
      </c>
      <c r="D234" s="78">
        <v>1</v>
      </c>
      <c r="E234" s="79">
        <f>1/120</f>
        <v>8.3333333333333332E-3</v>
      </c>
      <c r="F234" s="79" t="e">
        <f t="shared" si="11"/>
        <v>#REF!</v>
      </c>
      <c r="G234" s="2"/>
      <c r="H234" s="37">
        <v>116952</v>
      </c>
      <c r="I234" s="4">
        <f t="shared" si="12"/>
        <v>974.6</v>
      </c>
      <c r="J234" s="25">
        <f t="shared" si="10"/>
        <v>7</v>
      </c>
    </row>
    <row r="235" spans="1:10" ht="16.95" customHeight="1">
      <c r="A235" s="95" t="s">
        <v>23</v>
      </c>
      <c r="B235" s="95"/>
      <c r="C235" s="50"/>
      <c r="D235" s="50"/>
      <c r="E235" s="50"/>
      <c r="F235" s="50"/>
      <c r="G235" s="50"/>
      <c r="H235" s="3" t="s">
        <v>24</v>
      </c>
      <c r="I235" s="5">
        <f>SUM(I200:I234)</f>
        <v>2637.5250000000001</v>
      </c>
      <c r="J235" s="25">
        <f t="shared" si="10"/>
        <v>7</v>
      </c>
    </row>
    <row r="236" spans="1:10" ht="16.95" customHeight="1">
      <c r="A236" s="96" t="s">
        <v>25</v>
      </c>
      <c r="B236" s="96"/>
      <c r="C236" s="50"/>
      <c r="D236" s="50"/>
      <c r="E236" s="50"/>
      <c r="F236" s="50"/>
      <c r="G236" s="50"/>
      <c r="J236" s="25">
        <f t="shared" si="10"/>
        <v>7</v>
      </c>
    </row>
    <row r="237" spans="1:10" ht="16.95" customHeight="1">
      <c r="A237" s="96" t="s">
        <v>26</v>
      </c>
      <c r="B237" s="96"/>
      <c r="C237" s="50"/>
      <c r="D237" s="50"/>
      <c r="E237" s="50"/>
      <c r="F237" s="50"/>
      <c r="G237" s="50"/>
      <c r="J237" s="25">
        <f t="shared" si="10"/>
        <v>7</v>
      </c>
    </row>
    <row r="238" spans="1:10" ht="16.95" customHeight="1">
      <c r="A238" s="95" t="s">
        <v>27</v>
      </c>
      <c r="B238" s="95"/>
      <c r="C238" s="95"/>
      <c r="D238" s="95"/>
      <c r="E238" s="95"/>
      <c r="F238" s="95"/>
      <c r="G238" s="95"/>
      <c r="J238" s="25">
        <f t="shared" si="10"/>
        <v>7</v>
      </c>
    </row>
    <row r="239" spans="1:10" ht="16.95" customHeight="1">
      <c r="A239" s="94" t="s">
        <v>28</v>
      </c>
      <c r="B239" s="94"/>
      <c r="C239" s="51" t="s">
        <v>29</v>
      </c>
      <c r="D239" s="51" t="s">
        <v>30</v>
      </c>
      <c r="E239" s="51" t="s">
        <v>18</v>
      </c>
      <c r="F239" s="51" t="s">
        <v>31</v>
      </c>
      <c r="G239" s="51" t="s">
        <v>20</v>
      </c>
      <c r="J239" s="25">
        <f t="shared" si="10"/>
        <v>7</v>
      </c>
    </row>
    <row r="240" spans="1:10" ht="16.95" customHeight="1">
      <c r="A240" s="96"/>
      <c r="B240" s="96"/>
      <c r="C240" s="50"/>
      <c r="D240" s="50"/>
      <c r="E240" s="50"/>
      <c r="F240" s="50"/>
      <c r="G240" s="51"/>
      <c r="J240" s="25">
        <f t="shared" si="10"/>
        <v>7</v>
      </c>
    </row>
    <row r="241" spans="1:10" ht="16.95" customHeight="1">
      <c r="A241" s="97"/>
      <c r="B241" s="97"/>
      <c r="C241" s="50"/>
      <c r="D241" s="50"/>
      <c r="E241" s="50"/>
      <c r="F241" s="51"/>
      <c r="G241" s="51"/>
      <c r="J241" s="25">
        <f t="shared" si="10"/>
        <v>7</v>
      </c>
    </row>
    <row r="242" spans="1:10" ht="16.95" customHeight="1">
      <c r="A242" s="95" t="s">
        <v>32</v>
      </c>
      <c r="B242" s="95"/>
      <c r="C242" s="95"/>
      <c r="D242" s="95"/>
      <c r="E242" s="95"/>
      <c r="F242" s="95"/>
      <c r="G242" s="95"/>
      <c r="J242" s="25">
        <f t="shared" si="10"/>
        <v>8</v>
      </c>
    </row>
    <row r="243" spans="1:10" ht="16.95" customHeight="1">
      <c r="A243" s="51" t="s">
        <v>33</v>
      </c>
      <c r="B243" s="51" t="s">
        <v>34</v>
      </c>
      <c r="C243" s="94" t="s">
        <v>35</v>
      </c>
      <c r="D243" s="94"/>
      <c r="E243" s="51" t="s">
        <v>36</v>
      </c>
      <c r="F243" s="51" t="s">
        <v>37</v>
      </c>
      <c r="G243" s="51" t="s">
        <v>38</v>
      </c>
      <c r="J243" s="25">
        <f t="shared" si="10"/>
        <v>8</v>
      </c>
    </row>
    <row r="244" spans="1:10" ht="16.95" customHeight="1">
      <c r="A244" s="51" t="s">
        <v>39</v>
      </c>
      <c r="B244" s="6"/>
      <c r="C244" s="94" t="e">
        <f>B244+C181</f>
        <v>#REF!</v>
      </c>
      <c r="D244" s="94"/>
      <c r="E244" s="51"/>
      <c r="F244" s="24"/>
      <c r="G244" s="24"/>
      <c r="J244" s="25">
        <f t="shared" si="10"/>
        <v>8</v>
      </c>
    </row>
    <row r="245" spans="1:10" ht="16.95" customHeight="1">
      <c r="A245" s="51" t="s">
        <v>40</v>
      </c>
      <c r="B245" s="6"/>
      <c r="C245" s="94" t="e">
        <f>B245+C182</f>
        <v>#REF!</v>
      </c>
      <c r="D245" s="94"/>
      <c r="E245" s="51"/>
      <c r="F245" s="24"/>
      <c r="G245" s="24"/>
      <c r="J245" s="25">
        <f t="shared" si="10"/>
        <v>8</v>
      </c>
    </row>
    <row r="246" spans="1:10" ht="36.6" customHeight="1">
      <c r="A246" s="95" t="s">
        <v>41</v>
      </c>
      <c r="B246" s="95"/>
      <c r="C246" s="95"/>
      <c r="D246" s="95"/>
      <c r="E246" s="95"/>
      <c r="F246" s="95"/>
      <c r="G246" s="95"/>
      <c r="J246" s="25">
        <f t="shared" si="10"/>
        <v>8</v>
      </c>
    </row>
    <row r="247" spans="1:10" ht="90" customHeight="1">
      <c r="A247" s="92" t="s">
        <v>42</v>
      </c>
      <c r="B247" s="92"/>
      <c r="C247" s="92"/>
      <c r="D247" s="92"/>
      <c r="E247" s="92"/>
      <c r="F247" s="92"/>
      <c r="G247" s="92"/>
      <c r="J247" s="25">
        <f t="shared" si="10"/>
        <v>8</v>
      </c>
    </row>
    <row r="248" spans="1:10" ht="16.95" customHeight="1">
      <c r="A248" s="95" t="s">
        <v>43</v>
      </c>
      <c r="B248" s="95"/>
      <c r="C248" s="95"/>
      <c r="D248" s="95"/>
      <c r="E248" s="95"/>
      <c r="F248" s="95"/>
      <c r="G248" s="95"/>
      <c r="J248" s="25">
        <f t="shared" si="10"/>
        <v>8</v>
      </c>
    </row>
    <row r="249" spans="1:10" ht="16.95" customHeight="1">
      <c r="A249" s="95" t="s">
        <v>44</v>
      </c>
      <c r="B249" s="95"/>
      <c r="C249" s="95"/>
      <c r="D249" s="95"/>
      <c r="E249" s="95"/>
      <c r="F249" s="95"/>
      <c r="G249" s="95"/>
      <c r="J249" s="25">
        <f t="shared" si="10"/>
        <v>8</v>
      </c>
    </row>
    <row r="250" spans="1:10" ht="16.95" customHeight="1">
      <c r="A250" s="91" t="s">
        <v>64</v>
      </c>
      <c r="B250" s="91"/>
      <c r="C250" s="91"/>
      <c r="D250" s="91"/>
      <c r="E250" s="91"/>
      <c r="F250" s="91"/>
      <c r="G250" s="91"/>
      <c r="J250" s="25">
        <f t="shared" si="10"/>
        <v>8</v>
      </c>
    </row>
    <row r="251" spans="1:10" ht="120.6" customHeight="1">
      <c r="A251" s="92" t="s">
        <v>45</v>
      </c>
      <c r="B251" s="92"/>
      <c r="C251" s="92"/>
      <c r="D251" s="92"/>
      <c r="E251" s="92"/>
      <c r="F251" s="92"/>
      <c r="G251" s="92"/>
      <c r="J251" s="25">
        <f t="shared" si="10"/>
        <v>8</v>
      </c>
    </row>
    <row r="252" spans="1:10" ht="140.4" customHeight="1">
      <c r="A252" s="93" t="s">
        <v>46</v>
      </c>
      <c r="B252" s="93"/>
      <c r="C252" s="93"/>
      <c r="D252" s="93"/>
      <c r="E252" s="93"/>
      <c r="F252" s="93"/>
      <c r="G252" s="93"/>
      <c r="J252" s="25">
        <f t="shared" si="10"/>
        <v>8</v>
      </c>
    </row>
    <row r="253" spans="1:10" ht="37.200000000000003" customHeight="1">
      <c r="A253" s="103" t="s">
        <v>0</v>
      </c>
      <c r="B253" s="103"/>
      <c r="C253" s="103"/>
      <c r="D253" s="103"/>
      <c r="E253" s="103"/>
      <c r="F253" s="103"/>
      <c r="G253" s="103"/>
      <c r="J253" s="25">
        <f t="shared" si="10"/>
        <v>9</v>
      </c>
    </row>
    <row r="254" spans="1:10" ht="16.95" customHeight="1">
      <c r="A254" s="1" t="s">
        <v>1</v>
      </c>
      <c r="B254" s="104">
        <f>B191+1</f>
        <v>6</v>
      </c>
      <c r="C254" s="104"/>
      <c r="D254" s="104"/>
      <c r="E254" s="104"/>
      <c r="F254" s="104"/>
      <c r="G254" s="104"/>
      <c r="J254" s="25">
        <f t="shared" si="10"/>
        <v>9</v>
      </c>
    </row>
    <row r="255" spans="1:10" ht="16.95" customHeight="1">
      <c r="A255" s="1" t="s">
        <v>2</v>
      </c>
      <c r="B255" s="105" t="s">
        <v>63</v>
      </c>
      <c r="C255" s="105"/>
      <c r="D255" s="105"/>
      <c r="E255" s="106">
        <f>E192+1</f>
        <v>46208</v>
      </c>
      <c r="F255" s="106"/>
      <c r="G255" s="106"/>
      <c r="J255" s="25">
        <f t="shared" si="10"/>
        <v>9</v>
      </c>
    </row>
    <row r="256" spans="1:10" ht="16.95" customHeight="1">
      <c r="A256" s="53" t="s">
        <v>3</v>
      </c>
      <c r="B256" s="2" t="s">
        <v>67</v>
      </c>
      <c r="C256" s="98" t="s">
        <v>4</v>
      </c>
      <c r="D256" s="98"/>
      <c r="E256" s="98" t="s">
        <v>47</v>
      </c>
      <c r="F256" s="98"/>
      <c r="G256" s="98"/>
      <c r="J256" s="25">
        <f t="shared" ref="J256:J319" si="14">J193+2</f>
        <v>9</v>
      </c>
    </row>
    <row r="257" spans="1:10" ht="16.95" customHeight="1">
      <c r="A257" s="53" t="s">
        <v>5</v>
      </c>
      <c r="B257" s="54">
        <v>120</v>
      </c>
      <c r="C257" s="98" t="s">
        <v>6</v>
      </c>
      <c r="D257" s="98"/>
      <c r="E257" s="98" t="s">
        <v>123</v>
      </c>
      <c r="F257" s="98"/>
      <c r="G257" s="98"/>
      <c r="J257" s="25">
        <f t="shared" si="14"/>
        <v>9</v>
      </c>
    </row>
    <row r="258" spans="1:10" ht="16.95" customHeight="1">
      <c r="A258" s="53" t="s">
        <v>7</v>
      </c>
      <c r="B258" s="54">
        <f>B254</f>
        <v>6</v>
      </c>
      <c r="C258" s="100" t="s">
        <v>8</v>
      </c>
      <c r="D258" s="100"/>
      <c r="E258" s="101">
        <f>B257-B258</f>
        <v>114</v>
      </c>
      <c r="F258" s="101"/>
      <c r="G258" s="101"/>
      <c r="J258" s="25">
        <f t="shared" si="14"/>
        <v>9</v>
      </c>
    </row>
    <row r="259" spans="1:10" ht="16.95" customHeight="1">
      <c r="A259" s="53" t="s">
        <v>9</v>
      </c>
      <c r="B259" s="55">
        <v>46204</v>
      </c>
      <c r="C259" s="98" t="s">
        <v>10</v>
      </c>
      <c r="D259" s="98"/>
      <c r="E259" s="102">
        <f>B259+B257-1</f>
        <v>46323</v>
      </c>
      <c r="F259" s="102"/>
      <c r="G259" s="102"/>
      <c r="J259" s="25">
        <f t="shared" si="14"/>
        <v>9</v>
      </c>
    </row>
    <row r="260" spans="1:10" ht="16.95" customHeight="1">
      <c r="A260" s="53" t="s">
        <v>11</v>
      </c>
      <c r="B260" s="56" t="e">
        <f>HLOOKUP(B254,進度表!$Q$2:$Z$3,2,1)+B197</f>
        <v>#REF!</v>
      </c>
      <c r="C260" s="98" t="s">
        <v>12</v>
      </c>
      <c r="D260" s="98"/>
      <c r="E260" s="99" t="e">
        <f>I298/I260+E197</f>
        <v>#REF!</v>
      </c>
      <c r="F260" s="99"/>
      <c r="G260" s="99"/>
      <c r="H260" s="3" t="s">
        <v>62</v>
      </c>
      <c r="I260" s="1">
        <v>2456000</v>
      </c>
      <c r="J260" s="25">
        <f t="shared" si="14"/>
        <v>9</v>
      </c>
    </row>
    <row r="261" spans="1:10" ht="16.95" customHeight="1">
      <c r="A261" s="98" t="s">
        <v>13</v>
      </c>
      <c r="B261" s="98"/>
      <c r="C261" s="98"/>
      <c r="D261" s="98"/>
      <c r="E261" s="98"/>
      <c r="F261" s="98"/>
      <c r="G261" s="98"/>
      <c r="J261" s="25">
        <f t="shared" si="14"/>
        <v>9</v>
      </c>
    </row>
    <row r="262" spans="1:10" ht="16.95" customHeight="1">
      <c r="A262" s="52" t="s">
        <v>14</v>
      </c>
      <c r="B262" s="52" t="s">
        <v>15</v>
      </c>
      <c r="C262" s="52" t="s">
        <v>16</v>
      </c>
      <c r="D262" s="52" t="s">
        <v>17</v>
      </c>
      <c r="E262" s="52" t="s">
        <v>18</v>
      </c>
      <c r="F262" s="52" t="s">
        <v>19</v>
      </c>
      <c r="G262" s="52" t="s">
        <v>20</v>
      </c>
      <c r="H262" s="3" t="s">
        <v>21</v>
      </c>
      <c r="I262" s="3" t="s">
        <v>22</v>
      </c>
      <c r="J262" s="25">
        <f t="shared" si="14"/>
        <v>9</v>
      </c>
    </row>
    <row r="263" spans="1:10" ht="16.95" customHeight="1">
      <c r="A263" s="75" t="s">
        <v>65</v>
      </c>
      <c r="B263" s="76" t="s">
        <v>69</v>
      </c>
      <c r="C263" s="77"/>
      <c r="D263" s="78"/>
      <c r="E263" s="79"/>
      <c r="F263" s="79"/>
      <c r="G263" s="2"/>
      <c r="H263" s="37"/>
      <c r="I263" s="4"/>
      <c r="J263" s="25">
        <f t="shared" si="14"/>
        <v>9</v>
      </c>
    </row>
    <row r="264" spans="1:10" ht="34.950000000000003" customHeight="1">
      <c r="A264" s="75">
        <v>1</v>
      </c>
      <c r="B264" s="80" t="s">
        <v>91</v>
      </c>
      <c r="C264" s="77" t="s">
        <v>48</v>
      </c>
      <c r="D264" s="78">
        <v>1</v>
      </c>
      <c r="E264" s="79"/>
      <c r="F264" s="79" t="e">
        <f t="shared" ref="F264:F297" si="15">E264+F201</f>
        <v>#REF!</v>
      </c>
      <c r="G264" s="2"/>
      <c r="H264" s="37">
        <v>10508</v>
      </c>
      <c r="I264" s="4">
        <f>H264*E264</f>
        <v>0</v>
      </c>
      <c r="J264" s="25">
        <f t="shared" si="14"/>
        <v>9</v>
      </c>
    </row>
    <row r="265" spans="1:10" ht="34.799999999999997" customHeight="1">
      <c r="A265" s="75">
        <v>2</v>
      </c>
      <c r="B265" s="80" t="s">
        <v>92</v>
      </c>
      <c r="C265" s="77" t="s">
        <v>48</v>
      </c>
      <c r="D265" s="78">
        <v>1</v>
      </c>
      <c r="E265" s="79"/>
      <c r="F265" s="79" t="e">
        <f t="shared" si="15"/>
        <v>#REF!</v>
      </c>
      <c r="G265" s="2"/>
      <c r="H265" s="37">
        <v>13223</v>
      </c>
      <c r="I265" s="4">
        <f>H265*E265</f>
        <v>0</v>
      </c>
      <c r="J265" s="25">
        <f t="shared" si="14"/>
        <v>9</v>
      </c>
    </row>
    <row r="266" spans="1:10" ht="53.4" customHeight="1">
      <c r="A266" s="75">
        <v>3</v>
      </c>
      <c r="B266" s="80" t="s">
        <v>93</v>
      </c>
      <c r="C266" s="77" t="s">
        <v>48</v>
      </c>
      <c r="D266" s="78">
        <v>1</v>
      </c>
      <c r="E266" s="79"/>
      <c r="F266" s="79" t="e">
        <f t="shared" si="15"/>
        <v>#REF!</v>
      </c>
      <c r="G266" s="2"/>
      <c r="H266" s="37">
        <v>310497</v>
      </c>
      <c r="I266" s="4">
        <f t="shared" ref="I266:I297" si="16">H266*E266</f>
        <v>0</v>
      </c>
      <c r="J266" s="25">
        <f t="shared" si="14"/>
        <v>9</v>
      </c>
    </row>
    <row r="267" spans="1:10" ht="16.95" customHeight="1">
      <c r="A267" s="75">
        <v>4</v>
      </c>
      <c r="B267" s="80" t="s">
        <v>94</v>
      </c>
      <c r="C267" s="77" t="s">
        <v>48</v>
      </c>
      <c r="D267" s="78">
        <v>1</v>
      </c>
      <c r="E267" s="79"/>
      <c r="F267" s="79" t="e">
        <f t="shared" si="15"/>
        <v>#REF!</v>
      </c>
      <c r="G267" s="2"/>
      <c r="H267" s="37">
        <v>8375</v>
      </c>
      <c r="I267" s="4">
        <f t="shared" si="16"/>
        <v>0</v>
      </c>
      <c r="J267" s="25">
        <f t="shared" si="14"/>
        <v>9</v>
      </c>
    </row>
    <row r="268" spans="1:10" ht="16.95" customHeight="1">
      <c r="A268" s="75">
        <v>5</v>
      </c>
      <c r="B268" s="80" t="s">
        <v>95</v>
      </c>
      <c r="C268" s="77" t="s">
        <v>48</v>
      </c>
      <c r="D268" s="78">
        <v>1</v>
      </c>
      <c r="E268" s="79"/>
      <c r="F268" s="79" t="e">
        <f t="shared" si="15"/>
        <v>#REF!</v>
      </c>
      <c r="G268" s="2"/>
      <c r="H268" s="37">
        <v>51618</v>
      </c>
      <c r="I268" s="4">
        <f t="shared" si="16"/>
        <v>0</v>
      </c>
      <c r="J268" s="25">
        <f t="shared" si="14"/>
        <v>9</v>
      </c>
    </row>
    <row r="269" spans="1:10" ht="16.95" customHeight="1">
      <c r="A269" s="75">
        <v>6</v>
      </c>
      <c r="B269" s="80" t="s">
        <v>96</v>
      </c>
      <c r="C269" s="77" t="s">
        <v>50</v>
      </c>
      <c r="D269" s="78">
        <v>11.55</v>
      </c>
      <c r="E269" s="79"/>
      <c r="F269" s="79" t="e">
        <f t="shared" si="15"/>
        <v>#REF!</v>
      </c>
      <c r="G269" s="2"/>
      <c r="H269" s="37">
        <v>1188</v>
      </c>
      <c r="I269" s="4">
        <f t="shared" si="16"/>
        <v>0</v>
      </c>
      <c r="J269" s="25">
        <f t="shared" si="14"/>
        <v>9</v>
      </c>
    </row>
    <row r="270" spans="1:10" ht="34.950000000000003" customHeight="1">
      <c r="A270" s="75">
        <v>7</v>
      </c>
      <c r="B270" s="80" t="s">
        <v>97</v>
      </c>
      <c r="C270" s="77" t="s">
        <v>48</v>
      </c>
      <c r="D270" s="78">
        <v>1</v>
      </c>
      <c r="E270" s="79"/>
      <c r="F270" s="79" t="e">
        <f t="shared" si="15"/>
        <v>#REF!</v>
      </c>
      <c r="G270" s="2"/>
      <c r="H270" s="37">
        <v>21157</v>
      </c>
      <c r="I270" s="4">
        <f t="shared" si="16"/>
        <v>0</v>
      </c>
      <c r="J270" s="25">
        <f t="shared" si="14"/>
        <v>9</v>
      </c>
    </row>
    <row r="271" spans="1:10" ht="16.95" customHeight="1">
      <c r="A271" s="75">
        <v>8</v>
      </c>
      <c r="B271" s="80" t="s">
        <v>98</v>
      </c>
      <c r="C271" s="77" t="s">
        <v>50</v>
      </c>
      <c r="D271" s="78">
        <v>387</v>
      </c>
      <c r="E271" s="79"/>
      <c r="F271" s="79" t="e">
        <f t="shared" si="15"/>
        <v>#REF!</v>
      </c>
      <c r="G271" s="2"/>
      <c r="H271" s="37">
        <v>705</v>
      </c>
      <c r="I271" s="4">
        <f t="shared" si="16"/>
        <v>0</v>
      </c>
      <c r="J271" s="25">
        <f t="shared" si="14"/>
        <v>9</v>
      </c>
    </row>
    <row r="272" spans="1:10" ht="16.95" customHeight="1">
      <c r="A272" s="75">
        <v>9</v>
      </c>
      <c r="B272" s="80" t="s">
        <v>99</v>
      </c>
      <c r="C272" s="77" t="s">
        <v>50</v>
      </c>
      <c r="D272" s="78">
        <v>170</v>
      </c>
      <c r="E272" s="79"/>
      <c r="F272" s="79" t="e">
        <f t="shared" si="15"/>
        <v>#REF!</v>
      </c>
      <c r="G272" s="2"/>
      <c r="H272" s="37">
        <v>617</v>
      </c>
      <c r="I272" s="4">
        <f t="shared" si="16"/>
        <v>0</v>
      </c>
      <c r="J272" s="25">
        <f t="shared" si="14"/>
        <v>9</v>
      </c>
    </row>
    <row r="273" spans="1:10" ht="16.95" customHeight="1">
      <c r="A273" s="75">
        <v>10</v>
      </c>
      <c r="B273" s="80" t="s">
        <v>100</v>
      </c>
      <c r="C273" s="77" t="s">
        <v>66</v>
      </c>
      <c r="D273" s="78">
        <v>15</v>
      </c>
      <c r="E273" s="79"/>
      <c r="F273" s="79" t="e">
        <f t="shared" si="15"/>
        <v>#REF!</v>
      </c>
      <c r="G273" s="2"/>
      <c r="H273" s="37">
        <v>617</v>
      </c>
      <c r="I273" s="4">
        <f t="shared" si="16"/>
        <v>0</v>
      </c>
      <c r="J273" s="25">
        <f t="shared" si="14"/>
        <v>9</v>
      </c>
    </row>
    <row r="274" spans="1:10" ht="16.95" customHeight="1">
      <c r="A274" s="75">
        <v>11</v>
      </c>
      <c r="B274" s="80" t="s">
        <v>101</v>
      </c>
      <c r="C274" s="77" t="s">
        <v>50</v>
      </c>
      <c r="D274" s="78">
        <v>75</v>
      </c>
      <c r="E274" s="79"/>
      <c r="F274" s="79" t="e">
        <f t="shared" si="15"/>
        <v>#REF!</v>
      </c>
      <c r="G274" s="2"/>
      <c r="H274" s="37">
        <v>1146</v>
      </c>
      <c r="I274" s="4">
        <f t="shared" si="16"/>
        <v>0</v>
      </c>
      <c r="J274" s="25">
        <f t="shared" si="14"/>
        <v>9</v>
      </c>
    </row>
    <row r="275" spans="1:10" ht="16.95" customHeight="1">
      <c r="A275" s="75">
        <v>12</v>
      </c>
      <c r="B275" s="80" t="s">
        <v>102</v>
      </c>
      <c r="C275" s="77" t="s">
        <v>50</v>
      </c>
      <c r="D275" s="78">
        <v>5</v>
      </c>
      <c r="E275" s="79"/>
      <c r="F275" s="79" t="e">
        <f t="shared" si="15"/>
        <v>#REF!</v>
      </c>
      <c r="G275" s="2"/>
      <c r="H275" s="37">
        <v>1455</v>
      </c>
      <c r="I275" s="4">
        <f t="shared" si="16"/>
        <v>0</v>
      </c>
      <c r="J275" s="25">
        <f t="shared" si="14"/>
        <v>9</v>
      </c>
    </row>
    <row r="276" spans="1:10" ht="16.95" customHeight="1">
      <c r="A276" s="75">
        <v>13</v>
      </c>
      <c r="B276" s="80" t="s">
        <v>103</v>
      </c>
      <c r="C276" s="77" t="s">
        <v>50</v>
      </c>
      <c r="D276" s="78">
        <v>217</v>
      </c>
      <c r="E276" s="79"/>
      <c r="F276" s="79" t="e">
        <f t="shared" si="15"/>
        <v>#REF!</v>
      </c>
      <c r="G276" s="2"/>
      <c r="H276" s="37">
        <v>1410</v>
      </c>
      <c r="I276" s="4">
        <f t="shared" si="16"/>
        <v>0</v>
      </c>
      <c r="J276" s="25">
        <f t="shared" si="14"/>
        <v>9</v>
      </c>
    </row>
    <row r="277" spans="1:10" ht="16.95" customHeight="1">
      <c r="A277" s="75">
        <v>14</v>
      </c>
      <c r="B277" s="80" t="s">
        <v>104</v>
      </c>
      <c r="C277" s="77" t="s">
        <v>49</v>
      </c>
      <c r="D277" s="78">
        <v>84</v>
      </c>
      <c r="E277" s="79"/>
      <c r="F277" s="79" t="e">
        <f t="shared" si="15"/>
        <v>#REF!</v>
      </c>
      <c r="G277" s="2"/>
      <c r="H277" s="37">
        <v>529</v>
      </c>
      <c r="I277" s="4">
        <f t="shared" si="16"/>
        <v>0</v>
      </c>
      <c r="J277" s="25">
        <f t="shared" si="14"/>
        <v>9</v>
      </c>
    </row>
    <row r="278" spans="1:10" ht="16.95" customHeight="1">
      <c r="A278" s="75">
        <v>15</v>
      </c>
      <c r="B278" s="80" t="s">
        <v>105</v>
      </c>
      <c r="C278" s="77" t="s">
        <v>50</v>
      </c>
      <c r="D278" s="78">
        <v>1</v>
      </c>
      <c r="E278" s="79"/>
      <c r="F278" s="79" t="e">
        <f t="shared" si="15"/>
        <v>#REF!</v>
      </c>
      <c r="G278" s="2"/>
      <c r="H278" s="37">
        <v>1146</v>
      </c>
      <c r="I278" s="4">
        <f t="shared" si="16"/>
        <v>0</v>
      </c>
      <c r="J278" s="25">
        <f t="shared" si="14"/>
        <v>9</v>
      </c>
    </row>
    <row r="279" spans="1:10" ht="34.799999999999997" customHeight="1">
      <c r="A279" s="75">
        <v>16</v>
      </c>
      <c r="B279" s="80" t="s">
        <v>106</v>
      </c>
      <c r="C279" s="77" t="s">
        <v>50</v>
      </c>
      <c r="D279" s="78">
        <v>314</v>
      </c>
      <c r="E279" s="79"/>
      <c r="F279" s="79" t="e">
        <f t="shared" si="15"/>
        <v>#REF!</v>
      </c>
      <c r="G279" s="2"/>
      <c r="H279" s="37">
        <v>185</v>
      </c>
      <c r="I279" s="4">
        <f t="shared" si="16"/>
        <v>0</v>
      </c>
      <c r="J279" s="25">
        <f t="shared" si="14"/>
        <v>9</v>
      </c>
    </row>
    <row r="280" spans="1:10" ht="16.95" customHeight="1">
      <c r="A280" s="75">
        <v>17</v>
      </c>
      <c r="B280" s="80" t="s">
        <v>107</v>
      </c>
      <c r="C280" s="77" t="s">
        <v>48</v>
      </c>
      <c r="D280" s="78">
        <v>1</v>
      </c>
      <c r="E280" s="79"/>
      <c r="F280" s="79" t="e">
        <f t="shared" si="15"/>
        <v>#REF!</v>
      </c>
      <c r="G280" s="2"/>
      <c r="H280" s="37">
        <v>89918</v>
      </c>
      <c r="I280" s="4">
        <f t="shared" si="16"/>
        <v>0</v>
      </c>
      <c r="J280" s="25">
        <f t="shared" si="14"/>
        <v>9</v>
      </c>
    </row>
    <row r="281" spans="1:10" ht="16.95" customHeight="1">
      <c r="A281" s="75">
        <v>18</v>
      </c>
      <c r="B281" s="80" t="s">
        <v>108</v>
      </c>
      <c r="C281" s="77" t="s">
        <v>120</v>
      </c>
      <c r="D281" s="78">
        <v>15</v>
      </c>
      <c r="E281" s="79"/>
      <c r="F281" s="79" t="e">
        <f t="shared" si="15"/>
        <v>#REF!</v>
      </c>
      <c r="G281" s="2"/>
      <c r="H281" s="37">
        <v>661</v>
      </c>
      <c r="I281" s="4">
        <f t="shared" si="16"/>
        <v>0</v>
      </c>
      <c r="J281" s="25">
        <f t="shared" si="14"/>
        <v>9</v>
      </c>
    </row>
    <row r="282" spans="1:10" ht="16.95" customHeight="1">
      <c r="A282" s="75">
        <v>19</v>
      </c>
      <c r="B282" s="80" t="s">
        <v>109</v>
      </c>
      <c r="C282" s="77" t="s">
        <v>50</v>
      </c>
      <c r="D282" s="78">
        <v>82</v>
      </c>
      <c r="E282" s="79"/>
      <c r="F282" s="79" t="e">
        <f t="shared" si="15"/>
        <v>#REF!</v>
      </c>
      <c r="G282" s="2"/>
      <c r="H282" s="37">
        <v>2909</v>
      </c>
      <c r="I282" s="4">
        <f t="shared" si="16"/>
        <v>0</v>
      </c>
      <c r="J282" s="25">
        <f t="shared" si="14"/>
        <v>9</v>
      </c>
    </row>
    <row r="283" spans="1:10" ht="16.95" customHeight="1">
      <c r="A283" s="75">
        <v>20</v>
      </c>
      <c r="B283" s="80" t="s">
        <v>110</v>
      </c>
      <c r="C283" s="77" t="s">
        <v>121</v>
      </c>
      <c r="D283" s="78">
        <v>12</v>
      </c>
      <c r="E283" s="79"/>
      <c r="F283" s="79" t="e">
        <f t="shared" si="15"/>
        <v>#REF!</v>
      </c>
      <c r="G283" s="2"/>
      <c r="H283" s="37">
        <v>882</v>
      </c>
      <c r="I283" s="4">
        <f t="shared" si="16"/>
        <v>0</v>
      </c>
      <c r="J283" s="25">
        <f t="shared" si="14"/>
        <v>9</v>
      </c>
    </row>
    <row r="284" spans="1:10" ht="16.95" customHeight="1">
      <c r="A284" s="77">
        <v>21</v>
      </c>
      <c r="B284" s="80" t="s">
        <v>111</v>
      </c>
      <c r="C284" s="77" t="s">
        <v>122</v>
      </c>
      <c r="D284" s="78">
        <v>3</v>
      </c>
      <c r="E284" s="79"/>
      <c r="F284" s="79" t="e">
        <f t="shared" si="15"/>
        <v>#REF!</v>
      </c>
      <c r="G284" s="2"/>
      <c r="H284" s="38">
        <v>1869</v>
      </c>
      <c r="I284" s="4">
        <f t="shared" si="16"/>
        <v>0</v>
      </c>
      <c r="J284" s="25">
        <f t="shared" si="14"/>
        <v>9</v>
      </c>
    </row>
    <row r="285" spans="1:10" ht="34.950000000000003" customHeight="1">
      <c r="A285" s="75">
        <v>22</v>
      </c>
      <c r="B285" s="80" t="s">
        <v>112</v>
      </c>
      <c r="C285" s="77" t="s">
        <v>48</v>
      </c>
      <c r="D285" s="78">
        <v>1</v>
      </c>
      <c r="E285" s="79"/>
      <c r="F285" s="79" t="e">
        <f t="shared" si="15"/>
        <v>#REF!</v>
      </c>
      <c r="G285" s="2"/>
      <c r="H285" s="37">
        <v>82206</v>
      </c>
      <c r="I285" s="4">
        <f t="shared" si="16"/>
        <v>0</v>
      </c>
      <c r="J285" s="25">
        <f t="shared" si="14"/>
        <v>9</v>
      </c>
    </row>
    <row r="286" spans="1:10" ht="16.95" customHeight="1">
      <c r="A286" s="75">
        <v>23</v>
      </c>
      <c r="B286" s="80" t="s">
        <v>113</v>
      </c>
      <c r="C286" s="77" t="s">
        <v>48</v>
      </c>
      <c r="D286" s="78">
        <v>1</v>
      </c>
      <c r="E286" s="79"/>
      <c r="F286" s="79" t="e">
        <f t="shared" si="15"/>
        <v>#REF!</v>
      </c>
      <c r="G286" s="2"/>
      <c r="H286" s="37">
        <v>142723</v>
      </c>
      <c r="I286" s="4">
        <f t="shared" si="16"/>
        <v>0</v>
      </c>
      <c r="J286" s="25">
        <f t="shared" si="14"/>
        <v>9</v>
      </c>
    </row>
    <row r="287" spans="1:10" ht="16.95" customHeight="1">
      <c r="A287" s="75">
        <v>24</v>
      </c>
      <c r="B287" s="80" t="s">
        <v>114</v>
      </c>
      <c r="C287" s="77" t="s">
        <v>48</v>
      </c>
      <c r="D287" s="78">
        <v>1</v>
      </c>
      <c r="E287" s="79"/>
      <c r="F287" s="79" t="e">
        <f t="shared" si="15"/>
        <v>#REF!</v>
      </c>
      <c r="G287" s="2"/>
      <c r="H287" s="37">
        <v>37290</v>
      </c>
      <c r="I287" s="4">
        <f t="shared" si="16"/>
        <v>0</v>
      </c>
      <c r="J287" s="25">
        <f t="shared" si="14"/>
        <v>9</v>
      </c>
    </row>
    <row r="288" spans="1:10" ht="16.95" customHeight="1">
      <c r="A288" s="75">
        <v>25</v>
      </c>
      <c r="B288" s="80" t="s">
        <v>115</v>
      </c>
      <c r="C288" s="77" t="s">
        <v>48</v>
      </c>
      <c r="D288" s="78">
        <v>1</v>
      </c>
      <c r="E288" s="79"/>
      <c r="F288" s="79" t="e">
        <f t="shared" si="15"/>
        <v>#REF!</v>
      </c>
      <c r="G288" s="2"/>
      <c r="H288" s="37">
        <v>99394</v>
      </c>
      <c r="I288" s="4">
        <f t="shared" si="16"/>
        <v>0</v>
      </c>
      <c r="J288" s="25">
        <f t="shared" si="14"/>
        <v>9</v>
      </c>
    </row>
    <row r="289" spans="1:10" ht="34.950000000000003" customHeight="1">
      <c r="A289" s="75">
        <v>26</v>
      </c>
      <c r="B289" s="80" t="s">
        <v>116</v>
      </c>
      <c r="C289" s="77" t="s">
        <v>48</v>
      </c>
      <c r="D289" s="78">
        <v>1</v>
      </c>
      <c r="E289" s="79"/>
      <c r="F289" s="79" t="e">
        <f t="shared" si="15"/>
        <v>#REF!</v>
      </c>
      <c r="G289" s="2"/>
      <c r="H289" s="37">
        <v>21334</v>
      </c>
      <c r="I289" s="4">
        <f t="shared" si="16"/>
        <v>0</v>
      </c>
      <c r="J289" s="25">
        <f t="shared" si="14"/>
        <v>9</v>
      </c>
    </row>
    <row r="290" spans="1:10" ht="16.95" customHeight="1">
      <c r="A290" s="75">
        <v>27</v>
      </c>
      <c r="B290" s="80" t="s">
        <v>117</v>
      </c>
      <c r="C290" s="77" t="s">
        <v>48</v>
      </c>
      <c r="D290" s="78">
        <v>1</v>
      </c>
      <c r="E290" s="79"/>
      <c r="F290" s="79" t="e">
        <f t="shared" si="15"/>
        <v>#REF!</v>
      </c>
      <c r="G290" s="2"/>
      <c r="H290" s="37">
        <v>29620</v>
      </c>
      <c r="I290" s="4">
        <f t="shared" si="16"/>
        <v>0</v>
      </c>
      <c r="J290" s="25">
        <f t="shared" si="14"/>
        <v>9</v>
      </c>
    </row>
    <row r="291" spans="1:10" ht="16.95" customHeight="1">
      <c r="A291" s="75">
        <v>28</v>
      </c>
      <c r="B291" s="80" t="s">
        <v>118</v>
      </c>
      <c r="C291" s="77" t="s">
        <v>48</v>
      </c>
      <c r="D291" s="78">
        <v>1</v>
      </c>
      <c r="E291" s="79"/>
      <c r="F291" s="79" t="e">
        <f t="shared" si="15"/>
        <v>#REF!</v>
      </c>
      <c r="G291" s="2"/>
      <c r="H291" s="37">
        <v>18506</v>
      </c>
      <c r="I291" s="4">
        <f t="shared" si="16"/>
        <v>0</v>
      </c>
      <c r="J291" s="25">
        <f t="shared" si="14"/>
        <v>9</v>
      </c>
    </row>
    <row r="292" spans="1:10" ht="16.95" customHeight="1">
      <c r="A292" s="75">
        <v>29</v>
      </c>
      <c r="B292" s="80" t="s">
        <v>119</v>
      </c>
      <c r="C292" s="77" t="s">
        <v>48</v>
      </c>
      <c r="D292" s="78">
        <v>1</v>
      </c>
      <c r="E292" s="79"/>
      <c r="F292" s="79" t="e">
        <f t="shared" si="15"/>
        <v>#REF!</v>
      </c>
      <c r="G292" s="2"/>
      <c r="H292" s="37">
        <v>34381</v>
      </c>
      <c r="I292" s="4">
        <f t="shared" si="16"/>
        <v>0</v>
      </c>
      <c r="J292" s="25">
        <f t="shared" si="14"/>
        <v>9</v>
      </c>
    </row>
    <row r="293" spans="1:10" ht="16.95" customHeight="1">
      <c r="A293" s="75" t="s">
        <v>79</v>
      </c>
      <c r="B293" s="80" t="s">
        <v>80</v>
      </c>
      <c r="C293" s="77" t="s">
        <v>48</v>
      </c>
      <c r="D293" s="78">
        <v>1</v>
      </c>
      <c r="E293" s="79">
        <f t="shared" ref="E293:E296" si="17">1/120</f>
        <v>8.3333333333333332E-3</v>
      </c>
      <c r="F293" s="79" t="e">
        <f t="shared" si="15"/>
        <v>#REF!</v>
      </c>
      <c r="G293" s="2"/>
      <c r="H293" s="37">
        <v>21395</v>
      </c>
      <c r="I293" s="4">
        <f t="shared" si="16"/>
        <v>178.29166666666666</v>
      </c>
      <c r="J293" s="25">
        <f t="shared" si="14"/>
        <v>9</v>
      </c>
    </row>
    <row r="294" spans="1:10" ht="16.95" customHeight="1">
      <c r="A294" s="75" t="s">
        <v>81</v>
      </c>
      <c r="B294" s="80" t="s">
        <v>82</v>
      </c>
      <c r="C294" s="77" t="s">
        <v>48</v>
      </c>
      <c r="D294" s="78">
        <v>1</v>
      </c>
      <c r="E294" s="79">
        <f t="shared" si="17"/>
        <v>8.3333333333333332E-3</v>
      </c>
      <c r="F294" s="79" t="e">
        <f t="shared" si="15"/>
        <v>#REF!</v>
      </c>
      <c r="G294" s="2"/>
      <c r="H294" s="37">
        <v>21395</v>
      </c>
      <c r="I294" s="4">
        <f t="shared" si="16"/>
        <v>178.29166666666666</v>
      </c>
      <c r="J294" s="25">
        <f t="shared" si="14"/>
        <v>9</v>
      </c>
    </row>
    <row r="295" spans="1:10" ht="16.95" customHeight="1">
      <c r="A295" s="75" t="s">
        <v>83</v>
      </c>
      <c r="B295" s="80" t="s">
        <v>84</v>
      </c>
      <c r="C295" s="77" t="s">
        <v>48</v>
      </c>
      <c r="D295" s="78">
        <v>1</v>
      </c>
      <c r="E295" s="79">
        <f t="shared" si="17"/>
        <v>8.3333333333333332E-3</v>
      </c>
      <c r="F295" s="79" t="e">
        <f t="shared" si="15"/>
        <v>#REF!</v>
      </c>
      <c r="G295" s="2"/>
      <c r="H295" s="37">
        <v>149765</v>
      </c>
      <c r="I295" s="4">
        <f t="shared" si="16"/>
        <v>1248.0416666666667</v>
      </c>
      <c r="J295" s="25">
        <f t="shared" si="14"/>
        <v>9</v>
      </c>
    </row>
    <row r="296" spans="1:10" ht="16.95" customHeight="1">
      <c r="A296" s="75" t="s">
        <v>85</v>
      </c>
      <c r="B296" s="80" t="s">
        <v>86</v>
      </c>
      <c r="C296" s="77" t="s">
        <v>48</v>
      </c>
      <c r="D296" s="78">
        <v>1</v>
      </c>
      <c r="E296" s="79">
        <f t="shared" si="17"/>
        <v>8.3333333333333332E-3</v>
      </c>
      <c r="F296" s="79" t="e">
        <f t="shared" si="15"/>
        <v>#REF!</v>
      </c>
      <c r="G296" s="2"/>
      <c r="H296" s="37">
        <v>6996</v>
      </c>
      <c r="I296" s="4">
        <f t="shared" si="16"/>
        <v>58.3</v>
      </c>
      <c r="J296" s="25">
        <f t="shared" si="14"/>
        <v>9</v>
      </c>
    </row>
    <row r="297" spans="1:10" ht="16.95" customHeight="1">
      <c r="A297" s="75" t="s">
        <v>87</v>
      </c>
      <c r="B297" s="80" t="s">
        <v>88</v>
      </c>
      <c r="C297" s="77" t="s">
        <v>48</v>
      </c>
      <c r="D297" s="78">
        <v>1</v>
      </c>
      <c r="E297" s="79">
        <f>1/120</f>
        <v>8.3333333333333332E-3</v>
      </c>
      <c r="F297" s="79" t="e">
        <f t="shared" si="15"/>
        <v>#REF!</v>
      </c>
      <c r="G297" s="2"/>
      <c r="H297" s="37">
        <v>116952</v>
      </c>
      <c r="I297" s="4">
        <f t="shared" si="16"/>
        <v>974.6</v>
      </c>
      <c r="J297" s="25">
        <f t="shared" si="14"/>
        <v>9</v>
      </c>
    </row>
    <row r="298" spans="1:10" ht="16.95" customHeight="1">
      <c r="A298" s="95" t="s">
        <v>23</v>
      </c>
      <c r="B298" s="95"/>
      <c r="C298" s="50"/>
      <c r="D298" s="50"/>
      <c r="E298" s="50"/>
      <c r="F298" s="50"/>
      <c r="G298" s="50"/>
      <c r="H298" s="3" t="s">
        <v>24</v>
      </c>
      <c r="I298" s="5">
        <f>SUM(I263:I297)</f>
        <v>2637.5250000000001</v>
      </c>
      <c r="J298" s="25">
        <f t="shared" si="14"/>
        <v>9</v>
      </c>
    </row>
    <row r="299" spans="1:10" ht="16.95" customHeight="1">
      <c r="A299" s="96" t="s">
        <v>25</v>
      </c>
      <c r="B299" s="96"/>
      <c r="C299" s="50"/>
      <c r="D299" s="50"/>
      <c r="E299" s="50"/>
      <c r="F299" s="50"/>
      <c r="G299" s="50"/>
      <c r="J299" s="25">
        <f t="shared" si="14"/>
        <v>9</v>
      </c>
    </row>
    <row r="300" spans="1:10" ht="16.95" customHeight="1">
      <c r="A300" s="96" t="s">
        <v>26</v>
      </c>
      <c r="B300" s="96"/>
      <c r="C300" s="50"/>
      <c r="D300" s="50"/>
      <c r="E300" s="50"/>
      <c r="F300" s="50"/>
      <c r="G300" s="50"/>
      <c r="J300" s="25">
        <f t="shared" si="14"/>
        <v>9</v>
      </c>
    </row>
    <row r="301" spans="1:10" ht="16.95" customHeight="1">
      <c r="A301" s="95" t="s">
        <v>27</v>
      </c>
      <c r="B301" s="95"/>
      <c r="C301" s="95"/>
      <c r="D301" s="95"/>
      <c r="E301" s="95"/>
      <c r="F301" s="95"/>
      <c r="G301" s="95"/>
      <c r="J301" s="25">
        <f t="shared" si="14"/>
        <v>9</v>
      </c>
    </row>
    <row r="302" spans="1:10" ht="16.95" customHeight="1">
      <c r="A302" s="94" t="s">
        <v>28</v>
      </c>
      <c r="B302" s="94"/>
      <c r="C302" s="51" t="s">
        <v>29</v>
      </c>
      <c r="D302" s="51" t="s">
        <v>30</v>
      </c>
      <c r="E302" s="51" t="s">
        <v>18</v>
      </c>
      <c r="F302" s="51" t="s">
        <v>31</v>
      </c>
      <c r="G302" s="51" t="s">
        <v>20</v>
      </c>
      <c r="J302" s="25">
        <f t="shared" si="14"/>
        <v>9</v>
      </c>
    </row>
    <row r="303" spans="1:10" ht="16.95" customHeight="1">
      <c r="A303" s="96"/>
      <c r="B303" s="96"/>
      <c r="C303" s="50"/>
      <c r="D303" s="50"/>
      <c r="E303" s="50"/>
      <c r="F303" s="50"/>
      <c r="G303" s="51"/>
      <c r="J303" s="25">
        <f t="shared" si="14"/>
        <v>9</v>
      </c>
    </row>
    <row r="304" spans="1:10" ht="16.95" customHeight="1">
      <c r="A304" s="97"/>
      <c r="B304" s="97"/>
      <c r="C304" s="50"/>
      <c r="D304" s="50"/>
      <c r="E304" s="50"/>
      <c r="F304" s="51"/>
      <c r="G304" s="51"/>
      <c r="J304" s="25">
        <f t="shared" si="14"/>
        <v>9</v>
      </c>
    </row>
    <row r="305" spans="1:10" ht="16.95" customHeight="1">
      <c r="A305" s="95" t="s">
        <v>32</v>
      </c>
      <c r="B305" s="95"/>
      <c r="C305" s="95"/>
      <c r="D305" s="95"/>
      <c r="E305" s="95"/>
      <c r="F305" s="95"/>
      <c r="G305" s="95"/>
      <c r="J305" s="25">
        <f t="shared" si="14"/>
        <v>10</v>
      </c>
    </row>
    <row r="306" spans="1:10" ht="16.95" customHeight="1">
      <c r="A306" s="51" t="s">
        <v>33</v>
      </c>
      <c r="B306" s="51" t="s">
        <v>34</v>
      </c>
      <c r="C306" s="94" t="s">
        <v>35</v>
      </c>
      <c r="D306" s="94"/>
      <c r="E306" s="51" t="s">
        <v>36</v>
      </c>
      <c r="F306" s="51" t="s">
        <v>37</v>
      </c>
      <c r="G306" s="51" t="s">
        <v>38</v>
      </c>
      <c r="J306" s="25">
        <f t="shared" si="14"/>
        <v>10</v>
      </c>
    </row>
    <row r="307" spans="1:10" ht="16.95" customHeight="1">
      <c r="A307" s="51" t="s">
        <v>39</v>
      </c>
      <c r="B307" s="6"/>
      <c r="C307" s="94" t="e">
        <f>B307+C244</f>
        <v>#REF!</v>
      </c>
      <c r="D307" s="94"/>
      <c r="E307" s="51"/>
      <c r="F307" s="24"/>
      <c r="G307" s="24"/>
      <c r="J307" s="25">
        <f t="shared" si="14"/>
        <v>10</v>
      </c>
    </row>
    <row r="308" spans="1:10" ht="16.95" customHeight="1">
      <c r="A308" s="51" t="s">
        <v>40</v>
      </c>
      <c r="B308" s="6"/>
      <c r="C308" s="94" t="e">
        <f>B308+C245</f>
        <v>#REF!</v>
      </c>
      <c r="D308" s="94"/>
      <c r="E308" s="51"/>
      <c r="F308" s="24"/>
      <c r="G308" s="24"/>
      <c r="J308" s="25">
        <f t="shared" si="14"/>
        <v>10</v>
      </c>
    </row>
    <row r="309" spans="1:10" ht="36.6" customHeight="1">
      <c r="A309" s="95" t="s">
        <v>41</v>
      </c>
      <c r="B309" s="95"/>
      <c r="C309" s="95"/>
      <c r="D309" s="95"/>
      <c r="E309" s="95"/>
      <c r="F309" s="95"/>
      <c r="G309" s="95"/>
      <c r="J309" s="25">
        <f t="shared" si="14"/>
        <v>10</v>
      </c>
    </row>
    <row r="310" spans="1:10" ht="90" customHeight="1">
      <c r="A310" s="92" t="s">
        <v>42</v>
      </c>
      <c r="B310" s="92"/>
      <c r="C310" s="92"/>
      <c r="D310" s="92"/>
      <c r="E310" s="92"/>
      <c r="F310" s="92"/>
      <c r="G310" s="92"/>
      <c r="J310" s="25">
        <f t="shared" si="14"/>
        <v>10</v>
      </c>
    </row>
    <row r="311" spans="1:10" ht="16.95" customHeight="1">
      <c r="A311" s="95" t="s">
        <v>43</v>
      </c>
      <c r="B311" s="95"/>
      <c r="C311" s="95"/>
      <c r="D311" s="95"/>
      <c r="E311" s="95"/>
      <c r="F311" s="95"/>
      <c r="G311" s="95"/>
      <c r="J311" s="25">
        <f t="shared" si="14"/>
        <v>10</v>
      </c>
    </row>
    <row r="312" spans="1:10" ht="16.95" customHeight="1">
      <c r="A312" s="95" t="s">
        <v>44</v>
      </c>
      <c r="B312" s="95"/>
      <c r="C312" s="95"/>
      <c r="D312" s="95"/>
      <c r="E312" s="95"/>
      <c r="F312" s="95"/>
      <c r="G312" s="95"/>
      <c r="J312" s="25">
        <f t="shared" si="14"/>
        <v>10</v>
      </c>
    </row>
    <row r="313" spans="1:10" ht="16.95" customHeight="1">
      <c r="A313" s="91" t="s">
        <v>64</v>
      </c>
      <c r="B313" s="91"/>
      <c r="C313" s="91"/>
      <c r="D313" s="91"/>
      <c r="E313" s="91"/>
      <c r="F313" s="91"/>
      <c r="G313" s="91"/>
      <c r="J313" s="25">
        <f t="shared" si="14"/>
        <v>10</v>
      </c>
    </row>
    <row r="314" spans="1:10" ht="120.6" customHeight="1">
      <c r="A314" s="92" t="s">
        <v>45</v>
      </c>
      <c r="B314" s="92"/>
      <c r="C314" s="92"/>
      <c r="D314" s="92"/>
      <c r="E314" s="92"/>
      <c r="F314" s="92"/>
      <c r="G314" s="92"/>
      <c r="J314" s="25">
        <f t="shared" si="14"/>
        <v>10</v>
      </c>
    </row>
    <row r="315" spans="1:10" ht="140.4" customHeight="1">
      <c r="A315" s="93" t="s">
        <v>46</v>
      </c>
      <c r="B315" s="93"/>
      <c r="C315" s="93"/>
      <c r="D315" s="93"/>
      <c r="E315" s="93"/>
      <c r="F315" s="93"/>
      <c r="G315" s="93"/>
      <c r="J315" s="25">
        <f t="shared" si="14"/>
        <v>10</v>
      </c>
    </row>
    <row r="316" spans="1:10" ht="37.200000000000003" customHeight="1">
      <c r="A316" s="103" t="s">
        <v>0</v>
      </c>
      <c r="B316" s="103"/>
      <c r="C316" s="103"/>
      <c r="D316" s="103"/>
      <c r="E316" s="103"/>
      <c r="F316" s="103"/>
      <c r="G316" s="103"/>
      <c r="J316" s="25">
        <f t="shared" si="14"/>
        <v>11</v>
      </c>
    </row>
    <row r="317" spans="1:10" ht="16.95" customHeight="1">
      <c r="A317" s="1" t="s">
        <v>1</v>
      </c>
      <c r="B317" s="104">
        <f>B254+1</f>
        <v>7</v>
      </c>
      <c r="C317" s="104"/>
      <c r="D317" s="104"/>
      <c r="E317" s="104"/>
      <c r="F317" s="104"/>
      <c r="G317" s="104"/>
      <c r="J317" s="25">
        <f t="shared" si="14"/>
        <v>11</v>
      </c>
    </row>
    <row r="318" spans="1:10" ht="16.95" customHeight="1">
      <c r="A318" s="1" t="s">
        <v>2</v>
      </c>
      <c r="B318" s="105" t="s">
        <v>63</v>
      </c>
      <c r="C318" s="105"/>
      <c r="D318" s="105"/>
      <c r="E318" s="106">
        <f>E255+1</f>
        <v>46209</v>
      </c>
      <c r="F318" s="106"/>
      <c r="G318" s="106"/>
      <c r="J318" s="25">
        <f t="shared" si="14"/>
        <v>11</v>
      </c>
    </row>
    <row r="319" spans="1:10" ht="16.95" customHeight="1">
      <c r="A319" s="53" t="s">
        <v>3</v>
      </c>
      <c r="B319" s="2" t="s">
        <v>67</v>
      </c>
      <c r="C319" s="98" t="s">
        <v>4</v>
      </c>
      <c r="D319" s="98"/>
      <c r="E319" s="98" t="s">
        <v>47</v>
      </c>
      <c r="F319" s="98"/>
      <c r="G319" s="98"/>
      <c r="J319" s="25">
        <f t="shared" si="14"/>
        <v>11</v>
      </c>
    </row>
    <row r="320" spans="1:10" ht="16.95" customHeight="1">
      <c r="A320" s="53" t="s">
        <v>5</v>
      </c>
      <c r="B320" s="54">
        <v>120</v>
      </c>
      <c r="C320" s="98" t="s">
        <v>6</v>
      </c>
      <c r="D320" s="98"/>
      <c r="E320" s="98" t="s">
        <v>123</v>
      </c>
      <c r="F320" s="98"/>
      <c r="G320" s="98"/>
      <c r="J320" s="25">
        <f t="shared" ref="J320:J367" si="18">J257+2</f>
        <v>11</v>
      </c>
    </row>
    <row r="321" spans="1:10" ht="16.95" customHeight="1">
      <c r="A321" s="53" t="s">
        <v>7</v>
      </c>
      <c r="B321" s="54">
        <f>B317</f>
        <v>7</v>
      </c>
      <c r="C321" s="100" t="s">
        <v>8</v>
      </c>
      <c r="D321" s="100"/>
      <c r="E321" s="101">
        <f>B320-B321</f>
        <v>113</v>
      </c>
      <c r="F321" s="101"/>
      <c r="G321" s="101"/>
      <c r="J321" s="25">
        <f t="shared" si="18"/>
        <v>11</v>
      </c>
    </row>
    <row r="322" spans="1:10" ht="16.95" customHeight="1">
      <c r="A322" s="53" t="s">
        <v>9</v>
      </c>
      <c r="B322" s="55">
        <v>46204</v>
      </c>
      <c r="C322" s="98" t="s">
        <v>10</v>
      </c>
      <c r="D322" s="98"/>
      <c r="E322" s="102">
        <f>B322+B320-1</f>
        <v>46323</v>
      </c>
      <c r="F322" s="102"/>
      <c r="G322" s="102"/>
      <c r="J322" s="25">
        <f t="shared" si="18"/>
        <v>11</v>
      </c>
    </row>
    <row r="323" spans="1:10" ht="16.95" customHeight="1">
      <c r="A323" s="53" t="s">
        <v>11</v>
      </c>
      <c r="B323" s="56" t="e">
        <f>HLOOKUP(B317,進度表!$Q$2:$Z$3,2,1)+B260</f>
        <v>#REF!</v>
      </c>
      <c r="C323" s="98" t="s">
        <v>12</v>
      </c>
      <c r="D323" s="98"/>
      <c r="E323" s="99" t="e">
        <f>I361/I323+E260</f>
        <v>#REF!</v>
      </c>
      <c r="F323" s="99"/>
      <c r="G323" s="99"/>
      <c r="H323" s="3" t="s">
        <v>62</v>
      </c>
      <c r="I323" s="1">
        <v>2456000</v>
      </c>
      <c r="J323" s="25">
        <f t="shared" si="18"/>
        <v>11</v>
      </c>
    </row>
    <row r="324" spans="1:10" ht="16.95" customHeight="1">
      <c r="A324" s="98" t="s">
        <v>13</v>
      </c>
      <c r="B324" s="98"/>
      <c r="C324" s="98"/>
      <c r="D324" s="98"/>
      <c r="E324" s="98"/>
      <c r="F324" s="98"/>
      <c r="G324" s="98"/>
      <c r="J324" s="25">
        <f t="shared" si="18"/>
        <v>11</v>
      </c>
    </row>
    <row r="325" spans="1:10" ht="16.95" customHeight="1">
      <c r="A325" s="52" t="s">
        <v>14</v>
      </c>
      <c r="B325" s="52" t="s">
        <v>15</v>
      </c>
      <c r="C325" s="52" t="s">
        <v>16</v>
      </c>
      <c r="D325" s="52" t="s">
        <v>17</v>
      </c>
      <c r="E325" s="52" t="s">
        <v>18</v>
      </c>
      <c r="F325" s="52" t="s">
        <v>19</v>
      </c>
      <c r="G325" s="52" t="s">
        <v>20</v>
      </c>
      <c r="H325" s="3" t="s">
        <v>21</v>
      </c>
      <c r="I325" s="3" t="s">
        <v>22</v>
      </c>
      <c r="J325" s="25">
        <f t="shared" si="18"/>
        <v>11</v>
      </c>
    </row>
    <row r="326" spans="1:10" ht="16.95" customHeight="1">
      <c r="A326" s="75" t="s">
        <v>65</v>
      </c>
      <c r="B326" s="76" t="s">
        <v>69</v>
      </c>
      <c r="C326" s="77"/>
      <c r="D326" s="78"/>
      <c r="E326" s="79"/>
      <c r="F326" s="79"/>
      <c r="G326" s="2"/>
      <c r="H326" s="37"/>
      <c r="I326" s="4"/>
      <c r="J326" s="25">
        <f t="shared" si="18"/>
        <v>11</v>
      </c>
    </row>
    <row r="327" spans="1:10" ht="34.950000000000003" customHeight="1">
      <c r="A327" s="75">
        <v>1</v>
      </c>
      <c r="B327" s="80" t="s">
        <v>91</v>
      </c>
      <c r="C327" s="77" t="s">
        <v>48</v>
      </c>
      <c r="D327" s="78">
        <v>1</v>
      </c>
      <c r="E327" s="79"/>
      <c r="F327" s="79" t="e">
        <f t="shared" ref="F327:F360" si="19">E327+F264</f>
        <v>#REF!</v>
      </c>
      <c r="G327" s="2"/>
      <c r="H327" s="37">
        <v>10508</v>
      </c>
      <c r="I327" s="4">
        <f>H327*E327</f>
        <v>0</v>
      </c>
      <c r="J327" s="25">
        <f t="shared" si="18"/>
        <v>11</v>
      </c>
    </row>
    <row r="328" spans="1:10" ht="34.799999999999997" customHeight="1">
      <c r="A328" s="75">
        <v>2</v>
      </c>
      <c r="B328" s="80" t="s">
        <v>92</v>
      </c>
      <c r="C328" s="77" t="s">
        <v>48</v>
      </c>
      <c r="D328" s="78">
        <v>1</v>
      </c>
      <c r="E328" s="79"/>
      <c r="F328" s="79" t="e">
        <f t="shared" si="19"/>
        <v>#REF!</v>
      </c>
      <c r="G328" s="2"/>
      <c r="H328" s="37">
        <v>13223</v>
      </c>
      <c r="I328" s="4">
        <f>H328*E328</f>
        <v>0</v>
      </c>
      <c r="J328" s="25">
        <f t="shared" si="18"/>
        <v>11</v>
      </c>
    </row>
    <row r="329" spans="1:10" ht="53.4" customHeight="1">
      <c r="A329" s="75">
        <v>3</v>
      </c>
      <c r="B329" s="80" t="s">
        <v>93</v>
      </c>
      <c r="C329" s="77" t="s">
        <v>48</v>
      </c>
      <c r="D329" s="78">
        <v>1</v>
      </c>
      <c r="E329" s="79"/>
      <c r="F329" s="79" t="e">
        <f t="shared" si="19"/>
        <v>#REF!</v>
      </c>
      <c r="G329" s="2"/>
      <c r="H329" s="37">
        <v>310497</v>
      </c>
      <c r="I329" s="4">
        <f t="shared" ref="I329:I360" si="20">H329*E329</f>
        <v>0</v>
      </c>
      <c r="J329" s="25">
        <f t="shared" si="18"/>
        <v>11</v>
      </c>
    </row>
    <row r="330" spans="1:10" ht="16.95" customHeight="1">
      <c r="A330" s="75">
        <v>4</v>
      </c>
      <c r="B330" s="80" t="s">
        <v>94</v>
      </c>
      <c r="C330" s="77" t="s">
        <v>48</v>
      </c>
      <c r="D330" s="78">
        <v>1</v>
      </c>
      <c r="E330" s="79"/>
      <c r="F330" s="79" t="e">
        <f t="shared" si="19"/>
        <v>#REF!</v>
      </c>
      <c r="G330" s="2"/>
      <c r="H330" s="37">
        <v>8375</v>
      </c>
      <c r="I330" s="4">
        <f t="shared" si="20"/>
        <v>0</v>
      </c>
      <c r="J330" s="25">
        <f t="shared" si="18"/>
        <v>11</v>
      </c>
    </row>
    <row r="331" spans="1:10" ht="16.95" customHeight="1">
      <c r="A331" s="75">
        <v>5</v>
      </c>
      <c r="B331" s="80" t="s">
        <v>95</v>
      </c>
      <c r="C331" s="77" t="s">
        <v>48</v>
      </c>
      <c r="D331" s="78">
        <v>1</v>
      </c>
      <c r="E331" s="79"/>
      <c r="F331" s="79" t="e">
        <f t="shared" si="19"/>
        <v>#REF!</v>
      </c>
      <c r="G331" s="2"/>
      <c r="H331" s="37">
        <v>51618</v>
      </c>
      <c r="I331" s="4">
        <f t="shared" si="20"/>
        <v>0</v>
      </c>
      <c r="J331" s="25">
        <f t="shared" si="18"/>
        <v>11</v>
      </c>
    </row>
    <row r="332" spans="1:10" ht="16.95" customHeight="1">
      <c r="A332" s="75">
        <v>6</v>
      </c>
      <c r="B332" s="80" t="s">
        <v>96</v>
      </c>
      <c r="C332" s="77" t="s">
        <v>50</v>
      </c>
      <c r="D332" s="78">
        <v>11.55</v>
      </c>
      <c r="E332" s="79"/>
      <c r="F332" s="79" t="e">
        <f t="shared" si="19"/>
        <v>#REF!</v>
      </c>
      <c r="G332" s="2"/>
      <c r="H332" s="37">
        <v>1188</v>
      </c>
      <c r="I332" s="4">
        <f t="shared" si="20"/>
        <v>0</v>
      </c>
      <c r="J332" s="25">
        <f t="shared" si="18"/>
        <v>11</v>
      </c>
    </row>
    <row r="333" spans="1:10" ht="34.950000000000003" customHeight="1">
      <c r="A333" s="75">
        <v>7</v>
      </c>
      <c r="B333" s="80" t="s">
        <v>97</v>
      </c>
      <c r="C333" s="77" t="s">
        <v>48</v>
      </c>
      <c r="D333" s="78">
        <v>1</v>
      </c>
      <c r="E333" s="79"/>
      <c r="F333" s="79" t="e">
        <f t="shared" si="19"/>
        <v>#REF!</v>
      </c>
      <c r="G333" s="2"/>
      <c r="H333" s="37">
        <v>21157</v>
      </c>
      <c r="I333" s="4">
        <f t="shared" si="20"/>
        <v>0</v>
      </c>
      <c r="J333" s="25">
        <f t="shared" si="18"/>
        <v>11</v>
      </c>
    </row>
    <row r="334" spans="1:10" ht="16.95" customHeight="1">
      <c r="A334" s="75">
        <v>8</v>
      </c>
      <c r="B334" s="80" t="s">
        <v>98</v>
      </c>
      <c r="C334" s="77" t="s">
        <v>50</v>
      </c>
      <c r="D334" s="78">
        <v>387</v>
      </c>
      <c r="E334" s="79"/>
      <c r="F334" s="79" t="e">
        <f t="shared" si="19"/>
        <v>#REF!</v>
      </c>
      <c r="G334" s="2"/>
      <c r="H334" s="37">
        <v>705</v>
      </c>
      <c r="I334" s="4">
        <f t="shared" si="20"/>
        <v>0</v>
      </c>
      <c r="J334" s="25">
        <f t="shared" si="18"/>
        <v>11</v>
      </c>
    </row>
    <row r="335" spans="1:10" ht="16.95" customHeight="1">
      <c r="A335" s="75">
        <v>9</v>
      </c>
      <c r="B335" s="80" t="s">
        <v>99</v>
      </c>
      <c r="C335" s="77" t="s">
        <v>50</v>
      </c>
      <c r="D335" s="78">
        <v>170</v>
      </c>
      <c r="E335" s="79"/>
      <c r="F335" s="79" t="e">
        <f t="shared" si="19"/>
        <v>#REF!</v>
      </c>
      <c r="G335" s="2"/>
      <c r="H335" s="37">
        <v>617</v>
      </c>
      <c r="I335" s="4">
        <f t="shared" si="20"/>
        <v>0</v>
      </c>
      <c r="J335" s="25">
        <f t="shared" si="18"/>
        <v>11</v>
      </c>
    </row>
    <row r="336" spans="1:10" ht="16.95" customHeight="1">
      <c r="A336" s="75">
        <v>10</v>
      </c>
      <c r="B336" s="80" t="s">
        <v>100</v>
      </c>
      <c r="C336" s="77" t="s">
        <v>66</v>
      </c>
      <c r="D336" s="78">
        <v>15</v>
      </c>
      <c r="E336" s="79"/>
      <c r="F336" s="79" t="e">
        <f t="shared" si="19"/>
        <v>#REF!</v>
      </c>
      <c r="G336" s="2"/>
      <c r="H336" s="37">
        <v>617</v>
      </c>
      <c r="I336" s="4">
        <f t="shared" si="20"/>
        <v>0</v>
      </c>
      <c r="J336" s="25">
        <f t="shared" si="18"/>
        <v>11</v>
      </c>
    </row>
    <row r="337" spans="1:10" ht="16.95" customHeight="1">
      <c r="A337" s="75">
        <v>11</v>
      </c>
      <c r="B337" s="80" t="s">
        <v>101</v>
      </c>
      <c r="C337" s="77" t="s">
        <v>50</v>
      </c>
      <c r="D337" s="78">
        <v>75</v>
      </c>
      <c r="E337" s="79"/>
      <c r="F337" s="79" t="e">
        <f t="shared" si="19"/>
        <v>#REF!</v>
      </c>
      <c r="G337" s="2"/>
      <c r="H337" s="37">
        <v>1146</v>
      </c>
      <c r="I337" s="4">
        <f t="shared" si="20"/>
        <v>0</v>
      </c>
      <c r="J337" s="25">
        <f t="shared" si="18"/>
        <v>11</v>
      </c>
    </row>
    <row r="338" spans="1:10" ht="16.95" customHeight="1">
      <c r="A338" s="75">
        <v>12</v>
      </c>
      <c r="B338" s="80" t="s">
        <v>102</v>
      </c>
      <c r="C338" s="77" t="s">
        <v>50</v>
      </c>
      <c r="D338" s="78">
        <v>5</v>
      </c>
      <c r="E338" s="79"/>
      <c r="F338" s="79" t="e">
        <f t="shared" si="19"/>
        <v>#REF!</v>
      </c>
      <c r="G338" s="2"/>
      <c r="H338" s="37">
        <v>1455</v>
      </c>
      <c r="I338" s="4">
        <f t="shared" si="20"/>
        <v>0</v>
      </c>
      <c r="J338" s="25">
        <f t="shared" si="18"/>
        <v>11</v>
      </c>
    </row>
    <row r="339" spans="1:10" ht="16.95" customHeight="1">
      <c r="A339" s="75">
        <v>13</v>
      </c>
      <c r="B339" s="80" t="s">
        <v>103</v>
      </c>
      <c r="C339" s="77" t="s">
        <v>50</v>
      </c>
      <c r="D339" s="78">
        <v>217</v>
      </c>
      <c r="E339" s="79"/>
      <c r="F339" s="79" t="e">
        <f t="shared" si="19"/>
        <v>#REF!</v>
      </c>
      <c r="G339" s="2"/>
      <c r="H339" s="37">
        <v>1410</v>
      </c>
      <c r="I339" s="4">
        <f t="shared" si="20"/>
        <v>0</v>
      </c>
      <c r="J339" s="25">
        <f t="shared" si="18"/>
        <v>11</v>
      </c>
    </row>
    <row r="340" spans="1:10" ht="16.95" customHeight="1">
      <c r="A340" s="75">
        <v>14</v>
      </c>
      <c r="B340" s="80" t="s">
        <v>104</v>
      </c>
      <c r="C340" s="77" t="s">
        <v>49</v>
      </c>
      <c r="D340" s="78">
        <v>84</v>
      </c>
      <c r="E340" s="79"/>
      <c r="F340" s="79" t="e">
        <f t="shared" si="19"/>
        <v>#REF!</v>
      </c>
      <c r="G340" s="2"/>
      <c r="H340" s="37">
        <v>529</v>
      </c>
      <c r="I340" s="4">
        <f t="shared" si="20"/>
        <v>0</v>
      </c>
      <c r="J340" s="25">
        <f t="shared" si="18"/>
        <v>11</v>
      </c>
    </row>
    <row r="341" spans="1:10" ht="16.95" customHeight="1">
      <c r="A341" s="75">
        <v>15</v>
      </c>
      <c r="B341" s="80" t="s">
        <v>105</v>
      </c>
      <c r="C341" s="77" t="s">
        <v>50</v>
      </c>
      <c r="D341" s="78">
        <v>1</v>
      </c>
      <c r="E341" s="79"/>
      <c r="F341" s="79" t="e">
        <f t="shared" si="19"/>
        <v>#REF!</v>
      </c>
      <c r="G341" s="2"/>
      <c r="H341" s="37">
        <v>1146</v>
      </c>
      <c r="I341" s="4">
        <f t="shared" si="20"/>
        <v>0</v>
      </c>
      <c r="J341" s="25">
        <f t="shared" si="18"/>
        <v>11</v>
      </c>
    </row>
    <row r="342" spans="1:10" ht="34.799999999999997" customHeight="1">
      <c r="A342" s="75">
        <v>16</v>
      </c>
      <c r="B342" s="80" t="s">
        <v>106</v>
      </c>
      <c r="C342" s="77" t="s">
        <v>50</v>
      </c>
      <c r="D342" s="78">
        <v>314</v>
      </c>
      <c r="E342" s="79"/>
      <c r="F342" s="79" t="e">
        <f t="shared" si="19"/>
        <v>#REF!</v>
      </c>
      <c r="G342" s="2"/>
      <c r="H342" s="37">
        <v>185</v>
      </c>
      <c r="I342" s="4">
        <f t="shared" si="20"/>
        <v>0</v>
      </c>
      <c r="J342" s="25">
        <f t="shared" si="18"/>
        <v>11</v>
      </c>
    </row>
    <row r="343" spans="1:10" ht="16.95" customHeight="1">
      <c r="A343" s="75">
        <v>17</v>
      </c>
      <c r="B343" s="80" t="s">
        <v>107</v>
      </c>
      <c r="C343" s="77" t="s">
        <v>48</v>
      </c>
      <c r="D343" s="78">
        <v>1</v>
      </c>
      <c r="E343" s="79"/>
      <c r="F343" s="79" t="e">
        <f t="shared" si="19"/>
        <v>#REF!</v>
      </c>
      <c r="G343" s="2"/>
      <c r="H343" s="37">
        <v>89918</v>
      </c>
      <c r="I343" s="4">
        <f t="shared" si="20"/>
        <v>0</v>
      </c>
      <c r="J343" s="25">
        <f t="shared" si="18"/>
        <v>11</v>
      </c>
    </row>
    <row r="344" spans="1:10" ht="16.95" customHeight="1">
      <c r="A344" s="75">
        <v>18</v>
      </c>
      <c r="B344" s="80" t="s">
        <v>108</v>
      </c>
      <c r="C344" s="77" t="s">
        <v>120</v>
      </c>
      <c r="D344" s="78">
        <v>15</v>
      </c>
      <c r="E344" s="79"/>
      <c r="F344" s="79" t="e">
        <f t="shared" si="19"/>
        <v>#REF!</v>
      </c>
      <c r="G344" s="2"/>
      <c r="H344" s="37">
        <v>661</v>
      </c>
      <c r="I344" s="4">
        <f t="shared" si="20"/>
        <v>0</v>
      </c>
      <c r="J344" s="25">
        <f t="shared" si="18"/>
        <v>11</v>
      </c>
    </row>
    <row r="345" spans="1:10" ht="16.95" customHeight="1">
      <c r="A345" s="75">
        <v>19</v>
      </c>
      <c r="B345" s="80" t="s">
        <v>109</v>
      </c>
      <c r="C345" s="77" t="s">
        <v>50</v>
      </c>
      <c r="D345" s="78">
        <v>82</v>
      </c>
      <c r="E345" s="79"/>
      <c r="F345" s="79" t="e">
        <f t="shared" si="19"/>
        <v>#REF!</v>
      </c>
      <c r="G345" s="2"/>
      <c r="H345" s="37">
        <v>2909</v>
      </c>
      <c r="I345" s="4">
        <f t="shared" si="20"/>
        <v>0</v>
      </c>
      <c r="J345" s="25">
        <f t="shared" si="18"/>
        <v>11</v>
      </c>
    </row>
    <row r="346" spans="1:10" ht="16.95" customHeight="1">
      <c r="A346" s="75">
        <v>20</v>
      </c>
      <c r="B346" s="80" t="s">
        <v>110</v>
      </c>
      <c r="C346" s="77" t="s">
        <v>121</v>
      </c>
      <c r="D346" s="78">
        <v>12</v>
      </c>
      <c r="E346" s="79"/>
      <c r="F346" s="79" t="e">
        <f t="shared" si="19"/>
        <v>#REF!</v>
      </c>
      <c r="G346" s="2"/>
      <c r="H346" s="37">
        <v>882</v>
      </c>
      <c r="I346" s="4">
        <f t="shared" si="20"/>
        <v>0</v>
      </c>
      <c r="J346" s="25">
        <f t="shared" si="18"/>
        <v>11</v>
      </c>
    </row>
    <row r="347" spans="1:10" ht="16.95" customHeight="1">
      <c r="A347" s="77">
        <v>21</v>
      </c>
      <c r="B347" s="80" t="s">
        <v>111</v>
      </c>
      <c r="C347" s="77" t="s">
        <v>122</v>
      </c>
      <c r="D347" s="78">
        <v>3</v>
      </c>
      <c r="E347" s="79"/>
      <c r="F347" s="79" t="e">
        <f t="shared" si="19"/>
        <v>#REF!</v>
      </c>
      <c r="G347" s="2"/>
      <c r="H347" s="38">
        <v>1869</v>
      </c>
      <c r="I347" s="4">
        <f t="shared" si="20"/>
        <v>0</v>
      </c>
      <c r="J347" s="25">
        <f t="shared" si="18"/>
        <v>11</v>
      </c>
    </row>
    <row r="348" spans="1:10" ht="34.950000000000003" customHeight="1">
      <c r="A348" s="75">
        <v>22</v>
      </c>
      <c r="B348" s="80" t="s">
        <v>112</v>
      </c>
      <c r="C348" s="77" t="s">
        <v>48</v>
      </c>
      <c r="D348" s="78">
        <v>1</v>
      </c>
      <c r="E348" s="79"/>
      <c r="F348" s="79" t="e">
        <f t="shared" si="19"/>
        <v>#REF!</v>
      </c>
      <c r="G348" s="2"/>
      <c r="H348" s="37">
        <v>82206</v>
      </c>
      <c r="I348" s="4">
        <f t="shared" si="20"/>
        <v>0</v>
      </c>
      <c r="J348" s="25">
        <f t="shared" si="18"/>
        <v>11</v>
      </c>
    </row>
    <row r="349" spans="1:10" ht="16.95" customHeight="1">
      <c r="A349" s="75">
        <v>23</v>
      </c>
      <c r="B349" s="80" t="s">
        <v>113</v>
      </c>
      <c r="C349" s="77" t="s">
        <v>48</v>
      </c>
      <c r="D349" s="78">
        <v>1</v>
      </c>
      <c r="E349" s="79"/>
      <c r="F349" s="79" t="e">
        <f t="shared" si="19"/>
        <v>#REF!</v>
      </c>
      <c r="G349" s="2"/>
      <c r="H349" s="37">
        <v>142723</v>
      </c>
      <c r="I349" s="4">
        <f t="shared" si="20"/>
        <v>0</v>
      </c>
      <c r="J349" s="25">
        <f t="shared" si="18"/>
        <v>11</v>
      </c>
    </row>
    <row r="350" spans="1:10" ht="16.95" customHeight="1">
      <c r="A350" s="75">
        <v>24</v>
      </c>
      <c r="B350" s="80" t="s">
        <v>114</v>
      </c>
      <c r="C350" s="77" t="s">
        <v>48</v>
      </c>
      <c r="D350" s="78">
        <v>1</v>
      </c>
      <c r="E350" s="79"/>
      <c r="F350" s="79" t="e">
        <f t="shared" si="19"/>
        <v>#REF!</v>
      </c>
      <c r="G350" s="2"/>
      <c r="H350" s="37">
        <v>37290</v>
      </c>
      <c r="I350" s="4">
        <f t="shared" si="20"/>
        <v>0</v>
      </c>
      <c r="J350" s="25">
        <f t="shared" si="18"/>
        <v>11</v>
      </c>
    </row>
    <row r="351" spans="1:10" ht="16.95" customHeight="1">
      <c r="A351" s="75">
        <v>25</v>
      </c>
      <c r="B351" s="80" t="s">
        <v>115</v>
      </c>
      <c r="C351" s="77" t="s">
        <v>48</v>
      </c>
      <c r="D351" s="78">
        <v>1</v>
      </c>
      <c r="E351" s="79"/>
      <c r="F351" s="79" t="e">
        <f t="shared" si="19"/>
        <v>#REF!</v>
      </c>
      <c r="G351" s="2"/>
      <c r="H351" s="37">
        <v>99394</v>
      </c>
      <c r="I351" s="4">
        <f t="shared" si="20"/>
        <v>0</v>
      </c>
      <c r="J351" s="25">
        <f t="shared" si="18"/>
        <v>11</v>
      </c>
    </row>
    <row r="352" spans="1:10" ht="34.950000000000003" customHeight="1">
      <c r="A352" s="75">
        <v>26</v>
      </c>
      <c r="B352" s="80" t="s">
        <v>116</v>
      </c>
      <c r="C352" s="77" t="s">
        <v>48</v>
      </c>
      <c r="D352" s="78">
        <v>1</v>
      </c>
      <c r="E352" s="79"/>
      <c r="F352" s="79" t="e">
        <f t="shared" si="19"/>
        <v>#REF!</v>
      </c>
      <c r="G352" s="2"/>
      <c r="H352" s="37">
        <v>21334</v>
      </c>
      <c r="I352" s="4">
        <f t="shared" si="20"/>
        <v>0</v>
      </c>
      <c r="J352" s="25">
        <f t="shared" si="18"/>
        <v>11</v>
      </c>
    </row>
    <row r="353" spans="1:10" ht="16.95" customHeight="1">
      <c r="A353" s="75">
        <v>27</v>
      </c>
      <c r="B353" s="80" t="s">
        <v>117</v>
      </c>
      <c r="C353" s="77" t="s">
        <v>48</v>
      </c>
      <c r="D353" s="78">
        <v>1</v>
      </c>
      <c r="E353" s="79"/>
      <c r="F353" s="79" t="e">
        <f t="shared" si="19"/>
        <v>#REF!</v>
      </c>
      <c r="G353" s="2"/>
      <c r="H353" s="37">
        <v>29620</v>
      </c>
      <c r="I353" s="4">
        <f t="shared" si="20"/>
        <v>0</v>
      </c>
      <c r="J353" s="25">
        <f t="shared" si="18"/>
        <v>11</v>
      </c>
    </row>
    <row r="354" spans="1:10" ht="16.95" customHeight="1">
      <c r="A354" s="75">
        <v>28</v>
      </c>
      <c r="B354" s="80" t="s">
        <v>118</v>
      </c>
      <c r="C354" s="77" t="s">
        <v>48</v>
      </c>
      <c r="D354" s="78">
        <v>1</v>
      </c>
      <c r="E354" s="79"/>
      <c r="F354" s="79" t="e">
        <f t="shared" si="19"/>
        <v>#REF!</v>
      </c>
      <c r="G354" s="2"/>
      <c r="H354" s="37">
        <v>18506</v>
      </c>
      <c r="I354" s="4">
        <f t="shared" si="20"/>
        <v>0</v>
      </c>
      <c r="J354" s="25">
        <f t="shared" si="18"/>
        <v>11</v>
      </c>
    </row>
    <row r="355" spans="1:10" ht="16.95" customHeight="1">
      <c r="A355" s="75">
        <v>29</v>
      </c>
      <c r="B355" s="80" t="s">
        <v>119</v>
      </c>
      <c r="C355" s="77" t="s">
        <v>48</v>
      </c>
      <c r="D355" s="78">
        <v>1</v>
      </c>
      <c r="E355" s="79"/>
      <c r="F355" s="79" t="e">
        <f t="shared" si="19"/>
        <v>#REF!</v>
      </c>
      <c r="G355" s="2"/>
      <c r="H355" s="37">
        <v>34381</v>
      </c>
      <c r="I355" s="4">
        <f t="shared" si="20"/>
        <v>0</v>
      </c>
      <c r="J355" s="25">
        <f t="shared" si="18"/>
        <v>11</v>
      </c>
    </row>
    <row r="356" spans="1:10" ht="16.95" customHeight="1">
      <c r="A356" s="75" t="s">
        <v>79</v>
      </c>
      <c r="B356" s="80" t="s">
        <v>80</v>
      </c>
      <c r="C356" s="77" t="s">
        <v>48</v>
      </c>
      <c r="D356" s="78">
        <v>1</v>
      </c>
      <c r="E356" s="79">
        <f t="shared" ref="E356:E359" si="21">1/120</f>
        <v>8.3333333333333332E-3</v>
      </c>
      <c r="F356" s="79" t="e">
        <f t="shared" si="19"/>
        <v>#REF!</v>
      </c>
      <c r="G356" s="2"/>
      <c r="H356" s="37">
        <v>21395</v>
      </c>
      <c r="I356" s="4">
        <f t="shared" si="20"/>
        <v>178.29166666666666</v>
      </c>
      <c r="J356" s="25">
        <f t="shared" si="18"/>
        <v>11</v>
      </c>
    </row>
    <row r="357" spans="1:10" ht="16.95" customHeight="1">
      <c r="A357" s="75" t="s">
        <v>81</v>
      </c>
      <c r="B357" s="80" t="s">
        <v>82</v>
      </c>
      <c r="C357" s="77" t="s">
        <v>48</v>
      </c>
      <c r="D357" s="78">
        <v>1</v>
      </c>
      <c r="E357" s="79">
        <f t="shared" si="21"/>
        <v>8.3333333333333332E-3</v>
      </c>
      <c r="F357" s="79" t="e">
        <f t="shared" si="19"/>
        <v>#REF!</v>
      </c>
      <c r="G357" s="2"/>
      <c r="H357" s="37">
        <v>21395</v>
      </c>
      <c r="I357" s="4">
        <f t="shared" si="20"/>
        <v>178.29166666666666</v>
      </c>
      <c r="J357" s="25">
        <f t="shared" si="18"/>
        <v>11</v>
      </c>
    </row>
    <row r="358" spans="1:10" ht="16.95" customHeight="1">
      <c r="A358" s="75" t="s">
        <v>83</v>
      </c>
      <c r="B358" s="80" t="s">
        <v>84</v>
      </c>
      <c r="C358" s="77" t="s">
        <v>48</v>
      </c>
      <c r="D358" s="78">
        <v>1</v>
      </c>
      <c r="E358" s="79">
        <f t="shared" si="21"/>
        <v>8.3333333333333332E-3</v>
      </c>
      <c r="F358" s="79" t="e">
        <f t="shared" si="19"/>
        <v>#REF!</v>
      </c>
      <c r="G358" s="2"/>
      <c r="H358" s="37">
        <v>149765</v>
      </c>
      <c r="I358" s="4">
        <f t="shared" si="20"/>
        <v>1248.0416666666667</v>
      </c>
      <c r="J358" s="25">
        <f t="shared" si="18"/>
        <v>11</v>
      </c>
    </row>
    <row r="359" spans="1:10" ht="16.95" customHeight="1">
      <c r="A359" s="75" t="s">
        <v>85</v>
      </c>
      <c r="B359" s="80" t="s">
        <v>86</v>
      </c>
      <c r="C359" s="77" t="s">
        <v>48</v>
      </c>
      <c r="D359" s="78">
        <v>1</v>
      </c>
      <c r="E359" s="79">
        <f t="shared" si="21"/>
        <v>8.3333333333333332E-3</v>
      </c>
      <c r="F359" s="79" t="e">
        <f t="shared" si="19"/>
        <v>#REF!</v>
      </c>
      <c r="G359" s="2"/>
      <c r="H359" s="37">
        <v>6996</v>
      </c>
      <c r="I359" s="4">
        <f t="shared" si="20"/>
        <v>58.3</v>
      </c>
      <c r="J359" s="25">
        <f t="shared" si="18"/>
        <v>11</v>
      </c>
    </row>
    <row r="360" spans="1:10" ht="16.95" customHeight="1">
      <c r="A360" s="75" t="s">
        <v>87</v>
      </c>
      <c r="B360" s="80" t="s">
        <v>88</v>
      </c>
      <c r="C360" s="77" t="s">
        <v>48</v>
      </c>
      <c r="D360" s="78">
        <v>1</v>
      </c>
      <c r="E360" s="79">
        <f>1/120</f>
        <v>8.3333333333333332E-3</v>
      </c>
      <c r="F360" s="79" t="e">
        <f t="shared" si="19"/>
        <v>#REF!</v>
      </c>
      <c r="G360" s="2"/>
      <c r="H360" s="37">
        <v>116952</v>
      </c>
      <c r="I360" s="4">
        <f t="shared" si="20"/>
        <v>974.6</v>
      </c>
      <c r="J360" s="25">
        <f t="shared" si="18"/>
        <v>11</v>
      </c>
    </row>
    <row r="361" spans="1:10" ht="16.95" customHeight="1">
      <c r="A361" s="95" t="s">
        <v>23</v>
      </c>
      <c r="B361" s="95"/>
      <c r="C361" s="50"/>
      <c r="D361" s="50"/>
      <c r="E361" s="50"/>
      <c r="F361" s="50"/>
      <c r="G361" s="50"/>
      <c r="H361" s="3" t="s">
        <v>24</v>
      </c>
      <c r="I361" s="5">
        <f>SUM(I326:I360)</f>
        <v>2637.5250000000001</v>
      </c>
      <c r="J361" s="25">
        <f t="shared" si="18"/>
        <v>11</v>
      </c>
    </row>
    <row r="362" spans="1:10" ht="16.95" customHeight="1">
      <c r="A362" s="96" t="s">
        <v>25</v>
      </c>
      <c r="B362" s="96"/>
      <c r="C362" s="50"/>
      <c r="D362" s="50"/>
      <c r="E362" s="50"/>
      <c r="F362" s="50"/>
      <c r="G362" s="50"/>
      <c r="J362" s="25">
        <f t="shared" si="18"/>
        <v>11</v>
      </c>
    </row>
    <row r="363" spans="1:10" ht="16.95" customHeight="1">
      <c r="A363" s="96" t="s">
        <v>26</v>
      </c>
      <c r="B363" s="96"/>
      <c r="C363" s="50"/>
      <c r="D363" s="50"/>
      <c r="E363" s="50"/>
      <c r="F363" s="50"/>
      <c r="G363" s="50"/>
      <c r="J363" s="25">
        <f t="shared" si="18"/>
        <v>11</v>
      </c>
    </row>
    <row r="364" spans="1:10" ht="16.95" customHeight="1">
      <c r="A364" s="95" t="s">
        <v>27</v>
      </c>
      <c r="B364" s="95"/>
      <c r="C364" s="95"/>
      <c r="D364" s="95"/>
      <c r="E364" s="95"/>
      <c r="F364" s="95"/>
      <c r="G364" s="95"/>
      <c r="J364" s="25">
        <f t="shared" si="18"/>
        <v>11</v>
      </c>
    </row>
    <row r="365" spans="1:10" ht="16.95" customHeight="1">
      <c r="A365" s="94" t="s">
        <v>28</v>
      </c>
      <c r="B365" s="94"/>
      <c r="C365" s="51" t="s">
        <v>29</v>
      </c>
      <c r="D365" s="51" t="s">
        <v>30</v>
      </c>
      <c r="E365" s="51" t="s">
        <v>18</v>
      </c>
      <c r="F365" s="51" t="s">
        <v>31</v>
      </c>
      <c r="G365" s="51" t="s">
        <v>20</v>
      </c>
      <c r="J365" s="25">
        <f t="shared" si="18"/>
        <v>11</v>
      </c>
    </row>
    <row r="366" spans="1:10" ht="16.95" customHeight="1">
      <c r="A366" s="96"/>
      <c r="B366" s="96"/>
      <c r="C366" s="50"/>
      <c r="D366" s="50"/>
      <c r="E366" s="50"/>
      <c r="F366" s="50"/>
      <c r="G366" s="51"/>
      <c r="J366" s="25">
        <f t="shared" si="18"/>
        <v>11</v>
      </c>
    </row>
    <row r="367" spans="1:10" ht="16.95" customHeight="1">
      <c r="A367" s="97"/>
      <c r="B367" s="97"/>
      <c r="C367" s="50"/>
      <c r="D367" s="50"/>
      <c r="E367" s="50"/>
      <c r="F367" s="51"/>
      <c r="G367" s="51"/>
      <c r="J367" s="25">
        <f t="shared" si="18"/>
        <v>11</v>
      </c>
    </row>
    <row r="368" spans="1:10" ht="16.95" customHeight="1">
      <c r="A368" s="95" t="s">
        <v>32</v>
      </c>
      <c r="B368" s="95"/>
      <c r="C368" s="95"/>
      <c r="D368" s="95"/>
      <c r="E368" s="95"/>
      <c r="F368" s="95"/>
      <c r="G368" s="95"/>
      <c r="J368" s="25">
        <f t="shared" ref="J368:J378" si="22">J305+2</f>
        <v>12</v>
      </c>
    </row>
    <row r="369" spans="1:10" ht="16.95" customHeight="1">
      <c r="A369" s="51" t="s">
        <v>33</v>
      </c>
      <c r="B369" s="51" t="s">
        <v>34</v>
      </c>
      <c r="C369" s="94" t="s">
        <v>35</v>
      </c>
      <c r="D369" s="94"/>
      <c r="E369" s="51" t="s">
        <v>36</v>
      </c>
      <c r="F369" s="51" t="s">
        <v>37</v>
      </c>
      <c r="G369" s="51" t="s">
        <v>38</v>
      </c>
      <c r="J369" s="25">
        <f t="shared" si="22"/>
        <v>12</v>
      </c>
    </row>
    <row r="370" spans="1:10" ht="16.95" customHeight="1">
      <c r="A370" s="51" t="s">
        <v>39</v>
      </c>
      <c r="B370" s="6"/>
      <c r="C370" s="94" t="e">
        <f>B370+C307</f>
        <v>#REF!</v>
      </c>
      <c r="D370" s="94"/>
      <c r="E370" s="51"/>
      <c r="F370" s="24"/>
      <c r="G370" s="24"/>
      <c r="J370" s="25">
        <f t="shared" si="22"/>
        <v>12</v>
      </c>
    </row>
    <row r="371" spans="1:10" ht="16.95" customHeight="1">
      <c r="A371" s="51" t="s">
        <v>40</v>
      </c>
      <c r="B371" s="6"/>
      <c r="C371" s="94" t="e">
        <f>B371+C308</f>
        <v>#REF!</v>
      </c>
      <c r="D371" s="94"/>
      <c r="E371" s="51"/>
      <c r="F371" s="24"/>
      <c r="G371" s="24"/>
      <c r="J371" s="25">
        <f t="shared" si="22"/>
        <v>12</v>
      </c>
    </row>
    <row r="372" spans="1:10" ht="36.6" customHeight="1">
      <c r="A372" s="95" t="s">
        <v>41</v>
      </c>
      <c r="B372" s="95"/>
      <c r="C372" s="95"/>
      <c r="D372" s="95"/>
      <c r="E372" s="95"/>
      <c r="F372" s="95"/>
      <c r="G372" s="95"/>
      <c r="J372" s="25">
        <f t="shared" si="22"/>
        <v>12</v>
      </c>
    </row>
    <row r="373" spans="1:10" ht="90" customHeight="1">
      <c r="A373" s="92" t="s">
        <v>42</v>
      </c>
      <c r="B373" s="92"/>
      <c r="C373" s="92"/>
      <c r="D373" s="92"/>
      <c r="E373" s="92"/>
      <c r="F373" s="92"/>
      <c r="G373" s="92"/>
      <c r="J373" s="25">
        <f t="shared" si="22"/>
        <v>12</v>
      </c>
    </row>
    <row r="374" spans="1:10" ht="16.95" customHeight="1">
      <c r="A374" s="95" t="s">
        <v>43</v>
      </c>
      <c r="B374" s="95"/>
      <c r="C374" s="95"/>
      <c r="D374" s="95"/>
      <c r="E374" s="95"/>
      <c r="F374" s="95"/>
      <c r="G374" s="95"/>
      <c r="J374" s="25">
        <f t="shared" si="22"/>
        <v>12</v>
      </c>
    </row>
    <row r="375" spans="1:10" ht="16.95" customHeight="1">
      <c r="A375" s="95" t="s">
        <v>44</v>
      </c>
      <c r="B375" s="95"/>
      <c r="C375" s="95"/>
      <c r="D375" s="95"/>
      <c r="E375" s="95"/>
      <c r="F375" s="95"/>
      <c r="G375" s="95"/>
      <c r="J375" s="25">
        <f t="shared" si="22"/>
        <v>12</v>
      </c>
    </row>
    <row r="376" spans="1:10" ht="16.95" customHeight="1">
      <c r="A376" s="91" t="s">
        <v>64</v>
      </c>
      <c r="B376" s="91"/>
      <c r="C376" s="91"/>
      <c r="D376" s="91"/>
      <c r="E376" s="91"/>
      <c r="F376" s="91"/>
      <c r="G376" s="91"/>
      <c r="J376" s="25">
        <f t="shared" si="22"/>
        <v>12</v>
      </c>
    </row>
    <row r="377" spans="1:10" ht="120.6" customHeight="1">
      <c r="A377" s="92" t="s">
        <v>45</v>
      </c>
      <c r="B377" s="92"/>
      <c r="C377" s="92"/>
      <c r="D377" s="92"/>
      <c r="E377" s="92"/>
      <c r="F377" s="92"/>
      <c r="G377" s="92"/>
      <c r="J377" s="25">
        <f t="shared" si="22"/>
        <v>12</v>
      </c>
    </row>
    <row r="378" spans="1:10" ht="140.4" customHeight="1">
      <c r="A378" s="93" t="s">
        <v>46</v>
      </c>
      <c r="B378" s="93"/>
      <c r="C378" s="93"/>
      <c r="D378" s="93"/>
      <c r="E378" s="93"/>
      <c r="F378" s="93"/>
      <c r="G378" s="93"/>
      <c r="J378" s="25">
        <f t="shared" si="22"/>
        <v>12</v>
      </c>
    </row>
    <row r="379" spans="1:10" ht="37.200000000000003" customHeight="1">
      <c r="A379" s="103" t="s">
        <v>0</v>
      </c>
      <c r="B379" s="103"/>
      <c r="C379" s="103"/>
      <c r="D379" s="103"/>
      <c r="E379" s="103"/>
      <c r="F379" s="103"/>
      <c r="G379" s="103"/>
      <c r="J379" s="25">
        <f t="shared" ref="J379:J442" si="23">J316+2</f>
        <v>13</v>
      </c>
    </row>
    <row r="380" spans="1:10" ht="16.95" customHeight="1">
      <c r="A380" s="1" t="s">
        <v>1</v>
      </c>
      <c r="B380" s="104">
        <f>B317+1</f>
        <v>8</v>
      </c>
      <c r="C380" s="104"/>
      <c r="D380" s="104"/>
      <c r="E380" s="104"/>
      <c r="F380" s="104"/>
      <c r="G380" s="104"/>
      <c r="J380" s="25">
        <f t="shared" si="23"/>
        <v>13</v>
      </c>
    </row>
    <row r="381" spans="1:10" ht="16.95" customHeight="1">
      <c r="A381" s="1" t="s">
        <v>2</v>
      </c>
      <c r="B381" s="105" t="s">
        <v>63</v>
      </c>
      <c r="C381" s="105"/>
      <c r="D381" s="105"/>
      <c r="E381" s="106">
        <f>E318+1</f>
        <v>46210</v>
      </c>
      <c r="F381" s="106"/>
      <c r="G381" s="106"/>
      <c r="J381" s="25">
        <f t="shared" si="23"/>
        <v>13</v>
      </c>
    </row>
    <row r="382" spans="1:10" ht="16.95" customHeight="1">
      <c r="A382" s="53" t="s">
        <v>3</v>
      </c>
      <c r="B382" s="2" t="s">
        <v>67</v>
      </c>
      <c r="C382" s="98" t="s">
        <v>4</v>
      </c>
      <c r="D382" s="98"/>
      <c r="E382" s="98" t="s">
        <v>47</v>
      </c>
      <c r="F382" s="98"/>
      <c r="G382" s="98"/>
      <c r="J382" s="25">
        <f t="shared" si="23"/>
        <v>13</v>
      </c>
    </row>
    <row r="383" spans="1:10" ht="16.95" customHeight="1">
      <c r="A383" s="53" t="s">
        <v>5</v>
      </c>
      <c r="B383" s="54">
        <v>120</v>
      </c>
      <c r="C383" s="98" t="s">
        <v>6</v>
      </c>
      <c r="D383" s="98"/>
      <c r="E383" s="98" t="s">
        <v>123</v>
      </c>
      <c r="F383" s="98"/>
      <c r="G383" s="98"/>
      <c r="J383" s="25">
        <f t="shared" si="23"/>
        <v>13</v>
      </c>
    </row>
    <row r="384" spans="1:10" ht="16.95" customHeight="1">
      <c r="A384" s="53" t="s">
        <v>7</v>
      </c>
      <c r="B384" s="54">
        <f>B380</f>
        <v>8</v>
      </c>
      <c r="C384" s="100" t="s">
        <v>8</v>
      </c>
      <c r="D384" s="100"/>
      <c r="E384" s="101">
        <f>B383-B384</f>
        <v>112</v>
      </c>
      <c r="F384" s="101"/>
      <c r="G384" s="101"/>
      <c r="J384" s="25">
        <f t="shared" si="23"/>
        <v>13</v>
      </c>
    </row>
    <row r="385" spans="1:10" ht="16.95" customHeight="1">
      <c r="A385" s="53" t="s">
        <v>9</v>
      </c>
      <c r="B385" s="55">
        <v>46204</v>
      </c>
      <c r="C385" s="98" t="s">
        <v>10</v>
      </c>
      <c r="D385" s="98"/>
      <c r="E385" s="102">
        <f>B385+B383-1</f>
        <v>46323</v>
      </c>
      <c r="F385" s="102"/>
      <c r="G385" s="102"/>
      <c r="J385" s="25">
        <f t="shared" si="23"/>
        <v>13</v>
      </c>
    </row>
    <row r="386" spans="1:10" ht="16.95" customHeight="1">
      <c r="A386" s="53" t="s">
        <v>11</v>
      </c>
      <c r="B386" s="56" t="e">
        <f>HLOOKUP(B380,進度表!$Q$2:$Z$3,2,1)+B323</f>
        <v>#REF!</v>
      </c>
      <c r="C386" s="98" t="s">
        <v>12</v>
      </c>
      <c r="D386" s="98"/>
      <c r="E386" s="99" t="e">
        <f>I424/I386+E323</f>
        <v>#REF!</v>
      </c>
      <c r="F386" s="99"/>
      <c r="G386" s="99"/>
      <c r="H386" s="3" t="s">
        <v>62</v>
      </c>
      <c r="I386" s="1">
        <v>2456000</v>
      </c>
      <c r="J386" s="25">
        <f t="shared" si="23"/>
        <v>13</v>
      </c>
    </row>
    <row r="387" spans="1:10" ht="16.95" customHeight="1">
      <c r="A387" s="98" t="s">
        <v>13</v>
      </c>
      <c r="B387" s="98"/>
      <c r="C387" s="98"/>
      <c r="D387" s="98"/>
      <c r="E387" s="98"/>
      <c r="F387" s="98"/>
      <c r="G387" s="98"/>
      <c r="J387" s="25">
        <f t="shared" si="23"/>
        <v>13</v>
      </c>
    </row>
    <row r="388" spans="1:10" ht="16.95" customHeight="1">
      <c r="A388" s="52" t="s">
        <v>14</v>
      </c>
      <c r="B388" s="52" t="s">
        <v>15</v>
      </c>
      <c r="C388" s="52" t="s">
        <v>16</v>
      </c>
      <c r="D388" s="52" t="s">
        <v>17</v>
      </c>
      <c r="E388" s="52" t="s">
        <v>18</v>
      </c>
      <c r="F388" s="52" t="s">
        <v>19</v>
      </c>
      <c r="G388" s="52" t="s">
        <v>20</v>
      </c>
      <c r="H388" s="3" t="s">
        <v>21</v>
      </c>
      <c r="I388" s="3" t="s">
        <v>22</v>
      </c>
      <c r="J388" s="25">
        <f t="shared" si="23"/>
        <v>13</v>
      </c>
    </row>
    <row r="389" spans="1:10" ht="16.95" customHeight="1">
      <c r="A389" s="75" t="s">
        <v>65</v>
      </c>
      <c r="B389" s="76" t="s">
        <v>69</v>
      </c>
      <c r="C389" s="77"/>
      <c r="D389" s="78"/>
      <c r="E389" s="79"/>
      <c r="F389" s="79"/>
      <c r="G389" s="2"/>
      <c r="H389" s="37"/>
      <c r="I389" s="4"/>
      <c r="J389" s="25">
        <f t="shared" si="23"/>
        <v>13</v>
      </c>
    </row>
    <row r="390" spans="1:10" ht="34.950000000000003" customHeight="1">
      <c r="A390" s="75">
        <v>1</v>
      </c>
      <c r="B390" s="80" t="s">
        <v>91</v>
      </c>
      <c r="C390" s="77" t="s">
        <v>48</v>
      </c>
      <c r="D390" s="78">
        <v>1</v>
      </c>
      <c r="E390" s="79"/>
      <c r="F390" s="79" t="e">
        <f t="shared" ref="F390:F423" si="24">E390+F327</f>
        <v>#REF!</v>
      </c>
      <c r="G390" s="2"/>
      <c r="H390" s="37">
        <v>10508</v>
      </c>
      <c r="I390" s="4">
        <f>H390*E390</f>
        <v>0</v>
      </c>
      <c r="J390" s="25">
        <f t="shared" si="23"/>
        <v>13</v>
      </c>
    </row>
    <row r="391" spans="1:10" ht="34.799999999999997" customHeight="1">
      <c r="A391" s="75">
        <v>2</v>
      </c>
      <c r="B391" s="80" t="s">
        <v>92</v>
      </c>
      <c r="C391" s="77" t="s">
        <v>48</v>
      </c>
      <c r="D391" s="78">
        <v>1</v>
      </c>
      <c r="E391" s="79"/>
      <c r="F391" s="79" t="e">
        <f t="shared" si="24"/>
        <v>#REF!</v>
      </c>
      <c r="G391" s="2"/>
      <c r="H391" s="37">
        <v>13223</v>
      </c>
      <c r="I391" s="4">
        <f>H391*E391</f>
        <v>0</v>
      </c>
      <c r="J391" s="25">
        <f t="shared" si="23"/>
        <v>13</v>
      </c>
    </row>
    <row r="392" spans="1:10" ht="53.4" customHeight="1">
      <c r="A392" s="75">
        <v>3</v>
      </c>
      <c r="B392" s="80" t="s">
        <v>93</v>
      </c>
      <c r="C392" s="77" t="s">
        <v>48</v>
      </c>
      <c r="D392" s="78">
        <v>1</v>
      </c>
      <c r="E392" s="79"/>
      <c r="F392" s="79" t="e">
        <f t="shared" si="24"/>
        <v>#REF!</v>
      </c>
      <c r="G392" s="2"/>
      <c r="H392" s="37">
        <v>310497</v>
      </c>
      <c r="I392" s="4">
        <f t="shared" ref="I392:I423" si="25">H392*E392</f>
        <v>0</v>
      </c>
      <c r="J392" s="25">
        <f t="shared" si="23"/>
        <v>13</v>
      </c>
    </row>
    <row r="393" spans="1:10" ht="16.95" customHeight="1">
      <c r="A393" s="75">
        <v>4</v>
      </c>
      <c r="B393" s="80" t="s">
        <v>94</v>
      </c>
      <c r="C393" s="77" t="s">
        <v>48</v>
      </c>
      <c r="D393" s="78">
        <v>1</v>
      </c>
      <c r="E393" s="79"/>
      <c r="F393" s="79" t="e">
        <f t="shared" si="24"/>
        <v>#REF!</v>
      </c>
      <c r="G393" s="2"/>
      <c r="H393" s="37">
        <v>8375</v>
      </c>
      <c r="I393" s="4">
        <f t="shared" si="25"/>
        <v>0</v>
      </c>
      <c r="J393" s="25">
        <f t="shared" si="23"/>
        <v>13</v>
      </c>
    </row>
    <row r="394" spans="1:10" ht="16.95" customHeight="1">
      <c r="A394" s="75">
        <v>5</v>
      </c>
      <c r="B394" s="80" t="s">
        <v>95</v>
      </c>
      <c r="C394" s="77" t="s">
        <v>48</v>
      </c>
      <c r="D394" s="78">
        <v>1</v>
      </c>
      <c r="E394" s="79"/>
      <c r="F394" s="79" t="e">
        <f t="shared" si="24"/>
        <v>#REF!</v>
      </c>
      <c r="G394" s="2"/>
      <c r="H394" s="37">
        <v>51618</v>
      </c>
      <c r="I394" s="4">
        <f t="shared" si="25"/>
        <v>0</v>
      </c>
      <c r="J394" s="25">
        <f t="shared" si="23"/>
        <v>13</v>
      </c>
    </row>
    <row r="395" spans="1:10" ht="16.95" customHeight="1">
      <c r="A395" s="75">
        <v>6</v>
      </c>
      <c r="B395" s="80" t="s">
        <v>96</v>
      </c>
      <c r="C395" s="77" t="s">
        <v>50</v>
      </c>
      <c r="D395" s="78">
        <v>11.55</v>
      </c>
      <c r="E395" s="79"/>
      <c r="F395" s="79" t="e">
        <f t="shared" si="24"/>
        <v>#REF!</v>
      </c>
      <c r="G395" s="2"/>
      <c r="H395" s="37">
        <v>1188</v>
      </c>
      <c r="I395" s="4">
        <f t="shared" si="25"/>
        <v>0</v>
      </c>
      <c r="J395" s="25">
        <f t="shared" si="23"/>
        <v>13</v>
      </c>
    </row>
    <row r="396" spans="1:10" ht="34.950000000000003" customHeight="1">
      <c r="A396" s="75">
        <v>7</v>
      </c>
      <c r="B396" s="80" t="s">
        <v>97</v>
      </c>
      <c r="C396" s="77" t="s">
        <v>48</v>
      </c>
      <c r="D396" s="78">
        <v>1</v>
      </c>
      <c r="E396" s="79"/>
      <c r="F396" s="79" t="e">
        <f t="shared" si="24"/>
        <v>#REF!</v>
      </c>
      <c r="G396" s="2"/>
      <c r="H396" s="37">
        <v>21157</v>
      </c>
      <c r="I396" s="4">
        <f t="shared" si="25"/>
        <v>0</v>
      </c>
      <c r="J396" s="25">
        <f t="shared" si="23"/>
        <v>13</v>
      </c>
    </row>
    <row r="397" spans="1:10" ht="16.95" customHeight="1">
      <c r="A397" s="75">
        <v>8</v>
      </c>
      <c r="B397" s="80" t="s">
        <v>98</v>
      </c>
      <c r="C397" s="77" t="s">
        <v>50</v>
      </c>
      <c r="D397" s="78">
        <v>387</v>
      </c>
      <c r="E397" s="79"/>
      <c r="F397" s="79" t="e">
        <f t="shared" si="24"/>
        <v>#REF!</v>
      </c>
      <c r="G397" s="2"/>
      <c r="H397" s="37">
        <v>705</v>
      </c>
      <c r="I397" s="4">
        <f t="shared" si="25"/>
        <v>0</v>
      </c>
      <c r="J397" s="25">
        <f t="shared" si="23"/>
        <v>13</v>
      </c>
    </row>
    <row r="398" spans="1:10" ht="16.95" customHeight="1">
      <c r="A398" s="75">
        <v>9</v>
      </c>
      <c r="B398" s="80" t="s">
        <v>99</v>
      </c>
      <c r="C398" s="77" t="s">
        <v>50</v>
      </c>
      <c r="D398" s="78">
        <v>170</v>
      </c>
      <c r="E398" s="79"/>
      <c r="F398" s="79" t="e">
        <f t="shared" si="24"/>
        <v>#REF!</v>
      </c>
      <c r="G398" s="2"/>
      <c r="H398" s="37">
        <v>617</v>
      </c>
      <c r="I398" s="4">
        <f t="shared" si="25"/>
        <v>0</v>
      </c>
      <c r="J398" s="25">
        <f t="shared" si="23"/>
        <v>13</v>
      </c>
    </row>
    <row r="399" spans="1:10" ht="16.95" customHeight="1">
      <c r="A399" s="75">
        <v>10</v>
      </c>
      <c r="B399" s="80" t="s">
        <v>100</v>
      </c>
      <c r="C399" s="77" t="s">
        <v>66</v>
      </c>
      <c r="D399" s="78">
        <v>15</v>
      </c>
      <c r="E399" s="79"/>
      <c r="F399" s="79" t="e">
        <f t="shared" si="24"/>
        <v>#REF!</v>
      </c>
      <c r="G399" s="2"/>
      <c r="H399" s="37">
        <v>617</v>
      </c>
      <c r="I399" s="4">
        <f t="shared" si="25"/>
        <v>0</v>
      </c>
      <c r="J399" s="25">
        <f t="shared" si="23"/>
        <v>13</v>
      </c>
    </row>
    <row r="400" spans="1:10" ht="16.95" customHeight="1">
      <c r="A400" s="75">
        <v>11</v>
      </c>
      <c r="B400" s="80" t="s">
        <v>101</v>
      </c>
      <c r="C400" s="77" t="s">
        <v>50</v>
      </c>
      <c r="D400" s="78">
        <v>75</v>
      </c>
      <c r="E400" s="79"/>
      <c r="F400" s="79" t="e">
        <f t="shared" si="24"/>
        <v>#REF!</v>
      </c>
      <c r="G400" s="2"/>
      <c r="H400" s="37">
        <v>1146</v>
      </c>
      <c r="I400" s="4">
        <f t="shared" si="25"/>
        <v>0</v>
      </c>
      <c r="J400" s="25">
        <f t="shared" si="23"/>
        <v>13</v>
      </c>
    </row>
    <row r="401" spans="1:10" ht="16.95" customHeight="1">
      <c r="A401" s="75">
        <v>12</v>
      </c>
      <c r="B401" s="80" t="s">
        <v>102</v>
      </c>
      <c r="C401" s="77" t="s">
        <v>50</v>
      </c>
      <c r="D401" s="78">
        <v>5</v>
      </c>
      <c r="E401" s="79"/>
      <c r="F401" s="79" t="e">
        <f t="shared" si="24"/>
        <v>#REF!</v>
      </c>
      <c r="G401" s="2"/>
      <c r="H401" s="37">
        <v>1455</v>
      </c>
      <c r="I401" s="4">
        <f t="shared" si="25"/>
        <v>0</v>
      </c>
      <c r="J401" s="25">
        <f t="shared" si="23"/>
        <v>13</v>
      </c>
    </row>
    <row r="402" spans="1:10" ht="16.95" customHeight="1">
      <c r="A402" s="75">
        <v>13</v>
      </c>
      <c r="B402" s="80" t="s">
        <v>103</v>
      </c>
      <c r="C402" s="77" t="s">
        <v>50</v>
      </c>
      <c r="D402" s="78">
        <v>217</v>
      </c>
      <c r="E402" s="79"/>
      <c r="F402" s="79" t="e">
        <f t="shared" si="24"/>
        <v>#REF!</v>
      </c>
      <c r="G402" s="2"/>
      <c r="H402" s="37">
        <v>1410</v>
      </c>
      <c r="I402" s="4">
        <f t="shared" si="25"/>
        <v>0</v>
      </c>
      <c r="J402" s="25">
        <f t="shared" si="23"/>
        <v>13</v>
      </c>
    </row>
    <row r="403" spans="1:10" ht="16.95" customHeight="1">
      <c r="A403" s="75">
        <v>14</v>
      </c>
      <c r="B403" s="80" t="s">
        <v>104</v>
      </c>
      <c r="C403" s="77" t="s">
        <v>49</v>
      </c>
      <c r="D403" s="78">
        <v>84</v>
      </c>
      <c r="E403" s="79"/>
      <c r="F403" s="79" t="e">
        <f t="shared" si="24"/>
        <v>#REF!</v>
      </c>
      <c r="G403" s="2"/>
      <c r="H403" s="37">
        <v>529</v>
      </c>
      <c r="I403" s="4">
        <f t="shared" si="25"/>
        <v>0</v>
      </c>
      <c r="J403" s="25">
        <f t="shared" si="23"/>
        <v>13</v>
      </c>
    </row>
    <row r="404" spans="1:10" ht="16.95" customHeight="1">
      <c r="A404" s="75">
        <v>15</v>
      </c>
      <c r="B404" s="80" t="s">
        <v>105</v>
      </c>
      <c r="C404" s="77" t="s">
        <v>50</v>
      </c>
      <c r="D404" s="78">
        <v>1</v>
      </c>
      <c r="E404" s="79"/>
      <c r="F404" s="79" t="e">
        <f t="shared" si="24"/>
        <v>#REF!</v>
      </c>
      <c r="G404" s="2"/>
      <c r="H404" s="37">
        <v>1146</v>
      </c>
      <c r="I404" s="4">
        <f t="shared" si="25"/>
        <v>0</v>
      </c>
      <c r="J404" s="25">
        <f t="shared" si="23"/>
        <v>13</v>
      </c>
    </row>
    <row r="405" spans="1:10" ht="34.799999999999997" customHeight="1">
      <c r="A405" s="75">
        <v>16</v>
      </c>
      <c r="B405" s="80" t="s">
        <v>106</v>
      </c>
      <c r="C405" s="77" t="s">
        <v>50</v>
      </c>
      <c r="D405" s="78">
        <v>314</v>
      </c>
      <c r="E405" s="79"/>
      <c r="F405" s="79" t="e">
        <f t="shared" si="24"/>
        <v>#REF!</v>
      </c>
      <c r="G405" s="2"/>
      <c r="H405" s="37">
        <v>185</v>
      </c>
      <c r="I405" s="4">
        <f t="shared" si="25"/>
        <v>0</v>
      </c>
      <c r="J405" s="25">
        <f t="shared" si="23"/>
        <v>13</v>
      </c>
    </row>
    <row r="406" spans="1:10" ht="16.95" customHeight="1">
      <c r="A406" s="75">
        <v>17</v>
      </c>
      <c r="B406" s="80" t="s">
        <v>107</v>
      </c>
      <c r="C406" s="77" t="s">
        <v>48</v>
      </c>
      <c r="D406" s="78">
        <v>1</v>
      </c>
      <c r="E406" s="79"/>
      <c r="F406" s="79" t="e">
        <f t="shared" si="24"/>
        <v>#REF!</v>
      </c>
      <c r="G406" s="2"/>
      <c r="H406" s="37">
        <v>89918</v>
      </c>
      <c r="I406" s="4">
        <f t="shared" si="25"/>
        <v>0</v>
      </c>
      <c r="J406" s="25">
        <f t="shared" si="23"/>
        <v>13</v>
      </c>
    </row>
    <row r="407" spans="1:10" ht="16.95" customHeight="1">
      <c r="A407" s="75">
        <v>18</v>
      </c>
      <c r="B407" s="80" t="s">
        <v>108</v>
      </c>
      <c r="C407" s="77" t="s">
        <v>120</v>
      </c>
      <c r="D407" s="78">
        <v>15</v>
      </c>
      <c r="E407" s="79"/>
      <c r="F407" s="79" t="e">
        <f t="shared" si="24"/>
        <v>#REF!</v>
      </c>
      <c r="G407" s="2"/>
      <c r="H407" s="37">
        <v>661</v>
      </c>
      <c r="I407" s="4">
        <f t="shared" si="25"/>
        <v>0</v>
      </c>
      <c r="J407" s="25">
        <f t="shared" si="23"/>
        <v>13</v>
      </c>
    </row>
    <row r="408" spans="1:10" ht="16.95" customHeight="1">
      <c r="A408" s="75">
        <v>19</v>
      </c>
      <c r="B408" s="80" t="s">
        <v>109</v>
      </c>
      <c r="C408" s="77" t="s">
        <v>50</v>
      </c>
      <c r="D408" s="78">
        <v>82</v>
      </c>
      <c r="E408" s="79"/>
      <c r="F408" s="79" t="e">
        <f t="shared" si="24"/>
        <v>#REF!</v>
      </c>
      <c r="G408" s="2"/>
      <c r="H408" s="37">
        <v>2909</v>
      </c>
      <c r="I408" s="4">
        <f t="shared" si="25"/>
        <v>0</v>
      </c>
      <c r="J408" s="25">
        <f t="shared" si="23"/>
        <v>13</v>
      </c>
    </row>
    <row r="409" spans="1:10" ht="16.95" customHeight="1">
      <c r="A409" s="75">
        <v>20</v>
      </c>
      <c r="B409" s="80" t="s">
        <v>110</v>
      </c>
      <c r="C409" s="77" t="s">
        <v>121</v>
      </c>
      <c r="D409" s="78">
        <v>12</v>
      </c>
      <c r="E409" s="79"/>
      <c r="F409" s="79" t="e">
        <f t="shared" si="24"/>
        <v>#REF!</v>
      </c>
      <c r="G409" s="2"/>
      <c r="H409" s="37">
        <v>882</v>
      </c>
      <c r="I409" s="4">
        <f t="shared" si="25"/>
        <v>0</v>
      </c>
      <c r="J409" s="25">
        <f t="shared" si="23"/>
        <v>13</v>
      </c>
    </row>
    <row r="410" spans="1:10" ht="16.95" customHeight="1">
      <c r="A410" s="77">
        <v>21</v>
      </c>
      <c r="B410" s="80" t="s">
        <v>111</v>
      </c>
      <c r="C410" s="77" t="s">
        <v>122</v>
      </c>
      <c r="D410" s="78">
        <v>3</v>
      </c>
      <c r="E410" s="79"/>
      <c r="F410" s="79" t="e">
        <f t="shared" si="24"/>
        <v>#REF!</v>
      </c>
      <c r="G410" s="2"/>
      <c r="H410" s="38">
        <v>1869</v>
      </c>
      <c r="I410" s="4">
        <f t="shared" si="25"/>
        <v>0</v>
      </c>
      <c r="J410" s="25">
        <f t="shared" si="23"/>
        <v>13</v>
      </c>
    </row>
    <row r="411" spans="1:10" ht="34.950000000000003" customHeight="1">
      <c r="A411" s="75">
        <v>22</v>
      </c>
      <c r="B411" s="80" t="s">
        <v>112</v>
      </c>
      <c r="C411" s="77" t="s">
        <v>48</v>
      </c>
      <c r="D411" s="78">
        <v>1</v>
      </c>
      <c r="E411" s="79"/>
      <c r="F411" s="79" t="e">
        <f t="shared" si="24"/>
        <v>#REF!</v>
      </c>
      <c r="G411" s="2"/>
      <c r="H411" s="37">
        <v>82206</v>
      </c>
      <c r="I411" s="4">
        <f t="shared" si="25"/>
        <v>0</v>
      </c>
      <c r="J411" s="25">
        <f t="shared" si="23"/>
        <v>13</v>
      </c>
    </row>
    <row r="412" spans="1:10" ht="16.95" customHeight="1">
      <c r="A412" s="75">
        <v>23</v>
      </c>
      <c r="B412" s="80" t="s">
        <v>113</v>
      </c>
      <c r="C412" s="77" t="s">
        <v>48</v>
      </c>
      <c r="D412" s="78">
        <v>1</v>
      </c>
      <c r="E412" s="79"/>
      <c r="F412" s="79" t="e">
        <f t="shared" si="24"/>
        <v>#REF!</v>
      </c>
      <c r="G412" s="2"/>
      <c r="H412" s="37">
        <v>142723</v>
      </c>
      <c r="I412" s="4">
        <f t="shared" si="25"/>
        <v>0</v>
      </c>
      <c r="J412" s="25">
        <f t="shared" si="23"/>
        <v>13</v>
      </c>
    </row>
    <row r="413" spans="1:10" ht="16.95" customHeight="1">
      <c r="A413" s="75">
        <v>24</v>
      </c>
      <c r="B413" s="80" t="s">
        <v>114</v>
      </c>
      <c r="C413" s="77" t="s">
        <v>48</v>
      </c>
      <c r="D413" s="78">
        <v>1</v>
      </c>
      <c r="E413" s="79"/>
      <c r="F413" s="79" t="e">
        <f t="shared" si="24"/>
        <v>#REF!</v>
      </c>
      <c r="G413" s="2"/>
      <c r="H413" s="37">
        <v>37290</v>
      </c>
      <c r="I413" s="4">
        <f t="shared" si="25"/>
        <v>0</v>
      </c>
      <c r="J413" s="25">
        <f t="shared" si="23"/>
        <v>13</v>
      </c>
    </row>
    <row r="414" spans="1:10" ht="16.95" customHeight="1">
      <c r="A414" s="75">
        <v>25</v>
      </c>
      <c r="B414" s="80" t="s">
        <v>115</v>
      </c>
      <c r="C414" s="77" t="s">
        <v>48</v>
      </c>
      <c r="D414" s="78">
        <v>1</v>
      </c>
      <c r="E414" s="79"/>
      <c r="F414" s="79" t="e">
        <f t="shared" si="24"/>
        <v>#REF!</v>
      </c>
      <c r="G414" s="2"/>
      <c r="H414" s="37">
        <v>99394</v>
      </c>
      <c r="I414" s="4">
        <f t="shared" si="25"/>
        <v>0</v>
      </c>
      <c r="J414" s="25">
        <f t="shared" si="23"/>
        <v>13</v>
      </c>
    </row>
    <row r="415" spans="1:10" ht="34.950000000000003" customHeight="1">
      <c r="A415" s="75">
        <v>26</v>
      </c>
      <c r="B415" s="80" t="s">
        <v>116</v>
      </c>
      <c r="C415" s="77" t="s">
        <v>48</v>
      </c>
      <c r="D415" s="78">
        <v>1</v>
      </c>
      <c r="E415" s="79"/>
      <c r="F415" s="79" t="e">
        <f t="shared" si="24"/>
        <v>#REF!</v>
      </c>
      <c r="G415" s="2"/>
      <c r="H415" s="37">
        <v>21334</v>
      </c>
      <c r="I415" s="4">
        <f t="shared" si="25"/>
        <v>0</v>
      </c>
      <c r="J415" s="25">
        <f t="shared" si="23"/>
        <v>13</v>
      </c>
    </row>
    <row r="416" spans="1:10" ht="16.95" customHeight="1">
      <c r="A416" s="75">
        <v>27</v>
      </c>
      <c r="B416" s="80" t="s">
        <v>117</v>
      </c>
      <c r="C416" s="77" t="s">
        <v>48</v>
      </c>
      <c r="D416" s="78">
        <v>1</v>
      </c>
      <c r="E416" s="79"/>
      <c r="F416" s="79" t="e">
        <f t="shared" si="24"/>
        <v>#REF!</v>
      </c>
      <c r="G416" s="2"/>
      <c r="H416" s="37">
        <v>29620</v>
      </c>
      <c r="I416" s="4">
        <f t="shared" si="25"/>
        <v>0</v>
      </c>
      <c r="J416" s="25">
        <f t="shared" si="23"/>
        <v>13</v>
      </c>
    </row>
    <row r="417" spans="1:10" ht="16.95" customHeight="1">
      <c r="A417" s="75">
        <v>28</v>
      </c>
      <c r="B417" s="80" t="s">
        <v>118</v>
      </c>
      <c r="C417" s="77" t="s">
        <v>48</v>
      </c>
      <c r="D417" s="78">
        <v>1</v>
      </c>
      <c r="E417" s="79"/>
      <c r="F417" s="79" t="e">
        <f t="shared" si="24"/>
        <v>#REF!</v>
      </c>
      <c r="G417" s="2"/>
      <c r="H417" s="37">
        <v>18506</v>
      </c>
      <c r="I417" s="4">
        <f t="shared" si="25"/>
        <v>0</v>
      </c>
      <c r="J417" s="25">
        <f t="shared" si="23"/>
        <v>13</v>
      </c>
    </row>
    <row r="418" spans="1:10" ht="16.95" customHeight="1">
      <c r="A418" s="75">
        <v>29</v>
      </c>
      <c r="B418" s="80" t="s">
        <v>119</v>
      </c>
      <c r="C418" s="77" t="s">
        <v>48</v>
      </c>
      <c r="D418" s="78">
        <v>1</v>
      </c>
      <c r="E418" s="79"/>
      <c r="F418" s="79" t="e">
        <f t="shared" si="24"/>
        <v>#REF!</v>
      </c>
      <c r="G418" s="2"/>
      <c r="H418" s="37">
        <v>34381</v>
      </c>
      <c r="I418" s="4">
        <f t="shared" si="25"/>
        <v>0</v>
      </c>
      <c r="J418" s="25">
        <f t="shared" si="23"/>
        <v>13</v>
      </c>
    </row>
    <row r="419" spans="1:10" ht="16.95" customHeight="1">
      <c r="A419" s="75" t="s">
        <v>79</v>
      </c>
      <c r="B419" s="80" t="s">
        <v>80</v>
      </c>
      <c r="C419" s="77" t="s">
        <v>48</v>
      </c>
      <c r="D419" s="78">
        <v>1</v>
      </c>
      <c r="E419" s="79">
        <f t="shared" ref="E419:E422" si="26">1/120</f>
        <v>8.3333333333333332E-3</v>
      </c>
      <c r="F419" s="79" t="e">
        <f t="shared" si="24"/>
        <v>#REF!</v>
      </c>
      <c r="G419" s="2"/>
      <c r="H419" s="37">
        <v>21395</v>
      </c>
      <c r="I419" s="4">
        <f t="shared" si="25"/>
        <v>178.29166666666666</v>
      </c>
      <c r="J419" s="25">
        <f t="shared" si="23"/>
        <v>13</v>
      </c>
    </row>
    <row r="420" spans="1:10" ht="16.95" customHeight="1">
      <c r="A420" s="75" t="s">
        <v>81</v>
      </c>
      <c r="B420" s="80" t="s">
        <v>82</v>
      </c>
      <c r="C420" s="77" t="s">
        <v>48</v>
      </c>
      <c r="D420" s="78">
        <v>1</v>
      </c>
      <c r="E420" s="79">
        <f t="shared" si="26"/>
        <v>8.3333333333333332E-3</v>
      </c>
      <c r="F420" s="79" t="e">
        <f t="shared" si="24"/>
        <v>#REF!</v>
      </c>
      <c r="G420" s="2"/>
      <c r="H420" s="37">
        <v>21395</v>
      </c>
      <c r="I420" s="4">
        <f t="shared" si="25"/>
        <v>178.29166666666666</v>
      </c>
      <c r="J420" s="25">
        <f t="shared" si="23"/>
        <v>13</v>
      </c>
    </row>
    <row r="421" spans="1:10" ht="16.95" customHeight="1">
      <c r="A421" s="75" t="s">
        <v>83</v>
      </c>
      <c r="B421" s="80" t="s">
        <v>84</v>
      </c>
      <c r="C421" s="77" t="s">
        <v>48</v>
      </c>
      <c r="D421" s="78">
        <v>1</v>
      </c>
      <c r="E421" s="79">
        <f t="shared" si="26"/>
        <v>8.3333333333333332E-3</v>
      </c>
      <c r="F421" s="79" t="e">
        <f t="shared" si="24"/>
        <v>#REF!</v>
      </c>
      <c r="G421" s="2"/>
      <c r="H421" s="37">
        <v>149765</v>
      </c>
      <c r="I421" s="4">
        <f t="shared" si="25"/>
        <v>1248.0416666666667</v>
      </c>
      <c r="J421" s="25">
        <f t="shared" si="23"/>
        <v>13</v>
      </c>
    </row>
    <row r="422" spans="1:10" ht="16.95" customHeight="1">
      <c r="A422" s="75" t="s">
        <v>85</v>
      </c>
      <c r="B422" s="80" t="s">
        <v>86</v>
      </c>
      <c r="C422" s="77" t="s">
        <v>48</v>
      </c>
      <c r="D422" s="78">
        <v>1</v>
      </c>
      <c r="E422" s="79">
        <f t="shared" si="26"/>
        <v>8.3333333333333332E-3</v>
      </c>
      <c r="F422" s="79" t="e">
        <f t="shared" si="24"/>
        <v>#REF!</v>
      </c>
      <c r="G422" s="2"/>
      <c r="H422" s="37">
        <v>6996</v>
      </c>
      <c r="I422" s="4">
        <f t="shared" si="25"/>
        <v>58.3</v>
      </c>
      <c r="J422" s="25">
        <f t="shared" si="23"/>
        <v>13</v>
      </c>
    </row>
    <row r="423" spans="1:10" ht="16.95" customHeight="1">
      <c r="A423" s="75" t="s">
        <v>87</v>
      </c>
      <c r="B423" s="80" t="s">
        <v>88</v>
      </c>
      <c r="C423" s="77" t="s">
        <v>48</v>
      </c>
      <c r="D423" s="78">
        <v>1</v>
      </c>
      <c r="E423" s="79">
        <f>1/120</f>
        <v>8.3333333333333332E-3</v>
      </c>
      <c r="F423" s="79" t="e">
        <f t="shared" si="24"/>
        <v>#REF!</v>
      </c>
      <c r="G423" s="2"/>
      <c r="H423" s="37">
        <v>116952</v>
      </c>
      <c r="I423" s="4">
        <f t="shared" si="25"/>
        <v>974.6</v>
      </c>
      <c r="J423" s="25">
        <f t="shared" si="23"/>
        <v>13</v>
      </c>
    </row>
    <row r="424" spans="1:10" ht="16.95" customHeight="1">
      <c r="A424" s="95" t="s">
        <v>23</v>
      </c>
      <c r="B424" s="95"/>
      <c r="C424" s="50"/>
      <c r="D424" s="50"/>
      <c r="E424" s="50"/>
      <c r="F424" s="50"/>
      <c r="G424" s="50"/>
      <c r="H424" s="3" t="s">
        <v>24</v>
      </c>
      <c r="I424" s="5">
        <f>SUM(I389:I423)</f>
        <v>2637.5250000000001</v>
      </c>
      <c r="J424" s="25">
        <f t="shared" si="23"/>
        <v>13</v>
      </c>
    </row>
    <row r="425" spans="1:10" ht="16.95" customHeight="1">
      <c r="A425" s="96" t="s">
        <v>25</v>
      </c>
      <c r="B425" s="96"/>
      <c r="C425" s="50"/>
      <c r="D425" s="50"/>
      <c r="E425" s="50"/>
      <c r="F425" s="50"/>
      <c r="G425" s="50"/>
      <c r="J425" s="25">
        <f t="shared" si="23"/>
        <v>13</v>
      </c>
    </row>
    <row r="426" spans="1:10" ht="16.95" customHeight="1">
      <c r="A426" s="96" t="s">
        <v>26</v>
      </c>
      <c r="B426" s="96"/>
      <c r="C426" s="50"/>
      <c r="D426" s="50"/>
      <c r="E426" s="50"/>
      <c r="F426" s="50"/>
      <c r="G426" s="50"/>
      <c r="J426" s="25">
        <f t="shared" si="23"/>
        <v>13</v>
      </c>
    </row>
    <row r="427" spans="1:10" ht="16.95" customHeight="1">
      <c r="A427" s="95" t="s">
        <v>27</v>
      </c>
      <c r="B427" s="95"/>
      <c r="C427" s="95"/>
      <c r="D427" s="95"/>
      <c r="E427" s="95"/>
      <c r="F427" s="95"/>
      <c r="G427" s="95"/>
      <c r="J427" s="25">
        <f t="shared" si="23"/>
        <v>13</v>
      </c>
    </row>
    <row r="428" spans="1:10" ht="16.95" customHeight="1">
      <c r="A428" s="94" t="s">
        <v>28</v>
      </c>
      <c r="B428" s="94"/>
      <c r="C428" s="51" t="s">
        <v>29</v>
      </c>
      <c r="D428" s="51" t="s">
        <v>30</v>
      </c>
      <c r="E428" s="51" t="s">
        <v>18</v>
      </c>
      <c r="F428" s="51" t="s">
        <v>31</v>
      </c>
      <c r="G428" s="51" t="s">
        <v>20</v>
      </c>
      <c r="J428" s="25">
        <f t="shared" si="23"/>
        <v>13</v>
      </c>
    </row>
    <row r="429" spans="1:10" ht="16.95" customHeight="1">
      <c r="A429" s="96"/>
      <c r="B429" s="96"/>
      <c r="C429" s="50"/>
      <c r="D429" s="50"/>
      <c r="E429" s="50"/>
      <c r="F429" s="50"/>
      <c r="G429" s="51"/>
      <c r="J429" s="25">
        <f t="shared" si="23"/>
        <v>13</v>
      </c>
    </row>
    <row r="430" spans="1:10" ht="16.95" customHeight="1">
      <c r="A430" s="97"/>
      <c r="B430" s="97"/>
      <c r="C430" s="50"/>
      <c r="D430" s="50"/>
      <c r="E430" s="50"/>
      <c r="F430" s="51"/>
      <c r="G430" s="51"/>
      <c r="J430" s="25">
        <f t="shared" si="23"/>
        <v>13</v>
      </c>
    </row>
    <row r="431" spans="1:10" ht="16.95" customHeight="1">
      <c r="A431" s="95" t="s">
        <v>32</v>
      </c>
      <c r="B431" s="95"/>
      <c r="C431" s="95"/>
      <c r="D431" s="95"/>
      <c r="E431" s="95"/>
      <c r="F431" s="95"/>
      <c r="G431" s="95"/>
      <c r="J431" s="25">
        <f t="shared" si="23"/>
        <v>14</v>
      </c>
    </row>
    <row r="432" spans="1:10" ht="16.95" customHeight="1">
      <c r="A432" s="51" t="s">
        <v>33</v>
      </c>
      <c r="B432" s="51" t="s">
        <v>34</v>
      </c>
      <c r="C432" s="94" t="s">
        <v>35</v>
      </c>
      <c r="D432" s="94"/>
      <c r="E432" s="51" t="s">
        <v>36</v>
      </c>
      <c r="F432" s="51" t="s">
        <v>37</v>
      </c>
      <c r="G432" s="51" t="s">
        <v>38</v>
      </c>
      <c r="J432" s="25">
        <f t="shared" si="23"/>
        <v>14</v>
      </c>
    </row>
    <row r="433" spans="1:10" ht="16.95" customHeight="1">
      <c r="A433" s="51" t="s">
        <v>39</v>
      </c>
      <c r="B433" s="6"/>
      <c r="C433" s="94" t="e">
        <f>B433+C370</f>
        <v>#REF!</v>
      </c>
      <c r="D433" s="94"/>
      <c r="E433" s="51"/>
      <c r="F433" s="24"/>
      <c r="G433" s="24"/>
      <c r="J433" s="25">
        <f t="shared" si="23"/>
        <v>14</v>
      </c>
    </row>
    <row r="434" spans="1:10" ht="16.95" customHeight="1">
      <c r="A434" s="51" t="s">
        <v>40</v>
      </c>
      <c r="B434" s="6"/>
      <c r="C434" s="94" t="e">
        <f>B434+C371</f>
        <v>#REF!</v>
      </c>
      <c r="D434" s="94"/>
      <c r="E434" s="51"/>
      <c r="F434" s="24"/>
      <c r="G434" s="24"/>
      <c r="J434" s="25">
        <f t="shared" si="23"/>
        <v>14</v>
      </c>
    </row>
    <row r="435" spans="1:10" ht="36.6" customHeight="1">
      <c r="A435" s="95" t="s">
        <v>41</v>
      </c>
      <c r="B435" s="95"/>
      <c r="C435" s="95"/>
      <c r="D435" s="95"/>
      <c r="E435" s="95"/>
      <c r="F435" s="95"/>
      <c r="G435" s="95"/>
      <c r="J435" s="25">
        <f t="shared" si="23"/>
        <v>14</v>
      </c>
    </row>
    <row r="436" spans="1:10" ht="90" customHeight="1">
      <c r="A436" s="92" t="s">
        <v>42</v>
      </c>
      <c r="B436" s="92"/>
      <c r="C436" s="92"/>
      <c r="D436" s="92"/>
      <c r="E436" s="92"/>
      <c r="F436" s="92"/>
      <c r="G436" s="92"/>
      <c r="J436" s="25">
        <f t="shared" si="23"/>
        <v>14</v>
      </c>
    </row>
    <row r="437" spans="1:10" ht="16.95" customHeight="1">
      <c r="A437" s="95" t="s">
        <v>43</v>
      </c>
      <c r="B437" s="95"/>
      <c r="C437" s="95"/>
      <c r="D437" s="95"/>
      <c r="E437" s="95"/>
      <c r="F437" s="95"/>
      <c r="G437" s="95"/>
      <c r="J437" s="25">
        <f t="shared" si="23"/>
        <v>14</v>
      </c>
    </row>
    <row r="438" spans="1:10" ht="16.95" customHeight="1">
      <c r="A438" s="95" t="s">
        <v>44</v>
      </c>
      <c r="B438" s="95"/>
      <c r="C438" s="95"/>
      <c r="D438" s="95"/>
      <c r="E438" s="95"/>
      <c r="F438" s="95"/>
      <c r="G438" s="95"/>
      <c r="J438" s="25">
        <f t="shared" si="23"/>
        <v>14</v>
      </c>
    </row>
    <row r="439" spans="1:10" ht="16.95" customHeight="1">
      <c r="A439" s="91" t="s">
        <v>64</v>
      </c>
      <c r="B439" s="91"/>
      <c r="C439" s="91"/>
      <c r="D439" s="91"/>
      <c r="E439" s="91"/>
      <c r="F439" s="91"/>
      <c r="G439" s="91"/>
      <c r="J439" s="25">
        <f t="shared" si="23"/>
        <v>14</v>
      </c>
    </row>
    <row r="440" spans="1:10" ht="120.6" customHeight="1">
      <c r="A440" s="92" t="s">
        <v>45</v>
      </c>
      <c r="B440" s="92"/>
      <c r="C440" s="92"/>
      <c r="D440" s="92"/>
      <c r="E440" s="92"/>
      <c r="F440" s="92"/>
      <c r="G440" s="92"/>
      <c r="J440" s="25">
        <f t="shared" si="23"/>
        <v>14</v>
      </c>
    </row>
    <row r="441" spans="1:10" ht="140.4" customHeight="1">
      <c r="A441" s="93" t="s">
        <v>46</v>
      </c>
      <c r="B441" s="93"/>
      <c r="C441" s="93"/>
      <c r="D441" s="93"/>
      <c r="E441" s="93"/>
      <c r="F441" s="93"/>
      <c r="G441" s="93"/>
      <c r="J441" s="25">
        <f t="shared" si="23"/>
        <v>14</v>
      </c>
    </row>
    <row r="442" spans="1:10" ht="37.200000000000003" customHeight="1">
      <c r="A442" s="103" t="s">
        <v>0</v>
      </c>
      <c r="B442" s="103"/>
      <c r="C442" s="103"/>
      <c r="D442" s="103"/>
      <c r="E442" s="103"/>
      <c r="F442" s="103"/>
      <c r="G442" s="103"/>
      <c r="J442" s="25">
        <f t="shared" si="23"/>
        <v>15</v>
      </c>
    </row>
    <row r="443" spans="1:10" ht="16.95" customHeight="1">
      <c r="A443" s="1" t="s">
        <v>1</v>
      </c>
      <c r="B443" s="104">
        <f>B380+1</f>
        <v>9</v>
      </c>
      <c r="C443" s="104"/>
      <c r="D443" s="104"/>
      <c r="E443" s="104"/>
      <c r="F443" s="104"/>
      <c r="G443" s="104"/>
      <c r="J443" s="25">
        <f t="shared" ref="J443:J506" si="27">J380+2</f>
        <v>15</v>
      </c>
    </row>
    <row r="444" spans="1:10" ht="16.95" customHeight="1">
      <c r="A444" s="1" t="s">
        <v>2</v>
      </c>
      <c r="B444" s="105" t="s">
        <v>63</v>
      </c>
      <c r="C444" s="105"/>
      <c r="D444" s="105"/>
      <c r="E444" s="106">
        <f>E381+1</f>
        <v>46211</v>
      </c>
      <c r="F444" s="106"/>
      <c r="G444" s="106"/>
      <c r="J444" s="25">
        <f t="shared" si="27"/>
        <v>15</v>
      </c>
    </row>
    <row r="445" spans="1:10" ht="16.95" customHeight="1">
      <c r="A445" s="53" t="s">
        <v>3</v>
      </c>
      <c r="B445" s="2" t="s">
        <v>67</v>
      </c>
      <c r="C445" s="98" t="s">
        <v>4</v>
      </c>
      <c r="D445" s="98"/>
      <c r="E445" s="98" t="s">
        <v>47</v>
      </c>
      <c r="F445" s="98"/>
      <c r="G445" s="98"/>
      <c r="J445" s="25">
        <f t="shared" si="27"/>
        <v>15</v>
      </c>
    </row>
    <row r="446" spans="1:10" ht="16.95" customHeight="1">
      <c r="A446" s="53" t="s">
        <v>5</v>
      </c>
      <c r="B446" s="54">
        <v>120</v>
      </c>
      <c r="C446" s="98" t="s">
        <v>6</v>
      </c>
      <c r="D446" s="98"/>
      <c r="E446" s="98" t="s">
        <v>123</v>
      </c>
      <c r="F446" s="98"/>
      <c r="G446" s="98"/>
      <c r="J446" s="25">
        <f t="shared" si="27"/>
        <v>15</v>
      </c>
    </row>
    <row r="447" spans="1:10" ht="16.95" customHeight="1">
      <c r="A447" s="53" t="s">
        <v>7</v>
      </c>
      <c r="B447" s="54">
        <f>B443</f>
        <v>9</v>
      </c>
      <c r="C447" s="100" t="s">
        <v>8</v>
      </c>
      <c r="D447" s="100"/>
      <c r="E447" s="101">
        <f>B446-B447</f>
        <v>111</v>
      </c>
      <c r="F447" s="101"/>
      <c r="G447" s="101"/>
      <c r="J447" s="25">
        <f t="shared" si="27"/>
        <v>15</v>
      </c>
    </row>
    <row r="448" spans="1:10" ht="16.95" customHeight="1">
      <c r="A448" s="53" t="s">
        <v>9</v>
      </c>
      <c r="B448" s="55">
        <v>46204</v>
      </c>
      <c r="C448" s="98" t="s">
        <v>10</v>
      </c>
      <c r="D448" s="98"/>
      <c r="E448" s="102">
        <f>B448+B446-1</f>
        <v>46323</v>
      </c>
      <c r="F448" s="102"/>
      <c r="G448" s="102"/>
      <c r="J448" s="25">
        <f t="shared" si="27"/>
        <v>15</v>
      </c>
    </row>
    <row r="449" spans="1:10" ht="16.95" customHeight="1">
      <c r="A449" s="53" t="s">
        <v>11</v>
      </c>
      <c r="B449" s="56" t="e">
        <f>HLOOKUP(B443,進度表!$Q$2:$Z$3,2,1)+B386</f>
        <v>#REF!</v>
      </c>
      <c r="C449" s="98" t="s">
        <v>12</v>
      </c>
      <c r="D449" s="98"/>
      <c r="E449" s="99" t="e">
        <f>I487/I449+E386</f>
        <v>#REF!</v>
      </c>
      <c r="F449" s="99"/>
      <c r="G449" s="99"/>
      <c r="H449" s="3" t="s">
        <v>62</v>
      </c>
      <c r="I449" s="1">
        <v>2456000</v>
      </c>
      <c r="J449" s="25">
        <f t="shared" si="27"/>
        <v>15</v>
      </c>
    </row>
    <row r="450" spans="1:10" ht="16.95" customHeight="1">
      <c r="A450" s="98" t="s">
        <v>13</v>
      </c>
      <c r="B450" s="98"/>
      <c r="C450" s="98"/>
      <c r="D450" s="98"/>
      <c r="E450" s="98"/>
      <c r="F450" s="98"/>
      <c r="G450" s="98"/>
      <c r="J450" s="25">
        <f t="shared" si="27"/>
        <v>15</v>
      </c>
    </row>
    <row r="451" spans="1:10" ht="16.95" customHeight="1">
      <c r="A451" s="52" t="s">
        <v>14</v>
      </c>
      <c r="B451" s="52" t="s">
        <v>15</v>
      </c>
      <c r="C451" s="52" t="s">
        <v>16</v>
      </c>
      <c r="D451" s="52" t="s">
        <v>17</v>
      </c>
      <c r="E451" s="52" t="s">
        <v>18</v>
      </c>
      <c r="F451" s="52" t="s">
        <v>19</v>
      </c>
      <c r="G451" s="52" t="s">
        <v>20</v>
      </c>
      <c r="H451" s="3" t="s">
        <v>21</v>
      </c>
      <c r="I451" s="3" t="s">
        <v>22</v>
      </c>
      <c r="J451" s="25">
        <f t="shared" si="27"/>
        <v>15</v>
      </c>
    </row>
    <row r="452" spans="1:10" ht="16.95" customHeight="1">
      <c r="A452" s="75" t="s">
        <v>65</v>
      </c>
      <c r="B452" s="76" t="s">
        <v>69</v>
      </c>
      <c r="C452" s="77"/>
      <c r="D452" s="78"/>
      <c r="E452" s="79"/>
      <c r="F452" s="79"/>
      <c r="G452" s="2"/>
      <c r="H452" s="37"/>
      <c r="I452" s="4"/>
      <c r="J452" s="25">
        <f t="shared" si="27"/>
        <v>15</v>
      </c>
    </row>
    <row r="453" spans="1:10" ht="34.950000000000003" customHeight="1">
      <c r="A453" s="75">
        <v>1</v>
      </c>
      <c r="B453" s="80" t="s">
        <v>91</v>
      </c>
      <c r="C453" s="77" t="s">
        <v>48</v>
      </c>
      <c r="D453" s="78">
        <v>1</v>
      </c>
      <c r="E453" s="79"/>
      <c r="F453" s="79" t="e">
        <f t="shared" ref="F453:F486" si="28">E453+F390</f>
        <v>#REF!</v>
      </c>
      <c r="G453" s="2"/>
      <c r="H453" s="37">
        <v>10508</v>
      </c>
      <c r="I453" s="4">
        <f>H453*E453</f>
        <v>0</v>
      </c>
      <c r="J453" s="25">
        <f t="shared" si="27"/>
        <v>15</v>
      </c>
    </row>
    <row r="454" spans="1:10" ht="34.799999999999997" customHeight="1">
      <c r="A454" s="75">
        <v>2</v>
      </c>
      <c r="B454" s="80" t="s">
        <v>92</v>
      </c>
      <c r="C454" s="77" t="s">
        <v>48</v>
      </c>
      <c r="D454" s="78">
        <v>1</v>
      </c>
      <c r="E454" s="79"/>
      <c r="F454" s="79" t="e">
        <f t="shared" si="28"/>
        <v>#REF!</v>
      </c>
      <c r="G454" s="2"/>
      <c r="H454" s="37">
        <v>13223</v>
      </c>
      <c r="I454" s="4">
        <f>H454*E454</f>
        <v>0</v>
      </c>
      <c r="J454" s="25">
        <f t="shared" si="27"/>
        <v>15</v>
      </c>
    </row>
    <row r="455" spans="1:10" ht="53.4" customHeight="1">
      <c r="A455" s="75">
        <v>3</v>
      </c>
      <c r="B455" s="80" t="s">
        <v>93</v>
      </c>
      <c r="C455" s="77" t="s">
        <v>48</v>
      </c>
      <c r="D455" s="78">
        <v>1</v>
      </c>
      <c r="E455" s="79"/>
      <c r="F455" s="79" t="e">
        <f t="shared" si="28"/>
        <v>#REF!</v>
      </c>
      <c r="G455" s="2"/>
      <c r="H455" s="37">
        <v>310497</v>
      </c>
      <c r="I455" s="4">
        <f t="shared" ref="I455:I486" si="29">H455*E455</f>
        <v>0</v>
      </c>
      <c r="J455" s="25">
        <f t="shared" si="27"/>
        <v>15</v>
      </c>
    </row>
    <row r="456" spans="1:10" ht="16.95" customHeight="1">
      <c r="A456" s="75">
        <v>4</v>
      </c>
      <c r="B456" s="80" t="s">
        <v>94</v>
      </c>
      <c r="C456" s="77" t="s">
        <v>48</v>
      </c>
      <c r="D456" s="78">
        <v>1</v>
      </c>
      <c r="E456" s="79"/>
      <c r="F456" s="79" t="e">
        <f t="shared" si="28"/>
        <v>#REF!</v>
      </c>
      <c r="G456" s="2"/>
      <c r="H456" s="37">
        <v>8375</v>
      </c>
      <c r="I456" s="4">
        <f t="shared" si="29"/>
        <v>0</v>
      </c>
      <c r="J456" s="25">
        <f t="shared" si="27"/>
        <v>15</v>
      </c>
    </row>
    <row r="457" spans="1:10" ht="16.95" customHeight="1">
      <c r="A457" s="75">
        <v>5</v>
      </c>
      <c r="B457" s="80" t="s">
        <v>95</v>
      </c>
      <c r="C457" s="77" t="s">
        <v>48</v>
      </c>
      <c r="D457" s="78">
        <v>1</v>
      </c>
      <c r="E457" s="79"/>
      <c r="F457" s="79" t="e">
        <f t="shared" si="28"/>
        <v>#REF!</v>
      </c>
      <c r="G457" s="2"/>
      <c r="H457" s="37">
        <v>51618</v>
      </c>
      <c r="I457" s="4">
        <f t="shared" si="29"/>
        <v>0</v>
      </c>
      <c r="J457" s="25">
        <f t="shared" si="27"/>
        <v>15</v>
      </c>
    </row>
    <row r="458" spans="1:10" ht="16.95" customHeight="1">
      <c r="A458" s="75">
        <v>6</v>
      </c>
      <c r="B458" s="80" t="s">
        <v>96</v>
      </c>
      <c r="C458" s="77" t="s">
        <v>50</v>
      </c>
      <c r="D458" s="78">
        <v>11.55</v>
      </c>
      <c r="E458" s="79"/>
      <c r="F458" s="79" t="e">
        <f t="shared" si="28"/>
        <v>#REF!</v>
      </c>
      <c r="G458" s="2"/>
      <c r="H458" s="37">
        <v>1188</v>
      </c>
      <c r="I458" s="4">
        <f t="shared" si="29"/>
        <v>0</v>
      </c>
      <c r="J458" s="25">
        <f t="shared" si="27"/>
        <v>15</v>
      </c>
    </row>
    <row r="459" spans="1:10" ht="34.950000000000003" customHeight="1">
      <c r="A459" s="75">
        <v>7</v>
      </c>
      <c r="B459" s="80" t="s">
        <v>97</v>
      </c>
      <c r="C459" s="77" t="s">
        <v>48</v>
      </c>
      <c r="D459" s="78">
        <v>1</v>
      </c>
      <c r="E459" s="79"/>
      <c r="F459" s="79" t="e">
        <f t="shared" si="28"/>
        <v>#REF!</v>
      </c>
      <c r="G459" s="2"/>
      <c r="H459" s="37">
        <v>21157</v>
      </c>
      <c r="I459" s="4">
        <f t="shared" si="29"/>
        <v>0</v>
      </c>
      <c r="J459" s="25">
        <f t="shared" si="27"/>
        <v>15</v>
      </c>
    </row>
    <row r="460" spans="1:10" ht="16.95" customHeight="1">
      <c r="A460" s="75">
        <v>8</v>
      </c>
      <c r="B460" s="80" t="s">
        <v>98</v>
      </c>
      <c r="C460" s="77" t="s">
        <v>50</v>
      </c>
      <c r="D460" s="78">
        <v>387</v>
      </c>
      <c r="E460" s="79"/>
      <c r="F460" s="79" t="e">
        <f t="shared" si="28"/>
        <v>#REF!</v>
      </c>
      <c r="G460" s="2"/>
      <c r="H460" s="37">
        <v>705</v>
      </c>
      <c r="I460" s="4">
        <f t="shared" si="29"/>
        <v>0</v>
      </c>
      <c r="J460" s="25">
        <f t="shared" si="27"/>
        <v>15</v>
      </c>
    </row>
    <row r="461" spans="1:10" ht="16.95" customHeight="1">
      <c r="A461" s="75">
        <v>9</v>
      </c>
      <c r="B461" s="80" t="s">
        <v>99</v>
      </c>
      <c r="C461" s="77" t="s">
        <v>50</v>
      </c>
      <c r="D461" s="78">
        <v>170</v>
      </c>
      <c r="E461" s="79"/>
      <c r="F461" s="79" t="e">
        <f t="shared" si="28"/>
        <v>#REF!</v>
      </c>
      <c r="G461" s="2"/>
      <c r="H461" s="37">
        <v>617</v>
      </c>
      <c r="I461" s="4">
        <f t="shared" si="29"/>
        <v>0</v>
      </c>
      <c r="J461" s="25">
        <f t="shared" si="27"/>
        <v>15</v>
      </c>
    </row>
    <row r="462" spans="1:10" ht="16.95" customHeight="1">
      <c r="A462" s="75">
        <v>10</v>
      </c>
      <c r="B462" s="80" t="s">
        <v>100</v>
      </c>
      <c r="C462" s="77" t="s">
        <v>66</v>
      </c>
      <c r="D462" s="78">
        <v>15</v>
      </c>
      <c r="E462" s="79"/>
      <c r="F462" s="79" t="e">
        <f t="shared" si="28"/>
        <v>#REF!</v>
      </c>
      <c r="G462" s="2"/>
      <c r="H462" s="37">
        <v>617</v>
      </c>
      <c r="I462" s="4">
        <f t="shared" si="29"/>
        <v>0</v>
      </c>
      <c r="J462" s="25">
        <f t="shared" si="27"/>
        <v>15</v>
      </c>
    </row>
    <row r="463" spans="1:10" ht="16.95" customHeight="1">
      <c r="A463" s="75">
        <v>11</v>
      </c>
      <c r="B463" s="80" t="s">
        <v>101</v>
      </c>
      <c r="C463" s="77" t="s">
        <v>50</v>
      </c>
      <c r="D463" s="78">
        <v>75</v>
      </c>
      <c r="E463" s="79"/>
      <c r="F463" s="79" t="e">
        <f t="shared" si="28"/>
        <v>#REF!</v>
      </c>
      <c r="G463" s="2"/>
      <c r="H463" s="37">
        <v>1146</v>
      </c>
      <c r="I463" s="4">
        <f t="shared" si="29"/>
        <v>0</v>
      </c>
      <c r="J463" s="25">
        <f t="shared" si="27"/>
        <v>15</v>
      </c>
    </row>
    <row r="464" spans="1:10" ht="16.95" customHeight="1">
      <c r="A464" s="75">
        <v>12</v>
      </c>
      <c r="B464" s="80" t="s">
        <v>102</v>
      </c>
      <c r="C464" s="77" t="s">
        <v>50</v>
      </c>
      <c r="D464" s="78">
        <v>5</v>
      </c>
      <c r="E464" s="79"/>
      <c r="F464" s="79" t="e">
        <f t="shared" si="28"/>
        <v>#REF!</v>
      </c>
      <c r="G464" s="2"/>
      <c r="H464" s="37">
        <v>1455</v>
      </c>
      <c r="I464" s="4">
        <f t="shared" si="29"/>
        <v>0</v>
      </c>
      <c r="J464" s="25">
        <f t="shared" si="27"/>
        <v>15</v>
      </c>
    </row>
    <row r="465" spans="1:10" ht="16.95" customHeight="1">
      <c r="A465" s="75">
        <v>13</v>
      </c>
      <c r="B465" s="80" t="s">
        <v>103</v>
      </c>
      <c r="C465" s="77" t="s">
        <v>50</v>
      </c>
      <c r="D465" s="78">
        <v>217</v>
      </c>
      <c r="E465" s="79"/>
      <c r="F465" s="79" t="e">
        <f t="shared" si="28"/>
        <v>#REF!</v>
      </c>
      <c r="G465" s="2"/>
      <c r="H465" s="37">
        <v>1410</v>
      </c>
      <c r="I465" s="4">
        <f t="shared" si="29"/>
        <v>0</v>
      </c>
      <c r="J465" s="25">
        <f t="shared" si="27"/>
        <v>15</v>
      </c>
    </row>
    <row r="466" spans="1:10" ht="16.95" customHeight="1">
      <c r="A466" s="75">
        <v>14</v>
      </c>
      <c r="B466" s="80" t="s">
        <v>104</v>
      </c>
      <c r="C466" s="77" t="s">
        <v>49</v>
      </c>
      <c r="D466" s="78">
        <v>84</v>
      </c>
      <c r="E466" s="79"/>
      <c r="F466" s="79" t="e">
        <f t="shared" si="28"/>
        <v>#REF!</v>
      </c>
      <c r="G466" s="2"/>
      <c r="H466" s="37">
        <v>529</v>
      </c>
      <c r="I466" s="4">
        <f t="shared" si="29"/>
        <v>0</v>
      </c>
      <c r="J466" s="25">
        <f t="shared" si="27"/>
        <v>15</v>
      </c>
    </row>
    <row r="467" spans="1:10" ht="16.95" customHeight="1">
      <c r="A467" s="75">
        <v>15</v>
      </c>
      <c r="B467" s="80" t="s">
        <v>105</v>
      </c>
      <c r="C467" s="77" t="s">
        <v>50</v>
      </c>
      <c r="D467" s="78">
        <v>1</v>
      </c>
      <c r="E467" s="79"/>
      <c r="F467" s="79" t="e">
        <f t="shared" si="28"/>
        <v>#REF!</v>
      </c>
      <c r="G467" s="2"/>
      <c r="H467" s="37">
        <v>1146</v>
      </c>
      <c r="I467" s="4">
        <f t="shared" si="29"/>
        <v>0</v>
      </c>
      <c r="J467" s="25">
        <f t="shared" si="27"/>
        <v>15</v>
      </c>
    </row>
    <row r="468" spans="1:10" ht="34.799999999999997" customHeight="1">
      <c r="A468" s="75">
        <v>16</v>
      </c>
      <c r="B468" s="80" t="s">
        <v>106</v>
      </c>
      <c r="C468" s="77" t="s">
        <v>50</v>
      </c>
      <c r="D468" s="78">
        <v>314</v>
      </c>
      <c r="E468" s="79"/>
      <c r="F468" s="79" t="e">
        <f t="shared" si="28"/>
        <v>#REF!</v>
      </c>
      <c r="G468" s="2"/>
      <c r="H468" s="37">
        <v>185</v>
      </c>
      <c r="I468" s="4">
        <f t="shared" si="29"/>
        <v>0</v>
      </c>
      <c r="J468" s="25">
        <f t="shared" si="27"/>
        <v>15</v>
      </c>
    </row>
    <row r="469" spans="1:10" ht="16.95" customHeight="1">
      <c r="A469" s="75">
        <v>17</v>
      </c>
      <c r="B469" s="80" t="s">
        <v>107</v>
      </c>
      <c r="C469" s="77" t="s">
        <v>48</v>
      </c>
      <c r="D469" s="78">
        <v>1</v>
      </c>
      <c r="E469" s="79"/>
      <c r="F469" s="79" t="e">
        <f t="shared" si="28"/>
        <v>#REF!</v>
      </c>
      <c r="G469" s="2"/>
      <c r="H469" s="37">
        <v>89918</v>
      </c>
      <c r="I469" s="4">
        <f t="shared" si="29"/>
        <v>0</v>
      </c>
      <c r="J469" s="25">
        <f t="shared" si="27"/>
        <v>15</v>
      </c>
    </row>
    <row r="470" spans="1:10" ht="16.95" customHeight="1">
      <c r="A470" s="75">
        <v>18</v>
      </c>
      <c r="B470" s="80" t="s">
        <v>108</v>
      </c>
      <c r="C470" s="77" t="s">
        <v>120</v>
      </c>
      <c r="D470" s="78">
        <v>15</v>
      </c>
      <c r="E470" s="79"/>
      <c r="F470" s="79" t="e">
        <f t="shared" si="28"/>
        <v>#REF!</v>
      </c>
      <c r="G470" s="2"/>
      <c r="H470" s="37">
        <v>661</v>
      </c>
      <c r="I470" s="4">
        <f t="shared" si="29"/>
        <v>0</v>
      </c>
      <c r="J470" s="25">
        <f t="shared" si="27"/>
        <v>15</v>
      </c>
    </row>
    <row r="471" spans="1:10" ht="16.95" customHeight="1">
      <c r="A471" s="75">
        <v>19</v>
      </c>
      <c r="B471" s="80" t="s">
        <v>109</v>
      </c>
      <c r="C471" s="77" t="s">
        <v>50</v>
      </c>
      <c r="D471" s="78">
        <v>82</v>
      </c>
      <c r="E471" s="79"/>
      <c r="F471" s="79" t="e">
        <f t="shared" si="28"/>
        <v>#REF!</v>
      </c>
      <c r="G471" s="2"/>
      <c r="H471" s="37">
        <v>2909</v>
      </c>
      <c r="I471" s="4">
        <f t="shared" si="29"/>
        <v>0</v>
      </c>
      <c r="J471" s="25">
        <f t="shared" si="27"/>
        <v>15</v>
      </c>
    </row>
    <row r="472" spans="1:10" ht="16.95" customHeight="1">
      <c r="A472" s="75">
        <v>20</v>
      </c>
      <c r="B472" s="80" t="s">
        <v>110</v>
      </c>
      <c r="C472" s="77" t="s">
        <v>121</v>
      </c>
      <c r="D472" s="78">
        <v>12</v>
      </c>
      <c r="E472" s="79"/>
      <c r="F472" s="79" t="e">
        <f t="shared" si="28"/>
        <v>#REF!</v>
      </c>
      <c r="G472" s="2"/>
      <c r="H472" s="37">
        <v>882</v>
      </c>
      <c r="I472" s="4">
        <f t="shared" si="29"/>
        <v>0</v>
      </c>
      <c r="J472" s="25">
        <f t="shared" si="27"/>
        <v>15</v>
      </c>
    </row>
    <row r="473" spans="1:10" ht="16.95" customHeight="1">
      <c r="A473" s="77">
        <v>21</v>
      </c>
      <c r="B473" s="80" t="s">
        <v>111</v>
      </c>
      <c r="C473" s="77" t="s">
        <v>122</v>
      </c>
      <c r="D473" s="78">
        <v>3</v>
      </c>
      <c r="E473" s="79"/>
      <c r="F473" s="79" t="e">
        <f t="shared" si="28"/>
        <v>#REF!</v>
      </c>
      <c r="G473" s="2"/>
      <c r="H473" s="38">
        <v>1869</v>
      </c>
      <c r="I473" s="4">
        <f t="shared" si="29"/>
        <v>0</v>
      </c>
      <c r="J473" s="25">
        <f t="shared" si="27"/>
        <v>15</v>
      </c>
    </row>
    <row r="474" spans="1:10" ht="34.950000000000003" customHeight="1">
      <c r="A474" s="75">
        <v>22</v>
      </c>
      <c r="B474" s="80" t="s">
        <v>112</v>
      </c>
      <c r="C474" s="77" t="s">
        <v>48</v>
      </c>
      <c r="D474" s="78">
        <v>1</v>
      </c>
      <c r="E474" s="79"/>
      <c r="F474" s="79" t="e">
        <f t="shared" si="28"/>
        <v>#REF!</v>
      </c>
      <c r="G474" s="2"/>
      <c r="H474" s="37">
        <v>82206</v>
      </c>
      <c r="I474" s="4">
        <f t="shared" si="29"/>
        <v>0</v>
      </c>
      <c r="J474" s="25">
        <f t="shared" si="27"/>
        <v>15</v>
      </c>
    </row>
    <row r="475" spans="1:10" ht="16.95" customHeight="1">
      <c r="A475" s="75">
        <v>23</v>
      </c>
      <c r="B475" s="80" t="s">
        <v>113</v>
      </c>
      <c r="C475" s="77" t="s">
        <v>48</v>
      </c>
      <c r="D475" s="78">
        <v>1</v>
      </c>
      <c r="E475" s="79"/>
      <c r="F475" s="79" t="e">
        <f t="shared" si="28"/>
        <v>#REF!</v>
      </c>
      <c r="G475" s="2"/>
      <c r="H475" s="37">
        <v>142723</v>
      </c>
      <c r="I475" s="4">
        <f t="shared" si="29"/>
        <v>0</v>
      </c>
      <c r="J475" s="25">
        <f t="shared" si="27"/>
        <v>15</v>
      </c>
    </row>
    <row r="476" spans="1:10" ht="16.95" customHeight="1">
      <c r="A476" s="75">
        <v>24</v>
      </c>
      <c r="B476" s="80" t="s">
        <v>114</v>
      </c>
      <c r="C476" s="77" t="s">
        <v>48</v>
      </c>
      <c r="D476" s="78">
        <v>1</v>
      </c>
      <c r="E476" s="79"/>
      <c r="F476" s="79" t="e">
        <f t="shared" si="28"/>
        <v>#REF!</v>
      </c>
      <c r="G476" s="2"/>
      <c r="H476" s="37">
        <v>37290</v>
      </c>
      <c r="I476" s="4">
        <f t="shared" si="29"/>
        <v>0</v>
      </c>
      <c r="J476" s="25">
        <f t="shared" si="27"/>
        <v>15</v>
      </c>
    </row>
    <row r="477" spans="1:10" ht="16.95" customHeight="1">
      <c r="A477" s="75">
        <v>25</v>
      </c>
      <c r="B477" s="80" t="s">
        <v>115</v>
      </c>
      <c r="C477" s="77" t="s">
        <v>48</v>
      </c>
      <c r="D477" s="78">
        <v>1</v>
      </c>
      <c r="E477" s="79"/>
      <c r="F477" s="79" t="e">
        <f t="shared" si="28"/>
        <v>#REF!</v>
      </c>
      <c r="G477" s="2"/>
      <c r="H477" s="37">
        <v>99394</v>
      </c>
      <c r="I477" s="4">
        <f t="shared" si="29"/>
        <v>0</v>
      </c>
      <c r="J477" s="25">
        <f t="shared" si="27"/>
        <v>15</v>
      </c>
    </row>
    <row r="478" spans="1:10" ht="34.950000000000003" customHeight="1">
      <c r="A478" s="75">
        <v>26</v>
      </c>
      <c r="B478" s="80" t="s">
        <v>116</v>
      </c>
      <c r="C478" s="77" t="s">
        <v>48</v>
      </c>
      <c r="D478" s="78">
        <v>1</v>
      </c>
      <c r="E478" s="79"/>
      <c r="F478" s="79" t="e">
        <f t="shared" si="28"/>
        <v>#REF!</v>
      </c>
      <c r="G478" s="2"/>
      <c r="H478" s="37">
        <v>21334</v>
      </c>
      <c r="I478" s="4">
        <f t="shared" si="29"/>
        <v>0</v>
      </c>
      <c r="J478" s="25">
        <f t="shared" si="27"/>
        <v>15</v>
      </c>
    </row>
    <row r="479" spans="1:10" ht="16.95" customHeight="1">
      <c r="A479" s="75">
        <v>27</v>
      </c>
      <c r="B479" s="80" t="s">
        <v>117</v>
      </c>
      <c r="C479" s="77" t="s">
        <v>48</v>
      </c>
      <c r="D479" s="78">
        <v>1</v>
      </c>
      <c r="E479" s="79"/>
      <c r="F479" s="79" t="e">
        <f t="shared" si="28"/>
        <v>#REF!</v>
      </c>
      <c r="G479" s="2"/>
      <c r="H479" s="37">
        <v>29620</v>
      </c>
      <c r="I479" s="4">
        <f t="shared" si="29"/>
        <v>0</v>
      </c>
      <c r="J479" s="25">
        <f t="shared" si="27"/>
        <v>15</v>
      </c>
    </row>
    <row r="480" spans="1:10" ht="16.95" customHeight="1">
      <c r="A480" s="75">
        <v>28</v>
      </c>
      <c r="B480" s="80" t="s">
        <v>118</v>
      </c>
      <c r="C480" s="77" t="s">
        <v>48</v>
      </c>
      <c r="D480" s="78">
        <v>1</v>
      </c>
      <c r="E480" s="79"/>
      <c r="F480" s="79" t="e">
        <f t="shared" si="28"/>
        <v>#REF!</v>
      </c>
      <c r="G480" s="2"/>
      <c r="H480" s="37">
        <v>18506</v>
      </c>
      <c r="I480" s="4">
        <f t="shared" si="29"/>
        <v>0</v>
      </c>
      <c r="J480" s="25">
        <f t="shared" si="27"/>
        <v>15</v>
      </c>
    </row>
    <row r="481" spans="1:10" ht="16.95" customHeight="1">
      <c r="A481" s="75">
        <v>29</v>
      </c>
      <c r="B481" s="80" t="s">
        <v>119</v>
      </c>
      <c r="C481" s="77" t="s">
        <v>48</v>
      </c>
      <c r="D481" s="78">
        <v>1</v>
      </c>
      <c r="E481" s="79"/>
      <c r="F481" s="79" t="e">
        <f t="shared" si="28"/>
        <v>#REF!</v>
      </c>
      <c r="G481" s="2"/>
      <c r="H481" s="37">
        <v>34381</v>
      </c>
      <c r="I481" s="4">
        <f t="shared" si="29"/>
        <v>0</v>
      </c>
      <c r="J481" s="25">
        <f t="shared" si="27"/>
        <v>15</v>
      </c>
    </row>
    <row r="482" spans="1:10" ht="16.95" customHeight="1">
      <c r="A482" s="75" t="s">
        <v>79</v>
      </c>
      <c r="B482" s="80" t="s">
        <v>80</v>
      </c>
      <c r="C482" s="77" t="s">
        <v>48</v>
      </c>
      <c r="D482" s="78">
        <v>1</v>
      </c>
      <c r="E482" s="79">
        <f t="shared" ref="E482:E485" si="30">1/120</f>
        <v>8.3333333333333332E-3</v>
      </c>
      <c r="F482" s="79" t="e">
        <f t="shared" si="28"/>
        <v>#REF!</v>
      </c>
      <c r="G482" s="2"/>
      <c r="H482" s="37">
        <v>21395</v>
      </c>
      <c r="I482" s="4">
        <f t="shared" si="29"/>
        <v>178.29166666666666</v>
      </c>
      <c r="J482" s="25">
        <f t="shared" si="27"/>
        <v>15</v>
      </c>
    </row>
    <row r="483" spans="1:10" ht="16.95" customHeight="1">
      <c r="A483" s="75" t="s">
        <v>81</v>
      </c>
      <c r="B483" s="80" t="s">
        <v>82</v>
      </c>
      <c r="C483" s="77" t="s">
        <v>48</v>
      </c>
      <c r="D483" s="78">
        <v>1</v>
      </c>
      <c r="E483" s="79">
        <f t="shared" si="30"/>
        <v>8.3333333333333332E-3</v>
      </c>
      <c r="F483" s="79" t="e">
        <f t="shared" si="28"/>
        <v>#REF!</v>
      </c>
      <c r="G483" s="2"/>
      <c r="H483" s="37">
        <v>21395</v>
      </c>
      <c r="I483" s="4">
        <f t="shared" si="29"/>
        <v>178.29166666666666</v>
      </c>
      <c r="J483" s="25">
        <f t="shared" si="27"/>
        <v>15</v>
      </c>
    </row>
    <row r="484" spans="1:10" ht="16.95" customHeight="1">
      <c r="A484" s="75" t="s">
        <v>83</v>
      </c>
      <c r="B484" s="80" t="s">
        <v>84</v>
      </c>
      <c r="C484" s="77" t="s">
        <v>48</v>
      </c>
      <c r="D484" s="78">
        <v>1</v>
      </c>
      <c r="E484" s="79">
        <f t="shared" si="30"/>
        <v>8.3333333333333332E-3</v>
      </c>
      <c r="F484" s="79" t="e">
        <f t="shared" si="28"/>
        <v>#REF!</v>
      </c>
      <c r="G484" s="2"/>
      <c r="H484" s="37">
        <v>149765</v>
      </c>
      <c r="I484" s="4">
        <f t="shared" si="29"/>
        <v>1248.0416666666667</v>
      </c>
      <c r="J484" s="25">
        <f t="shared" si="27"/>
        <v>15</v>
      </c>
    </row>
    <row r="485" spans="1:10" ht="16.95" customHeight="1">
      <c r="A485" s="75" t="s">
        <v>85</v>
      </c>
      <c r="B485" s="80" t="s">
        <v>86</v>
      </c>
      <c r="C485" s="77" t="s">
        <v>48</v>
      </c>
      <c r="D485" s="78">
        <v>1</v>
      </c>
      <c r="E485" s="79">
        <f t="shared" si="30"/>
        <v>8.3333333333333332E-3</v>
      </c>
      <c r="F485" s="79" t="e">
        <f t="shared" si="28"/>
        <v>#REF!</v>
      </c>
      <c r="G485" s="2"/>
      <c r="H485" s="37">
        <v>6996</v>
      </c>
      <c r="I485" s="4">
        <f t="shared" si="29"/>
        <v>58.3</v>
      </c>
      <c r="J485" s="25">
        <f t="shared" si="27"/>
        <v>15</v>
      </c>
    </row>
    <row r="486" spans="1:10" ht="16.95" customHeight="1">
      <c r="A486" s="75" t="s">
        <v>87</v>
      </c>
      <c r="B486" s="80" t="s">
        <v>88</v>
      </c>
      <c r="C486" s="77" t="s">
        <v>48</v>
      </c>
      <c r="D486" s="78">
        <v>1</v>
      </c>
      <c r="E486" s="79">
        <f>1/120</f>
        <v>8.3333333333333332E-3</v>
      </c>
      <c r="F486" s="79" t="e">
        <f t="shared" si="28"/>
        <v>#REF!</v>
      </c>
      <c r="G486" s="2"/>
      <c r="H486" s="37">
        <v>116952</v>
      </c>
      <c r="I486" s="4">
        <f t="shared" si="29"/>
        <v>974.6</v>
      </c>
      <c r="J486" s="25">
        <f t="shared" si="27"/>
        <v>15</v>
      </c>
    </row>
    <row r="487" spans="1:10" ht="16.95" customHeight="1">
      <c r="A487" s="95" t="s">
        <v>23</v>
      </c>
      <c r="B487" s="95"/>
      <c r="C487" s="50"/>
      <c r="D487" s="50"/>
      <c r="E487" s="50"/>
      <c r="F487" s="50"/>
      <c r="G487" s="50"/>
      <c r="H487" s="3" t="s">
        <v>24</v>
      </c>
      <c r="I487" s="5">
        <f>SUM(I452:I486)</f>
        <v>2637.5250000000001</v>
      </c>
      <c r="J487" s="25">
        <f t="shared" si="27"/>
        <v>15</v>
      </c>
    </row>
    <row r="488" spans="1:10" ht="16.95" customHeight="1">
      <c r="A488" s="96" t="s">
        <v>25</v>
      </c>
      <c r="B488" s="96"/>
      <c r="C488" s="50"/>
      <c r="D488" s="50"/>
      <c r="E488" s="50"/>
      <c r="F488" s="50"/>
      <c r="G488" s="50"/>
      <c r="J488" s="25">
        <f t="shared" si="27"/>
        <v>15</v>
      </c>
    </row>
    <row r="489" spans="1:10" ht="16.95" customHeight="1">
      <c r="A489" s="96" t="s">
        <v>26</v>
      </c>
      <c r="B489" s="96"/>
      <c r="C489" s="50"/>
      <c r="D489" s="50"/>
      <c r="E489" s="50"/>
      <c r="F489" s="50"/>
      <c r="G489" s="50"/>
      <c r="J489" s="25">
        <f t="shared" si="27"/>
        <v>15</v>
      </c>
    </row>
    <row r="490" spans="1:10" ht="16.95" customHeight="1">
      <c r="A490" s="95" t="s">
        <v>27</v>
      </c>
      <c r="B490" s="95"/>
      <c r="C490" s="95"/>
      <c r="D490" s="95"/>
      <c r="E490" s="95"/>
      <c r="F490" s="95"/>
      <c r="G490" s="95"/>
      <c r="J490" s="25">
        <f t="shared" si="27"/>
        <v>15</v>
      </c>
    </row>
    <row r="491" spans="1:10" ht="16.95" customHeight="1">
      <c r="A491" s="94" t="s">
        <v>28</v>
      </c>
      <c r="B491" s="94"/>
      <c r="C491" s="51" t="s">
        <v>29</v>
      </c>
      <c r="D491" s="51" t="s">
        <v>30</v>
      </c>
      <c r="E491" s="51" t="s">
        <v>18</v>
      </c>
      <c r="F491" s="51" t="s">
        <v>31</v>
      </c>
      <c r="G491" s="51" t="s">
        <v>20</v>
      </c>
      <c r="J491" s="25">
        <f t="shared" si="27"/>
        <v>15</v>
      </c>
    </row>
    <row r="492" spans="1:10" ht="16.95" customHeight="1">
      <c r="A492" s="96"/>
      <c r="B492" s="96"/>
      <c r="C492" s="50"/>
      <c r="D492" s="50"/>
      <c r="E492" s="50"/>
      <c r="F492" s="50"/>
      <c r="G492" s="51"/>
      <c r="J492" s="25">
        <f t="shared" si="27"/>
        <v>15</v>
      </c>
    </row>
    <row r="493" spans="1:10" ht="16.95" customHeight="1">
      <c r="A493" s="97"/>
      <c r="B493" s="97"/>
      <c r="C493" s="50"/>
      <c r="D493" s="50"/>
      <c r="E493" s="50"/>
      <c r="F493" s="51"/>
      <c r="G493" s="51"/>
      <c r="J493" s="25">
        <f t="shared" si="27"/>
        <v>15</v>
      </c>
    </row>
    <row r="494" spans="1:10" ht="16.95" customHeight="1">
      <c r="A494" s="95" t="s">
        <v>32</v>
      </c>
      <c r="B494" s="95"/>
      <c r="C494" s="95"/>
      <c r="D494" s="95"/>
      <c r="E494" s="95"/>
      <c r="F494" s="95"/>
      <c r="G494" s="95"/>
      <c r="J494" s="25">
        <f t="shared" si="27"/>
        <v>16</v>
      </c>
    </row>
    <row r="495" spans="1:10" ht="16.95" customHeight="1">
      <c r="A495" s="51" t="s">
        <v>33</v>
      </c>
      <c r="B495" s="51" t="s">
        <v>34</v>
      </c>
      <c r="C495" s="94" t="s">
        <v>35</v>
      </c>
      <c r="D495" s="94"/>
      <c r="E495" s="51" t="s">
        <v>36</v>
      </c>
      <c r="F495" s="51" t="s">
        <v>37</v>
      </c>
      <c r="G495" s="51" t="s">
        <v>38</v>
      </c>
      <c r="J495" s="25">
        <f t="shared" si="27"/>
        <v>16</v>
      </c>
    </row>
    <row r="496" spans="1:10" ht="16.95" customHeight="1">
      <c r="A496" s="51" t="s">
        <v>39</v>
      </c>
      <c r="B496" s="6"/>
      <c r="C496" s="94" t="e">
        <f>B496+C433</f>
        <v>#REF!</v>
      </c>
      <c r="D496" s="94"/>
      <c r="E496" s="51"/>
      <c r="F496" s="24"/>
      <c r="G496" s="24"/>
      <c r="J496" s="25">
        <f t="shared" si="27"/>
        <v>16</v>
      </c>
    </row>
    <row r="497" spans="1:10" ht="16.95" customHeight="1">
      <c r="A497" s="51" t="s">
        <v>40</v>
      </c>
      <c r="B497" s="6"/>
      <c r="C497" s="94" t="e">
        <f>B497+C434</f>
        <v>#REF!</v>
      </c>
      <c r="D497" s="94"/>
      <c r="E497" s="51"/>
      <c r="F497" s="24"/>
      <c r="G497" s="24"/>
      <c r="J497" s="25">
        <f t="shared" si="27"/>
        <v>16</v>
      </c>
    </row>
    <row r="498" spans="1:10" ht="36.6" customHeight="1">
      <c r="A498" s="95" t="s">
        <v>41</v>
      </c>
      <c r="B498" s="95"/>
      <c r="C498" s="95"/>
      <c r="D498" s="95"/>
      <c r="E498" s="95"/>
      <c r="F498" s="95"/>
      <c r="G498" s="95"/>
      <c r="J498" s="25">
        <f t="shared" si="27"/>
        <v>16</v>
      </c>
    </row>
    <row r="499" spans="1:10" ht="90" customHeight="1">
      <c r="A499" s="92" t="s">
        <v>42</v>
      </c>
      <c r="B499" s="92"/>
      <c r="C499" s="92"/>
      <c r="D499" s="92"/>
      <c r="E499" s="92"/>
      <c r="F499" s="92"/>
      <c r="G499" s="92"/>
      <c r="J499" s="25">
        <f t="shared" si="27"/>
        <v>16</v>
      </c>
    </row>
    <row r="500" spans="1:10" ht="16.95" customHeight="1">
      <c r="A500" s="95" t="s">
        <v>43</v>
      </c>
      <c r="B500" s="95"/>
      <c r="C500" s="95"/>
      <c r="D500" s="95"/>
      <c r="E500" s="95"/>
      <c r="F500" s="95"/>
      <c r="G500" s="95"/>
      <c r="J500" s="25">
        <f t="shared" si="27"/>
        <v>16</v>
      </c>
    </row>
    <row r="501" spans="1:10" ht="16.95" customHeight="1">
      <c r="A501" s="95" t="s">
        <v>44</v>
      </c>
      <c r="B501" s="95"/>
      <c r="C501" s="95"/>
      <c r="D501" s="95"/>
      <c r="E501" s="95"/>
      <c r="F501" s="95"/>
      <c r="G501" s="95"/>
      <c r="J501" s="25">
        <f t="shared" si="27"/>
        <v>16</v>
      </c>
    </row>
    <row r="502" spans="1:10" ht="16.95" customHeight="1">
      <c r="A502" s="91" t="s">
        <v>64</v>
      </c>
      <c r="B502" s="91"/>
      <c r="C502" s="91"/>
      <c r="D502" s="91"/>
      <c r="E502" s="91"/>
      <c r="F502" s="91"/>
      <c r="G502" s="91"/>
      <c r="J502" s="25">
        <f t="shared" si="27"/>
        <v>16</v>
      </c>
    </row>
    <row r="503" spans="1:10" ht="120.6" customHeight="1">
      <c r="A503" s="92" t="s">
        <v>45</v>
      </c>
      <c r="B503" s="92"/>
      <c r="C503" s="92"/>
      <c r="D503" s="92"/>
      <c r="E503" s="92"/>
      <c r="F503" s="92"/>
      <c r="G503" s="92"/>
      <c r="J503" s="25">
        <f t="shared" si="27"/>
        <v>16</v>
      </c>
    </row>
    <row r="504" spans="1:10" ht="140.4" customHeight="1">
      <c r="A504" s="93" t="s">
        <v>46</v>
      </c>
      <c r="B504" s="93"/>
      <c r="C504" s="93"/>
      <c r="D504" s="93"/>
      <c r="E504" s="93"/>
      <c r="F504" s="93"/>
      <c r="G504" s="93"/>
      <c r="J504" s="25">
        <f t="shared" si="27"/>
        <v>16</v>
      </c>
    </row>
    <row r="505" spans="1:10" ht="37.200000000000003" customHeight="1">
      <c r="A505" s="103" t="s">
        <v>0</v>
      </c>
      <c r="B505" s="103"/>
      <c r="C505" s="103"/>
      <c r="D505" s="103"/>
      <c r="E505" s="103"/>
      <c r="F505" s="103"/>
      <c r="G505" s="103"/>
      <c r="J505" s="25">
        <f t="shared" si="27"/>
        <v>17</v>
      </c>
    </row>
    <row r="506" spans="1:10" ht="16.95" customHeight="1">
      <c r="A506" s="1" t="s">
        <v>1</v>
      </c>
      <c r="B506" s="104">
        <f>B443+1</f>
        <v>10</v>
      </c>
      <c r="C506" s="104"/>
      <c r="D506" s="104"/>
      <c r="E506" s="104"/>
      <c r="F506" s="104"/>
      <c r="G506" s="104"/>
      <c r="J506" s="25">
        <f t="shared" si="27"/>
        <v>17</v>
      </c>
    </row>
    <row r="507" spans="1:10" ht="16.95" customHeight="1">
      <c r="A507" s="1" t="s">
        <v>2</v>
      </c>
      <c r="B507" s="105" t="s">
        <v>63</v>
      </c>
      <c r="C507" s="105"/>
      <c r="D507" s="105"/>
      <c r="E507" s="106">
        <f>E444+1</f>
        <v>46212</v>
      </c>
      <c r="F507" s="106"/>
      <c r="G507" s="106"/>
      <c r="J507" s="25">
        <f t="shared" ref="J507:J570" si="31">J444+2</f>
        <v>17</v>
      </c>
    </row>
    <row r="508" spans="1:10" ht="16.95" customHeight="1">
      <c r="A508" s="53" t="s">
        <v>3</v>
      </c>
      <c r="B508" s="2" t="s">
        <v>67</v>
      </c>
      <c r="C508" s="98" t="s">
        <v>4</v>
      </c>
      <c r="D508" s="98"/>
      <c r="E508" s="98" t="s">
        <v>47</v>
      </c>
      <c r="F508" s="98"/>
      <c r="G508" s="98"/>
      <c r="J508" s="25">
        <f t="shared" si="31"/>
        <v>17</v>
      </c>
    </row>
    <row r="509" spans="1:10" ht="16.95" customHeight="1">
      <c r="A509" s="53" t="s">
        <v>5</v>
      </c>
      <c r="B509" s="54">
        <v>120</v>
      </c>
      <c r="C509" s="98" t="s">
        <v>6</v>
      </c>
      <c r="D509" s="98"/>
      <c r="E509" s="98" t="s">
        <v>123</v>
      </c>
      <c r="F509" s="98"/>
      <c r="G509" s="98"/>
      <c r="J509" s="25">
        <f t="shared" si="31"/>
        <v>17</v>
      </c>
    </row>
    <row r="510" spans="1:10" ht="16.95" customHeight="1">
      <c r="A510" s="53" t="s">
        <v>7</v>
      </c>
      <c r="B510" s="54">
        <f>B506</f>
        <v>10</v>
      </c>
      <c r="C510" s="100" t="s">
        <v>8</v>
      </c>
      <c r="D510" s="100"/>
      <c r="E510" s="101">
        <f>B509-B510</f>
        <v>110</v>
      </c>
      <c r="F510" s="101"/>
      <c r="G510" s="101"/>
      <c r="J510" s="25">
        <f t="shared" si="31"/>
        <v>17</v>
      </c>
    </row>
    <row r="511" spans="1:10" ht="16.95" customHeight="1">
      <c r="A511" s="53" t="s">
        <v>9</v>
      </c>
      <c r="B511" s="55">
        <v>46204</v>
      </c>
      <c r="C511" s="98" t="s">
        <v>10</v>
      </c>
      <c r="D511" s="98"/>
      <c r="E511" s="102">
        <f>B511+B509-1</f>
        <v>46323</v>
      </c>
      <c r="F511" s="102"/>
      <c r="G511" s="102"/>
      <c r="J511" s="25">
        <f t="shared" si="31"/>
        <v>17</v>
      </c>
    </row>
    <row r="512" spans="1:10" ht="16.95" customHeight="1">
      <c r="A512" s="53" t="s">
        <v>11</v>
      </c>
      <c r="B512" s="56" t="e">
        <f>HLOOKUP(B506,進度表!$Q$2:$Z$3,2,1)+B449</f>
        <v>#REF!</v>
      </c>
      <c r="C512" s="98" t="s">
        <v>12</v>
      </c>
      <c r="D512" s="98"/>
      <c r="E512" s="99" t="e">
        <f>I550/I512+E449</f>
        <v>#REF!</v>
      </c>
      <c r="F512" s="99"/>
      <c r="G512" s="99"/>
      <c r="H512" s="3" t="s">
        <v>62</v>
      </c>
      <c r="I512" s="1">
        <v>2456000</v>
      </c>
      <c r="J512" s="25">
        <f t="shared" si="31"/>
        <v>17</v>
      </c>
    </row>
    <row r="513" spans="1:10" ht="16.95" customHeight="1">
      <c r="A513" s="98" t="s">
        <v>13</v>
      </c>
      <c r="B513" s="98"/>
      <c r="C513" s="98"/>
      <c r="D513" s="98"/>
      <c r="E513" s="98"/>
      <c r="F513" s="98"/>
      <c r="G513" s="98"/>
      <c r="J513" s="25">
        <f t="shared" si="31"/>
        <v>17</v>
      </c>
    </row>
    <row r="514" spans="1:10" ht="16.95" customHeight="1">
      <c r="A514" s="52" t="s">
        <v>14</v>
      </c>
      <c r="B514" s="52" t="s">
        <v>15</v>
      </c>
      <c r="C514" s="52" t="s">
        <v>16</v>
      </c>
      <c r="D514" s="52" t="s">
        <v>17</v>
      </c>
      <c r="E514" s="52" t="s">
        <v>18</v>
      </c>
      <c r="F514" s="52" t="s">
        <v>19</v>
      </c>
      <c r="G514" s="52" t="s">
        <v>20</v>
      </c>
      <c r="H514" s="3" t="s">
        <v>21</v>
      </c>
      <c r="I514" s="3" t="s">
        <v>22</v>
      </c>
      <c r="J514" s="25">
        <f t="shared" si="31"/>
        <v>17</v>
      </c>
    </row>
    <row r="515" spans="1:10" ht="16.95" customHeight="1">
      <c r="A515" s="75" t="s">
        <v>65</v>
      </c>
      <c r="B515" s="76" t="s">
        <v>69</v>
      </c>
      <c r="C515" s="77"/>
      <c r="D515" s="78"/>
      <c r="E515" s="79"/>
      <c r="F515" s="79"/>
      <c r="G515" s="2"/>
      <c r="H515" s="37"/>
      <c r="I515" s="4"/>
      <c r="J515" s="25">
        <f t="shared" si="31"/>
        <v>17</v>
      </c>
    </row>
    <row r="516" spans="1:10" ht="34.950000000000003" customHeight="1">
      <c r="A516" s="75">
        <v>1</v>
      </c>
      <c r="B516" s="80" t="s">
        <v>91</v>
      </c>
      <c r="C516" s="77" t="s">
        <v>48</v>
      </c>
      <c r="D516" s="78">
        <v>1</v>
      </c>
      <c r="E516" s="79"/>
      <c r="F516" s="79" t="e">
        <f t="shared" ref="F516:F549" si="32">E516+F453</f>
        <v>#REF!</v>
      </c>
      <c r="G516" s="2"/>
      <c r="H516" s="37">
        <v>10508</v>
      </c>
      <c r="I516" s="4">
        <f>H516*E516</f>
        <v>0</v>
      </c>
      <c r="J516" s="25">
        <f t="shared" si="31"/>
        <v>17</v>
      </c>
    </row>
    <row r="517" spans="1:10" ht="34.799999999999997" customHeight="1">
      <c r="A517" s="75">
        <v>2</v>
      </c>
      <c r="B517" s="80" t="s">
        <v>92</v>
      </c>
      <c r="C517" s="77" t="s">
        <v>48</v>
      </c>
      <c r="D517" s="78">
        <v>1</v>
      </c>
      <c r="E517" s="79"/>
      <c r="F517" s="79" t="e">
        <f t="shared" si="32"/>
        <v>#REF!</v>
      </c>
      <c r="G517" s="2"/>
      <c r="H517" s="37">
        <v>13223</v>
      </c>
      <c r="I517" s="4">
        <f>H517*E517</f>
        <v>0</v>
      </c>
      <c r="J517" s="25">
        <f t="shared" si="31"/>
        <v>17</v>
      </c>
    </row>
    <row r="518" spans="1:10" ht="53.4" customHeight="1">
      <c r="A518" s="75">
        <v>3</v>
      </c>
      <c r="B518" s="80" t="s">
        <v>93</v>
      </c>
      <c r="C518" s="77" t="s">
        <v>48</v>
      </c>
      <c r="D518" s="78">
        <v>1</v>
      </c>
      <c r="E518" s="79"/>
      <c r="F518" s="79" t="e">
        <f t="shared" si="32"/>
        <v>#REF!</v>
      </c>
      <c r="G518" s="2"/>
      <c r="H518" s="37">
        <v>310497</v>
      </c>
      <c r="I518" s="4">
        <f t="shared" ref="I518:I549" si="33">H518*E518</f>
        <v>0</v>
      </c>
      <c r="J518" s="25">
        <f t="shared" si="31"/>
        <v>17</v>
      </c>
    </row>
    <row r="519" spans="1:10" ht="16.95" customHeight="1">
      <c r="A519" s="75">
        <v>4</v>
      </c>
      <c r="B519" s="80" t="s">
        <v>94</v>
      </c>
      <c r="C519" s="77" t="s">
        <v>48</v>
      </c>
      <c r="D519" s="78">
        <v>1</v>
      </c>
      <c r="E519" s="79"/>
      <c r="F519" s="79" t="e">
        <f t="shared" si="32"/>
        <v>#REF!</v>
      </c>
      <c r="G519" s="2"/>
      <c r="H519" s="37">
        <v>8375</v>
      </c>
      <c r="I519" s="4">
        <f t="shared" si="33"/>
        <v>0</v>
      </c>
      <c r="J519" s="25">
        <f t="shared" si="31"/>
        <v>17</v>
      </c>
    </row>
    <row r="520" spans="1:10" ht="16.95" customHeight="1">
      <c r="A520" s="75">
        <v>5</v>
      </c>
      <c r="B520" s="80" t="s">
        <v>95</v>
      </c>
      <c r="C520" s="77" t="s">
        <v>48</v>
      </c>
      <c r="D520" s="78">
        <v>1</v>
      </c>
      <c r="E520" s="79"/>
      <c r="F520" s="79" t="e">
        <f t="shared" si="32"/>
        <v>#REF!</v>
      </c>
      <c r="G520" s="2"/>
      <c r="H520" s="37">
        <v>51618</v>
      </c>
      <c r="I520" s="4">
        <f t="shared" si="33"/>
        <v>0</v>
      </c>
      <c r="J520" s="25">
        <f t="shared" si="31"/>
        <v>17</v>
      </c>
    </row>
    <row r="521" spans="1:10" ht="16.95" customHeight="1">
      <c r="A521" s="75">
        <v>6</v>
      </c>
      <c r="B521" s="80" t="s">
        <v>96</v>
      </c>
      <c r="C521" s="77" t="s">
        <v>50</v>
      </c>
      <c r="D521" s="78">
        <v>11.55</v>
      </c>
      <c r="E521" s="79"/>
      <c r="F521" s="79" t="e">
        <f t="shared" si="32"/>
        <v>#REF!</v>
      </c>
      <c r="G521" s="2"/>
      <c r="H521" s="37">
        <v>1188</v>
      </c>
      <c r="I521" s="4">
        <f t="shared" si="33"/>
        <v>0</v>
      </c>
      <c r="J521" s="25">
        <f t="shared" si="31"/>
        <v>17</v>
      </c>
    </row>
    <row r="522" spans="1:10" ht="34.950000000000003" customHeight="1">
      <c r="A522" s="75">
        <v>7</v>
      </c>
      <c r="B522" s="80" t="s">
        <v>97</v>
      </c>
      <c r="C522" s="77" t="s">
        <v>48</v>
      </c>
      <c r="D522" s="78">
        <v>1</v>
      </c>
      <c r="E522" s="79"/>
      <c r="F522" s="79" t="e">
        <f t="shared" si="32"/>
        <v>#REF!</v>
      </c>
      <c r="G522" s="2"/>
      <c r="H522" s="37">
        <v>21157</v>
      </c>
      <c r="I522" s="4">
        <f t="shared" si="33"/>
        <v>0</v>
      </c>
      <c r="J522" s="25">
        <f t="shared" si="31"/>
        <v>17</v>
      </c>
    </row>
    <row r="523" spans="1:10" ht="16.95" customHeight="1">
      <c r="A523" s="75">
        <v>8</v>
      </c>
      <c r="B523" s="80" t="s">
        <v>98</v>
      </c>
      <c r="C523" s="77" t="s">
        <v>50</v>
      </c>
      <c r="D523" s="78">
        <v>387</v>
      </c>
      <c r="E523" s="79"/>
      <c r="F523" s="79" t="e">
        <f t="shared" si="32"/>
        <v>#REF!</v>
      </c>
      <c r="G523" s="2"/>
      <c r="H523" s="37">
        <v>705</v>
      </c>
      <c r="I523" s="4">
        <f t="shared" si="33"/>
        <v>0</v>
      </c>
      <c r="J523" s="25">
        <f t="shared" si="31"/>
        <v>17</v>
      </c>
    </row>
    <row r="524" spans="1:10" ht="16.95" customHeight="1">
      <c r="A524" s="75">
        <v>9</v>
      </c>
      <c r="B524" s="80" t="s">
        <v>99</v>
      </c>
      <c r="C524" s="77" t="s">
        <v>50</v>
      </c>
      <c r="D524" s="78">
        <v>170</v>
      </c>
      <c r="E524" s="79"/>
      <c r="F524" s="79" t="e">
        <f t="shared" si="32"/>
        <v>#REF!</v>
      </c>
      <c r="G524" s="2"/>
      <c r="H524" s="37">
        <v>617</v>
      </c>
      <c r="I524" s="4">
        <f t="shared" si="33"/>
        <v>0</v>
      </c>
      <c r="J524" s="25">
        <f t="shared" si="31"/>
        <v>17</v>
      </c>
    </row>
    <row r="525" spans="1:10" ht="16.95" customHeight="1">
      <c r="A525" s="75">
        <v>10</v>
      </c>
      <c r="B525" s="80" t="s">
        <v>100</v>
      </c>
      <c r="C525" s="77" t="s">
        <v>66</v>
      </c>
      <c r="D525" s="78">
        <v>15</v>
      </c>
      <c r="E525" s="79"/>
      <c r="F525" s="79" t="e">
        <f t="shared" si="32"/>
        <v>#REF!</v>
      </c>
      <c r="G525" s="2"/>
      <c r="H525" s="37">
        <v>617</v>
      </c>
      <c r="I525" s="4">
        <f t="shared" si="33"/>
        <v>0</v>
      </c>
      <c r="J525" s="25">
        <f t="shared" si="31"/>
        <v>17</v>
      </c>
    </row>
    <row r="526" spans="1:10" ht="16.95" customHeight="1">
      <c r="A526" s="75">
        <v>11</v>
      </c>
      <c r="B526" s="80" t="s">
        <v>101</v>
      </c>
      <c r="C526" s="77" t="s">
        <v>50</v>
      </c>
      <c r="D526" s="78">
        <v>75</v>
      </c>
      <c r="E526" s="79"/>
      <c r="F526" s="79" t="e">
        <f t="shared" si="32"/>
        <v>#REF!</v>
      </c>
      <c r="G526" s="2"/>
      <c r="H526" s="37">
        <v>1146</v>
      </c>
      <c r="I526" s="4">
        <f t="shared" si="33"/>
        <v>0</v>
      </c>
      <c r="J526" s="25">
        <f t="shared" si="31"/>
        <v>17</v>
      </c>
    </row>
    <row r="527" spans="1:10" ht="16.95" customHeight="1">
      <c r="A527" s="75">
        <v>12</v>
      </c>
      <c r="B527" s="80" t="s">
        <v>102</v>
      </c>
      <c r="C527" s="77" t="s">
        <v>50</v>
      </c>
      <c r="D527" s="78">
        <v>5</v>
      </c>
      <c r="E527" s="79"/>
      <c r="F527" s="79" t="e">
        <f t="shared" si="32"/>
        <v>#REF!</v>
      </c>
      <c r="G527" s="2"/>
      <c r="H527" s="37">
        <v>1455</v>
      </c>
      <c r="I527" s="4">
        <f t="shared" si="33"/>
        <v>0</v>
      </c>
      <c r="J527" s="25">
        <f t="shared" si="31"/>
        <v>17</v>
      </c>
    </row>
    <row r="528" spans="1:10" ht="16.95" customHeight="1">
      <c r="A528" s="75">
        <v>13</v>
      </c>
      <c r="B528" s="80" t="s">
        <v>103</v>
      </c>
      <c r="C528" s="77" t="s">
        <v>50</v>
      </c>
      <c r="D528" s="78">
        <v>217</v>
      </c>
      <c r="E528" s="79"/>
      <c r="F528" s="79" t="e">
        <f t="shared" si="32"/>
        <v>#REF!</v>
      </c>
      <c r="G528" s="2"/>
      <c r="H528" s="37">
        <v>1410</v>
      </c>
      <c r="I528" s="4">
        <f t="shared" si="33"/>
        <v>0</v>
      </c>
      <c r="J528" s="25">
        <f t="shared" si="31"/>
        <v>17</v>
      </c>
    </row>
    <row r="529" spans="1:10" ht="16.95" customHeight="1">
      <c r="A529" s="75">
        <v>14</v>
      </c>
      <c r="B529" s="80" t="s">
        <v>104</v>
      </c>
      <c r="C529" s="77" t="s">
        <v>49</v>
      </c>
      <c r="D529" s="78">
        <v>84</v>
      </c>
      <c r="E529" s="79"/>
      <c r="F529" s="79" t="e">
        <f t="shared" si="32"/>
        <v>#REF!</v>
      </c>
      <c r="G529" s="2"/>
      <c r="H529" s="37">
        <v>529</v>
      </c>
      <c r="I529" s="4">
        <f t="shared" si="33"/>
        <v>0</v>
      </c>
      <c r="J529" s="25">
        <f t="shared" si="31"/>
        <v>17</v>
      </c>
    </row>
    <row r="530" spans="1:10" ht="16.95" customHeight="1">
      <c r="A530" s="75">
        <v>15</v>
      </c>
      <c r="B530" s="80" t="s">
        <v>105</v>
      </c>
      <c r="C530" s="77" t="s">
        <v>50</v>
      </c>
      <c r="D530" s="78">
        <v>1</v>
      </c>
      <c r="E530" s="79"/>
      <c r="F530" s="79" t="e">
        <f t="shared" si="32"/>
        <v>#REF!</v>
      </c>
      <c r="G530" s="2"/>
      <c r="H530" s="37">
        <v>1146</v>
      </c>
      <c r="I530" s="4">
        <f t="shared" si="33"/>
        <v>0</v>
      </c>
      <c r="J530" s="25">
        <f t="shared" si="31"/>
        <v>17</v>
      </c>
    </row>
    <row r="531" spans="1:10" ht="34.799999999999997" customHeight="1">
      <c r="A531" s="75">
        <v>16</v>
      </c>
      <c r="B531" s="80" t="s">
        <v>106</v>
      </c>
      <c r="C531" s="77" t="s">
        <v>50</v>
      </c>
      <c r="D531" s="78">
        <v>314</v>
      </c>
      <c r="E531" s="79"/>
      <c r="F531" s="79" t="e">
        <f t="shared" si="32"/>
        <v>#REF!</v>
      </c>
      <c r="G531" s="2"/>
      <c r="H531" s="37">
        <v>185</v>
      </c>
      <c r="I531" s="4">
        <f t="shared" si="33"/>
        <v>0</v>
      </c>
      <c r="J531" s="25">
        <f t="shared" si="31"/>
        <v>17</v>
      </c>
    </row>
    <row r="532" spans="1:10" ht="16.95" customHeight="1">
      <c r="A532" s="75">
        <v>17</v>
      </c>
      <c r="B532" s="80" t="s">
        <v>107</v>
      </c>
      <c r="C532" s="77" t="s">
        <v>48</v>
      </c>
      <c r="D532" s="78">
        <v>1</v>
      </c>
      <c r="E532" s="79"/>
      <c r="F532" s="79" t="e">
        <f t="shared" si="32"/>
        <v>#REF!</v>
      </c>
      <c r="G532" s="2"/>
      <c r="H532" s="37">
        <v>89918</v>
      </c>
      <c r="I532" s="4">
        <f t="shared" si="33"/>
        <v>0</v>
      </c>
      <c r="J532" s="25">
        <f t="shared" si="31"/>
        <v>17</v>
      </c>
    </row>
    <row r="533" spans="1:10" ht="16.95" customHeight="1">
      <c r="A533" s="75">
        <v>18</v>
      </c>
      <c r="B533" s="80" t="s">
        <v>108</v>
      </c>
      <c r="C533" s="77" t="s">
        <v>120</v>
      </c>
      <c r="D533" s="78">
        <v>15</v>
      </c>
      <c r="E533" s="79"/>
      <c r="F533" s="79" t="e">
        <f t="shared" si="32"/>
        <v>#REF!</v>
      </c>
      <c r="G533" s="2"/>
      <c r="H533" s="37">
        <v>661</v>
      </c>
      <c r="I533" s="4">
        <f t="shared" si="33"/>
        <v>0</v>
      </c>
      <c r="J533" s="25">
        <f t="shared" si="31"/>
        <v>17</v>
      </c>
    </row>
    <row r="534" spans="1:10" ht="16.95" customHeight="1">
      <c r="A534" s="75">
        <v>19</v>
      </c>
      <c r="B534" s="80" t="s">
        <v>109</v>
      </c>
      <c r="C534" s="77" t="s">
        <v>50</v>
      </c>
      <c r="D534" s="78">
        <v>82</v>
      </c>
      <c r="E534" s="79"/>
      <c r="F534" s="79" t="e">
        <f t="shared" si="32"/>
        <v>#REF!</v>
      </c>
      <c r="G534" s="2"/>
      <c r="H534" s="37">
        <v>2909</v>
      </c>
      <c r="I534" s="4">
        <f t="shared" si="33"/>
        <v>0</v>
      </c>
      <c r="J534" s="25">
        <f t="shared" si="31"/>
        <v>17</v>
      </c>
    </row>
    <row r="535" spans="1:10" ht="16.95" customHeight="1">
      <c r="A535" s="75">
        <v>20</v>
      </c>
      <c r="B535" s="80" t="s">
        <v>110</v>
      </c>
      <c r="C535" s="77" t="s">
        <v>121</v>
      </c>
      <c r="D535" s="78">
        <v>12</v>
      </c>
      <c r="E535" s="79"/>
      <c r="F535" s="79" t="e">
        <f t="shared" si="32"/>
        <v>#REF!</v>
      </c>
      <c r="G535" s="2"/>
      <c r="H535" s="37">
        <v>882</v>
      </c>
      <c r="I535" s="4">
        <f t="shared" si="33"/>
        <v>0</v>
      </c>
      <c r="J535" s="25">
        <f t="shared" si="31"/>
        <v>17</v>
      </c>
    </row>
    <row r="536" spans="1:10" ht="16.95" customHeight="1">
      <c r="A536" s="77">
        <v>21</v>
      </c>
      <c r="B536" s="80" t="s">
        <v>111</v>
      </c>
      <c r="C536" s="77" t="s">
        <v>122</v>
      </c>
      <c r="D536" s="78">
        <v>3</v>
      </c>
      <c r="E536" s="79"/>
      <c r="F536" s="79" t="e">
        <f t="shared" si="32"/>
        <v>#REF!</v>
      </c>
      <c r="G536" s="2"/>
      <c r="H536" s="38">
        <v>1869</v>
      </c>
      <c r="I536" s="4">
        <f t="shared" si="33"/>
        <v>0</v>
      </c>
      <c r="J536" s="25">
        <f t="shared" si="31"/>
        <v>17</v>
      </c>
    </row>
    <row r="537" spans="1:10" ht="34.950000000000003" customHeight="1">
      <c r="A537" s="75">
        <v>22</v>
      </c>
      <c r="B537" s="80" t="s">
        <v>112</v>
      </c>
      <c r="C537" s="77" t="s">
        <v>48</v>
      </c>
      <c r="D537" s="78">
        <v>1</v>
      </c>
      <c r="E537" s="79"/>
      <c r="F537" s="79" t="e">
        <f t="shared" si="32"/>
        <v>#REF!</v>
      </c>
      <c r="G537" s="2"/>
      <c r="H537" s="37">
        <v>82206</v>
      </c>
      <c r="I537" s="4">
        <f t="shared" si="33"/>
        <v>0</v>
      </c>
      <c r="J537" s="25">
        <f t="shared" si="31"/>
        <v>17</v>
      </c>
    </row>
    <row r="538" spans="1:10" ht="16.95" customHeight="1">
      <c r="A538" s="75">
        <v>23</v>
      </c>
      <c r="B538" s="80" t="s">
        <v>113</v>
      </c>
      <c r="C538" s="77" t="s">
        <v>48</v>
      </c>
      <c r="D538" s="78">
        <v>1</v>
      </c>
      <c r="E538" s="79"/>
      <c r="F538" s="79" t="e">
        <f t="shared" si="32"/>
        <v>#REF!</v>
      </c>
      <c r="G538" s="2"/>
      <c r="H538" s="37">
        <v>142723</v>
      </c>
      <c r="I538" s="4">
        <f t="shared" si="33"/>
        <v>0</v>
      </c>
      <c r="J538" s="25">
        <f t="shared" si="31"/>
        <v>17</v>
      </c>
    </row>
    <row r="539" spans="1:10" ht="16.95" customHeight="1">
      <c r="A539" s="75">
        <v>24</v>
      </c>
      <c r="B539" s="80" t="s">
        <v>114</v>
      </c>
      <c r="C539" s="77" t="s">
        <v>48</v>
      </c>
      <c r="D539" s="78">
        <v>1</v>
      </c>
      <c r="E539" s="79"/>
      <c r="F539" s="79" t="e">
        <f t="shared" si="32"/>
        <v>#REF!</v>
      </c>
      <c r="G539" s="2"/>
      <c r="H539" s="37">
        <v>37290</v>
      </c>
      <c r="I539" s="4">
        <f t="shared" si="33"/>
        <v>0</v>
      </c>
      <c r="J539" s="25">
        <f t="shared" si="31"/>
        <v>17</v>
      </c>
    </row>
    <row r="540" spans="1:10" ht="16.95" customHeight="1">
      <c r="A540" s="75">
        <v>25</v>
      </c>
      <c r="B540" s="80" t="s">
        <v>115</v>
      </c>
      <c r="C540" s="77" t="s">
        <v>48</v>
      </c>
      <c r="D540" s="78">
        <v>1</v>
      </c>
      <c r="E540" s="79"/>
      <c r="F540" s="79" t="e">
        <f t="shared" si="32"/>
        <v>#REF!</v>
      </c>
      <c r="G540" s="2"/>
      <c r="H540" s="37">
        <v>99394</v>
      </c>
      <c r="I540" s="4">
        <f t="shared" si="33"/>
        <v>0</v>
      </c>
      <c r="J540" s="25">
        <f t="shared" si="31"/>
        <v>17</v>
      </c>
    </row>
    <row r="541" spans="1:10" ht="34.950000000000003" customHeight="1">
      <c r="A541" s="75">
        <v>26</v>
      </c>
      <c r="B541" s="80" t="s">
        <v>116</v>
      </c>
      <c r="C541" s="77" t="s">
        <v>48</v>
      </c>
      <c r="D541" s="78">
        <v>1</v>
      </c>
      <c r="E541" s="79"/>
      <c r="F541" s="79" t="e">
        <f t="shared" si="32"/>
        <v>#REF!</v>
      </c>
      <c r="G541" s="2"/>
      <c r="H541" s="37">
        <v>21334</v>
      </c>
      <c r="I541" s="4">
        <f t="shared" si="33"/>
        <v>0</v>
      </c>
      <c r="J541" s="25">
        <f t="shared" si="31"/>
        <v>17</v>
      </c>
    </row>
    <row r="542" spans="1:10" ht="16.95" customHeight="1">
      <c r="A542" s="75">
        <v>27</v>
      </c>
      <c r="B542" s="80" t="s">
        <v>117</v>
      </c>
      <c r="C542" s="77" t="s">
        <v>48</v>
      </c>
      <c r="D542" s="78">
        <v>1</v>
      </c>
      <c r="E542" s="79"/>
      <c r="F542" s="79" t="e">
        <f t="shared" si="32"/>
        <v>#REF!</v>
      </c>
      <c r="G542" s="2"/>
      <c r="H542" s="37">
        <v>29620</v>
      </c>
      <c r="I542" s="4">
        <f t="shared" si="33"/>
        <v>0</v>
      </c>
      <c r="J542" s="25">
        <f t="shared" si="31"/>
        <v>17</v>
      </c>
    </row>
    <row r="543" spans="1:10" ht="16.95" customHeight="1">
      <c r="A543" s="75">
        <v>28</v>
      </c>
      <c r="B543" s="80" t="s">
        <v>118</v>
      </c>
      <c r="C543" s="77" t="s">
        <v>48</v>
      </c>
      <c r="D543" s="78">
        <v>1</v>
      </c>
      <c r="E543" s="79"/>
      <c r="F543" s="79" t="e">
        <f t="shared" si="32"/>
        <v>#REF!</v>
      </c>
      <c r="G543" s="2"/>
      <c r="H543" s="37">
        <v>18506</v>
      </c>
      <c r="I543" s="4">
        <f t="shared" si="33"/>
        <v>0</v>
      </c>
      <c r="J543" s="25">
        <f t="shared" si="31"/>
        <v>17</v>
      </c>
    </row>
    <row r="544" spans="1:10" ht="16.95" customHeight="1">
      <c r="A544" s="75">
        <v>29</v>
      </c>
      <c r="B544" s="80" t="s">
        <v>119</v>
      </c>
      <c r="C544" s="77" t="s">
        <v>48</v>
      </c>
      <c r="D544" s="78">
        <v>1</v>
      </c>
      <c r="E544" s="79"/>
      <c r="F544" s="79" t="e">
        <f t="shared" si="32"/>
        <v>#REF!</v>
      </c>
      <c r="G544" s="2"/>
      <c r="H544" s="37">
        <v>34381</v>
      </c>
      <c r="I544" s="4">
        <f t="shared" si="33"/>
        <v>0</v>
      </c>
      <c r="J544" s="25">
        <f t="shared" si="31"/>
        <v>17</v>
      </c>
    </row>
    <row r="545" spans="1:10" ht="16.95" customHeight="1">
      <c r="A545" s="75" t="s">
        <v>79</v>
      </c>
      <c r="B545" s="80" t="s">
        <v>80</v>
      </c>
      <c r="C545" s="77" t="s">
        <v>48</v>
      </c>
      <c r="D545" s="78">
        <v>1</v>
      </c>
      <c r="E545" s="79">
        <f t="shared" ref="E545:E548" si="34">1/120</f>
        <v>8.3333333333333332E-3</v>
      </c>
      <c r="F545" s="79" t="e">
        <f t="shared" si="32"/>
        <v>#REF!</v>
      </c>
      <c r="G545" s="2"/>
      <c r="H545" s="37">
        <v>21395</v>
      </c>
      <c r="I545" s="4">
        <f t="shared" si="33"/>
        <v>178.29166666666666</v>
      </c>
      <c r="J545" s="25">
        <f t="shared" si="31"/>
        <v>17</v>
      </c>
    </row>
    <row r="546" spans="1:10" ht="16.95" customHeight="1">
      <c r="A546" s="75" t="s">
        <v>81</v>
      </c>
      <c r="B546" s="80" t="s">
        <v>82</v>
      </c>
      <c r="C546" s="77" t="s">
        <v>48</v>
      </c>
      <c r="D546" s="78">
        <v>1</v>
      </c>
      <c r="E546" s="79">
        <f t="shared" si="34"/>
        <v>8.3333333333333332E-3</v>
      </c>
      <c r="F546" s="79" t="e">
        <f t="shared" si="32"/>
        <v>#REF!</v>
      </c>
      <c r="G546" s="2"/>
      <c r="H546" s="37">
        <v>21395</v>
      </c>
      <c r="I546" s="4">
        <f t="shared" si="33"/>
        <v>178.29166666666666</v>
      </c>
      <c r="J546" s="25">
        <f t="shared" si="31"/>
        <v>17</v>
      </c>
    </row>
    <row r="547" spans="1:10" ht="16.95" customHeight="1">
      <c r="A547" s="75" t="s">
        <v>83</v>
      </c>
      <c r="B547" s="80" t="s">
        <v>84</v>
      </c>
      <c r="C547" s="77" t="s">
        <v>48</v>
      </c>
      <c r="D547" s="78">
        <v>1</v>
      </c>
      <c r="E547" s="79">
        <f t="shared" si="34"/>
        <v>8.3333333333333332E-3</v>
      </c>
      <c r="F547" s="79" t="e">
        <f t="shared" si="32"/>
        <v>#REF!</v>
      </c>
      <c r="G547" s="2"/>
      <c r="H547" s="37">
        <v>149765</v>
      </c>
      <c r="I547" s="4">
        <f t="shared" si="33"/>
        <v>1248.0416666666667</v>
      </c>
      <c r="J547" s="25">
        <f t="shared" si="31"/>
        <v>17</v>
      </c>
    </row>
    <row r="548" spans="1:10" ht="16.95" customHeight="1">
      <c r="A548" s="75" t="s">
        <v>85</v>
      </c>
      <c r="B548" s="80" t="s">
        <v>86</v>
      </c>
      <c r="C548" s="77" t="s">
        <v>48</v>
      </c>
      <c r="D548" s="78">
        <v>1</v>
      </c>
      <c r="E548" s="79">
        <f t="shared" si="34"/>
        <v>8.3333333333333332E-3</v>
      </c>
      <c r="F548" s="79" t="e">
        <f t="shared" si="32"/>
        <v>#REF!</v>
      </c>
      <c r="G548" s="2"/>
      <c r="H548" s="37">
        <v>6996</v>
      </c>
      <c r="I548" s="4">
        <f t="shared" si="33"/>
        <v>58.3</v>
      </c>
      <c r="J548" s="25">
        <f t="shared" si="31"/>
        <v>17</v>
      </c>
    </row>
    <row r="549" spans="1:10" ht="16.95" customHeight="1">
      <c r="A549" s="75" t="s">
        <v>87</v>
      </c>
      <c r="B549" s="80" t="s">
        <v>88</v>
      </c>
      <c r="C549" s="77" t="s">
        <v>48</v>
      </c>
      <c r="D549" s="78">
        <v>1</v>
      </c>
      <c r="E549" s="79">
        <f>1/120</f>
        <v>8.3333333333333332E-3</v>
      </c>
      <c r="F549" s="79" t="e">
        <f t="shared" si="32"/>
        <v>#REF!</v>
      </c>
      <c r="G549" s="2"/>
      <c r="H549" s="37">
        <v>116952</v>
      </c>
      <c r="I549" s="4">
        <f t="shared" si="33"/>
        <v>974.6</v>
      </c>
      <c r="J549" s="25">
        <f t="shared" si="31"/>
        <v>17</v>
      </c>
    </row>
    <row r="550" spans="1:10" ht="16.95" customHeight="1">
      <c r="A550" s="95" t="s">
        <v>23</v>
      </c>
      <c r="B550" s="95"/>
      <c r="C550" s="50"/>
      <c r="D550" s="50"/>
      <c r="E550" s="50"/>
      <c r="F550" s="50"/>
      <c r="G550" s="50"/>
      <c r="H550" s="3" t="s">
        <v>24</v>
      </c>
      <c r="I550" s="5">
        <f>SUM(I515:I549)</f>
        <v>2637.5250000000001</v>
      </c>
      <c r="J550" s="25">
        <f t="shared" si="31"/>
        <v>17</v>
      </c>
    </row>
    <row r="551" spans="1:10" ht="16.95" customHeight="1">
      <c r="A551" s="96" t="s">
        <v>25</v>
      </c>
      <c r="B551" s="96"/>
      <c r="C551" s="50"/>
      <c r="D551" s="50"/>
      <c r="E551" s="50"/>
      <c r="F551" s="50"/>
      <c r="G551" s="50"/>
      <c r="J551" s="25">
        <f t="shared" si="31"/>
        <v>17</v>
      </c>
    </row>
    <row r="552" spans="1:10" ht="16.95" customHeight="1">
      <c r="A552" s="96" t="s">
        <v>26</v>
      </c>
      <c r="B552" s="96"/>
      <c r="C552" s="50"/>
      <c r="D552" s="50"/>
      <c r="E552" s="50"/>
      <c r="F552" s="50"/>
      <c r="G552" s="50"/>
      <c r="J552" s="25">
        <f t="shared" si="31"/>
        <v>17</v>
      </c>
    </row>
    <row r="553" spans="1:10" ht="16.95" customHeight="1">
      <c r="A553" s="95" t="s">
        <v>27</v>
      </c>
      <c r="B553" s="95"/>
      <c r="C553" s="95"/>
      <c r="D553" s="95"/>
      <c r="E553" s="95"/>
      <c r="F553" s="95"/>
      <c r="G553" s="95"/>
      <c r="J553" s="25">
        <f t="shared" si="31"/>
        <v>17</v>
      </c>
    </row>
    <row r="554" spans="1:10" ht="16.95" customHeight="1">
      <c r="A554" s="94" t="s">
        <v>28</v>
      </c>
      <c r="B554" s="94"/>
      <c r="C554" s="51" t="s">
        <v>29</v>
      </c>
      <c r="D554" s="51" t="s">
        <v>30</v>
      </c>
      <c r="E554" s="51" t="s">
        <v>18</v>
      </c>
      <c r="F554" s="51" t="s">
        <v>31</v>
      </c>
      <c r="G554" s="51" t="s">
        <v>20</v>
      </c>
      <c r="J554" s="25">
        <f t="shared" si="31"/>
        <v>17</v>
      </c>
    </row>
    <row r="555" spans="1:10" ht="16.95" customHeight="1">
      <c r="A555" s="96"/>
      <c r="B555" s="96"/>
      <c r="C555" s="50"/>
      <c r="D555" s="50"/>
      <c r="E555" s="50"/>
      <c r="F555" s="50"/>
      <c r="G555" s="51"/>
      <c r="J555" s="25">
        <f t="shared" si="31"/>
        <v>17</v>
      </c>
    </row>
    <row r="556" spans="1:10" ht="16.95" customHeight="1">
      <c r="A556" s="97"/>
      <c r="B556" s="97"/>
      <c r="C556" s="50"/>
      <c r="D556" s="50"/>
      <c r="E556" s="50"/>
      <c r="F556" s="51"/>
      <c r="G556" s="51"/>
      <c r="J556" s="25">
        <f t="shared" si="31"/>
        <v>17</v>
      </c>
    </row>
    <row r="557" spans="1:10" ht="16.95" customHeight="1">
      <c r="A557" s="95" t="s">
        <v>32</v>
      </c>
      <c r="B557" s="95"/>
      <c r="C557" s="95"/>
      <c r="D557" s="95"/>
      <c r="E557" s="95"/>
      <c r="F557" s="95"/>
      <c r="G557" s="95"/>
      <c r="J557" s="25">
        <f t="shared" si="31"/>
        <v>18</v>
      </c>
    </row>
    <row r="558" spans="1:10" ht="16.95" customHeight="1">
      <c r="A558" s="51" t="s">
        <v>33</v>
      </c>
      <c r="B558" s="51" t="s">
        <v>34</v>
      </c>
      <c r="C558" s="94" t="s">
        <v>35</v>
      </c>
      <c r="D558" s="94"/>
      <c r="E558" s="51" t="s">
        <v>36</v>
      </c>
      <c r="F558" s="51" t="s">
        <v>37</v>
      </c>
      <c r="G558" s="51" t="s">
        <v>38</v>
      </c>
      <c r="J558" s="25">
        <f t="shared" si="31"/>
        <v>18</v>
      </c>
    </row>
    <row r="559" spans="1:10" ht="16.95" customHeight="1">
      <c r="A559" s="51" t="s">
        <v>39</v>
      </c>
      <c r="B559" s="6"/>
      <c r="C559" s="94" t="e">
        <f>B559+C496</f>
        <v>#REF!</v>
      </c>
      <c r="D559" s="94"/>
      <c r="E559" s="51"/>
      <c r="F559" s="24"/>
      <c r="G559" s="24"/>
      <c r="J559" s="25">
        <f t="shared" si="31"/>
        <v>18</v>
      </c>
    </row>
    <row r="560" spans="1:10" ht="16.95" customHeight="1">
      <c r="A560" s="51" t="s">
        <v>40</v>
      </c>
      <c r="B560" s="6"/>
      <c r="C560" s="94" t="e">
        <f>B560+C497</f>
        <v>#REF!</v>
      </c>
      <c r="D560" s="94"/>
      <c r="E560" s="51"/>
      <c r="F560" s="24"/>
      <c r="G560" s="24"/>
      <c r="J560" s="25">
        <f t="shared" si="31"/>
        <v>18</v>
      </c>
    </row>
    <row r="561" spans="1:10" ht="36.6" customHeight="1">
      <c r="A561" s="95" t="s">
        <v>41</v>
      </c>
      <c r="B561" s="95"/>
      <c r="C561" s="95"/>
      <c r="D561" s="95"/>
      <c r="E561" s="95"/>
      <c r="F561" s="95"/>
      <c r="G561" s="95"/>
      <c r="J561" s="25">
        <f t="shared" si="31"/>
        <v>18</v>
      </c>
    </row>
    <row r="562" spans="1:10" ht="90" customHeight="1">
      <c r="A562" s="92" t="s">
        <v>42</v>
      </c>
      <c r="B562" s="92"/>
      <c r="C562" s="92"/>
      <c r="D562" s="92"/>
      <c r="E562" s="92"/>
      <c r="F562" s="92"/>
      <c r="G562" s="92"/>
      <c r="J562" s="25">
        <f t="shared" si="31"/>
        <v>18</v>
      </c>
    </row>
    <row r="563" spans="1:10" ht="16.95" customHeight="1">
      <c r="A563" s="95" t="s">
        <v>43</v>
      </c>
      <c r="B563" s="95"/>
      <c r="C563" s="95"/>
      <c r="D563" s="95"/>
      <c r="E563" s="95"/>
      <c r="F563" s="95"/>
      <c r="G563" s="95"/>
      <c r="J563" s="25">
        <f t="shared" si="31"/>
        <v>18</v>
      </c>
    </row>
    <row r="564" spans="1:10" ht="16.95" customHeight="1">
      <c r="A564" s="95" t="s">
        <v>44</v>
      </c>
      <c r="B564" s="95"/>
      <c r="C564" s="95"/>
      <c r="D564" s="95"/>
      <c r="E564" s="95"/>
      <c r="F564" s="95"/>
      <c r="G564" s="95"/>
      <c r="J564" s="25">
        <f t="shared" si="31"/>
        <v>18</v>
      </c>
    </row>
    <row r="565" spans="1:10" ht="16.95" customHeight="1">
      <c r="A565" s="91" t="s">
        <v>64</v>
      </c>
      <c r="B565" s="91"/>
      <c r="C565" s="91"/>
      <c r="D565" s="91"/>
      <c r="E565" s="91"/>
      <c r="F565" s="91"/>
      <c r="G565" s="91"/>
      <c r="J565" s="25">
        <f t="shared" si="31"/>
        <v>18</v>
      </c>
    </row>
    <row r="566" spans="1:10" ht="120.6" customHeight="1">
      <c r="A566" s="92" t="s">
        <v>45</v>
      </c>
      <c r="B566" s="92"/>
      <c r="C566" s="92"/>
      <c r="D566" s="92"/>
      <c r="E566" s="92"/>
      <c r="F566" s="92"/>
      <c r="G566" s="92"/>
      <c r="J566" s="25">
        <f t="shared" si="31"/>
        <v>18</v>
      </c>
    </row>
    <row r="567" spans="1:10" ht="140.4" customHeight="1">
      <c r="A567" s="93" t="s">
        <v>46</v>
      </c>
      <c r="B567" s="93"/>
      <c r="C567" s="93"/>
      <c r="D567" s="93"/>
      <c r="E567" s="93"/>
      <c r="F567" s="93"/>
      <c r="G567" s="93"/>
      <c r="J567" s="25">
        <f t="shared" si="31"/>
        <v>18</v>
      </c>
    </row>
    <row r="568" spans="1:10" ht="37.200000000000003" customHeight="1">
      <c r="A568" s="103" t="s">
        <v>0</v>
      </c>
      <c r="B568" s="103"/>
      <c r="C568" s="103"/>
      <c r="D568" s="103"/>
      <c r="E568" s="103"/>
      <c r="F568" s="103"/>
      <c r="G568" s="103"/>
      <c r="J568" s="25">
        <f t="shared" si="31"/>
        <v>19</v>
      </c>
    </row>
    <row r="569" spans="1:10" ht="16.95" customHeight="1">
      <c r="A569" s="1" t="s">
        <v>1</v>
      </c>
      <c r="B569" s="104">
        <f>B506+1</f>
        <v>11</v>
      </c>
      <c r="C569" s="104"/>
      <c r="D569" s="104"/>
      <c r="E569" s="104"/>
      <c r="F569" s="104"/>
      <c r="G569" s="104"/>
      <c r="J569" s="25">
        <f t="shared" si="31"/>
        <v>19</v>
      </c>
    </row>
    <row r="570" spans="1:10" ht="16.95" customHeight="1">
      <c r="A570" s="1" t="s">
        <v>2</v>
      </c>
      <c r="B570" s="105" t="s">
        <v>63</v>
      </c>
      <c r="C570" s="105"/>
      <c r="D570" s="105"/>
      <c r="E570" s="106">
        <f>E507+1</f>
        <v>46213</v>
      </c>
      <c r="F570" s="106"/>
      <c r="G570" s="106"/>
      <c r="J570" s="25">
        <f t="shared" si="31"/>
        <v>19</v>
      </c>
    </row>
    <row r="571" spans="1:10" ht="16.95" customHeight="1">
      <c r="A571" s="53" t="s">
        <v>3</v>
      </c>
      <c r="B571" s="2" t="s">
        <v>67</v>
      </c>
      <c r="C571" s="98" t="s">
        <v>4</v>
      </c>
      <c r="D571" s="98"/>
      <c r="E571" s="98" t="s">
        <v>47</v>
      </c>
      <c r="F571" s="98"/>
      <c r="G571" s="98"/>
      <c r="J571" s="25">
        <f t="shared" ref="J571:J634" si="35">J508+2</f>
        <v>19</v>
      </c>
    </row>
    <row r="572" spans="1:10" ht="16.95" customHeight="1">
      <c r="A572" s="53" t="s">
        <v>5</v>
      </c>
      <c r="B572" s="54">
        <v>120</v>
      </c>
      <c r="C572" s="98" t="s">
        <v>6</v>
      </c>
      <c r="D572" s="98"/>
      <c r="E572" s="98" t="s">
        <v>123</v>
      </c>
      <c r="F572" s="98"/>
      <c r="G572" s="98"/>
      <c r="J572" s="25">
        <f t="shared" si="35"/>
        <v>19</v>
      </c>
    </row>
    <row r="573" spans="1:10" ht="16.95" customHeight="1">
      <c r="A573" s="53" t="s">
        <v>7</v>
      </c>
      <c r="B573" s="54">
        <f>B569</f>
        <v>11</v>
      </c>
      <c r="C573" s="100" t="s">
        <v>8</v>
      </c>
      <c r="D573" s="100"/>
      <c r="E573" s="101">
        <f>B572-B573</f>
        <v>109</v>
      </c>
      <c r="F573" s="101"/>
      <c r="G573" s="101"/>
      <c r="J573" s="25">
        <f t="shared" si="35"/>
        <v>19</v>
      </c>
    </row>
    <row r="574" spans="1:10" ht="16.95" customHeight="1">
      <c r="A574" s="53" t="s">
        <v>9</v>
      </c>
      <c r="B574" s="55">
        <v>46204</v>
      </c>
      <c r="C574" s="98" t="s">
        <v>10</v>
      </c>
      <c r="D574" s="98"/>
      <c r="E574" s="102">
        <f>B574+B572-1</f>
        <v>46323</v>
      </c>
      <c r="F574" s="102"/>
      <c r="G574" s="102"/>
      <c r="J574" s="25">
        <f t="shared" si="35"/>
        <v>19</v>
      </c>
    </row>
    <row r="575" spans="1:10" ht="16.95" customHeight="1">
      <c r="A575" s="53" t="s">
        <v>11</v>
      </c>
      <c r="B575" s="56" t="e">
        <f>HLOOKUP(B569,進度表!$Q$2:$Z$3,2,1)+B512</f>
        <v>#REF!</v>
      </c>
      <c r="C575" s="98" t="s">
        <v>12</v>
      </c>
      <c r="D575" s="98"/>
      <c r="E575" s="99" t="e">
        <f>I613/I575+E512</f>
        <v>#REF!</v>
      </c>
      <c r="F575" s="99"/>
      <c r="G575" s="99"/>
      <c r="H575" s="3" t="s">
        <v>62</v>
      </c>
      <c r="I575" s="1">
        <v>2456000</v>
      </c>
      <c r="J575" s="25">
        <f t="shared" si="35"/>
        <v>19</v>
      </c>
    </row>
    <row r="576" spans="1:10" ht="16.95" customHeight="1">
      <c r="A576" s="98" t="s">
        <v>13</v>
      </c>
      <c r="B576" s="98"/>
      <c r="C576" s="98"/>
      <c r="D576" s="98"/>
      <c r="E576" s="98"/>
      <c r="F576" s="98"/>
      <c r="G576" s="98"/>
      <c r="J576" s="25">
        <f t="shared" si="35"/>
        <v>19</v>
      </c>
    </row>
    <row r="577" spans="1:10" ht="16.95" customHeight="1">
      <c r="A577" s="52" t="s">
        <v>14</v>
      </c>
      <c r="B577" s="52" t="s">
        <v>15</v>
      </c>
      <c r="C577" s="52" t="s">
        <v>16</v>
      </c>
      <c r="D577" s="52" t="s">
        <v>17</v>
      </c>
      <c r="E577" s="52" t="s">
        <v>18</v>
      </c>
      <c r="F577" s="52" t="s">
        <v>19</v>
      </c>
      <c r="G577" s="52" t="s">
        <v>20</v>
      </c>
      <c r="H577" s="3" t="s">
        <v>21</v>
      </c>
      <c r="I577" s="3" t="s">
        <v>22</v>
      </c>
      <c r="J577" s="25">
        <f t="shared" si="35"/>
        <v>19</v>
      </c>
    </row>
    <row r="578" spans="1:10" ht="16.95" customHeight="1">
      <c r="A578" s="75" t="s">
        <v>65</v>
      </c>
      <c r="B578" s="76" t="s">
        <v>69</v>
      </c>
      <c r="C578" s="77"/>
      <c r="D578" s="78"/>
      <c r="E578" s="79"/>
      <c r="F578" s="79"/>
      <c r="G578" s="2"/>
      <c r="H578" s="37"/>
      <c r="I578" s="4"/>
      <c r="J578" s="25">
        <f t="shared" si="35"/>
        <v>19</v>
      </c>
    </row>
    <row r="579" spans="1:10" ht="34.950000000000003" customHeight="1">
      <c r="A579" s="75">
        <v>1</v>
      </c>
      <c r="B579" s="80" t="s">
        <v>91</v>
      </c>
      <c r="C579" s="77" t="s">
        <v>48</v>
      </c>
      <c r="D579" s="78">
        <v>1</v>
      </c>
      <c r="E579" s="79"/>
      <c r="F579" s="79" t="e">
        <f t="shared" ref="F579:F612" si="36">E579+F516</f>
        <v>#REF!</v>
      </c>
      <c r="G579" s="2"/>
      <c r="H579" s="37">
        <v>10508</v>
      </c>
      <c r="I579" s="4">
        <f>H579*E579</f>
        <v>0</v>
      </c>
      <c r="J579" s="25">
        <f t="shared" si="35"/>
        <v>19</v>
      </c>
    </row>
    <row r="580" spans="1:10" ht="34.799999999999997" customHeight="1">
      <c r="A580" s="75">
        <v>2</v>
      </c>
      <c r="B580" s="80" t="s">
        <v>92</v>
      </c>
      <c r="C580" s="77" t="s">
        <v>48</v>
      </c>
      <c r="D580" s="78">
        <v>1</v>
      </c>
      <c r="E580" s="79"/>
      <c r="F580" s="79" t="e">
        <f t="shared" si="36"/>
        <v>#REF!</v>
      </c>
      <c r="G580" s="2"/>
      <c r="H580" s="37">
        <v>13223</v>
      </c>
      <c r="I580" s="4">
        <f>H580*E580</f>
        <v>0</v>
      </c>
      <c r="J580" s="25">
        <f t="shared" si="35"/>
        <v>19</v>
      </c>
    </row>
    <row r="581" spans="1:10" ht="53.4" customHeight="1">
      <c r="A581" s="75">
        <v>3</v>
      </c>
      <c r="B581" s="80" t="s">
        <v>93</v>
      </c>
      <c r="C581" s="77" t="s">
        <v>48</v>
      </c>
      <c r="D581" s="78">
        <v>1</v>
      </c>
      <c r="E581" s="79"/>
      <c r="F581" s="79" t="e">
        <f t="shared" si="36"/>
        <v>#REF!</v>
      </c>
      <c r="G581" s="2"/>
      <c r="H581" s="37">
        <v>310497</v>
      </c>
      <c r="I581" s="4">
        <f t="shared" ref="I581:I612" si="37">H581*E581</f>
        <v>0</v>
      </c>
      <c r="J581" s="25">
        <f t="shared" si="35"/>
        <v>19</v>
      </c>
    </row>
    <row r="582" spans="1:10" ht="16.95" customHeight="1">
      <c r="A582" s="75">
        <v>4</v>
      </c>
      <c r="B582" s="80" t="s">
        <v>94</v>
      </c>
      <c r="C582" s="77" t="s">
        <v>48</v>
      </c>
      <c r="D582" s="78">
        <v>1</v>
      </c>
      <c r="E582" s="79"/>
      <c r="F582" s="79" t="e">
        <f t="shared" si="36"/>
        <v>#REF!</v>
      </c>
      <c r="G582" s="2"/>
      <c r="H582" s="37">
        <v>8375</v>
      </c>
      <c r="I582" s="4">
        <f t="shared" si="37"/>
        <v>0</v>
      </c>
      <c r="J582" s="25">
        <f t="shared" si="35"/>
        <v>19</v>
      </c>
    </row>
    <row r="583" spans="1:10" ht="16.95" customHeight="1">
      <c r="A583" s="75">
        <v>5</v>
      </c>
      <c r="B583" s="80" t="s">
        <v>95</v>
      </c>
      <c r="C583" s="77" t="s">
        <v>48</v>
      </c>
      <c r="D583" s="78">
        <v>1</v>
      </c>
      <c r="E583" s="79"/>
      <c r="F583" s="79" t="e">
        <f t="shared" si="36"/>
        <v>#REF!</v>
      </c>
      <c r="G583" s="2"/>
      <c r="H583" s="37">
        <v>51618</v>
      </c>
      <c r="I583" s="4">
        <f t="shared" si="37"/>
        <v>0</v>
      </c>
      <c r="J583" s="25">
        <f t="shared" si="35"/>
        <v>19</v>
      </c>
    </row>
    <row r="584" spans="1:10" ht="16.95" customHeight="1">
      <c r="A584" s="75">
        <v>6</v>
      </c>
      <c r="B584" s="80" t="s">
        <v>96</v>
      </c>
      <c r="C584" s="77" t="s">
        <v>50</v>
      </c>
      <c r="D584" s="78">
        <v>11.55</v>
      </c>
      <c r="E584" s="79"/>
      <c r="F584" s="79" t="e">
        <f t="shared" si="36"/>
        <v>#REF!</v>
      </c>
      <c r="G584" s="2"/>
      <c r="H584" s="37">
        <v>1188</v>
      </c>
      <c r="I584" s="4">
        <f t="shared" si="37"/>
        <v>0</v>
      </c>
      <c r="J584" s="25">
        <f t="shared" si="35"/>
        <v>19</v>
      </c>
    </row>
    <row r="585" spans="1:10" ht="34.950000000000003" customHeight="1">
      <c r="A585" s="75">
        <v>7</v>
      </c>
      <c r="B585" s="80" t="s">
        <v>97</v>
      </c>
      <c r="C585" s="77" t="s">
        <v>48</v>
      </c>
      <c r="D585" s="78">
        <v>1</v>
      </c>
      <c r="E585" s="79"/>
      <c r="F585" s="79" t="e">
        <f t="shared" si="36"/>
        <v>#REF!</v>
      </c>
      <c r="G585" s="2"/>
      <c r="H585" s="37">
        <v>21157</v>
      </c>
      <c r="I585" s="4">
        <f t="shared" si="37"/>
        <v>0</v>
      </c>
      <c r="J585" s="25">
        <f t="shared" si="35"/>
        <v>19</v>
      </c>
    </row>
    <row r="586" spans="1:10" ht="16.95" customHeight="1">
      <c r="A586" s="75">
        <v>8</v>
      </c>
      <c r="B586" s="80" t="s">
        <v>98</v>
      </c>
      <c r="C586" s="77" t="s">
        <v>50</v>
      </c>
      <c r="D586" s="78">
        <v>387</v>
      </c>
      <c r="E586" s="79"/>
      <c r="F586" s="79" t="e">
        <f t="shared" si="36"/>
        <v>#REF!</v>
      </c>
      <c r="G586" s="2"/>
      <c r="H586" s="37">
        <v>705</v>
      </c>
      <c r="I586" s="4">
        <f t="shared" si="37"/>
        <v>0</v>
      </c>
      <c r="J586" s="25">
        <f t="shared" si="35"/>
        <v>19</v>
      </c>
    </row>
    <row r="587" spans="1:10" ht="16.95" customHeight="1">
      <c r="A587" s="75">
        <v>9</v>
      </c>
      <c r="B587" s="80" t="s">
        <v>99</v>
      </c>
      <c r="C587" s="77" t="s">
        <v>50</v>
      </c>
      <c r="D587" s="78">
        <v>170</v>
      </c>
      <c r="E587" s="79"/>
      <c r="F587" s="79" t="e">
        <f t="shared" si="36"/>
        <v>#REF!</v>
      </c>
      <c r="G587" s="2"/>
      <c r="H587" s="37">
        <v>617</v>
      </c>
      <c r="I587" s="4">
        <f t="shared" si="37"/>
        <v>0</v>
      </c>
      <c r="J587" s="25">
        <f t="shared" si="35"/>
        <v>19</v>
      </c>
    </row>
    <row r="588" spans="1:10" ht="16.95" customHeight="1">
      <c r="A588" s="75">
        <v>10</v>
      </c>
      <c r="B588" s="80" t="s">
        <v>100</v>
      </c>
      <c r="C588" s="77" t="s">
        <v>66</v>
      </c>
      <c r="D588" s="78">
        <v>15</v>
      </c>
      <c r="E588" s="79"/>
      <c r="F588" s="79" t="e">
        <f t="shared" si="36"/>
        <v>#REF!</v>
      </c>
      <c r="G588" s="2"/>
      <c r="H588" s="37">
        <v>617</v>
      </c>
      <c r="I588" s="4">
        <f t="shared" si="37"/>
        <v>0</v>
      </c>
      <c r="J588" s="25">
        <f t="shared" si="35"/>
        <v>19</v>
      </c>
    </row>
    <row r="589" spans="1:10" ht="16.95" customHeight="1">
      <c r="A589" s="75">
        <v>11</v>
      </c>
      <c r="B589" s="80" t="s">
        <v>101</v>
      </c>
      <c r="C589" s="77" t="s">
        <v>50</v>
      </c>
      <c r="D589" s="78">
        <v>75</v>
      </c>
      <c r="E589" s="79"/>
      <c r="F589" s="79" t="e">
        <f t="shared" si="36"/>
        <v>#REF!</v>
      </c>
      <c r="G589" s="2"/>
      <c r="H589" s="37">
        <v>1146</v>
      </c>
      <c r="I589" s="4">
        <f t="shared" si="37"/>
        <v>0</v>
      </c>
      <c r="J589" s="25">
        <f t="shared" si="35"/>
        <v>19</v>
      </c>
    </row>
    <row r="590" spans="1:10" ht="16.95" customHeight="1">
      <c r="A590" s="75">
        <v>12</v>
      </c>
      <c r="B590" s="80" t="s">
        <v>102</v>
      </c>
      <c r="C590" s="77" t="s">
        <v>50</v>
      </c>
      <c r="D590" s="78">
        <v>5</v>
      </c>
      <c r="E590" s="79"/>
      <c r="F590" s="79" t="e">
        <f t="shared" si="36"/>
        <v>#REF!</v>
      </c>
      <c r="G590" s="2"/>
      <c r="H590" s="37">
        <v>1455</v>
      </c>
      <c r="I590" s="4">
        <f t="shared" si="37"/>
        <v>0</v>
      </c>
      <c r="J590" s="25">
        <f t="shared" si="35"/>
        <v>19</v>
      </c>
    </row>
    <row r="591" spans="1:10" ht="16.95" customHeight="1">
      <c r="A591" s="75">
        <v>13</v>
      </c>
      <c r="B591" s="80" t="s">
        <v>103</v>
      </c>
      <c r="C591" s="77" t="s">
        <v>50</v>
      </c>
      <c r="D591" s="78">
        <v>217</v>
      </c>
      <c r="E591" s="79"/>
      <c r="F591" s="79" t="e">
        <f t="shared" si="36"/>
        <v>#REF!</v>
      </c>
      <c r="G591" s="2"/>
      <c r="H591" s="37">
        <v>1410</v>
      </c>
      <c r="I591" s="4">
        <f t="shared" si="37"/>
        <v>0</v>
      </c>
      <c r="J591" s="25">
        <f t="shared" si="35"/>
        <v>19</v>
      </c>
    </row>
    <row r="592" spans="1:10" ht="16.95" customHeight="1">
      <c r="A592" s="75">
        <v>14</v>
      </c>
      <c r="B592" s="80" t="s">
        <v>104</v>
      </c>
      <c r="C592" s="77" t="s">
        <v>49</v>
      </c>
      <c r="D592" s="78">
        <v>84</v>
      </c>
      <c r="E592" s="79"/>
      <c r="F592" s="79" t="e">
        <f t="shared" si="36"/>
        <v>#REF!</v>
      </c>
      <c r="G592" s="2"/>
      <c r="H592" s="37">
        <v>529</v>
      </c>
      <c r="I592" s="4">
        <f t="shared" si="37"/>
        <v>0</v>
      </c>
      <c r="J592" s="25">
        <f t="shared" si="35"/>
        <v>19</v>
      </c>
    </row>
    <row r="593" spans="1:10" ht="16.95" customHeight="1">
      <c r="A593" s="75">
        <v>15</v>
      </c>
      <c r="B593" s="80" t="s">
        <v>105</v>
      </c>
      <c r="C593" s="77" t="s">
        <v>50</v>
      </c>
      <c r="D593" s="78">
        <v>1</v>
      </c>
      <c r="E593" s="79"/>
      <c r="F593" s="79" t="e">
        <f t="shared" si="36"/>
        <v>#REF!</v>
      </c>
      <c r="G593" s="2"/>
      <c r="H593" s="37">
        <v>1146</v>
      </c>
      <c r="I593" s="4">
        <f t="shared" si="37"/>
        <v>0</v>
      </c>
      <c r="J593" s="25">
        <f t="shared" si="35"/>
        <v>19</v>
      </c>
    </row>
    <row r="594" spans="1:10" ht="34.799999999999997" customHeight="1">
      <c r="A594" s="75">
        <v>16</v>
      </c>
      <c r="B594" s="80" t="s">
        <v>106</v>
      </c>
      <c r="C594" s="77" t="s">
        <v>50</v>
      </c>
      <c r="D594" s="78">
        <v>314</v>
      </c>
      <c r="E594" s="79"/>
      <c r="F594" s="79" t="e">
        <f t="shared" si="36"/>
        <v>#REF!</v>
      </c>
      <c r="G594" s="2"/>
      <c r="H594" s="37">
        <v>185</v>
      </c>
      <c r="I594" s="4">
        <f t="shared" si="37"/>
        <v>0</v>
      </c>
      <c r="J594" s="25">
        <f t="shared" si="35"/>
        <v>19</v>
      </c>
    </row>
    <row r="595" spans="1:10" ht="16.95" customHeight="1">
      <c r="A595" s="75">
        <v>17</v>
      </c>
      <c r="B595" s="80" t="s">
        <v>107</v>
      </c>
      <c r="C595" s="77" t="s">
        <v>48</v>
      </c>
      <c r="D595" s="78">
        <v>1</v>
      </c>
      <c r="E595" s="79"/>
      <c r="F595" s="79" t="e">
        <f t="shared" si="36"/>
        <v>#REF!</v>
      </c>
      <c r="G595" s="2"/>
      <c r="H595" s="37">
        <v>89918</v>
      </c>
      <c r="I595" s="4">
        <f t="shared" si="37"/>
        <v>0</v>
      </c>
      <c r="J595" s="25">
        <f t="shared" si="35"/>
        <v>19</v>
      </c>
    </row>
    <row r="596" spans="1:10" ht="16.95" customHeight="1">
      <c r="A596" s="75">
        <v>18</v>
      </c>
      <c r="B596" s="80" t="s">
        <v>108</v>
      </c>
      <c r="C596" s="77" t="s">
        <v>120</v>
      </c>
      <c r="D596" s="78">
        <v>15</v>
      </c>
      <c r="E596" s="79"/>
      <c r="F596" s="79" t="e">
        <f t="shared" si="36"/>
        <v>#REF!</v>
      </c>
      <c r="G596" s="2"/>
      <c r="H596" s="37">
        <v>661</v>
      </c>
      <c r="I596" s="4">
        <f t="shared" si="37"/>
        <v>0</v>
      </c>
      <c r="J596" s="25">
        <f t="shared" si="35"/>
        <v>19</v>
      </c>
    </row>
    <row r="597" spans="1:10" ht="16.95" customHeight="1">
      <c r="A597" s="75">
        <v>19</v>
      </c>
      <c r="B597" s="80" t="s">
        <v>109</v>
      </c>
      <c r="C597" s="77" t="s">
        <v>50</v>
      </c>
      <c r="D597" s="78">
        <v>82</v>
      </c>
      <c r="E597" s="79"/>
      <c r="F597" s="79" t="e">
        <f t="shared" si="36"/>
        <v>#REF!</v>
      </c>
      <c r="G597" s="2"/>
      <c r="H597" s="37">
        <v>2909</v>
      </c>
      <c r="I597" s="4">
        <f t="shared" si="37"/>
        <v>0</v>
      </c>
      <c r="J597" s="25">
        <f t="shared" si="35"/>
        <v>19</v>
      </c>
    </row>
    <row r="598" spans="1:10" ht="16.95" customHeight="1">
      <c r="A598" s="75">
        <v>20</v>
      </c>
      <c r="B598" s="80" t="s">
        <v>110</v>
      </c>
      <c r="C598" s="77" t="s">
        <v>121</v>
      </c>
      <c r="D598" s="78">
        <v>12</v>
      </c>
      <c r="E598" s="79"/>
      <c r="F598" s="79" t="e">
        <f t="shared" si="36"/>
        <v>#REF!</v>
      </c>
      <c r="G598" s="2"/>
      <c r="H598" s="37">
        <v>882</v>
      </c>
      <c r="I598" s="4">
        <f t="shared" si="37"/>
        <v>0</v>
      </c>
      <c r="J598" s="25">
        <f t="shared" si="35"/>
        <v>19</v>
      </c>
    </row>
    <row r="599" spans="1:10" ht="16.95" customHeight="1">
      <c r="A599" s="77">
        <v>21</v>
      </c>
      <c r="B599" s="80" t="s">
        <v>111</v>
      </c>
      <c r="C599" s="77" t="s">
        <v>122</v>
      </c>
      <c r="D599" s="78">
        <v>3</v>
      </c>
      <c r="E599" s="79"/>
      <c r="F599" s="79" t="e">
        <f t="shared" si="36"/>
        <v>#REF!</v>
      </c>
      <c r="G599" s="2"/>
      <c r="H599" s="38">
        <v>1869</v>
      </c>
      <c r="I599" s="4">
        <f t="shared" si="37"/>
        <v>0</v>
      </c>
      <c r="J599" s="25">
        <f t="shared" si="35"/>
        <v>19</v>
      </c>
    </row>
    <row r="600" spans="1:10" ht="34.950000000000003" customHeight="1">
      <c r="A600" s="75">
        <v>22</v>
      </c>
      <c r="B600" s="80" t="s">
        <v>112</v>
      </c>
      <c r="C600" s="77" t="s">
        <v>48</v>
      </c>
      <c r="D600" s="78">
        <v>1</v>
      </c>
      <c r="E600" s="79"/>
      <c r="F600" s="79" t="e">
        <f t="shared" si="36"/>
        <v>#REF!</v>
      </c>
      <c r="G600" s="2"/>
      <c r="H600" s="37">
        <v>82206</v>
      </c>
      <c r="I600" s="4">
        <f t="shared" si="37"/>
        <v>0</v>
      </c>
      <c r="J600" s="25">
        <f t="shared" si="35"/>
        <v>19</v>
      </c>
    </row>
    <row r="601" spans="1:10" ht="16.95" customHeight="1">
      <c r="A601" s="75">
        <v>23</v>
      </c>
      <c r="B601" s="80" t="s">
        <v>113</v>
      </c>
      <c r="C601" s="77" t="s">
        <v>48</v>
      </c>
      <c r="D601" s="78">
        <v>1</v>
      </c>
      <c r="E601" s="79"/>
      <c r="F601" s="79" t="e">
        <f t="shared" si="36"/>
        <v>#REF!</v>
      </c>
      <c r="G601" s="2"/>
      <c r="H601" s="37">
        <v>142723</v>
      </c>
      <c r="I601" s="4">
        <f t="shared" si="37"/>
        <v>0</v>
      </c>
      <c r="J601" s="25">
        <f t="shared" si="35"/>
        <v>19</v>
      </c>
    </row>
    <row r="602" spans="1:10" ht="16.95" customHeight="1">
      <c r="A602" s="75">
        <v>24</v>
      </c>
      <c r="B602" s="80" t="s">
        <v>114</v>
      </c>
      <c r="C602" s="77" t="s">
        <v>48</v>
      </c>
      <c r="D602" s="78">
        <v>1</v>
      </c>
      <c r="E602" s="79"/>
      <c r="F602" s="79" t="e">
        <f t="shared" si="36"/>
        <v>#REF!</v>
      </c>
      <c r="G602" s="2"/>
      <c r="H602" s="37">
        <v>37290</v>
      </c>
      <c r="I602" s="4">
        <f t="shared" si="37"/>
        <v>0</v>
      </c>
      <c r="J602" s="25">
        <f t="shared" si="35"/>
        <v>19</v>
      </c>
    </row>
    <row r="603" spans="1:10" ht="16.95" customHeight="1">
      <c r="A603" s="75">
        <v>25</v>
      </c>
      <c r="B603" s="80" t="s">
        <v>115</v>
      </c>
      <c r="C603" s="77" t="s">
        <v>48</v>
      </c>
      <c r="D603" s="78">
        <v>1</v>
      </c>
      <c r="E603" s="79"/>
      <c r="F603" s="79" t="e">
        <f t="shared" si="36"/>
        <v>#REF!</v>
      </c>
      <c r="G603" s="2"/>
      <c r="H603" s="37">
        <v>99394</v>
      </c>
      <c r="I603" s="4">
        <f t="shared" si="37"/>
        <v>0</v>
      </c>
      <c r="J603" s="25">
        <f t="shared" si="35"/>
        <v>19</v>
      </c>
    </row>
    <row r="604" spans="1:10" ht="34.950000000000003" customHeight="1">
      <c r="A604" s="75">
        <v>26</v>
      </c>
      <c r="B604" s="80" t="s">
        <v>116</v>
      </c>
      <c r="C604" s="77" t="s">
        <v>48</v>
      </c>
      <c r="D604" s="78">
        <v>1</v>
      </c>
      <c r="E604" s="79"/>
      <c r="F604" s="79" t="e">
        <f t="shared" si="36"/>
        <v>#REF!</v>
      </c>
      <c r="G604" s="2"/>
      <c r="H604" s="37">
        <v>21334</v>
      </c>
      <c r="I604" s="4">
        <f t="shared" si="37"/>
        <v>0</v>
      </c>
      <c r="J604" s="25">
        <f t="shared" si="35"/>
        <v>19</v>
      </c>
    </row>
    <row r="605" spans="1:10" ht="16.95" customHeight="1">
      <c r="A605" s="75">
        <v>27</v>
      </c>
      <c r="B605" s="80" t="s">
        <v>117</v>
      </c>
      <c r="C605" s="77" t="s">
        <v>48</v>
      </c>
      <c r="D605" s="78">
        <v>1</v>
      </c>
      <c r="E605" s="79"/>
      <c r="F605" s="79" t="e">
        <f t="shared" si="36"/>
        <v>#REF!</v>
      </c>
      <c r="G605" s="2"/>
      <c r="H605" s="37">
        <v>29620</v>
      </c>
      <c r="I605" s="4">
        <f t="shared" si="37"/>
        <v>0</v>
      </c>
      <c r="J605" s="25">
        <f t="shared" si="35"/>
        <v>19</v>
      </c>
    </row>
    <row r="606" spans="1:10" ht="16.95" customHeight="1">
      <c r="A606" s="75">
        <v>28</v>
      </c>
      <c r="B606" s="80" t="s">
        <v>118</v>
      </c>
      <c r="C606" s="77" t="s">
        <v>48</v>
      </c>
      <c r="D606" s="78">
        <v>1</v>
      </c>
      <c r="E606" s="79"/>
      <c r="F606" s="79" t="e">
        <f t="shared" si="36"/>
        <v>#REF!</v>
      </c>
      <c r="G606" s="2"/>
      <c r="H606" s="37">
        <v>18506</v>
      </c>
      <c r="I606" s="4">
        <f t="shared" si="37"/>
        <v>0</v>
      </c>
      <c r="J606" s="25">
        <f t="shared" si="35"/>
        <v>19</v>
      </c>
    </row>
    <row r="607" spans="1:10" ht="16.95" customHeight="1">
      <c r="A607" s="75">
        <v>29</v>
      </c>
      <c r="B607" s="80" t="s">
        <v>119</v>
      </c>
      <c r="C607" s="77" t="s">
        <v>48</v>
      </c>
      <c r="D607" s="78">
        <v>1</v>
      </c>
      <c r="E607" s="79"/>
      <c r="F607" s="79" t="e">
        <f t="shared" si="36"/>
        <v>#REF!</v>
      </c>
      <c r="G607" s="2"/>
      <c r="H607" s="37">
        <v>34381</v>
      </c>
      <c r="I607" s="4">
        <f t="shared" si="37"/>
        <v>0</v>
      </c>
      <c r="J607" s="25">
        <f t="shared" si="35"/>
        <v>19</v>
      </c>
    </row>
    <row r="608" spans="1:10" ht="16.95" customHeight="1">
      <c r="A608" s="75" t="s">
        <v>79</v>
      </c>
      <c r="B608" s="80" t="s">
        <v>80</v>
      </c>
      <c r="C608" s="77" t="s">
        <v>48</v>
      </c>
      <c r="D608" s="78">
        <v>1</v>
      </c>
      <c r="E608" s="79">
        <f t="shared" ref="E608:E611" si="38">1/120</f>
        <v>8.3333333333333332E-3</v>
      </c>
      <c r="F608" s="79" t="e">
        <f t="shared" si="36"/>
        <v>#REF!</v>
      </c>
      <c r="G608" s="2"/>
      <c r="H608" s="37">
        <v>21395</v>
      </c>
      <c r="I608" s="4">
        <f t="shared" si="37"/>
        <v>178.29166666666666</v>
      </c>
      <c r="J608" s="25">
        <f t="shared" si="35"/>
        <v>19</v>
      </c>
    </row>
    <row r="609" spans="1:10" ht="16.95" customHeight="1">
      <c r="A609" s="75" t="s">
        <v>81</v>
      </c>
      <c r="B609" s="80" t="s">
        <v>82</v>
      </c>
      <c r="C609" s="77" t="s">
        <v>48</v>
      </c>
      <c r="D609" s="78">
        <v>1</v>
      </c>
      <c r="E609" s="79">
        <f t="shared" si="38"/>
        <v>8.3333333333333332E-3</v>
      </c>
      <c r="F609" s="79" t="e">
        <f t="shared" si="36"/>
        <v>#REF!</v>
      </c>
      <c r="G609" s="2"/>
      <c r="H609" s="37">
        <v>21395</v>
      </c>
      <c r="I609" s="4">
        <f t="shared" si="37"/>
        <v>178.29166666666666</v>
      </c>
      <c r="J609" s="25">
        <f t="shared" si="35"/>
        <v>19</v>
      </c>
    </row>
    <row r="610" spans="1:10" ht="16.95" customHeight="1">
      <c r="A610" s="75" t="s">
        <v>83</v>
      </c>
      <c r="B610" s="80" t="s">
        <v>84</v>
      </c>
      <c r="C610" s="77" t="s">
        <v>48</v>
      </c>
      <c r="D610" s="78">
        <v>1</v>
      </c>
      <c r="E610" s="79">
        <f t="shared" si="38"/>
        <v>8.3333333333333332E-3</v>
      </c>
      <c r="F610" s="79" t="e">
        <f t="shared" si="36"/>
        <v>#REF!</v>
      </c>
      <c r="G610" s="2"/>
      <c r="H610" s="37">
        <v>149765</v>
      </c>
      <c r="I610" s="4">
        <f t="shared" si="37"/>
        <v>1248.0416666666667</v>
      </c>
      <c r="J610" s="25">
        <f t="shared" si="35"/>
        <v>19</v>
      </c>
    </row>
    <row r="611" spans="1:10" ht="16.95" customHeight="1">
      <c r="A611" s="75" t="s">
        <v>85</v>
      </c>
      <c r="B611" s="80" t="s">
        <v>86</v>
      </c>
      <c r="C611" s="77" t="s">
        <v>48</v>
      </c>
      <c r="D611" s="78">
        <v>1</v>
      </c>
      <c r="E611" s="79">
        <f t="shared" si="38"/>
        <v>8.3333333333333332E-3</v>
      </c>
      <c r="F611" s="79" t="e">
        <f t="shared" si="36"/>
        <v>#REF!</v>
      </c>
      <c r="G611" s="2"/>
      <c r="H611" s="37">
        <v>6996</v>
      </c>
      <c r="I611" s="4">
        <f t="shared" si="37"/>
        <v>58.3</v>
      </c>
      <c r="J611" s="25">
        <f t="shared" si="35"/>
        <v>19</v>
      </c>
    </row>
    <row r="612" spans="1:10" ht="16.95" customHeight="1">
      <c r="A612" s="75" t="s">
        <v>87</v>
      </c>
      <c r="B612" s="80" t="s">
        <v>88</v>
      </c>
      <c r="C612" s="77" t="s">
        <v>48</v>
      </c>
      <c r="D612" s="78">
        <v>1</v>
      </c>
      <c r="E612" s="79">
        <f>1/120</f>
        <v>8.3333333333333332E-3</v>
      </c>
      <c r="F612" s="79" t="e">
        <f t="shared" si="36"/>
        <v>#REF!</v>
      </c>
      <c r="G612" s="2"/>
      <c r="H612" s="37">
        <v>116952</v>
      </c>
      <c r="I612" s="4">
        <f t="shared" si="37"/>
        <v>974.6</v>
      </c>
      <c r="J612" s="25">
        <f t="shared" si="35"/>
        <v>19</v>
      </c>
    </row>
    <row r="613" spans="1:10" ht="16.95" customHeight="1">
      <c r="A613" s="95" t="s">
        <v>23</v>
      </c>
      <c r="B613" s="95"/>
      <c r="C613" s="50"/>
      <c r="D613" s="50"/>
      <c r="E613" s="50"/>
      <c r="F613" s="50"/>
      <c r="G613" s="50"/>
      <c r="H613" s="3" t="s">
        <v>24</v>
      </c>
      <c r="I613" s="5">
        <f>SUM(I578:I612)</f>
        <v>2637.5250000000001</v>
      </c>
      <c r="J613" s="25">
        <f t="shared" si="35"/>
        <v>19</v>
      </c>
    </row>
    <row r="614" spans="1:10" ht="16.95" customHeight="1">
      <c r="A614" s="96" t="s">
        <v>25</v>
      </c>
      <c r="B614" s="96"/>
      <c r="C614" s="50"/>
      <c r="D614" s="50"/>
      <c r="E614" s="50"/>
      <c r="F614" s="50"/>
      <c r="G614" s="50"/>
      <c r="J614" s="25">
        <f t="shared" si="35"/>
        <v>19</v>
      </c>
    </row>
    <row r="615" spans="1:10" ht="16.95" customHeight="1">
      <c r="A615" s="96" t="s">
        <v>26</v>
      </c>
      <c r="B615" s="96"/>
      <c r="C615" s="50"/>
      <c r="D615" s="50"/>
      <c r="E615" s="50"/>
      <c r="F615" s="50"/>
      <c r="G615" s="50"/>
      <c r="J615" s="25">
        <f t="shared" si="35"/>
        <v>19</v>
      </c>
    </row>
    <row r="616" spans="1:10" ht="16.95" customHeight="1">
      <c r="A616" s="95" t="s">
        <v>27</v>
      </c>
      <c r="B616" s="95"/>
      <c r="C616" s="95"/>
      <c r="D616" s="95"/>
      <c r="E616" s="95"/>
      <c r="F616" s="95"/>
      <c r="G616" s="95"/>
      <c r="J616" s="25">
        <f t="shared" si="35"/>
        <v>19</v>
      </c>
    </row>
    <row r="617" spans="1:10" ht="16.95" customHeight="1">
      <c r="A617" s="94" t="s">
        <v>28</v>
      </c>
      <c r="B617" s="94"/>
      <c r="C617" s="51" t="s">
        <v>29</v>
      </c>
      <c r="D617" s="51" t="s">
        <v>30</v>
      </c>
      <c r="E617" s="51" t="s">
        <v>18</v>
      </c>
      <c r="F617" s="51" t="s">
        <v>31</v>
      </c>
      <c r="G617" s="51" t="s">
        <v>20</v>
      </c>
      <c r="J617" s="25">
        <f t="shared" si="35"/>
        <v>19</v>
      </c>
    </row>
    <row r="618" spans="1:10" ht="16.95" customHeight="1">
      <c r="A618" s="96"/>
      <c r="B618" s="96"/>
      <c r="C618" s="50"/>
      <c r="D618" s="50"/>
      <c r="E618" s="50"/>
      <c r="F618" s="50"/>
      <c r="G618" s="51"/>
      <c r="J618" s="25">
        <f t="shared" si="35"/>
        <v>19</v>
      </c>
    </row>
    <row r="619" spans="1:10" ht="16.95" customHeight="1">
      <c r="A619" s="97"/>
      <c r="B619" s="97"/>
      <c r="C619" s="50"/>
      <c r="D619" s="50"/>
      <c r="E619" s="50"/>
      <c r="F619" s="51"/>
      <c r="G619" s="51"/>
      <c r="J619" s="25">
        <f t="shared" si="35"/>
        <v>19</v>
      </c>
    </row>
    <row r="620" spans="1:10" ht="16.95" customHeight="1">
      <c r="A620" s="95" t="s">
        <v>32</v>
      </c>
      <c r="B620" s="95"/>
      <c r="C620" s="95"/>
      <c r="D620" s="95"/>
      <c r="E620" s="95"/>
      <c r="F620" s="95"/>
      <c r="G620" s="95"/>
      <c r="J620" s="25">
        <f t="shared" si="35"/>
        <v>20</v>
      </c>
    </row>
    <row r="621" spans="1:10" ht="16.95" customHeight="1">
      <c r="A621" s="51" t="s">
        <v>33</v>
      </c>
      <c r="B621" s="51" t="s">
        <v>34</v>
      </c>
      <c r="C621" s="94" t="s">
        <v>35</v>
      </c>
      <c r="D621" s="94"/>
      <c r="E621" s="51" t="s">
        <v>36</v>
      </c>
      <c r="F621" s="51" t="s">
        <v>37</v>
      </c>
      <c r="G621" s="51" t="s">
        <v>38</v>
      </c>
      <c r="J621" s="25">
        <f t="shared" si="35"/>
        <v>20</v>
      </c>
    </row>
    <row r="622" spans="1:10" ht="16.95" customHeight="1">
      <c r="A622" s="51" t="s">
        <v>39</v>
      </c>
      <c r="B622" s="6"/>
      <c r="C622" s="94" t="e">
        <f>B622+C559</f>
        <v>#REF!</v>
      </c>
      <c r="D622" s="94"/>
      <c r="E622" s="51"/>
      <c r="F622" s="24"/>
      <c r="G622" s="24"/>
      <c r="J622" s="25">
        <f t="shared" si="35"/>
        <v>20</v>
      </c>
    </row>
    <row r="623" spans="1:10" ht="16.95" customHeight="1">
      <c r="A623" s="51" t="s">
        <v>40</v>
      </c>
      <c r="B623" s="6"/>
      <c r="C623" s="94" t="e">
        <f>B623+C560</f>
        <v>#REF!</v>
      </c>
      <c r="D623" s="94"/>
      <c r="E623" s="51"/>
      <c r="F623" s="24"/>
      <c r="G623" s="24"/>
      <c r="J623" s="25">
        <f t="shared" si="35"/>
        <v>20</v>
      </c>
    </row>
    <row r="624" spans="1:10" ht="36.6" customHeight="1">
      <c r="A624" s="95" t="s">
        <v>41</v>
      </c>
      <c r="B624" s="95"/>
      <c r="C624" s="95"/>
      <c r="D624" s="95"/>
      <c r="E624" s="95"/>
      <c r="F624" s="95"/>
      <c r="G624" s="95"/>
      <c r="J624" s="25">
        <f t="shared" si="35"/>
        <v>20</v>
      </c>
    </row>
    <row r="625" spans="1:10" ht="90" customHeight="1">
      <c r="A625" s="92" t="s">
        <v>42</v>
      </c>
      <c r="B625" s="92"/>
      <c r="C625" s="92"/>
      <c r="D625" s="92"/>
      <c r="E625" s="92"/>
      <c r="F625" s="92"/>
      <c r="G625" s="92"/>
      <c r="J625" s="25">
        <f t="shared" si="35"/>
        <v>20</v>
      </c>
    </row>
    <row r="626" spans="1:10" ht="16.95" customHeight="1">
      <c r="A626" s="95" t="s">
        <v>43</v>
      </c>
      <c r="B626" s="95"/>
      <c r="C626" s="95"/>
      <c r="D626" s="95"/>
      <c r="E626" s="95"/>
      <c r="F626" s="95"/>
      <c r="G626" s="95"/>
      <c r="J626" s="25">
        <f t="shared" si="35"/>
        <v>20</v>
      </c>
    </row>
    <row r="627" spans="1:10" ht="16.95" customHeight="1">
      <c r="A627" s="95" t="s">
        <v>44</v>
      </c>
      <c r="B627" s="95"/>
      <c r="C627" s="95"/>
      <c r="D627" s="95"/>
      <c r="E627" s="95"/>
      <c r="F627" s="95"/>
      <c r="G627" s="95"/>
      <c r="J627" s="25">
        <f t="shared" si="35"/>
        <v>20</v>
      </c>
    </row>
    <row r="628" spans="1:10" ht="16.95" customHeight="1">
      <c r="A628" s="91" t="s">
        <v>64</v>
      </c>
      <c r="B628" s="91"/>
      <c r="C628" s="91"/>
      <c r="D628" s="91"/>
      <c r="E628" s="91"/>
      <c r="F628" s="91"/>
      <c r="G628" s="91"/>
      <c r="J628" s="25">
        <f t="shared" si="35"/>
        <v>20</v>
      </c>
    </row>
    <row r="629" spans="1:10" ht="120.6" customHeight="1">
      <c r="A629" s="92" t="s">
        <v>45</v>
      </c>
      <c r="B629" s="92"/>
      <c r="C629" s="92"/>
      <c r="D629" s="92"/>
      <c r="E629" s="92"/>
      <c r="F629" s="92"/>
      <c r="G629" s="92"/>
      <c r="J629" s="25">
        <f t="shared" si="35"/>
        <v>20</v>
      </c>
    </row>
    <row r="630" spans="1:10" ht="140.4" customHeight="1">
      <c r="A630" s="93" t="s">
        <v>46</v>
      </c>
      <c r="B630" s="93"/>
      <c r="C630" s="93"/>
      <c r="D630" s="93"/>
      <c r="E630" s="93"/>
      <c r="F630" s="93"/>
      <c r="G630" s="93"/>
      <c r="J630" s="25">
        <f t="shared" si="35"/>
        <v>20</v>
      </c>
    </row>
    <row r="631" spans="1:10" ht="37.200000000000003" customHeight="1">
      <c r="A631" s="103" t="s">
        <v>0</v>
      </c>
      <c r="B631" s="103"/>
      <c r="C631" s="103"/>
      <c r="D631" s="103"/>
      <c r="E631" s="103"/>
      <c r="F631" s="103"/>
      <c r="G631" s="103"/>
      <c r="J631" s="25">
        <f t="shared" si="35"/>
        <v>21</v>
      </c>
    </row>
    <row r="632" spans="1:10" ht="16.95" customHeight="1">
      <c r="A632" s="1" t="s">
        <v>1</v>
      </c>
      <c r="B632" s="104">
        <f>B569+1</f>
        <v>12</v>
      </c>
      <c r="C632" s="104"/>
      <c r="D632" s="104"/>
      <c r="E632" s="104"/>
      <c r="F632" s="104"/>
      <c r="G632" s="104"/>
      <c r="J632" s="25">
        <f t="shared" si="35"/>
        <v>21</v>
      </c>
    </row>
    <row r="633" spans="1:10" ht="16.95" customHeight="1">
      <c r="A633" s="1" t="s">
        <v>2</v>
      </c>
      <c r="B633" s="105" t="s">
        <v>63</v>
      </c>
      <c r="C633" s="105"/>
      <c r="D633" s="105"/>
      <c r="E633" s="106">
        <f>E570+1</f>
        <v>46214</v>
      </c>
      <c r="F633" s="106"/>
      <c r="G633" s="106"/>
      <c r="J633" s="25">
        <f t="shared" si="35"/>
        <v>21</v>
      </c>
    </row>
    <row r="634" spans="1:10" ht="16.95" customHeight="1">
      <c r="A634" s="53" t="s">
        <v>3</v>
      </c>
      <c r="B634" s="2" t="s">
        <v>67</v>
      </c>
      <c r="C634" s="98" t="s">
        <v>4</v>
      </c>
      <c r="D634" s="98"/>
      <c r="E634" s="98" t="s">
        <v>47</v>
      </c>
      <c r="F634" s="98"/>
      <c r="G634" s="98"/>
      <c r="J634" s="25">
        <f t="shared" si="35"/>
        <v>21</v>
      </c>
    </row>
    <row r="635" spans="1:10" ht="16.95" customHeight="1">
      <c r="A635" s="53" t="s">
        <v>5</v>
      </c>
      <c r="B635" s="54">
        <v>120</v>
      </c>
      <c r="C635" s="98" t="s">
        <v>6</v>
      </c>
      <c r="D635" s="98"/>
      <c r="E635" s="98" t="s">
        <v>123</v>
      </c>
      <c r="F635" s="98"/>
      <c r="G635" s="98"/>
      <c r="J635" s="25">
        <f t="shared" ref="J635:J698" si="39">J572+2</f>
        <v>21</v>
      </c>
    </row>
    <row r="636" spans="1:10" ht="16.95" customHeight="1">
      <c r="A636" s="53" t="s">
        <v>7</v>
      </c>
      <c r="B636" s="54">
        <f>B632</f>
        <v>12</v>
      </c>
      <c r="C636" s="100" t="s">
        <v>8</v>
      </c>
      <c r="D636" s="100"/>
      <c r="E636" s="101">
        <f>B635-B636</f>
        <v>108</v>
      </c>
      <c r="F636" s="101"/>
      <c r="G636" s="101"/>
      <c r="J636" s="25">
        <f t="shared" si="39"/>
        <v>21</v>
      </c>
    </row>
    <row r="637" spans="1:10" ht="16.95" customHeight="1">
      <c r="A637" s="53" t="s">
        <v>9</v>
      </c>
      <c r="B637" s="55">
        <v>46204</v>
      </c>
      <c r="C637" s="98" t="s">
        <v>10</v>
      </c>
      <c r="D637" s="98"/>
      <c r="E637" s="102">
        <f>B637+B635-1</f>
        <v>46323</v>
      </c>
      <c r="F637" s="102"/>
      <c r="G637" s="102"/>
      <c r="J637" s="25">
        <f t="shared" si="39"/>
        <v>21</v>
      </c>
    </row>
    <row r="638" spans="1:10" ht="16.95" customHeight="1">
      <c r="A638" s="53" t="s">
        <v>11</v>
      </c>
      <c r="B638" s="56" t="e">
        <f>HLOOKUP(B632,進度表!$Q$2:$Z$3,2,1)+B575</f>
        <v>#REF!</v>
      </c>
      <c r="C638" s="98" t="s">
        <v>12</v>
      </c>
      <c r="D638" s="98"/>
      <c r="E638" s="99" t="e">
        <f>I676/I638+E575</f>
        <v>#REF!</v>
      </c>
      <c r="F638" s="99"/>
      <c r="G638" s="99"/>
      <c r="H638" s="3" t="s">
        <v>62</v>
      </c>
      <c r="I638" s="1">
        <v>2456000</v>
      </c>
      <c r="J638" s="25">
        <f t="shared" si="39"/>
        <v>21</v>
      </c>
    </row>
    <row r="639" spans="1:10" ht="16.95" customHeight="1">
      <c r="A639" s="98" t="s">
        <v>13</v>
      </c>
      <c r="B639" s="98"/>
      <c r="C639" s="98"/>
      <c r="D639" s="98"/>
      <c r="E639" s="98"/>
      <c r="F639" s="98"/>
      <c r="G639" s="98"/>
      <c r="J639" s="25">
        <f t="shared" si="39"/>
        <v>21</v>
      </c>
    </row>
    <row r="640" spans="1:10" ht="16.95" customHeight="1">
      <c r="A640" s="52" t="s">
        <v>14</v>
      </c>
      <c r="B640" s="52" t="s">
        <v>15</v>
      </c>
      <c r="C640" s="52" t="s">
        <v>16</v>
      </c>
      <c r="D640" s="52" t="s">
        <v>17</v>
      </c>
      <c r="E640" s="52" t="s">
        <v>18</v>
      </c>
      <c r="F640" s="52" t="s">
        <v>19</v>
      </c>
      <c r="G640" s="52" t="s">
        <v>20</v>
      </c>
      <c r="H640" s="3" t="s">
        <v>21</v>
      </c>
      <c r="I640" s="3" t="s">
        <v>22</v>
      </c>
      <c r="J640" s="25">
        <f t="shared" si="39"/>
        <v>21</v>
      </c>
    </row>
    <row r="641" spans="1:10" ht="16.95" customHeight="1">
      <c r="A641" s="75" t="s">
        <v>65</v>
      </c>
      <c r="B641" s="76" t="s">
        <v>69</v>
      </c>
      <c r="C641" s="77"/>
      <c r="D641" s="78"/>
      <c r="E641" s="79"/>
      <c r="F641" s="79"/>
      <c r="G641" s="2"/>
      <c r="H641" s="37"/>
      <c r="I641" s="4"/>
      <c r="J641" s="25">
        <f t="shared" si="39"/>
        <v>21</v>
      </c>
    </row>
    <row r="642" spans="1:10" ht="34.950000000000003" customHeight="1">
      <c r="A642" s="75">
        <v>1</v>
      </c>
      <c r="B642" s="80" t="s">
        <v>91</v>
      </c>
      <c r="C642" s="77" t="s">
        <v>48</v>
      </c>
      <c r="D642" s="78">
        <v>1</v>
      </c>
      <c r="E642" s="79"/>
      <c r="F642" s="79" t="e">
        <f t="shared" ref="F642:F675" si="40">E642+F579</f>
        <v>#REF!</v>
      </c>
      <c r="G642" s="2"/>
      <c r="H642" s="37">
        <v>10508</v>
      </c>
      <c r="I642" s="4">
        <f>H642*E642</f>
        <v>0</v>
      </c>
      <c r="J642" s="25">
        <f t="shared" si="39"/>
        <v>21</v>
      </c>
    </row>
    <row r="643" spans="1:10" ht="34.799999999999997" customHeight="1">
      <c r="A643" s="75">
        <v>2</v>
      </c>
      <c r="B643" s="80" t="s">
        <v>92</v>
      </c>
      <c r="C643" s="77" t="s">
        <v>48</v>
      </c>
      <c r="D643" s="78">
        <v>1</v>
      </c>
      <c r="E643" s="79"/>
      <c r="F643" s="79" t="e">
        <f t="shared" si="40"/>
        <v>#REF!</v>
      </c>
      <c r="G643" s="2"/>
      <c r="H643" s="37">
        <v>13223</v>
      </c>
      <c r="I643" s="4">
        <f>H643*E643</f>
        <v>0</v>
      </c>
      <c r="J643" s="25">
        <f t="shared" si="39"/>
        <v>21</v>
      </c>
    </row>
    <row r="644" spans="1:10" ht="53.4" customHeight="1">
      <c r="A644" s="75">
        <v>3</v>
      </c>
      <c r="B644" s="80" t="s">
        <v>93</v>
      </c>
      <c r="C644" s="77" t="s">
        <v>48</v>
      </c>
      <c r="D644" s="78">
        <v>1</v>
      </c>
      <c r="E644" s="79"/>
      <c r="F644" s="79" t="e">
        <f t="shared" si="40"/>
        <v>#REF!</v>
      </c>
      <c r="G644" s="2"/>
      <c r="H644" s="37">
        <v>310497</v>
      </c>
      <c r="I644" s="4">
        <f t="shared" ref="I644:I675" si="41">H644*E644</f>
        <v>0</v>
      </c>
      <c r="J644" s="25">
        <f t="shared" si="39"/>
        <v>21</v>
      </c>
    </row>
    <row r="645" spans="1:10" ht="16.95" customHeight="1">
      <c r="A645" s="75">
        <v>4</v>
      </c>
      <c r="B645" s="80" t="s">
        <v>94</v>
      </c>
      <c r="C645" s="77" t="s">
        <v>48</v>
      </c>
      <c r="D645" s="78">
        <v>1</v>
      </c>
      <c r="E645" s="79"/>
      <c r="F645" s="79" t="e">
        <f t="shared" si="40"/>
        <v>#REF!</v>
      </c>
      <c r="G645" s="2"/>
      <c r="H645" s="37">
        <v>8375</v>
      </c>
      <c r="I645" s="4">
        <f t="shared" si="41"/>
        <v>0</v>
      </c>
      <c r="J645" s="25">
        <f t="shared" si="39"/>
        <v>21</v>
      </c>
    </row>
    <row r="646" spans="1:10" ht="16.95" customHeight="1">
      <c r="A646" s="75">
        <v>5</v>
      </c>
      <c r="B646" s="80" t="s">
        <v>95</v>
      </c>
      <c r="C646" s="77" t="s">
        <v>48</v>
      </c>
      <c r="D646" s="78">
        <v>1</v>
      </c>
      <c r="E646" s="79"/>
      <c r="F646" s="79" t="e">
        <f t="shared" si="40"/>
        <v>#REF!</v>
      </c>
      <c r="G646" s="2"/>
      <c r="H646" s="37">
        <v>51618</v>
      </c>
      <c r="I646" s="4">
        <f t="shared" si="41"/>
        <v>0</v>
      </c>
      <c r="J646" s="25">
        <f t="shared" si="39"/>
        <v>21</v>
      </c>
    </row>
    <row r="647" spans="1:10" ht="16.95" customHeight="1">
      <c r="A647" s="75">
        <v>6</v>
      </c>
      <c r="B647" s="80" t="s">
        <v>96</v>
      </c>
      <c r="C647" s="77" t="s">
        <v>50</v>
      </c>
      <c r="D647" s="78">
        <v>11.55</v>
      </c>
      <c r="E647" s="79"/>
      <c r="F647" s="79" t="e">
        <f t="shared" si="40"/>
        <v>#REF!</v>
      </c>
      <c r="G647" s="2"/>
      <c r="H647" s="37">
        <v>1188</v>
      </c>
      <c r="I647" s="4">
        <f t="shared" si="41"/>
        <v>0</v>
      </c>
      <c r="J647" s="25">
        <f t="shared" si="39"/>
        <v>21</v>
      </c>
    </row>
    <row r="648" spans="1:10" ht="34.950000000000003" customHeight="1">
      <c r="A648" s="75">
        <v>7</v>
      </c>
      <c r="B648" s="80" t="s">
        <v>97</v>
      </c>
      <c r="C648" s="77" t="s">
        <v>48</v>
      </c>
      <c r="D648" s="78">
        <v>1</v>
      </c>
      <c r="E648" s="79"/>
      <c r="F648" s="79" t="e">
        <f t="shared" si="40"/>
        <v>#REF!</v>
      </c>
      <c r="G648" s="2"/>
      <c r="H648" s="37">
        <v>21157</v>
      </c>
      <c r="I648" s="4">
        <f t="shared" si="41"/>
        <v>0</v>
      </c>
      <c r="J648" s="25">
        <f t="shared" si="39"/>
        <v>21</v>
      </c>
    </row>
    <row r="649" spans="1:10" ht="16.95" customHeight="1">
      <c r="A649" s="75">
        <v>8</v>
      </c>
      <c r="B649" s="80" t="s">
        <v>98</v>
      </c>
      <c r="C649" s="77" t="s">
        <v>50</v>
      </c>
      <c r="D649" s="78">
        <v>387</v>
      </c>
      <c r="E649" s="79"/>
      <c r="F649" s="79" t="e">
        <f t="shared" si="40"/>
        <v>#REF!</v>
      </c>
      <c r="G649" s="2"/>
      <c r="H649" s="37">
        <v>705</v>
      </c>
      <c r="I649" s="4">
        <f t="shared" si="41"/>
        <v>0</v>
      </c>
      <c r="J649" s="25">
        <f t="shared" si="39"/>
        <v>21</v>
      </c>
    </row>
    <row r="650" spans="1:10" ht="16.95" customHeight="1">
      <c r="A650" s="75">
        <v>9</v>
      </c>
      <c r="B650" s="80" t="s">
        <v>99</v>
      </c>
      <c r="C650" s="77" t="s">
        <v>50</v>
      </c>
      <c r="D650" s="78">
        <v>170</v>
      </c>
      <c r="E650" s="79"/>
      <c r="F650" s="79" t="e">
        <f t="shared" si="40"/>
        <v>#REF!</v>
      </c>
      <c r="G650" s="2"/>
      <c r="H650" s="37">
        <v>617</v>
      </c>
      <c r="I650" s="4">
        <f t="shared" si="41"/>
        <v>0</v>
      </c>
      <c r="J650" s="25">
        <f t="shared" si="39"/>
        <v>21</v>
      </c>
    </row>
    <row r="651" spans="1:10" ht="16.95" customHeight="1">
      <c r="A651" s="75">
        <v>10</v>
      </c>
      <c r="B651" s="80" t="s">
        <v>100</v>
      </c>
      <c r="C651" s="77" t="s">
        <v>66</v>
      </c>
      <c r="D651" s="78">
        <v>15</v>
      </c>
      <c r="E651" s="79"/>
      <c r="F651" s="79" t="e">
        <f t="shared" si="40"/>
        <v>#REF!</v>
      </c>
      <c r="G651" s="2"/>
      <c r="H651" s="37">
        <v>617</v>
      </c>
      <c r="I651" s="4">
        <f t="shared" si="41"/>
        <v>0</v>
      </c>
      <c r="J651" s="25">
        <f t="shared" si="39"/>
        <v>21</v>
      </c>
    </row>
    <row r="652" spans="1:10" ht="16.95" customHeight="1">
      <c r="A652" s="75">
        <v>11</v>
      </c>
      <c r="B652" s="80" t="s">
        <v>101</v>
      </c>
      <c r="C652" s="77" t="s">
        <v>50</v>
      </c>
      <c r="D652" s="78">
        <v>75</v>
      </c>
      <c r="E652" s="79"/>
      <c r="F652" s="79" t="e">
        <f t="shared" si="40"/>
        <v>#REF!</v>
      </c>
      <c r="G652" s="2"/>
      <c r="H652" s="37">
        <v>1146</v>
      </c>
      <c r="I652" s="4">
        <f t="shared" si="41"/>
        <v>0</v>
      </c>
      <c r="J652" s="25">
        <f t="shared" si="39"/>
        <v>21</v>
      </c>
    </row>
    <row r="653" spans="1:10" ht="16.95" customHeight="1">
      <c r="A653" s="75">
        <v>12</v>
      </c>
      <c r="B653" s="80" t="s">
        <v>102</v>
      </c>
      <c r="C653" s="77" t="s">
        <v>50</v>
      </c>
      <c r="D653" s="78">
        <v>5</v>
      </c>
      <c r="E653" s="79"/>
      <c r="F653" s="79" t="e">
        <f t="shared" si="40"/>
        <v>#REF!</v>
      </c>
      <c r="G653" s="2"/>
      <c r="H653" s="37">
        <v>1455</v>
      </c>
      <c r="I653" s="4">
        <f t="shared" si="41"/>
        <v>0</v>
      </c>
      <c r="J653" s="25">
        <f t="shared" si="39"/>
        <v>21</v>
      </c>
    </row>
    <row r="654" spans="1:10" ht="16.95" customHeight="1">
      <c r="A654" s="75">
        <v>13</v>
      </c>
      <c r="B654" s="80" t="s">
        <v>103</v>
      </c>
      <c r="C654" s="77" t="s">
        <v>50</v>
      </c>
      <c r="D654" s="78">
        <v>217</v>
      </c>
      <c r="E654" s="79"/>
      <c r="F654" s="79" t="e">
        <f t="shared" si="40"/>
        <v>#REF!</v>
      </c>
      <c r="G654" s="2"/>
      <c r="H654" s="37">
        <v>1410</v>
      </c>
      <c r="I654" s="4">
        <f t="shared" si="41"/>
        <v>0</v>
      </c>
      <c r="J654" s="25">
        <f t="shared" si="39"/>
        <v>21</v>
      </c>
    </row>
    <row r="655" spans="1:10" ht="16.95" customHeight="1">
      <c r="A655" s="75">
        <v>14</v>
      </c>
      <c r="B655" s="80" t="s">
        <v>104</v>
      </c>
      <c r="C655" s="77" t="s">
        <v>49</v>
      </c>
      <c r="D655" s="78">
        <v>84</v>
      </c>
      <c r="E655" s="79"/>
      <c r="F655" s="79" t="e">
        <f t="shared" si="40"/>
        <v>#REF!</v>
      </c>
      <c r="G655" s="2"/>
      <c r="H655" s="37">
        <v>529</v>
      </c>
      <c r="I655" s="4">
        <f t="shared" si="41"/>
        <v>0</v>
      </c>
      <c r="J655" s="25">
        <f t="shared" si="39"/>
        <v>21</v>
      </c>
    </row>
    <row r="656" spans="1:10" ht="16.95" customHeight="1">
      <c r="A656" s="75">
        <v>15</v>
      </c>
      <c r="B656" s="80" t="s">
        <v>105</v>
      </c>
      <c r="C656" s="77" t="s">
        <v>50</v>
      </c>
      <c r="D656" s="78">
        <v>1</v>
      </c>
      <c r="E656" s="79"/>
      <c r="F656" s="79" t="e">
        <f t="shared" si="40"/>
        <v>#REF!</v>
      </c>
      <c r="G656" s="2"/>
      <c r="H656" s="37">
        <v>1146</v>
      </c>
      <c r="I656" s="4">
        <f t="shared" si="41"/>
        <v>0</v>
      </c>
      <c r="J656" s="25">
        <f t="shared" si="39"/>
        <v>21</v>
      </c>
    </row>
    <row r="657" spans="1:10" ht="34.799999999999997" customHeight="1">
      <c r="A657" s="75">
        <v>16</v>
      </c>
      <c r="B657" s="80" t="s">
        <v>106</v>
      </c>
      <c r="C657" s="77" t="s">
        <v>50</v>
      </c>
      <c r="D657" s="78">
        <v>314</v>
      </c>
      <c r="E657" s="79"/>
      <c r="F657" s="79" t="e">
        <f t="shared" si="40"/>
        <v>#REF!</v>
      </c>
      <c r="G657" s="2"/>
      <c r="H657" s="37">
        <v>185</v>
      </c>
      <c r="I657" s="4">
        <f t="shared" si="41"/>
        <v>0</v>
      </c>
      <c r="J657" s="25">
        <f t="shared" si="39"/>
        <v>21</v>
      </c>
    </row>
    <row r="658" spans="1:10" ht="16.95" customHeight="1">
      <c r="A658" s="75">
        <v>17</v>
      </c>
      <c r="B658" s="80" t="s">
        <v>107</v>
      </c>
      <c r="C658" s="77" t="s">
        <v>48</v>
      </c>
      <c r="D658" s="78">
        <v>1</v>
      </c>
      <c r="E658" s="79"/>
      <c r="F658" s="79" t="e">
        <f t="shared" si="40"/>
        <v>#REF!</v>
      </c>
      <c r="G658" s="2"/>
      <c r="H658" s="37">
        <v>89918</v>
      </c>
      <c r="I658" s="4">
        <f t="shared" si="41"/>
        <v>0</v>
      </c>
      <c r="J658" s="25">
        <f t="shared" si="39"/>
        <v>21</v>
      </c>
    </row>
    <row r="659" spans="1:10" ht="16.95" customHeight="1">
      <c r="A659" s="75">
        <v>18</v>
      </c>
      <c r="B659" s="80" t="s">
        <v>108</v>
      </c>
      <c r="C659" s="77" t="s">
        <v>120</v>
      </c>
      <c r="D659" s="78">
        <v>15</v>
      </c>
      <c r="E659" s="79"/>
      <c r="F659" s="79" t="e">
        <f t="shared" si="40"/>
        <v>#REF!</v>
      </c>
      <c r="G659" s="2"/>
      <c r="H659" s="37">
        <v>661</v>
      </c>
      <c r="I659" s="4">
        <f t="shared" si="41"/>
        <v>0</v>
      </c>
      <c r="J659" s="25">
        <f t="shared" si="39"/>
        <v>21</v>
      </c>
    </row>
    <row r="660" spans="1:10" ht="16.95" customHeight="1">
      <c r="A660" s="75">
        <v>19</v>
      </c>
      <c r="B660" s="80" t="s">
        <v>109</v>
      </c>
      <c r="C660" s="77" t="s">
        <v>50</v>
      </c>
      <c r="D660" s="78">
        <v>82</v>
      </c>
      <c r="E660" s="79"/>
      <c r="F660" s="79" t="e">
        <f t="shared" si="40"/>
        <v>#REF!</v>
      </c>
      <c r="G660" s="2"/>
      <c r="H660" s="37">
        <v>2909</v>
      </c>
      <c r="I660" s="4">
        <f t="shared" si="41"/>
        <v>0</v>
      </c>
      <c r="J660" s="25">
        <f t="shared" si="39"/>
        <v>21</v>
      </c>
    </row>
    <row r="661" spans="1:10" ht="16.95" customHeight="1">
      <c r="A661" s="75">
        <v>20</v>
      </c>
      <c r="B661" s="80" t="s">
        <v>110</v>
      </c>
      <c r="C661" s="77" t="s">
        <v>121</v>
      </c>
      <c r="D661" s="78">
        <v>12</v>
      </c>
      <c r="E661" s="79"/>
      <c r="F661" s="79" t="e">
        <f t="shared" si="40"/>
        <v>#REF!</v>
      </c>
      <c r="G661" s="2"/>
      <c r="H661" s="37">
        <v>882</v>
      </c>
      <c r="I661" s="4">
        <f t="shared" si="41"/>
        <v>0</v>
      </c>
      <c r="J661" s="25">
        <f t="shared" si="39"/>
        <v>21</v>
      </c>
    </row>
    <row r="662" spans="1:10" ht="16.95" customHeight="1">
      <c r="A662" s="77">
        <v>21</v>
      </c>
      <c r="B662" s="80" t="s">
        <v>111</v>
      </c>
      <c r="C662" s="77" t="s">
        <v>122</v>
      </c>
      <c r="D662" s="78">
        <v>3</v>
      </c>
      <c r="E662" s="79"/>
      <c r="F662" s="79" t="e">
        <f t="shared" si="40"/>
        <v>#REF!</v>
      </c>
      <c r="G662" s="2"/>
      <c r="H662" s="38">
        <v>1869</v>
      </c>
      <c r="I662" s="4">
        <f t="shared" si="41"/>
        <v>0</v>
      </c>
      <c r="J662" s="25">
        <f t="shared" si="39"/>
        <v>21</v>
      </c>
    </row>
    <row r="663" spans="1:10" ht="34.950000000000003" customHeight="1">
      <c r="A663" s="75">
        <v>22</v>
      </c>
      <c r="B663" s="80" t="s">
        <v>112</v>
      </c>
      <c r="C663" s="77" t="s">
        <v>48</v>
      </c>
      <c r="D663" s="78">
        <v>1</v>
      </c>
      <c r="E663" s="79"/>
      <c r="F663" s="79" t="e">
        <f t="shared" si="40"/>
        <v>#REF!</v>
      </c>
      <c r="G663" s="2"/>
      <c r="H663" s="37">
        <v>82206</v>
      </c>
      <c r="I663" s="4">
        <f t="shared" si="41"/>
        <v>0</v>
      </c>
      <c r="J663" s="25">
        <f t="shared" si="39"/>
        <v>21</v>
      </c>
    </row>
    <row r="664" spans="1:10" ht="16.95" customHeight="1">
      <c r="A664" s="75">
        <v>23</v>
      </c>
      <c r="B664" s="80" t="s">
        <v>113</v>
      </c>
      <c r="C664" s="77" t="s">
        <v>48</v>
      </c>
      <c r="D664" s="78">
        <v>1</v>
      </c>
      <c r="E664" s="79"/>
      <c r="F664" s="79" t="e">
        <f t="shared" si="40"/>
        <v>#REF!</v>
      </c>
      <c r="G664" s="2"/>
      <c r="H664" s="37">
        <v>142723</v>
      </c>
      <c r="I664" s="4">
        <f t="shared" si="41"/>
        <v>0</v>
      </c>
      <c r="J664" s="25">
        <f t="shared" si="39"/>
        <v>21</v>
      </c>
    </row>
    <row r="665" spans="1:10" ht="16.95" customHeight="1">
      <c r="A665" s="75">
        <v>24</v>
      </c>
      <c r="B665" s="80" t="s">
        <v>114</v>
      </c>
      <c r="C665" s="77" t="s">
        <v>48</v>
      </c>
      <c r="D665" s="78">
        <v>1</v>
      </c>
      <c r="E665" s="79"/>
      <c r="F665" s="79" t="e">
        <f t="shared" si="40"/>
        <v>#REF!</v>
      </c>
      <c r="G665" s="2"/>
      <c r="H665" s="37">
        <v>37290</v>
      </c>
      <c r="I665" s="4">
        <f t="shared" si="41"/>
        <v>0</v>
      </c>
      <c r="J665" s="25">
        <f t="shared" si="39"/>
        <v>21</v>
      </c>
    </row>
    <row r="666" spans="1:10" ht="16.95" customHeight="1">
      <c r="A666" s="75">
        <v>25</v>
      </c>
      <c r="B666" s="80" t="s">
        <v>115</v>
      </c>
      <c r="C666" s="77" t="s">
        <v>48</v>
      </c>
      <c r="D666" s="78">
        <v>1</v>
      </c>
      <c r="E666" s="79"/>
      <c r="F666" s="79" t="e">
        <f t="shared" si="40"/>
        <v>#REF!</v>
      </c>
      <c r="G666" s="2"/>
      <c r="H666" s="37">
        <v>99394</v>
      </c>
      <c r="I666" s="4">
        <f t="shared" si="41"/>
        <v>0</v>
      </c>
      <c r="J666" s="25">
        <f t="shared" si="39"/>
        <v>21</v>
      </c>
    </row>
    <row r="667" spans="1:10" ht="34.950000000000003" customHeight="1">
      <c r="A667" s="75">
        <v>26</v>
      </c>
      <c r="B667" s="80" t="s">
        <v>116</v>
      </c>
      <c r="C667" s="77" t="s">
        <v>48</v>
      </c>
      <c r="D667" s="78">
        <v>1</v>
      </c>
      <c r="E667" s="79"/>
      <c r="F667" s="79" t="e">
        <f t="shared" si="40"/>
        <v>#REF!</v>
      </c>
      <c r="G667" s="2"/>
      <c r="H667" s="37">
        <v>21334</v>
      </c>
      <c r="I667" s="4">
        <f t="shared" si="41"/>
        <v>0</v>
      </c>
      <c r="J667" s="25">
        <f t="shared" si="39"/>
        <v>21</v>
      </c>
    </row>
    <row r="668" spans="1:10" ht="16.95" customHeight="1">
      <c r="A668" s="75">
        <v>27</v>
      </c>
      <c r="B668" s="80" t="s">
        <v>117</v>
      </c>
      <c r="C668" s="77" t="s">
        <v>48</v>
      </c>
      <c r="D668" s="78">
        <v>1</v>
      </c>
      <c r="E668" s="79"/>
      <c r="F668" s="79" t="e">
        <f t="shared" si="40"/>
        <v>#REF!</v>
      </c>
      <c r="G668" s="2"/>
      <c r="H668" s="37">
        <v>29620</v>
      </c>
      <c r="I668" s="4">
        <f t="shared" si="41"/>
        <v>0</v>
      </c>
      <c r="J668" s="25">
        <f t="shared" si="39"/>
        <v>21</v>
      </c>
    </row>
    <row r="669" spans="1:10" ht="16.95" customHeight="1">
      <c r="A669" s="75">
        <v>28</v>
      </c>
      <c r="B669" s="80" t="s">
        <v>118</v>
      </c>
      <c r="C669" s="77" t="s">
        <v>48</v>
      </c>
      <c r="D669" s="78">
        <v>1</v>
      </c>
      <c r="E669" s="79"/>
      <c r="F669" s="79" t="e">
        <f t="shared" si="40"/>
        <v>#REF!</v>
      </c>
      <c r="G669" s="2"/>
      <c r="H669" s="37">
        <v>18506</v>
      </c>
      <c r="I669" s="4">
        <f t="shared" si="41"/>
        <v>0</v>
      </c>
      <c r="J669" s="25">
        <f t="shared" si="39"/>
        <v>21</v>
      </c>
    </row>
    <row r="670" spans="1:10" ht="16.95" customHeight="1">
      <c r="A670" s="75">
        <v>29</v>
      </c>
      <c r="B670" s="80" t="s">
        <v>119</v>
      </c>
      <c r="C670" s="77" t="s">
        <v>48</v>
      </c>
      <c r="D670" s="78">
        <v>1</v>
      </c>
      <c r="E670" s="79"/>
      <c r="F670" s="79" t="e">
        <f t="shared" si="40"/>
        <v>#REF!</v>
      </c>
      <c r="G670" s="2"/>
      <c r="H670" s="37">
        <v>34381</v>
      </c>
      <c r="I670" s="4">
        <f t="shared" si="41"/>
        <v>0</v>
      </c>
      <c r="J670" s="25">
        <f t="shared" si="39"/>
        <v>21</v>
      </c>
    </row>
    <row r="671" spans="1:10" ht="16.95" customHeight="1">
      <c r="A671" s="75" t="s">
        <v>79</v>
      </c>
      <c r="B671" s="80" t="s">
        <v>80</v>
      </c>
      <c r="C671" s="77" t="s">
        <v>48</v>
      </c>
      <c r="D671" s="78">
        <v>1</v>
      </c>
      <c r="E671" s="79">
        <f t="shared" ref="E671:E674" si="42">1/120</f>
        <v>8.3333333333333332E-3</v>
      </c>
      <c r="F671" s="79" t="e">
        <f t="shared" si="40"/>
        <v>#REF!</v>
      </c>
      <c r="G671" s="2"/>
      <c r="H671" s="37">
        <v>21395</v>
      </c>
      <c r="I671" s="4">
        <f t="shared" si="41"/>
        <v>178.29166666666666</v>
      </c>
      <c r="J671" s="25">
        <f t="shared" si="39"/>
        <v>21</v>
      </c>
    </row>
    <row r="672" spans="1:10" ht="16.95" customHeight="1">
      <c r="A672" s="75" t="s">
        <v>81</v>
      </c>
      <c r="B672" s="80" t="s">
        <v>82</v>
      </c>
      <c r="C672" s="77" t="s">
        <v>48</v>
      </c>
      <c r="D672" s="78">
        <v>1</v>
      </c>
      <c r="E672" s="79">
        <f t="shared" si="42"/>
        <v>8.3333333333333332E-3</v>
      </c>
      <c r="F672" s="79" t="e">
        <f t="shared" si="40"/>
        <v>#REF!</v>
      </c>
      <c r="G672" s="2"/>
      <c r="H672" s="37">
        <v>21395</v>
      </c>
      <c r="I672" s="4">
        <f t="shared" si="41"/>
        <v>178.29166666666666</v>
      </c>
      <c r="J672" s="25">
        <f t="shared" si="39"/>
        <v>21</v>
      </c>
    </row>
    <row r="673" spans="1:10" ht="16.95" customHeight="1">
      <c r="A673" s="75" t="s">
        <v>83</v>
      </c>
      <c r="B673" s="80" t="s">
        <v>84</v>
      </c>
      <c r="C673" s="77" t="s">
        <v>48</v>
      </c>
      <c r="D673" s="78">
        <v>1</v>
      </c>
      <c r="E673" s="79">
        <f t="shared" si="42"/>
        <v>8.3333333333333332E-3</v>
      </c>
      <c r="F673" s="79" t="e">
        <f t="shared" si="40"/>
        <v>#REF!</v>
      </c>
      <c r="G673" s="2"/>
      <c r="H673" s="37">
        <v>149765</v>
      </c>
      <c r="I673" s="4">
        <f t="shared" si="41"/>
        <v>1248.0416666666667</v>
      </c>
      <c r="J673" s="25">
        <f t="shared" si="39"/>
        <v>21</v>
      </c>
    </row>
    <row r="674" spans="1:10" ht="16.95" customHeight="1">
      <c r="A674" s="75" t="s">
        <v>85</v>
      </c>
      <c r="B674" s="80" t="s">
        <v>86</v>
      </c>
      <c r="C674" s="77" t="s">
        <v>48</v>
      </c>
      <c r="D674" s="78">
        <v>1</v>
      </c>
      <c r="E674" s="79">
        <f t="shared" si="42"/>
        <v>8.3333333333333332E-3</v>
      </c>
      <c r="F674" s="79" t="e">
        <f t="shared" si="40"/>
        <v>#REF!</v>
      </c>
      <c r="G674" s="2"/>
      <c r="H674" s="37">
        <v>6996</v>
      </c>
      <c r="I674" s="4">
        <f t="shared" si="41"/>
        <v>58.3</v>
      </c>
      <c r="J674" s="25">
        <f t="shared" si="39"/>
        <v>21</v>
      </c>
    </row>
    <row r="675" spans="1:10" ht="16.95" customHeight="1">
      <c r="A675" s="75" t="s">
        <v>87</v>
      </c>
      <c r="B675" s="80" t="s">
        <v>88</v>
      </c>
      <c r="C675" s="77" t="s">
        <v>48</v>
      </c>
      <c r="D675" s="78">
        <v>1</v>
      </c>
      <c r="E675" s="79">
        <f>1/120</f>
        <v>8.3333333333333332E-3</v>
      </c>
      <c r="F675" s="79" t="e">
        <f t="shared" si="40"/>
        <v>#REF!</v>
      </c>
      <c r="G675" s="2"/>
      <c r="H675" s="37">
        <v>116952</v>
      </c>
      <c r="I675" s="4">
        <f t="shared" si="41"/>
        <v>974.6</v>
      </c>
      <c r="J675" s="25">
        <f t="shared" si="39"/>
        <v>21</v>
      </c>
    </row>
    <row r="676" spans="1:10" ht="16.95" customHeight="1">
      <c r="A676" s="95" t="s">
        <v>23</v>
      </c>
      <c r="B676" s="95"/>
      <c r="C676" s="50"/>
      <c r="D676" s="50"/>
      <c r="E676" s="50"/>
      <c r="F676" s="50"/>
      <c r="G676" s="50"/>
      <c r="H676" s="3" t="s">
        <v>24</v>
      </c>
      <c r="I676" s="5">
        <f>SUM(I641:I675)</f>
        <v>2637.5250000000001</v>
      </c>
      <c r="J676" s="25">
        <f t="shared" si="39"/>
        <v>21</v>
      </c>
    </row>
    <row r="677" spans="1:10" ht="16.95" customHeight="1">
      <c r="A677" s="96" t="s">
        <v>25</v>
      </c>
      <c r="B677" s="96"/>
      <c r="C677" s="50"/>
      <c r="D677" s="50"/>
      <c r="E677" s="50"/>
      <c r="F677" s="50"/>
      <c r="G677" s="50"/>
      <c r="J677" s="25">
        <f t="shared" si="39"/>
        <v>21</v>
      </c>
    </row>
    <row r="678" spans="1:10" ht="16.95" customHeight="1">
      <c r="A678" s="96" t="s">
        <v>26</v>
      </c>
      <c r="B678" s="96"/>
      <c r="C678" s="50"/>
      <c r="D678" s="50"/>
      <c r="E678" s="50"/>
      <c r="F678" s="50"/>
      <c r="G678" s="50"/>
      <c r="J678" s="25">
        <f t="shared" si="39"/>
        <v>21</v>
      </c>
    </row>
    <row r="679" spans="1:10" ht="16.95" customHeight="1">
      <c r="A679" s="95" t="s">
        <v>27</v>
      </c>
      <c r="B679" s="95"/>
      <c r="C679" s="95"/>
      <c r="D679" s="95"/>
      <c r="E679" s="95"/>
      <c r="F679" s="95"/>
      <c r="G679" s="95"/>
      <c r="J679" s="25">
        <f t="shared" si="39"/>
        <v>21</v>
      </c>
    </row>
    <row r="680" spans="1:10" ht="16.95" customHeight="1">
      <c r="A680" s="94" t="s">
        <v>28</v>
      </c>
      <c r="B680" s="94"/>
      <c r="C680" s="51" t="s">
        <v>29</v>
      </c>
      <c r="D680" s="51" t="s">
        <v>30</v>
      </c>
      <c r="E680" s="51" t="s">
        <v>18</v>
      </c>
      <c r="F680" s="51" t="s">
        <v>31</v>
      </c>
      <c r="G680" s="51" t="s">
        <v>20</v>
      </c>
      <c r="J680" s="25">
        <f t="shared" si="39"/>
        <v>21</v>
      </c>
    </row>
    <row r="681" spans="1:10" ht="16.95" customHeight="1">
      <c r="A681" s="96"/>
      <c r="B681" s="96"/>
      <c r="C681" s="50"/>
      <c r="D681" s="50"/>
      <c r="E681" s="50"/>
      <c r="F681" s="50"/>
      <c r="G681" s="51"/>
      <c r="J681" s="25">
        <f t="shared" si="39"/>
        <v>21</v>
      </c>
    </row>
    <row r="682" spans="1:10" ht="16.95" customHeight="1">
      <c r="A682" s="97"/>
      <c r="B682" s="97"/>
      <c r="C682" s="50"/>
      <c r="D682" s="50"/>
      <c r="E682" s="50"/>
      <c r="F682" s="51"/>
      <c r="G682" s="51"/>
      <c r="J682" s="25">
        <f t="shared" si="39"/>
        <v>21</v>
      </c>
    </row>
    <row r="683" spans="1:10" ht="16.95" customHeight="1">
      <c r="A683" s="95" t="s">
        <v>32</v>
      </c>
      <c r="B683" s="95"/>
      <c r="C683" s="95"/>
      <c r="D683" s="95"/>
      <c r="E683" s="95"/>
      <c r="F683" s="95"/>
      <c r="G683" s="95"/>
      <c r="J683" s="25">
        <f t="shared" si="39"/>
        <v>22</v>
      </c>
    </row>
    <row r="684" spans="1:10" ht="16.95" customHeight="1">
      <c r="A684" s="51" t="s">
        <v>33</v>
      </c>
      <c r="B684" s="51" t="s">
        <v>34</v>
      </c>
      <c r="C684" s="94" t="s">
        <v>35</v>
      </c>
      <c r="D684" s="94"/>
      <c r="E684" s="51" t="s">
        <v>36</v>
      </c>
      <c r="F684" s="51" t="s">
        <v>37</v>
      </c>
      <c r="G684" s="51" t="s">
        <v>38</v>
      </c>
      <c r="J684" s="25">
        <f t="shared" si="39"/>
        <v>22</v>
      </c>
    </row>
    <row r="685" spans="1:10" ht="16.95" customHeight="1">
      <c r="A685" s="51" t="s">
        <v>39</v>
      </c>
      <c r="B685" s="6"/>
      <c r="C685" s="94" t="e">
        <f>B685+C622</f>
        <v>#REF!</v>
      </c>
      <c r="D685" s="94"/>
      <c r="E685" s="51"/>
      <c r="F685" s="24"/>
      <c r="G685" s="24"/>
      <c r="J685" s="25">
        <f t="shared" si="39"/>
        <v>22</v>
      </c>
    </row>
    <row r="686" spans="1:10" ht="16.95" customHeight="1">
      <c r="A686" s="51" t="s">
        <v>40</v>
      </c>
      <c r="B686" s="6"/>
      <c r="C686" s="94" t="e">
        <f>B686+C623</f>
        <v>#REF!</v>
      </c>
      <c r="D686" s="94"/>
      <c r="E686" s="51"/>
      <c r="F686" s="24"/>
      <c r="G686" s="24"/>
      <c r="J686" s="25">
        <f t="shared" si="39"/>
        <v>22</v>
      </c>
    </row>
    <row r="687" spans="1:10" ht="36.6" customHeight="1">
      <c r="A687" s="95" t="s">
        <v>41</v>
      </c>
      <c r="B687" s="95"/>
      <c r="C687" s="95"/>
      <c r="D687" s="95"/>
      <c r="E687" s="95"/>
      <c r="F687" s="95"/>
      <c r="G687" s="95"/>
      <c r="J687" s="25">
        <f t="shared" si="39"/>
        <v>22</v>
      </c>
    </row>
    <row r="688" spans="1:10" ht="90" customHeight="1">
      <c r="A688" s="92" t="s">
        <v>42</v>
      </c>
      <c r="B688" s="92"/>
      <c r="C688" s="92"/>
      <c r="D688" s="92"/>
      <c r="E688" s="92"/>
      <c r="F688" s="92"/>
      <c r="G688" s="92"/>
      <c r="J688" s="25">
        <f t="shared" si="39"/>
        <v>22</v>
      </c>
    </row>
    <row r="689" spans="1:10" ht="16.95" customHeight="1">
      <c r="A689" s="95" t="s">
        <v>43</v>
      </c>
      <c r="B689" s="95"/>
      <c r="C689" s="95"/>
      <c r="D689" s="95"/>
      <c r="E689" s="95"/>
      <c r="F689" s="95"/>
      <c r="G689" s="95"/>
      <c r="J689" s="25">
        <f t="shared" si="39"/>
        <v>22</v>
      </c>
    </row>
    <row r="690" spans="1:10" ht="16.95" customHeight="1">
      <c r="A690" s="95" t="s">
        <v>44</v>
      </c>
      <c r="B690" s="95"/>
      <c r="C690" s="95"/>
      <c r="D690" s="95"/>
      <c r="E690" s="95"/>
      <c r="F690" s="95"/>
      <c r="G690" s="95"/>
      <c r="J690" s="25">
        <f t="shared" si="39"/>
        <v>22</v>
      </c>
    </row>
    <row r="691" spans="1:10" ht="16.95" customHeight="1">
      <c r="A691" s="91" t="s">
        <v>64</v>
      </c>
      <c r="B691" s="91"/>
      <c r="C691" s="91"/>
      <c r="D691" s="91"/>
      <c r="E691" s="91"/>
      <c r="F691" s="91"/>
      <c r="G691" s="91"/>
      <c r="J691" s="25">
        <f t="shared" si="39"/>
        <v>22</v>
      </c>
    </row>
    <row r="692" spans="1:10" ht="120.6" customHeight="1">
      <c r="A692" s="92" t="s">
        <v>45</v>
      </c>
      <c r="B692" s="92"/>
      <c r="C692" s="92"/>
      <c r="D692" s="92"/>
      <c r="E692" s="92"/>
      <c r="F692" s="92"/>
      <c r="G692" s="92"/>
      <c r="J692" s="25">
        <f t="shared" si="39"/>
        <v>22</v>
      </c>
    </row>
    <row r="693" spans="1:10" ht="140.4" customHeight="1">
      <c r="A693" s="93" t="s">
        <v>46</v>
      </c>
      <c r="B693" s="93"/>
      <c r="C693" s="93"/>
      <c r="D693" s="93"/>
      <c r="E693" s="93"/>
      <c r="F693" s="93"/>
      <c r="G693" s="93"/>
      <c r="J693" s="25">
        <f t="shared" si="39"/>
        <v>22</v>
      </c>
    </row>
    <row r="694" spans="1:10" ht="37.200000000000003" customHeight="1">
      <c r="A694" s="103" t="s">
        <v>0</v>
      </c>
      <c r="B694" s="103"/>
      <c r="C694" s="103"/>
      <c r="D694" s="103"/>
      <c r="E694" s="103"/>
      <c r="F694" s="103"/>
      <c r="G694" s="103"/>
      <c r="J694" s="25">
        <f t="shared" si="39"/>
        <v>23</v>
      </c>
    </row>
    <row r="695" spans="1:10" ht="16.95" customHeight="1">
      <c r="A695" s="1" t="s">
        <v>1</v>
      </c>
      <c r="B695" s="104">
        <f>B632+1</f>
        <v>13</v>
      </c>
      <c r="C695" s="104"/>
      <c r="D695" s="104"/>
      <c r="E695" s="104"/>
      <c r="F695" s="104"/>
      <c r="G695" s="104"/>
      <c r="J695" s="25">
        <f t="shared" si="39"/>
        <v>23</v>
      </c>
    </row>
    <row r="696" spans="1:10" ht="16.95" customHeight="1">
      <c r="A696" s="1" t="s">
        <v>2</v>
      </c>
      <c r="B696" s="105" t="s">
        <v>63</v>
      </c>
      <c r="C696" s="105"/>
      <c r="D696" s="105"/>
      <c r="E696" s="106">
        <f>E633+1</f>
        <v>46215</v>
      </c>
      <c r="F696" s="106"/>
      <c r="G696" s="106"/>
      <c r="J696" s="25">
        <f t="shared" si="39"/>
        <v>23</v>
      </c>
    </row>
    <row r="697" spans="1:10" ht="16.95" customHeight="1">
      <c r="A697" s="53" t="s">
        <v>3</v>
      </c>
      <c r="B697" s="2" t="s">
        <v>67</v>
      </c>
      <c r="C697" s="98" t="s">
        <v>4</v>
      </c>
      <c r="D697" s="98"/>
      <c r="E697" s="98" t="s">
        <v>47</v>
      </c>
      <c r="F697" s="98"/>
      <c r="G697" s="98"/>
      <c r="J697" s="25">
        <f t="shared" si="39"/>
        <v>23</v>
      </c>
    </row>
    <row r="698" spans="1:10" ht="16.95" customHeight="1">
      <c r="A698" s="53" t="s">
        <v>5</v>
      </c>
      <c r="B698" s="54">
        <v>120</v>
      </c>
      <c r="C698" s="98" t="s">
        <v>6</v>
      </c>
      <c r="D698" s="98"/>
      <c r="E698" s="98" t="s">
        <v>123</v>
      </c>
      <c r="F698" s="98"/>
      <c r="G698" s="98"/>
      <c r="J698" s="25">
        <f t="shared" si="39"/>
        <v>23</v>
      </c>
    </row>
    <row r="699" spans="1:10" ht="16.95" customHeight="1">
      <c r="A699" s="53" t="s">
        <v>7</v>
      </c>
      <c r="B699" s="54">
        <f>B695</f>
        <v>13</v>
      </c>
      <c r="C699" s="100" t="s">
        <v>8</v>
      </c>
      <c r="D699" s="100"/>
      <c r="E699" s="101">
        <f>B698-B699</f>
        <v>107</v>
      </c>
      <c r="F699" s="101"/>
      <c r="G699" s="101"/>
      <c r="J699" s="25">
        <f t="shared" ref="J699:J762" si="43">J636+2</f>
        <v>23</v>
      </c>
    </row>
    <row r="700" spans="1:10" ht="16.95" customHeight="1">
      <c r="A700" s="53" t="s">
        <v>9</v>
      </c>
      <c r="B700" s="55">
        <v>46204</v>
      </c>
      <c r="C700" s="98" t="s">
        <v>10</v>
      </c>
      <c r="D700" s="98"/>
      <c r="E700" s="102">
        <f>B700+B698-1</f>
        <v>46323</v>
      </c>
      <c r="F700" s="102"/>
      <c r="G700" s="102"/>
      <c r="J700" s="25">
        <f t="shared" si="43"/>
        <v>23</v>
      </c>
    </row>
    <row r="701" spans="1:10" ht="16.95" customHeight="1">
      <c r="A701" s="53" t="s">
        <v>11</v>
      </c>
      <c r="B701" s="56" t="e">
        <f>HLOOKUP(B695,進度表!$Q$2:$Z$3,2,1)+B638</f>
        <v>#REF!</v>
      </c>
      <c r="C701" s="98" t="s">
        <v>12</v>
      </c>
      <c r="D701" s="98"/>
      <c r="E701" s="99" t="e">
        <f>I739/I701+E638</f>
        <v>#REF!</v>
      </c>
      <c r="F701" s="99"/>
      <c r="G701" s="99"/>
      <c r="H701" s="3" t="s">
        <v>62</v>
      </c>
      <c r="I701" s="1">
        <v>2456000</v>
      </c>
      <c r="J701" s="25">
        <f t="shared" si="43"/>
        <v>23</v>
      </c>
    </row>
    <row r="702" spans="1:10" ht="16.95" customHeight="1">
      <c r="A702" s="98" t="s">
        <v>13</v>
      </c>
      <c r="B702" s="98"/>
      <c r="C702" s="98"/>
      <c r="D702" s="98"/>
      <c r="E702" s="98"/>
      <c r="F702" s="98"/>
      <c r="G702" s="98"/>
      <c r="J702" s="25">
        <f t="shared" si="43"/>
        <v>23</v>
      </c>
    </row>
    <row r="703" spans="1:10" ht="16.95" customHeight="1">
      <c r="A703" s="52" t="s">
        <v>14</v>
      </c>
      <c r="B703" s="52" t="s">
        <v>15</v>
      </c>
      <c r="C703" s="52" t="s">
        <v>16</v>
      </c>
      <c r="D703" s="52" t="s">
        <v>17</v>
      </c>
      <c r="E703" s="52" t="s">
        <v>18</v>
      </c>
      <c r="F703" s="52" t="s">
        <v>19</v>
      </c>
      <c r="G703" s="52" t="s">
        <v>20</v>
      </c>
      <c r="H703" s="3" t="s">
        <v>21</v>
      </c>
      <c r="I703" s="3" t="s">
        <v>22</v>
      </c>
      <c r="J703" s="25">
        <f t="shared" si="43"/>
        <v>23</v>
      </c>
    </row>
    <row r="704" spans="1:10" ht="16.95" customHeight="1">
      <c r="A704" s="75" t="s">
        <v>65</v>
      </c>
      <c r="B704" s="76" t="s">
        <v>69</v>
      </c>
      <c r="C704" s="77"/>
      <c r="D704" s="78"/>
      <c r="E704" s="79"/>
      <c r="F704" s="79"/>
      <c r="G704" s="2"/>
      <c r="H704" s="37"/>
      <c r="I704" s="4"/>
      <c r="J704" s="25">
        <f t="shared" si="43"/>
        <v>23</v>
      </c>
    </row>
    <row r="705" spans="1:10" ht="34.950000000000003" customHeight="1">
      <c r="A705" s="75">
        <v>1</v>
      </c>
      <c r="B705" s="80" t="s">
        <v>91</v>
      </c>
      <c r="C705" s="77" t="s">
        <v>48</v>
      </c>
      <c r="D705" s="78">
        <v>1</v>
      </c>
      <c r="E705" s="79"/>
      <c r="F705" s="79" t="e">
        <f t="shared" ref="F705:F738" si="44">E705+F642</f>
        <v>#REF!</v>
      </c>
      <c r="G705" s="2"/>
      <c r="H705" s="37">
        <v>10508</v>
      </c>
      <c r="I705" s="4">
        <f>H705*E705</f>
        <v>0</v>
      </c>
      <c r="J705" s="25">
        <f t="shared" si="43"/>
        <v>23</v>
      </c>
    </row>
    <row r="706" spans="1:10" ht="34.799999999999997" customHeight="1">
      <c r="A706" s="75">
        <v>2</v>
      </c>
      <c r="B706" s="80" t="s">
        <v>92</v>
      </c>
      <c r="C706" s="77" t="s">
        <v>48</v>
      </c>
      <c r="D706" s="78">
        <v>1</v>
      </c>
      <c r="E706" s="79"/>
      <c r="F706" s="79" t="e">
        <f t="shared" si="44"/>
        <v>#REF!</v>
      </c>
      <c r="G706" s="2"/>
      <c r="H706" s="37">
        <v>13223</v>
      </c>
      <c r="I706" s="4">
        <f>H706*E706</f>
        <v>0</v>
      </c>
      <c r="J706" s="25">
        <f t="shared" si="43"/>
        <v>23</v>
      </c>
    </row>
    <row r="707" spans="1:10" ht="53.4" customHeight="1">
      <c r="A707" s="75">
        <v>3</v>
      </c>
      <c r="B707" s="80" t="s">
        <v>93</v>
      </c>
      <c r="C707" s="77" t="s">
        <v>48</v>
      </c>
      <c r="D707" s="78">
        <v>1</v>
      </c>
      <c r="E707" s="79"/>
      <c r="F707" s="79" t="e">
        <f t="shared" si="44"/>
        <v>#REF!</v>
      </c>
      <c r="G707" s="2"/>
      <c r="H707" s="37">
        <v>310497</v>
      </c>
      <c r="I707" s="4">
        <f t="shared" ref="I707:I738" si="45">H707*E707</f>
        <v>0</v>
      </c>
      <c r="J707" s="25">
        <f t="shared" si="43"/>
        <v>23</v>
      </c>
    </row>
    <row r="708" spans="1:10" ht="16.95" customHeight="1">
      <c r="A708" s="75">
        <v>4</v>
      </c>
      <c r="B708" s="80" t="s">
        <v>94</v>
      </c>
      <c r="C708" s="77" t="s">
        <v>48</v>
      </c>
      <c r="D708" s="78">
        <v>1</v>
      </c>
      <c r="E708" s="79"/>
      <c r="F708" s="79" t="e">
        <f t="shared" si="44"/>
        <v>#REF!</v>
      </c>
      <c r="G708" s="2"/>
      <c r="H708" s="37">
        <v>8375</v>
      </c>
      <c r="I708" s="4">
        <f t="shared" si="45"/>
        <v>0</v>
      </c>
      <c r="J708" s="25">
        <f t="shared" si="43"/>
        <v>23</v>
      </c>
    </row>
    <row r="709" spans="1:10" ht="16.95" customHeight="1">
      <c r="A709" s="75">
        <v>5</v>
      </c>
      <c r="B709" s="80" t="s">
        <v>95</v>
      </c>
      <c r="C709" s="77" t="s">
        <v>48</v>
      </c>
      <c r="D709" s="78">
        <v>1</v>
      </c>
      <c r="E709" s="79"/>
      <c r="F709" s="79" t="e">
        <f t="shared" si="44"/>
        <v>#REF!</v>
      </c>
      <c r="G709" s="2"/>
      <c r="H709" s="37">
        <v>51618</v>
      </c>
      <c r="I709" s="4">
        <f t="shared" si="45"/>
        <v>0</v>
      </c>
      <c r="J709" s="25">
        <f t="shared" si="43"/>
        <v>23</v>
      </c>
    </row>
    <row r="710" spans="1:10" ht="16.95" customHeight="1">
      <c r="A710" s="75">
        <v>6</v>
      </c>
      <c r="B710" s="80" t="s">
        <v>96</v>
      </c>
      <c r="C710" s="77" t="s">
        <v>50</v>
      </c>
      <c r="D710" s="78">
        <v>11.55</v>
      </c>
      <c r="E710" s="79"/>
      <c r="F710" s="79" t="e">
        <f t="shared" si="44"/>
        <v>#REF!</v>
      </c>
      <c r="G710" s="2"/>
      <c r="H710" s="37">
        <v>1188</v>
      </c>
      <c r="I710" s="4">
        <f t="shared" si="45"/>
        <v>0</v>
      </c>
      <c r="J710" s="25">
        <f t="shared" si="43"/>
        <v>23</v>
      </c>
    </row>
    <row r="711" spans="1:10" ht="34.950000000000003" customHeight="1">
      <c r="A711" s="75">
        <v>7</v>
      </c>
      <c r="B711" s="80" t="s">
        <v>97</v>
      </c>
      <c r="C711" s="77" t="s">
        <v>48</v>
      </c>
      <c r="D711" s="78">
        <v>1</v>
      </c>
      <c r="E711" s="79"/>
      <c r="F711" s="79" t="e">
        <f t="shared" si="44"/>
        <v>#REF!</v>
      </c>
      <c r="G711" s="2"/>
      <c r="H711" s="37">
        <v>21157</v>
      </c>
      <c r="I711" s="4">
        <f t="shared" si="45"/>
        <v>0</v>
      </c>
      <c r="J711" s="25">
        <f t="shared" si="43"/>
        <v>23</v>
      </c>
    </row>
    <row r="712" spans="1:10" ht="16.95" customHeight="1">
      <c r="A712" s="75">
        <v>8</v>
      </c>
      <c r="B712" s="80" t="s">
        <v>98</v>
      </c>
      <c r="C712" s="77" t="s">
        <v>50</v>
      </c>
      <c r="D712" s="78">
        <v>387</v>
      </c>
      <c r="E712" s="79"/>
      <c r="F712" s="79" t="e">
        <f t="shared" si="44"/>
        <v>#REF!</v>
      </c>
      <c r="G712" s="2"/>
      <c r="H712" s="37">
        <v>705</v>
      </c>
      <c r="I712" s="4">
        <f t="shared" si="45"/>
        <v>0</v>
      </c>
      <c r="J712" s="25">
        <f t="shared" si="43"/>
        <v>23</v>
      </c>
    </row>
    <row r="713" spans="1:10" ht="16.95" customHeight="1">
      <c r="A713" s="75">
        <v>9</v>
      </c>
      <c r="B713" s="80" t="s">
        <v>99</v>
      </c>
      <c r="C713" s="77" t="s">
        <v>50</v>
      </c>
      <c r="D713" s="78">
        <v>170</v>
      </c>
      <c r="E713" s="79"/>
      <c r="F713" s="79" t="e">
        <f t="shared" si="44"/>
        <v>#REF!</v>
      </c>
      <c r="G713" s="2"/>
      <c r="H713" s="37">
        <v>617</v>
      </c>
      <c r="I713" s="4">
        <f t="shared" si="45"/>
        <v>0</v>
      </c>
      <c r="J713" s="25">
        <f t="shared" si="43"/>
        <v>23</v>
      </c>
    </row>
    <row r="714" spans="1:10" ht="16.95" customHeight="1">
      <c r="A714" s="75">
        <v>10</v>
      </c>
      <c r="B714" s="80" t="s">
        <v>100</v>
      </c>
      <c r="C714" s="77" t="s">
        <v>66</v>
      </c>
      <c r="D714" s="78">
        <v>15</v>
      </c>
      <c r="E714" s="79"/>
      <c r="F714" s="79" t="e">
        <f t="shared" si="44"/>
        <v>#REF!</v>
      </c>
      <c r="G714" s="2"/>
      <c r="H714" s="37">
        <v>617</v>
      </c>
      <c r="I714" s="4">
        <f t="shared" si="45"/>
        <v>0</v>
      </c>
      <c r="J714" s="25">
        <f t="shared" si="43"/>
        <v>23</v>
      </c>
    </row>
    <row r="715" spans="1:10" ht="16.95" customHeight="1">
      <c r="A715" s="75">
        <v>11</v>
      </c>
      <c r="B715" s="80" t="s">
        <v>101</v>
      </c>
      <c r="C715" s="77" t="s">
        <v>50</v>
      </c>
      <c r="D715" s="78">
        <v>75</v>
      </c>
      <c r="E715" s="79"/>
      <c r="F715" s="79" t="e">
        <f t="shared" si="44"/>
        <v>#REF!</v>
      </c>
      <c r="G715" s="2"/>
      <c r="H715" s="37">
        <v>1146</v>
      </c>
      <c r="I715" s="4">
        <f t="shared" si="45"/>
        <v>0</v>
      </c>
      <c r="J715" s="25">
        <f t="shared" si="43"/>
        <v>23</v>
      </c>
    </row>
    <row r="716" spans="1:10" ht="16.95" customHeight="1">
      <c r="A716" s="75">
        <v>12</v>
      </c>
      <c r="B716" s="80" t="s">
        <v>102</v>
      </c>
      <c r="C716" s="77" t="s">
        <v>50</v>
      </c>
      <c r="D716" s="78">
        <v>5</v>
      </c>
      <c r="E716" s="79"/>
      <c r="F716" s="79" t="e">
        <f t="shared" si="44"/>
        <v>#REF!</v>
      </c>
      <c r="G716" s="2"/>
      <c r="H716" s="37">
        <v>1455</v>
      </c>
      <c r="I716" s="4">
        <f t="shared" si="45"/>
        <v>0</v>
      </c>
      <c r="J716" s="25">
        <f t="shared" si="43"/>
        <v>23</v>
      </c>
    </row>
    <row r="717" spans="1:10" ht="16.95" customHeight="1">
      <c r="A717" s="75">
        <v>13</v>
      </c>
      <c r="B717" s="80" t="s">
        <v>103</v>
      </c>
      <c r="C717" s="77" t="s">
        <v>50</v>
      </c>
      <c r="D717" s="78">
        <v>217</v>
      </c>
      <c r="E717" s="79"/>
      <c r="F717" s="79" t="e">
        <f t="shared" si="44"/>
        <v>#REF!</v>
      </c>
      <c r="G717" s="2"/>
      <c r="H717" s="37">
        <v>1410</v>
      </c>
      <c r="I717" s="4">
        <f t="shared" si="45"/>
        <v>0</v>
      </c>
      <c r="J717" s="25">
        <f t="shared" si="43"/>
        <v>23</v>
      </c>
    </row>
    <row r="718" spans="1:10" ht="16.95" customHeight="1">
      <c r="A718" s="75">
        <v>14</v>
      </c>
      <c r="B718" s="80" t="s">
        <v>104</v>
      </c>
      <c r="C718" s="77" t="s">
        <v>49</v>
      </c>
      <c r="D718" s="78">
        <v>84</v>
      </c>
      <c r="E718" s="79"/>
      <c r="F718" s="79" t="e">
        <f t="shared" si="44"/>
        <v>#REF!</v>
      </c>
      <c r="G718" s="2"/>
      <c r="H718" s="37">
        <v>529</v>
      </c>
      <c r="I718" s="4">
        <f t="shared" si="45"/>
        <v>0</v>
      </c>
      <c r="J718" s="25">
        <f t="shared" si="43"/>
        <v>23</v>
      </c>
    </row>
    <row r="719" spans="1:10" ht="16.95" customHeight="1">
      <c r="A719" s="75">
        <v>15</v>
      </c>
      <c r="B719" s="80" t="s">
        <v>105</v>
      </c>
      <c r="C719" s="77" t="s">
        <v>50</v>
      </c>
      <c r="D719" s="78">
        <v>1</v>
      </c>
      <c r="E719" s="79"/>
      <c r="F719" s="79" t="e">
        <f t="shared" si="44"/>
        <v>#REF!</v>
      </c>
      <c r="G719" s="2"/>
      <c r="H719" s="37">
        <v>1146</v>
      </c>
      <c r="I719" s="4">
        <f t="shared" si="45"/>
        <v>0</v>
      </c>
      <c r="J719" s="25">
        <f t="shared" si="43"/>
        <v>23</v>
      </c>
    </row>
    <row r="720" spans="1:10" ht="34.799999999999997" customHeight="1">
      <c r="A720" s="75">
        <v>16</v>
      </c>
      <c r="B720" s="80" t="s">
        <v>106</v>
      </c>
      <c r="C720" s="77" t="s">
        <v>50</v>
      </c>
      <c r="D720" s="78">
        <v>314</v>
      </c>
      <c r="E720" s="79"/>
      <c r="F720" s="79" t="e">
        <f t="shared" si="44"/>
        <v>#REF!</v>
      </c>
      <c r="G720" s="2"/>
      <c r="H720" s="37">
        <v>185</v>
      </c>
      <c r="I720" s="4">
        <f t="shared" si="45"/>
        <v>0</v>
      </c>
      <c r="J720" s="25">
        <f t="shared" si="43"/>
        <v>23</v>
      </c>
    </row>
    <row r="721" spans="1:10" ht="16.95" customHeight="1">
      <c r="A721" s="75">
        <v>17</v>
      </c>
      <c r="B721" s="80" t="s">
        <v>107</v>
      </c>
      <c r="C721" s="77" t="s">
        <v>48</v>
      </c>
      <c r="D721" s="78">
        <v>1</v>
      </c>
      <c r="E721" s="79"/>
      <c r="F721" s="79" t="e">
        <f t="shared" si="44"/>
        <v>#REF!</v>
      </c>
      <c r="G721" s="2"/>
      <c r="H721" s="37">
        <v>89918</v>
      </c>
      <c r="I721" s="4">
        <f t="shared" si="45"/>
        <v>0</v>
      </c>
      <c r="J721" s="25">
        <f t="shared" si="43"/>
        <v>23</v>
      </c>
    </row>
    <row r="722" spans="1:10" ht="16.95" customHeight="1">
      <c r="A722" s="75">
        <v>18</v>
      </c>
      <c r="B722" s="80" t="s">
        <v>108</v>
      </c>
      <c r="C722" s="77" t="s">
        <v>120</v>
      </c>
      <c r="D722" s="78">
        <v>15</v>
      </c>
      <c r="E722" s="79"/>
      <c r="F722" s="79" t="e">
        <f t="shared" si="44"/>
        <v>#REF!</v>
      </c>
      <c r="G722" s="2"/>
      <c r="H722" s="37">
        <v>661</v>
      </c>
      <c r="I722" s="4">
        <f t="shared" si="45"/>
        <v>0</v>
      </c>
      <c r="J722" s="25">
        <f t="shared" si="43"/>
        <v>23</v>
      </c>
    </row>
    <row r="723" spans="1:10" ht="16.95" customHeight="1">
      <c r="A723" s="75">
        <v>19</v>
      </c>
      <c r="B723" s="80" t="s">
        <v>109</v>
      </c>
      <c r="C723" s="77" t="s">
        <v>50</v>
      </c>
      <c r="D723" s="78">
        <v>82</v>
      </c>
      <c r="E723" s="79"/>
      <c r="F723" s="79" t="e">
        <f t="shared" si="44"/>
        <v>#REF!</v>
      </c>
      <c r="G723" s="2"/>
      <c r="H723" s="37">
        <v>2909</v>
      </c>
      <c r="I723" s="4">
        <f t="shared" si="45"/>
        <v>0</v>
      </c>
      <c r="J723" s="25">
        <f t="shared" si="43"/>
        <v>23</v>
      </c>
    </row>
    <row r="724" spans="1:10" ht="16.95" customHeight="1">
      <c r="A724" s="75">
        <v>20</v>
      </c>
      <c r="B724" s="80" t="s">
        <v>110</v>
      </c>
      <c r="C724" s="77" t="s">
        <v>121</v>
      </c>
      <c r="D724" s="78">
        <v>12</v>
      </c>
      <c r="E724" s="79"/>
      <c r="F724" s="79" t="e">
        <f t="shared" si="44"/>
        <v>#REF!</v>
      </c>
      <c r="G724" s="2"/>
      <c r="H724" s="37">
        <v>882</v>
      </c>
      <c r="I724" s="4">
        <f t="shared" si="45"/>
        <v>0</v>
      </c>
      <c r="J724" s="25">
        <f t="shared" si="43"/>
        <v>23</v>
      </c>
    </row>
    <row r="725" spans="1:10" ht="16.95" customHeight="1">
      <c r="A725" s="77">
        <v>21</v>
      </c>
      <c r="B725" s="80" t="s">
        <v>111</v>
      </c>
      <c r="C725" s="77" t="s">
        <v>122</v>
      </c>
      <c r="D725" s="78">
        <v>3</v>
      </c>
      <c r="E725" s="79"/>
      <c r="F725" s="79" t="e">
        <f t="shared" si="44"/>
        <v>#REF!</v>
      </c>
      <c r="G725" s="2"/>
      <c r="H725" s="38">
        <v>1869</v>
      </c>
      <c r="I725" s="4">
        <f t="shared" si="45"/>
        <v>0</v>
      </c>
      <c r="J725" s="25">
        <f t="shared" si="43"/>
        <v>23</v>
      </c>
    </row>
    <row r="726" spans="1:10" ht="34.950000000000003" customHeight="1">
      <c r="A726" s="75">
        <v>22</v>
      </c>
      <c r="B726" s="80" t="s">
        <v>112</v>
      </c>
      <c r="C726" s="77" t="s">
        <v>48</v>
      </c>
      <c r="D726" s="78">
        <v>1</v>
      </c>
      <c r="E726" s="79"/>
      <c r="F726" s="79" t="e">
        <f t="shared" si="44"/>
        <v>#REF!</v>
      </c>
      <c r="G726" s="2"/>
      <c r="H726" s="37">
        <v>82206</v>
      </c>
      <c r="I726" s="4">
        <f t="shared" si="45"/>
        <v>0</v>
      </c>
      <c r="J726" s="25">
        <f t="shared" si="43"/>
        <v>23</v>
      </c>
    </row>
    <row r="727" spans="1:10" ht="16.95" customHeight="1">
      <c r="A727" s="75">
        <v>23</v>
      </c>
      <c r="B727" s="80" t="s">
        <v>113</v>
      </c>
      <c r="C727" s="77" t="s">
        <v>48</v>
      </c>
      <c r="D727" s="78">
        <v>1</v>
      </c>
      <c r="E727" s="79"/>
      <c r="F727" s="79" t="e">
        <f t="shared" si="44"/>
        <v>#REF!</v>
      </c>
      <c r="G727" s="2"/>
      <c r="H727" s="37">
        <v>142723</v>
      </c>
      <c r="I727" s="4">
        <f t="shared" si="45"/>
        <v>0</v>
      </c>
      <c r="J727" s="25">
        <f t="shared" si="43"/>
        <v>23</v>
      </c>
    </row>
    <row r="728" spans="1:10" ht="16.95" customHeight="1">
      <c r="A728" s="75">
        <v>24</v>
      </c>
      <c r="B728" s="80" t="s">
        <v>114</v>
      </c>
      <c r="C728" s="77" t="s">
        <v>48</v>
      </c>
      <c r="D728" s="78">
        <v>1</v>
      </c>
      <c r="E728" s="79"/>
      <c r="F728" s="79" t="e">
        <f t="shared" si="44"/>
        <v>#REF!</v>
      </c>
      <c r="G728" s="2"/>
      <c r="H728" s="37">
        <v>37290</v>
      </c>
      <c r="I728" s="4">
        <f t="shared" si="45"/>
        <v>0</v>
      </c>
      <c r="J728" s="25">
        <f t="shared" si="43"/>
        <v>23</v>
      </c>
    </row>
    <row r="729" spans="1:10" ht="16.95" customHeight="1">
      <c r="A729" s="75">
        <v>25</v>
      </c>
      <c r="B729" s="80" t="s">
        <v>115</v>
      </c>
      <c r="C729" s="77" t="s">
        <v>48</v>
      </c>
      <c r="D729" s="78">
        <v>1</v>
      </c>
      <c r="E729" s="79"/>
      <c r="F729" s="79" t="e">
        <f t="shared" si="44"/>
        <v>#REF!</v>
      </c>
      <c r="G729" s="2"/>
      <c r="H729" s="37">
        <v>99394</v>
      </c>
      <c r="I729" s="4">
        <f t="shared" si="45"/>
        <v>0</v>
      </c>
      <c r="J729" s="25">
        <f t="shared" si="43"/>
        <v>23</v>
      </c>
    </row>
    <row r="730" spans="1:10" ht="34.950000000000003" customHeight="1">
      <c r="A730" s="75">
        <v>26</v>
      </c>
      <c r="B730" s="80" t="s">
        <v>116</v>
      </c>
      <c r="C730" s="77" t="s">
        <v>48</v>
      </c>
      <c r="D730" s="78">
        <v>1</v>
      </c>
      <c r="E730" s="79"/>
      <c r="F730" s="79" t="e">
        <f t="shared" si="44"/>
        <v>#REF!</v>
      </c>
      <c r="G730" s="2"/>
      <c r="H730" s="37">
        <v>21334</v>
      </c>
      <c r="I730" s="4">
        <f t="shared" si="45"/>
        <v>0</v>
      </c>
      <c r="J730" s="25">
        <f t="shared" si="43"/>
        <v>23</v>
      </c>
    </row>
    <row r="731" spans="1:10" ht="16.95" customHeight="1">
      <c r="A731" s="75">
        <v>27</v>
      </c>
      <c r="B731" s="80" t="s">
        <v>117</v>
      </c>
      <c r="C731" s="77" t="s">
        <v>48</v>
      </c>
      <c r="D731" s="78">
        <v>1</v>
      </c>
      <c r="E731" s="79"/>
      <c r="F731" s="79" t="e">
        <f t="shared" si="44"/>
        <v>#REF!</v>
      </c>
      <c r="G731" s="2"/>
      <c r="H731" s="37">
        <v>29620</v>
      </c>
      <c r="I731" s="4">
        <f t="shared" si="45"/>
        <v>0</v>
      </c>
      <c r="J731" s="25">
        <f t="shared" si="43"/>
        <v>23</v>
      </c>
    </row>
    <row r="732" spans="1:10" ht="16.95" customHeight="1">
      <c r="A732" s="75">
        <v>28</v>
      </c>
      <c r="B732" s="80" t="s">
        <v>118</v>
      </c>
      <c r="C732" s="77" t="s">
        <v>48</v>
      </c>
      <c r="D732" s="78">
        <v>1</v>
      </c>
      <c r="E732" s="79"/>
      <c r="F732" s="79" t="e">
        <f t="shared" si="44"/>
        <v>#REF!</v>
      </c>
      <c r="G732" s="2"/>
      <c r="H732" s="37">
        <v>18506</v>
      </c>
      <c r="I732" s="4">
        <f t="shared" si="45"/>
        <v>0</v>
      </c>
      <c r="J732" s="25">
        <f t="shared" si="43"/>
        <v>23</v>
      </c>
    </row>
    <row r="733" spans="1:10" ht="16.95" customHeight="1">
      <c r="A733" s="75">
        <v>29</v>
      </c>
      <c r="B733" s="80" t="s">
        <v>119</v>
      </c>
      <c r="C733" s="77" t="s">
        <v>48</v>
      </c>
      <c r="D733" s="78">
        <v>1</v>
      </c>
      <c r="E733" s="79"/>
      <c r="F733" s="79" t="e">
        <f t="shared" si="44"/>
        <v>#REF!</v>
      </c>
      <c r="G733" s="2"/>
      <c r="H733" s="37">
        <v>34381</v>
      </c>
      <c r="I733" s="4">
        <f t="shared" si="45"/>
        <v>0</v>
      </c>
      <c r="J733" s="25">
        <f t="shared" si="43"/>
        <v>23</v>
      </c>
    </row>
    <row r="734" spans="1:10" ht="16.95" customHeight="1">
      <c r="A734" s="75" t="s">
        <v>79</v>
      </c>
      <c r="B734" s="80" t="s">
        <v>80</v>
      </c>
      <c r="C734" s="77" t="s">
        <v>48</v>
      </c>
      <c r="D734" s="78">
        <v>1</v>
      </c>
      <c r="E734" s="79">
        <f t="shared" ref="E734:E737" si="46">1/120</f>
        <v>8.3333333333333332E-3</v>
      </c>
      <c r="F734" s="79" t="e">
        <f t="shared" si="44"/>
        <v>#REF!</v>
      </c>
      <c r="G734" s="2"/>
      <c r="H734" s="37">
        <v>21395</v>
      </c>
      <c r="I734" s="4">
        <f t="shared" si="45"/>
        <v>178.29166666666666</v>
      </c>
      <c r="J734" s="25">
        <f t="shared" si="43"/>
        <v>23</v>
      </c>
    </row>
    <row r="735" spans="1:10" ht="16.95" customHeight="1">
      <c r="A735" s="75" t="s">
        <v>81</v>
      </c>
      <c r="B735" s="80" t="s">
        <v>82</v>
      </c>
      <c r="C735" s="77" t="s">
        <v>48</v>
      </c>
      <c r="D735" s="78">
        <v>1</v>
      </c>
      <c r="E735" s="79">
        <f t="shared" si="46"/>
        <v>8.3333333333333332E-3</v>
      </c>
      <c r="F735" s="79" t="e">
        <f t="shared" si="44"/>
        <v>#REF!</v>
      </c>
      <c r="G735" s="2"/>
      <c r="H735" s="37">
        <v>21395</v>
      </c>
      <c r="I735" s="4">
        <f t="shared" si="45"/>
        <v>178.29166666666666</v>
      </c>
      <c r="J735" s="25">
        <f t="shared" si="43"/>
        <v>23</v>
      </c>
    </row>
    <row r="736" spans="1:10" ht="16.95" customHeight="1">
      <c r="A736" s="75" t="s">
        <v>83</v>
      </c>
      <c r="B736" s="80" t="s">
        <v>84</v>
      </c>
      <c r="C736" s="77" t="s">
        <v>48</v>
      </c>
      <c r="D736" s="78">
        <v>1</v>
      </c>
      <c r="E736" s="79">
        <f t="shared" si="46"/>
        <v>8.3333333333333332E-3</v>
      </c>
      <c r="F736" s="79" t="e">
        <f t="shared" si="44"/>
        <v>#REF!</v>
      </c>
      <c r="G736" s="2"/>
      <c r="H736" s="37">
        <v>149765</v>
      </c>
      <c r="I736" s="4">
        <f t="shared" si="45"/>
        <v>1248.0416666666667</v>
      </c>
      <c r="J736" s="25">
        <f t="shared" si="43"/>
        <v>23</v>
      </c>
    </row>
    <row r="737" spans="1:10" ht="16.95" customHeight="1">
      <c r="A737" s="75" t="s">
        <v>85</v>
      </c>
      <c r="B737" s="80" t="s">
        <v>86</v>
      </c>
      <c r="C737" s="77" t="s">
        <v>48</v>
      </c>
      <c r="D737" s="78">
        <v>1</v>
      </c>
      <c r="E737" s="79">
        <f t="shared" si="46"/>
        <v>8.3333333333333332E-3</v>
      </c>
      <c r="F737" s="79" t="e">
        <f t="shared" si="44"/>
        <v>#REF!</v>
      </c>
      <c r="G737" s="2"/>
      <c r="H737" s="37">
        <v>6996</v>
      </c>
      <c r="I737" s="4">
        <f t="shared" si="45"/>
        <v>58.3</v>
      </c>
      <c r="J737" s="25">
        <f t="shared" si="43"/>
        <v>23</v>
      </c>
    </row>
    <row r="738" spans="1:10" ht="16.95" customHeight="1">
      <c r="A738" s="75" t="s">
        <v>87</v>
      </c>
      <c r="B738" s="80" t="s">
        <v>88</v>
      </c>
      <c r="C738" s="77" t="s">
        <v>48</v>
      </c>
      <c r="D738" s="78">
        <v>1</v>
      </c>
      <c r="E738" s="79">
        <f>1/120</f>
        <v>8.3333333333333332E-3</v>
      </c>
      <c r="F738" s="79" t="e">
        <f t="shared" si="44"/>
        <v>#REF!</v>
      </c>
      <c r="G738" s="2"/>
      <c r="H738" s="37">
        <v>116952</v>
      </c>
      <c r="I738" s="4">
        <f t="shared" si="45"/>
        <v>974.6</v>
      </c>
      <c r="J738" s="25">
        <f t="shared" si="43"/>
        <v>23</v>
      </c>
    </row>
    <row r="739" spans="1:10" ht="16.95" customHeight="1">
      <c r="A739" s="95" t="s">
        <v>23</v>
      </c>
      <c r="B739" s="95"/>
      <c r="C739" s="50"/>
      <c r="D739" s="50"/>
      <c r="E739" s="50"/>
      <c r="F739" s="50"/>
      <c r="G739" s="50"/>
      <c r="H739" s="3" t="s">
        <v>24</v>
      </c>
      <c r="I739" s="5">
        <f>SUM(I704:I738)</f>
        <v>2637.5250000000001</v>
      </c>
      <c r="J739" s="25">
        <f t="shared" si="43"/>
        <v>23</v>
      </c>
    </row>
    <row r="740" spans="1:10" ht="16.95" customHeight="1">
      <c r="A740" s="96" t="s">
        <v>25</v>
      </c>
      <c r="B740" s="96"/>
      <c r="C740" s="50"/>
      <c r="D740" s="50"/>
      <c r="E740" s="50"/>
      <c r="F740" s="50"/>
      <c r="G740" s="50"/>
      <c r="J740" s="25">
        <f t="shared" si="43"/>
        <v>23</v>
      </c>
    </row>
    <row r="741" spans="1:10" ht="16.95" customHeight="1">
      <c r="A741" s="96" t="s">
        <v>26</v>
      </c>
      <c r="B741" s="96"/>
      <c r="C741" s="50"/>
      <c r="D741" s="50"/>
      <c r="E741" s="50"/>
      <c r="F741" s="50"/>
      <c r="G741" s="50"/>
      <c r="J741" s="25">
        <f t="shared" si="43"/>
        <v>23</v>
      </c>
    </row>
    <row r="742" spans="1:10" ht="16.95" customHeight="1">
      <c r="A742" s="95" t="s">
        <v>27</v>
      </c>
      <c r="B742" s="95"/>
      <c r="C742" s="95"/>
      <c r="D742" s="95"/>
      <c r="E742" s="95"/>
      <c r="F742" s="95"/>
      <c r="G742" s="95"/>
      <c r="J742" s="25">
        <f t="shared" si="43"/>
        <v>23</v>
      </c>
    </row>
    <row r="743" spans="1:10" ht="16.95" customHeight="1">
      <c r="A743" s="94" t="s">
        <v>28</v>
      </c>
      <c r="B743" s="94"/>
      <c r="C743" s="51" t="s">
        <v>29</v>
      </c>
      <c r="D743" s="51" t="s">
        <v>30</v>
      </c>
      <c r="E743" s="51" t="s">
        <v>18</v>
      </c>
      <c r="F743" s="51" t="s">
        <v>31</v>
      </c>
      <c r="G743" s="51" t="s">
        <v>20</v>
      </c>
      <c r="J743" s="25">
        <f t="shared" si="43"/>
        <v>23</v>
      </c>
    </row>
    <row r="744" spans="1:10" ht="16.95" customHeight="1">
      <c r="A744" s="96"/>
      <c r="B744" s="96"/>
      <c r="C744" s="50"/>
      <c r="D744" s="50"/>
      <c r="E744" s="50"/>
      <c r="F744" s="50"/>
      <c r="G744" s="51"/>
      <c r="J744" s="25">
        <f t="shared" si="43"/>
        <v>23</v>
      </c>
    </row>
    <row r="745" spans="1:10" ht="16.95" customHeight="1">
      <c r="A745" s="97"/>
      <c r="B745" s="97"/>
      <c r="C745" s="50"/>
      <c r="D745" s="50"/>
      <c r="E745" s="50"/>
      <c r="F745" s="51"/>
      <c r="G745" s="51"/>
      <c r="J745" s="25">
        <f t="shared" si="43"/>
        <v>23</v>
      </c>
    </row>
    <row r="746" spans="1:10" ht="16.95" customHeight="1">
      <c r="A746" s="95" t="s">
        <v>32</v>
      </c>
      <c r="B746" s="95"/>
      <c r="C746" s="95"/>
      <c r="D746" s="95"/>
      <c r="E746" s="95"/>
      <c r="F746" s="95"/>
      <c r="G746" s="95"/>
      <c r="J746" s="25">
        <f t="shared" si="43"/>
        <v>24</v>
      </c>
    </row>
    <row r="747" spans="1:10" ht="16.95" customHeight="1">
      <c r="A747" s="51" t="s">
        <v>33</v>
      </c>
      <c r="B747" s="51" t="s">
        <v>34</v>
      </c>
      <c r="C747" s="94" t="s">
        <v>35</v>
      </c>
      <c r="D747" s="94"/>
      <c r="E747" s="51" t="s">
        <v>36</v>
      </c>
      <c r="F747" s="51" t="s">
        <v>37</v>
      </c>
      <c r="G747" s="51" t="s">
        <v>38</v>
      </c>
      <c r="J747" s="25">
        <f t="shared" si="43"/>
        <v>24</v>
      </c>
    </row>
    <row r="748" spans="1:10" ht="16.95" customHeight="1">
      <c r="A748" s="51" t="s">
        <v>39</v>
      </c>
      <c r="B748" s="6"/>
      <c r="C748" s="94" t="e">
        <f>B748+C685</f>
        <v>#REF!</v>
      </c>
      <c r="D748" s="94"/>
      <c r="E748" s="51"/>
      <c r="F748" s="24"/>
      <c r="G748" s="24"/>
      <c r="J748" s="25">
        <f t="shared" si="43"/>
        <v>24</v>
      </c>
    </row>
    <row r="749" spans="1:10" ht="16.95" customHeight="1">
      <c r="A749" s="51" t="s">
        <v>40</v>
      </c>
      <c r="B749" s="6"/>
      <c r="C749" s="94" t="e">
        <f>B749+C686</f>
        <v>#REF!</v>
      </c>
      <c r="D749" s="94"/>
      <c r="E749" s="51"/>
      <c r="F749" s="24"/>
      <c r="G749" s="24"/>
      <c r="J749" s="25">
        <f t="shared" si="43"/>
        <v>24</v>
      </c>
    </row>
    <row r="750" spans="1:10" ht="36.6" customHeight="1">
      <c r="A750" s="95" t="s">
        <v>41</v>
      </c>
      <c r="B750" s="95"/>
      <c r="C750" s="95"/>
      <c r="D750" s="95"/>
      <c r="E750" s="95"/>
      <c r="F750" s="95"/>
      <c r="G750" s="95"/>
      <c r="J750" s="25">
        <f t="shared" si="43"/>
        <v>24</v>
      </c>
    </row>
    <row r="751" spans="1:10" ht="90" customHeight="1">
      <c r="A751" s="92" t="s">
        <v>42</v>
      </c>
      <c r="B751" s="92"/>
      <c r="C751" s="92"/>
      <c r="D751" s="92"/>
      <c r="E751" s="92"/>
      <c r="F751" s="92"/>
      <c r="G751" s="92"/>
      <c r="J751" s="25">
        <f t="shared" si="43"/>
        <v>24</v>
      </c>
    </row>
    <row r="752" spans="1:10" ht="16.95" customHeight="1">
      <c r="A752" s="95" t="s">
        <v>43</v>
      </c>
      <c r="B752" s="95"/>
      <c r="C752" s="95"/>
      <c r="D752" s="95"/>
      <c r="E752" s="95"/>
      <c r="F752" s="95"/>
      <c r="G752" s="95"/>
      <c r="J752" s="25">
        <f t="shared" si="43"/>
        <v>24</v>
      </c>
    </row>
    <row r="753" spans="1:10" ht="16.95" customHeight="1">
      <c r="A753" s="95" t="s">
        <v>44</v>
      </c>
      <c r="B753" s="95"/>
      <c r="C753" s="95"/>
      <c r="D753" s="95"/>
      <c r="E753" s="95"/>
      <c r="F753" s="95"/>
      <c r="G753" s="95"/>
      <c r="J753" s="25">
        <f t="shared" si="43"/>
        <v>24</v>
      </c>
    </row>
    <row r="754" spans="1:10" ht="16.95" customHeight="1">
      <c r="A754" s="91" t="s">
        <v>64</v>
      </c>
      <c r="B754" s="91"/>
      <c r="C754" s="91"/>
      <c r="D754" s="91"/>
      <c r="E754" s="91"/>
      <c r="F754" s="91"/>
      <c r="G754" s="91"/>
      <c r="J754" s="25">
        <f t="shared" si="43"/>
        <v>24</v>
      </c>
    </row>
    <row r="755" spans="1:10" ht="120.6" customHeight="1">
      <c r="A755" s="92" t="s">
        <v>45</v>
      </c>
      <c r="B755" s="92"/>
      <c r="C755" s="92"/>
      <c r="D755" s="92"/>
      <c r="E755" s="92"/>
      <c r="F755" s="92"/>
      <c r="G755" s="92"/>
      <c r="J755" s="25">
        <f t="shared" si="43"/>
        <v>24</v>
      </c>
    </row>
    <row r="756" spans="1:10" ht="140.4" customHeight="1">
      <c r="A756" s="93" t="s">
        <v>46</v>
      </c>
      <c r="B756" s="93"/>
      <c r="C756" s="93"/>
      <c r="D756" s="93"/>
      <c r="E756" s="93"/>
      <c r="F756" s="93"/>
      <c r="G756" s="93"/>
      <c r="J756" s="25">
        <f t="shared" si="43"/>
        <v>24</v>
      </c>
    </row>
    <row r="757" spans="1:10" ht="37.200000000000003" customHeight="1">
      <c r="A757" s="103" t="s">
        <v>0</v>
      </c>
      <c r="B757" s="103"/>
      <c r="C757" s="103"/>
      <c r="D757" s="103"/>
      <c r="E757" s="103"/>
      <c r="F757" s="103"/>
      <c r="G757" s="103"/>
      <c r="J757" s="25">
        <f t="shared" si="43"/>
        <v>25</v>
      </c>
    </row>
    <row r="758" spans="1:10" ht="16.95" customHeight="1">
      <c r="A758" s="1" t="s">
        <v>1</v>
      </c>
      <c r="B758" s="104">
        <f>B695+1</f>
        <v>14</v>
      </c>
      <c r="C758" s="104"/>
      <c r="D758" s="104"/>
      <c r="E758" s="104"/>
      <c r="F758" s="104"/>
      <c r="G758" s="104"/>
      <c r="J758" s="25">
        <f t="shared" si="43"/>
        <v>25</v>
      </c>
    </row>
    <row r="759" spans="1:10" ht="16.95" customHeight="1">
      <c r="A759" s="1" t="s">
        <v>2</v>
      </c>
      <c r="B759" s="105" t="s">
        <v>63</v>
      </c>
      <c r="C759" s="105"/>
      <c r="D759" s="105"/>
      <c r="E759" s="106">
        <f>E696+1</f>
        <v>46216</v>
      </c>
      <c r="F759" s="106"/>
      <c r="G759" s="106"/>
      <c r="J759" s="25">
        <f t="shared" si="43"/>
        <v>25</v>
      </c>
    </row>
    <row r="760" spans="1:10" ht="16.95" customHeight="1">
      <c r="A760" s="53" t="s">
        <v>3</v>
      </c>
      <c r="B760" s="2" t="s">
        <v>67</v>
      </c>
      <c r="C760" s="98" t="s">
        <v>4</v>
      </c>
      <c r="D760" s="98"/>
      <c r="E760" s="98" t="s">
        <v>47</v>
      </c>
      <c r="F760" s="98"/>
      <c r="G760" s="98"/>
      <c r="J760" s="25">
        <f t="shared" si="43"/>
        <v>25</v>
      </c>
    </row>
    <row r="761" spans="1:10" ht="16.95" customHeight="1">
      <c r="A761" s="53" t="s">
        <v>5</v>
      </c>
      <c r="B761" s="54">
        <v>120</v>
      </c>
      <c r="C761" s="98" t="s">
        <v>6</v>
      </c>
      <c r="D761" s="98"/>
      <c r="E761" s="98" t="s">
        <v>123</v>
      </c>
      <c r="F761" s="98"/>
      <c r="G761" s="98"/>
      <c r="J761" s="25">
        <f t="shared" si="43"/>
        <v>25</v>
      </c>
    </row>
    <row r="762" spans="1:10" ht="16.95" customHeight="1">
      <c r="A762" s="53" t="s">
        <v>7</v>
      </c>
      <c r="B762" s="54">
        <f>B758</f>
        <v>14</v>
      </c>
      <c r="C762" s="100" t="s">
        <v>8</v>
      </c>
      <c r="D762" s="100"/>
      <c r="E762" s="101">
        <f>B761-B762</f>
        <v>106</v>
      </c>
      <c r="F762" s="101"/>
      <c r="G762" s="101"/>
      <c r="J762" s="25">
        <f t="shared" si="43"/>
        <v>25</v>
      </c>
    </row>
    <row r="763" spans="1:10" ht="16.95" customHeight="1">
      <c r="A763" s="53" t="s">
        <v>9</v>
      </c>
      <c r="B763" s="55">
        <v>46204</v>
      </c>
      <c r="C763" s="98" t="s">
        <v>10</v>
      </c>
      <c r="D763" s="98"/>
      <c r="E763" s="102">
        <f>B763+B761-1</f>
        <v>46323</v>
      </c>
      <c r="F763" s="102"/>
      <c r="G763" s="102"/>
      <c r="J763" s="25">
        <f t="shared" ref="J763:J826" si="47">J700+2</f>
        <v>25</v>
      </c>
    </row>
    <row r="764" spans="1:10" ht="16.95" customHeight="1">
      <c r="A764" s="53" t="s">
        <v>11</v>
      </c>
      <c r="B764" s="56" t="e">
        <f>HLOOKUP(B758,進度表!$Q$2:$Z$3,2,1)+B701</f>
        <v>#REF!</v>
      </c>
      <c r="C764" s="98" t="s">
        <v>12</v>
      </c>
      <c r="D764" s="98"/>
      <c r="E764" s="99" t="e">
        <f>I802/I764+E701</f>
        <v>#REF!</v>
      </c>
      <c r="F764" s="99"/>
      <c r="G764" s="99"/>
      <c r="H764" s="3" t="s">
        <v>62</v>
      </c>
      <c r="I764" s="1">
        <v>2456000</v>
      </c>
      <c r="J764" s="25">
        <f t="shared" si="47"/>
        <v>25</v>
      </c>
    </row>
    <row r="765" spans="1:10" ht="16.95" customHeight="1">
      <c r="A765" s="98" t="s">
        <v>13</v>
      </c>
      <c r="B765" s="98"/>
      <c r="C765" s="98"/>
      <c r="D765" s="98"/>
      <c r="E765" s="98"/>
      <c r="F765" s="98"/>
      <c r="G765" s="98"/>
      <c r="J765" s="25">
        <f t="shared" si="47"/>
        <v>25</v>
      </c>
    </row>
    <row r="766" spans="1:10" ht="16.95" customHeight="1">
      <c r="A766" s="52" t="s">
        <v>14</v>
      </c>
      <c r="B766" s="52" t="s">
        <v>15</v>
      </c>
      <c r="C766" s="52" t="s">
        <v>16</v>
      </c>
      <c r="D766" s="52" t="s">
        <v>17</v>
      </c>
      <c r="E766" s="52" t="s">
        <v>18</v>
      </c>
      <c r="F766" s="52" t="s">
        <v>19</v>
      </c>
      <c r="G766" s="52" t="s">
        <v>20</v>
      </c>
      <c r="H766" s="3" t="s">
        <v>21</v>
      </c>
      <c r="I766" s="3" t="s">
        <v>22</v>
      </c>
      <c r="J766" s="25">
        <f t="shared" si="47"/>
        <v>25</v>
      </c>
    </row>
    <row r="767" spans="1:10" ht="16.95" customHeight="1">
      <c r="A767" s="75" t="s">
        <v>65</v>
      </c>
      <c r="B767" s="76" t="s">
        <v>69</v>
      </c>
      <c r="C767" s="77"/>
      <c r="D767" s="78"/>
      <c r="E767" s="79"/>
      <c r="F767" s="79"/>
      <c r="G767" s="2"/>
      <c r="H767" s="37"/>
      <c r="I767" s="4"/>
      <c r="J767" s="25">
        <f t="shared" si="47"/>
        <v>25</v>
      </c>
    </row>
    <row r="768" spans="1:10" ht="34.950000000000003" customHeight="1">
      <c r="A768" s="75">
        <v>1</v>
      </c>
      <c r="B768" s="80" t="s">
        <v>91</v>
      </c>
      <c r="C768" s="77" t="s">
        <v>48</v>
      </c>
      <c r="D768" s="78">
        <v>1</v>
      </c>
      <c r="E768" s="79"/>
      <c r="F768" s="79" t="e">
        <f t="shared" ref="F768:F801" si="48">E768+F705</f>
        <v>#REF!</v>
      </c>
      <c r="G768" s="2"/>
      <c r="H768" s="37">
        <v>10508</v>
      </c>
      <c r="I768" s="4">
        <f>H768*E768</f>
        <v>0</v>
      </c>
      <c r="J768" s="25">
        <f t="shared" si="47"/>
        <v>25</v>
      </c>
    </row>
    <row r="769" spans="1:10" ht="34.799999999999997" customHeight="1">
      <c r="A769" s="75">
        <v>2</v>
      </c>
      <c r="B769" s="80" t="s">
        <v>92</v>
      </c>
      <c r="C769" s="77" t="s">
        <v>48</v>
      </c>
      <c r="D769" s="78">
        <v>1</v>
      </c>
      <c r="E769" s="79"/>
      <c r="F769" s="79" t="e">
        <f t="shared" si="48"/>
        <v>#REF!</v>
      </c>
      <c r="G769" s="2"/>
      <c r="H769" s="37">
        <v>13223</v>
      </c>
      <c r="I769" s="4">
        <f>H769*E769</f>
        <v>0</v>
      </c>
      <c r="J769" s="25">
        <f t="shared" si="47"/>
        <v>25</v>
      </c>
    </row>
    <row r="770" spans="1:10" ht="53.4" customHeight="1">
      <c r="A770" s="75">
        <v>3</v>
      </c>
      <c r="B770" s="80" t="s">
        <v>93</v>
      </c>
      <c r="C770" s="77" t="s">
        <v>48</v>
      </c>
      <c r="D770" s="78">
        <v>1</v>
      </c>
      <c r="E770" s="79"/>
      <c r="F770" s="79" t="e">
        <f t="shared" si="48"/>
        <v>#REF!</v>
      </c>
      <c r="G770" s="2"/>
      <c r="H770" s="37">
        <v>310497</v>
      </c>
      <c r="I770" s="4">
        <f t="shared" ref="I770:I801" si="49">H770*E770</f>
        <v>0</v>
      </c>
      <c r="J770" s="25">
        <f t="shared" si="47"/>
        <v>25</v>
      </c>
    </row>
    <row r="771" spans="1:10" ht="16.95" customHeight="1">
      <c r="A771" s="75">
        <v>4</v>
      </c>
      <c r="B771" s="80" t="s">
        <v>94</v>
      </c>
      <c r="C771" s="77" t="s">
        <v>48</v>
      </c>
      <c r="D771" s="78">
        <v>1</v>
      </c>
      <c r="E771" s="79"/>
      <c r="F771" s="79" t="e">
        <f t="shared" si="48"/>
        <v>#REF!</v>
      </c>
      <c r="G771" s="2"/>
      <c r="H771" s="37">
        <v>8375</v>
      </c>
      <c r="I771" s="4">
        <f t="shared" si="49"/>
        <v>0</v>
      </c>
      <c r="J771" s="25">
        <f t="shared" si="47"/>
        <v>25</v>
      </c>
    </row>
    <row r="772" spans="1:10" ht="16.95" customHeight="1">
      <c r="A772" s="75">
        <v>5</v>
      </c>
      <c r="B772" s="80" t="s">
        <v>95</v>
      </c>
      <c r="C772" s="77" t="s">
        <v>48</v>
      </c>
      <c r="D772" s="78">
        <v>1</v>
      </c>
      <c r="E772" s="79"/>
      <c r="F772" s="79" t="e">
        <f t="shared" si="48"/>
        <v>#REF!</v>
      </c>
      <c r="G772" s="2"/>
      <c r="H772" s="37">
        <v>51618</v>
      </c>
      <c r="I772" s="4">
        <f t="shared" si="49"/>
        <v>0</v>
      </c>
      <c r="J772" s="25">
        <f t="shared" si="47"/>
        <v>25</v>
      </c>
    </row>
    <row r="773" spans="1:10" ht="16.95" customHeight="1">
      <c r="A773" s="75">
        <v>6</v>
      </c>
      <c r="B773" s="80" t="s">
        <v>96</v>
      </c>
      <c r="C773" s="77" t="s">
        <v>50</v>
      </c>
      <c r="D773" s="78">
        <v>11.55</v>
      </c>
      <c r="E773" s="79"/>
      <c r="F773" s="79" t="e">
        <f t="shared" si="48"/>
        <v>#REF!</v>
      </c>
      <c r="G773" s="2"/>
      <c r="H773" s="37">
        <v>1188</v>
      </c>
      <c r="I773" s="4">
        <f t="shared" si="49"/>
        <v>0</v>
      </c>
      <c r="J773" s="25">
        <f t="shared" si="47"/>
        <v>25</v>
      </c>
    </row>
    <row r="774" spans="1:10" ht="34.950000000000003" customHeight="1">
      <c r="A774" s="75">
        <v>7</v>
      </c>
      <c r="B774" s="80" t="s">
        <v>97</v>
      </c>
      <c r="C774" s="77" t="s">
        <v>48</v>
      </c>
      <c r="D774" s="78">
        <v>1</v>
      </c>
      <c r="E774" s="79"/>
      <c r="F774" s="79" t="e">
        <f t="shared" si="48"/>
        <v>#REF!</v>
      </c>
      <c r="G774" s="2"/>
      <c r="H774" s="37">
        <v>21157</v>
      </c>
      <c r="I774" s="4">
        <f t="shared" si="49"/>
        <v>0</v>
      </c>
      <c r="J774" s="25">
        <f t="shared" si="47"/>
        <v>25</v>
      </c>
    </row>
    <row r="775" spans="1:10" ht="16.95" customHeight="1">
      <c r="A775" s="75">
        <v>8</v>
      </c>
      <c r="B775" s="80" t="s">
        <v>98</v>
      </c>
      <c r="C775" s="77" t="s">
        <v>50</v>
      </c>
      <c r="D775" s="78">
        <v>387</v>
      </c>
      <c r="E775" s="79"/>
      <c r="F775" s="79" t="e">
        <f t="shared" si="48"/>
        <v>#REF!</v>
      </c>
      <c r="G775" s="2"/>
      <c r="H775" s="37">
        <v>705</v>
      </c>
      <c r="I775" s="4">
        <f t="shared" si="49"/>
        <v>0</v>
      </c>
      <c r="J775" s="25">
        <f t="shared" si="47"/>
        <v>25</v>
      </c>
    </row>
    <row r="776" spans="1:10" ht="16.95" customHeight="1">
      <c r="A776" s="75">
        <v>9</v>
      </c>
      <c r="B776" s="80" t="s">
        <v>99</v>
      </c>
      <c r="C776" s="77" t="s">
        <v>50</v>
      </c>
      <c r="D776" s="78">
        <v>170</v>
      </c>
      <c r="E776" s="79"/>
      <c r="F776" s="79" t="e">
        <f t="shared" si="48"/>
        <v>#REF!</v>
      </c>
      <c r="G776" s="2"/>
      <c r="H776" s="37">
        <v>617</v>
      </c>
      <c r="I776" s="4">
        <f t="shared" si="49"/>
        <v>0</v>
      </c>
      <c r="J776" s="25">
        <f t="shared" si="47"/>
        <v>25</v>
      </c>
    </row>
    <row r="777" spans="1:10" ht="16.95" customHeight="1">
      <c r="A777" s="75">
        <v>10</v>
      </c>
      <c r="B777" s="80" t="s">
        <v>100</v>
      </c>
      <c r="C777" s="77" t="s">
        <v>66</v>
      </c>
      <c r="D777" s="78">
        <v>15</v>
      </c>
      <c r="E777" s="79"/>
      <c r="F777" s="79" t="e">
        <f t="shared" si="48"/>
        <v>#REF!</v>
      </c>
      <c r="G777" s="2"/>
      <c r="H777" s="37">
        <v>617</v>
      </c>
      <c r="I777" s="4">
        <f t="shared" si="49"/>
        <v>0</v>
      </c>
      <c r="J777" s="25">
        <f t="shared" si="47"/>
        <v>25</v>
      </c>
    </row>
    <row r="778" spans="1:10" ht="16.95" customHeight="1">
      <c r="A778" s="75">
        <v>11</v>
      </c>
      <c r="B778" s="80" t="s">
        <v>101</v>
      </c>
      <c r="C778" s="77" t="s">
        <v>50</v>
      </c>
      <c r="D778" s="78">
        <v>75</v>
      </c>
      <c r="E778" s="79"/>
      <c r="F778" s="79" t="e">
        <f t="shared" si="48"/>
        <v>#REF!</v>
      </c>
      <c r="G778" s="2"/>
      <c r="H778" s="37">
        <v>1146</v>
      </c>
      <c r="I778" s="4">
        <f t="shared" si="49"/>
        <v>0</v>
      </c>
      <c r="J778" s="25">
        <f t="shared" si="47"/>
        <v>25</v>
      </c>
    </row>
    <row r="779" spans="1:10" ht="16.95" customHeight="1">
      <c r="A779" s="75">
        <v>12</v>
      </c>
      <c r="B779" s="80" t="s">
        <v>102</v>
      </c>
      <c r="C779" s="77" t="s">
        <v>50</v>
      </c>
      <c r="D779" s="78">
        <v>5</v>
      </c>
      <c r="E779" s="79"/>
      <c r="F779" s="79" t="e">
        <f t="shared" si="48"/>
        <v>#REF!</v>
      </c>
      <c r="G779" s="2"/>
      <c r="H779" s="37">
        <v>1455</v>
      </c>
      <c r="I779" s="4">
        <f t="shared" si="49"/>
        <v>0</v>
      </c>
      <c r="J779" s="25">
        <f t="shared" si="47"/>
        <v>25</v>
      </c>
    </row>
    <row r="780" spans="1:10" ht="16.95" customHeight="1">
      <c r="A780" s="75">
        <v>13</v>
      </c>
      <c r="B780" s="80" t="s">
        <v>103</v>
      </c>
      <c r="C780" s="77" t="s">
        <v>50</v>
      </c>
      <c r="D780" s="78">
        <v>217</v>
      </c>
      <c r="E780" s="79"/>
      <c r="F780" s="79" t="e">
        <f t="shared" si="48"/>
        <v>#REF!</v>
      </c>
      <c r="G780" s="2"/>
      <c r="H780" s="37">
        <v>1410</v>
      </c>
      <c r="I780" s="4">
        <f t="shared" si="49"/>
        <v>0</v>
      </c>
      <c r="J780" s="25">
        <f t="shared" si="47"/>
        <v>25</v>
      </c>
    </row>
    <row r="781" spans="1:10" ht="16.95" customHeight="1">
      <c r="A781" s="75">
        <v>14</v>
      </c>
      <c r="B781" s="80" t="s">
        <v>104</v>
      </c>
      <c r="C781" s="77" t="s">
        <v>49</v>
      </c>
      <c r="D781" s="78">
        <v>84</v>
      </c>
      <c r="E781" s="79"/>
      <c r="F781" s="79" t="e">
        <f t="shared" si="48"/>
        <v>#REF!</v>
      </c>
      <c r="G781" s="2"/>
      <c r="H781" s="37">
        <v>529</v>
      </c>
      <c r="I781" s="4">
        <f t="shared" si="49"/>
        <v>0</v>
      </c>
      <c r="J781" s="25">
        <f t="shared" si="47"/>
        <v>25</v>
      </c>
    </row>
    <row r="782" spans="1:10" ht="16.95" customHeight="1">
      <c r="A782" s="75">
        <v>15</v>
      </c>
      <c r="B782" s="80" t="s">
        <v>105</v>
      </c>
      <c r="C782" s="77" t="s">
        <v>50</v>
      </c>
      <c r="D782" s="78">
        <v>1</v>
      </c>
      <c r="E782" s="79"/>
      <c r="F782" s="79" t="e">
        <f t="shared" si="48"/>
        <v>#REF!</v>
      </c>
      <c r="G782" s="2"/>
      <c r="H782" s="37">
        <v>1146</v>
      </c>
      <c r="I782" s="4">
        <f t="shared" si="49"/>
        <v>0</v>
      </c>
      <c r="J782" s="25">
        <f t="shared" si="47"/>
        <v>25</v>
      </c>
    </row>
    <row r="783" spans="1:10" ht="34.799999999999997" customHeight="1">
      <c r="A783" s="75">
        <v>16</v>
      </c>
      <c r="B783" s="80" t="s">
        <v>106</v>
      </c>
      <c r="C783" s="77" t="s">
        <v>50</v>
      </c>
      <c r="D783" s="78">
        <v>314</v>
      </c>
      <c r="E783" s="79"/>
      <c r="F783" s="79" t="e">
        <f t="shared" si="48"/>
        <v>#REF!</v>
      </c>
      <c r="G783" s="2"/>
      <c r="H783" s="37">
        <v>185</v>
      </c>
      <c r="I783" s="4">
        <f t="shared" si="49"/>
        <v>0</v>
      </c>
      <c r="J783" s="25">
        <f t="shared" si="47"/>
        <v>25</v>
      </c>
    </row>
    <row r="784" spans="1:10" ht="16.95" customHeight="1">
      <c r="A784" s="75">
        <v>17</v>
      </c>
      <c r="B784" s="80" t="s">
        <v>107</v>
      </c>
      <c r="C784" s="77" t="s">
        <v>48</v>
      </c>
      <c r="D784" s="78">
        <v>1</v>
      </c>
      <c r="E784" s="79"/>
      <c r="F784" s="79" t="e">
        <f t="shared" si="48"/>
        <v>#REF!</v>
      </c>
      <c r="G784" s="2"/>
      <c r="H784" s="37">
        <v>89918</v>
      </c>
      <c r="I784" s="4">
        <f t="shared" si="49"/>
        <v>0</v>
      </c>
      <c r="J784" s="25">
        <f t="shared" si="47"/>
        <v>25</v>
      </c>
    </row>
    <row r="785" spans="1:10" ht="16.95" customHeight="1">
      <c r="A785" s="75">
        <v>18</v>
      </c>
      <c r="B785" s="80" t="s">
        <v>108</v>
      </c>
      <c r="C785" s="77" t="s">
        <v>120</v>
      </c>
      <c r="D785" s="78">
        <v>15</v>
      </c>
      <c r="E785" s="79"/>
      <c r="F785" s="79" t="e">
        <f t="shared" si="48"/>
        <v>#REF!</v>
      </c>
      <c r="G785" s="2"/>
      <c r="H785" s="37">
        <v>661</v>
      </c>
      <c r="I785" s="4">
        <f t="shared" si="49"/>
        <v>0</v>
      </c>
      <c r="J785" s="25">
        <f t="shared" si="47"/>
        <v>25</v>
      </c>
    </row>
    <row r="786" spans="1:10" ht="16.95" customHeight="1">
      <c r="A786" s="75">
        <v>19</v>
      </c>
      <c r="B786" s="80" t="s">
        <v>109</v>
      </c>
      <c r="C786" s="77" t="s">
        <v>50</v>
      </c>
      <c r="D786" s="78">
        <v>82</v>
      </c>
      <c r="E786" s="79"/>
      <c r="F786" s="79" t="e">
        <f t="shared" si="48"/>
        <v>#REF!</v>
      </c>
      <c r="G786" s="2"/>
      <c r="H786" s="37">
        <v>2909</v>
      </c>
      <c r="I786" s="4">
        <f t="shared" si="49"/>
        <v>0</v>
      </c>
      <c r="J786" s="25">
        <f t="shared" si="47"/>
        <v>25</v>
      </c>
    </row>
    <row r="787" spans="1:10" ht="16.95" customHeight="1">
      <c r="A787" s="75">
        <v>20</v>
      </c>
      <c r="B787" s="80" t="s">
        <v>110</v>
      </c>
      <c r="C787" s="77" t="s">
        <v>121</v>
      </c>
      <c r="D787" s="78">
        <v>12</v>
      </c>
      <c r="E787" s="79"/>
      <c r="F787" s="79" t="e">
        <f t="shared" si="48"/>
        <v>#REF!</v>
      </c>
      <c r="G787" s="2"/>
      <c r="H787" s="37">
        <v>882</v>
      </c>
      <c r="I787" s="4">
        <f t="shared" si="49"/>
        <v>0</v>
      </c>
      <c r="J787" s="25">
        <f t="shared" si="47"/>
        <v>25</v>
      </c>
    </row>
    <row r="788" spans="1:10" ht="16.95" customHeight="1">
      <c r="A788" s="77">
        <v>21</v>
      </c>
      <c r="B788" s="80" t="s">
        <v>111</v>
      </c>
      <c r="C788" s="77" t="s">
        <v>122</v>
      </c>
      <c r="D788" s="78">
        <v>3</v>
      </c>
      <c r="E788" s="79"/>
      <c r="F788" s="79" t="e">
        <f t="shared" si="48"/>
        <v>#REF!</v>
      </c>
      <c r="G788" s="2"/>
      <c r="H788" s="38">
        <v>1869</v>
      </c>
      <c r="I788" s="4">
        <f t="shared" si="49"/>
        <v>0</v>
      </c>
      <c r="J788" s="25">
        <f t="shared" si="47"/>
        <v>25</v>
      </c>
    </row>
    <row r="789" spans="1:10" ht="34.950000000000003" customHeight="1">
      <c r="A789" s="75">
        <v>22</v>
      </c>
      <c r="B789" s="80" t="s">
        <v>112</v>
      </c>
      <c r="C789" s="77" t="s">
        <v>48</v>
      </c>
      <c r="D789" s="78">
        <v>1</v>
      </c>
      <c r="E789" s="79"/>
      <c r="F789" s="79" t="e">
        <f t="shared" si="48"/>
        <v>#REF!</v>
      </c>
      <c r="G789" s="2"/>
      <c r="H789" s="37">
        <v>82206</v>
      </c>
      <c r="I789" s="4">
        <f t="shared" si="49"/>
        <v>0</v>
      </c>
      <c r="J789" s="25">
        <f t="shared" si="47"/>
        <v>25</v>
      </c>
    </row>
    <row r="790" spans="1:10" ht="16.95" customHeight="1">
      <c r="A790" s="75">
        <v>23</v>
      </c>
      <c r="B790" s="80" t="s">
        <v>113</v>
      </c>
      <c r="C790" s="77" t="s">
        <v>48</v>
      </c>
      <c r="D790" s="78">
        <v>1</v>
      </c>
      <c r="E790" s="79"/>
      <c r="F790" s="79" t="e">
        <f t="shared" si="48"/>
        <v>#REF!</v>
      </c>
      <c r="G790" s="2"/>
      <c r="H790" s="37">
        <v>142723</v>
      </c>
      <c r="I790" s="4">
        <f t="shared" si="49"/>
        <v>0</v>
      </c>
      <c r="J790" s="25">
        <f t="shared" si="47"/>
        <v>25</v>
      </c>
    </row>
    <row r="791" spans="1:10" ht="16.95" customHeight="1">
      <c r="A791" s="75">
        <v>24</v>
      </c>
      <c r="B791" s="80" t="s">
        <v>114</v>
      </c>
      <c r="C791" s="77" t="s">
        <v>48</v>
      </c>
      <c r="D791" s="78">
        <v>1</v>
      </c>
      <c r="E791" s="79"/>
      <c r="F791" s="79" t="e">
        <f t="shared" si="48"/>
        <v>#REF!</v>
      </c>
      <c r="G791" s="2"/>
      <c r="H791" s="37">
        <v>37290</v>
      </c>
      <c r="I791" s="4">
        <f t="shared" si="49"/>
        <v>0</v>
      </c>
      <c r="J791" s="25">
        <f t="shared" si="47"/>
        <v>25</v>
      </c>
    </row>
    <row r="792" spans="1:10" ht="16.95" customHeight="1">
      <c r="A792" s="75">
        <v>25</v>
      </c>
      <c r="B792" s="80" t="s">
        <v>115</v>
      </c>
      <c r="C792" s="77" t="s">
        <v>48</v>
      </c>
      <c r="D792" s="78">
        <v>1</v>
      </c>
      <c r="E792" s="79"/>
      <c r="F792" s="79" t="e">
        <f t="shared" si="48"/>
        <v>#REF!</v>
      </c>
      <c r="G792" s="2"/>
      <c r="H792" s="37">
        <v>99394</v>
      </c>
      <c r="I792" s="4">
        <f t="shared" si="49"/>
        <v>0</v>
      </c>
      <c r="J792" s="25">
        <f t="shared" si="47"/>
        <v>25</v>
      </c>
    </row>
    <row r="793" spans="1:10" ht="34.950000000000003" customHeight="1">
      <c r="A793" s="75">
        <v>26</v>
      </c>
      <c r="B793" s="80" t="s">
        <v>116</v>
      </c>
      <c r="C793" s="77" t="s">
        <v>48</v>
      </c>
      <c r="D793" s="78">
        <v>1</v>
      </c>
      <c r="E793" s="79"/>
      <c r="F793" s="79" t="e">
        <f t="shared" si="48"/>
        <v>#REF!</v>
      </c>
      <c r="G793" s="2"/>
      <c r="H793" s="37">
        <v>21334</v>
      </c>
      <c r="I793" s="4">
        <f t="shared" si="49"/>
        <v>0</v>
      </c>
      <c r="J793" s="25">
        <f t="shared" si="47"/>
        <v>25</v>
      </c>
    </row>
    <row r="794" spans="1:10" ht="16.95" customHeight="1">
      <c r="A794" s="75">
        <v>27</v>
      </c>
      <c r="B794" s="80" t="s">
        <v>117</v>
      </c>
      <c r="C794" s="77" t="s">
        <v>48</v>
      </c>
      <c r="D794" s="78">
        <v>1</v>
      </c>
      <c r="E794" s="79"/>
      <c r="F794" s="79" t="e">
        <f t="shared" si="48"/>
        <v>#REF!</v>
      </c>
      <c r="G794" s="2"/>
      <c r="H794" s="37">
        <v>29620</v>
      </c>
      <c r="I794" s="4">
        <f t="shared" si="49"/>
        <v>0</v>
      </c>
      <c r="J794" s="25">
        <f t="shared" si="47"/>
        <v>25</v>
      </c>
    </row>
    <row r="795" spans="1:10" ht="16.95" customHeight="1">
      <c r="A795" s="75">
        <v>28</v>
      </c>
      <c r="B795" s="80" t="s">
        <v>118</v>
      </c>
      <c r="C795" s="77" t="s">
        <v>48</v>
      </c>
      <c r="D795" s="78">
        <v>1</v>
      </c>
      <c r="E795" s="79"/>
      <c r="F795" s="79" t="e">
        <f t="shared" si="48"/>
        <v>#REF!</v>
      </c>
      <c r="G795" s="2"/>
      <c r="H795" s="37">
        <v>18506</v>
      </c>
      <c r="I795" s="4">
        <f t="shared" si="49"/>
        <v>0</v>
      </c>
      <c r="J795" s="25">
        <f t="shared" si="47"/>
        <v>25</v>
      </c>
    </row>
    <row r="796" spans="1:10" ht="16.95" customHeight="1">
      <c r="A796" s="75">
        <v>29</v>
      </c>
      <c r="B796" s="80" t="s">
        <v>119</v>
      </c>
      <c r="C796" s="77" t="s">
        <v>48</v>
      </c>
      <c r="D796" s="78">
        <v>1</v>
      </c>
      <c r="E796" s="79"/>
      <c r="F796" s="79" t="e">
        <f t="shared" si="48"/>
        <v>#REF!</v>
      </c>
      <c r="G796" s="2"/>
      <c r="H796" s="37">
        <v>34381</v>
      </c>
      <c r="I796" s="4">
        <f t="shared" si="49"/>
        <v>0</v>
      </c>
      <c r="J796" s="25">
        <f t="shared" si="47"/>
        <v>25</v>
      </c>
    </row>
    <row r="797" spans="1:10" ht="16.95" customHeight="1">
      <c r="A797" s="75" t="s">
        <v>79</v>
      </c>
      <c r="B797" s="80" t="s">
        <v>80</v>
      </c>
      <c r="C797" s="77" t="s">
        <v>48</v>
      </c>
      <c r="D797" s="78">
        <v>1</v>
      </c>
      <c r="E797" s="79">
        <f t="shared" ref="E797:E800" si="50">1/120</f>
        <v>8.3333333333333332E-3</v>
      </c>
      <c r="F797" s="79" t="e">
        <f t="shared" si="48"/>
        <v>#REF!</v>
      </c>
      <c r="G797" s="2"/>
      <c r="H797" s="37">
        <v>21395</v>
      </c>
      <c r="I797" s="4">
        <f t="shared" si="49"/>
        <v>178.29166666666666</v>
      </c>
      <c r="J797" s="25">
        <f t="shared" si="47"/>
        <v>25</v>
      </c>
    </row>
    <row r="798" spans="1:10" ht="16.95" customHeight="1">
      <c r="A798" s="75" t="s">
        <v>81</v>
      </c>
      <c r="B798" s="80" t="s">
        <v>82</v>
      </c>
      <c r="C798" s="77" t="s">
        <v>48</v>
      </c>
      <c r="D798" s="78">
        <v>1</v>
      </c>
      <c r="E798" s="79">
        <f t="shared" si="50"/>
        <v>8.3333333333333332E-3</v>
      </c>
      <c r="F798" s="79" t="e">
        <f t="shared" si="48"/>
        <v>#REF!</v>
      </c>
      <c r="G798" s="2"/>
      <c r="H798" s="37">
        <v>21395</v>
      </c>
      <c r="I798" s="4">
        <f t="shared" si="49"/>
        <v>178.29166666666666</v>
      </c>
      <c r="J798" s="25">
        <f t="shared" si="47"/>
        <v>25</v>
      </c>
    </row>
    <row r="799" spans="1:10" ht="16.95" customHeight="1">
      <c r="A799" s="75" t="s">
        <v>83</v>
      </c>
      <c r="B799" s="80" t="s">
        <v>84</v>
      </c>
      <c r="C799" s="77" t="s">
        <v>48</v>
      </c>
      <c r="D799" s="78">
        <v>1</v>
      </c>
      <c r="E799" s="79">
        <f t="shared" si="50"/>
        <v>8.3333333333333332E-3</v>
      </c>
      <c r="F799" s="79" t="e">
        <f t="shared" si="48"/>
        <v>#REF!</v>
      </c>
      <c r="G799" s="2"/>
      <c r="H799" s="37">
        <v>149765</v>
      </c>
      <c r="I799" s="4">
        <f t="shared" si="49"/>
        <v>1248.0416666666667</v>
      </c>
      <c r="J799" s="25">
        <f t="shared" si="47"/>
        <v>25</v>
      </c>
    </row>
    <row r="800" spans="1:10" ht="16.95" customHeight="1">
      <c r="A800" s="75" t="s">
        <v>85</v>
      </c>
      <c r="B800" s="80" t="s">
        <v>86</v>
      </c>
      <c r="C800" s="77" t="s">
        <v>48</v>
      </c>
      <c r="D800" s="78">
        <v>1</v>
      </c>
      <c r="E800" s="79">
        <f t="shared" si="50"/>
        <v>8.3333333333333332E-3</v>
      </c>
      <c r="F800" s="79" t="e">
        <f t="shared" si="48"/>
        <v>#REF!</v>
      </c>
      <c r="G800" s="2"/>
      <c r="H800" s="37">
        <v>6996</v>
      </c>
      <c r="I800" s="4">
        <f t="shared" si="49"/>
        <v>58.3</v>
      </c>
      <c r="J800" s="25">
        <f t="shared" si="47"/>
        <v>25</v>
      </c>
    </row>
    <row r="801" spans="1:10" ht="16.95" customHeight="1">
      <c r="A801" s="75" t="s">
        <v>87</v>
      </c>
      <c r="B801" s="80" t="s">
        <v>88</v>
      </c>
      <c r="C801" s="77" t="s">
        <v>48</v>
      </c>
      <c r="D801" s="78">
        <v>1</v>
      </c>
      <c r="E801" s="79">
        <f>1/120</f>
        <v>8.3333333333333332E-3</v>
      </c>
      <c r="F801" s="79" t="e">
        <f t="shared" si="48"/>
        <v>#REF!</v>
      </c>
      <c r="G801" s="2"/>
      <c r="H801" s="37">
        <v>116952</v>
      </c>
      <c r="I801" s="4">
        <f t="shared" si="49"/>
        <v>974.6</v>
      </c>
      <c r="J801" s="25">
        <f t="shared" si="47"/>
        <v>25</v>
      </c>
    </row>
    <row r="802" spans="1:10" ht="16.95" customHeight="1">
      <c r="A802" s="95" t="s">
        <v>23</v>
      </c>
      <c r="B802" s="95"/>
      <c r="C802" s="50"/>
      <c r="D802" s="50"/>
      <c r="E802" s="50"/>
      <c r="F802" s="50"/>
      <c r="G802" s="50"/>
      <c r="H802" s="3" t="s">
        <v>24</v>
      </c>
      <c r="I802" s="5">
        <f>SUM(I767:I801)</f>
        <v>2637.5250000000001</v>
      </c>
      <c r="J802" s="25">
        <f t="shared" si="47"/>
        <v>25</v>
      </c>
    </row>
    <row r="803" spans="1:10" ht="16.95" customHeight="1">
      <c r="A803" s="96" t="s">
        <v>25</v>
      </c>
      <c r="B803" s="96"/>
      <c r="C803" s="50"/>
      <c r="D803" s="50"/>
      <c r="E803" s="50"/>
      <c r="F803" s="50"/>
      <c r="G803" s="50"/>
      <c r="J803" s="25">
        <f t="shared" si="47"/>
        <v>25</v>
      </c>
    </row>
    <row r="804" spans="1:10" ht="16.95" customHeight="1">
      <c r="A804" s="96" t="s">
        <v>26</v>
      </c>
      <c r="B804" s="96"/>
      <c r="C804" s="50"/>
      <c r="D804" s="50"/>
      <c r="E804" s="50"/>
      <c r="F804" s="50"/>
      <c r="G804" s="50"/>
      <c r="J804" s="25">
        <f t="shared" si="47"/>
        <v>25</v>
      </c>
    </row>
    <row r="805" spans="1:10" ht="16.95" customHeight="1">
      <c r="A805" s="95" t="s">
        <v>27</v>
      </c>
      <c r="B805" s="95"/>
      <c r="C805" s="95"/>
      <c r="D805" s="95"/>
      <c r="E805" s="95"/>
      <c r="F805" s="95"/>
      <c r="G805" s="95"/>
      <c r="J805" s="25">
        <f t="shared" si="47"/>
        <v>25</v>
      </c>
    </row>
    <row r="806" spans="1:10" ht="16.95" customHeight="1">
      <c r="A806" s="94" t="s">
        <v>28</v>
      </c>
      <c r="B806" s="94"/>
      <c r="C806" s="51" t="s">
        <v>29</v>
      </c>
      <c r="D806" s="51" t="s">
        <v>30</v>
      </c>
      <c r="E806" s="51" t="s">
        <v>18</v>
      </c>
      <c r="F806" s="51" t="s">
        <v>31</v>
      </c>
      <c r="G806" s="51" t="s">
        <v>20</v>
      </c>
      <c r="J806" s="25">
        <f t="shared" si="47"/>
        <v>25</v>
      </c>
    </row>
    <row r="807" spans="1:10" ht="16.95" customHeight="1">
      <c r="A807" s="96"/>
      <c r="B807" s="96"/>
      <c r="C807" s="50"/>
      <c r="D807" s="50"/>
      <c r="E807" s="50"/>
      <c r="F807" s="50"/>
      <c r="G807" s="51"/>
      <c r="J807" s="25">
        <f t="shared" si="47"/>
        <v>25</v>
      </c>
    </row>
    <row r="808" spans="1:10" ht="16.95" customHeight="1">
      <c r="A808" s="97"/>
      <c r="B808" s="97"/>
      <c r="C808" s="50"/>
      <c r="D808" s="50"/>
      <c r="E808" s="50"/>
      <c r="F808" s="51"/>
      <c r="G808" s="51"/>
      <c r="J808" s="25">
        <f t="shared" si="47"/>
        <v>25</v>
      </c>
    </row>
    <row r="809" spans="1:10" ht="16.95" customHeight="1">
      <c r="A809" s="95" t="s">
        <v>32</v>
      </c>
      <c r="B809" s="95"/>
      <c r="C809" s="95"/>
      <c r="D809" s="95"/>
      <c r="E809" s="95"/>
      <c r="F809" s="95"/>
      <c r="G809" s="95"/>
      <c r="J809" s="25">
        <f t="shared" si="47"/>
        <v>26</v>
      </c>
    </row>
    <row r="810" spans="1:10" ht="16.95" customHeight="1">
      <c r="A810" s="51" t="s">
        <v>33</v>
      </c>
      <c r="B810" s="51" t="s">
        <v>34</v>
      </c>
      <c r="C810" s="94" t="s">
        <v>35</v>
      </c>
      <c r="D810" s="94"/>
      <c r="E810" s="51" t="s">
        <v>36</v>
      </c>
      <c r="F810" s="51" t="s">
        <v>37</v>
      </c>
      <c r="G810" s="51" t="s">
        <v>38</v>
      </c>
      <c r="J810" s="25">
        <f t="shared" si="47"/>
        <v>26</v>
      </c>
    </row>
    <row r="811" spans="1:10" ht="16.95" customHeight="1">
      <c r="A811" s="51" t="s">
        <v>39</v>
      </c>
      <c r="B811" s="6"/>
      <c r="C811" s="94" t="e">
        <f>B811+C748</f>
        <v>#REF!</v>
      </c>
      <c r="D811" s="94"/>
      <c r="E811" s="51"/>
      <c r="F811" s="24"/>
      <c r="G811" s="24"/>
      <c r="J811" s="25">
        <f t="shared" si="47"/>
        <v>26</v>
      </c>
    </row>
    <row r="812" spans="1:10" ht="16.95" customHeight="1">
      <c r="A812" s="51" t="s">
        <v>40</v>
      </c>
      <c r="B812" s="6"/>
      <c r="C812" s="94" t="e">
        <f>B812+C749</f>
        <v>#REF!</v>
      </c>
      <c r="D812" s="94"/>
      <c r="E812" s="51"/>
      <c r="F812" s="24"/>
      <c r="G812" s="24"/>
      <c r="J812" s="25">
        <f t="shared" si="47"/>
        <v>26</v>
      </c>
    </row>
    <row r="813" spans="1:10" ht="36.6" customHeight="1">
      <c r="A813" s="95" t="s">
        <v>41</v>
      </c>
      <c r="B813" s="95"/>
      <c r="C813" s="95"/>
      <c r="D813" s="95"/>
      <c r="E813" s="95"/>
      <c r="F813" s="95"/>
      <c r="G813" s="95"/>
      <c r="J813" s="25">
        <f t="shared" si="47"/>
        <v>26</v>
      </c>
    </row>
    <row r="814" spans="1:10" ht="90" customHeight="1">
      <c r="A814" s="92" t="s">
        <v>42</v>
      </c>
      <c r="B814" s="92"/>
      <c r="C814" s="92"/>
      <c r="D814" s="92"/>
      <c r="E814" s="92"/>
      <c r="F814" s="92"/>
      <c r="G814" s="92"/>
      <c r="J814" s="25">
        <f t="shared" si="47"/>
        <v>26</v>
      </c>
    </row>
    <row r="815" spans="1:10" ht="16.95" customHeight="1">
      <c r="A815" s="95" t="s">
        <v>43</v>
      </c>
      <c r="B815" s="95"/>
      <c r="C815" s="95"/>
      <c r="D815" s="95"/>
      <c r="E815" s="95"/>
      <c r="F815" s="95"/>
      <c r="G815" s="95"/>
      <c r="J815" s="25">
        <f t="shared" si="47"/>
        <v>26</v>
      </c>
    </row>
    <row r="816" spans="1:10" ht="16.95" customHeight="1">
      <c r="A816" s="95" t="s">
        <v>44</v>
      </c>
      <c r="B816" s="95"/>
      <c r="C816" s="95"/>
      <c r="D816" s="95"/>
      <c r="E816" s="95"/>
      <c r="F816" s="95"/>
      <c r="G816" s="95"/>
      <c r="J816" s="25">
        <f t="shared" si="47"/>
        <v>26</v>
      </c>
    </row>
    <row r="817" spans="1:10" ht="16.95" customHeight="1">
      <c r="A817" s="91" t="s">
        <v>64</v>
      </c>
      <c r="B817" s="91"/>
      <c r="C817" s="91"/>
      <c r="D817" s="91"/>
      <c r="E817" s="91"/>
      <c r="F817" s="91"/>
      <c r="G817" s="91"/>
      <c r="J817" s="25">
        <f t="shared" si="47"/>
        <v>26</v>
      </c>
    </row>
    <row r="818" spans="1:10" ht="120.6" customHeight="1">
      <c r="A818" s="92" t="s">
        <v>45</v>
      </c>
      <c r="B818" s="92"/>
      <c r="C818" s="92"/>
      <c r="D818" s="92"/>
      <c r="E818" s="92"/>
      <c r="F818" s="92"/>
      <c r="G818" s="92"/>
      <c r="J818" s="25">
        <f t="shared" si="47"/>
        <v>26</v>
      </c>
    </row>
    <row r="819" spans="1:10" ht="140.4" customHeight="1">
      <c r="A819" s="93" t="s">
        <v>46</v>
      </c>
      <c r="B819" s="93"/>
      <c r="C819" s="93"/>
      <c r="D819" s="93"/>
      <c r="E819" s="93"/>
      <c r="F819" s="93"/>
      <c r="G819" s="93"/>
      <c r="J819" s="25">
        <f t="shared" si="47"/>
        <v>26</v>
      </c>
    </row>
    <row r="820" spans="1:10" ht="37.200000000000003" customHeight="1">
      <c r="A820" s="103" t="s">
        <v>0</v>
      </c>
      <c r="B820" s="103"/>
      <c r="C820" s="103"/>
      <c r="D820" s="103"/>
      <c r="E820" s="103"/>
      <c r="F820" s="103"/>
      <c r="G820" s="103"/>
      <c r="J820" s="25">
        <f t="shared" si="47"/>
        <v>27</v>
      </c>
    </row>
    <row r="821" spans="1:10" ht="16.95" customHeight="1">
      <c r="A821" s="1" t="s">
        <v>1</v>
      </c>
      <c r="B821" s="104">
        <f>B758+1</f>
        <v>15</v>
      </c>
      <c r="C821" s="104"/>
      <c r="D821" s="104"/>
      <c r="E821" s="104"/>
      <c r="F821" s="104"/>
      <c r="G821" s="104"/>
      <c r="J821" s="25">
        <f t="shared" si="47"/>
        <v>27</v>
      </c>
    </row>
    <row r="822" spans="1:10" ht="16.95" customHeight="1">
      <c r="A822" s="1" t="s">
        <v>2</v>
      </c>
      <c r="B822" s="105" t="s">
        <v>63</v>
      </c>
      <c r="C822" s="105"/>
      <c r="D822" s="105"/>
      <c r="E822" s="106">
        <f>E759+1</f>
        <v>46217</v>
      </c>
      <c r="F822" s="106"/>
      <c r="G822" s="106"/>
      <c r="J822" s="25">
        <f t="shared" si="47"/>
        <v>27</v>
      </c>
    </row>
    <row r="823" spans="1:10" ht="16.95" customHeight="1">
      <c r="A823" s="53" t="s">
        <v>3</v>
      </c>
      <c r="B823" s="2" t="s">
        <v>67</v>
      </c>
      <c r="C823" s="98" t="s">
        <v>4</v>
      </c>
      <c r="D823" s="98"/>
      <c r="E823" s="98" t="s">
        <v>47</v>
      </c>
      <c r="F823" s="98"/>
      <c r="G823" s="98"/>
      <c r="J823" s="25">
        <f t="shared" si="47"/>
        <v>27</v>
      </c>
    </row>
    <row r="824" spans="1:10" ht="16.95" customHeight="1">
      <c r="A824" s="53" t="s">
        <v>5</v>
      </c>
      <c r="B824" s="54">
        <v>120</v>
      </c>
      <c r="C824" s="98" t="s">
        <v>6</v>
      </c>
      <c r="D824" s="98"/>
      <c r="E824" s="98" t="s">
        <v>123</v>
      </c>
      <c r="F824" s="98"/>
      <c r="G824" s="98"/>
      <c r="J824" s="25">
        <f t="shared" si="47"/>
        <v>27</v>
      </c>
    </row>
    <row r="825" spans="1:10" ht="16.95" customHeight="1">
      <c r="A825" s="53" t="s">
        <v>7</v>
      </c>
      <c r="B825" s="54">
        <f>B821</f>
        <v>15</v>
      </c>
      <c r="C825" s="100" t="s">
        <v>8</v>
      </c>
      <c r="D825" s="100"/>
      <c r="E825" s="101">
        <f>B824-B825</f>
        <v>105</v>
      </c>
      <c r="F825" s="101"/>
      <c r="G825" s="101"/>
      <c r="J825" s="25">
        <f t="shared" si="47"/>
        <v>27</v>
      </c>
    </row>
    <row r="826" spans="1:10" ht="16.95" customHeight="1">
      <c r="A826" s="53" t="s">
        <v>9</v>
      </c>
      <c r="B826" s="55">
        <v>46204</v>
      </c>
      <c r="C826" s="98" t="s">
        <v>10</v>
      </c>
      <c r="D826" s="98"/>
      <c r="E826" s="102">
        <f>B826+B824-1</f>
        <v>46323</v>
      </c>
      <c r="F826" s="102"/>
      <c r="G826" s="102"/>
      <c r="J826" s="25">
        <f t="shared" si="47"/>
        <v>27</v>
      </c>
    </row>
    <row r="827" spans="1:10" ht="16.95" customHeight="1">
      <c r="A827" s="53" t="s">
        <v>11</v>
      </c>
      <c r="B827" s="56" t="e">
        <f>HLOOKUP(B821,進度表!$Q$2:$Z$3,2,1)+B764</f>
        <v>#REF!</v>
      </c>
      <c r="C827" s="98" t="s">
        <v>12</v>
      </c>
      <c r="D827" s="98"/>
      <c r="E827" s="99" t="e">
        <f>I865/I827+E764</f>
        <v>#REF!</v>
      </c>
      <c r="F827" s="99"/>
      <c r="G827" s="99"/>
      <c r="H827" s="3" t="s">
        <v>62</v>
      </c>
      <c r="I827" s="1">
        <v>2456000</v>
      </c>
      <c r="J827" s="25">
        <f t="shared" ref="J827:J890" si="51">J764+2</f>
        <v>27</v>
      </c>
    </row>
    <row r="828" spans="1:10" ht="16.95" customHeight="1">
      <c r="A828" s="98" t="s">
        <v>13</v>
      </c>
      <c r="B828" s="98"/>
      <c r="C828" s="98"/>
      <c r="D828" s="98"/>
      <c r="E828" s="98"/>
      <c r="F828" s="98"/>
      <c r="G828" s="98"/>
      <c r="J828" s="25">
        <f t="shared" si="51"/>
        <v>27</v>
      </c>
    </row>
    <row r="829" spans="1:10" ht="16.95" customHeight="1">
      <c r="A829" s="52" t="s">
        <v>14</v>
      </c>
      <c r="B829" s="52" t="s">
        <v>15</v>
      </c>
      <c r="C829" s="52" t="s">
        <v>16</v>
      </c>
      <c r="D829" s="52" t="s">
        <v>17</v>
      </c>
      <c r="E829" s="52" t="s">
        <v>18</v>
      </c>
      <c r="F829" s="52" t="s">
        <v>19</v>
      </c>
      <c r="G829" s="52" t="s">
        <v>20</v>
      </c>
      <c r="H829" s="3" t="s">
        <v>21</v>
      </c>
      <c r="I829" s="3" t="s">
        <v>22</v>
      </c>
      <c r="J829" s="25">
        <f t="shared" si="51"/>
        <v>27</v>
      </c>
    </row>
    <row r="830" spans="1:10" ht="16.95" customHeight="1">
      <c r="A830" s="75" t="s">
        <v>65</v>
      </c>
      <c r="B830" s="76" t="s">
        <v>69</v>
      </c>
      <c r="C830" s="77"/>
      <c r="D830" s="78"/>
      <c r="E830" s="79"/>
      <c r="F830" s="79"/>
      <c r="G830" s="2"/>
      <c r="H830" s="37"/>
      <c r="I830" s="4"/>
      <c r="J830" s="25">
        <f t="shared" si="51"/>
        <v>27</v>
      </c>
    </row>
    <row r="831" spans="1:10" ht="34.950000000000003" customHeight="1">
      <c r="A831" s="75">
        <v>1</v>
      </c>
      <c r="B831" s="80" t="s">
        <v>91</v>
      </c>
      <c r="C831" s="77" t="s">
        <v>48</v>
      </c>
      <c r="D831" s="78">
        <v>1</v>
      </c>
      <c r="E831" s="79"/>
      <c r="F831" s="79" t="e">
        <f t="shared" ref="F831:F864" si="52">E831+F768</f>
        <v>#REF!</v>
      </c>
      <c r="G831" s="2"/>
      <c r="H831" s="37">
        <v>10508</v>
      </c>
      <c r="I831" s="4">
        <f>H831*E831</f>
        <v>0</v>
      </c>
      <c r="J831" s="25">
        <f t="shared" si="51"/>
        <v>27</v>
      </c>
    </row>
    <row r="832" spans="1:10" ht="34.799999999999997" customHeight="1">
      <c r="A832" s="75">
        <v>2</v>
      </c>
      <c r="B832" s="80" t="s">
        <v>92</v>
      </c>
      <c r="C832" s="77" t="s">
        <v>48</v>
      </c>
      <c r="D832" s="78">
        <v>1</v>
      </c>
      <c r="E832" s="79"/>
      <c r="F832" s="79" t="e">
        <f t="shared" si="52"/>
        <v>#REF!</v>
      </c>
      <c r="G832" s="2"/>
      <c r="H832" s="37">
        <v>13223</v>
      </c>
      <c r="I832" s="4">
        <f>H832*E832</f>
        <v>0</v>
      </c>
      <c r="J832" s="25">
        <f t="shared" si="51"/>
        <v>27</v>
      </c>
    </row>
    <row r="833" spans="1:10" ht="53.4" customHeight="1">
      <c r="A833" s="75">
        <v>3</v>
      </c>
      <c r="B833" s="80" t="s">
        <v>93</v>
      </c>
      <c r="C833" s="77" t="s">
        <v>48</v>
      </c>
      <c r="D833" s="78">
        <v>1</v>
      </c>
      <c r="E833" s="79"/>
      <c r="F833" s="79" t="e">
        <f t="shared" si="52"/>
        <v>#REF!</v>
      </c>
      <c r="G833" s="2"/>
      <c r="H833" s="37">
        <v>310497</v>
      </c>
      <c r="I833" s="4">
        <f t="shared" ref="I833:I864" si="53">H833*E833</f>
        <v>0</v>
      </c>
      <c r="J833" s="25">
        <f t="shared" si="51"/>
        <v>27</v>
      </c>
    </row>
    <row r="834" spans="1:10" ht="16.95" customHeight="1">
      <c r="A834" s="75">
        <v>4</v>
      </c>
      <c r="B834" s="80" t="s">
        <v>94</v>
      </c>
      <c r="C834" s="77" t="s">
        <v>48</v>
      </c>
      <c r="D834" s="78">
        <v>1</v>
      </c>
      <c r="E834" s="79"/>
      <c r="F834" s="79" t="e">
        <f t="shared" si="52"/>
        <v>#REF!</v>
      </c>
      <c r="G834" s="2"/>
      <c r="H834" s="37">
        <v>8375</v>
      </c>
      <c r="I834" s="4">
        <f t="shared" si="53"/>
        <v>0</v>
      </c>
      <c r="J834" s="25">
        <f t="shared" si="51"/>
        <v>27</v>
      </c>
    </row>
    <row r="835" spans="1:10" ht="16.95" customHeight="1">
      <c r="A835" s="75">
        <v>5</v>
      </c>
      <c r="B835" s="80" t="s">
        <v>95</v>
      </c>
      <c r="C835" s="77" t="s">
        <v>48</v>
      </c>
      <c r="D835" s="78">
        <v>1</v>
      </c>
      <c r="E835" s="79"/>
      <c r="F835" s="79" t="e">
        <f t="shared" si="52"/>
        <v>#REF!</v>
      </c>
      <c r="G835" s="2"/>
      <c r="H835" s="37">
        <v>51618</v>
      </c>
      <c r="I835" s="4">
        <f t="shared" si="53"/>
        <v>0</v>
      </c>
      <c r="J835" s="25">
        <f t="shared" si="51"/>
        <v>27</v>
      </c>
    </row>
    <row r="836" spans="1:10" ht="16.95" customHeight="1">
      <c r="A836" s="75">
        <v>6</v>
      </c>
      <c r="B836" s="80" t="s">
        <v>96</v>
      </c>
      <c r="C836" s="77" t="s">
        <v>50</v>
      </c>
      <c r="D836" s="78">
        <v>11.55</v>
      </c>
      <c r="E836" s="79"/>
      <c r="F836" s="79" t="e">
        <f t="shared" si="52"/>
        <v>#REF!</v>
      </c>
      <c r="G836" s="2"/>
      <c r="H836" s="37">
        <v>1188</v>
      </c>
      <c r="I836" s="4">
        <f t="shared" si="53"/>
        <v>0</v>
      </c>
      <c r="J836" s="25">
        <f t="shared" si="51"/>
        <v>27</v>
      </c>
    </row>
    <row r="837" spans="1:10" ht="34.950000000000003" customHeight="1">
      <c r="A837" s="75">
        <v>7</v>
      </c>
      <c r="B837" s="80" t="s">
        <v>97</v>
      </c>
      <c r="C837" s="77" t="s">
        <v>48</v>
      </c>
      <c r="D837" s="78">
        <v>1</v>
      </c>
      <c r="E837" s="79"/>
      <c r="F837" s="79" t="e">
        <f t="shared" si="52"/>
        <v>#REF!</v>
      </c>
      <c r="G837" s="2"/>
      <c r="H837" s="37">
        <v>21157</v>
      </c>
      <c r="I837" s="4">
        <f t="shared" si="53"/>
        <v>0</v>
      </c>
      <c r="J837" s="25">
        <f t="shared" si="51"/>
        <v>27</v>
      </c>
    </row>
    <row r="838" spans="1:10" ht="16.95" customHeight="1">
      <c r="A838" s="75">
        <v>8</v>
      </c>
      <c r="B838" s="80" t="s">
        <v>98</v>
      </c>
      <c r="C838" s="77" t="s">
        <v>50</v>
      </c>
      <c r="D838" s="78">
        <v>387</v>
      </c>
      <c r="E838" s="79"/>
      <c r="F838" s="79" t="e">
        <f t="shared" si="52"/>
        <v>#REF!</v>
      </c>
      <c r="G838" s="2"/>
      <c r="H838" s="37">
        <v>705</v>
      </c>
      <c r="I838" s="4">
        <f t="shared" si="53"/>
        <v>0</v>
      </c>
      <c r="J838" s="25">
        <f t="shared" si="51"/>
        <v>27</v>
      </c>
    </row>
    <row r="839" spans="1:10" ht="16.95" customHeight="1">
      <c r="A839" s="75">
        <v>9</v>
      </c>
      <c r="B839" s="80" t="s">
        <v>99</v>
      </c>
      <c r="C839" s="77" t="s">
        <v>50</v>
      </c>
      <c r="D839" s="78">
        <v>170</v>
      </c>
      <c r="E839" s="79"/>
      <c r="F839" s="79" t="e">
        <f t="shared" si="52"/>
        <v>#REF!</v>
      </c>
      <c r="G839" s="2"/>
      <c r="H839" s="37">
        <v>617</v>
      </c>
      <c r="I839" s="4">
        <f t="shared" si="53"/>
        <v>0</v>
      </c>
      <c r="J839" s="25">
        <f t="shared" si="51"/>
        <v>27</v>
      </c>
    </row>
    <row r="840" spans="1:10" ht="16.95" customHeight="1">
      <c r="A840" s="75">
        <v>10</v>
      </c>
      <c r="B840" s="80" t="s">
        <v>100</v>
      </c>
      <c r="C840" s="77" t="s">
        <v>66</v>
      </c>
      <c r="D840" s="78">
        <v>15</v>
      </c>
      <c r="E840" s="79"/>
      <c r="F840" s="79" t="e">
        <f t="shared" si="52"/>
        <v>#REF!</v>
      </c>
      <c r="G840" s="2"/>
      <c r="H840" s="37">
        <v>617</v>
      </c>
      <c r="I840" s="4">
        <f t="shared" si="53"/>
        <v>0</v>
      </c>
      <c r="J840" s="25">
        <f t="shared" si="51"/>
        <v>27</v>
      </c>
    </row>
    <row r="841" spans="1:10" ht="16.95" customHeight="1">
      <c r="A841" s="75">
        <v>11</v>
      </c>
      <c r="B841" s="80" t="s">
        <v>101</v>
      </c>
      <c r="C841" s="77" t="s">
        <v>50</v>
      </c>
      <c r="D841" s="78">
        <v>75</v>
      </c>
      <c r="E841" s="79"/>
      <c r="F841" s="79" t="e">
        <f t="shared" si="52"/>
        <v>#REF!</v>
      </c>
      <c r="G841" s="2"/>
      <c r="H841" s="37">
        <v>1146</v>
      </c>
      <c r="I841" s="4">
        <f t="shared" si="53"/>
        <v>0</v>
      </c>
      <c r="J841" s="25">
        <f t="shared" si="51"/>
        <v>27</v>
      </c>
    </row>
    <row r="842" spans="1:10" ht="16.95" customHeight="1">
      <c r="A842" s="75">
        <v>12</v>
      </c>
      <c r="B842" s="80" t="s">
        <v>102</v>
      </c>
      <c r="C842" s="77" t="s">
        <v>50</v>
      </c>
      <c r="D842" s="78">
        <v>5</v>
      </c>
      <c r="E842" s="79"/>
      <c r="F842" s="79" t="e">
        <f t="shared" si="52"/>
        <v>#REF!</v>
      </c>
      <c r="G842" s="2"/>
      <c r="H842" s="37">
        <v>1455</v>
      </c>
      <c r="I842" s="4">
        <f t="shared" si="53"/>
        <v>0</v>
      </c>
      <c r="J842" s="25">
        <f t="shared" si="51"/>
        <v>27</v>
      </c>
    </row>
    <row r="843" spans="1:10" ht="16.95" customHeight="1">
      <c r="A843" s="75">
        <v>13</v>
      </c>
      <c r="B843" s="80" t="s">
        <v>103</v>
      </c>
      <c r="C843" s="77" t="s">
        <v>50</v>
      </c>
      <c r="D843" s="78">
        <v>217</v>
      </c>
      <c r="E843" s="79"/>
      <c r="F843" s="79" t="e">
        <f t="shared" si="52"/>
        <v>#REF!</v>
      </c>
      <c r="G843" s="2"/>
      <c r="H843" s="37">
        <v>1410</v>
      </c>
      <c r="I843" s="4">
        <f t="shared" si="53"/>
        <v>0</v>
      </c>
      <c r="J843" s="25">
        <f t="shared" si="51"/>
        <v>27</v>
      </c>
    </row>
    <row r="844" spans="1:10" ht="16.95" customHeight="1">
      <c r="A844" s="75">
        <v>14</v>
      </c>
      <c r="B844" s="80" t="s">
        <v>104</v>
      </c>
      <c r="C844" s="77" t="s">
        <v>49</v>
      </c>
      <c r="D844" s="78">
        <v>84</v>
      </c>
      <c r="E844" s="79"/>
      <c r="F844" s="79" t="e">
        <f t="shared" si="52"/>
        <v>#REF!</v>
      </c>
      <c r="G844" s="2"/>
      <c r="H844" s="37">
        <v>529</v>
      </c>
      <c r="I844" s="4">
        <f t="shared" si="53"/>
        <v>0</v>
      </c>
      <c r="J844" s="25">
        <f t="shared" si="51"/>
        <v>27</v>
      </c>
    </row>
    <row r="845" spans="1:10" ht="16.95" customHeight="1">
      <c r="A845" s="75">
        <v>15</v>
      </c>
      <c r="B845" s="80" t="s">
        <v>105</v>
      </c>
      <c r="C845" s="77" t="s">
        <v>50</v>
      </c>
      <c r="D845" s="78">
        <v>1</v>
      </c>
      <c r="E845" s="79"/>
      <c r="F845" s="79" t="e">
        <f t="shared" si="52"/>
        <v>#REF!</v>
      </c>
      <c r="G845" s="2"/>
      <c r="H845" s="37">
        <v>1146</v>
      </c>
      <c r="I845" s="4">
        <f t="shared" si="53"/>
        <v>0</v>
      </c>
      <c r="J845" s="25">
        <f t="shared" si="51"/>
        <v>27</v>
      </c>
    </row>
    <row r="846" spans="1:10" ht="34.799999999999997" customHeight="1">
      <c r="A846" s="75">
        <v>16</v>
      </c>
      <c r="B846" s="80" t="s">
        <v>106</v>
      </c>
      <c r="C846" s="77" t="s">
        <v>50</v>
      </c>
      <c r="D846" s="78">
        <v>314</v>
      </c>
      <c r="E846" s="79"/>
      <c r="F846" s="79" t="e">
        <f t="shared" si="52"/>
        <v>#REF!</v>
      </c>
      <c r="G846" s="2"/>
      <c r="H846" s="37">
        <v>185</v>
      </c>
      <c r="I846" s="4">
        <f t="shared" si="53"/>
        <v>0</v>
      </c>
      <c r="J846" s="25">
        <f t="shared" si="51"/>
        <v>27</v>
      </c>
    </row>
    <row r="847" spans="1:10" ht="16.95" customHeight="1">
      <c r="A847" s="75">
        <v>17</v>
      </c>
      <c r="B847" s="80" t="s">
        <v>107</v>
      </c>
      <c r="C847" s="77" t="s">
        <v>48</v>
      </c>
      <c r="D847" s="78">
        <v>1</v>
      </c>
      <c r="E847" s="79"/>
      <c r="F847" s="79" t="e">
        <f t="shared" si="52"/>
        <v>#REF!</v>
      </c>
      <c r="G847" s="2"/>
      <c r="H847" s="37">
        <v>89918</v>
      </c>
      <c r="I847" s="4">
        <f t="shared" si="53"/>
        <v>0</v>
      </c>
      <c r="J847" s="25">
        <f t="shared" si="51"/>
        <v>27</v>
      </c>
    </row>
    <row r="848" spans="1:10" ht="16.95" customHeight="1">
      <c r="A848" s="75">
        <v>18</v>
      </c>
      <c r="B848" s="80" t="s">
        <v>108</v>
      </c>
      <c r="C848" s="77" t="s">
        <v>120</v>
      </c>
      <c r="D848" s="78">
        <v>15</v>
      </c>
      <c r="E848" s="79"/>
      <c r="F848" s="79" t="e">
        <f t="shared" si="52"/>
        <v>#REF!</v>
      </c>
      <c r="G848" s="2"/>
      <c r="H848" s="37">
        <v>661</v>
      </c>
      <c r="I848" s="4">
        <f t="shared" si="53"/>
        <v>0</v>
      </c>
      <c r="J848" s="25">
        <f t="shared" si="51"/>
        <v>27</v>
      </c>
    </row>
    <row r="849" spans="1:10" ht="16.95" customHeight="1">
      <c r="A849" s="75">
        <v>19</v>
      </c>
      <c r="B849" s="80" t="s">
        <v>109</v>
      </c>
      <c r="C849" s="77" t="s">
        <v>50</v>
      </c>
      <c r="D849" s="78">
        <v>82</v>
      </c>
      <c r="E849" s="79"/>
      <c r="F849" s="79" t="e">
        <f t="shared" si="52"/>
        <v>#REF!</v>
      </c>
      <c r="G849" s="2"/>
      <c r="H849" s="37">
        <v>2909</v>
      </c>
      <c r="I849" s="4">
        <f t="shared" si="53"/>
        <v>0</v>
      </c>
      <c r="J849" s="25">
        <f t="shared" si="51"/>
        <v>27</v>
      </c>
    </row>
    <row r="850" spans="1:10" ht="16.95" customHeight="1">
      <c r="A850" s="75">
        <v>20</v>
      </c>
      <c r="B850" s="80" t="s">
        <v>110</v>
      </c>
      <c r="C850" s="77" t="s">
        <v>121</v>
      </c>
      <c r="D850" s="78">
        <v>12</v>
      </c>
      <c r="E850" s="79"/>
      <c r="F850" s="79" t="e">
        <f t="shared" si="52"/>
        <v>#REF!</v>
      </c>
      <c r="G850" s="2"/>
      <c r="H850" s="37">
        <v>882</v>
      </c>
      <c r="I850" s="4">
        <f t="shared" si="53"/>
        <v>0</v>
      </c>
      <c r="J850" s="25">
        <f t="shared" si="51"/>
        <v>27</v>
      </c>
    </row>
    <row r="851" spans="1:10" ht="16.95" customHeight="1">
      <c r="A851" s="77">
        <v>21</v>
      </c>
      <c r="B851" s="80" t="s">
        <v>111</v>
      </c>
      <c r="C851" s="77" t="s">
        <v>122</v>
      </c>
      <c r="D851" s="78">
        <v>3</v>
      </c>
      <c r="E851" s="79"/>
      <c r="F851" s="79" t="e">
        <f t="shared" si="52"/>
        <v>#REF!</v>
      </c>
      <c r="G851" s="2"/>
      <c r="H851" s="38">
        <v>1869</v>
      </c>
      <c r="I851" s="4">
        <f t="shared" si="53"/>
        <v>0</v>
      </c>
      <c r="J851" s="25">
        <f t="shared" si="51"/>
        <v>27</v>
      </c>
    </row>
    <row r="852" spans="1:10" ht="34.950000000000003" customHeight="1">
      <c r="A852" s="75">
        <v>22</v>
      </c>
      <c r="B852" s="80" t="s">
        <v>112</v>
      </c>
      <c r="C852" s="77" t="s">
        <v>48</v>
      </c>
      <c r="D852" s="78">
        <v>1</v>
      </c>
      <c r="E852" s="79"/>
      <c r="F852" s="79" t="e">
        <f t="shared" si="52"/>
        <v>#REF!</v>
      </c>
      <c r="G852" s="2"/>
      <c r="H852" s="37">
        <v>82206</v>
      </c>
      <c r="I852" s="4">
        <f t="shared" si="53"/>
        <v>0</v>
      </c>
      <c r="J852" s="25">
        <f t="shared" si="51"/>
        <v>27</v>
      </c>
    </row>
    <row r="853" spans="1:10" ht="16.95" customHeight="1">
      <c r="A853" s="75">
        <v>23</v>
      </c>
      <c r="B853" s="80" t="s">
        <v>113</v>
      </c>
      <c r="C853" s="77" t="s">
        <v>48</v>
      </c>
      <c r="D853" s="78">
        <v>1</v>
      </c>
      <c r="E853" s="79"/>
      <c r="F853" s="79" t="e">
        <f t="shared" si="52"/>
        <v>#REF!</v>
      </c>
      <c r="G853" s="2"/>
      <c r="H853" s="37">
        <v>142723</v>
      </c>
      <c r="I853" s="4">
        <f t="shared" si="53"/>
        <v>0</v>
      </c>
      <c r="J853" s="25">
        <f t="shared" si="51"/>
        <v>27</v>
      </c>
    </row>
    <row r="854" spans="1:10" ht="16.95" customHeight="1">
      <c r="A854" s="75">
        <v>24</v>
      </c>
      <c r="B854" s="80" t="s">
        <v>114</v>
      </c>
      <c r="C854" s="77" t="s">
        <v>48</v>
      </c>
      <c r="D854" s="78">
        <v>1</v>
      </c>
      <c r="E854" s="79"/>
      <c r="F854" s="79" t="e">
        <f t="shared" si="52"/>
        <v>#REF!</v>
      </c>
      <c r="G854" s="2"/>
      <c r="H854" s="37">
        <v>37290</v>
      </c>
      <c r="I854" s="4">
        <f t="shared" si="53"/>
        <v>0</v>
      </c>
      <c r="J854" s="25">
        <f t="shared" si="51"/>
        <v>27</v>
      </c>
    </row>
    <row r="855" spans="1:10" ht="16.95" customHeight="1">
      <c r="A855" s="75">
        <v>25</v>
      </c>
      <c r="B855" s="80" t="s">
        <v>115</v>
      </c>
      <c r="C855" s="77" t="s">
        <v>48</v>
      </c>
      <c r="D855" s="78">
        <v>1</v>
      </c>
      <c r="E855" s="79"/>
      <c r="F855" s="79" t="e">
        <f t="shared" si="52"/>
        <v>#REF!</v>
      </c>
      <c r="G855" s="2"/>
      <c r="H855" s="37">
        <v>99394</v>
      </c>
      <c r="I855" s="4">
        <f t="shared" si="53"/>
        <v>0</v>
      </c>
      <c r="J855" s="25">
        <f t="shared" si="51"/>
        <v>27</v>
      </c>
    </row>
    <row r="856" spans="1:10" ht="34.950000000000003" customHeight="1">
      <c r="A856" s="75">
        <v>26</v>
      </c>
      <c r="B856" s="80" t="s">
        <v>116</v>
      </c>
      <c r="C856" s="77" t="s">
        <v>48</v>
      </c>
      <c r="D856" s="78">
        <v>1</v>
      </c>
      <c r="E856" s="79"/>
      <c r="F856" s="79" t="e">
        <f t="shared" si="52"/>
        <v>#REF!</v>
      </c>
      <c r="G856" s="2"/>
      <c r="H856" s="37">
        <v>21334</v>
      </c>
      <c r="I856" s="4">
        <f t="shared" si="53"/>
        <v>0</v>
      </c>
      <c r="J856" s="25">
        <f t="shared" si="51"/>
        <v>27</v>
      </c>
    </row>
    <row r="857" spans="1:10" ht="16.95" customHeight="1">
      <c r="A857" s="75">
        <v>27</v>
      </c>
      <c r="B857" s="80" t="s">
        <v>117</v>
      </c>
      <c r="C857" s="77" t="s">
        <v>48</v>
      </c>
      <c r="D857" s="78">
        <v>1</v>
      </c>
      <c r="E857" s="79"/>
      <c r="F857" s="79" t="e">
        <f t="shared" si="52"/>
        <v>#REF!</v>
      </c>
      <c r="G857" s="2"/>
      <c r="H857" s="37">
        <v>29620</v>
      </c>
      <c r="I857" s="4">
        <f t="shared" si="53"/>
        <v>0</v>
      </c>
      <c r="J857" s="25">
        <f t="shared" si="51"/>
        <v>27</v>
      </c>
    </row>
    <row r="858" spans="1:10" ht="16.95" customHeight="1">
      <c r="A858" s="75">
        <v>28</v>
      </c>
      <c r="B858" s="80" t="s">
        <v>118</v>
      </c>
      <c r="C858" s="77" t="s">
        <v>48</v>
      </c>
      <c r="D858" s="78">
        <v>1</v>
      </c>
      <c r="E858" s="79"/>
      <c r="F858" s="79" t="e">
        <f t="shared" si="52"/>
        <v>#REF!</v>
      </c>
      <c r="G858" s="2"/>
      <c r="H858" s="37">
        <v>18506</v>
      </c>
      <c r="I858" s="4">
        <f t="shared" si="53"/>
        <v>0</v>
      </c>
      <c r="J858" s="25">
        <f t="shared" si="51"/>
        <v>27</v>
      </c>
    </row>
    <row r="859" spans="1:10" ht="16.95" customHeight="1">
      <c r="A859" s="75">
        <v>29</v>
      </c>
      <c r="B859" s="80" t="s">
        <v>119</v>
      </c>
      <c r="C859" s="77" t="s">
        <v>48</v>
      </c>
      <c r="D859" s="78">
        <v>1</v>
      </c>
      <c r="E859" s="79"/>
      <c r="F859" s="79" t="e">
        <f t="shared" si="52"/>
        <v>#REF!</v>
      </c>
      <c r="G859" s="2"/>
      <c r="H859" s="37">
        <v>34381</v>
      </c>
      <c r="I859" s="4">
        <f t="shared" si="53"/>
        <v>0</v>
      </c>
      <c r="J859" s="25">
        <f t="shared" si="51"/>
        <v>27</v>
      </c>
    </row>
    <row r="860" spans="1:10" ht="16.95" customHeight="1">
      <c r="A860" s="75" t="s">
        <v>79</v>
      </c>
      <c r="B860" s="80" t="s">
        <v>80</v>
      </c>
      <c r="C860" s="77" t="s">
        <v>48</v>
      </c>
      <c r="D860" s="78">
        <v>1</v>
      </c>
      <c r="E860" s="79">
        <f t="shared" ref="E860:E863" si="54">1/120</f>
        <v>8.3333333333333332E-3</v>
      </c>
      <c r="F860" s="79" t="e">
        <f t="shared" si="52"/>
        <v>#REF!</v>
      </c>
      <c r="G860" s="2"/>
      <c r="H860" s="37">
        <v>21395</v>
      </c>
      <c r="I860" s="4">
        <f t="shared" si="53"/>
        <v>178.29166666666666</v>
      </c>
      <c r="J860" s="25">
        <f t="shared" si="51"/>
        <v>27</v>
      </c>
    </row>
    <row r="861" spans="1:10" ht="16.95" customHeight="1">
      <c r="A861" s="75" t="s">
        <v>81</v>
      </c>
      <c r="B861" s="80" t="s">
        <v>82</v>
      </c>
      <c r="C861" s="77" t="s">
        <v>48</v>
      </c>
      <c r="D861" s="78">
        <v>1</v>
      </c>
      <c r="E861" s="79">
        <f t="shared" si="54"/>
        <v>8.3333333333333332E-3</v>
      </c>
      <c r="F861" s="79" t="e">
        <f t="shared" si="52"/>
        <v>#REF!</v>
      </c>
      <c r="G861" s="2"/>
      <c r="H861" s="37">
        <v>21395</v>
      </c>
      <c r="I861" s="4">
        <f t="shared" si="53"/>
        <v>178.29166666666666</v>
      </c>
      <c r="J861" s="25">
        <f t="shared" si="51"/>
        <v>27</v>
      </c>
    </row>
    <row r="862" spans="1:10" ht="16.95" customHeight="1">
      <c r="A862" s="75" t="s">
        <v>83</v>
      </c>
      <c r="B862" s="80" t="s">
        <v>84</v>
      </c>
      <c r="C862" s="77" t="s">
        <v>48</v>
      </c>
      <c r="D862" s="78">
        <v>1</v>
      </c>
      <c r="E862" s="79">
        <f t="shared" si="54"/>
        <v>8.3333333333333332E-3</v>
      </c>
      <c r="F862" s="79" t="e">
        <f t="shared" si="52"/>
        <v>#REF!</v>
      </c>
      <c r="G862" s="2"/>
      <c r="H862" s="37">
        <v>149765</v>
      </c>
      <c r="I862" s="4">
        <f t="shared" si="53"/>
        <v>1248.0416666666667</v>
      </c>
      <c r="J862" s="25">
        <f t="shared" si="51"/>
        <v>27</v>
      </c>
    </row>
    <row r="863" spans="1:10" ht="16.95" customHeight="1">
      <c r="A863" s="75" t="s">
        <v>85</v>
      </c>
      <c r="B863" s="80" t="s">
        <v>86</v>
      </c>
      <c r="C863" s="77" t="s">
        <v>48</v>
      </c>
      <c r="D863" s="78">
        <v>1</v>
      </c>
      <c r="E863" s="79">
        <f t="shared" si="54"/>
        <v>8.3333333333333332E-3</v>
      </c>
      <c r="F863" s="79" t="e">
        <f t="shared" si="52"/>
        <v>#REF!</v>
      </c>
      <c r="G863" s="2"/>
      <c r="H863" s="37">
        <v>6996</v>
      </c>
      <c r="I863" s="4">
        <f t="shared" si="53"/>
        <v>58.3</v>
      </c>
      <c r="J863" s="25">
        <f t="shared" si="51"/>
        <v>27</v>
      </c>
    </row>
    <row r="864" spans="1:10" ht="16.95" customHeight="1">
      <c r="A864" s="75" t="s">
        <v>87</v>
      </c>
      <c r="B864" s="80" t="s">
        <v>88</v>
      </c>
      <c r="C864" s="77" t="s">
        <v>48</v>
      </c>
      <c r="D864" s="78">
        <v>1</v>
      </c>
      <c r="E864" s="79">
        <f>1/120</f>
        <v>8.3333333333333332E-3</v>
      </c>
      <c r="F864" s="79" t="e">
        <f t="shared" si="52"/>
        <v>#REF!</v>
      </c>
      <c r="G864" s="2"/>
      <c r="H864" s="37">
        <v>116952</v>
      </c>
      <c r="I864" s="4">
        <f t="shared" si="53"/>
        <v>974.6</v>
      </c>
      <c r="J864" s="25">
        <f t="shared" si="51"/>
        <v>27</v>
      </c>
    </row>
    <row r="865" spans="1:10" ht="16.95" customHeight="1">
      <c r="A865" s="95" t="s">
        <v>23</v>
      </c>
      <c r="B865" s="95"/>
      <c r="C865" s="50"/>
      <c r="D865" s="50"/>
      <c r="E865" s="50"/>
      <c r="F865" s="50"/>
      <c r="G865" s="50"/>
      <c r="H865" s="3" t="s">
        <v>24</v>
      </c>
      <c r="I865" s="5">
        <f>SUM(I830:I864)</f>
        <v>2637.5250000000001</v>
      </c>
      <c r="J865" s="25">
        <f t="shared" si="51"/>
        <v>27</v>
      </c>
    </row>
    <row r="866" spans="1:10" ht="16.95" customHeight="1">
      <c r="A866" s="96" t="s">
        <v>25</v>
      </c>
      <c r="B866" s="96"/>
      <c r="C866" s="50"/>
      <c r="D866" s="50"/>
      <c r="E866" s="50"/>
      <c r="F866" s="50"/>
      <c r="G866" s="50"/>
      <c r="J866" s="25">
        <f t="shared" si="51"/>
        <v>27</v>
      </c>
    </row>
    <row r="867" spans="1:10" ht="16.95" customHeight="1">
      <c r="A867" s="96" t="s">
        <v>26</v>
      </c>
      <c r="B867" s="96"/>
      <c r="C867" s="50"/>
      <c r="D867" s="50"/>
      <c r="E867" s="50"/>
      <c r="F867" s="50"/>
      <c r="G867" s="50"/>
      <c r="J867" s="25">
        <f t="shared" si="51"/>
        <v>27</v>
      </c>
    </row>
    <row r="868" spans="1:10" ht="16.95" customHeight="1">
      <c r="A868" s="95" t="s">
        <v>27</v>
      </c>
      <c r="B868" s="95"/>
      <c r="C868" s="95"/>
      <c r="D868" s="95"/>
      <c r="E868" s="95"/>
      <c r="F868" s="95"/>
      <c r="G868" s="95"/>
      <c r="J868" s="25">
        <f t="shared" si="51"/>
        <v>27</v>
      </c>
    </row>
    <row r="869" spans="1:10" ht="16.95" customHeight="1">
      <c r="A869" s="94" t="s">
        <v>28</v>
      </c>
      <c r="B869" s="94"/>
      <c r="C869" s="51" t="s">
        <v>29</v>
      </c>
      <c r="D869" s="51" t="s">
        <v>30</v>
      </c>
      <c r="E869" s="51" t="s">
        <v>18</v>
      </c>
      <c r="F869" s="51" t="s">
        <v>31</v>
      </c>
      <c r="G869" s="51" t="s">
        <v>20</v>
      </c>
      <c r="J869" s="25">
        <f t="shared" si="51"/>
        <v>27</v>
      </c>
    </row>
    <row r="870" spans="1:10" ht="16.95" customHeight="1">
      <c r="A870" s="96"/>
      <c r="B870" s="96"/>
      <c r="C870" s="50"/>
      <c r="D870" s="50"/>
      <c r="E870" s="50"/>
      <c r="F870" s="50"/>
      <c r="G870" s="51"/>
      <c r="J870" s="25">
        <f t="shared" si="51"/>
        <v>27</v>
      </c>
    </row>
    <row r="871" spans="1:10" ht="16.95" customHeight="1">
      <c r="A871" s="97"/>
      <c r="B871" s="97"/>
      <c r="C871" s="50"/>
      <c r="D871" s="50"/>
      <c r="E871" s="50"/>
      <c r="F871" s="51"/>
      <c r="G871" s="51"/>
      <c r="J871" s="25">
        <f t="shared" si="51"/>
        <v>27</v>
      </c>
    </row>
    <row r="872" spans="1:10" ht="16.95" customHeight="1">
      <c r="A872" s="95" t="s">
        <v>32</v>
      </c>
      <c r="B872" s="95"/>
      <c r="C872" s="95"/>
      <c r="D872" s="95"/>
      <c r="E872" s="95"/>
      <c r="F872" s="95"/>
      <c r="G872" s="95"/>
      <c r="J872" s="25">
        <f t="shared" si="51"/>
        <v>28</v>
      </c>
    </row>
    <row r="873" spans="1:10" ht="16.95" customHeight="1">
      <c r="A873" s="51" t="s">
        <v>33</v>
      </c>
      <c r="B873" s="51" t="s">
        <v>34</v>
      </c>
      <c r="C873" s="94" t="s">
        <v>35</v>
      </c>
      <c r="D873" s="94"/>
      <c r="E873" s="51" t="s">
        <v>36</v>
      </c>
      <c r="F873" s="51" t="s">
        <v>37</v>
      </c>
      <c r="G873" s="51" t="s">
        <v>38</v>
      </c>
      <c r="J873" s="25">
        <f t="shared" si="51"/>
        <v>28</v>
      </c>
    </row>
    <row r="874" spans="1:10" ht="16.95" customHeight="1">
      <c r="A874" s="51" t="s">
        <v>39</v>
      </c>
      <c r="B874" s="6"/>
      <c r="C874" s="94" t="e">
        <f>B874+C811</f>
        <v>#REF!</v>
      </c>
      <c r="D874" s="94"/>
      <c r="E874" s="51"/>
      <c r="F874" s="24"/>
      <c r="G874" s="24"/>
      <c r="J874" s="25">
        <f t="shared" si="51"/>
        <v>28</v>
      </c>
    </row>
    <row r="875" spans="1:10" ht="16.95" customHeight="1">
      <c r="A875" s="51" t="s">
        <v>40</v>
      </c>
      <c r="B875" s="6"/>
      <c r="C875" s="94" t="e">
        <f>B875+C812</f>
        <v>#REF!</v>
      </c>
      <c r="D875" s="94"/>
      <c r="E875" s="51"/>
      <c r="F875" s="24"/>
      <c r="G875" s="24"/>
      <c r="J875" s="25">
        <f t="shared" si="51"/>
        <v>28</v>
      </c>
    </row>
    <row r="876" spans="1:10" ht="36.6" customHeight="1">
      <c r="A876" s="95" t="s">
        <v>41</v>
      </c>
      <c r="B876" s="95"/>
      <c r="C876" s="95"/>
      <c r="D876" s="95"/>
      <c r="E876" s="95"/>
      <c r="F876" s="95"/>
      <c r="G876" s="95"/>
      <c r="J876" s="25">
        <f t="shared" si="51"/>
        <v>28</v>
      </c>
    </row>
    <row r="877" spans="1:10" ht="90" customHeight="1">
      <c r="A877" s="92" t="s">
        <v>42</v>
      </c>
      <c r="B877" s="92"/>
      <c r="C877" s="92"/>
      <c r="D877" s="92"/>
      <c r="E877" s="92"/>
      <c r="F877" s="92"/>
      <c r="G877" s="92"/>
      <c r="J877" s="25">
        <f t="shared" si="51"/>
        <v>28</v>
      </c>
    </row>
    <row r="878" spans="1:10" ht="16.95" customHeight="1">
      <c r="A878" s="95" t="s">
        <v>43</v>
      </c>
      <c r="B878" s="95"/>
      <c r="C878" s="95"/>
      <c r="D878" s="95"/>
      <c r="E878" s="95"/>
      <c r="F878" s="95"/>
      <c r="G878" s="95"/>
      <c r="J878" s="25">
        <f t="shared" si="51"/>
        <v>28</v>
      </c>
    </row>
    <row r="879" spans="1:10" ht="16.95" customHeight="1">
      <c r="A879" s="95" t="s">
        <v>44</v>
      </c>
      <c r="B879" s="95"/>
      <c r="C879" s="95"/>
      <c r="D879" s="95"/>
      <c r="E879" s="95"/>
      <c r="F879" s="95"/>
      <c r="G879" s="95"/>
      <c r="J879" s="25">
        <f t="shared" si="51"/>
        <v>28</v>
      </c>
    </row>
    <row r="880" spans="1:10" ht="16.95" customHeight="1">
      <c r="A880" s="91" t="s">
        <v>64</v>
      </c>
      <c r="B880" s="91"/>
      <c r="C880" s="91"/>
      <c r="D880" s="91"/>
      <c r="E880" s="91"/>
      <c r="F880" s="91"/>
      <c r="G880" s="91"/>
      <c r="J880" s="25">
        <f t="shared" si="51"/>
        <v>28</v>
      </c>
    </row>
    <row r="881" spans="1:10" ht="120.6" customHeight="1">
      <c r="A881" s="92" t="s">
        <v>45</v>
      </c>
      <c r="B881" s="92"/>
      <c r="C881" s="92"/>
      <c r="D881" s="92"/>
      <c r="E881" s="92"/>
      <c r="F881" s="92"/>
      <c r="G881" s="92"/>
      <c r="J881" s="25">
        <f t="shared" si="51"/>
        <v>28</v>
      </c>
    </row>
    <row r="882" spans="1:10" ht="140.4" customHeight="1">
      <c r="A882" s="93" t="s">
        <v>46</v>
      </c>
      <c r="B882" s="93"/>
      <c r="C882" s="93"/>
      <c r="D882" s="93"/>
      <c r="E882" s="93"/>
      <c r="F882" s="93"/>
      <c r="G882" s="93"/>
      <c r="J882" s="25">
        <f t="shared" si="51"/>
        <v>28</v>
      </c>
    </row>
    <row r="883" spans="1:10" ht="37.200000000000003" customHeight="1">
      <c r="A883" s="103" t="s">
        <v>0</v>
      </c>
      <c r="B883" s="103"/>
      <c r="C883" s="103"/>
      <c r="D883" s="103"/>
      <c r="E883" s="103"/>
      <c r="F883" s="103"/>
      <c r="G883" s="103"/>
      <c r="J883" s="25">
        <f t="shared" si="51"/>
        <v>29</v>
      </c>
    </row>
    <row r="884" spans="1:10" ht="16.95" customHeight="1">
      <c r="A884" s="1" t="s">
        <v>1</v>
      </c>
      <c r="B884" s="104">
        <f>B821+1</f>
        <v>16</v>
      </c>
      <c r="C884" s="104"/>
      <c r="D884" s="104"/>
      <c r="E884" s="104"/>
      <c r="F884" s="104"/>
      <c r="G884" s="104"/>
      <c r="J884" s="25">
        <f t="shared" si="51"/>
        <v>29</v>
      </c>
    </row>
    <row r="885" spans="1:10" ht="16.95" customHeight="1">
      <c r="A885" s="1" t="s">
        <v>2</v>
      </c>
      <c r="B885" s="105" t="s">
        <v>63</v>
      </c>
      <c r="C885" s="105"/>
      <c r="D885" s="105"/>
      <c r="E885" s="106">
        <f>E822+1</f>
        <v>46218</v>
      </c>
      <c r="F885" s="106"/>
      <c r="G885" s="106"/>
      <c r="J885" s="25">
        <f t="shared" si="51"/>
        <v>29</v>
      </c>
    </row>
    <row r="886" spans="1:10" ht="16.95" customHeight="1">
      <c r="A886" s="53" t="s">
        <v>3</v>
      </c>
      <c r="B886" s="2" t="s">
        <v>67</v>
      </c>
      <c r="C886" s="98" t="s">
        <v>4</v>
      </c>
      <c r="D886" s="98"/>
      <c r="E886" s="98" t="s">
        <v>47</v>
      </c>
      <c r="F886" s="98"/>
      <c r="G886" s="98"/>
      <c r="J886" s="25">
        <f t="shared" si="51"/>
        <v>29</v>
      </c>
    </row>
    <row r="887" spans="1:10" ht="16.95" customHeight="1">
      <c r="A887" s="53" t="s">
        <v>5</v>
      </c>
      <c r="B887" s="54">
        <v>120</v>
      </c>
      <c r="C887" s="98" t="s">
        <v>6</v>
      </c>
      <c r="D887" s="98"/>
      <c r="E887" s="98" t="s">
        <v>123</v>
      </c>
      <c r="F887" s="98"/>
      <c r="G887" s="98"/>
      <c r="J887" s="25">
        <f t="shared" si="51"/>
        <v>29</v>
      </c>
    </row>
    <row r="888" spans="1:10" ht="16.95" customHeight="1">
      <c r="A888" s="53" t="s">
        <v>7</v>
      </c>
      <c r="B888" s="54">
        <f>B884</f>
        <v>16</v>
      </c>
      <c r="C888" s="100" t="s">
        <v>8</v>
      </c>
      <c r="D888" s="100"/>
      <c r="E888" s="101">
        <f>B887-B888</f>
        <v>104</v>
      </c>
      <c r="F888" s="101"/>
      <c r="G888" s="101"/>
      <c r="J888" s="25">
        <f t="shared" si="51"/>
        <v>29</v>
      </c>
    </row>
    <row r="889" spans="1:10" ht="16.95" customHeight="1">
      <c r="A889" s="53" t="s">
        <v>9</v>
      </c>
      <c r="B889" s="55">
        <v>46204</v>
      </c>
      <c r="C889" s="98" t="s">
        <v>10</v>
      </c>
      <c r="D889" s="98"/>
      <c r="E889" s="102">
        <f>B889+B887-1</f>
        <v>46323</v>
      </c>
      <c r="F889" s="102"/>
      <c r="G889" s="102"/>
      <c r="J889" s="25">
        <f t="shared" si="51"/>
        <v>29</v>
      </c>
    </row>
    <row r="890" spans="1:10" ht="16.95" customHeight="1">
      <c r="A890" s="53" t="s">
        <v>11</v>
      </c>
      <c r="B890" s="56" t="e">
        <f>HLOOKUP(B884,進度表!$Q$2:$Z$3,2,1)+B827</f>
        <v>#REF!</v>
      </c>
      <c r="C890" s="98" t="s">
        <v>12</v>
      </c>
      <c r="D890" s="98"/>
      <c r="E890" s="99" t="e">
        <f>I928/I890+E827</f>
        <v>#REF!</v>
      </c>
      <c r="F890" s="99"/>
      <c r="G890" s="99"/>
      <c r="H890" s="3" t="s">
        <v>62</v>
      </c>
      <c r="I890" s="1">
        <v>2456000</v>
      </c>
      <c r="J890" s="25">
        <f t="shared" si="51"/>
        <v>29</v>
      </c>
    </row>
    <row r="891" spans="1:10" ht="16.95" customHeight="1">
      <c r="A891" s="98" t="s">
        <v>13</v>
      </c>
      <c r="B891" s="98"/>
      <c r="C891" s="98"/>
      <c r="D891" s="98"/>
      <c r="E891" s="98"/>
      <c r="F891" s="98"/>
      <c r="G891" s="98"/>
      <c r="J891" s="25">
        <f t="shared" ref="J891:J954" si="55">J828+2</f>
        <v>29</v>
      </c>
    </row>
    <row r="892" spans="1:10" ht="16.95" customHeight="1">
      <c r="A892" s="52" t="s">
        <v>14</v>
      </c>
      <c r="B892" s="52" t="s">
        <v>15</v>
      </c>
      <c r="C892" s="52" t="s">
        <v>16</v>
      </c>
      <c r="D892" s="52" t="s">
        <v>17</v>
      </c>
      <c r="E892" s="52" t="s">
        <v>18</v>
      </c>
      <c r="F892" s="52" t="s">
        <v>19</v>
      </c>
      <c r="G892" s="52" t="s">
        <v>20</v>
      </c>
      <c r="H892" s="3" t="s">
        <v>21</v>
      </c>
      <c r="I892" s="3" t="s">
        <v>22</v>
      </c>
      <c r="J892" s="25">
        <f t="shared" si="55"/>
        <v>29</v>
      </c>
    </row>
    <row r="893" spans="1:10" ht="16.95" customHeight="1">
      <c r="A893" s="75" t="s">
        <v>65</v>
      </c>
      <c r="B893" s="76" t="s">
        <v>69</v>
      </c>
      <c r="C893" s="77"/>
      <c r="D893" s="78"/>
      <c r="E893" s="79"/>
      <c r="F893" s="79"/>
      <c r="G893" s="2"/>
      <c r="H893" s="37"/>
      <c r="I893" s="4"/>
      <c r="J893" s="25">
        <f t="shared" si="55"/>
        <v>29</v>
      </c>
    </row>
    <row r="894" spans="1:10" ht="34.950000000000003" customHeight="1">
      <c r="A894" s="75">
        <v>1</v>
      </c>
      <c r="B894" s="80" t="s">
        <v>91</v>
      </c>
      <c r="C894" s="77" t="s">
        <v>48</v>
      </c>
      <c r="D894" s="78">
        <v>1</v>
      </c>
      <c r="E894" s="79"/>
      <c r="F894" s="79" t="e">
        <f t="shared" ref="F894:F927" si="56">E894+F831</f>
        <v>#REF!</v>
      </c>
      <c r="G894" s="2"/>
      <c r="H894" s="37">
        <v>10508</v>
      </c>
      <c r="I894" s="4">
        <f>H894*E894</f>
        <v>0</v>
      </c>
      <c r="J894" s="25">
        <f t="shared" si="55"/>
        <v>29</v>
      </c>
    </row>
    <row r="895" spans="1:10" ht="34.799999999999997" customHeight="1">
      <c r="A895" s="75">
        <v>2</v>
      </c>
      <c r="B895" s="80" t="s">
        <v>92</v>
      </c>
      <c r="C895" s="77" t="s">
        <v>48</v>
      </c>
      <c r="D895" s="78">
        <v>1</v>
      </c>
      <c r="E895" s="79"/>
      <c r="F895" s="79" t="e">
        <f t="shared" si="56"/>
        <v>#REF!</v>
      </c>
      <c r="G895" s="2"/>
      <c r="H895" s="37">
        <v>13223</v>
      </c>
      <c r="I895" s="4">
        <f>H895*E895</f>
        <v>0</v>
      </c>
      <c r="J895" s="25">
        <f t="shared" si="55"/>
        <v>29</v>
      </c>
    </row>
    <row r="896" spans="1:10" ht="53.4" customHeight="1">
      <c r="A896" s="75">
        <v>3</v>
      </c>
      <c r="B896" s="80" t="s">
        <v>93</v>
      </c>
      <c r="C896" s="77" t="s">
        <v>48</v>
      </c>
      <c r="D896" s="78">
        <v>1</v>
      </c>
      <c r="E896" s="79"/>
      <c r="F896" s="79" t="e">
        <f t="shared" si="56"/>
        <v>#REF!</v>
      </c>
      <c r="G896" s="2"/>
      <c r="H896" s="37">
        <v>310497</v>
      </c>
      <c r="I896" s="4">
        <f t="shared" ref="I896:I927" si="57">H896*E896</f>
        <v>0</v>
      </c>
      <c r="J896" s="25">
        <f t="shared" si="55"/>
        <v>29</v>
      </c>
    </row>
    <row r="897" spans="1:10" ht="16.95" customHeight="1">
      <c r="A897" s="75">
        <v>4</v>
      </c>
      <c r="B897" s="80" t="s">
        <v>94</v>
      </c>
      <c r="C897" s="77" t="s">
        <v>48</v>
      </c>
      <c r="D897" s="78">
        <v>1</v>
      </c>
      <c r="E897" s="79"/>
      <c r="F897" s="79" t="e">
        <f t="shared" si="56"/>
        <v>#REF!</v>
      </c>
      <c r="G897" s="2"/>
      <c r="H897" s="37">
        <v>8375</v>
      </c>
      <c r="I897" s="4">
        <f t="shared" si="57"/>
        <v>0</v>
      </c>
      <c r="J897" s="25">
        <f t="shared" si="55"/>
        <v>29</v>
      </c>
    </row>
    <row r="898" spans="1:10" ht="16.95" customHeight="1">
      <c r="A898" s="75">
        <v>5</v>
      </c>
      <c r="B898" s="80" t="s">
        <v>95</v>
      </c>
      <c r="C898" s="77" t="s">
        <v>48</v>
      </c>
      <c r="D898" s="78">
        <v>1</v>
      </c>
      <c r="E898" s="79"/>
      <c r="F898" s="79" t="e">
        <f t="shared" si="56"/>
        <v>#REF!</v>
      </c>
      <c r="G898" s="2"/>
      <c r="H898" s="37">
        <v>51618</v>
      </c>
      <c r="I898" s="4">
        <f t="shared" si="57"/>
        <v>0</v>
      </c>
      <c r="J898" s="25">
        <f t="shared" si="55"/>
        <v>29</v>
      </c>
    </row>
    <row r="899" spans="1:10" ht="16.95" customHeight="1">
      <c r="A899" s="75">
        <v>6</v>
      </c>
      <c r="B899" s="80" t="s">
        <v>96</v>
      </c>
      <c r="C899" s="77" t="s">
        <v>50</v>
      </c>
      <c r="D899" s="78">
        <v>11.55</v>
      </c>
      <c r="E899" s="79"/>
      <c r="F899" s="79" t="e">
        <f t="shared" si="56"/>
        <v>#REF!</v>
      </c>
      <c r="G899" s="2"/>
      <c r="H899" s="37">
        <v>1188</v>
      </c>
      <c r="I899" s="4">
        <f t="shared" si="57"/>
        <v>0</v>
      </c>
      <c r="J899" s="25">
        <f t="shared" si="55"/>
        <v>29</v>
      </c>
    </row>
    <row r="900" spans="1:10" ht="34.950000000000003" customHeight="1">
      <c r="A900" s="75">
        <v>7</v>
      </c>
      <c r="B900" s="80" t="s">
        <v>97</v>
      </c>
      <c r="C900" s="77" t="s">
        <v>48</v>
      </c>
      <c r="D900" s="78">
        <v>1</v>
      </c>
      <c r="E900" s="79"/>
      <c r="F900" s="79" t="e">
        <f t="shared" si="56"/>
        <v>#REF!</v>
      </c>
      <c r="G900" s="2"/>
      <c r="H900" s="37">
        <v>21157</v>
      </c>
      <c r="I900" s="4">
        <f t="shared" si="57"/>
        <v>0</v>
      </c>
      <c r="J900" s="25">
        <f t="shared" si="55"/>
        <v>29</v>
      </c>
    </row>
    <row r="901" spans="1:10" ht="16.95" customHeight="1">
      <c r="A901" s="75">
        <v>8</v>
      </c>
      <c r="B901" s="80" t="s">
        <v>98</v>
      </c>
      <c r="C901" s="77" t="s">
        <v>50</v>
      </c>
      <c r="D901" s="78">
        <v>387</v>
      </c>
      <c r="E901" s="79"/>
      <c r="F901" s="79" t="e">
        <f t="shared" si="56"/>
        <v>#REF!</v>
      </c>
      <c r="G901" s="2"/>
      <c r="H901" s="37">
        <v>705</v>
      </c>
      <c r="I901" s="4">
        <f t="shared" si="57"/>
        <v>0</v>
      </c>
      <c r="J901" s="25">
        <f t="shared" si="55"/>
        <v>29</v>
      </c>
    </row>
    <row r="902" spans="1:10" ht="16.95" customHeight="1">
      <c r="A902" s="75">
        <v>9</v>
      </c>
      <c r="B902" s="80" t="s">
        <v>99</v>
      </c>
      <c r="C902" s="77" t="s">
        <v>50</v>
      </c>
      <c r="D902" s="78">
        <v>170</v>
      </c>
      <c r="E902" s="79"/>
      <c r="F902" s="79" t="e">
        <f t="shared" si="56"/>
        <v>#REF!</v>
      </c>
      <c r="G902" s="2"/>
      <c r="H902" s="37">
        <v>617</v>
      </c>
      <c r="I902" s="4">
        <f t="shared" si="57"/>
        <v>0</v>
      </c>
      <c r="J902" s="25">
        <f t="shared" si="55"/>
        <v>29</v>
      </c>
    </row>
    <row r="903" spans="1:10" ht="16.95" customHeight="1">
      <c r="A903" s="75">
        <v>10</v>
      </c>
      <c r="B903" s="80" t="s">
        <v>100</v>
      </c>
      <c r="C903" s="77" t="s">
        <v>66</v>
      </c>
      <c r="D903" s="78">
        <v>15</v>
      </c>
      <c r="E903" s="79"/>
      <c r="F903" s="79" t="e">
        <f t="shared" si="56"/>
        <v>#REF!</v>
      </c>
      <c r="G903" s="2"/>
      <c r="H903" s="37">
        <v>617</v>
      </c>
      <c r="I903" s="4">
        <f t="shared" si="57"/>
        <v>0</v>
      </c>
      <c r="J903" s="25">
        <f t="shared" si="55"/>
        <v>29</v>
      </c>
    </row>
    <row r="904" spans="1:10" ht="16.95" customHeight="1">
      <c r="A904" s="75">
        <v>11</v>
      </c>
      <c r="B904" s="80" t="s">
        <v>101</v>
      </c>
      <c r="C904" s="77" t="s">
        <v>50</v>
      </c>
      <c r="D904" s="78">
        <v>75</v>
      </c>
      <c r="E904" s="79"/>
      <c r="F904" s="79" t="e">
        <f t="shared" si="56"/>
        <v>#REF!</v>
      </c>
      <c r="G904" s="2"/>
      <c r="H904" s="37">
        <v>1146</v>
      </c>
      <c r="I904" s="4">
        <f t="shared" si="57"/>
        <v>0</v>
      </c>
      <c r="J904" s="25">
        <f t="shared" si="55"/>
        <v>29</v>
      </c>
    </row>
    <row r="905" spans="1:10" ht="16.95" customHeight="1">
      <c r="A905" s="75">
        <v>12</v>
      </c>
      <c r="B905" s="80" t="s">
        <v>102</v>
      </c>
      <c r="C905" s="77" t="s">
        <v>50</v>
      </c>
      <c r="D905" s="78">
        <v>5</v>
      </c>
      <c r="E905" s="79"/>
      <c r="F905" s="79" t="e">
        <f t="shared" si="56"/>
        <v>#REF!</v>
      </c>
      <c r="G905" s="2"/>
      <c r="H905" s="37">
        <v>1455</v>
      </c>
      <c r="I905" s="4">
        <f t="shared" si="57"/>
        <v>0</v>
      </c>
      <c r="J905" s="25">
        <f t="shared" si="55"/>
        <v>29</v>
      </c>
    </row>
    <row r="906" spans="1:10" ht="16.95" customHeight="1">
      <c r="A906" s="75">
        <v>13</v>
      </c>
      <c r="B906" s="80" t="s">
        <v>103</v>
      </c>
      <c r="C906" s="77" t="s">
        <v>50</v>
      </c>
      <c r="D906" s="78">
        <v>217</v>
      </c>
      <c r="E906" s="79"/>
      <c r="F906" s="79" t="e">
        <f t="shared" si="56"/>
        <v>#REF!</v>
      </c>
      <c r="G906" s="2"/>
      <c r="H906" s="37">
        <v>1410</v>
      </c>
      <c r="I906" s="4">
        <f t="shared" si="57"/>
        <v>0</v>
      </c>
      <c r="J906" s="25">
        <f t="shared" si="55"/>
        <v>29</v>
      </c>
    </row>
    <row r="907" spans="1:10" ht="16.95" customHeight="1">
      <c r="A907" s="75">
        <v>14</v>
      </c>
      <c r="B907" s="80" t="s">
        <v>104</v>
      </c>
      <c r="C907" s="77" t="s">
        <v>49</v>
      </c>
      <c r="D907" s="78">
        <v>84</v>
      </c>
      <c r="E907" s="79"/>
      <c r="F907" s="79" t="e">
        <f t="shared" si="56"/>
        <v>#REF!</v>
      </c>
      <c r="G907" s="2"/>
      <c r="H907" s="37">
        <v>529</v>
      </c>
      <c r="I907" s="4">
        <f t="shared" si="57"/>
        <v>0</v>
      </c>
      <c r="J907" s="25">
        <f t="shared" si="55"/>
        <v>29</v>
      </c>
    </row>
    <row r="908" spans="1:10" ht="16.95" customHeight="1">
      <c r="A908" s="75">
        <v>15</v>
      </c>
      <c r="B908" s="80" t="s">
        <v>105</v>
      </c>
      <c r="C908" s="77" t="s">
        <v>50</v>
      </c>
      <c r="D908" s="78">
        <v>1</v>
      </c>
      <c r="E908" s="79"/>
      <c r="F908" s="79" t="e">
        <f t="shared" si="56"/>
        <v>#REF!</v>
      </c>
      <c r="G908" s="2"/>
      <c r="H908" s="37">
        <v>1146</v>
      </c>
      <c r="I908" s="4">
        <f t="shared" si="57"/>
        <v>0</v>
      </c>
      <c r="J908" s="25">
        <f t="shared" si="55"/>
        <v>29</v>
      </c>
    </row>
    <row r="909" spans="1:10" ht="34.799999999999997" customHeight="1">
      <c r="A909" s="75">
        <v>16</v>
      </c>
      <c r="B909" s="80" t="s">
        <v>106</v>
      </c>
      <c r="C909" s="77" t="s">
        <v>50</v>
      </c>
      <c r="D909" s="78">
        <v>314</v>
      </c>
      <c r="E909" s="79"/>
      <c r="F909" s="79" t="e">
        <f t="shared" si="56"/>
        <v>#REF!</v>
      </c>
      <c r="G909" s="2"/>
      <c r="H909" s="37">
        <v>185</v>
      </c>
      <c r="I909" s="4">
        <f t="shared" si="57"/>
        <v>0</v>
      </c>
      <c r="J909" s="25">
        <f t="shared" si="55"/>
        <v>29</v>
      </c>
    </row>
    <row r="910" spans="1:10" ht="16.95" customHeight="1">
      <c r="A910" s="75">
        <v>17</v>
      </c>
      <c r="B910" s="80" t="s">
        <v>107</v>
      </c>
      <c r="C910" s="77" t="s">
        <v>48</v>
      </c>
      <c r="D910" s="78">
        <v>1</v>
      </c>
      <c r="E910" s="79"/>
      <c r="F910" s="79" t="e">
        <f t="shared" si="56"/>
        <v>#REF!</v>
      </c>
      <c r="G910" s="2"/>
      <c r="H910" s="37">
        <v>89918</v>
      </c>
      <c r="I910" s="4">
        <f t="shared" si="57"/>
        <v>0</v>
      </c>
      <c r="J910" s="25">
        <f t="shared" si="55"/>
        <v>29</v>
      </c>
    </row>
    <row r="911" spans="1:10" ht="16.95" customHeight="1">
      <c r="A911" s="75">
        <v>18</v>
      </c>
      <c r="B911" s="80" t="s">
        <v>108</v>
      </c>
      <c r="C911" s="77" t="s">
        <v>120</v>
      </c>
      <c r="D911" s="78">
        <v>15</v>
      </c>
      <c r="E911" s="79"/>
      <c r="F911" s="79" t="e">
        <f t="shared" si="56"/>
        <v>#REF!</v>
      </c>
      <c r="G911" s="2"/>
      <c r="H911" s="37">
        <v>661</v>
      </c>
      <c r="I911" s="4">
        <f t="shared" si="57"/>
        <v>0</v>
      </c>
      <c r="J911" s="25">
        <f t="shared" si="55"/>
        <v>29</v>
      </c>
    </row>
    <row r="912" spans="1:10" ht="16.95" customHeight="1">
      <c r="A912" s="75">
        <v>19</v>
      </c>
      <c r="B912" s="80" t="s">
        <v>109</v>
      </c>
      <c r="C912" s="77" t="s">
        <v>50</v>
      </c>
      <c r="D912" s="78">
        <v>82</v>
      </c>
      <c r="E912" s="79"/>
      <c r="F912" s="79" t="e">
        <f t="shared" si="56"/>
        <v>#REF!</v>
      </c>
      <c r="G912" s="2"/>
      <c r="H912" s="37">
        <v>2909</v>
      </c>
      <c r="I912" s="4">
        <f t="shared" si="57"/>
        <v>0</v>
      </c>
      <c r="J912" s="25">
        <f t="shared" si="55"/>
        <v>29</v>
      </c>
    </row>
    <row r="913" spans="1:10" ht="16.95" customHeight="1">
      <c r="A913" s="75">
        <v>20</v>
      </c>
      <c r="B913" s="80" t="s">
        <v>110</v>
      </c>
      <c r="C913" s="77" t="s">
        <v>121</v>
      </c>
      <c r="D913" s="78">
        <v>12</v>
      </c>
      <c r="E913" s="79"/>
      <c r="F913" s="79" t="e">
        <f t="shared" si="56"/>
        <v>#REF!</v>
      </c>
      <c r="G913" s="2"/>
      <c r="H913" s="37">
        <v>882</v>
      </c>
      <c r="I913" s="4">
        <f t="shared" si="57"/>
        <v>0</v>
      </c>
      <c r="J913" s="25">
        <f t="shared" si="55"/>
        <v>29</v>
      </c>
    </row>
    <row r="914" spans="1:10" ht="16.95" customHeight="1">
      <c r="A914" s="77">
        <v>21</v>
      </c>
      <c r="B914" s="80" t="s">
        <v>111</v>
      </c>
      <c r="C914" s="77" t="s">
        <v>122</v>
      </c>
      <c r="D914" s="78">
        <v>3</v>
      </c>
      <c r="E914" s="79"/>
      <c r="F914" s="79" t="e">
        <f t="shared" si="56"/>
        <v>#REF!</v>
      </c>
      <c r="G914" s="2"/>
      <c r="H914" s="38">
        <v>1869</v>
      </c>
      <c r="I914" s="4">
        <f t="shared" si="57"/>
        <v>0</v>
      </c>
      <c r="J914" s="25">
        <f t="shared" si="55"/>
        <v>29</v>
      </c>
    </row>
    <row r="915" spans="1:10" ht="34.950000000000003" customHeight="1">
      <c r="A915" s="75">
        <v>22</v>
      </c>
      <c r="B915" s="80" t="s">
        <v>112</v>
      </c>
      <c r="C915" s="77" t="s">
        <v>48</v>
      </c>
      <c r="D915" s="78">
        <v>1</v>
      </c>
      <c r="E915" s="79"/>
      <c r="F915" s="79" t="e">
        <f t="shared" si="56"/>
        <v>#REF!</v>
      </c>
      <c r="G915" s="2"/>
      <c r="H915" s="37">
        <v>82206</v>
      </c>
      <c r="I915" s="4">
        <f t="shared" si="57"/>
        <v>0</v>
      </c>
      <c r="J915" s="25">
        <f t="shared" si="55"/>
        <v>29</v>
      </c>
    </row>
    <row r="916" spans="1:10" ht="16.95" customHeight="1">
      <c r="A916" s="75">
        <v>23</v>
      </c>
      <c r="B916" s="80" t="s">
        <v>113</v>
      </c>
      <c r="C916" s="77" t="s">
        <v>48</v>
      </c>
      <c r="D916" s="78">
        <v>1</v>
      </c>
      <c r="E916" s="79"/>
      <c r="F916" s="79" t="e">
        <f t="shared" si="56"/>
        <v>#REF!</v>
      </c>
      <c r="G916" s="2"/>
      <c r="H916" s="37">
        <v>142723</v>
      </c>
      <c r="I916" s="4">
        <f t="shared" si="57"/>
        <v>0</v>
      </c>
      <c r="J916" s="25">
        <f t="shared" si="55"/>
        <v>29</v>
      </c>
    </row>
    <row r="917" spans="1:10" ht="16.95" customHeight="1">
      <c r="A917" s="75">
        <v>24</v>
      </c>
      <c r="B917" s="80" t="s">
        <v>114</v>
      </c>
      <c r="C917" s="77" t="s">
        <v>48</v>
      </c>
      <c r="D917" s="78">
        <v>1</v>
      </c>
      <c r="E917" s="79"/>
      <c r="F917" s="79" t="e">
        <f t="shared" si="56"/>
        <v>#REF!</v>
      </c>
      <c r="G917" s="2"/>
      <c r="H917" s="37">
        <v>37290</v>
      </c>
      <c r="I917" s="4">
        <f t="shared" si="57"/>
        <v>0</v>
      </c>
      <c r="J917" s="25">
        <f t="shared" si="55"/>
        <v>29</v>
      </c>
    </row>
    <row r="918" spans="1:10" ht="16.95" customHeight="1">
      <c r="A918" s="75">
        <v>25</v>
      </c>
      <c r="B918" s="80" t="s">
        <v>115</v>
      </c>
      <c r="C918" s="77" t="s">
        <v>48</v>
      </c>
      <c r="D918" s="78">
        <v>1</v>
      </c>
      <c r="E918" s="79"/>
      <c r="F918" s="79" t="e">
        <f t="shared" si="56"/>
        <v>#REF!</v>
      </c>
      <c r="G918" s="2"/>
      <c r="H918" s="37">
        <v>99394</v>
      </c>
      <c r="I918" s="4">
        <f t="shared" si="57"/>
        <v>0</v>
      </c>
      <c r="J918" s="25">
        <f t="shared" si="55"/>
        <v>29</v>
      </c>
    </row>
    <row r="919" spans="1:10" ht="34.950000000000003" customHeight="1">
      <c r="A919" s="75">
        <v>26</v>
      </c>
      <c r="B919" s="80" t="s">
        <v>116</v>
      </c>
      <c r="C919" s="77" t="s">
        <v>48</v>
      </c>
      <c r="D919" s="78">
        <v>1</v>
      </c>
      <c r="E919" s="79"/>
      <c r="F919" s="79" t="e">
        <f t="shared" si="56"/>
        <v>#REF!</v>
      </c>
      <c r="G919" s="2"/>
      <c r="H919" s="37">
        <v>21334</v>
      </c>
      <c r="I919" s="4">
        <f t="shared" si="57"/>
        <v>0</v>
      </c>
      <c r="J919" s="25">
        <f t="shared" si="55"/>
        <v>29</v>
      </c>
    </row>
    <row r="920" spans="1:10" ht="16.95" customHeight="1">
      <c r="A920" s="75">
        <v>27</v>
      </c>
      <c r="B920" s="80" t="s">
        <v>117</v>
      </c>
      <c r="C920" s="77" t="s">
        <v>48</v>
      </c>
      <c r="D920" s="78">
        <v>1</v>
      </c>
      <c r="E920" s="79"/>
      <c r="F920" s="79" t="e">
        <f t="shared" si="56"/>
        <v>#REF!</v>
      </c>
      <c r="G920" s="2"/>
      <c r="H920" s="37">
        <v>29620</v>
      </c>
      <c r="I920" s="4">
        <f t="shared" si="57"/>
        <v>0</v>
      </c>
      <c r="J920" s="25">
        <f t="shared" si="55"/>
        <v>29</v>
      </c>
    </row>
    <row r="921" spans="1:10" ht="16.95" customHeight="1">
      <c r="A921" s="75">
        <v>28</v>
      </c>
      <c r="B921" s="80" t="s">
        <v>118</v>
      </c>
      <c r="C921" s="77" t="s">
        <v>48</v>
      </c>
      <c r="D921" s="78">
        <v>1</v>
      </c>
      <c r="E921" s="79"/>
      <c r="F921" s="79" t="e">
        <f t="shared" si="56"/>
        <v>#REF!</v>
      </c>
      <c r="G921" s="2"/>
      <c r="H921" s="37">
        <v>18506</v>
      </c>
      <c r="I921" s="4">
        <f t="shared" si="57"/>
        <v>0</v>
      </c>
      <c r="J921" s="25">
        <f t="shared" si="55"/>
        <v>29</v>
      </c>
    </row>
    <row r="922" spans="1:10" ht="16.95" customHeight="1">
      <c r="A922" s="75">
        <v>29</v>
      </c>
      <c r="B922" s="80" t="s">
        <v>119</v>
      </c>
      <c r="C922" s="77" t="s">
        <v>48</v>
      </c>
      <c r="D922" s="78">
        <v>1</v>
      </c>
      <c r="E922" s="79"/>
      <c r="F922" s="79" t="e">
        <f t="shared" si="56"/>
        <v>#REF!</v>
      </c>
      <c r="G922" s="2"/>
      <c r="H922" s="37">
        <v>34381</v>
      </c>
      <c r="I922" s="4">
        <f t="shared" si="57"/>
        <v>0</v>
      </c>
      <c r="J922" s="25">
        <f t="shared" si="55"/>
        <v>29</v>
      </c>
    </row>
    <row r="923" spans="1:10" ht="16.95" customHeight="1">
      <c r="A923" s="75" t="s">
        <v>79</v>
      </c>
      <c r="B923" s="80" t="s">
        <v>80</v>
      </c>
      <c r="C923" s="77" t="s">
        <v>48</v>
      </c>
      <c r="D923" s="78">
        <v>1</v>
      </c>
      <c r="E923" s="79">
        <f t="shared" ref="E923:E926" si="58">1/120</f>
        <v>8.3333333333333332E-3</v>
      </c>
      <c r="F923" s="79" t="e">
        <f t="shared" si="56"/>
        <v>#REF!</v>
      </c>
      <c r="G923" s="2"/>
      <c r="H923" s="37">
        <v>21395</v>
      </c>
      <c r="I923" s="4">
        <f t="shared" si="57"/>
        <v>178.29166666666666</v>
      </c>
      <c r="J923" s="25">
        <f t="shared" si="55"/>
        <v>29</v>
      </c>
    </row>
    <row r="924" spans="1:10" ht="16.95" customHeight="1">
      <c r="A924" s="75" t="s">
        <v>81</v>
      </c>
      <c r="B924" s="80" t="s">
        <v>82</v>
      </c>
      <c r="C924" s="77" t="s">
        <v>48</v>
      </c>
      <c r="D924" s="78">
        <v>1</v>
      </c>
      <c r="E924" s="79">
        <f t="shared" si="58"/>
        <v>8.3333333333333332E-3</v>
      </c>
      <c r="F924" s="79" t="e">
        <f t="shared" si="56"/>
        <v>#REF!</v>
      </c>
      <c r="G924" s="2"/>
      <c r="H924" s="37">
        <v>21395</v>
      </c>
      <c r="I924" s="4">
        <f t="shared" si="57"/>
        <v>178.29166666666666</v>
      </c>
      <c r="J924" s="25">
        <f t="shared" si="55"/>
        <v>29</v>
      </c>
    </row>
    <row r="925" spans="1:10" ht="16.95" customHeight="1">
      <c r="A925" s="75" t="s">
        <v>83</v>
      </c>
      <c r="B925" s="80" t="s">
        <v>84</v>
      </c>
      <c r="C925" s="77" t="s">
        <v>48</v>
      </c>
      <c r="D925" s="78">
        <v>1</v>
      </c>
      <c r="E925" s="79">
        <f t="shared" si="58"/>
        <v>8.3333333333333332E-3</v>
      </c>
      <c r="F925" s="79" t="e">
        <f t="shared" si="56"/>
        <v>#REF!</v>
      </c>
      <c r="G925" s="2"/>
      <c r="H925" s="37">
        <v>149765</v>
      </c>
      <c r="I925" s="4">
        <f t="shared" si="57"/>
        <v>1248.0416666666667</v>
      </c>
      <c r="J925" s="25">
        <f t="shared" si="55"/>
        <v>29</v>
      </c>
    </row>
    <row r="926" spans="1:10" ht="16.95" customHeight="1">
      <c r="A926" s="75" t="s">
        <v>85</v>
      </c>
      <c r="B926" s="80" t="s">
        <v>86</v>
      </c>
      <c r="C926" s="77" t="s">
        <v>48</v>
      </c>
      <c r="D926" s="78">
        <v>1</v>
      </c>
      <c r="E926" s="79">
        <f t="shared" si="58"/>
        <v>8.3333333333333332E-3</v>
      </c>
      <c r="F926" s="79" t="e">
        <f t="shared" si="56"/>
        <v>#REF!</v>
      </c>
      <c r="G926" s="2"/>
      <c r="H926" s="37">
        <v>6996</v>
      </c>
      <c r="I926" s="4">
        <f t="shared" si="57"/>
        <v>58.3</v>
      </c>
      <c r="J926" s="25">
        <f t="shared" si="55"/>
        <v>29</v>
      </c>
    </row>
    <row r="927" spans="1:10" ht="16.95" customHeight="1">
      <c r="A927" s="75" t="s">
        <v>87</v>
      </c>
      <c r="B927" s="80" t="s">
        <v>88</v>
      </c>
      <c r="C927" s="77" t="s">
        <v>48</v>
      </c>
      <c r="D927" s="78">
        <v>1</v>
      </c>
      <c r="E927" s="79">
        <f>1/120</f>
        <v>8.3333333333333332E-3</v>
      </c>
      <c r="F927" s="79" t="e">
        <f t="shared" si="56"/>
        <v>#REF!</v>
      </c>
      <c r="G927" s="2"/>
      <c r="H927" s="37">
        <v>116952</v>
      </c>
      <c r="I927" s="4">
        <f t="shared" si="57"/>
        <v>974.6</v>
      </c>
      <c r="J927" s="25">
        <f t="shared" si="55"/>
        <v>29</v>
      </c>
    </row>
    <row r="928" spans="1:10" ht="16.95" customHeight="1">
      <c r="A928" s="95" t="s">
        <v>23</v>
      </c>
      <c r="B928" s="95"/>
      <c r="C928" s="50"/>
      <c r="D928" s="50"/>
      <c r="E928" s="50"/>
      <c r="F928" s="50"/>
      <c r="G928" s="50"/>
      <c r="H928" s="3" t="s">
        <v>24</v>
      </c>
      <c r="I928" s="5">
        <f>SUM(I893:I927)</f>
        <v>2637.5250000000001</v>
      </c>
      <c r="J928" s="25">
        <f t="shared" si="55"/>
        <v>29</v>
      </c>
    </row>
    <row r="929" spans="1:10" ht="16.95" customHeight="1">
      <c r="A929" s="96" t="s">
        <v>25</v>
      </c>
      <c r="B929" s="96"/>
      <c r="C929" s="50"/>
      <c r="D929" s="50"/>
      <c r="E929" s="50"/>
      <c r="F929" s="50"/>
      <c r="G929" s="50"/>
      <c r="J929" s="25">
        <f t="shared" si="55"/>
        <v>29</v>
      </c>
    </row>
    <row r="930" spans="1:10" ht="16.95" customHeight="1">
      <c r="A930" s="96" t="s">
        <v>26</v>
      </c>
      <c r="B930" s="96"/>
      <c r="C930" s="50"/>
      <c r="D930" s="50"/>
      <c r="E930" s="50"/>
      <c r="F930" s="50"/>
      <c r="G930" s="50"/>
      <c r="J930" s="25">
        <f t="shared" si="55"/>
        <v>29</v>
      </c>
    </row>
    <row r="931" spans="1:10" ht="16.95" customHeight="1">
      <c r="A931" s="95" t="s">
        <v>27</v>
      </c>
      <c r="B931" s="95"/>
      <c r="C931" s="95"/>
      <c r="D931" s="95"/>
      <c r="E931" s="95"/>
      <c r="F931" s="95"/>
      <c r="G931" s="95"/>
      <c r="J931" s="25">
        <f t="shared" si="55"/>
        <v>29</v>
      </c>
    </row>
    <row r="932" spans="1:10" ht="16.95" customHeight="1">
      <c r="A932" s="94" t="s">
        <v>28</v>
      </c>
      <c r="B932" s="94"/>
      <c r="C932" s="51" t="s">
        <v>29</v>
      </c>
      <c r="D932" s="51" t="s">
        <v>30</v>
      </c>
      <c r="E932" s="51" t="s">
        <v>18</v>
      </c>
      <c r="F932" s="51" t="s">
        <v>31</v>
      </c>
      <c r="G932" s="51" t="s">
        <v>20</v>
      </c>
      <c r="J932" s="25">
        <f t="shared" si="55"/>
        <v>29</v>
      </c>
    </row>
    <row r="933" spans="1:10" ht="16.95" customHeight="1">
      <c r="A933" s="96"/>
      <c r="B933" s="96"/>
      <c r="C933" s="50"/>
      <c r="D933" s="50"/>
      <c r="E933" s="50"/>
      <c r="F933" s="50"/>
      <c r="G933" s="51"/>
      <c r="J933" s="25">
        <f t="shared" si="55"/>
        <v>29</v>
      </c>
    </row>
    <row r="934" spans="1:10" ht="16.95" customHeight="1">
      <c r="A934" s="97"/>
      <c r="B934" s="97"/>
      <c r="C934" s="50"/>
      <c r="D934" s="50"/>
      <c r="E934" s="50"/>
      <c r="F934" s="51"/>
      <c r="G934" s="51"/>
      <c r="J934" s="25">
        <f t="shared" si="55"/>
        <v>29</v>
      </c>
    </row>
    <row r="935" spans="1:10" ht="16.95" customHeight="1">
      <c r="A935" s="95" t="s">
        <v>32</v>
      </c>
      <c r="B935" s="95"/>
      <c r="C935" s="95"/>
      <c r="D935" s="95"/>
      <c r="E935" s="95"/>
      <c r="F935" s="95"/>
      <c r="G935" s="95"/>
      <c r="J935" s="25">
        <f t="shared" si="55"/>
        <v>30</v>
      </c>
    </row>
    <row r="936" spans="1:10" ht="16.95" customHeight="1">
      <c r="A936" s="51" t="s">
        <v>33</v>
      </c>
      <c r="B936" s="51" t="s">
        <v>34</v>
      </c>
      <c r="C936" s="94" t="s">
        <v>35</v>
      </c>
      <c r="D936" s="94"/>
      <c r="E936" s="51" t="s">
        <v>36</v>
      </c>
      <c r="F936" s="51" t="s">
        <v>37</v>
      </c>
      <c r="G936" s="51" t="s">
        <v>38</v>
      </c>
      <c r="J936" s="25">
        <f t="shared" si="55"/>
        <v>30</v>
      </c>
    </row>
    <row r="937" spans="1:10" ht="16.95" customHeight="1">
      <c r="A937" s="51" t="s">
        <v>39</v>
      </c>
      <c r="B937" s="6"/>
      <c r="C937" s="94" t="e">
        <f>B937+C874</f>
        <v>#REF!</v>
      </c>
      <c r="D937" s="94"/>
      <c r="E937" s="51"/>
      <c r="F937" s="24"/>
      <c r="G937" s="24"/>
      <c r="J937" s="25">
        <f t="shared" si="55"/>
        <v>30</v>
      </c>
    </row>
    <row r="938" spans="1:10" ht="16.95" customHeight="1">
      <c r="A938" s="51" t="s">
        <v>40</v>
      </c>
      <c r="B938" s="6"/>
      <c r="C938" s="94" t="e">
        <f>B938+C875</f>
        <v>#REF!</v>
      </c>
      <c r="D938" s="94"/>
      <c r="E938" s="51"/>
      <c r="F938" s="24"/>
      <c r="G938" s="24"/>
      <c r="J938" s="25">
        <f t="shared" si="55"/>
        <v>30</v>
      </c>
    </row>
    <row r="939" spans="1:10" ht="36.6" customHeight="1">
      <c r="A939" s="95" t="s">
        <v>41</v>
      </c>
      <c r="B939" s="95"/>
      <c r="C939" s="95"/>
      <c r="D939" s="95"/>
      <c r="E939" s="95"/>
      <c r="F939" s="95"/>
      <c r="G939" s="95"/>
      <c r="J939" s="25">
        <f t="shared" si="55"/>
        <v>30</v>
      </c>
    </row>
    <row r="940" spans="1:10" ht="90" customHeight="1">
      <c r="A940" s="92" t="s">
        <v>42</v>
      </c>
      <c r="B940" s="92"/>
      <c r="C940" s="92"/>
      <c r="D940" s="92"/>
      <c r="E940" s="92"/>
      <c r="F940" s="92"/>
      <c r="G940" s="92"/>
      <c r="J940" s="25">
        <f t="shared" si="55"/>
        <v>30</v>
      </c>
    </row>
    <row r="941" spans="1:10" ht="16.95" customHeight="1">
      <c r="A941" s="95" t="s">
        <v>43</v>
      </c>
      <c r="B941" s="95"/>
      <c r="C941" s="95"/>
      <c r="D941" s="95"/>
      <c r="E941" s="95"/>
      <c r="F941" s="95"/>
      <c r="G941" s="95"/>
      <c r="J941" s="25">
        <f t="shared" si="55"/>
        <v>30</v>
      </c>
    </row>
    <row r="942" spans="1:10" ht="16.95" customHeight="1">
      <c r="A942" s="95" t="s">
        <v>44</v>
      </c>
      <c r="B942" s="95"/>
      <c r="C942" s="95"/>
      <c r="D942" s="95"/>
      <c r="E942" s="95"/>
      <c r="F942" s="95"/>
      <c r="G942" s="95"/>
      <c r="J942" s="25">
        <f t="shared" si="55"/>
        <v>30</v>
      </c>
    </row>
    <row r="943" spans="1:10" ht="16.95" customHeight="1">
      <c r="A943" s="91" t="s">
        <v>64</v>
      </c>
      <c r="B943" s="91"/>
      <c r="C943" s="91"/>
      <c r="D943" s="91"/>
      <c r="E943" s="91"/>
      <c r="F943" s="91"/>
      <c r="G943" s="91"/>
      <c r="J943" s="25">
        <f t="shared" si="55"/>
        <v>30</v>
      </c>
    </row>
    <row r="944" spans="1:10" ht="120.6" customHeight="1">
      <c r="A944" s="92" t="s">
        <v>45</v>
      </c>
      <c r="B944" s="92"/>
      <c r="C944" s="92"/>
      <c r="D944" s="92"/>
      <c r="E944" s="92"/>
      <c r="F944" s="92"/>
      <c r="G944" s="92"/>
      <c r="J944" s="25">
        <f t="shared" si="55"/>
        <v>30</v>
      </c>
    </row>
    <row r="945" spans="1:10" ht="140.4" customHeight="1">
      <c r="A945" s="93" t="s">
        <v>46</v>
      </c>
      <c r="B945" s="93"/>
      <c r="C945" s="93"/>
      <c r="D945" s="93"/>
      <c r="E945" s="93"/>
      <c r="F945" s="93"/>
      <c r="G945" s="93"/>
      <c r="J945" s="25">
        <f t="shared" si="55"/>
        <v>30</v>
      </c>
    </row>
    <row r="946" spans="1:10" ht="37.200000000000003" customHeight="1">
      <c r="A946" s="103" t="s">
        <v>0</v>
      </c>
      <c r="B946" s="103"/>
      <c r="C946" s="103"/>
      <c r="D946" s="103"/>
      <c r="E946" s="103"/>
      <c r="F946" s="103"/>
      <c r="G946" s="103"/>
      <c r="J946" s="25">
        <f t="shared" si="55"/>
        <v>31</v>
      </c>
    </row>
    <row r="947" spans="1:10" ht="16.95" customHeight="1">
      <c r="A947" s="1" t="s">
        <v>1</v>
      </c>
      <c r="B947" s="104">
        <f>B884+1</f>
        <v>17</v>
      </c>
      <c r="C947" s="104"/>
      <c r="D947" s="104"/>
      <c r="E947" s="104"/>
      <c r="F947" s="104"/>
      <c r="G947" s="104"/>
      <c r="J947" s="25">
        <f t="shared" si="55"/>
        <v>31</v>
      </c>
    </row>
    <row r="948" spans="1:10" ht="16.95" customHeight="1">
      <c r="A948" s="1" t="s">
        <v>2</v>
      </c>
      <c r="B948" s="105" t="s">
        <v>63</v>
      </c>
      <c r="C948" s="105"/>
      <c r="D948" s="105"/>
      <c r="E948" s="106">
        <f>E885+1</f>
        <v>46219</v>
      </c>
      <c r="F948" s="106"/>
      <c r="G948" s="106"/>
      <c r="J948" s="25">
        <f t="shared" si="55"/>
        <v>31</v>
      </c>
    </row>
    <row r="949" spans="1:10" ht="16.95" customHeight="1">
      <c r="A949" s="53" t="s">
        <v>3</v>
      </c>
      <c r="B949" s="2" t="s">
        <v>67</v>
      </c>
      <c r="C949" s="98" t="s">
        <v>4</v>
      </c>
      <c r="D949" s="98"/>
      <c r="E949" s="98" t="s">
        <v>47</v>
      </c>
      <c r="F949" s="98"/>
      <c r="G949" s="98"/>
      <c r="J949" s="25">
        <f t="shared" si="55"/>
        <v>31</v>
      </c>
    </row>
    <row r="950" spans="1:10" ht="16.95" customHeight="1">
      <c r="A950" s="53" t="s">
        <v>5</v>
      </c>
      <c r="B950" s="54">
        <v>120</v>
      </c>
      <c r="C950" s="98" t="s">
        <v>6</v>
      </c>
      <c r="D950" s="98"/>
      <c r="E950" s="98" t="s">
        <v>123</v>
      </c>
      <c r="F950" s="98"/>
      <c r="G950" s="98"/>
      <c r="J950" s="25">
        <f t="shared" si="55"/>
        <v>31</v>
      </c>
    </row>
    <row r="951" spans="1:10" ht="16.95" customHeight="1">
      <c r="A951" s="53" t="s">
        <v>7</v>
      </c>
      <c r="B951" s="54">
        <f>B947</f>
        <v>17</v>
      </c>
      <c r="C951" s="100" t="s">
        <v>8</v>
      </c>
      <c r="D951" s="100"/>
      <c r="E951" s="101">
        <f>B950-B951</f>
        <v>103</v>
      </c>
      <c r="F951" s="101"/>
      <c r="G951" s="101"/>
      <c r="J951" s="25">
        <f t="shared" si="55"/>
        <v>31</v>
      </c>
    </row>
    <row r="952" spans="1:10" ht="16.95" customHeight="1">
      <c r="A952" s="53" t="s">
        <v>9</v>
      </c>
      <c r="B952" s="55">
        <v>46204</v>
      </c>
      <c r="C952" s="98" t="s">
        <v>10</v>
      </c>
      <c r="D952" s="98"/>
      <c r="E952" s="102">
        <f>B952+B950-1</f>
        <v>46323</v>
      </c>
      <c r="F952" s="102"/>
      <c r="G952" s="102"/>
      <c r="J952" s="25">
        <f t="shared" si="55"/>
        <v>31</v>
      </c>
    </row>
    <row r="953" spans="1:10" ht="16.95" customHeight="1">
      <c r="A953" s="53" t="s">
        <v>11</v>
      </c>
      <c r="B953" s="56" t="e">
        <f>HLOOKUP(B947,進度表!$Q$2:$Z$3,2,1)+B890</f>
        <v>#REF!</v>
      </c>
      <c r="C953" s="98" t="s">
        <v>12</v>
      </c>
      <c r="D953" s="98"/>
      <c r="E953" s="99" t="e">
        <f>I991/I953+E890</f>
        <v>#REF!</v>
      </c>
      <c r="F953" s="99"/>
      <c r="G953" s="99"/>
      <c r="H953" s="3" t="s">
        <v>62</v>
      </c>
      <c r="I953" s="1">
        <v>2456000</v>
      </c>
      <c r="J953" s="25">
        <f t="shared" si="55"/>
        <v>31</v>
      </c>
    </row>
    <row r="954" spans="1:10" ht="16.95" customHeight="1">
      <c r="A954" s="98" t="s">
        <v>13</v>
      </c>
      <c r="B954" s="98"/>
      <c r="C954" s="98"/>
      <c r="D954" s="98"/>
      <c r="E954" s="98"/>
      <c r="F954" s="98"/>
      <c r="G954" s="98"/>
      <c r="J954" s="25">
        <f t="shared" si="55"/>
        <v>31</v>
      </c>
    </row>
    <row r="955" spans="1:10" ht="16.95" customHeight="1">
      <c r="A955" s="52" t="s">
        <v>14</v>
      </c>
      <c r="B955" s="52" t="s">
        <v>15</v>
      </c>
      <c r="C955" s="52" t="s">
        <v>16</v>
      </c>
      <c r="D955" s="52" t="s">
        <v>17</v>
      </c>
      <c r="E955" s="52" t="s">
        <v>18</v>
      </c>
      <c r="F955" s="52" t="s">
        <v>19</v>
      </c>
      <c r="G955" s="52" t="s">
        <v>20</v>
      </c>
      <c r="H955" s="3" t="s">
        <v>21</v>
      </c>
      <c r="I955" s="3" t="s">
        <v>22</v>
      </c>
      <c r="J955" s="25">
        <f t="shared" ref="J955:J1018" si="59">J892+2</f>
        <v>31</v>
      </c>
    </row>
    <row r="956" spans="1:10" ht="16.95" customHeight="1">
      <c r="A956" s="75" t="s">
        <v>65</v>
      </c>
      <c r="B956" s="76" t="s">
        <v>69</v>
      </c>
      <c r="C956" s="77"/>
      <c r="D956" s="78"/>
      <c r="E956" s="79"/>
      <c r="F956" s="79"/>
      <c r="G956" s="2"/>
      <c r="H956" s="37"/>
      <c r="I956" s="4"/>
      <c r="J956" s="25">
        <f t="shared" si="59"/>
        <v>31</v>
      </c>
    </row>
    <row r="957" spans="1:10" ht="34.950000000000003" customHeight="1">
      <c r="A957" s="75">
        <v>1</v>
      </c>
      <c r="B957" s="80" t="s">
        <v>91</v>
      </c>
      <c r="C957" s="77" t="s">
        <v>48</v>
      </c>
      <c r="D957" s="78">
        <v>1</v>
      </c>
      <c r="E957" s="79"/>
      <c r="F957" s="79" t="e">
        <f t="shared" ref="F957:F990" si="60">E957+F894</f>
        <v>#REF!</v>
      </c>
      <c r="G957" s="2"/>
      <c r="H957" s="37">
        <v>10508</v>
      </c>
      <c r="I957" s="4">
        <f>H957*E957</f>
        <v>0</v>
      </c>
      <c r="J957" s="25">
        <f t="shared" si="59"/>
        <v>31</v>
      </c>
    </row>
    <row r="958" spans="1:10" ht="34.799999999999997" customHeight="1">
      <c r="A958" s="75">
        <v>2</v>
      </c>
      <c r="B958" s="80" t="s">
        <v>92</v>
      </c>
      <c r="C958" s="77" t="s">
        <v>48</v>
      </c>
      <c r="D958" s="78">
        <v>1</v>
      </c>
      <c r="E958" s="79"/>
      <c r="F958" s="79" t="e">
        <f t="shared" si="60"/>
        <v>#REF!</v>
      </c>
      <c r="G958" s="2"/>
      <c r="H958" s="37">
        <v>13223</v>
      </c>
      <c r="I958" s="4">
        <f>H958*E958</f>
        <v>0</v>
      </c>
      <c r="J958" s="25">
        <f t="shared" si="59"/>
        <v>31</v>
      </c>
    </row>
    <row r="959" spans="1:10" ht="53.4" customHeight="1">
      <c r="A959" s="75">
        <v>3</v>
      </c>
      <c r="B959" s="80" t="s">
        <v>93</v>
      </c>
      <c r="C959" s="77" t="s">
        <v>48</v>
      </c>
      <c r="D959" s="78">
        <v>1</v>
      </c>
      <c r="E959" s="79"/>
      <c r="F959" s="79" t="e">
        <f t="shared" si="60"/>
        <v>#REF!</v>
      </c>
      <c r="G959" s="2"/>
      <c r="H959" s="37">
        <v>310497</v>
      </c>
      <c r="I959" s="4">
        <f t="shared" ref="I959:I990" si="61">H959*E959</f>
        <v>0</v>
      </c>
      <c r="J959" s="25">
        <f t="shared" si="59"/>
        <v>31</v>
      </c>
    </row>
    <row r="960" spans="1:10" ht="16.95" customHeight="1">
      <c r="A960" s="75">
        <v>4</v>
      </c>
      <c r="B960" s="80" t="s">
        <v>94</v>
      </c>
      <c r="C960" s="77" t="s">
        <v>48</v>
      </c>
      <c r="D960" s="78">
        <v>1</v>
      </c>
      <c r="E960" s="79"/>
      <c r="F960" s="79" t="e">
        <f t="shared" si="60"/>
        <v>#REF!</v>
      </c>
      <c r="G960" s="2"/>
      <c r="H960" s="37">
        <v>8375</v>
      </c>
      <c r="I960" s="4">
        <f t="shared" si="61"/>
        <v>0</v>
      </c>
      <c r="J960" s="25">
        <f t="shared" si="59"/>
        <v>31</v>
      </c>
    </row>
    <row r="961" spans="1:10" ht="16.95" customHeight="1">
      <c r="A961" s="75">
        <v>5</v>
      </c>
      <c r="B961" s="80" t="s">
        <v>95</v>
      </c>
      <c r="C961" s="77" t="s">
        <v>48</v>
      </c>
      <c r="D961" s="78">
        <v>1</v>
      </c>
      <c r="E961" s="79"/>
      <c r="F961" s="79" t="e">
        <f t="shared" si="60"/>
        <v>#REF!</v>
      </c>
      <c r="G961" s="2"/>
      <c r="H961" s="37">
        <v>51618</v>
      </c>
      <c r="I961" s="4">
        <f t="shared" si="61"/>
        <v>0</v>
      </c>
      <c r="J961" s="25">
        <f t="shared" si="59"/>
        <v>31</v>
      </c>
    </row>
    <row r="962" spans="1:10" ht="16.95" customHeight="1">
      <c r="A962" s="75">
        <v>6</v>
      </c>
      <c r="B962" s="80" t="s">
        <v>96</v>
      </c>
      <c r="C962" s="77" t="s">
        <v>50</v>
      </c>
      <c r="D962" s="78">
        <v>11.55</v>
      </c>
      <c r="E962" s="79"/>
      <c r="F962" s="79" t="e">
        <f t="shared" si="60"/>
        <v>#REF!</v>
      </c>
      <c r="G962" s="2"/>
      <c r="H962" s="37">
        <v>1188</v>
      </c>
      <c r="I962" s="4">
        <f t="shared" si="61"/>
        <v>0</v>
      </c>
      <c r="J962" s="25">
        <f t="shared" si="59"/>
        <v>31</v>
      </c>
    </row>
    <row r="963" spans="1:10" ht="34.950000000000003" customHeight="1">
      <c r="A963" s="75">
        <v>7</v>
      </c>
      <c r="B963" s="80" t="s">
        <v>97</v>
      </c>
      <c r="C963" s="77" t="s">
        <v>48</v>
      </c>
      <c r="D963" s="78">
        <v>1</v>
      </c>
      <c r="E963" s="79"/>
      <c r="F963" s="79" t="e">
        <f t="shared" si="60"/>
        <v>#REF!</v>
      </c>
      <c r="G963" s="2"/>
      <c r="H963" s="37">
        <v>21157</v>
      </c>
      <c r="I963" s="4">
        <f t="shared" si="61"/>
        <v>0</v>
      </c>
      <c r="J963" s="25">
        <f t="shared" si="59"/>
        <v>31</v>
      </c>
    </row>
    <row r="964" spans="1:10" ht="16.95" customHeight="1">
      <c r="A964" s="75">
        <v>8</v>
      </c>
      <c r="B964" s="80" t="s">
        <v>98</v>
      </c>
      <c r="C964" s="77" t="s">
        <v>50</v>
      </c>
      <c r="D964" s="78">
        <v>387</v>
      </c>
      <c r="E964" s="79"/>
      <c r="F964" s="79" t="e">
        <f t="shared" si="60"/>
        <v>#REF!</v>
      </c>
      <c r="G964" s="2"/>
      <c r="H964" s="37">
        <v>705</v>
      </c>
      <c r="I964" s="4">
        <f t="shared" si="61"/>
        <v>0</v>
      </c>
      <c r="J964" s="25">
        <f t="shared" si="59"/>
        <v>31</v>
      </c>
    </row>
    <row r="965" spans="1:10" ht="16.95" customHeight="1">
      <c r="A965" s="75">
        <v>9</v>
      </c>
      <c r="B965" s="80" t="s">
        <v>99</v>
      </c>
      <c r="C965" s="77" t="s">
        <v>50</v>
      </c>
      <c r="D965" s="78">
        <v>170</v>
      </c>
      <c r="E965" s="79"/>
      <c r="F965" s="79" t="e">
        <f t="shared" si="60"/>
        <v>#REF!</v>
      </c>
      <c r="G965" s="2"/>
      <c r="H965" s="37">
        <v>617</v>
      </c>
      <c r="I965" s="4">
        <f t="shared" si="61"/>
        <v>0</v>
      </c>
      <c r="J965" s="25">
        <f t="shared" si="59"/>
        <v>31</v>
      </c>
    </row>
    <row r="966" spans="1:10" ht="16.95" customHeight="1">
      <c r="A966" s="75">
        <v>10</v>
      </c>
      <c r="B966" s="80" t="s">
        <v>100</v>
      </c>
      <c r="C966" s="77" t="s">
        <v>66</v>
      </c>
      <c r="D966" s="78">
        <v>15</v>
      </c>
      <c r="E966" s="79"/>
      <c r="F966" s="79" t="e">
        <f t="shared" si="60"/>
        <v>#REF!</v>
      </c>
      <c r="G966" s="2"/>
      <c r="H966" s="37">
        <v>617</v>
      </c>
      <c r="I966" s="4">
        <f t="shared" si="61"/>
        <v>0</v>
      </c>
      <c r="J966" s="25">
        <f t="shared" si="59"/>
        <v>31</v>
      </c>
    </row>
    <row r="967" spans="1:10" ht="16.95" customHeight="1">
      <c r="A967" s="75">
        <v>11</v>
      </c>
      <c r="B967" s="80" t="s">
        <v>101</v>
      </c>
      <c r="C967" s="77" t="s">
        <v>50</v>
      </c>
      <c r="D967" s="78">
        <v>75</v>
      </c>
      <c r="E967" s="79"/>
      <c r="F967" s="79" t="e">
        <f t="shared" si="60"/>
        <v>#REF!</v>
      </c>
      <c r="G967" s="2"/>
      <c r="H967" s="37">
        <v>1146</v>
      </c>
      <c r="I967" s="4">
        <f t="shared" si="61"/>
        <v>0</v>
      </c>
      <c r="J967" s="25">
        <f t="shared" si="59"/>
        <v>31</v>
      </c>
    </row>
    <row r="968" spans="1:10" ht="16.95" customHeight="1">
      <c r="A968" s="75">
        <v>12</v>
      </c>
      <c r="B968" s="80" t="s">
        <v>102</v>
      </c>
      <c r="C968" s="77" t="s">
        <v>50</v>
      </c>
      <c r="D968" s="78">
        <v>5</v>
      </c>
      <c r="E968" s="79"/>
      <c r="F968" s="79" t="e">
        <f t="shared" si="60"/>
        <v>#REF!</v>
      </c>
      <c r="G968" s="2"/>
      <c r="H968" s="37">
        <v>1455</v>
      </c>
      <c r="I968" s="4">
        <f t="shared" si="61"/>
        <v>0</v>
      </c>
      <c r="J968" s="25">
        <f t="shared" si="59"/>
        <v>31</v>
      </c>
    </row>
    <row r="969" spans="1:10" ht="16.95" customHeight="1">
      <c r="A969" s="75">
        <v>13</v>
      </c>
      <c r="B969" s="80" t="s">
        <v>103</v>
      </c>
      <c r="C969" s="77" t="s">
        <v>50</v>
      </c>
      <c r="D969" s="78">
        <v>217</v>
      </c>
      <c r="E969" s="79"/>
      <c r="F969" s="79" t="e">
        <f t="shared" si="60"/>
        <v>#REF!</v>
      </c>
      <c r="G969" s="2"/>
      <c r="H969" s="37">
        <v>1410</v>
      </c>
      <c r="I969" s="4">
        <f t="shared" si="61"/>
        <v>0</v>
      </c>
      <c r="J969" s="25">
        <f t="shared" si="59"/>
        <v>31</v>
      </c>
    </row>
    <row r="970" spans="1:10" ht="16.95" customHeight="1">
      <c r="A970" s="75">
        <v>14</v>
      </c>
      <c r="B970" s="80" t="s">
        <v>104</v>
      </c>
      <c r="C970" s="77" t="s">
        <v>49</v>
      </c>
      <c r="D970" s="78">
        <v>84</v>
      </c>
      <c r="E970" s="79"/>
      <c r="F970" s="79" t="e">
        <f t="shared" si="60"/>
        <v>#REF!</v>
      </c>
      <c r="G970" s="2"/>
      <c r="H970" s="37">
        <v>529</v>
      </c>
      <c r="I970" s="4">
        <f t="shared" si="61"/>
        <v>0</v>
      </c>
      <c r="J970" s="25">
        <f t="shared" si="59"/>
        <v>31</v>
      </c>
    </row>
    <row r="971" spans="1:10" ht="16.95" customHeight="1">
      <c r="A971" s="75">
        <v>15</v>
      </c>
      <c r="B971" s="80" t="s">
        <v>105</v>
      </c>
      <c r="C971" s="77" t="s">
        <v>50</v>
      </c>
      <c r="D971" s="78">
        <v>1</v>
      </c>
      <c r="E971" s="79"/>
      <c r="F971" s="79" t="e">
        <f t="shared" si="60"/>
        <v>#REF!</v>
      </c>
      <c r="G971" s="2"/>
      <c r="H971" s="37">
        <v>1146</v>
      </c>
      <c r="I971" s="4">
        <f t="shared" si="61"/>
        <v>0</v>
      </c>
      <c r="J971" s="25">
        <f t="shared" si="59"/>
        <v>31</v>
      </c>
    </row>
    <row r="972" spans="1:10" ht="34.799999999999997" customHeight="1">
      <c r="A972" s="75">
        <v>16</v>
      </c>
      <c r="B972" s="80" t="s">
        <v>106</v>
      </c>
      <c r="C972" s="77" t="s">
        <v>50</v>
      </c>
      <c r="D972" s="78">
        <v>314</v>
      </c>
      <c r="E972" s="79"/>
      <c r="F972" s="79" t="e">
        <f t="shared" si="60"/>
        <v>#REF!</v>
      </c>
      <c r="G972" s="2"/>
      <c r="H972" s="37">
        <v>185</v>
      </c>
      <c r="I972" s="4">
        <f t="shared" si="61"/>
        <v>0</v>
      </c>
      <c r="J972" s="25">
        <f t="shared" si="59"/>
        <v>31</v>
      </c>
    </row>
    <row r="973" spans="1:10" ht="16.95" customHeight="1">
      <c r="A973" s="75">
        <v>17</v>
      </c>
      <c r="B973" s="80" t="s">
        <v>107</v>
      </c>
      <c r="C973" s="77" t="s">
        <v>48</v>
      </c>
      <c r="D973" s="78">
        <v>1</v>
      </c>
      <c r="E973" s="79"/>
      <c r="F973" s="79" t="e">
        <f t="shared" si="60"/>
        <v>#REF!</v>
      </c>
      <c r="G973" s="2"/>
      <c r="H973" s="37">
        <v>89918</v>
      </c>
      <c r="I973" s="4">
        <f t="shared" si="61"/>
        <v>0</v>
      </c>
      <c r="J973" s="25">
        <f t="shared" si="59"/>
        <v>31</v>
      </c>
    </row>
    <row r="974" spans="1:10" ht="16.95" customHeight="1">
      <c r="A974" s="75">
        <v>18</v>
      </c>
      <c r="B974" s="80" t="s">
        <v>108</v>
      </c>
      <c r="C974" s="77" t="s">
        <v>120</v>
      </c>
      <c r="D974" s="78">
        <v>15</v>
      </c>
      <c r="E974" s="79"/>
      <c r="F974" s="79" t="e">
        <f t="shared" si="60"/>
        <v>#REF!</v>
      </c>
      <c r="G974" s="2"/>
      <c r="H974" s="37">
        <v>661</v>
      </c>
      <c r="I974" s="4">
        <f t="shared" si="61"/>
        <v>0</v>
      </c>
      <c r="J974" s="25">
        <f t="shared" si="59"/>
        <v>31</v>
      </c>
    </row>
    <row r="975" spans="1:10" ht="16.95" customHeight="1">
      <c r="A975" s="75">
        <v>19</v>
      </c>
      <c r="B975" s="80" t="s">
        <v>109</v>
      </c>
      <c r="C975" s="77" t="s">
        <v>50</v>
      </c>
      <c r="D975" s="78">
        <v>82</v>
      </c>
      <c r="E975" s="79"/>
      <c r="F975" s="79" t="e">
        <f t="shared" si="60"/>
        <v>#REF!</v>
      </c>
      <c r="G975" s="2"/>
      <c r="H975" s="37">
        <v>2909</v>
      </c>
      <c r="I975" s="4">
        <f t="shared" si="61"/>
        <v>0</v>
      </c>
      <c r="J975" s="25">
        <f t="shared" si="59"/>
        <v>31</v>
      </c>
    </row>
    <row r="976" spans="1:10" ht="16.95" customHeight="1">
      <c r="A976" s="75">
        <v>20</v>
      </c>
      <c r="B976" s="80" t="s">
        <v>110</v>
      </c>
      <c r="C976" s="77" t="s">
        <v>121</v>
      </c>
      <c r="D976" s="78">
        <v>12</v>
      </c>
      <c r="E976" s="79"/>
      <c r="F976" s="79" t="e">
        <f t="shared" si="60"/>
        <v>#REF!</v>
      </c>
      <c r="G976" s="2"/>
      <c r="H976" s="37">
        <v>882</v>
      </c>
      <c r="I976" s="4">
        <f t="shared" si="61"/>
        <v>0</v>
      </c>
      <c r="J976" s="25">
        <f t="shared" si="59"/>
        <v>31</v>
      </c>
    </row>
    <row r="977" spans="1:10" ht="16.95" customHeight="1">
      <c r="A977" s="77">
        <v>21</v>
      </c>
      <c r="B977" s="80" t="s">
        <v>111</v>
      </c>
      <c r="C977" s="77" t="s">
        <v>122</v>
      </c>
      <c r="D977" s="78">
        <v>3</v>
      </c>
      <c r="E977" s="79"/>
      <c r="F977" s="79" t="e">
        <f t="shared" si="60"/>
        <v>#REF!</v>
      </c>
      <c r="G977" s="2"/>
      <c r="H977" s="38">
        <v>1869</v>
      </c>
      <c r="I977" s="4">
        <f t="shared" si="61"/>
        <v>0</v>
      </c>
      <c r="J977" s="25">
        <f t="shared" si="59"/>
        <v>31</v>
      </c>
    </row>
    <row r="978" spans="1:10" ht="34.950000000000003" customHeight="1">
      <c r="A978" s="75">
        <v>22</v>
      </c>
      <c r="B978" s="80" t="s">
        <v>112</v>
      </c>
      <c r="C978" s="77" t="s">
        <v>48</v>
      </c>
      <c r="D978" s="78">
        <v>1</v>
      </c>
      <c r="E978" s="79"/>
      <c r="F978" s="79" t="e">
        <f t="shared" si="60"/>
        <v>#REF!</v>
      </c>
      <c r="G978" s="2"/>
      <c r="H978" s="37">
        <v>82206</v>
      </c>
      <c r="I978" s="4">
        <f t="shared" si="61"/>
        <v>0</v>
      </c>
      <c r="J978" s="25">
        <f t="shared" si="59"/>
        <v>31</v>
      </c>
    </row>
    <row r="979" spans="1:10" ht="16.95" customHeight="1">
      <c r="A979" s="75">
        <v>23</v>
      </c>
      <c r="B979" s="80" t="s">
        <v>113</v>
      </c>
      <c r="C979" s="77" t="s">
        <v>48</v>
      </c>
      <c r="D979" s="78">
        <v>1</v>
      </c>
      <c r="E979" s="79"/>
      <c r="F979" s="79" t="e">
        <f t="shared" si="60"/>
        <v>#REF!</v>
      </c>
      <c r="G979" s="2"/>
      <c r="H979" s="37">
        <v>142723</v>
      </c>
      <c r="I979" s="4">
        <f t="shared" si="61"/>
        <v>0</v>
      </c>
      <c r="J979" s="25">
        <f t="shared" si="59"/>
        <v>31</v>
      </c>
    </row>
    <row r="980" spans="1:10" ht="16.95" customHeight="1">
      <c r="A980" s="75">
        <v>24</v>
      </c>
      <c r="B980" s="80" t="s">
        <v>114</v>
      </c>
      <c r="C980" s="77" t="s">
        <v>48</v>
      </c>
      <c r="D980" s="78">
        <v>1</v>
      </c>
      <c r="E980" s="79"/>
      <c r="F980" s="79" t="e">
        <f t="shared" si="60"/>
        <v>#REF!</v>
      </c>
      <c r="G980" s="2"/>
      <c r="H980" s="37">
        <v>37290</v>
      </c>
      <c r="I980" s="4">
        <f t="shared" si="61"/>
        <v>0</v>
      </c>
      <c r="J980" s="25">
        <f t="shared" si="59"/>
        <v>31</v>
      </c>
    </row>
    <row r="981" spans="1:10" ht="16.95" customHeight="1">
      <c r="A981" s="75">
        <v>25</v>
      </c>
      <c r="B981" s="80" t="s">
        <v>115</v>
      </c>
      <c r="C981" s="77" t="s">
        <v>48</v>
      </c>
      <c r="D981" s="78">
        <v>1</v>
      </c>
      <c r="E981" s="79"/>
      <c r="F981" s="79" t="e">
        <f t="shared" si="60"/>
        <v>#REF!</v>
      </c>
      <c r="G981" s="2"/>
      <c r="H981" s="37">
        <v>99394</v>
      </c>
      <c r="I981" s="4">
        <f t="shared" si="61"/>
        <v>0</v>
      </c>
      <c r="J981" s="25">
        <f t="shared" si="59"/>
        <v>31</v>
      </c>
    </row>
    <row r="982" spans="1:10" ht="34.950000000000003" customHeight="1">
      <c r="A982" s="75">
        <v>26</v>
      </c>
      <c r="B982" s="80" t="s">
        <v>116</v>
      </c>
      <c r="C982" s="77" t="s">
        <v>48</v>
      </c>
      <c r="D982" s="78">
        <v>1</v>
      </c>
      <c r="E982" s="79"/>
      <c r="F982" s="79" t="e">
        <f t="shared" si="60"/>
        <v>#REF!</v>
      </c>
      <c r="G982" s="2"/>
      <c r="H982" s="37">
        <v>21334</v>
      </c>
      <c r="I982" s="4">
        <f t="shared" si="61"/>
        <v>0</v>
      </c>
      <c r="J982" s="25">
        <f t="shared" si="59"/>
        <v>31</v>
      </c>
    </row>
    <row r="983" spans="1:10" ht="16.95" customHeight="1">
      <c r="A983" s="75">
        <v>27</v>
      </c>
      <c r="B983" s="80" t="s">
        <v>117</v>
      </c>
      <c r="C983" s="77" t="s">
        <v>48</v>
      </c>
      <c r="D983" s="78">
        <v>1</v>
      </c>
      <c r="E983" s="79"/>
      <c r="F983" s="79" t="e">
        <f t="shared" si="60"/>
        <v>#REF!</v>
      </c>
      <c r="G983" s="2"/>
      <c r="H983" s="37">
        <v>29620</v>
      </c>
      <c r="I983" s="4">
        <f t="shared" si="61"/>
        <v>0</v>
      </c>
      <c r="J983" s="25">
        <f t="shared" si="59"/>
        <v>31</v>
      </c>
    </row>
    <row r="984" spans="1:10" ht="16.95" customHeight="1">
      <c r="A984" s="75">
        <v>28</v>
      </c>
      <c r="B984" s="80" t="s">
        <v>118</v>
      </c>
      <c r="C984" s="77" t="s">
        <v>48</v>
      </c>
      <c r="D984" s="78">
        <v>1</v>
      </c>
      <c r="E984" s="79"/>
      <c r="F984" s="79" t="e">
        <f t="shared" si="60"/>
        <v>#REF!</v>
      </c>
      <c r="G984" s="2"/>
      <c r="H984" s="37">
        <v>18506</v>
      </c>
      <c r="I984" s="4">
        <f t="shared" si="61"/>
        <v>0</v>
      </c>
      <c r="J984" s="25">
        <f t="shared" si="59"/>
        <v>31</v>
      </c>
    </row>
    <row r="985" spans="1:10" ht="16.95" customHeight="1">
      <c r="A985" s="75">
        <v>29</v>
      </c>
      <c r="B985" s="80" t="s">
        <v>119</v>
      </c>
      <c r="C985" s="77" t="s">
        <v>48</v>
      </c>
      <c r="D985" s="78">
        <v>1</v>
      </c>
      <c r="E985" s="79"/>
      <c r="F985" s="79" t="e">
        <f t="shared" si="60"/>
        <v>#REF!</v>
      </c>
      <c r="G985" s="2"/>
      <c r="H985" s="37">
        <v>34381</v>
      </c>
      <c r="I985" s="4">
        <f t="shared" si="61"/>
        <v>0</v>
      </c>
      <c r="J985" s="25">
        <f t="shared" si="59"/>
        <v>31</v>
      </c>
    </row>
    <row r="986" spans="1:10" ht="16.95" customHeight="1">
      <c r="A986" s="75" t="s">
        <v>79</v>
      </c>
      <c r="B986" s="80" t="s">
        <v>80</v>
      </c>
      <c r="C986" s="77" t="s">
        <v>48</v>
      </c>
      <c r="D986" s="78">
        <v>1</v>
      </c>
      <c r="E986" s="79">
        <f t="shared" ref="E986:E989" si="62">1/120</f>
        <v>8.3333333333333332E-3</v>
      </c>
      <c r="F986" s="79" t="e">
        <f t="shared" si="60"/>
        <v>#REF!</v>
      </c>
      <c r="G986" s="2"/>
      <c r="H986" s="37">
        <v>21395</v>
      </c>
      <c r="I986" s="4">
        <f t="shared" si="61"/>
        <v>178.29166666666666</v>
      </c>
      <c r="J986" s="25">
        <f t="shared" si="59"/>
        <v>31</v>
      </c>
    </row>
    <row r="987" spans="1:10" ht="16.95" customHeight="1">
      <c r="A987" s="75" t="s">
        <v>81</v>
      </c>
      <c r="B987" s="80" t="s">
        <v>82</v>
      </c>
      <c r="C987" s="77" t="s">
        <v>48</v>
      </c>
      <c r="D987" s="78">
        <v>1</v>
      </c>
      <c r="E987" s="79">
        <f t="shared" si="62"/>
        <v>8.3333333333333332E-3</v>
      </c>
      <c r="F987" s="79" t="e">
        <f t="shared" si="60"/>
        <v>#REF!</v>
      </c>
      <c r="G987" s="2"/>
      <c r="H987" s="37">
        <v>21395</v>
      </c>
      <c r="I987" s="4">
        <f t="shared" si="61"/>
        <v>178.29166666666666</v>
      </c>
      <c r="J987" s="25">
        <f t="shared" si="59"/>
        <v>31</v>
      </c>
    </row>
    <row r="988" spans="1:10" ht="16.95" customHeight="1">
      <c r="A988" s="75" t="s">
        <v>83</v>
      </c>
      <c r="B988" s="80" t="s">
        <v>84</v>
      </c>
      <c r="C988" s="77" t="s">
        <v>48</v>
      </c>
      <c r="D988" s="78">
        <v>1</v>
      </c>
      <c r="E988" s="79">
        <f t="shared" si="62"/>
        <v>8.3333333333333332E-3</v>
      </c>
      <c r="F988" s="79" t="e">
        <f t="shared" si="60"/>
        <v>#REF!</v>
      </c>
      <c r="G988" s="2"/>
      <c r="H988" s="37">
        <v>149765</v>
      </c>
      <c r="I988" s="4">
        <f t="shared" si="61"/>
        <v>1248.0416666666667</v>
      </c>
      <c r="J988" s="25">
        <f t="shared" si="59"/>
        <v>31</v>
      </c>
    </row>
    <row r="989" spans="1:10" ht="16.95" customHeight="1">
      <c r="A989" s="75" t="s">
        <v>85</v>
      </c>
      <c r="B989" s="80" t="s">
        <v>86</v>
      </c>
      <c r="C989" s="77" t="s">
        <v>48</v>
      </c>
      <c r="D989" s="78">
        <v>1</v>
      </c>
      <c r="E989" s="79">
        <f t="shared" si="62"/>
        <v>8.3333333333333332E-3</v>
      </c>
      <c r="F989" s="79" t="e">
        <f t="shared" si="60"/>
        <v>#REF!</v>
      </c>
      <c r="G989" s="2"/>
      <c r="H989" s="37">
        <v>6996</v>
      </c>
      <c r="I989" s="4">
        <f t="shared" si="61"/>
        <v>58.3</v>
      </c>
      <c r="J989" s="25">
        <f t="shared" si="59"/>
        <v>31</v>
      </c>
    </row>
    <row r="990" spans="1:10" ht="16.95" customHeight="1">
      <c r="A990" s="75" t="s">
        <v>87</v>
      </c>
      <c r="B990" s="80" t="s">
        <v>88</v>
      </c>
      <c r="C990" s="77" t="s">
        <v>48</v>
      </c>
      <c r="D990" s="78">
        <v>1</v>
      </c>
      <c r="E990" s="79">
        <f>1/120</f>
        <v>8.3333333333333332E-3</v>
      </c>
      <c r="F990" s="79" t="e">
        <f t="shared" si="60"/>
        <v>#REF!</v>
      </c>
      <c r="G990" s="2"/>
      <c r="H990" s="37">
        <v>116952</v>
      </c>
      <c r="I990" s="4">
        <f t="shared" si="61"/>
        <v>974.6</v>
      </c>
      <c r="J990" s="25">
        <f t="shared" si="59"/>
        <v>31</v>
      </c>
    </row>
    <row r="991" spans="1:10" ht="16.95" customHeight="1">
      <c r="A991" s="95" t="s">
        <v>23</v>
      </c>
      <c r="B991" s="95"/>
      <c r="C991" s="50"/>
      <c r="D991" s="50"/>
      <c r="E991" s="50"/>
      <c r="F991" s="50"/>
      <c r="G991" s="50"/>
      <c r="H991" s="3" t="s">
        <v>24</v>
      </c>
      <c r="I991" s="5">
        <f>SUM(I956:I990)</f>
        <v>2637.5250000000001</v>
      </c>
      <c r="J991" s="25">
        <f t="shared" si="59"/>
        <v>31</v>
      </c>
    </row>
    <row r="992" spans="1:10" ht="16.95" customHeight="1">
      <c r="A992" s="96" t="s">
        <v>25</v>
      </c>
      <c r="B992" s="96"/>
      <c r="C992" s="50"/>
      <c r="D992" s="50"/>
      <c r="E992" s="50"/>
      <c r="F992" s="50"/>
      <c r="G992" s="50"/>
      <c r="J992" s="25">
        <f t="shared" si="59"/>
        <v>31</v>
      </c>
    </row>
    <row r="993" spans="1:10" ht="16.95" customHeight="1">
      <c r="A993" s="96" t="s">
        <v>26</v>
      </c>
      <c r="B993" s="96"/>
      <c r="C993" s="50"/>
      <c r="D993" s="50"/>
      <c r="E993" s="50"/>
      <c r="F993" s="50"/>
      <c r="G993" s="50"/>
      <c r="J993" s="25">
        <f t="shared" si="59"/>
        <v>31</v>
      </c>
    </row>
    <row r="994" spans="1:10" ht="16.95" customHeight="1">
      <c r="A994" s="95" t="s">
        <v>27</v>
      </c>
      <c r="B994" s="95"/>
      <c r="C994" s="95"/>
      <c r="D994" s="95"/>
      <c r="E994" s="95"/>
      <c r="F994" s="95"/>
      <c r="G994" s="95"/>
      <c r="J994" s="25">
        <f t="shared" si="59"/>
        <v>31</v>
      </c>
    </row>
    <row r="995" spans="1:10" ht="16.95" customHeight="1">
      <c r="A995" s="94" t="s">
        <v>28</v>
      </c>
      <c r="B995" s="94"/>
      <c r="C995" s="51" t="s">
        <v>29</v>
      </c>
      <c r="D995" s="51" t="s">
        <v>30</v>
      </c>
      <c r="E995" s="51" t="s">
        <v>18</v>
      </c>
      <c r="F995" s="51" t="s">
        <v>31</v>
      </c>
      <c r="G995" s="51" t="s">
        <v>20</v>
      </c>
      <c r="J995" s="25">
        <f t="shared" si="59"/>
        <v>31</v>
      </c>
    </row>
    <row r="996" spans="1:10" ht="16.95" customHeight="1">
      <c r="A996" s="96"/>
      <c r="B996" s="96"/>
      <c r="C996" s="50"/>
      <c r="D996" s="50"/>
      <c r="E996" s="50"/>
      <c r="F996" s="50"/>
      <c r="G996" s="51"/>
      <c r="J996" s="25">
        <f t="shared" si="59"/>
        <v>31</v>
      </c>
    </row>
    <row r="997" spans="1:10" ht="16.95" customHeight="1">
      <c r="A997" s="97"/>
      <c r="B997" s="97"/>
      <c r="C997" s="50"/>
      <c r="D997" s="50"/>
      <c r="E997" s="50"/>
      <c r="F997" s="51"/>
      <c r="G997" s="51"/>
      <c r="J997" s="25">
        <f t="shared" si="59"/>
        <v>31</v>
      </c>
    </row>
    <row r="998" spans="1:10" ht="16.95" customHeight="1">
      <c r="A998" s="95" t="s">
        <v>32</v>
      </c>
      <c r="B998" s="95"/>
      <c r="C998" s="95"/>
      <c r="D998" s="95"/>
      <c r="E998" s="95"/>
      <c r="F998" s="95"/>
      <c r="G998" s="95"/>
      <c r="J998" s="25">
        <f t="shared" si="59"/>
        <v>32</v>
      </c>
    </row>
    <row r="999" spans="1:10" ht="16.95" customHeight="1">
      <c r="A999" s="51" t="s">
        <v>33</v>
      </c>
      <c r="B999" s="51" t="s">
        <v>34</v>
      </c>
      <c r="C999" s="94" t="s">
        <v>35</v>
      </c>
      <c r="D999" s="94"/>
      <c r="E999" s="51" t="s">
        <v>36</v>
      </c>
      <c r="F999" s="51" t="s">
        <v>37</v>
      </c>
      <c r="G999" s="51" t="s">
        <v>38</v>
      </c>
      <c r="J999" s="25">
        <f t="shared" si="59"/>
        <v>32</v>
      </c>
    </row>
    <row r="1000" spans="1:10" ht="16.95" customHeight="1">
      <c r="A1000" s="51" t="s">
        <v>39</v>
      </c>
      <c r="B1000" s="6"/>
      <c r="C1000" s="94" t="e">
        <f>B1000+C937</f>
        <v>#REF!</v>
      </c>
      <c r="D1000" s="94"/>
      <c r="E1000" s="51"/>
      <c r="F1000" s="24"/>
      <c r="G1000" s="24"/>
      <c r="J1000" s="25">
        <f t="shared" si="59"/>
        <v>32</v>
      </c>
    </row>
    <row r="1001" spans="1:10" ht="16.95" customHeight="1">
      <c r="A1001" s="51" t="s">
        <v>40</v>
      </c>
      <c r="B1001" s="6"/>
      <c r="C1001" s="94" t="e">
        <f>B1001+C938</f>
        <v>#REF!</v>
      </c>
      <c r="D1001" s="94"/>
      <c r="E1001" s="51"/>
      <c r="F1001" s="24"/>
      <c r="G1001" s="24"/>
      <c r="J1001" s="25">
        <f t="shared" si="59"/>
        <v>32</v>
      </c>
    </row>
    <row r="1002" spans="1:10" ht="36.6" customHeight="1">
      <c r="A1002" s="95" t="s">
        <v>41</v>
      </c>
      <c r="B1002" s="95"/>
      <c r="C1002" s="95"/>
      <c r="D1002" s="95"/>
      <c r="E1002" s="95"/>
      <c r="F1002" s="95"/>
      <c r="G1002" s="95"/>
      <c r="J1002" s="25">
        <f t="shared" si="59"/>
        <v>32</v>
      </c>
    </row>
    <row r="1003" spans="1:10" ht="90" customHeight="1">
      <c r="A1003" s="92" t="s">
        <v>42</v>
      </c>
      <c r="B1003" s="92"/>
      <c r="C1003" s="92"/>
      <c r="D1003" s="92"/>
      <c r="E1003" s="92"/>
      <c r="F1003" s="92"/>
      <c r="G1003" s="92"/>
      <c r="J1003" s="25">
        <f t="shared" si="59"/>
        <v>32</v>
      </c>
    </row>
    <row r="1004" spans="1:10" ht="16.95" customHeight="1">
      <c r="A1004" s="95" t="s">
        <v>43</v>
      </c>
      <c r="B1004" s="95"/>
      <c r="C1004" s="95"/>
      <c r="D1004" s="95"/>
      <c r="E1004" s="95"/>
      <c r="F1004" s="95"/>
      <c r="G1004" s="95"/>
      <c r="J1004" s="25">
        <f t="shared" si="59"/>
        <v>32</v>
      </c>
    </row>
    <row r="1005" spans="1:10" ht="16.95" customHeight="1">
      <c r="A1005" s="95" t="s">
        <v>44</v>
      </c>
      <c r="B1005" s="95"/>
      <c r="C1005" s="95"/>
      <c r="D1005" s="95"/>
      <c r="E1005" s="95"/>
      <c r="F1005" s="95"/>
      <c r="G1005" s="95"/>
      <c r="J1005" s="25">
        <f t="shared" si="59"/>
        <v>32</v>
      </c>
    </row>
    <row r="1006" spans="1:10" ht="16.95" customHeight="1">
      <c r="A1006" s="91" t="s">
        <v>64</v>
      </c>
      <c r="B1006" s="91"/>
      <c r="C1006" s="91"/>
      <c r="D1006" s="91"/>
      <c r="E1006" s="91"/>
      <c r="F1006" s="91"/>
      <c r="G1006" s="91"/>
      <c r="J1006" s="25">
        <f t="shared" si="59"/>
        <v>32</v>
      </c>
    </row>
    <row r="1007" spans="1:10" ht="120.6" customHeight="1">
      <c r="A1007" s="92" t="s">
        <v>45</v>
      </c>
      <c r="B1007" s="92"/>
      <c r="C1007" s="92"/>
      <c r="D1007" s="92"/>
      <c r="E1007" s="92"/>
      <c r="F1007" s="92"/>
      <c r="G1007" s="92"/>
      <c r="J1007" s="25">
        <f t="shared" si="59"/>
        <v>32</v>
      </c>
    </row>
    <row r="1008" spans="1:10" ht="140.4" customHeight="1">
      <c r="A1008" s="93" t="s">
        <v>46</v>
      </c>
      <c r="B1008" s="93"/>
      <c r="C1008" s="93"/>
      <c r="D1008" s="93"/>
      <c r="E1008" s="93"/>
      <c r="F1008" s="93"/>
      <c r="G1008" s="93"/>
      <c r="J1008" s="25">
        <f t="shared" si="59"/>
        <v>32</v>
      </c>
    </row>
    <row r="1009" spans="1:10" ht="37.200000000000003" customHeight="1">
      <c r="A1009" s="103" t="s">
        <v>0</v>
      </c>
      <c r="B1009" s="103"/>
      <c r="C1009" s="103"/>
      <c r="D1009" s="103"/>
      <c r="E1009" s="103"/>
      <c r="F1009" s="103"/>
      <c r="G1009" s="103"/>
      <c r="J1009" s="25">
        <f t="shared" si="59"/>
        <v>33</v>
      </c>
    </row>
    <row r="1010" spans="1:10" ht="16.95" customHeight="1">
      <c r="A1010" s="1" t="s">
        <v>1</v>
      </c>
      <c r="B1010" s="104">
        <f>B947+1</f>
        <v>18</v>
      </c>
      <c r="C1010" s="104"/>
      <c r="D1010" s="104"/>
      <c r="E1010" s="104"/>
      <c r="F1010" s="104"/>
      <c r="G1010" s="104"/>
      <c r="J1010" s="25">
        <f t="shared" si="59"/>
        <v>33</v>
      </c>
    </row>
    <row r="1011" spans="1:10" ht="16.95" customHeight="1">
      <c r="A1011" s="1" t="s">
        <v>2</v>
      </c>
      <c r="B1011" s="105" t="s">
        <v>63</v>
      </c>
      <c r="C1011" s="105"/>
      <c r="D1011" s="105"/>
      <c r="E1011" s="106">
        <f>E948+1</f>
        <v>46220</v>
      </c>
      <c r="F1011" s="106"/>
      <c r="G1011" s="106"/>
      <c r="J1011" s="25">
        <f t="shared" si="59"/>
        <v>33</v>
      </c>
    </row>
    <row r="1012" spans="1:10" ht="16.95" customHeight="1">
      <c r="A1012" s="53" t="s">
        <v>3</v>
      </c>
      <c r="B1012" s="2" t="s">
        <v>67</v>
      </c>
      <c r="C1012" s="98" t="s">
        <v>4</v>
      </c>
      <c r="D1012" s="98"/>
      <c r="E1012" s="98" t="s">
        <v>47</v>
      </c>
      <c r="F1012" s="98"/>
      <c r="G1012" s="98"/>
      <c r="J1012" s="25">
        <f t="shared" si="59"/>
        <v>33</v>
      </c>
    </row>
    <row r="1013" spans="1:10" ht="16.95" customHeight="1">
      <c r="A1013" s="53" t="s">
        <v>5</v>
      </c>
      <c r="B1013" s="54">
        <v>120</v>
      </c>
      <c r="C1013" s="98" t="s">
        <v>6</v>
      </c>
      <c r="D1013" s="98"/>
      <c r="E1013" s="98" t="s">
        <v>123</v>
      </c>
      <c r="F1013" s="98"/>
      <c r="G1013" s="98"/>
      <c r="J1013" s="25">
        <f t="shared" si="59"/>
        <v>33</v>
      </c>
    </row>
    <row r="1014" spans="1:10" ht="16.95" customHeight="1">
      <c r="A1014" s="53" t="s">
        <v>7</v>
      </c>
      <c r="B1014" s="54">
        <f>B1010</f>
        <v>18</v>
      </c>
      <c r="C1014" s="100" t="s">
        <v>8</v>
      </c>
      <c r="D1014" s="100"/>
      <c r="E1014" s="101">
        <f>B1013-B1014</f>
        <v>102</v>
      </c>
      <c r="F1014" s="101"/>
      <c r="G1014" s="101"/>
      <c r="J1014" s="25">
        <f t="shared" si="59"/>
        <v>33</v>
      </c>
    </row>
    <row r="1015" spans="1:10" ht="16.95" customHeight="1">
      <c r="A1015" s="53" t="s">
        <v>9</v>
      </c>
      <c r="B1015" s="55">
        <v>46204</v>
      </c>
      <c r="C1015" s="98" t="s">
        <v>10</v>
      </c>
      <c r="D1015" s="98"/>
      <c r="E1015" s="102">
        <f>B1015+B1013-1</f>
        <v>46323</v>
      </c>
      <c r="F1015" s="102"/>
      <c r="G1015" s="102"/>
      <c r="J1015" s="25">
        <f t="shared" si="59"/>
        <v>33</v>
      </c>
    </row>
    <row r="1016" spans="1:10" ht="16.95" customHeight="1">
      <c r="A1016" s="53" t="s">
        <v>11</v>
      </c>
      <c r="B1016" s="56" t="e">
        <f>HLOOKUP(B1010,進度表!$Q$2:$Z$3,2,1)+B953</f>
        <v>#REF!</v>
      </c>
      <c r="C1016" s="98" t="s">
        <v>12</v>
      </c>
      <c r="D1016" s="98"/>
      <c r="E1016" s="99" t="e">
        <f>I1054/I1016+E953</f>
        <v>#REF!</v>
      </c>
      <c r="F1016" s="99"/>
      <c r="G1016" s="99"/>
      <c r="H1016" s="3" t="s">
        <v>62</v>
      </c>
      <c r="I1016" s="1">
        <v>2456000</v>
      </c>
      <c r="J1016" s="25">
        <f t="shared" si="59"/>
        <v>33</v>
      </c>
    </row>
    <row r="1017" spans="1:10" ht="16.95" customHeight="1">
      <c r="A1017" s="98" t="s">
        <v>13</v>
      </c>
      <c r="B1017" s="98"/>
      <c r="C1017" s="98"/>
      <c r="D1017" s="98"/>
      <c r="E1017" s="98"/>
      <c r="F1017" s="98"/>
      <c r="G1017" s="98"/>
      <c r="J1017" s="25">
        <f t="shared" si="59"/>
        <v>33</v>
      </c>
    </row>
    <row r="1018" spans="1:10" ht="16.95" customHeight="1">
      <c r="A1018" s="52" t="s">
        <v>14</v>
      </c>
      <c r="B1018" s="52" t="s">
        <v>15</v>
      </c>
      <c r="C1018" s="52" t="s">
        <v>16</v>
      </c>
      <c r="D1018" s="52" t="s">
        <v>17</v>
      </c>
      <c r="E1018" s="52" t="s">
        <v>18</v>
      </c>
      <c r="F1018" s="52" t="s">
        <v>19</v>
      </c>
      <c r="G1018" s="52" t="s">
        <v>20</v>
      </c>
      <c r="H1018" s="3" t="s">
        <v>21</v>
      </c>
      <c r="I1018" s="3" t="s">
        <v>22</v>
      </c>
      <c r="J1018" s="25">
        <f t="shared" si="59"/>
        <v>33</v>
      </c>
    </row>
    <row r="1019" spans="1:10" ht="16.95" customHeight="1">
      <c r="A1019" s="75" t="s">
        <v>65</v>
      </c>
      <c r="B1019" s="76" t="s">
        <v>69</v>
      </c>
      <c r="C1019" s="77"/>
      <c r="D1019" s="78"/>
      <c r="E1019" s="79"/>
      <c r="F1019" s="79"/>
      <c r="G1019" s="2"/>
      <c r="H1019" s="37"/>
      <c r="I1019" s="4"/>
      <c r="J1019" s="25">
        <f t="shared" ref="J1019:J1082" si="63">J956+2</f>
        <v>33</v>
      </c>
    </row>
    <row r="1020" spans="1:10" ht="34.950000000000003" customHeight="1">
      <c r="A1020" s="75">
        <v>1</v>
      </c>
      <c r="B1020" s="80" t="s">
        <v>91</v>
      </c>
      <c r="C1020" s="77" t="s">
        <v>48</v>
      </c>
      <c r="D1020" s="78">
        <v>1</v>
      </c>
      <c r="E1020" s="79"/>
      <c r="F1020" s="79" t="e">
        <f t="shared" ref="F1020:F1053" si="64">E1020+F957</f>
        <v>#REF!</v>
      </c>
      <c r="G1020" s="2"/>
      <c r="H1020" s="37">
        <v>10508</v>
      </c>
      <c r="I1020" s="4">
        <f>H1020*E1020</f>
        <v>0</v>
      </c>
      <c r="J1020" s="25">
        <f t="shared" si="63"/>
        <v>33</v>
      </c>
    </row>
    <row r="1021" spans="1:10" ht="34.799999999999997" customHeight="1">
      <c r="A1021" s="75">
        <v>2</v>
      </c>
      <c r="B1021" s="80" t="s">
        <v>92</v>
      </c>
      <c r="C1021" s="77" t="s">
        <v>48</v>
      </c>
      <c r="D1021" s="78">
        <v>1</v>
      </c>
      <c r="E1021" s="79"/>
      <c r="F1021" s="79" t="e">
        <f t="shared" si="64"/>
        <v>#REF!</v>
      </c>
      <c r="G1021" s="2"/>
      <c r="H1021" s="37">
        <v>13223</v>
      </c>
      <c r="I1021" s="4">
        <f>H1021*E1021</f>
        <v>0</v>
      </c>
      <c r="J1021" s="25">
        <f t="shared" si="63"/>
        <v>33</v>
      </c>
    </row>
    <row r="1022" spans="1:10" ht="53.4" customHeight="1">
      <c r="A1022" s="75">
        <v>3</v>
      </c>
      <c r="B1022" s="80" t="s">
        <v>93</v>
      </c>
      <c r="C1022" s="77" t="s">
        <v>48</v>
      </c>
      <c r="D1022" s="78">
        <v>1</v>
      </c>
      <c r="E1022" s="79"/>
      <c r="F1022" s="79" t="e">
        <f t="shared" si="64"/>
        <v>#REF!</v>
      </c>
      <c r="G1022" s="2"/>
      <c r="H1022" s="37">
        <v>310497</v>
      </c>
      <c r="I1022" s="4">
        <f t="shared" ref="I1022:I1053" si="65">H1022*E1022</f>
        <v>0</v>
      </c>
      <c r="J1022" s="25">
        <f t="shared" si="63"/>
        <v>33</v>
      </c>
    </row>
    <row r="1023" spans="1:10" ht="16.95" customHeight="1">
      <c r="A1023" s="75">
        <v>4</v>
      </c>
      <c r="B1023" s="80" t="s">
        <v>94</v>
      </c>
      <c r="C1023" s="77" t="s">
        <v>48</v>
      </c>
      <c r="D1023" s="78">
        <v>1</v>
      </c>
      <c r="E1023" s="79"/>
      <c r="F1023" s="79" t="e">
        <f t="shared" si="64"/>
        <v>#REF!</v>
      </c>
      <c r="G1023" s="2"/>
      <c r="H1023" s="37">
        <v>8375</v>
      </c>
      <c r="I1023" s="4">
        <f t="shared" si="65"/>
        <v>0</v>
      </c>
      <c r="J1023" s="25">
        <f t="shared" si="63"/>
        <v>33</v>
      </c>
    </row>
    <row r="1024" spans="1:10" ht="16.95" customHeight="1">
      <c r="A1024" s="75">
        <v>5</v>
      </c>
      <c r="B1024" s="80" t="s">
        <v>95</v>
      </c>
      <c r="C1024" s="77" t="s">
        <v>48</v>
      </c>
      <c r="D1024" s="78">
        <v>1</v>
      </c>
      <c r="E1024" s="79"/>
      <c r="F1024" s="79" t="e">
        <f t="shared" si="64"/>
        <v>#REF!</v>
      </c>
      <c r="G1024" s="2"/>
      <c r="H1024" s="37">
        <v>51618</v>
      </c>
      <c r="I1024" s="4">
        <f t="shared" si="65"/>
        <v>0</v>
      </c>
      <c r="J1024" s="25">
        <f t="shared" si="63"/>
        <v>33</v>
      </c>
    </row>
    <row r="1025" spans="1:10" ht="16.95" customHeight="1">
      <c r="A1025" s="75">
        <v>6</v>
      </c>
      <c r="B1025" s="80" t="s">
        <v>96</v>
      </c>
      <c r="C1025" s="77" t="s">
        <v>50</v>
      </c>
      <c r="D1025" s="78">
        <v>11.55</v>
      </c>
      <c r="E1025" s="79"/>
      <c r="F1025" s="79" t="e">
        <f t="shared" si="64"/>
        <v>#REF!</v>
      </c>
      <c r="G1025" s="2"/>
      <c r="H1025" s="37">
        <v>1188</v>
      </c>
      <c r="I1025" s="4">
        <f t="shared" si="65"/>
        <v>0</v>
      </c>
      <c r="J1025" s="25">
        <f t="shared" si="63"/>
        <v>33</v>
      </c>
    </row>
    <row r="1026" spans="1:10" ht="34.950000000000003" customHeight="1">
      <c r="A1026" s="75">
        <v>7</v>
      </c>
      <c r="B1026" s="80" t="s">
        <v>97</v>
      </c>
      <c r="C1026" s="77" t="s">
        <v>48</v>
      </c>
      <c r="D1026" s="78">
        <v>1</v>
      </c>
      <c r="E1026" s="79"/>
      <c r="F1026" s="79" t="e">
        <f t="shared" si="64"/>
        <v>#REF!</v>
      </c>
      <c r="G1026" s="2"/>
      <c r="H1026" s="37">
        <v>21157</v>
      </c>
      <c r="I1026" s="4">
        <f t="shared" si="65"/>
        <v>0</v>
      </c>
      <c r="J1026" s="25">
        <f t="shared" si="63"/>
        <v>33</v>
      </c>
    </row>
    <row r="1027" spans="1:10" ht="16.95" customHeight="1">
      <c r="A1027" s="75">
        <v>8</v>
      </c>
      <c r="B1027" s="80" t="s">
        <v>98</v>
      </c>
      <c r="C1027" s="77" t="s">
        <v>50</v>
      </c>
      <c r="D1027" s="78">
        <v>387</v>
      </c>
      <c r="E1027" s="79"/>
      <c r="F1027" s="79" t="e">
        <f t="shared" si="64"/>
        <v>#REF!</v>
      </c>
      <c r="G1027" s="2"/>
      <c r="H1027" s="37">
        <v>705</v>
      </c>
      <c r="I1027" s="4">
        <f t="shared" si="65"/>
        <v>0</v>
      </c>
      <c r="J1027" s="25">
        <f t="shared" si="63"/>
        <v>33</v>
      </c>
    </row>
    <row r="1028" spans="1:10" ht="16.95" customHeight="1">
      <c r="A1028" s="75">
        <v>9</v>
      </c>
      <c r="B1028" s="80" t="s">
        <v>99</v>
      </c>
      <c r="C1028" s="77" t="s">
        <v>50</v>
      </c>
      <c r="D1028" s="78">
        <v>170</v>
      </c>
      <c r="E1028" s="79"/>
      <c r="F1028" s="79" t="e">
        <f t="shared" si="64"/>
        <v>#REF!</v>
      </c>
      <c r="G1028" s="2"/>
      <c r="H1028" s="37">
        <v>617</v>
      </c>
      <c r="I1028" s="4">
        <f t="shared" si="65"/>
        <v>0</v>
      </c>
      <c r="J1028" s="25">
        <f t="shared" si="63"/>
        <v>33</v>
      </c>
    </row>
    <row r="1029" spans="1:10" ht="16.95" customHeight="1">
      <c r="A1029" s="75">
        <v>10</v>
      </c>
      <c r="B1029" s="80" t="s">
        <v>100</v>
      </c>
      <c r="C1029" s="77" t="s">
        <v>66</v>
      </c>
      <c r="D1029" s="78">
        <v>15</v>
      </c>
      <c r="E1029" s="79"/>
      <c r="F1029" s="79" t="e">
        <f t="shared" si="64"/>
        <v>#REF!</v>
      </c>
      <c r="G1029" s="2"/>
      <c r="H1029" s="37">
        <v>617</v>
      </c>
      <c r="I1029" s="4">
        <f t="shared" si="65"/>
        <v>0</v>
      </c>
      <c r="J1029" s="25">
        <f t="shared" si="63"/>
        <v>33</v>
      </c>
    </row>
    <row r="1030" spans="1:10" ht="16.95" customHeight="1">
      <c r="A1030" s="75">
        <v>11</v>
      </c>
      <c r="B1030" s="80" t="s">
        <v>101</v>
      </c>
      <c r="C1030" s="77" t="s">
        <v>50</v>
      </c>
      <c r="D1030" s="78">
        <v>75</v>
      </c>
      <c r="E1030" s="79"/>
      <c r="F1030" s="79" t="e">
        <f t="shared" si="64"/>
        <v>#REF!</v>
      </c>
      <c r="G1030" s="2"/>
      <c r="H1030" s="37">
        <v>1146</v>
      </c>
      <c r="I1030" s="4">
        <f t="shared" si="65"/>
        <v>0</v>
      </c>
      <c r="J1030" s="25">
        <f t="shared" si="63"/>
        <v>33</v>
      </c>
    </row>
    <row r="1031" spans="1:10" ht="16.95" customHeight="1">
      <c r="A1031" s="75">
        <v>12</v>
      </c>
      <c r="B1031" s="80" t="s">
        <v>102</v>
      </c>
      <c r="C1031" s="77" t="s">
        <v>50</v>
      </c>
      <c r="D1031" s="78">
        <v>5</v>
      </c>
      <c r="E1031" s="79"/>
      <c r="F1031" s="79" t="e">
        <f t="shared" si="64"/>
        <v>#REF!</v>
      </c>
      <c r="G1031" s="2"/>
      <c r="H1031" s="37">
        <v>1455</v>
      </c>
      <c r="I1031" s="4">
        <f t="shared" si="65"/>
        <v>0</v>
      </c>
      <c r="J1031" s="25">
        <f t="shared" si="63"/>
        <v>33</v>
      </c>
    </row>
    <row r="1032" spans="1:10" ht="16.95" customHeight="1">
      <c r="A1032" s="75">
        <v>13</v>
      </c>
      <c r="B1032" s="80" t="s">
        <v>103</v>
      </c>
      <c r="C1032" s="77" t="s">
        <v>50</v>
      </c>
      <c r="D1032" s="78">
        <v>217</v>
      </c>
      <c r="E1032" s="79"/>
      <c r="F1032" s="79" t="e">
        <f t="shared" si="64"/>
        <v>#REF!</v>
      </c>
      <c r="G1032" s="2"/>
      <c r="H1032" s="37">
        <v>1410</v>
      </c>
      <c r="I1032" s="4">
        <f t="shared" si="65"/>
        <v>0</v>
      </c>
      <c r="J1032" s="25">
        <f t="shared" si="63"/>
        <v>33</v>
      </c>
    </row>
    <row r="1033" spans="1:10" ht="16.95" customHeight="1">
      <c r="A1033" s="75">
        <v>14</v>
      </c>
      <c r="B1033" s="80" t="s">
        <v>104</v>
      </c>
      <c r="C1033" s="77" t="s">
        <v>49</v>
      </c>
      <c r="D1033" s="78">
        <v>84</v>
      </c>
      <c r="E1033" s="79"/>
      <c r="F1033" s="79" t="e">
        <f t="shared" si="64"/>
        <v>#REF!</v>
      </c>
      <c r="G1033" s="2"/>
      <c r="H1033" s="37">
        <v>529</v>
      </c>
      <c r="I1033" s="4">
        <f t="shared" si="65"/>
        <v>0</v>
      </c>
      <c r="J1033" s="25">
        <f t="shared" si="63"/>
        <v>33</v>
      </c>
    </row>
    <row r="1034" spans="1:10" ht="16.95" customHeight="1">
      <c r="A1034" s="75">
        <v>15</v>
      </c>
      <c r="B1034" s="80" t="s">
        <v>105</v>
      </c>
      <c r="C1034" s="77" t="s">
        <v>50</v>
      </c>
      <c r="D1034" s="78">
        <v>1</v>
      </c>
      <c r="E1034" s="79"/>
      <c r="F1034" s="79" t="e">
        <f t="shared" si="64"/>
        <v>#REF!</v>
      </c>
      <c r="G1034" s="2"/>
      <c r="H1034" s="37">
        <v>1146</v>
      </c>
      <c r="I1034" s="4">
        <f t="shared" si="65"/>
        <v>0</v>
      </c>
      <c r="J1034" s="25">
        <f t="shared" si="63"/>
        <v>33</v>
      </c>
    </row>
    <row r="1035" spans="1:10" ht="34.799999999999997" customHeight="1">
      <c r="A1035" s="75">
        <v>16</v>
      </c>
      <c r="B1035" s="80" t="s">
        <v>106</v>
      </c>
      <c r="C1035" s="77" t="s">
        <v>50</v>
      </c>
      <c r="D1035" s="78">
        <v>314</v>
      </c>
      <c r="E1035" s="79"/>
      <c r="F1035" s="79" t="e">
        <f t="shared" si="64"/>
        <v>#REF!</v>
      </c>
      <c r="G1035" s="2"/>
      <c r="H1035" s="37">
        <v>185</v>
      </c>
      <c r="I1035" s="4">
        <f t="shared" si="65"/>
        <v>0</v>
      </c>
      <c r="J1035" s="25">
        <f t="shared" si="63"/>
        <v>33</v>
      </c>
    </row>
    <row r="1036" spans="1:10" ht="16.95" customHeight="1">
      <c r="A1036" s="75">
        <v>17</v>
      </c>
      <c r="B1036" s="80" t="s">
        <v>107</v>
      </c>
      <c r="C1036" s="77" t="s">
        <v>48</v>
      </c>
      <c r="D1036" s="78">
        <v>1</v>
      </c>
      <c r="E1036" s="79"/>
      <c r="F1036" s="79" t="e">
        <f t="shared" si="64"/>
        <v>#REF!</v>
      </c>
      <c r="G1036" s="2"/>
      <c r="H1036" s="37">
        <v>89918</v>
      </c>
      <c r="I1036" s="4">
        <f t="shared" si="65"/>
        <v>0</v>
      </c>
      <c r="J1036" s="25">
        <f t="shared" si="63"/>
        <v>33</v>
      </c>
    </row>
    <row r="1037" spans="1:10" ht="16.95" customHeight="1">
      <c r="A1037" s="75">
        <v>18</v>
      </c>
      <c r="B1037" s="80" t="s">
        <v>108</v>
      </c>
      <c r="C1037" s="77" t="s">
        <v>120</v>
      </c>
      <c r="D1037" s="78">
        <v>15</v>
      </c>
      <c r="E1037" s="79"/>
      <c r="F1037" s="79" t="e">
        <f t="shared" si="64"/>
        <v>#REF!</v>
      </c>
      <c r="G1037" s="2"/>
      <c r="H1037" s="37">
        <v>661</v>
      </c>
      <c r="I1037" s="4">
        <f t="shared" si="65"/>
        <v>0</v>
      </c>
      <c r="J1037" s="25">
        <f t="shared" si="63"/>
        <v>33</v>
      </c>
    </row>
    <row r="1038" spans="1:10" ht="16.95" customHeight="1">
      <c r="A1038" s="75">
        <v>19</v>
      </c>
      <c r="B1038" s="80" t="s">
        <v>109</v>
      </c>
      <c r="C1038" s="77" t="s">
        <v>50</v>
      </c>
      <c r="D1038" s="78">
        <v>82</v>
      </c>
      <c r="E1038" s="79"/>
      <c r="F1038" s="79" t="e">
        <f t="shared" si="64"/>
        <v>#REF!</v>
      </c>
      <c r="G1038" s="2"/>
      <c r="H1038" s="37">
        <v>2909</v>
      </c>
      <c r="I1038" s="4">
        <f t="shared" si="65"/>
        <v>0</v>
      </c>
      <c r="J1038" s="25">
        <f t="shared" si="63"/>
        <v>33</v>
      </c>
    </row>
    <row r="1039" spans="1:10" ht="16.95" customHeight="1">
      <c r="A1039" s="75">
        <v>20</v>
      </c>
      <c r="B1039" s="80" t="s">
        <v>110</v>
      </c>
      <c r="C1039" s="77" t="s">
        <v>121</v>
      </c>
      <c r="D1039" s="78">
        <v>12</v>
      </c>
      <c r="E1039" s="79"/>
      <c r="F1039" s="79" t="e">
        <f t="shared" si="64"/>
        <v>#REF!</v>
      </c>
      <c r="G1039" s="2"/>
      <c r="H1039" s="37">
        <v>882</v>
      </c>
      <c r="I1039" s="4">
        <f t="shared" si="65"/>
        <v>0</v>
      </c>
      <c r="J1039" s="25">
        <f t="shared" si="63"/>
        <v>33</v>
      </c>
    </row>
    <row r="1040" spans="1:10" ht="16.95" customHeight="1">
      <c r="A1040" s="77">
        <v>21</v>
      </c>
      <c r="B1040" s="80" t="s">
        <v>111</v>
      </c>
      <c r="C1040" s="77" t="s">
        <v>122</v>
      </c>
      <c r="D1040" s="78">
        <v>3</v>
      </c>
      <c r="E1040" s="79"/>
      <c r="F1040" s="79" t="e">
        <f t="shared" si="64"/>
        <v>#REF!</v>
      </c>
      <c r="G1040" s="2"/>
      <c r="H1040" s="38">
        <v>1869</v>
      </c>
      <c r="I1040" s="4">
        <f t="shared" si="65"/>
        <v>0</v>
      </c>
      <c r="J1040" s="25">
        <f t="shared" si="63"/>
        <v>33</v>
      </c>
    </row>
    <row r="1041" spans="1:10" ht="34.950000000000003" customHeight="1">
      <c r="A1041" s="75">
        <v>22</v>
      </c>
      <c r="B1041" s="80" t="s">
        <v>112</v>
      </c>
      <c r="C1041" s="77" t="s">
        <v>48</v>
      </c>
      <c r="D1041" s="78">
        <v>1</v>
      </c>
      <c r="E1041" s="79"/>
      <c r="F1041" s="79" t="e">
        <f t="shared" si="64"/>
        <v>#REF!</v>
      </c>
      <c r="G1041" s="2"/>
      <c r="H1041" s="37">
        <v>82206</v>
      </c>
      <c r="I1041" s="4">
        <f t="shared" si="65"/>
        <v>0</v>
      </c>
      <c r="J1041" s="25">
        <f t="shared" si="63"/>
        <v>33</v>
      </c>
    </row>
    <row r="1042" spans="1:10" ht="16.95" customHeight="1">
      <c r="A1042" s="75">
        <v>23</v>
      </c>
      <c r="B1042" s="80" t="s">
        <v>113</v>
      </c>
      <c r="C1042" s="77" t="s">
        <v>48</v>
      </c>
      <c r="D1042" s="78">
        <v>1</v>
      </c>
      <c r="E1042" s="79"/>
      <c r="F1042" s="79" t="e">
        <f t="shared" si="64"/>
        <v>#REF!</v>
      </c>
      <c r="G1042" s="2"/>
      <c r="H1042" s="37">
        <v>142723</v>
      </c>
      <c r="I1042" s="4">
        <f t="shared" si="65"/>
        <v>0</v>
      </c>
      <c r="J1042" s="25">
        <f t="shared" si="63"/>
        <v>33</v>
      </c>
    </row>
    <row r="1043" spans="1:10" ht="16.95" customHeight="1">
      <c r="A1043" s="75">
        <v>24</v>
      </c>
      <c r="B1043" s="80" t="s">
        <v>114</v>
      </c>
      <c r="C1043" s="77" t="s">
        <v>48</v>
      </c>
      <c r="D1043" s="78">
        <v>1</v>
      </c>
      <c r="E1043" s="79"/>
      <c r="F1043" s="79" t="e">
        <f t="shared" si="64"/>
        <v>#REF!</v>
      </c>
      <c r="G1043" s="2"/>
      <c r="H1043" s="37">
        <v>37290</v>
      </c>
      <c r="I1043" s="4">
        <f t="shared" si="65"/>
        <v>0</v>
      </c>
      <c r="J1043" s="25">
        <f t="shared" si="63"/>
        <v>33</v>
      </c>
    </row>
    <row r="1044" spans="1:10" ht="16.95" customHeight="1">
      <c r="A1044" s="75">
        <v>25</v>
      </c>
      <c r="B1044" s="80" t="s">
        <v>115</v>
      </c>
      <c r="C1044" s="77" t="s">
        <v>48</v>
      </c>
      <c r="D1044" s="78">
        <v>1</v>
      </c>
      <c r="E1044" s="79"/>
      <c r="F1044" s="79" t="e">
        <f t="shared" si="64"/>
        <v>#REF!</v>
      </c>
      <c r="G1044" s="2"/>
      <c r="H1044" s="37">
        <v>99394</v>
      </c>
      <c r="I1044" s="4">
        <f t="shared" si="65"/>
        <v>0</v>
      </c>
      <c r="J1044" s="25">
        <f t="shared" si="63"/>
        <v>33</v>
      </c>
    </row>
    <row r="1045" spans="1:10" ht="34.950000000000003" customHeight="1">
      <c r="A1045" s="75">
        <v>26</v>
      </c>
      <c r="B1045" s="80" t="s">
        <v>116</v>
      </c>
      <c r="C1045" s="77" t="s">
        <v>48</v>
      </c>
      <c r="D1045" s="78">
        <v>1</v>
      </c>
      <c r="E1045" s="79"/>
      <c r="F1045" s="79" t="e">
        <f t="shared" si="64"/>
        <v>#REF!</v>
      </c>
      <c r="G1045" s="2"/>
      <c r="H1045" s="37">
        <v>21334</v>
      </c>
      <c r="I1045" s="4">
        <f t="shared" si="65"/>
        <v>0</v>
      </c>
      <c r="J1045" s="25">
        <f t="shared" si="63"/>
        <v>33</v>
      </c>
    </row>
    <row r="1046" spans="1:10" ht="16.95" customHeight="1">
      <c r="A1046" s="75">
        <v>27</v>
      </c>
      <c r="B1046" s="80" t="s">
        <v>117</v>
      </c>
      <c r="C1046" s="77" t="s">
        <v>48</v>
      </c>
      <c r="D1046" s="78">
        <v>1</v>
      </c>
      <c r="E1046" s="79"/>
      <c r="F1046" s="79" t="e">
        <f t="shared" si="64"/>
        <v>#REF!</v>
      </c>
      <c r="G1046" s="2"/>
      <c r="H1046" s="37">
        <v>29620</v>
      </c>
      <c r="I1046" s="4">
        <f t="shared" si="65"/>
        <v>0</v>
      </c>
      <c r="J1046" s="25">
        <f t="shared" si="63"/>
        <v>33</v>
      </c>
    </row>
    <row r="1047" spans="1:10" ht="16.95" customHeight="1">
      <c r="A1047" s="75">
        <v>28</v>
      </c>
      <c r="B1047" s="80" t="s">
        <v>118</v>
      </c>
      <c r="C1047" s="77" t="s">
        <v>48</v>
      </c>
      <c r="D1047" s="78">
        <v>1</v>
      </c>
      <c r="E1047" s="79"/>
      <c r="F1047" s="79" t="e">
        <f t="shared" si="64"/>
        <v>#REF!</v>
      </c>
      <c r="G1047" s="2"/>
      <c r="H1047" s="37">
        <v>18506</v>
      </c>
      <c r="I1047" s="4">
        <f t="shared" si="65"/>
        <v>0</v>
      </c>
      <c r="J1047" s="25">
        <f t="shared" si="63"/>
        <v>33</v>
      </c>
    </row>
    <row r="1048" spans="1:10" ht="16.95" customHeight="1">
      <c r="A1048" s="75">
        <v>29</v>
      </c>
      <c r="B1048" s="80" t="s">
        <v>119</v>
      </c>
      <c r="C1048" s="77" t="s">
        <v>48</v>
      </c>
      <c r="D1048" s="78">
        <v>1</v>
      </c>
      <c r="E1048" s="79"/>
      <c r="F1048" s="79" t="e">
        <f t="shared" si="64"/>
        <v>#REF!</v>
      </c>
      <c r="G1048" s="2"/>
      <c r="H1048" s="37">
        <v>34381</v>
      </c>
      <c r="I1048" s="4">
        <f t="shared" si="65"/>
        <v>0</v>
      </c>
      <c r="J1048" s="25">
        <f t="shared" si="63"/>
        <v>33</v>
      </c>
    </row>
    <row r="1049" spans="1:10" ht="16.95" customHeight="1">
      <c r="A1049" s="75" t="s">
        <v>79</v>
      </c>
      <c r="B1049" s="80" t="s">
        <v>80</v>
      </c>
      <c r="C1049" s="77" t="s">
        <v>48</v>
      </c>
      <c r="D1049" s="78">
        <v>1</v>
      </c>
      <c r="E1049" s="79">
        <f t="shared" ref="E1049:E1052" si="66">1/120</f>
        <v>8.3333333333333332E-3</v>
      </c>
      <c r="F1049" s="79" t="e">
        <f t="shared" si="64"/>
        <v>#REF!</v>
      </c>
      <c r="G1049" s="2"/>
      <c r="H1049" s="37">
        <v>21395</v>
      </c>
      <c r="I1049" s="4">
        <f t="shared" si="65"/>
        <v>178.29166666666666</v>
      </c>
      <c r="J1049" s="25">
        <f t="shared" si="63"/>
        <v>33</v>
      </c>
    </row>
    <row r="1050" spans="1:10" ht="16.95" customHeight="1">
      <c r="A1050" s="75" t="s">
        <v>81</v>
      </c>
      <c r="B1050" s="80" t="s">
        <v>82</v>
      </c>
      <c r="C1050" s="77" t="s">
        <v>48</v>
      </c>
      <c r="D1050" s="78">
        <v>1</v>
      </c>
      <c r="E1050" s="79">
        <f t="shared" si="66"/>
        <v>8.3333333333333332E-3</v>
      </c>
      <c r="F1050" s="79" t="e">
        <f t="shared" si="64"/>
        <v>#REF!</v>
      </c>
      <c r="G1050" s="2"/>
      <c r="H1050" s="37">
        <v>21395</v>
      </c>
      <c r="I1050" s="4">
        <f t="shared" si="65"/>
        <v>178.29166666666666</v>
      </c>
      <c r="J1050" s="25">
        <f t="shared" si="63"/>
        <v>33</v>
      </c>
    </row>
    <row r="1051" spans="1:10" ht="16.95" customHeight="1">
      <c r="A1051" s="75" t="s">
        <v>83</v>
      </c>
      <c r="B1051" s="80" t="s">
        <v>84</v>
      </c>
      <c r="C1051" s="77" t="s">
        <v>48</v>
      </c>
      <c r="D1051" s="78">
        <v>1</v>
      </c>
      <c r="E1051" s="79">
        <f t="shared" si="66"/>
        <v>8.3333333333333332E-3</v>
      </c>
      <c r="F1051" s="79" t="e">
        <f t="shared" si="64"/>
        <v>#REF!</v>
      </c>
      <c r="G1051" s="2"/>
      <c r="H1051" s="37">
        <v>149765</v>
      </c>
      <c r="I1051" s="4">
        <f t="shared" si="65"/>
        <v>1248.0416666666667</v>
      </c>
      <c r="J1051" s="25">
        <f t="shared" si="63"/>
        <v>33</v>
      </c>
    </row>
    <row r="1052" spans="1:10" ht="16.95" customHeight="1">
      <c r="A1052" s="75" t="s">
        <v>85</v>
      </c>
      <c r="B1052" s="80" t="s">
        <v>86</v>
      </c>
      <c r="C1052" s="77" t="s">
        <v>48</v>
      </c>
      <c r="D1052" s="78">
        <v>1</v>
      </c>
      <c r="E1052" s="79">
        <f t="shared" si="66"/>
        <v>8.3333333333333332E-3</v>
      </c>
      <c r="F1052" s="79" t="e">
        <f t="shared" si="64"/>
        <v>#REF!</v>
      </c>
      <c r="G1052" s="2"/>
      <c r="H1052" s="37">
        <v>6996</v>
      </c>
      <c r="I1052" s="4">
        <f t="shared" si="65"/>
        <v>58.3</v>
      </c>
      <c r="J1052" s="25">
        <f t="shared" si="63"/>
        <v>33</v>
      </c>
    </row>
    <row r="1053" spans="1:10" ht="16.95" customHeight="1">
      <c r="A1053" s="75" t="s">
        <v>87</v>
      </c>
      <c r="B1053" s="80" t="s">
        <v>88</v>
      </c>
      <c r="C1053" s="77" t="s">
        <v>48</v>
      </c>
      <c r="D1053" s="78">
        <v>1</v>
      </c>
      <c r="E1053" s="79">
        <f>1/120</f>
        <v>8.3333333333333332E-3</v>
      </c>
      <c r="F1053" s="79" t="e">
        <f t="shared" si="64"/>
        <v>#REF!</v>
      </c>
      <c r="G1053" s="2"/>
      <c r="H1053" s="37">
        <v>116952</v>
      </c>
      <c r="I1053" s="4">
        <f t="shared" si="65"/>
        <v>974.6</v>
      </c>
      <c r="J1053" s="25">
        <f t="shared" si="63"/>
        <v>33</v>
      </c>
    </row>
    <row r="1054" spans="1:10" ht="16.95" customHeight="1">
      <c r="A1054" s="95" t="s">
        <v>23</v>
      </c>
      <c r="B1054" s="95"/>
      <c r="C1054" s="50"/>
      <c r="D1054" s="50"/>
      <c r="E1054" s="50"/>
      <c r="F1054" s="50"/>
      <c r="G1054" s="50"/>
      <c r="H1054" s="3" t="s">
        <v>24</v>
      </c>
      <c r="I1054" s="5">
        <f>SUM(I1019:I1053)</f>
        <v>2637.5250000000001</v>
      </c>
      <c r="J1054" s="25">
        <f t="shared" si="63"/>
        <v>33</v>
      </c>
    </row>
    <row r="1055" spans="1:10" ht="16.95" customHeight="1">
      <c r="A1055" s="96" t="s">
        <v>25</v>
      </c>
      <c r="B1055" s="96"/>
      <c r="C1055" s="50"/>
      <c r="D1055" s="50"/>
      <c r="E1055" s="50"/>
      <c r="F1055" s="50"/>
      <c r="G1055" s="50"/>
      <c r="J1055" s="25">
        <f t="shared" si="63"/>
        <v>33</v>
      </c>
    </row>
    <row r="1056" spans="1:10" ht="16.95" customHeight="1">
      <c r="A1056" s="96" t="s">
        <v>26</v>
      </c>
      <c r="B1056" s="96"/>
      <c r="C1056" s="50"/>
      <c r="D1056" s="50"/>
      <c r="E1056" s="50"/>
      <c r="F1056" s="50"/>
      <c r="G1056" s="50"/>
      <c r="J1056" s="25">
        <f t="shared" si="63"/>
        <v>33</v>
      </c>
    </row>
    <row r="1057" spans="1:10" ht="16.95" customHeight="1">
      <c r="A1057" s="95" t="s">
        <v>27</v>
      </c>
      <c r="B1057" s="95"/>
      <c r="C1057" s="95"/>
      <c r="D1057" s="95"/>
      <c r="E1057" s="95"/>
      <c r="F1057" s="95"/>
      <c r="G1057" s="95"/>
      <c r="J1057" s="25">
        <f t="shared" si="63"/>
        <v>33</v>
      </c>
    </row>
    <row r="1058" spans="1:10" ht="16.95" customHeight="1">
      <c r="A1058" s="94" t="s">
        <v>28</v>
      </c>
      <c r="B1058" s="94"/>
      <c r="C1058" s="51" t="s">
        <v>29</v>
      </c>
      <c r="D1058" s="51" t="s">
        <v>30</v>
      </c>
      <c r="E1058" s="51" t="s">
        <v>18</v>
      </c>
      <c r="F1058" s="51" t="s">
        <v>31</v>
      </c>
      <c r="G1058" s="51" t="s">
        <v>20</v>
      </c>
      <c r="J1058" s="25">
        <f t="shared" si="63"/>
        <v>33</v>
      </c>
    </row>
    <row r="1059" spans="1:10" ht="16.95" customHeight="1">
      <c r="A1059" s="96"/>
      <c r="B1059" s="96"/>
      <c r="C1059" s="50"/>
      <c r="D1059" s="50"/>
      <c r="E1059" s="50"/>
      <c r="F1059" s="50"/>
      <c r="G1059" s="51"/>
      <c r="J1059" s="25">
        <f t="shared" si="63"/>
        <v>33</v>
      </c>
    </row>
    <row r="1060" spans="1:10" ht="16.95" customHeight="1">
      <c r="A1060" s="97"/>
      <c r="B1060" s="97"/>
      <c r="C1060" s="50"/>
      <c r="D1060" s="50"/>
      <c r="E1060" s="50"/>
      <c r="F1060" s="51"/>
      <c r="G1060" s="51"/>
      <c r="J1060" s="25">
        <f t="shared" si="63"/>
        <v>33</v>
      </c>
    </row>
    <row r="1061" spans="1:10" ht="16.95" customHeight="1">
      <c r="A1061" s="95" t="s">
        <v>32</v>
      </c>
      <c r="B1061" s="95"/>
      <c r="C1061" s="95"/>
      <c r="D1061" s="95"/>
      <c r="E1061" s="95"/>
      <c r="F1061" s="95"/>
      <c r="G1061" s="95"/>
      <c r="J1061" s="25">
        <f t="shared" si="63"/>
        <v>34</v>
      </c>
    </row>
    <row r="1062" spans="1:10" ht="16.95" customHeight="1">
      <c r="A1062" s="51" t="s">
        <v>33</v>
      </c>
      <c r="B1062" s="51" t="s">
        <v>34</v>
      </c>
      <c r="C1062" s="94" t="s">
        <v>35</v>
      </c>
      <c r="D1062" s="94"/>
      <c r="E1062" s="51" t="s">
        <v>36</v>
      </c>
      <c r="F1062" s="51" t="s">
        <v>37</v>
      </c>
      <c r="G1062" s="51" t="s">
        <v>38</v>
      </c>
      <c r="J1062" s="25">
        <f t="shared" si="63"/>
        <v>34</v>
      </c>
    </row>
    <row r="1063" spans="1:10" ht="16.95" customHeight="1">
      <c r="A1063" s="51" t="s">
        <v>39</v>
      </c>
      <c r="B1063" s="6"/>
      <c r="C1063" s="94" t="e">
        <f>B1063+C1000</f>
        <v>#REF!</v>
      </c>
      <c r="D1063" s="94"/>
      <c r="E1063" s="51"/>
      <c r="F1063" s="24"/>
      <c r="G1063" s="24"/>
      <c r="J1063" s="25">
        <f t="shared" si="63"/>
        <v>34</v>
      </c>
    </row>
    <row r="1064" spans="1:10" ht="16.95" customHeight="1">
      <c r="A1064" s="51" t="s">
        <v>40</v>
      </c>
      <c r="B1064" s="6"/>
      <c r="C1064" s="94" t="e">
        <f>B1064+C1001</f>
        <v>#REF!</v>
      </c>
      <c r="D1064" s="94"/>
      <c r="E1064" s="51"/>
      <c r="F1064" s="24"/>
      <c r="G1064" s="24"/>
      <c r="J1064" s="25">
        <f t="shared" si="63"/>
        <v>34</v>
      </c>
    </row>
    <row r="1065" spans="1:10" ht="36.6" customHeight="1">
      <c r="A1065" s="95" t="s">
        <v>41</v>
      </c>
      <c r="B1065" s="95"/>
      <c r="C1065" s="95"/>
      <c r="D1065" s="95"/>
      <c r="E1065" s="95"/>
      <c r="F1065" s="95"/>
      <c r="G1065" s="95"/>
      <c r="J1065" s="25">
        <f t="shared" si="63"/>
        <v>34</v>
      </c>
    </row>
    <row r="1066" spans="1:10" ht="90" customHeight="1">
      <c r="A1066" s="92" t="s">
        <v>42</v>
      </c>
      <c r="B1066" s="92"/>
      <c r="C1066" s="92"/>
      <c r="D1066" s="92"/>
      <c r="E1066" s="92"/>
      <c r="F1066" s="92"/>
      <c r="G1066" s="92"/>
      <c r="J1066" s="25">
        <f t="shared" si="63"/>
        <v>34</v>
      </c>
    </row>
    <row r="1067" spans="1:10" ht="16.95" customHeight="1">
      <c r="A1067" s="95" t="s">
        <v>43</v>
      </c>
      <c r="B1067" s="95"/>
      <c r="C1067" s="95"/>
      <c r="D1067" s="95"/>
      <c r="E1067" s="95"/>
      <c r="F1067" s="95"/>
      <c r="G1067" s="95"/>
      <c r="J1067" s="25">
        <f t="shared" si="63"/>
        <v>34</v>
      </c>
    </row>
    <row r="1068" spans="1:10" ht="16.95" customHeight="1">
      <c r="A1068" s="95" t="s">
        <v>44</v>
      </c>
      <c r="B1068" s="95"/>
      <c r="C1068" s="95"/>
      <c r="D1068" s="95"/>
      <c r="E1068" s="95"/>
      <c r="F1068" s="95"/>
      <c r="G1068" s="95"/>
      <c r="J1068" s="25">
        <f t="shared" si="63"/>
        <v>34</v>
      </c>
    </row>
    <row r="1069" spans="1:10" ht="16.95" customHeight="1">
      <c r="A1069" s="91" t="s">
        <v>64</v>
      </c>
      <c r="B1069" s="91"/>
      <c r="C1069" s="91"/>
      <c r="D1069" s="91"/>
      <c r="E1069" s="91"/>
      <c r="F1069" s="91"/>
      <c r="G1069" s="91"/>
      <c r="J1069" s="25">
        <f t="shared" si="63"/>
        <v>34</v>
      </c>
    </row>
    <row r="1070" spans="1:10" ht="120.6" customHeight="1">
      <c r="A1070" s="92" t="s">
        <v>45</v>
      </c>
      <c r="B1070" s="92"/>
      <c r="C1070" s="92"/>
      <c r="D1070" s="92"/>
      <c r="E1070" s="92"/>
      <c r="F1070" s="92"/>
      <c r="G1070" s="92"/>
      <c r="J1070" s="25">
        <f t="shared" si="63"/>
        <v>34</v>
      </c>
    </row>
    <row r="1071" spans="1:10" ht="140.4" customHeight="1">
      <c r="A1071" s="93" t="s">
        <v>46</v>
      </c>
      <c r="B1071" s="93"/>
      <c r="C1071" s="93"/>
      <c r="D1071" s="93"/>
      <c r="E1071" s="93"/>
      <c r="F1071" s="93"/>
      <c r="G1071" s="93"/>
      <c r="J1071" s="25">
        <f t="shared" si="63"/>
        <v>34</v>
      </c>
    </row>
    <row r="1072" spans="1:10" ht="37.200000000000003" customHeight="1">
      <c r="A1072" s="103" t="s">
        <v>0</v>
      </c>
      <c r="B1072" s="103"/>
      <c r="C1072" s="103"/>
      <c r="D1072" s="103"/>
      <c r="E1072" s="103"/>
      <c r="F1072" s="103"/>
      <c r="G1072" s="103"/>
      <c r="J1072" s="25">
        <f t="shared" si="63"/>
        <v>35</v>
      </c>
    </row>
    <row r="1073" spans="1:10" ht="16.95" customHeight="1">
      <c r="A1073" s="1" t="s">
        <v>1</v>
      </c>
      <c r="B1073" s="104">
        <f>B1010+1</f>
        <v>19</v>
      </c>
      <c r="C1073" s="104"/>
      <c r="D1073" s="104"/>
      <c r="E1073" s="104"/>
      <c r="F1073" s="104"/>
      <c r="G1073" s="104"/>
      <c r="J1073" s="25">
        <f t="shared" si="63"/>
        <v>35</v>
      </c>
    </row>
    <row r="1074" spans="1:10" ht="16.95" customHeight="1">
      <c r="A1074" s="1" t="s">
        <v>2</v>
      </c>
      <c r="B1074" s="105" t="s">
        <v>63</v>
      </c>
      <c r="C1074" s="105"/>
      <c r="D1074" s="105"/>
      <c r="E1074" s="106">
        <f>E1011+1</f>
        <v>46221</v>
      </c>
      <c r="F1074" s="106"/>
      <c r="G1074" s="106"/>
      <c r="J1074" s="25">
        <f t="shared" si="63"/>
        <v>35</v>
      </c>
    </row>
    <row r="1075" spans="1:10" ht="16.95" customHeight="1">
      <c r="A1075" s="53" t="s">
        <v>3</v>
      </c>
      <c r="B1075" s="2" t="s">
        <v>67</v>
      </c>
      <c r="C1075" s="98" t="s">
        <v>4</v>
      </c>
      <c r="D1075" s="98"/>
      <c r="E1075" s="98" t="s">
        <v>47</v>
      </c>
      <c r="F1075" s="98"/>
      <c r="G1075" s="98"/>
      <c r="J1075" s="25">
        <f t="shared" si="63"/>
        <v>35</v>
      </c>
    </row>
    <row r="1076" spans="1:10" ht="16.95" customHeight="1">
      <c r="A1076" s="53" t="s">
        <v>5</v>
      </c>
      <c r="B1076" s="54">
        <v>120</v>
      </c>
      <c r="C1076" s="98" t="s">
        <v>6</v>
      </c>
      <c r="D1076" s="98"/>
      <c r="E1076" s="98" t="s">
        <v>123</v>
      </c>
      <c r="F1076" s="98"/>
      <c r="G1076" s="98"/>
      <c r="J1076" s="25">
        <f t="shared" si="63"/>
        <v>35</v>
      </c>
    </row>
    <row r="1077" spans="1:10" ht="16.95" customHeight="1">
      <c r="A1077" s="53" t="s">
        <v>7</v>
      </c>
      <c r="B1077" s="54">
        <f>B1073</f>
        <v>19</v>
      </c>
      <c r="C1077" s="100" t="s">
        <v>8</v>
      </c>
      <c r="D1077" s="100"/>
      <c r="E1077" s="101">
        <f>B1076-B1077</f>
        <v>101</v>
      </c>
      <c r="F1077" s="101"/>
      <c r="G1077" s="101"/>
      <c r="J1077" s="25">
        <f t="shared" si="63"/>
        <v>35</v>
      </c>
    </row>
    <row r="1078" spans="1:10" ht="16.95" customHeight="1">
      <c r="A1078" s="53" t="s">
        <v>9</v>
      </c>
      <c r="B1078" s="55">
        <v>46204</v>
      </c>
      <c r="C1078" s="98" t="s">
        <v>10</v>
      </c>
      <c r="D1078" s="98"/>
      <c r="E1078" s="102">
        <f>B1078+B1076-1</f>
        <v>46323</v>
      </c>
      <c r="F1078" s="102"/>
      <c r="G1078" s="102"/>
      <c r="J1078" s="25">
        <f t="shared" si="63"/>
        <v>35</v>
      </c>
    </row>
    <row r="1079" spans="1:10" ht="16.95" customHeight="1">
      <c r="A1079" s="53" t="s">
        <v>11</v>
      </c>
      <c r="B1079" s="56" t="e">
        <f>HLOOKUP(B1073,進度表!$Q$2:$Z$3,2,1)+B1016</f>
        <v>#REF!</v>
      </c>
      <c r="C1079" s="98" t="s">
        <v>12</v>
      </c>
      <c r="D1079" s="98"/>
      <c r="E1079" s="99" t="e">
        <f>I1117/I1079+E1016</f>
        <v>#REF!</v>
      </c>
      <c r="F1079" s="99"/>
      <c r="G1079" s="99"/>
      <c r="H1079" s="3" t="s">
        <v>62</v>
      </c>
      <c r="I1079" s="1">
        <v>2456000</v>
      </c>
      <c r="J1079" s="25">
        <f t="shared" si="63"/>
        <v>35</v>
      </c>
    </row>
    <row r="1080" spans="1:10" ht="16.95" customHeight="1">
      <c r="A1080" s="98" t="s">
        <v>13</v>
      </c>
      <c r="B1080" s="98"/>
      <c r="C1080" s="98"/>
      <c r="D1080" s="98"/>
      <c r="E1080" s="98"/>
      <c r="F1080" s="98"/>
      <c r="G1080" s="98"/>
      <c r="J1080" s="25">
        <f t="shared" si="63"/>
        <v>35</v>
      </c>
    </row>
    <row r="1081" spans="1:10" ht="16.95" customHeight="1">
      <c r="A1081" s="52" t="s">
        <v>14</v>
      </c>
      <c r="B1081" s="52" t="s">
        <v>15</v>
      </c>
      <c r="C1081" s="52" t="s">
        <v>16</v>
      </c>
      <c r="D1081" s="52" t="s">
        <v>17</v>
      </c>
      <c r="E1081" s="52" t="s">
        <v>18</v>
      </c>
      <c r="F1081" s="52" t="s">
        <v>19</v>
      </c>
      <c r="G1081" s="52" t="s">
        <v>20</v>
      </c>
      <c r="H1081" s="3" t="s">
        <v>21</v>
      </c>
      <c r="I1081" s="3" t="s">
        <v>22</v>
      </c>
      <c r="J1081" s="25">
        <f t="shared" si="63"/>
        <v>35</v>
      </c>
    </row>
    <row r="1082" spans="1:10" ht="16.95" customHeight="1">
      <c r="A1082" s="75" t="s">
        <v>65</v>
      </c>
      <c r="B1082" s="76" t="s">
        <v>69</v>
      </c>
      <c r="C1082" s="77"/>
      <c r="D1082" s="78"/>
      <c r="E1082" s="79"/>
      <c r="F1082" s="79"/>
      <c r="G1082" s="2"/>
      <c r="H1082" s="37"/>
      <c r="I1082" s="4"/>
      <c r="J1082" s="25">
        <f t="shared" si="63"/>
        <v>35</v>
      </c>
    </row>
    <row r="1083" spans="1:10" ht="34.950000000000003" customHeight="1">
      <c r="A1083" s="75">
        <v>1</v>
      </c>
      <c r="B1083" s="80" t="s">
        <v>91</v>
      </c>
      <c r="C1083" s="77" t="s">
        <v>48</v>
      </c>
      <c r="D1083" s="78">
        <v>1</v>
      </c>
      <c r="E1083" s="79"/>
      <c r="F1083" s="79" t="e">
        <f t="shared" ref="F1083:F1116" si="67">E1083+F1020</f>
        <v>#REF!</v>
      </c>
      <c r="G1083" s="2"/>
      <c r="H1083" s="37">
        <v>10508</v>
      </c>
      <c r="I1083" s="4">
        <f>H1083*E1083</f>
        <v>0</v>
      </c>
      <c r="J1083" s="25">
        <f t="shared" ref="J1083:J1146" si="68">J1020+2</f>
        <v>35</v>
      </c>
    </row>
    <row r="1084" spans="1:10" ht="34.799999999999997" customHeight="1">
      <c r="A1084" s="75">
        <v>2</v>
      </c>
      <c r="B1084" s="80" t="s">
        <v>92</v>
      </c>
      <c r="C1084" s="77" t="s">
        <v>48</v>
      </c>
      <c r="D1084" s="78">
        <v>1</v>
      </c>
      <c r="E1084" s="79"/>
      <c r="F1084" s="79" t="e">
        <f t="shared" si="67"/>
        <v>#REF!</v>
      </c>
      <c r="G1084" s="2"/>
      <c r="H1084" s="37">
        <v>13223</v>
      </c>
      <c r="I1084" s="4">
        <f>H1084*E1084</f>
        <v>0</v>
      </c>
      <c r="J1084" s="25">
        <f t="shared" si="68"/>
        <v>35</v>
      </c>
    </row>
    <row r="1085" spans="1:10" ht="53.4" customHeight="1">
      <c r="A1085" s="75">
        <v>3</v>
      </c>
      <c r="B1085" s="80" t="s">
        <v>93</v>
      </c>
      <c r="C1085" s="77" t="s">
        <v>48</v>
      </c>
      <c r="D1085" s="78">
        <v>1</v>
      </c>
      <c r="E1085" s="79"/>
      <c r="F1085" s="79" t="e">
        <f t="shared" si="67"/>
        <v>#REF!</v>
      </c>
      <c r="G1085" s="2"/>
      <c r="H1085" s="37">
        <v>310497</v>
      </c>
      <c r="I1085" s="4">
        <f t="shared" ref="I1085:I1116" si="69">H1085*E1085</f>
        <v>0</v>
      </c>
      <c r="J1085" s="25">
        <f t="shared" si="68"/>
        <v>35</v>
      </c>
    </row>
    <row r="1086" spans="1:10" ht="16.95" customHeight="1">
      <c r="A1086" s="75">
        <v>4</v>
      </c>
      <c r="B1086" s="80" t="s">
        <v>94</v>
      </c>
      <c r="C1086" s="77" t="s">
        <v>48</v>
      </c>
      <c r="D1086" s="78">
        <v>1</v>
      </c>
      <c r="E1086" s="79"/>
      <c r="F1086" s="79" t="e">
        <f t="shared" si="67"/>
        <v>#REF!</v>
      </c>
      <c r="G1086" s="2"/>
      <c r="H1086" s="37">
        <v>8375</v>
      </c>
      <c r="I1086" s="4">
        <f t="shared" si="69"/>
        <v>0</v>
      </c>
      <c r="J1086" s="25">
        <f t="shared" si="68"/>
        <v>35</v>
      </c>
    </row>
    <row r="1087" spans="1:10" ht="16.95" customHeight="1">
      <c r="A1087" s="75">
        <v>5</v>
      </c>
      <c r="B1087" s="80" t="s">
        <v>95</v>
      </c>
      <c r="C1087" s="77" t="s">
        <v>48</v>
      </c>
      <c r="D1087" s="78">
        <v>1</v>
      </c>
      <c r="E1087" s="79"/>
      <c r="F1087" s="79" t="e">
        <f t="shared" si="67"/>
        <v>#REF!</v>
      </c>
      <c r="G1087" s="2"/>
      <c r="H1087" s="37">
        <v>51618</v>
      </c>
      <c r="I1087" s="4">
        <f t="shared" si="69"/>
        <v>0</v>
      </c>
      <c r="J1087" s="25">
        <f t="shared" si="68"/>
        <v>35</v>
      </c>
    </row>
    <row r="1088" spans="1:10" ht="16.95" customHeight="1">
      <c r="A1088" s="75">
        <v>6</v>
      </c>
      <c r="B1088" s="80" t="s">
        <v>96</v>
      </c>
      <c r="C1088" s="77" t="s">
        <v>50</v>
      </c>
      <c r="D1088" s="78">
        <v>11.55</v>
      </c>
      <c r="E1088" s="79"/>
      <c r="F1088" s="79" t="e">
        <f t="shared" si="67"/>
        <v>#REF!</v>
      </c>
      <c r="G1088" s="2"/>
      <c r="H1088" s="37">
        <v>1188</v>
      </c>
      <c r="I1088" s="4">
        <f t="shared" si="69"/>
        <v>0</v>
      </c>
      <c r="J1088" s="25">
        <f t="shared" si="68"/>
        <v>35</v>
      </c>
    </row>
    <row r="1089" spans="1:10" ht="34.950000000000003" customHeight="1">
      <c r="A1089" s="75">
        <v>7</v>
      </c>
      <c r="B1089" s="80" t="s">
        <v>97</v>
      </c>
      <c r="C1089" s="77" t="s">
        <v>48</v>
      </c>
      <c r="D1089" s="78">
        <v>1</v>
      </c>
      <c r="E1089" s="79"/>
      <c r="F1089" s="79" t="e">
        <f t="shared" si="67"/>
        <v>#REF!</v>
      </c>
      <c r="G1089" s="2"/>
      <c r="H1089" s="37">
        <v>21157</v>
      </c>
      <c r="I1089" s="4">
        <f t="shared" si="69"/>
        <v>0</v>
      </c>
      <c r="J1089" s="25">
        <f t="shared" si="68"/>
        <v>35</v>
      </c>
    </row>
    <row r="1090" spans="1:10" ht="16.95" customHeight="1">
      <c r="A1090" s="75">
        <v>8</v>
      </c>
      <c r="B1090" s="80" t="s">
        <v>98</v>
      </c>
      <c r="C1090" s="77" t="s">
        <v>50</v>
      </c>
      <c r="D1090" s="78">
        <v>387</v>
      </c>
      <c r="E1090" s="79"/>
      <c r="F1090" s="79" t="e">
        <f t="shared" si="67"/>
        <v>#REF!</v>
      </c>
      <c r="G1090" s="2"/>
      <c r="H1090" s="37">
        <v>705</v>
      </c>
      <c r="I1090" s="4">
        <f t="shared" si="69"/>
        <v>0</v>
      </c>
      <c r="J1090" s="25">
        <f t="shared" si="68"/>
        <v>35</v>
      </c>
    </row>
    <row r="1091" spans="1:10" ht="16.95" customHeight="1">
      <c r="A1091" s="75">
        <v>9</v>
      </c>
      <c r="B1091" s="80" t="s">
        <v>99</v>
      </c>
      <c r="C1091" s="77" t="s">
        <v>50</v>
      </c>
      <c r="D1091" s="78">
        <v>170</v>
      </c>
      <c r="E1091" s="79"/>
      <c r="F1091" s="79" t="e">
        <f t="shared" si="67"/>
        <v>#REF!</v>
      </c>
      <c r="G1091" s="2"/>
      <c r="H1091" s="37">
        <v>617</v>
      </c>
      <c r="I1091" s="4">
        <f t="shared" si="69"/>
        <v>0</v>
      </c>
      <c r="J1091" s="25">
        <f t="shared" si="68"/>
        <v>35</v>
      </c>
    </row>
    <row r="1092" spans="1:10" ht="16.95" customHeight="1">
      <c r="A1092" s="75">
        <v>10</v>
      </c>
      <c r="B1092" s="80" t="s">
        <v>100</v>
      </c>
      <c r="C1092" s="77" t="s">
        <v>66</v>
      </c>
      <c r="D1092" s="78">
        <v>15</v>
      </c>
      <c r="E1092" s="79"/>
      <c r="F1092" s="79" t="e">
        <f t="shared" si="67"/>
        <v>#REF!</v>
      </c>
      <c r="G1092" s="2"/>
      <c r="H1092" s="37">
        <v>617</v>
      </c>
      <c r="I1092" s="4">
        <f t="shared" si="69"/>
        <v>0</v>
      </c>
      <c r="J1092" s="25">
        <f t="shared" si="68"/>
        <v>35</v>
      </c>
    </row>
    <row r="1093" spans="1:10" ht="16.95" customHeight="1">
      <c r="A1093" s="75">
        <v>11</v>
      </c>
      <c r="B1093" s="80" t="s">
        <v>101</v>
      </c>
      <c r="C1093" s="77" t="s">
        <v>50</v>
      </c>
      <c r="D1093" s="78">
        <v>75</v>
      </c>
      <c r="E1093" s="79"/>
      <c r="F1093" s="79" t="e">
        <f t="shared" si="67"/>
        <v>#REF!</v>
      </c>
      <c r="G1093" s="2"/>
      <c r="H1093" s="37">
        <v>1146</v>
      </c>
      <c r="I1093" s="4">
        <f t="shared" si="69"/>
        <v>0</v>
      </c>
      <c r="J1093" s="25">
        <f t="shared" si="68"/>
        <v>35</v>
      </c>
    </row>
    <row r="1094" spans="1:10" ht="16.95" customHeight="1">
      <c r="A1094" s="75">
        <v>12</v>
      </c>
      <c r="B1094" s="80" t="s">
        <v>102</v>
      </c>
      <c r="C1094" s="77" t="s">
        <v>50</v>
      </c>
      <c r="D1094" s="78">
        <v>5</v>
      </c>
      <c r="E1094" s="79"/>
      <c r="F1094" s="79" t="e">
        <f t="shared" si="67"/>
        <v>#REF!</v>
      </c>
      <c r="G1094" s="2"/>
      <c r="H1094" s="37">
        <v>1455</v>
      </c>
      <c r="I1094" s="4">
        <f t="shared" si="69"/>
        <v>0</v>
      </c>
      <c r="J1094" s="25">
        <f t="shared" si="68"/>
        <v>35</v>
      </c>
    </row>
    <row r="1095" spans="1:10" ht="16.95" customHeight="1">
      <c r="A1095" s="75">
        <v>13</v>
      </c>
      <c r="B1095" s="80" t="s">
        <v>103</v>
      </c>
      <c r="C1095" s="77" t="s">
        <v>50</v>
      </c>
      <c r="D1095" s="78">
        <v>217</v>
      </c>
      <c r="E1095" s="79"/>
      <c r="F1095" s="79" t="e">
        <f t="shared" si="67"/>
        <v>#REF!</v>
      </c>
      <c r="G1095" s="2"/>
      <c r="H1095" s="37">
        <v>1410</v>
      </c>
      <c r="I1095" s="4">
        <f t="shared" si="69"/>
        <v>0</v>
      </c>
      <c r="J1095" s="25">
        <f t="shared" si="68"/>
        <v>35</v>
      </c>
    </row>
    <row r="1096" spans="1:10" ht="16.95" customHeight="1">
      <c r="A1096" s="75">
        <v>14</v>
      </c>
      <c r="B1096" s="80" t="s">
        <v>104</v>
      </c>
      <c r="C1096" s="77" t="s">
        <v>49</v>
      </c>
      <c r="D1096" s="78">
        <v>84</v>
      </c>
      <c r="E1096" s="79"/>
      <c r="F1096" s="79" t="e">
        <f t="shared" si="67"/>
        <v>#REF!</v>
      </c>
      <c r="G1096" s="2"/>
      <c r="H1096" s="37">
        <v>529</v>
      </c>
      <c r="I1096" s="4">
        <f t="shared" si="69"/>
        <v>0</v>
      </c>
      <c r="J1096" s="25">
        <f t="shared" si="68"/>
        <v>35</v>
      </c>
    </row>
    <row r="1097" spans="1:10" ht="16.95" customHeight="1">
      <c r="A1097" s="75">
        <v>15</v>
      </c>
      <c r="B1097" s="80" t="s">
        <v>105</v>
      </c>
      <c r="C1097" s="77" t="s">
        <v>50</v>
      </c>
      <c r="D1097" s="78">
        <v>1</v>
      </c>
      <c r="E1097" s="79"/>
      <c r="F1097" s="79" t="e">
        <f t="shared" si="67"/>
        <v>#REF!</v>
      </c>
      <c r="G1097" s="2"/>
      <c r="H1097" s="37">
        <v>1146</v>
      </c>
      <c r="I1097" s="4">
        <f t="shared" si="69"/>
        <v>0</v>
      </c>
      <c r="J1097" s="25">
        <f t="shared" si="68"/>
        <v>35</v>
      </c>
    </row>
    <row r="1098" spans="1:10" ht="34.799999999999997" customHeight="1">
      <c r="A1098" s="75">
        <v>16</v>
      </c>
      <c r="B1098" s="80" t="s">
        <v>106</v>
      </c>
      <c r="C1098" s="77" t="s">
        <v>50</v>
      </c>
      <c r="D1098" s="78">
        <v>314</v>
      </c>
      <c r="E1098" s="79"/>
      <c r="F1098" s="79" t="e">
        <f t="shared" si="67"/>
        <v>#REF!</v>
      </c>
      <c r="G1098" s="2"/>
      <c r="H1098" s="37">
        <v>185</v>
      </c>
      <c r="I1098" s="4">
        <f t="shared" si="69"/>
        <v>0</v>
      </c>
      <c r="J1098" s="25">
        <f t="shared" si="68"/>
        <v>35</v>
      </c>
    </row>
    <row r="1099" spans="1:10" ht="16.95" customHeight="1">
      <c r="A1099" s="75">
        <v>17</v>
      </c>
      <c r="B1099" s="80" t="s">
        <v>107</v>
      </c>
      <c r="C1099" s="77" t="s">
        <v>48</v>
      </c>
      <c r="D1099" s="78">
        <v>1</v>
      </c>
      <c r="E1099" s="79"/>
      <c r="F1099" s="79" t="e">
        <f t="shared" si="67"/>
        <v>#REF!</v>
      </c>
      <c r="G1099" s="2"/>
      <c r="H1099" s="37">
        <v>89918</v>
      </c>
      <c r="I1099" s="4">
        <f t="shared" si="69"/>
        <v>0</v>
      </c>
      <c r="J1099" s="25">
        <f t="shared" si="68"/>
        <v>35</v>
      </c>
    </row>
    <row r="1100" spans="1:10" ht="16.95" customHeight="1">
      <c r="A1100" s="75">
        <v>18</v>
      </c>
      <c r="B1100" s="80" t="s">
        <v>108</v>
      </c>
      <c r="C1100" s="77" t="s">
        <v>120</v>
      </c>
      <c r="D1100" s="78">
        <v>15</v>
      </c>
      <c r="E1100" s="79"/>
      <c r="F1100" s="79" t="e">
        <f t="shared" si="67"/>
        <v>#REF!</v>
      </c>
      <c r="G1100" s="2"/>
      <c r="H1100" s="37">
        <v>661</v>
      </c>
      <c r="I1100" s="4">
        <f t="shared" si="69"/>
        <v>0</v>
      </c>
      <c r="J1100" s="25">
        <f t="shared" si="68"/>
        <v>35</v>
      </c>
    </row>
    <row r="1101" spans="1:10" ht="16.95" customHeight="1">
      <c r="A1101" s="75">
        <v>19</v>
      </c>
      <c r="B1101" s="80" t="s">
        <v>109</v>
      </c>
      <c r="C1101" s="77" t="s">
        <v>50</v>
      </c>
      <c r="D1101" s="78">
        <v>82</v>
      </c>
      <c r="E1101" s="79"/>
      <c r="F1101" s="79" t="e">
        <f t="shared" si="67"/>
        <v>#REF!</v>
      </c>
      <c r="G1101" s="2"/>
      <c r="H1101" s="37">
        <v>2909</v>
      </c>
      <c r="I1101" s="4">
        <f t="shared" si="69"/>
        <v>0</v>
      </c>
      <c r="J1101" s="25">
        <f t="shared" si="68"/>
        <v>35</v>
      </c>
    </row>
    <row r="1102" spans="1:10" ht="16.95" customHeight="1">
      <c r="A1102" s="75">
        <v>20</v>
      </c>
      <c r="B1102" s="80" t="s">
        <v>110</v>
      </c>
      <c r="C1102" s="77" t="s">
        <v>121</v>
      </c>
      <c r="D1102" s="78">
        <v>12</v>
      </c>
      <c r="E1102" s="79"/>
      <c r="F1102" s="79" t="e">
        <f t="shared" si="67"/>
        <v>#REF!</v>
      </c>
      <c r="G1102" s="2"/>
      <c r="H1102" s="37">
        <v>882</v>
      </c>
      <c r="I1102" s="4">
        <f t="shared" si="69"/>
        <v>0</v>
      </c>
      <c r="J1102" s="25">
        <f t="shared" si="68"/>
        <v>35</v>
      </c>
    </row>
    <row r="1103" spans="1:10" ht="16.95" customHeight="1">
      <c r="A1103" s="77">
        <v>21</v>
      </c>
      <c r="B1103" s="80" t="s">
        <v>111</v>
      </c>
      <c r="C1103" s="77" t="s">
        <v>122</v>
      </c>
      <c r="D1103" s="78">
        <v>3</v>
      </c>
      <c r="E1103" s="79"/>
      <c r="F1103" s="79" t="e">
        <f t="shared" si="67"/>
        <v>#REF!</v>
      </c>
      <c r="G1103" s="2"/>
      <c r="H1103" s="38">
        <v>1869</v>
      </c>
      <c r="I1103" s="4">
        <f t="shared" si="69"/>
        <v>0</v>
      </c>
      <c r="J1103" s="25">
        <f t="shared" si="68"/>
        <v>35</v>
      </c>
    </row>
    <row r="1104" spans="1:10" ht="34.950000000000003" customHeight="1">
      <c r="A1104" s="75">
        <v>22</v>
      </c>
      <c r="B1104" s="80" t="s">
        <v>112</v>
      </c>
      <c r="C1104" s="77" t="s">
        <v>48</v>
      </c>
      <c r="D1104" s="78">
        <v>1</v>
      </c>
      <c r="E1104" s="79"/>
      <c r="F1104" s="79" t="e">
        <f t="shared" si="67"/>
        <v>#REF!</v>
      </c>
      <c r="G1104" s="2"/>
      <c r="H1104" s="37">
        <v>82206</v>
      </c>
      <c r="I1104" s="4">
        <f t="shared" si="69"/>
        <v>0</v>
      </c>
      <c r="J1104" s="25">
        <f t="shared" si="68"/>
        <v>35</v>
      </c>
    </row>
    <row r="1105" spans="1:10" ht="16.95" customHeight="1">
      <c r="A1105" s="75">
        <v>23</v>
      </c>
      <c r="B1105" s="80" t="s">
        <v>113</v>
      </c>
      <c r="C1105" s="77" t="s">
        <v>48</v>
      </c>
      <c r="D1105" s="78">
        <v>1</v>
      </c>
      <c r="E1105" s="79"/>
      <c r="F1105" s="79" t="e">
        <f t="shared" si="67"/>
        <v>#REF!</v>
      </c>
      <c r="G1105" s="2"/>
      <c r="H1105" s="37">
        <v>142723</v>
      </c>
      <c r="I1105" s="4">
        <f t="shared" si="69"/>
        <v>0</v>
      </c>
      <c r="J1105" s="25">
        <f t="shared" si="68"/>
        <v>35</v>
      </c>
    </row>
    <row r="1106" spans="1:10" ht="16.95" customHeight="1">
      <c r="A1106" s="75">
        <v>24</v>
      </c>
      <c r="B1106" s="80" t="s">
        <v>114</v>
      </c>
      <c r="C1106" s="77" t="s">
        <v>48</v>
      </c>
      <c r="D1106" s="78">
        <v>1</v>
      </c>
      <c r="E1106" s="79"/>
      <c r="F1106" s="79" t="e">
        <f t="shared" si="67"/>
        <v>#REF!</v>
      </c>
      <c r="G1106" s="2"/>
      <c r="H1106" s="37">
        <v>37290</v>
      </c>
      <c r="I1106" s="4">
        <f t="shared" si="69"/>
        <v>0</v>
      </c>
      <c r="J1106" s="25">
        <f t="shared" si="68"/>
        <v>35</v>
      </c>
    </row>
    <row r="1107" spans="1:10" ht="16.95" customHeight="1">
      <c r="A1107" s="75">
        <v>25</v>
      </c>
      <c r="B1107" s="80" t="s">
        <v>115</v>
      </c>
      <c r="C1107" s="77" t="s">
        <v>48</v>
      </c>
      <c r="D1107" s="78">
        <v>1</v>
      </c>
      <c r="E1107" s="79"/>
      <c r="F1107" s="79" t="e">
        <f t="shared" si="67"/>
        <v>#REF!</v>
      </c>
      <c r="G1107" s="2"/>
      <c r="H1107" s="37">
        <v>99394</v>
      </c>
      <c r="I1107" s="4">
        <f t="shared" si="69"/>
        <v>0</v>
      </c>
      <c r="J1107" s="25">
        <f t="shared" si="68"/>
        <v>35</v>
      </c>
    </row>
    <row r="1108" spans="1:10" ht="34.950000000000003" customHeight="1">
      <c r="A1108" s="75">
        <v>26</v>
      </c>
      <c r="B1108" s="80" t="s">
        <v>116</v>
      </c>
      <c r="C1108" s="77" t="s">
        <v>48</v>
      </c>
      <c r="D1108" s="78">
        <v>1</v>
      </c>
      <c r="E1108" s="79"/>
      <c r="F1108" s="79" t="e">
        <f t="shared" si="67"/>
        <v>#REF!</v>
      </c>
      <c r="G1108" s="2"/>
      <c r="H1108" s="37">
        <v>21334</v>
      </c>
      <c r="I1108" s="4">
        <f t="shared" si="69"/>
        <v>0</v>
      </c>
      <c r="J1108" s="25">
        <f t="shared" si="68"/>
        <v>35</v>
      </c>
    </row>
    <row r="1109" spans="1:10" ht="16.95" customHeight="1">
      <c r="A1109" s="75">
        <v>27</v>
      </c>
      <c r="B1109" s="80" t="s">
        <v>117</v>
      </c>
      <c r="C1109" s="77" t="s">
        <v>48</v>
      </c>
      <c r="D1109" s="78">
        <v>1</v>
      </c>
      <c r="E1109" s="79"/>
      <c r="F1109" s="79" t="e">
        <f t="shared" si="67"/>
        <v>#REF!</v>
      </c>
      <c r="G1109" s="2"/>
      <c r="H1109" s="37">
        <v>29620</v>
      </c>
      <c r="I1109" s="4">
        <f t="shared" si="69"/>
        <v>0</v>
      </c>
      <c r="J1109" s="25">
        <f t="shared" si="68"/>
        <v>35</v>
      </c>
    </row>
    <row r="1110" spans="1:10" ht="16.95" customHeight="1">
      <c r="A1110" s="75">
        <v>28</v>
      </c>
      <c r="B1110" s="80" t="s">
        <v>118</v>
      </c>
      <c r="C1110" s="77" t="s">
        <v>48</v>
      </c>
      <c r="D1110" s="78">
        <v>1</v>
      </c>
      <c r="E1110" s="79"/>
      <c r="F1110" s="79" t="e">
        <f t="shared" si="67"/>
        <v>#REF!</v>
      </c>
      <c r="G1110" s="2"/>
      <c r="H1110" s="37">
        <v>18506</v>
      </c>
      <c r="I1110" s="4">
        <f t="shared" si="69"/>
        <v>0</v>
      </c>
      <c r="J1110" s="25">
        <f t="shared" si="68"/>
        <v>35</v>
      </c>
    </row>
    <row r="1111" spans="1:10" ht="16.95" customHeight="1">
      <c r="A1111" s="75">
        <v>29</v>
      </c>
      <c r="B1111" s="80" t="s">
        <v>119</v>
      </c>
      <c r="C1111" s="77" t="s">
        <v>48</v>
      </c>
      <c r="D1111" s="78">
        <v>1</v>
      </c>
      <c r="E1111" s="79"/>
      <c r="F1111" s="79" t="e">
        <f t="shared" si="67"/>
        <v>#REF!</v>
      </c>
      <c r="G1111" s="2"/>
      <c r="H1111" s="37">
        <v>34381</v>
      </c>
      <c r="I1111" s="4">
        <f t="shared" si="69"/>
        <v>0</v>
      </c>
      <c r="J1111" s="25">
        <f t="shared" si="68"/>
        <v>35</v>
      </c>
    </row>
    <row r="1112" spans="1:10" ht="16.95" customHeight="1">
      <c r="A1112" s="75" t="s">
        <v>79</v>
      </c>
      <c r="B1112" s="80" t="s">
        <v>80</v>
      </c>
      <c r="C1112" s="77" t="s">
        <v>48</v>
      </c>
      <c r="D1112" s="78">
        <v>1</v>
      </c>
      <c r="E1112" s="79">
        <f t="shared" ref="E1112:E1115" si="70">1/120</f>
        <v>8.3333333333333332E-3</v>
      </c>
      <c r="F1112" s="79" t="e">
        <f t="shared" si="67"/>
        <v>#REF!</v>
      </c>
      <c r="G1112" s="2"/>
      <c r="H1112" s="37">
        <v>21395</v>
      </c>
      <c r="I1112" s="4">
        <f t="shared" si="69"/>
        <v>178.29166666666666</v>
      </c>
      <c r="J1112" s="25">
        <f t="shared" si="68"/>
        <v>35</v>
      </c>
    </row>
    <row r="1113" spans="1:10" ht="16.95" customHeight="1">
      <c r="A1113" s="75" t="s">
        <v>81</v>
      </c>
      <c r="B1113" s="80" t="s">
        <v>82</v>
      </c>
      <c r="C1113" s="77" t="s">
        <v>48</v>
      </c>
      <c r="D1113" s="78">
        <v>1</v>
      </c>
      <c r="E1113" s="79">
        <f t="shared" si="70"/>
        <v>8.3333333333333332E-3</v>
      </c>
      <c r="F1113" s="79" t="e">
        <f t="shared" si="67"/>
        <v>#REF!</v>
      </c>
      <c r="G1113" s="2"/>
      <c r="H1113" s="37">
        <v>21395</v>
      </c>
      <c r="I1113" s="4">
        <f t="shared" si="69"/>
        <v>178.29166666666666</v>
      </c>
      <c r="J1113" s="25">
        <f t="shared" si="68"/>
        <v>35</v>
      </c>
    </row>
    <row r="1114" spans="1:10" ht="16.95" customHeight="1">
      <c r="A1114" s="75" t="s">
        <v>83</v>
      </c>
      <c r="B1114" s="80" t="s">
        <v>84</v>
      </c>
      <c r="C1114" s="77" t="s">
        <v>48</v>
      </c>
      <c r="D1114" s="78">
        <v>1</v>
      </c>
      <c r="E1114" s="79">
        <f t="shared" si="70"/>
        <v>8.3333333333333332E-3</v>
      </c>
      <c r="F1114" s="79" t="e">
        <f t="shared" si="67"/>
        <v>#REF!</v>
      </c>
      <c r="G1114" s="2"/>
      <c r="H1114" s="37">
        <v>149765</v>
      </c>
      <c r="I1114" s="4">
        <f t="shared" si="69"/>
        <v>1248.0416666666667</v>
      </c>
      <c r="J1114" s="25">
        <f t="shared" si="68"/>
        <v>35</v>
      </c>
    </row>
    <row r="1115" spans="1:10" ht="16.95" customHeight="1">
      <c r="A1115" s="75" t="s">
        <v>85</v>
      </c>
      <c r="B1115" s="80" t="s">
        <v>86</v>
      </c>
      <c r="C1115" s="77" t="s">
        <v>48</v>
      </c>
      <c r="D1115" s="78">
        <v>1</v>
      </c>
      <c r="E1115" s="79">
        <f t="shared" si="70"/>
        <v>8.3333333333333332E-3</v>
      </c>
      <c r="F1115" s="79" t="e">
        <f t="shared" si="67"/>
        <v>#REF!</v>
      </c>
      <c r="G1115" s="2"/>
      <c r="H1115" s="37">
        <v>6996</v>
      </c>
      <c r="I1115" s="4">
        <f t="shared" si="69"/>
        <v>58.3</v>
      </c>
      <c r="J1115" s="25">
        <f t="shared" si="68"/>
        <v>35</v>
      </c>
    </row>
    <row r="1116" spans="1:10" ht="16.95" customHeight="1">
      <c r="A1116" s="75" t="s">
        <v>87</v>
      </c>
      <c r="B1116" s="80" t="s">
        <v>88</v>
      </c>
      <c r="C1116" s="77" t="s">
        <v>48</v>
      </c>
      <c r="D1116" s="78">
        <v>1</v>
      </c>
      <c r="E1116" s="79">
        <f>1/120</f>
        <v>8.3333333333333332E-3</v>
      </c>
      <c r="F1116" s="79" t="e">
        <f t="shared" si="67"/>
        <v>#REF!</v>
      </c>
      <c r="G1116" s="2"/>
      <c r="H1116" s="37">
        <v>116952</v>
      </c>
      <c r="I1116" s="4">
        <f t="shared" si="69"/>
        <v>974.6</v>
      </c>
      <c r="J1116" s="25">
        <f t="shared" si="68"/>
        <v>35</v>
      </c>
    </row>
    <row r="1117" spans="1:10" ht="16.95" customHeight="1">
      <c r="A1117" s="95" t="s">
        <v>23</v>
      </c>
      <c r="B1117" s="95"/>
      <c r="C1117" s="50"/>
      <c r="D1117" s="50"/>
      <c r="E1117" s="50"/>
      <c r="F1117" s="50"/>
      <c r="G1117" s="50"/>
      <c r="H1117" s="3" t="s">
        <v>24</v>
      </c>
      <c r="I1117" s="5">
        <f>SUM(I1082:I1116)</f>
        <v>2637.5250000000001</v>
      </c>
      <c r="J1117" s="25">
        <f t="shared" si="68"/>
        <v>35</v>
      </c>
    </row>
    <row r="1118" spans="1:10" ht="16.95" customHeight="1">
      <c r="A1118" s="96" t="s">
        <v>25</v>
      </c>
      <c r="B1118" s="96"/>
      <c r="C1118" s="50"/>
      <c r="D1118" s="50"/>
      <c r="E1118" s="50"/>
      <c r="F1118" s="50"/>
      <c r="G1118" s="50"/>
      <c r="J1118" s="25">
        <f t="shared" si="68"/>
        <v>35</v>
      </c>
    </row>
    <row r="1119" spans="1:10" ht="16.95" customHeight="1">
      <c r="A1119" s="96" t="s">
        <v>26</v>
      </c>
      <c r="B1119" s="96"/>
      <c r="C1119" s="50"/>
      <c r="D1119" s="50"/>
      <c r="E1119" s="50"/>
      <c r="F1119" s="50"/>
      <c r="G1119" s="50"/>
      <c r="J1119" s="25">
        <f t="shared" si="68"/>
        <v>35</v>
      </c>
    </row>
    <row r="1120" spans="1:10" ht="16.95" customHeight="1">
      <c r="A1120" s="95" t="s">
        <v>27</v>
      </c>
      <c r="B1120" s="95"/>
      <c r="C1120" s="95"/>
      <c r="D1120" s="95"/>
      <c r="E1120" s="95"/>
      <c r="F1120" s="95"/>
      <c r="G1120" s="95"/>
      <c r="J1120" s="25">
        <f t="shared" si="68"/>
        <v>35</v>
      </c>
    </row>
    <row r="1121" spans="1:10" ht="16.95" customHeight="1">
      <c r="A1121" s="94" t="s">
        <v>28</v>
      </c>
      <c r="B1121" s="94"/>
      <c r="C1121" s="51" t="s">
        <v>29</v>
      </c>
      <c r="D1121" s="51" t="s">
        <v>30</v>
      </c>
      <c r="E1121" s="51" t="s">
        <v>18</v>
      </c>
      <c r="F1121" s="51" t="s">
        <v>31</v>
      </c>
      <c r="G1121" s="51" t="s">
        <v>20</v>
      </c>
      <c r="J1121" s="25">
        <f t="shared" si="68"/>
        <v>35</v>
      </c>
    </row>
    <row r="1122" spans="1:10" ht="16.95" customHeight="1">
      <c r="A1122" s="96"/>
      <c r="B1122" s="96"/>
      <c r="C1122" s="50"/>
      <c r="D1122" s="50"/>
      <c r="E1122" s="50"/>
      <c r="F1122" s="50"/>
      <c r="G1122" s="51"/>
      <c r="J1122" s="25">
        <f t="shared" si="68"/>
        <v>35</v>
      </c>
    </row>
    <row r="1123" spans="1:10" ht="16.95" customHeight="1">
      <c r="A1123" s="97"/>
      <c r="B1123" s="97"/>
      <c r="C1123" s="50"/>
      <c r="D1123" s="50"/>
      <c r="E1123" s="50"/>
      <c r="F1123" s="51"/>
      <c r="G1123" s="51"/>
      <c r="J1123" s="25">
        <f t="shared" si="68"/>
        <v>35</v>
      </c>
    </row>
    <row r="1124" spans="1:10" ht="16.95" customHeight="1">
      <c r="A1124" s="95" t="s">
        <v>32</v>
      </c>
      <c r="B1124" s="95"/>
      <c r="C1124" s="95"/>
      <c r="D1124" s="95"/>
      <c r="E1124" s="95"/>
      <c r="F1124" s="95"/>
      <c r="G1124" s="95"/>
      <c r="J1124" s="25">
        <f t="shared" si="68"/>
        <v>36</v>
      </c>
    </row>
    <row r="1125" spans="1:10" ht="16.95" customHeight="1">
      <c r="A1125" s="51" t="s">
        <v>33</v>
      </c>
      <c r="B1125" s="51" t="s">
        <v>34</v>
      </c>
      <c r="C1125" s="94" t="s">
        <v>35</v>
      </c>
      <c r="D1125" s="94"/>
      <c r="E1125" s="51" t="s">
        <v>36</v>
      </c>
      <c r="F1125" s="51" t="s">
        <v>37</v>
      </c>
      <c r="G1125" s="51" t="s">
        <v>38</v>
      </c>
      <c r="J1125" s="25">
        <f t="shared" si="68"/>
        <v>36</v>
      </c>
    </row>
    <row r="1126" spans="1:10" ht="16.95" customHeight="1">
      <c r="A1126" s="51" t="s">
        <v>39</v>
      </c>
      <c r="B1126" s="6"/>
      <c r="C1126" s="94" t="e">
        <f>B1126+C1063</f>
        <v>#REF!</v>
      </c>
      <c r="D1126" s="94"/>
      <c r="E1126" s="51"/>
      <c r="F1126" s="24"/>
      <c r="G1126" s="24"/>
      <c r="J1126" s="25">
        <f t="shared" si="68"/>
        <v>36</v>
      </c>
    </row>
    <row r="1127" spans="1:10" ht="16.95" customHeight="1">
      <c r="A1127" s="51" t="s">
        <v>40</v>
      </c>
      <c r="B1127" s="6"/>
      <c r="C1127" s="94" t="e">
        <f>B1127+C1064</f>
        <v>#REF!</v>
      </c>
      <c r="D1127" s="94"/>
      <c r="E1127" s="51"/>
      <c r="F1127" s="24"/>
      <c r="G1127" s="24"/>
      <c r="J1127" s="25">
        <f t="shared" si="68"/>
        <v>36</v>
      </c>
    </row>
    <row r="1128" spans="1:10" ht="36.6" customHeight="1">
      <c r="A1128" s="95" t="s">
        <v>41</v>
      </c>
      <c r="B1128" s="95"/>
      <c r="C1128" s="95"/>
      <c r="D1128" s="95"/>
      <c r="E1128" s="95"/>
      <c r="F1128" s="95"/>
      <c r="G1128" s="95"/>
      <c r="J1128" s="25">
        <f t="shared" si="68"/>
        <v>36</v>
      </c>
    </row>
    <row r="1129" spans="1:10" ht="90" customHeight="1">
      <c r="A1129" s="92" t="s">
        <v>42</v>
      </c>
      <c r="B1129" s="92"/>
      <c r="C1129" s="92"/>
      <c r="D1129" s="92"/>
      <c r="E1129" s="92"/>
      <c r="F1129" s="92"/>
      <c r="G1129" s="92"/>
      <c r="J1129" s="25">
        <f t="shared" si="68"/>
        <v>36</v>
      </c>
    </row>
    <row r="1130" spans="1:10" ht="16.95" customHeight="1">
      <c r="A1130" s="95" t="s">
        <v>43</v>
      </c>
      <c r="B1130" s="95"/>
      <c r="C1130" s="95"/>
      <c r="D1130" s="95"/>
      <c r="E1130" s="95"/>
      <c r="F1130" s="95"/>
      <c r="G1130" s="95"/>
      <c r="J1130" s="25">
        <f t="shared" si="68"/>
        <v>36</v>
      </c>
    </row>
    <row r="1131" spans="1:10" ht="16.95" customHeight="1">
      <c r="A1131" s="95" t="s">
        <v>44</v>
      </c>
      <c r="B1131" s="95"/>
      <c r="C1131" s="95"/>
      <c r="D1131" s="95"/>
      <c r="E1131" s="95"/>
      <c r="F1131" s="95"/>
      <c r="G1131" s="95"/>
      <c r="J1131" s="25">
        <f t="shared" si="68"/>
        <v>36</v>
      </c>
    </row>
    <row r="1132" spans="1:10" ht="16.95" customHeight="1">
      <c r="A1132" s="91" t="s">
        <v>64</v>
      </c>
      <c r="B1132" s="91"/>
      <c r="C1132" s="91"/>
      <c r="D1132" s="91"/>
      <c r="E1132" s="91"/>
      <c r="F1132" s="91"/>
      <c r="G1132" s="91"/>
      <c r="J1132" s="25">
        <f t="shared" si="68"/>
        <v>36</v>
      </c>
    </row>
    <row r="1133" spans="1:10" ht="120.6" customHeight="1">
      <c r="A1133" s="92" t="s">
        <v>45</v>
      </c>
      <c r="B1133" s="92"/>
      <c r="C1133" s="92"/>
      <c r="D1133" s="92"/>
      <c r="E1133" s="92"/>
      <c r="F1133" s="92"/>
      <c r="G1133" s="92"/>
      <c r="J1133" s="25">
        <f t="shared" si="68"/>
        <v>36</v>
      </c>
    </row>
    <row r="1134" spans="1:10" ht="140.4" customHeight="1">
      <c r="A1134" s="93" t="s">
        <v>46</v>
      </c>
      <c r="B1134" s="93"/>
      <c r="C1134" s="93"/>
      <c r="D1134" s="93"/>
      <c r="E1134" s="93"/>
      <c r="F1134" s="93"/>
      <c r="G1134" s="93"/>
      <c r="J1134" s="25">
        <f t="shared" si="68"/>
        <v>36</v>
      </c>
    </row>
    <row r="1135" spans="1:10" ht="37.200000000000003" customHeight="1">
      <c r="A1135" s="103" t="s">
        <v>0</v>
      </c>
      <c r="B1135" s="103"/>
      <c r="C1135" s="103"/>
      <c r="D1135" s="103"/>
      <c r="E1135" s="103"/>
      <c r="F1135" s="103"/>
      <c r="G1135" s="103"/>
      <c r="J1135" s="25">
        <f t="shared" si="68"/>
        <v>37</v>
      </c>
    </row>
    <row r="1136" spans="1:10" ht="16.95" customHeight="1">
      <c r="A1136" s="1" t="s">
        <v>1</v>
      </c>
      <c r="B1136" s="104">
        <f>B1073+1</f>
        <v>20</v>
      </c>
      <c r="C1136" s="104"/>
      <c r="D1136" s="104"/>
      <c r="E1136" s="104"/>
      <c r="F1136" s="104"/>
      <c r="G1136" s="104"/>
      <c r="J1136" s="25">
        <f t="shared" si="68"/>
        <v>37</v>
      </c>
    </row>
    <row r="1137" spans="1:10" ht="16.95" customHeight="1">
      <c r="A1137" s="1" t="s">
        <v>2</v>
      </c>
      <c r="B1137" s="105" t="s">
        <v>63</v>
      </c>
      <c r="C1137" s="105"/>
      <c r="D1137" s="105"/>
      <c r="E1137" s="106">
        <f>E1074+1</f>
        <v>46222</v>
      </c>
      <c r="F1137" s="106"/>
      <c r="G1137" s="106"/>
      <c r="J1137" s="25">
        <f t="shared" si="68"/>
        <v>37</v>
      </c>
    </row>
    <row r="1138" spans="1:10" ht="16.95" customHeight="1">
      <c r="A1138" s="53" t="s">
        <v>3</v>
      </c>
      <c r="B1138" s="2" t="s">
        <v>67</v>
      </c>
      <c r="C1138" s="98" t="s">
        <v>4</v>
      </c>
      <c r="D1138" s="98"/>
      <c r="E1138" s="98" t="s">
        <v>47</v>
      </c>
      <c r="F1138" s="98"/>
      <c r="G1138" s="98"/>
      <c r="J1138" s="25">
        <f t="shared" si="68"/>
        <v>37</v>
      </c>
    </row>
    <row r="1139" spans="1:10" ht="16.95" customHeight="1">
      <c r="A1139" s="53" t="s">
        <v>5</v>
      </c>
      <c r="B1139" s="54">
        <v>120</v>
      </c>
      <c r="C1139" s="98" t="s">
        <v>6</v>
      </c>
      <c r="D1139" s="98"/>
      <c r="E1139" s="98" t="s">
        <v>123</v>
      </c>
      <c r="F1139" s="98"/>
      <c r="G1139" s="98"/>
      <c r="J1139" s="25">
        <f t="shared" si="68"/>
        <v>37</v>
      </c>
    </row>
    <row r="1140" spans="1:10" ht="16.95" customHeight="1">
      <c r="A1140" s="53" t="s">
        <v>7</v>
      </c>
      <c r="B1140" s="54">
        <f>B1136</f>
        <v>20</v>
      </c>
      <c r="C1140" s="100" t="s">
        <v>8</v>
      </c>
      <c r="D1140" s="100"/>
      <c r="E1140" s="101">
        <f>B1139-B1140</f>
        <v>100</v>
      </c>
      <c r="F1140" s="101"/>
      <c r="G1140" s="101"/>
      <c r="J1140" s="25">
        <f t="shared" si="68"/>
        <v>37</v>
      </c>
    </row>
    <row r="1141" spans="1:10" ht="16.95" customHeight="1">
      <c r="A1141" s="53" t="s">
        <v>9</v>
      </c>
      <c r="B1141" s="55">
        <v>46204</v>
      </c>
      <c r="C1141" s="98" t="s">
        <v>10</v>
      </c>
      <c r="D1141" s="98"/>
      <c r="E1141" s="102">
        <f>B1141+B1139-1</f>
        <v>46323</v>
      </c>
      <c r="F1141" s="102"/>
      <c r="G1141" s="102"/>
      <c r="J1141" s="25">
        <f t="shared" si="68"/>
        <v>37</v>
      </c>
    </row>
    <row r="1142" spans="1:10" ht="16.95" customHeight="1">
      <c r="A1142" s="53" t="s">
        <v>11</v>
      </c>
      <c r="B1142" s="56" t="e">
        <f>HLOOKUP(B1136,進度表!$Q$2:$Z$3,2,1)+B1079</f>
        <v>#REF!</v>
      </c>
      <c r="C1142" s="98" t="s">
        <v>12</v>
      </c>
      <c r="D1142" s="98"/>
      <c r="E1142" s="99" t="e">
        <f>I1180/I1142+E1079</f>
        <v>#REF!</v>
      </c>
      <c r="F1142" s="99"/>
      <c r="G1142" s="99"/>
      <c r="H1142" s="3" t="s">
        <v>62</v>
      </c>
      <c r="I1142" s="1">
        <v>2456000</v>
      </c>
      <c r="J1142" s="25">
        <f t="shared" si="68"/>
        <v>37</v>
      </c>
    </row>
    <row r="1143" spans="1:10" ht="16.95" customHeight="1">
      <c r="A1143" s="98" t="s">
        <v>13</v>
      </c>
      <c r="B1143" s="98"/>
      <c r="C1143" s="98"/>
      <c r="D1143" s="98"/>
      <c r="E1143" s="98"/>
      <c r="F1143" s="98"/>
      <c r="G1143" s="98"/>
      <c r="J1143" s="25">
        <f t="shared" si="68"/>
        <v>37</v>
      </c>
    </row>
    <row r="1144" spans="1:10" ht="16.95" customHeight="1">
      <c r="A1144" s="52" t="s">
        <v>14</v>
      </c>
      <c r="B1144" s="52" t="s">
        <v>15</v>
      </c>
      <c r="C1144" s="52" t="s">
        <v>16</v>
      </c>
      <c r="D1144" s="52" t="s">
        <v>17</v>
      </c>
      <c r="E1144" s="52" t="s">
        <v>18</v>
      </c>
      <c r="F1144" s="52" t="s">
        <v>19</v>
      </c>
      <c r="G1144" s="52" t="s">
        <v>20</v>
      </c>
      <c r="H1144" s="3" t="s">
        <v>21</v>
      </c>
      <c r="I1144" s="3" t="s">
        <v>22</v>
      </c>
      <c r="J1144" s="25">
        <f t="shared" si="68"/>
        <v>37</v>
      </c>
    </row>
    <row r="1145" spans="1:10" ht="16.95" customHeight="1">
      <c r="A1145" s="75" t="s">
        <v>65</v>
      </c>
      <c r="B1145" s="76" t="s">
        <v>69</v>
      </c>
      <c r="C1145" s="77"/>
      <c r="D1145" s="78"/>
      <c r="E1145" s="79"/>
      <c r="F1145" s="79"/>
      <c r="G1145" s="2"/>
      <c r="H1145" s="37"/>
      <c r="I1145" s="4"/>
      <c r="J1145" s="25">
        <f t="shared" si="68"/>
        <v>37</v>
      </c>
    </row>
    <row r="1146" spans="1:10" ht="34.950000000000003" customHeight="1">
      <c r="A1146" s="75">
        <v>1</v>
      </c>
      <c r="B1146" s="80" t="s">
        <v>91</v>
      </c>
      <c r="C1146" s="77" t="s">
        <v>48</v>
      </c>
      <c r="D1146" s="78">
        <v>1</v>
      </c>
      <c r="E1146" s="79"/>
      <c r="F1146" s="79" t="e">
        <f t="shared" ref="F1146:F1179" si="71">E1146+F1083</f>
        <v>#REF!</v>
      </c>
      <c r="G1146" s="2"/>
      <c r="H1146" s="37">
        <v>10508</v>
      </c>
      <c r="I1146" s="4">
        <f>H1146*E1146</f>
        <v>0</v>
      </c>
      <c r="J1146" s="25">
        <f t="shared" si="68"/>
        <v>37</v>
      </c>
    </row>
    <row r="1147" spans="1:10" ht="34.799999999999997" customHeight="1">
      <c r="A1147" s="75">
        <v>2</v>
      </c>
      <c r="B1147" s="80" t="s">
        <v>92</v>
      </c>
      <c r="C1147" s="77" t="s">
        <v>48</v>
      </c>
      <c r="D1147" s="78">
        <v>1</v>
      </c>
      <c r="E1147" s="79"/>
      <c r="F1147" s="79" t="e">
        <f t="shared" si="71"/>
        <v>#REF!</v>
      </c>
      <c r="G1147" s="2"/>
      <c r="H1147" s="37">
        <v>13223</v>
      </c>
      <c r="I1147" s="4">
        <f>H1147*E1147</f>
        <v>0</v>
      </c>
      <c r="J1147" s="25">
        <f t="shared" ref="J1147:J1210" si="72">J1084+2</f>
        <v>37</v>
      </c>
    </row>
    <row r="1148" spans="1:10" ht="53.4" customHeight="1">
      <c r="A1148" s="75">
        <v>3</v>
      </c>
      <c r="B1148" s="80" t="s">
        <v>93</v>
      </c>
      <c r="C1148" s="77" t="s">
        <v>48</v>
      </c>
      <c r="D1148" s="78">
        <v>1</v>
      </c>
      <c r="E1148" s="79"/>
      <c r="F1148" s="79" t="e">
        <f t="shared" si="71"/>
        <v>#REF!</v>
      </c>
      <c r="G1148" s="2"/>
      <c r="H1148" s="37">
        <v>310497</v>
      </c>
      <c r="I1148" s="4">
        <f t="shared" ref="I1148:I1179" si="73">H1148*E1148</f>
        <v>0</v>
      </c>
      <c r="J1148" s="25">
        <f t="shared" si="72"/>
        <v>37</v>
      </c>
    </row>
    <row r="1149" spans="1:10" ht="16.95" customHeight="1">
      <c r="A1149" s="75">
        <v>4</v>
      </c>
      <c r="B1149" s="80" t="s">
        <v>94</v>
      </c>
      <c r="C1149" s="77" t="s">
        <v>48</v>
      </c>
      <c r="D1149" s="78">
        <v>1</v>
      </c>
      <c r="E1149" s="79"/>
      <c r="F1149" s="79" t="e">
        <f t="shared" si="71"/>
        <v>#REF!</v>
      </c>
      <c r="G1149" s="2"/>
      <c r="H1149" s="37">
        <v>8375</v>
      </c>
      <c r="I1149" s="4">
        <f t="shared" si="73"/>
        <v>0</v>
      </c>
      <c r="J1149" s="25">
        <f t="shared" si="72"/>
        <v>37</v>
      </c>
    </row>
    <row r="1150" spans="1:10" ht="16.95" customHeight="1">
      <c r="A1150" s="75">
        <v>5</v>
      </c>
      <c r="B1150" s="80" t="s">
        <v>95</v>
      </c>
      <c r="C1150" s="77" t="s">
        <v>48</v>
      </c>
      <c r="D1150" s="78">
        <v>1</v>
      </c>
      <c r="E1150" s="79"/>
      <c r="F1150" s="79" t="e">
        <f t="shared" si="71"/>
        <v>#REF!</v>
      </c>
      <c r="G1150" s="2"/>
      <c r="H1150" s="37">
        <v>51618</v>
      </c>
      <c r="I1150" s="4">
        <f t="shared" si="73"/>
        <v>0</v>
      </c>
      <c r="J1150" s="25">
        <f t="shared" si="72"/>
        <v>37</v>
      </c>
    </row>
    <row r="1151" spans="1:10" ht="16.95" customHeight="1">
      <c r="A1151" s="75">
        <v>6</v>
      </c>
      <c r="B1151" s="80" t="s">
        <v>96</v>
      </c>
      <c r="C1151" s="77" t="s">
        <v>50</v>
      </c>
      <c r="D1151" s="78">
        <v>11.55</v>
      </c>
      <c r="E1151" s="79"/>
      <c r="F1151" s="79" t="e">
        <f t="shared" si="71"/>
        <v>#REF!</v>
      </c>
      <c r="G1151" s="2"/>
      <c r="H1151" s="37">
        <v>1188</v>
      </c>
      <c r="I1151" s="4">
        <f t="shared" si="73"/>
        <v>0</v>
      </c>
      <c r="J1151" s="25">
        <f t="shared" si="72"/>
        <v>37</v>
      </c>
    </row>
    <row r="1152" spans="1:10" ht="34.950000000000003" customHeight="1">
      <c r="A1152" s="75">
        <v>7</v>
      </c>
      <c r="B1152" s="80" t="s">
        <v>97</v>
      </c>
      <c r="C1152" s="77" t="s">
        <v>48</v>
      </c>
      <c r="D1152" s="78">
        <v>1</v>
      </c>
      <c r="E1152" s="79"/>
      <c r="F1152" s="79" t="e">
        <f t="shared" si="71"/>
        <v>#REF!</v>
      </c>
      <c r="G1152" s="2"/>
      <c r="H1152" s="37">
        <v>21157</v>
      </c>
      <c r="I1152" s="4">
        <f t="shared" si="73"/>
        <v>0</v>
      </c>
      <c r="J1152" s="25">
        <f t="shared" si="72"/>
        <v>37</v>
      </c>
    </row>
    <row r="1153" spans="1:10" ht="16.95" customHeight="1">
      <c r="A1153" s="75">
        <v>8</v>
      </c>
      <c r="B1153" s="80" t="s">
        <v>98</v>
      </c>
      <c r="C1153" s="77" t="s">
        <v>50</v>
      </c>
      <c r="D1153" s="78">
        <v>387</v>
      </c>
      <c r="E1153" s="79"/>
      <c r="F1153" s="79" t="e">
        <f t="shared" si="71"/>
        <v>#REF!</v>
      </c>
      <c r="G1153" s="2"/>
      <c r="H1153" s="37">
        <v>705</v>
      </c>
      <c r="I1153" s="4">
        <f t="shared" si="73"/>
        <v>0</v>
      </c>
      <c r="J1153" s="25">
        <f t="shared" si="72"/>
        <v>37</v>
      </c>
    </row>
    <row r="1154" spans="1:10" ht="16.95" customHeight="1">
      <c r="A1154" s="75">
        <v>9</v>
      </c>
      <c r="B1154" s="80" t="s">
        <v>99</v>
      </c>
      <c r="C1154" s="77" t="s">
        <v>50</v>
      </c>
      <c r="D1154" s="78">
        <v>170</v>
      </c>
      <c r="E1154" s="79"/>
      <c r="F1154" s="79" t="e">
        <f t="shared" si="71"/>
        <v>#REF!</v>
      </c>
      <c r="G1154" s="2"/>
      <c r="H1154" s="37">
        <v>617</v>
      </c>
      <c r="I1154" s="4">
        <f t="shared" si="73"/>
        <v>0</v>
      </c>
      <c r="J1154" s="25">
        <f t="shared" si="72"/>
        <v>37</v>
      </c>
    </row>
    <row r="1155" spans="1:10" ht="16.95" customHeight="1">
      <c r="A1155" s="75">
        <v>10</v>
      </c>
      <c r="B1155" s="80" t="s">
        <v>100</v>
      </c>
      <c r="C1155" s="77" t="s">
        <v>66</v>
      </c>
      <c r="D1155" s="78">
        <v>15</v>
      </c>
      <c r="E1155" s="79"/>
      <c r="F1155" s="79" t="e">
        <f t="shared" si="71"/>
        <v>#REF!</v>
      </c>
      <c r="G1155" s="2"/>
      <c r="H1155" s="37">
        <v>617</v>
      </c>
      <c r="I1155" s="4">
        <f t="shared" si="73"/>
        <v>0</v>
      </c>
      <c r="J1155" s="25">
        <f t="shared" si="72"/>
        <v>37</v>
      </c>
    </row>
    <row r="1156" spans="1:10" ht="16.95" customHeight="1">
      <c r="A1156" s="75">
        <v>11</v>
      </c>
      <c r="B1156" s="80" t="s">
        <v>101</v>
      </c>
      <c r="C1156" s="77" t="s">
        <v>50</v>
      </c>
      <c r="D1156" s="78">
        <v>75</v>
      </c>
      <c r="E1156" s="79"/>
      <c r="F1156" s="79" t="e">
        <f t="shared" si="71"/>
        <v>#REF!</v>
      </c>
      <c r="G1156" s="2"/>
      <c r="H1156" s="37">
        <v>1146</v>
      </c>
      <c r="I1156" s="4">
        <f t="shared" si="73"/>
        <v>0</v>
      </c>
      <c r="J1156" s="25">
        <f t="shared" si="72"/>
        <v>37</v>
      </c>
    </row>
    <row r="1157" spans="1:10" ht="16.95" customHeight="1">
      <c r="A1157" s="75">
        <v>12</v>
      </c>
      <c r="B1157" s="80" t="s">
        <v>102</v>
      </c>
      <c r="C1157" s="77" t="s">
        <v>50</v>
      </c>
      <c r="D1157" s="78">
        <v>5</v>
      </c>
      <c r="E1157" s="79"/>
      <c r="F1157" s="79" t="e">
        <f t="shared" si="71"/>
        <v>#REF!</v>
      </c>
      <c r="G1157" s="2"/>
      <c r="H1157" s="37">
        <v>1455</v>
      </c>
      <c r="I1157" s="4">
        <f t="shared" si="73"/>
        <v>0</v>
      </c>
      <c r="J1157" s="25">
        <f t="shared" si="72"/>
        <v>37</v>
      </c>
    </row>
    <row r="1158" spans="1:10" ht="16.95" customHeight="1">
      <c r="A1158" s="75">
        <v>13</v>
      </c>
      <c r="B1158" s="80" t="s">
        <v>103</v>
      </c>
      <c r="C1158" s="77" t="s">
        <v>50</v>
      </c>
      <c r="D1158" s="78">
        <v>217</v>
      </c>
      <c r="E1158" s="79"/>
      <c r="F1158" s="79" t="e">
        <f t="shared" si="71"/>
        <v>#REF!</v>
      </c>
      <c r="G1158" s="2"/>
      <c r="H1158" s="37">
        <v>1410</v>
      </c>
      <c r="I1158" s="4">
        <f t="shared" si="73"/>
        <v>0</v>
      </c>
      <c r="J1158" s="25">
        <f t="shared" si="72"/>
        <v>37</v>
      </c>
    </row>
    <row r="1159" spans="1:10" ht="16.95" customHeight="1">
      <c r="A1159" s="75">
        <v>14</v>
      </c>
      <c r="B1159" s="80" t="s">
        <v>104</v>
      </c>
      <c r="C1159" s="77" t="s">
        <v>49</v>
      </c>
      <c r="D1159" s="78">
        <v>84</v>
      </c>
      <c r="E1159" s="79"/>
      <c r="F1159" s="79" t="e">
        <f t="shared" si="71"/>
        <v>#REF!</v>
      </c>
      <c r="G1159" s="2"/>
      <c r="H1159" s="37">
        <v>529</v>
      </c>
      <c r="I1159" s="4">
        <f t="shared" si="73"/>
        <v>0</v>
      </c>
      <c r="J1159" s="25">
        <f t="shared" si="72"/>
        <v>37</v>
      </c>
    </row>
    <row r="1160" spans="1:10" ht="16.95" customHeight="1">
      <c r="A1160" s="75">
        <v>15</v>
      </c>
      <c r="B1160" s="80" t="s">
        <v>105</v>
      </c>
      <c r="C1160" s="77" t="s">
        <v>50</v>
      </c>
      <c r="D1160" s="78">
        <v>1</v>
      </c>
      <c r="E1160" s="79"/>
      <c r="F1160" s="79" t="e">
        <f t="shared" si="71"/>
        <v>#REF!</v>
      </c>
      <c r="G1160" s="2"/>
      <c r="H1160" s="37">
        <v>1146</v>
      </c>
      <c r="I1160" s="4">
        <f t="shared" si="73"/>
        <v>0</v>
      </c>
      <c r="J1160" s="25">
        <f t="shared" si="72"/>
        <v>37</v>
      </c>
    </row>
    <row r="1161" spans="1:10" ht="34.799999999999997" customHeight="1">
      <c r="A1161" s="75">
        <v>16</v>
      </c>
      <c r="B1161" s="80" t="s">
        <v>106</v>
      </c>
      <c r="C1161" s="77" t="s">
        <v>50</v>
      </c>
      <c r="D1161" s="78">
        <v>314</v>
      </c>
      <c r="E1161" s="79"/>
      <c r="F1161" s="79" t="e">
        <f t="shared" si="71"/>
        <v>#REF!</v>
      </c>
      <c r="G1161" s="2"/>
      <c r="H1161" s="37">
        <v>185</v>
      </c>
      <c r="I1161" s="4">
        <f t="shared" si="73"/>
        <v>0</v>
      </c>
      <c r="J1161" s="25">
        <f t="shared" si="72"/>
        <v>37</v>
      </c>
    </row>
    <row r="1162" spans="1:10" ht="16.95" customHeight="1">
      <c r="A1162" s="75">
        <v>17</v>
      </c>
      <c r="B1162" s="80" t="s">
        <v>107</v>
      </c>
      <c r="C1162" s="77" t="s">
        <v>48</v>
      </c>
      <c r="D1162" s="78">
        <v>1</v>
      </c>
      <c r="E1162" s="79"/>
      <c r="F1162" s="79" t="e">
        <f t="shared" si="71"/>
        <v>#REF!</v>
      </c>
      <c r="G1162" s="2"/>
      <c r="H1162" s="37">
        <v>89918</v>
      </c>
      <c r="I1162" s="4">
        <f t="shared" si="73"/>
        <v>0</v>
      </c>
      <c r="J1162" s="25">
        <f t="shared" si="72"/>
        <v>37</v>
      </c>
    </row>
    <row r="1163" spans="1:10" ht="16.95" customHeight="1">
      <c r="A1163" s="75">
        <v>18</v>
      </c>
      <c r="B1163" s="80" t="s">
        <v>108</v>
      </c>
      <c r="C1163" s="77" t="s">
        <v>120</v>
      </c>
      <c r="D1163" s="78">
        <v>15</v>
      </c>
      <c r="E1163" s="79"/>
      <c r="F1163" s="79" t="e">
        <f t="shared" si="71"/>
        <v>#REF!</v>
      </c>
      <c r="G1163" s="2"/>
      <c r="H1163" s="37">
        <v>661</v>
      </c>
      <c r="I1163" s="4">
        <f t="shared" si="73"/>
        <v>0</v>
      </c>
      <c r="J1163" s="25">
        <f t="shared" si="72"/>
        <v>37</v>
      </c>
    </row>
    <row r="1164" spans="1:10" ht="16.95" customHeight="1">
      <c r="A1164" s="75">
        <v>19</v>
      </c>
      <c r="B1164" s="80" t="s">
        <v>109</v>
      </c>
      <c r="C1164" s="77" t="s">
        <v>50</v>
      </c>
      <c r="D1164" s="78">
        <v>82</v>
      </c>
      <c r="E1164" s="79"/>
      <c r="F1164" s="79" t="e">
        <f t="shared" si="71"/>
        <v>#REF!</v>
      </c>
      <c r="G1164" s="2"/>
      <c r="H1164" s="37">
        <v>2909</v>
      </c>
      <c r="I1164" s="4">
        <f t="shared" si="73"/>
        <v>0</v>
      </c>
      <c r="J1164" s="25">
        <f t="shared" si="72"/>
        <v>37</v>
      </c>
    </row>
    <row r="1165" spans="1:10" ht="16.95" customHeight="1">
      <c r="A1165" s="75">
        <v>20</v>
      </c>
      <c r="B1165" s="80" t="s">
        <v>110</v>
      </c>
      <c r="C1165" s="77" t="s">
        <v>121</v>
      </c>
      <c r="D1165" s="78">
        <v>12</v>
      </c>
      <c r="E1165" s="79"/>
      <c r="F1165" s="79" t="e">
        <f t="shared" si="71"/>
        <v>#REF!</v>
      </c>
      <c r="G1165" s="2"/>
      <c r="H1165" s="37">
        <v>882</v>
      </c>
      <c r="I1165" s="4">
        <f t="shared" si="73"/>
        <v>0</v>
      </c>
      <c r="J1165" s="25">
        <f t="shared" si="72"/>
        <v>37</v>
      </c>
    </row>
    <row r="1166" spans="1:10" ht="16.95" customHeight="1">
      <c r="A1166" s="77">
        <v>21</v>
      </c>
      <c r="B1166" s="80" t="s">
        <v>111</v>
      </c>
      <c r="C1166" s="77" t="s">
        <v>122</v>
      </c>
      <c r="D1166" s="78">
        <v>3</v>
      </c>
      <c r="E1166" s="79"/>
      <c r="F1166" s="79" t="e">
        <f t="shared" si="71"/>
        <v>#REF!</v>
      </c>
      <c r="G1166" s="2"/>
      <c r="H1166" s="38">
        <v>1869</v>
      </c>
      <c r="I1166" s="4">
        <f t="shared" si="73"/>
        <v>0</v>
      </c>
      <c r="J1166" s="25">
        <f t="shared" si="72"/>
        <v>37</v>
      </c>
    </row>
    <row r="1167" spans="1:10" ht="34.950000000000003" customHeight="1">
      <c r="A1167" s="75">
        <v>22</v>
      </c>
      <c r="B1167" s="80" t="s">
        <v>112</v>
      </c>
      <c r="C1167" s="77" t="s">
        <v>48</v>
      </c>
      <c r="D1167" s="78">
        <v>1</v>
      </c>
      <c r="E1167" s="79"/>
      <c r="F1167" s="79" t="e">
        <f t="shared" si="71"/>
        <v>#REF!</v>
      </c>
      <c r="G1167" s="2"/>
      <c r="H1167" s="37">
        <v>82206</v>
      </c>
      <c r="I1167" s="4">
        <f t="shared" si="73"/>
        <v>0</v>
      </c>
      <c r="J1167" s="25">
        <f t="shared" si="72"/>
        <v>37</v>
      </c>
    </row>
    <row r="1168" spans="1:10" ht="16.95" customHeight="1">
      <c r="A1168" s="75">
        <v>23</v>
      </c>
      <c r="B1168" s="80" t="s">
        <v>113</v>
      </c>
      <c r="C1168" s="77" t="s">
        <v>48</v>
      </c>
      <c r="D1168" s="78">
        <v>1</v>
      </c>
      <c r="E1168" s="79"/>
      <c r="F1168" s="79" t="e">
        <f t="shared" si="71"/>
        <v>#REF!</v>
      </c>
      <c r="G1168" s="2"/>
      <c r="H1168" s="37">
        <v>142723</v>
      </c>
      <c r="I1168" s="4">
        <f t="shared" si="73"/>
        <v>0</v>
      </c>
      <c r="J1168" s="25">
        <f t="shared" si="72"/>
        <v>37</v>
      </c>
    </row>
    <row r="1169" spans="1:10" ht="16.95" customHeight="1">
      <c r="A1169" s="75">
        <v>24</v>
      </c>
      <c r="B1169" s="80" t="s">
        <v>114</v>
      </c>
      <c r="C1169" s="77" t="s">
        <v>48</v>
      </c>
      <c r="D1169" s="78">
        <v>1</v>
      </c>
      <c r="E1169" s="79"/>
      <c r="F1169" s="79" t="e">
        <f t="shared" si="71"/>
        <v>#REF!</v>
      </c>
      <c r="G1169" s="2"/>
      <c r="H1169" s="37">
        <v>37290</v>
      </c>
      <c r="I1169" s="4">
        <f t="shared" si="73"/>
        <v>0</v>
      </c>
      <c r="J1169" s="25">
        <f t="shared" si="72"/>
        <v>37</v>
      </c>
    </row>
    <row r="1170" spans="1:10" ht="16.95" customHeight="1">
      <c r="A1170" s="75">
        <v>25</v>
      </c>
      <c r="B1170" s="80" t="s">
        <v>115</v>
      </c>
      <c r="C1170" s="77" t="s">
        <v>48</v>
      </c>
      <c r="D1170" s="78">
        <v>1</v>
      </c>
      <c r="E1170" s="79"/>
      <c r="F1170" s="79" t="e">
        <f t="shared" si="71"/>
        <v>#REF!</v>
      </c>
      <c r="G1170" s="2"/>
      <c r="H1170" s="37">
        <v>99394</v>
      </c>
      <c r="I1170" s="4">
        <f t="shared" si="73"/>
        <v>0</v>
      </c>
      <c r="J1170" s="25">
        <f t="shared" si="72"/>
        <v>37</v>
      </c>
    </row>
    <row r="1171" spans="1:10" ht="34.950000000000003" customHeight="1">
      <c r="A1171" s="75">
        <v>26</v>
      </c>
      <c r="B1171" s="80" t="s">
        <v>116</v>
      </c>
      <c r="C1171" s="77" t="s">
        <v>48</v>
      </c>
      <c r="D1171" s="78">
        <v>1</v>
      </c>
      <c r="E1171" s="79"/>
      <c r="F1171" s="79" t="e">
        <f t="shared" si="71"/>
        <v>#REF!</v>
      </c>
      <c r="G1171" s="2"/>
      <c r="H1171" s="37">
        <v>21334</v>
      </c>
      <c r="I1171" s="4">
        <f t="shared" si="73"/>
        <v>0</v>
      </c>
      <c r="J1171" s="25">
        <f t="shared" si="72"/>
        <v>37</v>
      </c>
    </row>
    <row r="1172" spans="1:10" ht="16.95" customHeight="1">
      <c r="A1172" s="75">
        <v>27</v>
      </c>
      <c r="B1172" s="80" t="s">
        <v>117</v>
      </c>
      <c r="C1172" s="77" t="s">
        <v>48</v>
      </c>
      <c r="D1172" s="78">
        <v>1</v>
      </c>
      <c r="E1172" s="79"/>
      <c r="F1172" s="79" t="e">
        <f t="shared" si="71"/>
        <v>#REF!</v>
      </c>
      <c r="G1172" s="2"/>
      <c r="H1172" s="37">
        <v>29620</v>
      </c>
      <c r="I1172" s="4">
        <f t="shared" si="73"/>
        <v>0</v>
      </c>
      <c r="J1172" s="25">
        <f t="shared" si="72"/>
        <v>37</v>
      </c>
    </row>
    <row r="1173" spans="1:10" ht="16.95" customHeight="1">
      <c r="A1173" s="75">
        <v>28</v>
      </c>
      <c r="B1173" s="80" t="s">
        <v>118</v>
      </c>
      <c r="C1173" s="77" t="s">
        <v>48</v>
      </c>
      <c r="D1173" s="78">
        <v>1</v>
      </c>
      <c r="E1173" s="79"/>
      <c r="F1173" s="79" t="e">
        <f t="shared" si="71"/>
        <v>#REF!</v>
      </c>
      <c r="G1173" s="2"/>
      <c r="H1173" s="37">
        <v>18506</v>
      </c>
      <c r="I1173" s="4">
        <f t="shared" si="73"/>
        <v>0</v>
      </c>
      <c r="J1173" s="25">
        <f t="shared" si="72"/>
        <v>37</v>
      </c>
    </row>
    <row r="1174" spans="1:10" ht="16.95" customHeight="1">
      <c r="A1174" s="75">
        <v>29</v>
      </c>
      <c r="B1174" s="80" t="s">
        <v>119</v>
      </c>
      <c r="C1174" s="77" t="s">
        <v>48</v>
      </c>
      <c r="D1174" s="78">
        <v>1</v>
      </c>
      <c r="E1174" s="79"/>
      <c r="F1174" s="79" t="e">
        <f t="shared" si="71"/>
        <v>#REF!</v>
      </c>
      <c r="G1174" s="2"/>
      <c r="H1174" s="37">
        <v>34381</v>
      </c>
      <c r="I1174" s="4">
        <f t="shared" si="73"/>
        <v>0</v>
      </c>
      <c r="J1174" s="25">
        <f t="shared" si="72"/>
        <v>37</v>
      </c>
    </row>
    <row r="1175" spans="1:10" ht="16.95" customHeight="1">
      <c r="A1175" s="75" t="s">
        <v>79</v>
      </c>
      <c r="B1175" s="80" t="s">
        <v>80</v>
      </c>
      <c r="C1175" s="77" t="s">
        <v>48</v>
      </c>
      <c r="D1175" s="78">
        <v>1</v>
      </c>
      <c r="E1175" s="79">
        <f t="shared" ref="E1175:E1178" si="74">1/120</f>
        <v>8.3333333333333332E-3</v>
      </c>
      <c r="F1175" s="79" t="e">
        <f t="shared" si="71"/>
        <v>#REF!</v>
      </c>
      <c r="G1175" s="2"/>
      <c r="H1175" s="37">
        <v>21395</v>
      </c>
      <c r="I1175" s="4">
        <f t="shared" si="73"/>
        <v>178.29166666666666</v>
      </c>
      <c r="J1175" s="25">
        <f t="shared" si="72"/>
        <v>37</v>
      </c>
    </row>
    <row r="1176" spans="1:10" ht="16.95" customHeight="1">
      <c r="A1176" s="75" t="s">
        <v>81</v>
      </c>
      <c r="B1176" s="80" t="s">
        <v>82</v>
      </c>
      <c r="C1176" s="77" t="s">
        <v>48</v>
      </c>
      <c r="D1176" s="78">
        <v>1</v>
      </c>
      <c r="E1176" s="79">
        <f t="shared" si="74"/>
        <v>8.3333333333333332E-3</v>
      </c>
      <c r="F1176" s="79" t="e">
        <f t="shared" si="71"/>
        <v>#REF!</v>
      </c>
      <c r="G1176" s="2"/>
      <c r="H1176" s="37">
        <v>21395</v>
      </c>
      <c r="I1176" s="4">
        <f t="shared" si="73"/>
        <v>178.29166666666666</v>
      </c>
      <c r="J1176" s="25">
        <f t="shared" si="72"/>
        <v>37</v>
      </c>
    </row>
    <row r="1177" spans="1:10" ht="16.95" customHeight="1">
      <c r="A1177" s="75" t="s">
        <v>83</v>
      </c>
      <c r="B1177" s="80" t="s">
        <v>84</v>
      </c>
      <c r="C1177" s="77" t="s">
        <v>48</v>
      </c>
      <c r="D1177" s="78">
        <v>1</v>
      </c>
      <c r="E1177" s="79">
        <f t="shared" si="74"/>
        <v>8.3333333333333332E-3</v>
      </c>
      <c r="F1177" s="79" t="e">
        <f t="shared" si="71"/>
        <v>#REF!</v>
      </c>
      <c r="G1177" s="2"/>
      <c r="H1177" s="37">
        <v>149765</v>
      </c>
      <c r="I1177" s="4">
        <f t="shared" si="73"/>
        <v>1248.0416666666667</v>
      </c>
      <c r="J1177" s="25">
        <f t="shared" si="72"/>
        <v>37</v>
      </c>
    </row>
    <row r="1178" spans="1:10" ht="16.95" customHeight="1">
      <c r="A1178" s="75" t="s">
        <v>85</v>
      </c>
      <c r="B1178" s="80" t="s">
        <v>86</v>
      </c>
      <c r="C1178" s="77" t="s">
        <v>48</v>
      </c>
      <c r="D1178" s="78">
        <v>1</v>
      </c>
      <c r="E1178" s="79">
        <f t="shared" si="74"/>
        <v>8.3333333333333332E-3</v>
      </c>
      <c r="F1178" s="79" t="e">
        <f t="shared" si="71"/>
        <v>#REF!</v>
      </c>
      <c r="G1178" s="2"/>
      <c r="H1178" s="37">
        <v>6996</v>
      </c>
      <c r="I1178" s="4">
        <f t="shared" si="73"/>
        <v>58.3</v>
      </c>
      <c r="J1178" s="25">
        <f t="shared" si="72"/>
        <v>37</v>
      </c>
    </row>
    <row r="1179" spans="1:10" ht="16.95" customHeight="1">
      <c r="A1179" s="75" t="s">
        <v>87</v>
      </c>
      <c r="B1179" s="80" t="s">
        <v>88</v>
      </c>
      <c r="C1179" s="77" t="s">
        <v>48</v>
      </c>
      <c r="D1179" s="78">
        <v>1</v>
      </c>
      <c r="E1179" s="79">
        <f>1/120</f>
        <v>8.3333333333333332E-3</v>
      </c>
      <c r="F1179" s="79" t="e">
        <f t="shared" si="71"/>
        <v>#REF!</v>
      </c>
      <c r="G1179" s="2"/>
      <c r="H1179" s="37">
        <v>116952</v>
      </c>
      <c r="I1179" s="4">
        <f t="shared" si="73"/>
        <v>974.6</v>
      </c>
      <c r="J1179" s="25">
        <f t="shared" si="72"/>
        <v>37</v>
      </c>
    </row>
    <row r="1180" spans="1:10" ht="16.95" customHeight="1">
      <c r="A1180" s="95" t="s">
        <v>23</v>
      </c>
      <c r="B1180" s="95"/>
      <c r="C1180" s="50"/>
      <c r="D1180" s="50"/>
      <c r="E1180" s="50"/>
      <c r="F1180" s="50"/>
      <c r="G1180" s="50"/>
      <c r="H1180" s="3" t="s">
        <v>24</v>
      </c>
      <c r="I1180" s="5">
        <f>SUM(I1145:I1179)</f>
        <v>2637.5250000000001</v>
      </c>
      <c r="J1180" s="25">
        <f t="shared" si="72"/>
        <v>37</v>
      </c>
    </row>
    <row r="1181" spans="1:10" ht="16.95" customHeight="1">
      <c r="A1181" s="96" t="s">
        <v>25</v>
      </c>
      <c r="B1181" s="96"/>
      <c r="C1181" s="50"/>
      <c r="D1181" s="50"/>
      <c r="E1181" s="50"/>
      <c r="F1181" s="50"/>
      <c r="G1181" s="50"/>
      <c r="J1181" s="25">
        <f t="shared" si="72"/>
        <v>37</v>
      </c>
    </row>
    <row r="1182" spans="1:10" ht="16.95" customHeight="1">
      <c r="A1182" s="96" t="s">
        <v>26</v>
      </c>
      <c r="B1182" s="96"/>
      <c r="C1182" s="50"/>
      <c r="D1182" s="50"/>
      <c r="E1182" s="50"/>
      <c r="F1182" s="50"/>
      <c r="G1182" s="50"/>
      <c r="J1182" s="25">
        <f t="shared" si="72"/>
        <v>37</v>
      </c>
    </row>
    <row r="1183" spans="1:10" ht="16.95" customHeight="1">
      <c r="A1183" s="95" t="s">
        <v>27</v>
      </c>
      <c r="B1183" s="95"/>
      <c r="C1183" s="95"/>
      <c r="D1183" s="95"/>
      <c r="E1183" s="95"/>
      <c r="F1183" s="95"/>
      <c r="G1183" s="95"/>
      <c r="J1183" s="25">
        <f t="shared" si="72"/>
        <v>37</v>
      </c>
    </row>
    <row r="1184" spans="1:10" ht="16.95" customHeight="1">
      <c r="A1184" s="94" t="s">
        <v>28</v>
      </c>
      <c r="B1184" s="94"/>
      <c r="C1184" s="51" t="s">
        <v>29</v>
      </c>
      <c r="D1184" s="51" t="s">
        <v>30</v>
      </c>
      <c r="E1184" s="51" t="s">
        <v>18</v>
      </c>
      <c r="F1184" s="51" t="s">
        <v>31</v>
      </c>
      <c r="G1184" s="51" t="s">
        <v>20</v>
      </c>
      <c r="J1184" s="25">
        <f t="shared" si="72"/>
        <v>37</v>
      </c>
    </row>
    <row r="1185" spans="1:10" ht="16.95" customHeight="1">
      <c r="A1185" s="96"/>
      <c r="B1185" s="96"/>
      <c r="C1185" s="50"/>
      <c r="D1185" s="50"/>
      <c r="E1185" s="50"/>
      <c r="F1185" s="50"/>
      <c r="G1185" s="51"/>
      <c r="J1185" s="25">
        <f t="shared" si="72"/>
        <v>37</v>
      </c>
    </row>
    <row r="1186" spans="1:10" ht="16.95" customHeight="1">
      <c r="A1186" s="97"/>
      <c r="B1186" s="97"/>
      <c r="C1186" s="50"/>
      <c r="D1186" s="50"/>
      <c r="E1186" s="50"/>
      <c r="F1186" s="51"/>
      <c r="G1186" s="51"/>
      <c r="J1186" s="25">
        <f t="shared" si="72"/>
        <v>37</v>
      </c>
    </row>
    <row r="1187" spans="1:10" ht="16.95" customHeight="1">
      <c r="A1187" s="95" t="s">
        <v>32</v>
      </c>
      <c r="B1187" s="95"/>
      <c r="C1187" s="95"/>
      <c r="D1187" s="95"/>
      <c r="E1187" s="95"/>
      <c r="F1187" s="95"/>
      <c r="G1187" s="95"/>
      <c r="J1187" s="25">
        <f t="shared" si="72"/>
        <v>38</v>
      </c>
    </row>
    <row r="1188" spans="1:10" ht="16.95" customHeight="1">
      <c r="A1188" s="51" t="s">
        <v>33</v>
      </c>
      <c r="B1188" s="51" t="s">
        <v>34</v>
      </c>
      <c r="C1188" s="94" t="s">
        <v>35</v>
      </c>
      <c r="D1188" s="94"/>
      <c r="E1188" s="51" t="s">
        <v>36</v>
      </c>
      <c r="F1188" s="51" t="s">
        <v>37</v>
      </c>
      <c r="G1188" s="51" t="s">
        <v>38</v>
      </c>
      <c r="J1188" s="25">
        <f t="shared" si="72"/>
        <v>38</v>
      </c>
    </row>
    <row r="1189" spans="1:10" ht="16.95" customHeight="1">
      <c r="A1189" s="51" t="s">
        <v>39</v>
      </c>
      <c r="B1189" s="6"/>
      <c r="C1189" s="94" t="e">
        <f>B1189+C1126</f>
        <v>#REF!</v>
      </c>
      <c r="D1189" s="94"/>
      <c r="E1189" s="51"/>
      <c r="F1189" s="24"/>
      <c r="G1189" s="24"/>
      <c r="J1189" s="25">
        <f t="shared" si="72"/>
        <v>38</v>
      </c>
    </row>
    <row r="1190" spans="1:10" ht="16.95" customHeight="1">
      <c r="A1190" s="51" t="s">
        <v>40</v>
      </c>
      <c r="B1190" s="6"/>
      <c r="C1190" s="94" t="e">
        <f>B1190+C1127</f>
        <v>#REF!</v>
      </c>
      <c r="D1190" s="94"/>
      <c r="E1190" s="51"/>
      <c r="F1190" s="24"/>
      <c r="G1190" s="24"/>
      <c r="J1190" s="25">
        <f t="shared" si="72"/>
        <v>38</v>
      </c>
    </row>
    <row r="1191" spans="1:10" ht="36.6" customHeight="1">
      <c r="A1191" s="95" t="s">
        <v>41</v>
      </c>
      <c r="B1191" s="95"/>
      <c r="C1191" s="95"/>
      <c r="D1191" s="95"/>
      <c r="E1191" s="95"/>
      <c r="F1191" s="95"/>
      <c r="G1191" s="95"/>
      <c r="J1191" s="25">
        <f t="shared" si="72"/>
        <v>38</v>
      </c>
    </row>
    <row r="1192" spans="1:10" ht="90" customHeight="1">
      <c r="A1192" s="92" t="s">
        <v>42</v>
      </c>
      <c r="B1192" s="92"/>
      <c r="C1192" s="92"/>
      <c r="D1192" s="92"/>
      <c r="E1192" s="92"/>
      <c r="F1192" s="92"/>
      <c r="G1192" s="92"/>
      <c r="J1192" s="25">
        <f t="shared" si="72"/>
        <v>38</v>
      </c>
    </row>
    <row r="1193" spans="1:10" ht="16.95" customHeight="1">
      <c r="A1193" s="95" t="s">
        <v>43</v>
      </c>
      <c r="B1193" s="95"/>
      <c r="C1193" s="95"/>
      <c r="D1193" s="95"/>
      <c r="E1193" s="95"/>
      <c r="F1193" s="95"/>
      <c r="G1193" s="95"/>
      <c r="J1193" s="25">
        <f t="shared" si="72"/>
        <v>38</v>
      </c>
    </row>
    <row r="1194" spans="1:10" ht="16.95" customHeight="1">
      <c r="A1194" s="95" t="s">
        <v>44</v>
      </c>
      <c r="B1194" s="95"/>
      <c r="C1194" s="95"/>
      <c r="D1194" s="95"/>
      <c r="E1194" s="95"/>
      <c r="F1194" s="95"/>
      <c r="G1194" s="95"/>
      <c r="J1194" s="25">
        <f t="shared" si="72"/>
        <v>38</v>
      </c>
    </row>
    <row r="1195" spans="1:10" ht="16.95" customHeight="1">
      <c r="A1195" s="91" t="s">
        <v>64</v>
      </c>
      <c r="B1195" s="91"/>
      <c r="C1195" s="91"/>
      <c r="D1195" s="91"/>
      <c r="E1195" s="91"/>
      <c r="F1195" s="91"/>
      <c r="G1195" s="91"/>
      <c r="J1195" s="25">
        <f t="shared" si="72"/>
        <v>38</v>
      </c>
    </row>
    <row r="1196" spans="1:10" ht="120.6" customHeight="1">
      <c r="A1196" s="92" t="s">
        <v>45</v>
      </c>
      <c r="B1196" s="92"/>
      <c r="C1196" s="92"/>
      <c r="D1196" s="92"/>
      <c r="E1196" s="92"/>
      <c r="F1196" s="92"/>
      <c r="G1196" s="92"/>
      <c r="J1196" s="25">
        <f t="shared" si="72"/>
        <v>38</v>
      </c>
    </row>
    <row r="1197" spans="1:10" ht="140.4" customHeight="1">
      <c r="A1197" s="93" t="s">
        <v>46</v>
      </c>
      <c r="B1197" s="93"/>
      <c r="C1197" s="93"/>
      <c r="D1197" s="93"/>
      <c r="E1197" s="93"/>
      <c r="F1197" s="93"/>
      <c r="G1197" s="93"/>
      <c r="J1197" s="25">
        <f t="shared" si="72"/>
        <v>38</v>
      </c>
    </row>
    <row r="1198" spans="1:10" ht="37.200000000000003" customHeight="1">
      <c r="A1198" s="103" t="s">
        <v>0</v>
      </c>
      <c r="B1198" s="103"/>
      <c r="C1198" s="103"/>
      <c r="D1198" s="103"/>
      <c r="E1198" s="103"/>
      <c r="F1198" s="103"/>
      <c r="G1198" s="103"/>
      <c r="J1198" s="25">
        <f t="shared" si="72"/>
        <v>39</v>
      </c>
    </row>
    <row r="1199" spans="1:10" ht="16.95" customHeight="1">
      <c r="A1199" s="1" t="s">
        <v>1</v>
      </c>
      <c r="B1199" s="104">
        <f>B1136+1</f>
        <v>21</v>
      </c>
      <c r="C1199" s="104"/>
      <c r="D1199" s="104"/>
      <c r="E1199" s="104"/>
      <c r="F1199" s="104"/>
      <c r="G1199" s="104"/>
      <c r="J1199" s="25">
        <f t="shared" si="72"/>
        <v>39</v>
      </c>
    </row>
    <row r="1200" spans="1:10" ht="16.95" customHeight="1">
      <c r="A1200" s="1" t="s">
        <v>2</v>
      </c>
      <c r="B1200" s="105" t="s">
        <v>63</v>
      </c>
      <c r="C1200" s="105"/>
      <c r="D1200" s="105"/>
      <c r="E1200" s="106">
        <f>E1137+1</f>
        <v>46223</v>
      </c>
      <c r="F1200" s="106"/>
      <c r="G1200" s="106"/>
      <c r="J1200" s="25">
        <f t="shared" si="72"/>
        <v>39</v>
      </c>
    </row>
    <row r="1201" spans="1:10" ht="16.95" customHeight="1">
      <c r="A1201" s="53" t="s">
        <v>3</v>
      </c>
      <c r="B1201" s="2" t="s">
        <v>67</v>
      </c>
      <c r="C1201" s="98" t="s">
        <v>4</v>
      </c>
      <c r="D1201" s="98"/>
      <c r="E1201" s="98" t="s">
        <v>47</v>
      </c>
      <c r="F1201" s="98"/>
      <c r="G1201" s="98"/>
      <c r="J1201" s="25">
        <f t="shared" si="72"/>
        <v>39</v>
      </c>
    </row>
    <row r="1202" spans="1:10" ht="16.95" customHeight="1">
      <c r="A1202" s="53" t="s">
        <v>5</v>
      </c>
      <c r="B1202" s="54">
        <v>120</v>
      </c>
      <c r="C1202" s="98" t="s">
        <v>6</v>
      </c>
      <c r="D1202" s="98"/>
      <c r="E1202" s="98" t="s">
        <v>123</v>
      </c>
      <c r="F1202" s="98"/>
      <c r="G1202" s="98"/>
      <c r="J1202" s="25">
        <f t="shared" si="72"/>
        <v>39</v>
      </c>
    </row>
    <row r="1203" spans="1:10" ht="16.95" customHeight="1">
      <c r="A1203" s="53" t="s">
        <v>7</v>
      </c>
      <c r="B1203" s="54">
        <f>B1199</f>
        <v>21</v>
      </c>
      <c r="C1203" s="100" t="s">
        <v>8</v>
      </c>
      <c r="D1203" s="100"/>
      <c r="E1203" s="101">
        <f>B1202-B1203</f>
        <v>99</v>
      </c>
      <c r="F1203" s="101"/>
      <c r="G1203" s="101"/>
      <c r="J1203" s="25">
        <f t="shared" si="72"/>
        <v>39</v>
      </c>
    </row>
    <row r="1204" spans="1:10" ht="16.95" customHeight="1">
      <c r="A1204" s="53" t="s">
        <v>9</v>
      </c>
      <c r="B1204" s="55">
        <v>46204</v>
      </c>
      <c r="C1204" s="98" t="s">
        <v>10</v>
      </c>
      <c r="D1204" s="98"/>
      <c r="E1204" s="102">
        <f>B1204+B1202-1</f>
        <v>46323</v>
      </c>
      <c r="F1204" s="102"/>
      <c r="G1204" s="102"/>
      <c r="J1204" s="25">
        <f t="shared" si="72"/>
        <v>39</v>
      </c>
    </row>
    <row r="1205" spans="1:10" ht="16.95" customHeight="1">
      <c r="A1205" s="53" t="s">
        <v>11</v>
      </c>
      <c r="B1205" s="56" t="e">
        <f>HLOOKUP(B1199,進度表!$Q$2:$Z$3,2,1)+B1142</f>
        <v>#REF!</v>
      </c>
      <c r="C1205" s="98" t="s">
        <v>12</v>
      </c>
      <c r="D1205" s="98"/>
      <c r="E1205" s="99" t="e">
        <f>I1243/I1205+E1142</f>
        <v>#REF!</v>
      </c>
      <c r="F1205" s="99"/>
      <c r="G1205" s="99"/>
      <c r="H1205" s="3" t="s">
        <v>62</v>
      </c>
      <c r="I1205" s="1">
        <v>2456000</v>
      </c>
      <c r="J1205" s="25">
        <f t="shared" si="72"/>
        <v>39</v>
      </c>
    </row>
    <row r="1206" spans="1:10" ht="16.95" customHeight="1">
      <c r="A1206" s="98" t="s">
        <v>13</v>
      </c>
      <c r="B1206" s="98"/>
      <c r="C1206" s="98"/>
      <c r="D1206" s="98"/>
      <c r="E1206" s="98"/>
      <c r="F1206" s="98"/>
      <c r="G1206" s="98"/>
      <c r="J1206" s="25">
        <f t="shared" si="72"/>
        <v>39</v>
      </c>
    </row>
    <row r="1207" spans="1:10" ht="16.95" customHeight="1">
      <c r="A1207" s="52" t="s">
        <v>14</v>
      </c>
      <c r="B1207" s="52" t="s">
        <v>15</v>
      </c>
      <c r="C1207" s="52" t="s">
        <v>16</v>
      </c>
      <c r="D1207" s="52" t="s">
        <v>17</v>
      </c>
      <c r="E1207" s="52" t="s">
        <v>18</v>
      </c>
      <c r="F1207" s="52" t="s">
        <v>19</v>
      </c>
      <c r="G1207" s="52" t="s">
        <v>20</v>
      </c>
      <c r="H1207" s="3" t="s">
        <v>21</v>
      </c>
      <c r="I1207" s="3" t="s">
        <v>22</v>
      </c>
      <c r="J1207" s="25">
        <f t="shared" si="72"/>
        <v>39</v>
      </c>
    </row>
    <row r="1208" spans="1:10" ht="16.95" customHeight="1">
      <c r="A1208" s="75" t="s">
        <v>65</v>
      </c>
      <c r="B1208" s="76" t="s">
        <v>69</v>
      </c>
      <c r="C1208" s="77"/>
      <c r="D1208" s="78"/>
      <c r="E1208" s="79"/>
      <c r="F1208" s="79"/>
      <c r="G1208" s="2"/>
      <c r="H1208" s="37"/>
      <c r="I1208" s="4"/>
      <c r="J1208" s="25">
        <f t="shared" si="72"/>
        <v>39</v>
      </c>
    </row>
    <row r="1209" spans="1:10" ht="34.950000000000003" customHeight="1">
      <c r="A1209" s="75">
        <v>1</v>
      </c>
      <c r="B1209" s="80" t="s">
        <v>91</v>
      </c>
      <c r="C1209" s="77" t="s">
        <v>48</v>
      </c>
      <c r="D1209" s="78">
        <v>1</v>
      </c>
      <c r="E1209" s="79"/>
      <c r="F1209" s="79" t="e">
        <f t="shared" ref="F1209:F1242" si="75">E1209+F1146</f>
        <v>#REF!</v>
      </c>
      <c r="G1209" s="2"/>
      <c r="H1209" s="37">
        <v>10508</v>
      </c>
      <c r="I1209" s="4">
        <f>H1209*E1209</f>
        <v>0</v>
      </c>
      <c r="J1209" s="25">
        <f t="shared" si="72"/>
        <v>39</v>
      </c>
    </row>
    <row r="1210" spans="1:10" ht="34.799999999999997" customHeight="1">
      <c r="A1210" s="75">
        <v>2</v>
      </c>
      <c r="B1210" s="80" t="s">
        <v>92</v>
      </c>
      <c r="C1210" s="77" t="s">
        <v>48</v>
      </c>
      <c r="D1210" s="78">
        <v>1</v>
      </c>
      <c r="E1210" s="79"/>
      <c r="F1210" s="79" t="e">
        <f t="shared" si="75"/>
        <v>#REF!</v>
      </c>
      <c r="G1210" s="2"/>
      <c r="H1210" s="37">
        <v>13223</v>
      </c>
      <c r="I1210" s="4">
        <f>H1210*E1210</f>
        <v>0</v>
      </c>
      <c r="J1210" s="25">
        <f t="shared" si="72"/>
        <v>39</v>
      </c>
    </row>
    <row r="1211" spans="1:10" ht="53.4" customHeight="1">
      <c r="A1211" s="75">
        <v>3</v>
      </c>
      <c r="B1211" s="80" t="s">
        <v>93</v>
      </c>
      <c r="C1211" s="77" t="s">
        <v>48</v>
      </c>
      <c r="D1211" s="78">
        <v>1</v>
      </c>
      <c r="E1211" s="79"/>
      <c r="F1211" s="79" t="e">
        <f t="shared" si="75"/>
        <v>#REF!</v>
      </c>
      <c r="G1211" s="2"/>
      <c r="H1211" s="37">
        <v>310497</v>
      </c>
      <c r="I1211" s="4">
        <f t="shared" ref="I1211:I1242" si="76">H1211*E1211</f>
        <v>0</v>
      </c>
      <c r="J1211" s="25">
        <f t="shared" ref="J1211:J1274" si="77">J1148+2</f>
        <v>39</v>
      </c>
    </row>
    <row r="1212" spans="1:10" ht="16.95" customHeight="1">
      <c r="A1212" s="75">
        <v>4</v>
      </c>
      <c r="B1212" s="80" t="s">
        <v>94</v>
      </c>
      <c r="C1212" s="77" t="s">
        <v>48</v>
      </c>
      <c r="D1212" s="78">
        <v>1</v>
      </c>
      <c r="E1212" s="79"/>
      <c r="F1212" s="79" t="e">
        <f t="shared" si="75"/>
        <v>#REF!</v>
      </c>
      <c r="G1212" s="2"/>
      <c r="H1212" s="37">
        <v>8375</v>
      </c>
      <c r="I1212" s="4">
        <f t="shared" si="76"/>
        <v>0</v>
      </c>
      <c r="J1212" s="25">
        <f t="shared" si="77"/>
        <v>39</v>
      </c>
    </row>
    <row r="1213" spans="1:10" ht="16.95" customHeight="1">
      <c r="A1213" s="75">
        <v>5</v>
      </c>
      <c r="B1213" s="80" t="s">
        <v>95</v>
      </c>
      <c r="C1213" s="77" t="s">
        <v>48</v>
      </c>
      <c r="D1213" s="78">
        <v>1</v>
      </c>
      <c r="E1213" s="79"/>
      <c r="F1213" s="79" t="e">
        <f t="shared" si="75"/>
        <v>#REF!</v>
      </c>
      <c r="G1213" s="2"/>
      <c r="H1213" s="37">
        <v>51618</v>
      </c>
      <c r="I1213" s="4">
        <f t="shared" si="76"/>
        <v>0</v>
      </c>
      <c r="J1213" s="25">
        <f t="shared" si="77"/>
        <v>39</v>
      </c>
    </row>
    <row r="1214" spans="1:10" ht="16.95" customHeight="1">
      <c r="A1214" s="75">
        <v>6</v>
      </c>
      <c r="B1214" s="80" t="s">
        <v>96</v>
      </c>
      <c r="C1214" s="77" t="s">
        <v>50</v>
      </c>
      <c r="D1214" s="78">
        <v>11.55</v>
      </c>
      <c r="E1214" s="79"/>
      <c r="F1214" s="79" t="e">
        <f t="shared" si="75"/>
        <v>#REF!</v>
      </c>
      <c r="G1214" s="2"/>
      <c r="H1214" s="37">
        <v>1188</v>
      </c>
      <c r="I1214" s="4">
        <f t="shared" si="76"/>
        <v>0</v>
      </c>
      <c r="J1214" s="25">
        <f t="shared" si="77"/>
        <v>39</v>
      </c>
    </row>
    <row r="1215" spans="1:10" ht="34.950000000000003" customHeight="1">
      <c r="A1215" s="75">
        <v>7</v>
      </c>
      <c r="B1215" s="80" t="s">
        <v>97</v>
      </c>
      <c r="C1215" s="77" t="s">
        <v>48</v>
      </c>
      <c r="D1215" s="78">
        <v>1</v>
      </c>
      <c r="E1215" s="79"/>
      <c r="F1215" s="79" t="e">
        <f t="shared" si="75"/>
        <v>#REF!</v>
      </c>
      <c r="G1215" s="2"/>
      <c r="H1215" s="37">
        <v>21157</v>
      </c>
      <c r="I1215" s="4">
        <f t="shared" si="76"/>
        <v>0</v>
      </c>
      <c r="J1215" s="25">
        <f t="shared" si="77"/>
        <v>39</v>
      </c>
    </row>
    <row r="1216" spans="1:10" ht="16.95" customHeight="1">
      <c r="A1216" s="75">
        <v>8</v>
      </c>
      <c r="B1216" s="80" t="s">
        <v>98</v>
      </c>
      <c r="C1216" s="77" t="s">
        <v>50</v>
      </c>
      <c r="D1216" s="78">
        <v>387</v>
      </c>
      <c r="E1216" s="79"/>
      <c r="F1216" s="79" t="e">
        <f t="shared" si="75"/>
        <v>#REF!</v>
      </c>
      <c r="G1216" s="2"/>
      <c r="H1216" s="37">
        <v>705</v>
      </c>
      <c r="I1216" s="4">
        <f t="shared" si="76"/>
        <v>0</v>
      </c>
      <c r="J1216" s="25">
        <f t="shared" si="77"/>
        <v>39</v>
      </c>
    </row>
    <row r="1217" spans="1:10" ht="16.95" customHeight="1">
      <c r="A1217" s="75">
        <v>9</v>
      </c>
      <c r="B1217" s="80" t="s">
        <v>99</v>
      </c>
      <c r="C1217" s="77" t="s">
        <v>50</v>
      </c>
      <c r="D1217" s="78">
        <v>170</v>
      </c>
      <c r="E1217" s="79"/>
      <c r="F1217" s="79" t="e">
        <f t="shared" si="75"/>
        <v>#REF!</v>
      </c>
      <c r="G1217" s="2"/>
      <c r="H1217" s="37">
        <v>617</v>
      </c>
      <c r="I1217" s="4">
        <f t="shared" si="76"/>
        <v>0</v>
      </c>
      <c r="J1217" s="25">
        <f t="shared" si="77"/>
        <v>39</v>
      </c>
    </row>
    <row r="1218" spans="1:10" ht="16.95" customHeight="1">
      <c r="A1218" s="75">
        <v>10</v>
      </c>
      <c r="B1218" s="80" t="s">
        <v>100</v>
      </c>
      <c r="C1218" s="77" t="s">
        <v>66</v>
      </c>
      <c r="D1218" s="78">
        <v>15</v>
      </c>
      <c r="E1218" s="79"/>
      <c r="F1218" s="79" t="e">
        <f t="shared" si="75"/>
        <v>#REF!</v>
      </c>
      <c r="G1218" s="2"/>
      <c r="H1218" s="37">
        <v>617</v>
      </c>
      <c r="I1218" s="4">
        <f t="shared" si="76"/>
        <v>0</v>
      </c>
      <c r="J1218" s="25">
        <f t="shared" si="77"/>
        <v>39</v>
      </c>
    </row>
    <row r="1219" spans="1:10" ht="16.95" customHeight="1">
      <c r="A1219" s="75">
        <v>11</v>
      </c>
      <c r="B1219" s="80" t="s">
        <v>101</v>
      </c>
      <c r="C1219" s="77" t="s">
        <v>50</v>
      </c>
      <c r="D1219" s="78">
        <v>75</v>
      </c>
      <c r="E1219" s="79"/>
      <c r="F1219" s="79" t="e">
        <f t="shared" si="75"/>
        <v>#REF!</v>
      </c>
      <c r="G1219" s="2"/>
      <c r="H1219" s="37">
        <v>1146</v>
      </c>
      <c r="I1219" s="4">
        <f t="shared" si="76"/>
        <v>0</v>
      </c>
      <c r="J1219" s="25">
        <f t="shared" si="77"/>
        <v>39</v>
      </c>
    </row>
    <row r="1220" spans="1:10" ht="16.95" customHeight="1">
      <c r="A1220" s="75">
        <v>12</v>
      </c>
      <c r="B1220" s="80" t="s">
        <v>102</v>
      </c>
      <c r="C1220" s="77" t="s">
        <v>50</v>
      </c>
      <c r="D1220" s="78">
        <v>5</v>
      </c>
      <c r="E1220" s="79"/>
      <c r="F1220" s="79" t="e">
        <f t="shared" si="75"/>
        <v>#REF!</v>
      </c>
      <c r="G1220" s="2"/>
      <c r="H1220" s="37">
        <v>1455</v>
      </c>
      <c r="I1220" s="4">
        <f t="shared" si="76"/>
        <v>0</v>
      </c>
      <c r="J1220" s="25">
        <f t="shared" si="77"/>
        <v>39</v>
      </c>
    </row>
    <row r="1221" spans="1:10" ht="16.95" customHeight="1">
      <c r="A1221" s="75">
        <v>13</v>
      </c>
      <c r="B1221" s="80" t="s">
        <v>103</v>
      </c>
      <c r="C1221" s="77" t="s">
        <v>50</v>
      </c>
      <c r="D1221" s="78">
        <v>217</v>
      </c>
      <c r="E1221" s="79"/>
      <c r="F1221" s="79" t="e">
        <f t="shared" si="75"/>
        <v>#REF!</v>
      </c>
      <c r="G1221" s="2"/>
      <c r="H1221" s="37">
        <v>1410</v>
      </c>
      <c r="I1221" s="4">
        <f t="shared" si="76"/>
        <v>0</v>
      </c>
      <c r="J1221" s="25">
        <f t="shared" si="77"/>
        <v>39</v>
      </c>
    </row>
    <row r="1222" spans="1:10" ht="16.95" customHeight="1">
      <c r="A1222" s="75">
        <v>14</v>
      </c>
      <c r="B1222" s="80" t="s">
        <v>104</v>
      </c>
      <c r="C1222" s="77" t="s">
        <v>49</v>
      </c>
      <c r="D1222" s="78">
        <v>84</v>
      </c>
      <c r="E1222" s="79"/>
      <c r="F1222" s="79" t="e">
        <f t="shared" si="75"/>
        <v>#REF!</v>
      </c>
      <c r="G1222" s="2"/>
      <c r="H1222" s="37">
        <v>529</v>
      </c>
      <c r="I1222" s="4">
        <f t="shared" si="76"/>
        <v>0</v>
      </c>
      <c r="J1222" s="25">
        <f t="shared" si="77"/>
        <v>39</v>
      </c>
    </row>
    <row r="1223" spans="1:10" ht="16.95" customHeight="1">
      <c r="A1223" s="75">
        <v>15</v>
      </c>
      <c r="B1223" s="80" t="s">
        <v>105</v>
      </c>
      <c r="C1223" s="77" t="s">
        <v>50</v>
      </c>
      <c r="D1223" s="78">
        <v>1</v>
      </c>
      <c r="E1223" s="79"/>
      <c r="F1223" s="79" t="e">
        <f t="shared" si="75"/>
        <v>#REF!</v>
      </c>
      <c r="G1223" s="2"/>
      <c r="H1223" s="37">
        <v>1146</v>
      </c>
      <c r="I1223" s="4">
        <f t="shared" si="76"/>
        <v>0</v>
      </c>
      <c r="J1223" s="25">
        <f t="shared" si="77"/>
        <v>39</v>
      </c>
    </row>
    <row r="1224" spans="1:10" ht="34.799999999999997" customHeight="1">
      <c r="A1224" s="75">
        <v>16</v>
      </c>
      <c r="B1224" s="80" t="s">
        <v>106</v>
      </c>
      <c r="C1224" s="77" t="s">
        <v>50</v>
      </c>
      <c r="D1224" s="78">
        <v>314</v>
      </c>
      <c r="E1224" s="79"/>
      <c r="F1224" s="79" t="e">
        <f t="shared" si="75"/>
        <v>#REF!</v>
      </c>
      <c r="G1224" s="2"/>
      <c r="H1224" s="37">
        <v>185</v>
      </c>
      <c r="I1224" s="4">
        <f t="shared" si="76"/>
        <v>0</v>
      </c>
      <c r="J1224" s="25">
        <f t="shared" si="77"/>
        <v>39</v>
      </c>
    </row>
    <row r="1225" spans="1:10" ht="16.95" customHeight="1">
      <c r="A1225" s="75">
        <v>17</v>
      </c>
      <c r="B1225" s="80" t="s">
        <v>107</v>
      </c>
      <c r="C1225" s="77" t="s">
        <v>48</v>
      </c>
      <c r="D1225" s="78">
        <v>1</v>
      </c>
      <c r="E1225" s="79"/>
      <c r="F1225" s="79" t="e">
        <f t="shared" si="75"/>
        <v>#REF!</v>
      </c>
      <c r="G1225" s="2"/>
      <c r="H1225" s="37">
        <v>89918</v>
      </c>
      <c r="I1225" s="4">
        <f t="shared" si="76"/>
        <v>0</v>
      </c>
      <c r="J1225" s="25">
        <f t="shared" si="77"/>
        <v>39</v>
      </c>
    </row>
    <row r="1226" spans="1:10" ht="16.95" customHeight="1">
      <c r="A1226" s="75">
        <v>18</v>
      </c>
      <c r="B1226" s="80" t="s">
        <v>108</v>
      </c>
      <c r="C1226" s="77" t="s">
        <v>120</v>
      </c>
      <c r="D1226" s="78">
        <v>15</v>
      </c>
      <c r="E1226" s="79"/>
      <c r="F1226" s="79" t="e">
        <f t="shared" si="75"/>
        <v>#REF!</v>
      </c>
      <c r="G1226" s="2"/>
      <c r="H1226" s="37">
        <v>661</v>
      </c>
      <c r="I1226" s="4">
        <f t="shared" si="76"/>
        <v>0</v>
      </c>
      <c r="J1226" s="25">
        <f t="shared" si="77"/>
        <v>39</v>
      </c>
    </row>
    <row r="1227" spans="1:10" ht="16.95" customHeight="1">
      <c r="A1227" s="75">
        <v>19</v>
      </c>
      <c r="B1227" s="80" t="s">
        <v>109</v>
      </c>
      <c r="C1227" s="77" t="s">
        <v>50</v>
      </c>
      <c r="D1227" s="78">
        <v>82</v>
      </c>
      <c r="E1227" s="79"/>
      <c r="F1227" s="79" t="e">
        <f t="shared" si="75"/>
        <v>#REF!</v>
      </c>
      <c r="G1227" s="2"/>
      <c r="H1227" s="37">
        <v>2909</v>
      </c>
      <c r="I1227" s="4">
        <f t="shared" si="76"/>
        <v>0</v>
      </c>
      <c r="J1227" s="25">
        <f t="shared" si="77"/>
        <v>39</v>
      </c>
    </row>
    <row r="1228" spans="1:10" ht="16.95" customHeight="1">
      <c r="A1228" s="75">
        <v>20</v>
      </c>
      <c r="B1228" s="80" t="s">
        <v>110</v>
      </c>
      <c r="C1228" s="77" t="s">
        <v>121</v>
      </c>
      <c r="D1228" s="78">
        <v>12</v>
      </c>
      <c r="E1228" s="79"/>
      <c r="F1228" s="79" t="e">
        <f t="shared" si="75"/>
        <v>#REF!</v>
      </c>
      <c r="G1228" s="2"/>
      <c r="H1228" s="37">
        <v>882</v>
      </c>
      <c r="I1228" s="4">
        <f t="shared" si="76"/>
        <v>0</v>
      </c>
      <c r="J1228" s="25">
        <f t="shared" si="77"/>
        <v>39</v>
      </c>
    </row>
    <row r="1229" spans="1:10" ht="16.95" customHeight="1">
      <c r="A1229" s="77">
        <v>21</v>
      </c>
      <c r="B1229" s="80" t="s">
        <v>111</v>
      </c>
      <c r="C1229" s="77" t="s">
        <v>122</v>
      </c>
      <c r="D1229" s="78">
        <v>3</v>
      </c>
      <c r="E1229" s="79"/>
      <c r="F1229" s="79" t="e">
        <f t="shared" si="75"/>
        <v>#REF!</v>
      </c>
      <c r="G1229" s="2"/>
      <c r="H1229" s="38">
        <v>1869</v>
      </c>
      <c r="I1229" s="4">
        <f t="shared" si="76"/>
        <v>0</v>
      </c>
      <c r="J1229" s="25">
        <f t="shared" si="77"/>
        <v>39</v>
      </c>
    </row>
    <row r="1230" spans="1:10" ht="34.950000000000003" customHeight="1">
      <c r="A1230" s="75">
        <v>22</v>
      </c>
      <c r="B1230" s="80" t="s">
        <v>112</v>
      </c>
      <c r="C1230" s="77" t="s">
        <v>48</v>
      </c>
      <c r="D1230" s="78">
        <v>1</v>
      </c>
      <c r="E1230" s="79"/>
      <c r="F1230" s="79" t="e">
        <f t="shared" si="75"/>
        <v>#REF!</v>
      </c>
      <c r="G1230" s="2"/>
      <c r="H1230" s="37">
        <v>82206</v>
      </c>
      <c r="I1230" s="4">
        <f t="shared" si="76"/>
        <v>0</v>
      </c>
      <c r="J1230" s="25">
        <f t="shared" si="77"/>
        <v>39</v>
      </c>
    </row>
    <row r="1231" spans="1:10" ht="16.95" customHeight="1">
      <c r="A1231" s="75">
        <v>23</v>
      </c>
      <c r="B1231" s="80" t="s">
        <v>113</v>
      </c>
      <c r="C1231" s="77" t="s">
        <v>48</v>
      </c>
      <c r="D1231" s="78">
        <v>1</v>
      </c>
      <c r="E1231" s="79"/>
      <c r="F1231" s="79" t="e">
        <f t="shared" si="75"/>
        <v>#REF!</v>
      </c>
      <c r="G1231" s="2"/>
      <c r="H1231" s="37">
        <v>142723</v>
      </c>
      <c r="I1231" s="4">
        <f t="shared" si="76"/>
        <v>0</v>
      </c>
      <c r="J1231" s="25">
        <f t="shared" si="77"/>
        <v>39</v>
      </c>
    </row>
    <row r="1232" spans="1:10" ht="16.95" customHeight="1">
      <c r="A1232" s="75">
        <v>24</v>
      </c>
      <c r="B1232" s="80" t="s">
        <v>114</v>
      </c>
      <c r="C1232" s="77" t="s">
        <v>48</v>
      </c>
      <c r="D1232" s="78">
        <v>1</v>
      </c>
      <c r="E1232" s="79"/>
      <c r="F1232" s="79" t="e">
        <f t="shared" si="75"/>
        <v>#REF!</v>
      </c>
      <c r="G1232" s="2"/>
      <c r="H1232" s="37">
        <v>37290</v>
      </c>
      <c r="I1232" s="4">
        <f t="shared" si="76"/>
        <v>0</v>
      </c>
      <c r="J1232" s="25">
        <f t="shared" si="77"/>
        <v>39</v>
      </c>
    </row>
    <row r="1233" spans="1:10" ht="16.95" customHeight="1">
      <c r="A1233" s="75">
        <v>25</v>
      </c>
      <c r="B1233" s="80" t="s">
        <v>115</v>
      </c>
      <c r="C1233" s="77" t="s">
        <v>48</v>
      </c>
      <c r="D1233" s="78">
        <v>1</v>
      </c>
      <c r="E1233" s="79"/>
      <c r="F1233" s="79" t="e">
        <f t="shared" si="75"/>
        <v>#REF!</v>
      </c>
      <c r="G1233" s="2"/>
      <c r="H1233" s="37">
        <v>99394</v>
      </c>
      <c r="I1233" s="4">
        <f t="shared" si="76"/>
        <v>0</v>
      </c>
      <c r="J1233" s="25">
        <f t="shared" si="77"/>
        <v>39</v>
      </c>
    </row>
    <row r="1234" spans="1:10" ht="34.950000000000003" customHeight="1">
      <c r="A1234" s="75">
        <v>26</v>
      </c>
      <c r="B1234" s="80" t="s">
        <v>116</v>
      </c>
      <c r="C1234" s="77" t="s">
        <v>48</v>
      </c>
      <c r="D1234" s="78">
        <v>1</v>
      </c>
      <c r="E1234" s="79"/>
      <c r="F1234" s="79" t="e">
        <f t="shared" si="75"/>
        <v>#REF!</v>
      </c>
      <c r="G1234" s="2"/>
      <c r="H1234" s="37">
        <v>21334</v>
      </c>
      <c r="I1234" s="4">
        <f t="shared" si="76"/>
        <v>0</v>
      </c>
      <c r="J1234" s="25">
        <f t="shared" si="77"/>
        <v>39</v>
      </c>
    </row>
    <row r="1235" spans="1:10" ht="16.95" customHeight="1">
      <c r="A1235" s="75">
        <v>27</v>
      </c>
      <c r="B1235" s="80" t="s">
        <v>117</v>
      </c>
      <c r="C1235" s="77" t="s">
        <v>48</v>
      </c>
      <c r="D1235" s="78">
        <v>1</v>
      </c>
      <c r="E1235" s="79"/>
      <c r="F1235" s="79" t="e">
        <f t="shared" si="75"/>
        <v>#REF!</v>
      </c>
      <c r="G1235" s="2"/>
      <c r="H1235" s="37">
        <v>29620</v>
      </c>
      <c r="I1235" s="4">
        <f t="shared" si="76"/>
        <v>0</v>
      </c>
      <c r="J1235" s="25">
        <f t="shared" si="77"/>
        <v>39</v>
      </c>
    </row>
    <row r="1236" spans="1:10" ht="16.95" customHeight="1">
      <c r="A1236" s="75">
        <v>28</v>
      </c>
      <c r="B1236" s="80" t="s">
        <v>118</v>
      </c>
      <c r="C1236" s="77" t="s">
        <v>48</v>
      </c>
      <c r="D1236" s="78">
        <v>1</v>
      </c>
      <c r="E1236" s="79"/>
      <c r="F1236" s="79" t="e">
        <f t="shared" si="75"/>
        <v>#REF!</v>
      </c>
      <c r="G1236" s="2"/>
      <c r="H1236" s="37">
        <v>18506</v>
      </c>
      <c r="I1236" s="4">
        <f t="shared" si="76"/>
        <v>0</v>
      </c>
      <c r="J1236" s="25">
        <f t="shared" si="77"/>
        <v>39</v>
      </c>
    </row>
    <row r="1237" spans="1:10" ht="16.95" customHeight="1">
      <c r="A1237" s="75">
        <v>29</v>
      </c>
      <c r="B1237" s="80" t="s">
        <v>119</v>
      </c>
      <c r="C1237" s="77" t="s">
        <v>48</v>
      </c>
      <c r="D1237" s="78">
        <v>1</v>
      </c>
      <c r="E1237" s="79"/>
      <c r="F1237" s="79" t="e">
        <f t="shared" si="75"/>
        <v>#REF!</v>
      </c>
      <c r="G1237" s="2"/>
      <c r="H1237" s="37">
        <v>34381</v>
      </c>
      <c r="I1237" s="4">
        <f t="shared" si="76"/>
        <v>0</v>
      </c>
      <c r="J1237" s="25">
        <f t="shared" si="77"/>
        <v>39</v>
      </c>
    </row>
    <row r="1238" spans="1:10" ht="16.95" customHeight="1">
      <c r="A1238" s="75" t="s">
        <v>79</v>
      </c>
      <c r="B1238" s="80" t="s">
        <v>80</v>
      </c>
      <c r="C1238" s="77" t="s">
        <v>48</v>
      </c>
      <c r="D1238" s="78">
        <v>1</v>
      </c>
      <c r="E1238" s="79">
        <f t="shared" ref="E1238:E1241" si="78">1/120</f>
        <v>8.3333333333333332E-3</v>
      </c>
      <c r="F1238" s="79" t="e">
        <f t="shared" si="75"/>
        <v>#REF!</v>
      </c>
      <c r="G1238" s="2"/>
      <c r="H1238" s="37">
        <v>21395</v>
      </c>
      <c r="I1238" s="4">
        <f t="shared" si="76"/>
        <v>178.29166666666666</v>
      </c>
      <c r="J1238" s="25">
        <f t="shared" si="77"/>
        <v>39</v>
      </c>
    </row>
    <row r="1239" spans="1:10" ht="16.95" customHeight="1">
      <c r="A1239" s="75" t="s">
        <v>81</v>
      </c>
      <c r="B1239" s="80" t="s">
        <v>82</v>
      </c>
      <c r="C1239" s="77" t="s">
        <v>48</v>
      </c>
      <c r="D1239" s="78">
        <v>1</v>
      </c>
      <c r="E1239" s="79">
        <f t="shared" si="78"/>
        <v>8.3333333333333332E-3</v>
      </c>
      <c r="F1239" s="79" t="e">
        <f t="shared" si="75"/>
        <v>#REF!</v>
      </c>
      <c r="G1239" s="2"/>
      <c r="H1239" s="37">
        <v>21395</v>
      </c>
      <c r="I1239" s="4">
        <f t="shared" si="76"/>
        <v>178.29166666666666</v>
      </c>
      <c r="J1239" s="25">
        <f t="shared" si="77"/>
        <v>39</v>
      </c>
    </row>
    <row r="1240" spans="1:10" ht="16.95" customHeight="1">
      <c r="A1240" s="75" t="s">
        <v>83</v>
      </c>
      <c r="B1240" s="80" t="s">
        <v>84</v>
      </c>
      <c r="C1240" s="77" t="s">
        <v>48</v>
      </c>
      <c r="D1240" s="78">
        <v>1</v>
      </c>
      <c r="E1240" s="79">
        <f t="shared" si="78"/>
        <v>8.3333333333333332E-3</v>
      </c>
      <c r="F1240" s="79" t="e">
        <f t="shared" si="75"/>
        <v>#REF!</v>
      </c>
      <c r="G1240" s="2"/>
      <c r="H1240" s="37">
        <v>149765</v>
      </c>
      <c r="I1240" s="4">
        <f t="shared" si="76"/>
        <v>1248.0416666666667</v>
      </c>
      <c r="J1240" s="25">
        <f t="shared" si="77"/>
        <v>39</v>
      </c>
    </row>
    <row r="1241" spans="1:10" ht="16.95" customHeight="1">
      <c r="A1241" s="75" t="s">
        <v>85</v>
      </c>
      <c r="B1241" s="80" t="s">
        <v>86</v>
      </c>
      <c r="C1241" s="77" t="s">
        <v>48</v>
      </c>
      <c r="D1241" s="78">
        <v>1</v>
      </c>
      <c r="E1241" s="79">
        <f t="shared" si="78"/>
        <v>8.3333333333333332E-3</v>
      </c>
      <c r="F1241" s="79" t="e">
        <f t="shared" si="75"/>
        <v>#REF!</v>
      </c>
      <c r="G1241" s="2"/>
      <c r="H1241" s="37">
        <v>6996</v>
      </c>
      <c r="I1241" s="4">
        <f t="shared" si="76"/>
        <v>58.3</v>
      </c>
      <c r="J1241" s="25">
        <f t="shared" si="77"/>
        <v>39</v>
      </c>
    </row>
    <row r="1242" spans="1:10" ht="16.95" customHeight="1">
      <c r="A1242" s="75" t="s">
        <v>87</v>
      </c>
      <c r="B1242" s="80" t="s">
        <v>88</v>
      </c>
      <c r="C1242" s="77" t="s">
        <v>48</v>
      </c>
      <c r="D1242" s="78">
        <v>1</v>
      </c>
      <c r="E1242" s="79">
        <f>1/120</f>
        <v>8.3333333333333332E-3</v>
      </c>
      <c r="F1242" s="79" t="e">
        <f t="shared" si="75"/>
        <v>#REF!</v>
      </c>
      <c r="G1242" s="2"/>
      <c r="H1242" s="37">
        <v>116952</v>
      </c>
      <c r="I1242" s="4">
        <f t="shared" si="76"/>
        <v>974.6</v>
      </c>
      <c r="J1242" s="25">
        <f t="shared" si="77"/>
        <v>39</v>
      </c>
    </row>
    <row r="1243" spans="1:10" ht="16.95" customHeight="1">
      <c r="A1243" s="95" t="s">
        <v>23</v>
      </c>
      <c r="B1243" s="95"/>
      <c r="C1243" s="50"/>
      <c r="D1243" s="50"/>
      <c r="E1243" s="50"/>
      <c r="F1243" s="50"/>
      <c r="G1243" s="50"/>
      <c r="H1243" s="3" t="s">
        <v>24</v>
      </c>
      <c r="I1243" s="5">
        <f>SUM(I1208:I1242)</f>
        <v>2637.5250000000001</v>
      </c>
      <c r="J1243" s="25">
        <f t="shared" si="77"/>
        <v>39</v>
      </c>
    </row>
    <row r="1244" spans="1:10" ht="16.95" customHeight="1">
      <c r="A1244" s="96" t="s">
        <v>25</v>
      </c>
      <c r="B1244" s="96"/>
      <c r="C1244" s="50"/>
      <c r="D1244" s="50"/>
      <c r="E1244" s="50"/>
      <c r="F1244" s="50"/>
      <c r="G1244" s="50"/>
      <c r="J1244" s="25">
        <f t="shared" si="77"/>
        <v>39</v>
      </c>
    </row>
    <row r="1245" spans="1:10" ht="16.95" customHeight="1">
      <c r="A1245" s="96" t="s">
        <v>26</v>
      </c>
      <c r="B1245" s="96"/>
      <c r="C1245" s="50"/>
      <c r="D1245" s="50"/>
      <c r="E1245" s="50"/>
      <c r="F1245" s="50"/>
      <c r="G1245" s="50"/>
      <c r="J1245" s="25">
        <f t="shared" si="77"/>
        <v>39</v>
      </c>
    </row>
    <row r="1246" spans="1:10" ht="16.95" customHeight="1">
      <c r="A1246" s="95" t="s">
        <v>27</v>
      </c>
      <c r="B1246" s="95"/>
      <c r="C1246" s="95"/>
      <c r="D1246" s="95"/>
      <c r="E1246" s="95"/>
      <c r="F1246" s="95"/>
      <c r="G1246" s="95"/>
      <c r="J1246" s="25">
        <f t="shared" si="77"/>
        <v>39</v>
      </c>
    </row>
    <row r="1247" spans="1:10" ht="16.95" customHeight="1">
      <c r="A1247" s="94" t="s">
        <v>28</v>
      </c>
      <c r="B1247" s="94"/>
      <c r="C1247" s="51" t="s">
        <v>29</v>
      </c>
      <c r="D1247" s="51" t="s">
        <v>30</v>
      </c>
      <c r="E1247" s="51" t="s">
        <v>18</v>
      </c>
      <c r="F1247" s="51" t="s">
        <v>31</v>
      </c>
      <c r="G1247" s="51" t="s">
        <v>20</v>
      </c>
      <c r="J1247" s="25">
        <f t="shared" si="77"/>
        <v>39</v>
      </c>
    </row>
    <row r="1248" spans="1:10" ht="16.95" customHeight="1">
      <c r="A1248" s="96"/>
      <c r="B1248" s="96"/>
      <c r="C1248" s="50"/>
      <c r="D1248" s="50"/>
      <c r="E1248" s="50"/>
      <c r="F1248" s="50"/>
      <c r="G1248" s="51"/>
      <c r="J1248" s="25">
        <f t="shared" si="77"/>
        <v>39</v>
      </c>
    </row>
    <row r="1249" spans="1:10" ht="16.95" customHeight="1">
      <c r="A1249" s="97"/>
      <c r="B1249" s="97"/>
      <c r="C1249" s="50"/>
      <c r="D1249" s="50"/>
      <c r="E1249" s="50"/>
      <c r="F1249" s="51"/>
      <c r="G1249" s="51"/>
      <c r="J1249" s="25">
        <f t="shared" si="77"/>
        <v>39</v>
      </c>
    </row>
    <row r="1250" spans="1:10" ht="16.95" customHeight="1">
      <c r="A1250" s="95" t="s">
        <v>32</v>
      </c>
      <c r="B1250" s="95"/>
      <c r="C1250" s="95"/>
      <c r="D1250" s="95"/>
      <c r="E1250" s="95"/>
      <c r="F1250" s="95"/>
      <c r="G1250" s="95"/>
      <c r="J1250" s="25">
        <f t="shared" si="77"/>
        <v>40</v>
      </c>
    </row>
    <row r="1251" spans="1:10" ht="16.95" customHeight="1">
      <c r="A1251" s="51" t="s">
        <v>33</v>
      </c>
      <c r="B1251" s="51" t="s">
        <v>34</v>
      </c>
      <c r="C1251" s="94" t="s">
        <v>35</v>
      </c>
      <c r="D1251" s="94"/>
      <c r="E1251" s="51" t="s">
        <v>36</v>
      </c>
      <c r="F1251" s="51" t="s">
        <v>37</v>
      </c>
      <c r="G1251" s="51" t="s">
        <v>38</v>
      </c>
      <c r="J1251" s="25">
        <f t="shared" si="77"/>
        <v>40</v>
      </c>
    </row>
    <row r="1252" spans="1:10" ht="16.95" customHeight="1">
      <c r="A1252" s="51" t="s">
        <v>39</v>
      </c>
      <c r="B1252" s="6"/>
      <c r="C1252" s="94" t="e">
        <f>B1252+C1189</f>
        <v>#REF!</v>
      </c>
      <c r="D1252" s="94"/>
      <c r="E1252" s="51"/>
      <c r="F1252" s="24"/>
      <c r="G1252" s="24"/>
      <c r="J1252" s="25">
        <f t="shared" si="77"/>
        <v>40</v>
      </c>
    </row>
    <row r="1253" spans="1:10" ht="16.95" customHeight="1">
      <c r="A1253" s="51" t="s">
        <v>40</v>
      </c>
      <c r="B1253" s="6"/>
      <c r="C1253" s="94" t="e">
        <f>B1253+C1190</f>
        <v>#REF!</v>
      </c>
      <c r="D1253" s="94"/>
      <c r="E1253" s="51"/>
      <c r="F1253" s="24"/>
      <c r="G1253" s="24"/>
      <c r="J1253" s="25">
        <f t="shared" si="77"/>
        <v>40</v>
      </c>
    </row>
    <row r="1254" spans="1:10" ht="36.6" customHeight="1">
      <c r="A1254" s="95" t="s">
        <v>41</v>
      </c>
      <c r="B1254" s="95"/>
      <c r="C1254" s="95"/>
      <c r="D1254" s="95"/>
      <c r="E1254" s="95"/>
      <c r="F1254" s="95"/>
      <c r="G1254" s="95"/>
      <c r="J1254" s="25">
        <f t="shared" si="77"/>
        <v>40</v>
      </c>
    </row>
    <row r="1255" spans="1:10" ht="90" customHeight="1">
      <c r="A1255" s="92" t="s">
        <v>42</v>
      </c>
      <c r="B1255" s="92"/>
      <c r="C1255" s="92"/>
      <c r="D1255" s="92"/>
      <c r="E1255" s="92"/>
      <c r="F1255" s="92"/>
      <c r="G1255" s="92"/>
      <c r="J1255" s="25">
        <f t="shared" si="77"/>
        <v>40</v>
      </c>
    </row>
    <row r="1256" spans="1:10" ht="16.95" customHeight="1">
      <c r="A1256" s="95" t="s">
        <v>43</v>
      </c>
      <c r="B1256" s="95"/>
      <c r="C1256" s="95"/>
      <c r="D1256" s="95"/>
      <c r="E1256" s="95"/>
      <c r="F1256" s="95"/>
      <c r="G1256" s="95"/>
      <c r="J1256" s="25">
        <f t="shared" si="77"/>
        <v>40</v>
      </c>
    </row>
    <row r="1257" spans="1:10" ht="16.95" customHeight="1">
      <c r="A1257" s="95" t="s">
        <v>44</v>
      </c>
      <c r="B1257" s="95"/>
      <c r="C1257" s="95"/>
      <c r="D1257" s="95"/>
      <c r="E1257" s="95"/>
      <c r="F1257" s="95"/>
      <c r="G1257" s="95"/>
      <c r="J1257" s="25">
        <f t="shared" si="77"/>
        <v>40</v>
      </c>
    </row>
    <row r="1258" spans="1:10" ht="16.95" customHeight="1">
      <c r="A1258" s="91" t="s">
        <v>64</v>
      </c>
      <c r="B1258" s="91"/>
      <c r="C1258" s="91"/>
      <c r="D1258" s="91"/>
      <c r="E1258" s="91"/>
      <c r="F1258" s="91"/>
      <c r="G1258" s="91"/>
      <c r="J1258" s="25">
        <f t="shared" si="77"/>
        <v>40</v>
      </c>
    </row>
    <row r="1259" spans="1:10" ht="120.6" customHeight="1">
      <c r="A1259" s="92" t="s">
        <v>45</v>
      </c>
      <c r="B1259" s="92"/>
      <c r="C1259" s="92"/>
      <c r="D1259" s="92"/>
      <c r="E1259" s="92"/>
      <c r="F1259" s="92"/>
      <c r="G1259" s="92"/>
      <c r="J1259" s="25">
        <f t="shared" si="77"/>
        <v>40</v>
      </c>
    </row>
    <row r="1260" spans="1:10" ht="140.4" customHeight="1">
      <c r="A1260" s="93" t="s">
        <v>46</v>
      </c>
      <c r="B1260" s="93"/>
      <c r="C1260" s="93"/>
      <c r="D1260" s="93"/>
      <c r="E1260" s="93"/>
      <c r="F1260" s="93"/>
      <c r="G1260" s="93"/>
      <c r="J1260" s="25">
        <f t="shared" si="77"/>
        <v>40</v>
      </c>
    </row>
    <row r="1261" spans="1:10" ht="37.200000000000003" customHeight="1">
      <c r="A1261" s="103" t="s">
        <v>0</v>
      </c>
      <c r="B1261" s="103"/>
      <c r="C1261" s="103"/>
      <c r="D1261" s="103"/>
      <c r="E1261" s="103"/>
      <c r="F1261" s="103"/>
      <c r="G1261" s="103"/>
      <c r="J1261" s="25">
        <f t="shared" si="77"/>
        <v>41</v>
      </c>
    </row>
    <row r="1262" spans="1:10" ht="16.95" customHeight="1">
      <c r="A1262" s="1" t="s">
        <v>1</v>
      </c>
      <c r="B1262" s="104">
        <f>B1199+1</f>
        <v>22</v>
      </c>
      <c r="C1262" s="104"/>
      <c r="D1262" s="104"/>
      <c r="E1262" s="104"/>
      <c r="F1262" s="104"/>
      <c r="G1262" s="104"/>
      <c r="J1262" s="25">
        <f t="shared" si="77"/>
        <v>41</v>
      </c>
    </row>
    <row r="1263" spans="1:10" ht="16.95" customHeight="1">
      <c r="A1263" s="1" t="s">
        <v>2</v>
      </c>
      <c r="B1263" s="105" t="s">
        <v>63</v>
      </c>
      <c r="C1263" s="105"/>
      <c r="D1263" s="105"/>
      <c r="E1263" s="106">
        <f>E1200+1</f>
        <v>46224</v>
      </c>
      <c r="F1263" s="106"/>
      <c r="G1263" s="106"/>
      <c r="J1263" s="25">
        <f t="shared" si="77"/>
        <v>41</v>
      </c>
    </row>
    <row r="1264" spans="1:10" ht="16.95" customHeight="1">
      <c r="A1264" s="53" t="s">
        <v>3</v>
      </c>
      <c r="B1264" s="2" t="s">
        <v>67</v>
      </c>
      <c r="C1264" s="98" t="s">
        <v>4</v>
      </c>
      <c r="D1264" s="98"/>
      <c r="E1264" s="98" t="s">
        <v>47</v>
      </c>
      <c r="F1264" s="98"/>
      <c r="G1264" s="98"/>
      <c r="J1264" s="25">
        <f t="shared" si="77"/>
        <v>41</v>
      </c>
    </row>
    <row r="1265" spans="1:10" ht="16.95" customHeight="1">
      <c r="A1265" s="53" t="s">
        <v>5</v>
      </c>
      <c r="B1265" s="54">
        <v>120</v>
      </c>
      <c r="C1265" s="98" t="s">
        <v>6</v>
      </c>
      <c r="D1265" s="98"/>
      <c r="E1265" s="98" t="s">
        <v>123</v>
      </c>
      <c r="F1265" s="98"/>
      <c r="G1265" s="98"/>
      <c r="J1265" s="25">
        <f t="shared" si="77"/>
        <v>41</v>
      </c>
    </row>
    <row r="1266" spans="1:10" ht="16.95" customHeight="1">
      <c r="A1266" s="53" t="s">
        <v>7</v>
      </c>
      <c r="B1266" s="54">
        <f>B1262</f>
        <v>22</v>
      </c>
      <c r="C1266" s="100" t="s">
        <v>8</v>
      </c>
      <c r="D1266" s="100"/>
      <c r="E1266" s="101">
        <f>B1265-B1266</f>
        <v>98</v>
      </c>
      <c r="F1266" s="101"/>
      <c r="G1266" s="101"/>
      <c r="J1266" s="25">
        <f t="shared" si="77"/>
        <v>41</v>
      </c>
    </row>
    <row r="1267" spans="1:10" ht="16.95" customHeight="1">
      <c r="A1267" s="53" t="s">
        <v>9</v>
      </c>
      <c r="B1267" s="55">
        <v>46204</v>
      </c>
      <c r="C1267" s="98" t="s">
        <v>10</v>
      </c>
      <c r="D1267" s="98"/>
      <c r="E1267" s="102">
        <f>B1267+B1265-1</f>
        <v>46323</v>
      </c>
      <c r="F1267" s="102"/>
      <c r="G1267" s="102"/>
      <c r="J1267" s="25">
        <f t="shared" si="77"/>
        <v>41</v>
      </c>
    </row>
    <row r="1268" spans="1:10" ht="16.95" customHeight="1">
      <c r="A1268" s="53" t="s">
        <v>11</v>
      </c>
      <c r="B1268" s="56" t="e">
        <f>HLOOKUP(B1262,進度表!$Q$2:$Z$3,2,1)+B1205</f>
        <v>#REF!</v>
      </c>
      <c r="C1268" s="98" t="s">
        <v>12</v>
      </c>
      <c r="D1268" s="98"/>
      <c r="E1268" s="99" t="e">
        <f>I1306/I1268+E1205</f>
        <v>#REF!</v>
      </c>
      <c r="F1268" s="99"/>
      <c r="G1268" s="99"/>
      <c r="H1268" s="3" t="s">
        <v>62</v>
      </c>
      <c r="I1268" s="1">
        <v>2456000</v>
      </c>
      <c r="J1268" s="25">
        <f t="shared" si="77"/>
        <v>41</v>
      </c>
    </row>
    <row r="1269" spans="1:10" ht="16.95" customHeight="1">
      <c r="A1269" s="98" t="s">
        <v>13</v>
      </c>
      <c r="B1269" s="98"/>
      <c r="C1269" s="98"/>
      <c r="D1269" s="98"/>
      <c r="E1269" s="98"/>
      <c r="F1269" s="98"/>
      <c r="G1269" s="98"/>
      <c r="J1269" s="25">
        <f t="shared" si="77"/>
        <v>41</v>
      </c>
    </row>
    <row r="1270" spans="1:10" ht="16.95" customHeight="1">
      <c r="A1270" s="52" t="s">
        <v>14</v>
      </c>
      <c r="B1270" s="52" t="s">
        <v>15</v>
      </c>
      <c r="C1270" s="52" t="s">
        <v>16</v>
      </c>
      <c r="D1270" s="52" t="s">
        <v>17</v>
      </c>
      <c r="E1270" s="52" t="s">
        <v>18</v>
      </c>
      <c r="F1270" s="52" t="s">
        <v>19</v>
      </c>
      <c r="G1270" s="52" t="s">
        <v>20</v>
      </c>
      <c r="H1270" s="3" t="s">
        <v>21</v>
      </c>
      <c r="I1270" s="3" t="s">
        <v>22</v>
      </c>
      <c r="J1270" s="25">
        <f t="shared" si="77"/>
        <v>41</v>
      </c>
    </row>
    <row r="1271" spans="1:10" ht="16.95" customHeight="1">
      <c r="A1271" s="75" t="s">
        <v>65</v>
      </c>
      <c r="B1271" s="76" t="s">
        <v>69</v>
      </c>
      <c r="C1271" s="77"/>
      <c r="D1271" s="78"/>
      <c r="E1271" s="79"/>
      <c r="F1271" s="79"/>
      <c r="G1271" s="2"/>
      <c r="H1271" s="37"/>
      <c r="I1271" s="4"/>
      <c r="J1271" s="25">
        <f t="shared" si="77"/>
        <v>41</v>
      </c>
    </row>
    <row r="1272" spans="1:10" ht="34.950000000000003" customHeight="1">
      <c r="A1272" s="75">
        <v>1</v>
      </c>
      <c r="B1272" s="80" t="s">
        <v>91</v>
      </c>
      <c r="C1272" s="77" t="s">
        <v>48</v>
      </c>
      <c r="D1272" s="78">
        <v>1</v>
      </c>
      <c r="E1272" s="79"/>
      <c r="F1272" s="79" t="e">
        <f t="shared" ref="F1272:F1305" si="79">E1272+F1209</f>
        <v>#REF!</v>
      </c>
      <c r="G1272" s="2"/>
      <c r="H1272" s="37">
        <v>10508</v>
      </c>
      <c r="I1272" s="4">
        <f>H1272*E1272</f>
        <v>0</v>
      </c>
      <c r="J1272" s="25">
        <f t="shared" si="77"/>
        <v>41</v>
      </c>
    </row>
    <row r="1273" spans="1:10" ht="34.799999999999997" customHeight="1">
      <c r="A1273" s="75">
        <v>2</v>
      </c>
      <c r="B1273" s="80" t="s">
        <v>92</v>
      </c>
      <c r="C1273" s="77" t="s">
        <v>48</v>
      </c>
      <c r="D1273" s="78">
        <v>1</v>
      </c>
      <c r="E1273" s="79"/>
      <c r="F1273" s="79" t="e">
        <f t="shared" si="79"/>
        <v>#REF!</v>
      </c>
      <c r="G1273" s="2"/>
      <c r="H1273" s="37">
        <v>13223</v>
      </c>
      <c r="I1273" s="4">
        <f>H1273*E1273</f>
        <v>0</v>
      </c>
      <c r="J1273" s="25">
        <f t="shared" si="77"/>
        <v>41</v>
      </c>
    </row>
    <row r="1274" spans="1:10" ht="53.4" customHeight="1">
      <c r="A1274" s="75">
        <v>3</v>
      </c>
      <c r="B1274" s="80" t="s">
        <v>93</v>
      </c>
      <c r="C1274" s="77" t="s">
        <v>48</v>
      </c>
      <c r="D1274" s="78">
        <v>1</v>
      </c>
      <c r="E1274" s="79"/>
      <c r="F1274" s="79" t="e">
        <f t="shared" si="79"/>
        <v>#REF!</v>
      </c>
      <c r="G1274" s="2"/>
      <c r="H1274" s="37">
        <v>310497</v>
      </c>
      <c r="I1274" s="4">
        <f t="shared" ref="I1274:I1305" si="80">H1274*E1274</f>
        <v>0</v>
      </c>
      <c r="J1274" s="25">
        <f t="shared" si="77"/>
        <v>41</v>
      </c>
    </row>
    <row r="1275" spans="1:10" ht="16.95" customHeight="1">
      <c r="A1275" s="75">
        <v>4</v>
      </c>
      <c r="B1275" s="80" t="s">
        <v>94</v>
      </c>
      <c r="C1275" s="77" t="s">
        <v>48</v>
      </c>
      <c r="D1275" s="78">
        <v>1</v>
      </c>
      <c r="E1275" s="79"/>
      <c r="F1275" s="79" t="e">
        <f t="shared" si="79"/>
        <v>#REF!</v>
      </c>
      <c r="G1275" s="2"/>
      <c r="H1275" s="37">
        <v>8375</v>
      </c>
      <c r="I1275" s="4">
        <f t="shared" si="80"/>
        <v>0</v>
      </c>
      <c r="J1275" s="25">
        <f t="shared" ref="J1275:J1338" si="81">J1212+2</f>
        <v>41</v>
      </c>
    </row>
    <row r="1276" spans="1:10" ht="16.95" customHeight="1">
      <c r="A1276" s="75">
        <v>5</v>
      </c>
      <c r="B1276" s="80" t="s">
        <v>95</v>
      </c>
      <c r="C1276" s="77" t="s">
        <v>48</v>
      </c>
      <c r="D1276" s="78">
        <v>1</v>
      </c>
      <c r="E1276" s="79"/>
      <c r="F1276" s="79" t="e">
        <f t="shared" si="79"/>
        <v>#REF!</v>
      </c>
      <c r="G1276" s="2"/>
      <c r="H1276" s="37">
        <v>51618</v>
      </c>
      <c r="I1276" s="4">
        <f t="shared" si="80"/>
        <v>0</v>
      </c>
      <c r="J1276" s="25">
        <f t="shared" si="81"/>
        <v>41</v>
      </c>
    </row>
    <row r="1277" spans="1:10" ht="16.95" customHeight="1">
      <c r="A1277" s="75">
        <v>6</v>
      </c>
      <c r="B1277" s="80" t="s">
        <v>96</v>
      </c>
      <c r="C1277" s="77" t="s">
        <v>50</v>
      </c>
      <c r="D1277" s="78">
        <v>11.55</v>
      </c>
      <c r="E1277" s="79"/>
      <c r="F1277" s="79" t="e">
        <f t="shared" si="79"/>
        <v>#REF!</v>
      </c>
      <c r="G1277" s="2"/>
      <c r="H1277" s="37">
        <v>1188</v>
      </c>
      <c r="I1277" s="4">
        <f t="shared" si="80"/>
        <v>0</v>
      </c>
      <c r="J1277" s="25">
        <f t="shared" si="81"/>
        <v>41</v>
      </c>
    </row>
    <row r="1278" spans="1:10" ht="34.950000000000003" customHeight="1">
      <c r="A1278" s="75">
        <v>7</v>
      </c>
      <c r="B1278" s="80" t="s">
        <v>97</v>
      </c>
      <c r="C1278" s="77" t="s">
        <v>48</v>
      </c>
      <c r="D1278" s="78">
        <v>1</v>
      </c>
      <c r="E1278" s="79"/>
      <c r="F1278" s="79" t="e">
        <f t="shared" si="79"/>
        <v>#REF!</v>
      </c>
      <c r="G1278" s="2"/>
      <c r="H1278" s="37">
        <v>21157</v>
      </c>
      <c r="I1278" s="4">
        <f t="shared" si="80"/>
        <v>0</v>
      </c>
      <c r="J1278" s="25">
        <f t="shared" si="81"/>
        <v>41</v>
      </c>
    </row>
    <row r="1279" spans="1:10" ht="16.95" customHeight="1">
      <c r="A1279" s="75">
        <v>8</v>
      </c>
      <c r="B1279" s="80" t="s">
        <v>98</v>
      </c>
      <c r="C1279" s="77" t="s">
        <v>50</v>
      </c>
      <c r="D1279" s="78">
        <v>387</v>
      </c>
      <c r="E1279" s="79"/>
      <c r="F1279" s="79" t="e">
        <f t="shared" si="79"/>
        <v>#REF!</v>
      </c>
      <c r="G1279" s="2"/>
      <c r="H1279" s="37">
        <v>705</v>
      </c>
      <c r="I1279" s="4">
        <f t="shared" si="80"/>
        <v>0</v>
      </c>
      <c r="J1279" s="25">
        <f t="shared" si="81"/>
        <v>41</v>
      </c>
    </row>
    <row r="1280" spans="1:10" ht="16.95" customHeight="1">
      <c r="A1280" s="75">
        <v>9</v>
      </c>
      <c r="B1280" s="80" t="s">
        <v>99</v>
      </c>
      <c r="C1280" s="77" t="s">
        <v>50</v>
      </c>
      <c r="D1280" s="78">
        <v>170</v>
      </c>
      <c r="E1280" s="79"/>
      <c r="F1280" s="79" t="e">
        <f t="shared" si="79"/>
        <v>#REF!</v>
      </c>
      <c r="G1280" s="2"/>
      <c r="H1280" s="37">
        <v>617</v>
      </c>
      <c r="I1280" s="4">
        <f t="shared" si="80"/>
        <v>0</v>
      </c>
      <c r="J1280" s="25">
        <f t="shared" si="81"/>
        <v>41</v>
      </c>
    </row>
    <row r="1281" spans="1:10" ht="16.95" customHeight="1">
      <c r="A1281" s="75">
        <v>10</v>
      </c>
      <c r="B1281" s="80" t="s">
        <v>100</v>
      </c>
      <c r="C1281" s="77" t="s">
        <v>66</v>
      </c>
      <c r="D1281" s="78">
        <v>15</v>
      </c>
      <c r="E1281" s="79"/>
      <c r="F1281" s="79" t="e">
        <f t="shared" si="79"/>
        <v>#REF!</v>
      </c>
      <c r="G1281" s="2"/>
      <c r="H1281" s="37">
        <v>617</v>
      </c>
      <c r="I1281" s="4">
        <f t="shared" si="80"/>
        <v>0</v>
      </c>
      <c r="J1281" s="25">
        <f t="shared" si="81"/>
        <v>41</v>
      </c>
    </row>
    <row r="1282" spans="1:10" ht="16.95" customHeight="1">
      <c r="A1282" s="75">
        <v>11</v>
      </c>
      <c r="B1282" s="80" t="s">
        <v>101</v>
      </c>
      <c r="C1282" s="77" t="s">
        <v>50</v>
      </c>
      <c r="D1282" s="78">
        <v>75</v>
      </c>
      <c r="E1282" s="79"/>
      <c r="F1282" s="79" t="e">
        <f t="shared" si="79"/>
        <v>#REF!</v>
      </c>
      <c r="G1282" s="2"/>
      <c r="H1282" s="37">
        <v>1146</v>
      </c>
      <c r="I1282" s="4">
        <f t="shared" si="80"/>
        <v>0</v>
      </c>
      <c r="J1282" s="25">
        <f t="shared" si="81"/>
        <v>41</v>
      </c>
    </row>
    <row r="1283" spans="1:10" ht="16.95" customHeight="1">
      <c r="A1283" s="75">
        <v>12</v>
      </c>
      <c r="B1283" s="80" t="s">
        <v>102</v>
      </c>
      <c r="C1283" s="77" t="s">
        <v>50</v>
      </c>
      <c r="D1283" s="78">
        <v>5</v>
      </c>
      <c r="E1283" s="79"/>
      <c r="F1283" s="79" t="e">
        <f t="shared" si="79"/>
        <v>#REF!</v>
      </c>
      <c r="G1283" s="2"/>
      <c r="H1283" s="37">
        <v>1455</v>
      </c>
      <c r="I1283" s="4">
        <f t="shared" si="80"/>
        <v>0</v>
      </c>
      <c r="J1283" s="25">
        <f t="shared" si="81"/>
        <v>41</v>
      </c>
    </row>
    <row r="1284" spans="1:10" ht="16.95" customHeight="1">
      <c r="A1284" s="75">
        <v>13</v>
      </c>
      <c r="B1284" s="80" t="s">
        <v>103</v>
      </c>
      <c r="C1284" s="77" t="s">
        <v>50</v>
      </c>
      <c r="D1284" s="78">
        <v>217</v>
      </c>
      <c r="E1284" s="79"/>
      <c r="F1284" s="79" t="e">
        <f t="shared" si="79"/>
        <v>#REF!</v>
      </c>
      <c r="G1284" s="2"/>
      <c r="H1284" s="37">
        <v>1410</v>
      </c>
      <c r="I1284" s="4">
        <f t="shared" si="80"/>
        <v>0</v>
      </c>
      <c r="J1284" s="25">
        <f t="shared" si="81"/>
        <v>41</v>
      </c>
    </row>
    <row r="1285" spans="1:10" ht="16.95" customHeight="1">
      <c r="A1285" s="75">
        <v>14</v>
      </c>
      <c r="B1285" s="80" t="s">
        <v>104</v>
      </c>
      <c r="C1285" s="77" t="s">
        <v>49</v>
      </c>
      <c r="D1285" s="78">
        <v>84</v>
      </c>
      <c r="E1285" s="79"/>
      <c r="F1285" s="79" t="e">
        <f t="shared" si="79"/>
        <v>#REF!</v>
      </c>
      <c r="G1285" s="2"/>
      <c r="H1285" s="37">
        <v>529</v>
      </c>
      <c r="I1285" s="4">
        <f t="shared" si="80"/>
        <v>0</v>
      </c>
      <c r="J1285" s="25">
        <f t="shared" si="81"/>
        <v>41</v>
      </c>
    </row>
    <row r="1286" spans="1:10" ht="16.95" customHeight="1">
      <c r="A1286" s="75">
        <v>15</v>
      </c>
      <c r="B1286" s="80" t="s">
        <v>105</v>
      </c>
      <c r="C1286" s="77" t="s">
        <v>50</v>
      </c>
      <c r="D1286" s="78">
        <v>1</v>
      </c>
      <c r="E1286" s="79"/>
      <c r="F1286" s="79" t="e">
        <f t="shared" si="79"/>
        <v>#REF!</v>
      </c>
      <c r="G1286" s="2"/>
      <c r="H1286" s="37">
        <v>1146</v>
      </c>
      <c r="I1286" s="4">
        <f t="shared" si="80"/>
        <v>0</v>
      </c>
      <c r="J1286" s="25">
        <f t="shared" si="81"/>
        <v>41</v>
      </c>
    </row>
    <row r="1287" spans="1:10" ht="34.799999999999997" customHeight="1">
      <c r="A1287" s="75">
        <v>16</v>
      </c>
      <c r="B1287" s="80" t="s">
        <v>106</v>
      </c>
      <c r="C1287" s="77" t="s">
        <v>50</v>
      </c>
      <c r="D1287" s="78">
        <v>314</v>
      </c>
      <c r="E1287" s="79"/>
      <c r="F1287" s="79" t="e">
        <f t="shared" si="79"/>
        <v>#REF!</v>
      </c>
      <c r="G1287" s="2"/>
      <c r="H1287" s="37">
        <v>185</v>
      </c>
      <c r="I1287" s="4">
        <f t="shared" si="80"/>
        <v>0</v>
      </c>
      <c r="J1287" s="25">
        <f t="shared" si="81"/>
        <v>41</v>
      </c>
    </row>
    <row r="1288" spans="1:10" ht="16.95" customHeight="1">
      <c r="A1288" s="75">
        <v>17</v>
      </c>
      <c r="B1288" s="80" t="s">
        <v>107</v>
      </c>
      <c r="C1288" s="77" t="s">
        <v>48</v>
      </c>
      <c r="D1288" s="78">
        <v>1</v>
      </c>
      <c r="E1288" s="79"/>
      <c r="F1288" s="79" t="e">
        <f t="shared" si="79"/>
        <v>#REF!</v>
      </c>
      <c r="G1288" s="2"/>
      <c r="H1288" s="37">
        <v>89918</v>
      </c>
      <c r="I1288" s="4">
        <f t="shared" si="80"/>
        <v>0</v>
      </c>
      <c r="J1288" s="25">
        <f t="shared" si="81"/>
        <v>41</v>
      </c>
    </row>
    <row r="1289" spans="1:10" ht="16.95" customHeight="1">
      <c r="A1289" s="75">
        <v>18</v>
      </c>
      <c r="B1289" s="80" t="s">
        <v>108</v>
      </c>
      <c r="C1289" s="77" t="s">
        <v>120</v>
      </c>
      <c r="D1289" s="78">
        <v>15</v>
      </c>
      <c r="E1289" s="79"/>
      <c r="F1289" s="79" t="e">
        <f t="shared" si="79"/>
        <v>#REF!</v>
      </c>
      <c r="G1289" s="2"/>
      <c r="H1289" s="37">
        <v>661</v>
      </c>
      <c r="I1289" s="4">
        <f t="shared" si="80"/>
        <v>0</v>
      </c>
      <c r="J1289" s="25">
        <f t="shared" si="81"/>
        <v>41</v>
      </c>
    </row>
    <row r="1290" spans="1:10" ht="16.95" customHeight="1">
      <c r="A1290" s="75">
        <v>19</v>
      </c>
      <c r="B1290" s="80" t="s">
        <v>109</v>
      </c>
      <c r="C1290" s="77" t="s">
        <v>50</v>
      </c>
      <c r="D1290" s="78">
        <v>82</v>
      </c>
      <c r="E1290" s="79"/>
      <c r="F1290" s="79" t="e">
        <f t="shared" si="79"/>
        <v>#REF!</v>
      </c>
      <c r="G1290" s="2"/>
      <c r="H1290" s="37">
        <v>2909</v>
      </c>
      <c r="I1290" s="4">
        <f t="shared" si="80"/>
        <v>0</v>
      </c>
      <c r="J1290" s="25">
        <f t="shared" si="81"/>
        <v>41</v>
      </c>
    </row>
    <row r="1291" spans="1:10" ht="16.95" customHeight="1">
      <c r="A1291" s="75">
        <v>20</v>
      </c>
      <c r="B1291" s="80" t="s">
        <v>110</v>
      </c>
      <c r="C1291" s="77" t="s">
        <v>121</v>
      </c>
      <c r="D1291" s="78">
        <v>12</v>
      </c>
      <c r="E1291" s="79"/>
      <c r="F1291" s="79" t="e">
        <f t="shared" si="79"/>
        <v>#REF!</v>
      </c>
      <c r="G1291" s="2"/>
      <c r="H1291" s="37">
        <v>882</v>
      </c>
      <c r="I1291" s="4">
        <f t="shared" si="80"/>
        <v>0</v>
      </c>
      <c r="J1291" s="25">
        <f t="shared" si="81"/>
        <v>41</v>
      </c>
    </row>
    <row r="1292" spans="1:10" ht="16.95" customHeight="1">
      <c r="A1292" s="77">
        <v>21</v>
      </c>
      <c r="B1292" s="80" t="s">
        <v>111</v>
      </c>
      <c r="C1292" s="77" t="s">
        <v>122</v>
      </c>
      <c r="D1292" s="78">
        <v>3</v>
      </c>
      <c r="E1292" s="79"/>
      <c r="F1292" s="79" t="e">
        <f t="shared" si="79"/>
        <v>#REF!</v>
      </c>
      <c r="G1292" s="2"/>
      <c r="H1292" s="38">
        <v>1869</v>
      </c>
      <c r="I1292" s="4">
        <f t="shared" si="80"/>
        <v>0</v>
      </c>
      <c r="J1292" s="25">
        <f t="shared" si="81"/>
        <v>41</v>
      </c>
    </row>
    <row r="1293" spans="1:10" ht="34.950000000000003" customHeight="1">
      <c r="A1293" s="75">
        <v>22</v>
      </c>
      <c r="B1293" s="80" t="s">
        <v>112</v>
      </c>
      <c r="C1293" s="77" t="s">
        <v>48</v>
      </c>
      <c r="D1293" s="78">
        <v>1</v>
      </c>
      <c r="E1293" s="79"/>
      <c r="F1293" s="79" t="e">
        <f t="shared" si="79"/>
        <v>#REF!</v>
      </c>
      <c r="G1293" s="2"/>
      <c r="H1293" s="37">
        <v>82206</v>
      </c>
      <c r="I1293" s="4">
        <f t="shared" si="80"/>
        <v>0</v>
      </c>
      <c r="J1293" s="25">
        <f t="shared" si="81"/>
        <v>41</v>
      </c>
    </row>
    <row r="1294" spans="1:10" ht="16.95" customHeight="1">
      <c r="A1294" s="75">
        <v>23</v>
      </c>
      <c r="B1294" s="80" t="s">
        <v>113</v>
      </c>
      <c r="C1294" s="77" t="s">
        <v>48</v>
      </c>
      <c r="D1294" s="78">
        <v>1</v>
      </c>
      <c r="E1294" s="79"/>
      <c r="F1294" s="79" t="e">
        <f t="shared" si="79"/>
        <v>#REF!</v>
      </c>
      <c r="G1294" s="2"/>
      <c r="H1294" s="37">
        <v>142723</v>
      </c>
      <c r="I1294" s="4">
        <f t="shared" si="80"/>
        <v>0</v>
      </c>
      <c r="J1294" s="25">
        <f t="shared" si="81"/>
        <v>41</v>
      </c>
    </row>
    <row r="1295" spans="1:10" ht="16.95" customHeight="1">
      <c r="A1295" s="75">
        <v>24</v>
      </c>
      <c r="B1295" s="80" t="s">
        <v>114</v>
      </c>
      <c r="C1295" s="77" t="s">
        <v>48</v>
      </c>
      <c r="D1295" s="78">
        <v>1</v>
      </c>
      <c r="E1295" s="79"/>
      <c r="F1295" s="79" t="e">
        <f t="shared" si="79"/>
        <v>#REF!</v>
      </c>
      <c r="G1295" s="2"/>
      <c r="H1295" s="37">
        <v>37290</v>
      </c>
      <c r="I1295" s="4">
        <f t="shared" si="80"/>
        <v>0</v>
      </c>
      <c r="J1295" s="25">
        <f t="shared" si="81"/>
        <v>41</v>
      </c>
    </row>
    <row r="1296" spans="1:10" ht="16.95" customHeight="1">
      <c r="A1296" s="75">
        <v>25</v>
      </c>
      <c r="B1296" s="80" t="s">
        <v>115</v>
      </c>
      <c r="C1296" s="77" t="s">
        <v>48</v>
      </c>
      <c r="D1296" s="78">
        <v>1</v>
      </c>
      <c r="E1296" s="79"/>
      <c r="F1296" s="79" t="e">
        <f t="shared" si="79"/>
        <v>#REF!</v>
      </c>
      <c r="G1296" s="2"/>
      <c r="H1296" s="37">
        <v>99394</v>
      </c>
      <c r="I1296" s="4">
        <f t="shared" si="80"/>
        <v>0</v>
      </c>
      <c r="J1296" s="25">
        <f t="shared" si="81"/>
        <v>41</v>
      </c>
    </row>
    <row r="1297" spans="1:10" ht="34.950000000000003" customHeight="1">
      <c r="A1297" s="75">
        <v>26</v>
      </c>
      <c r="B1297" s="80" t="s">
        <v>116</v>
      </c>
      <c r="C1297" s="77" t="s">
        <v>48</v>
      </c>
      <c r="D1297" s="78">
        <v>1</v>
      </c>
      <c r="E1297" s="79"/>
      <c r="F1297" s="79" t="e">
        <f t="shared" si="79"/>
        <v>#REF!</v>
      </c>
      <c r="G1297" s="2"/>
      <c r="H1297" s="37">
        <v>21334</v>
      </c>
      <c r="I1297" s="4">
        <f t="shared" si="80"/>
        <v>0</v>
      </c>
      <c r="J1297" s="25">
        <f t="shared" si="81"/>
        <v>41</v>
      </c>
    </row>
    <row r="1298" spans="1:10" ht="16.95" customHeight="1">
      <c r="A1298" s="75">
        <v>27</v>
      </c>
      <c r="B1298" s="80" t="s">
        <v>117</v>
      </c>
      <c r="C1298" s="77" t="s">
        <v>48</v>
      </c>
      <c r="D1298" s="78">
        <v>1</v>
      </c>
      <c r="E1298" s="79"/>
      <c r="F1298" s="79" t="e">
        <f t="shared" si="79"/>
        <v>#REF!</v>
      </c>
      <c r="G1298" s="2"/>
      <c r="H1298" s="37">
        <v>29620</v>
      </c>
      <c r="I1298" s="4">
        <f t="shared" si="80"/>
        <v>0</v>
      </c>
      <c r="J1298" s="25">
        <f t="shared" si="81"/>
        <v>41</v>
      </c>
    </row>
    <row r="1299" spans="1:10" ht="16.95" customHeight="1">
      <c r="A1299" s="75">
        <v>28</v>
      </c>
      <c r="B1299" s="80" t="s">
        <v>118</v>
      </c>
      <c r="C1299" s="77" t="s">
        <v>48</v>
      </c>
      <c r="D1299" s="78">
        <v>1</v>
      </c>
      <c r="E1299" s="79"/>
      <c r="F1299" s="79" t="e">
        <f t="shared" si="79"/>
        <v>#REF!</v>
      </c>
      <c r="G1299" s="2"/>
      <c r="H1299" s="37">
        <v>18506</v>
      </c>
      <c r="I1299" s="4">
        <f t="shared" si="80"/>
        <v>0</v>
      </c>
      <c r="J1299" s="25">
        <f t="shared" si="81"/>
        <v>41</v>
      </c>
    </row>
    <row r="1300" spans="1:10" ht="16.95" customHeight="1">
      <c r="A1300" s="75">
        <v>29</v>
      </c>
      <c r="B1300" s="80" t="s">
        <v>119</v>
      </c>
      <c r="C1300" s="77" t="s">
        <v>48</v>
      </c>
      <c r="D1300" s="78">
        <v>1</v>
      </c>
      <c r="E1300" s="79"/>
      <c r="F1300" s="79" t="e">
        <f t="shared" si="79"/>
        <v>#REF!</v>
      </c>
      <c r="G1300" s="2"/>
      <c r="H1300" s="37">
        <v>34381</v>
      </c>
      <c r="I1300" s="4">
        <f t="shared" si="80"/>
        <v>0</v>
      </c>
      <c r="J1300" s="25">
        <f t="shared" si="81"/>
        <v>41</v>
      </c>
    </row>
    <row r="1301" spans="1:10" ht="16.95" customHeight="1">
      <c r="A1301" s="75" t="s">
        <v>79</v>
      </c>
      <c r="B1301" s="80" t="s">
        <v>80</v>
      </c>
      <c r="C1301" s="77" t="s">
        <v>48</v>
      </c>
      <c r="D1301" s="78">
        <v>1</v>
      </c>
      <c r="E1301" s="79">
        <f t="shared" ref="E1301:E1304" si="82">1/120</f>
        <v>8.3333333333333332E-3</v>
      </c>
      <c r="F1301" s="79" t="e">
        <f t="shared" si="79"/>
        <v>#REF!</v>
      </c>
      <c r="G1301" s="2"/>
      <c r="H1301" s="37">
        <v>21395</v>
      </c>
      <c r="I1301" s="4">
        <f t="shared" si="80"/>
        <v>178.29166666666666</v>
      </c>
      <c r="J1301" s="25">
        <f t="shared" si="81"/>
        <v>41</v>
      </c>
    </row>
    <row r="1302" spans="1:10" ht="16.95" customHeight="1">
      <c r="A1302" s="75" t="s">
        <v>81</v>
      </c>
      <c r="B1302" s="80" t="s">
        <v>82</v>
      </c>
      <c r="C1302" s="77" t="s">
        <v>48</v>
      </c>
      <c r="D1302" s="78">
        <v>1</v>
      </c>
      <c r="E1302" s="79">
        <f t="shared" si="82"/>
        <v>8.3333333333333332E-3</v>
      </c>
      <c r="F1302" s="79" t="e">
        <f t="shared" si="79"/>
        <v>#REF!</v>
      </c>
      <c r="G1302" s="2"/>
      <c r="H1302" s="37">
        <v>21395</v>
      </c>
      <c r="I1302" s="4">
        <f t="shared" si="80"/>
        <v>178.29166666666666</v>
      </c>
      <c r="J1302" s="25">
        <f t="shared" si="81"/>
        <v>41</v>
      </c>
    </row>
    <row r="1303" spans="1:10" ht="16.95" customHeight="1">
      <c r="A1303" s="75" t="s">
        <v>83</v>
      </c>
      <c r="B1303" s="80" t="s">
        <v>84</v>
      </c>
      <c r="C1303" s="77" t="s">
        <v>48</v>
      </c>
      <c r="D1303" s="78">
        <v>1</v>
      </c>
      <c r="E1303" s="79">
        <f t="shared" si="82"/>
        <v>8.3333333333333332E-3</v>
      </c>
      <c r="F1303" s="79" t="e">
        <f t="shared" si="79"/>
        <v>#REF!</v>
      </c>
      <c r="G1303" s="2"/>
      <c r="H1303" s="37">
        <v>149765</v>
      </c>
      <c r="I1303" s="4">
        <f t="shared" si="80"/>
        <v>1248.0416666666667</v>
      </c>
      <c r="J1303" s="25">
        <f t="shared" si="81"/>
        <v>41</v>
      </c>
    </row>
    <row r="1304" spans="1:10" ht="16.95" customHeight="1">
      <c r="A1304" s="75" t="s">
        <v>85</v>
      </c>
      <c r="B1304" s="80" t="s">
        <v>86</v>
      </c>
      <c r="C1304" s="77" t="s">
        <v>48</v>
      </c>
      <c r="D1304" s="78">
        <v>1</v>
      </c>
      <c r="E1304" s="79">
        <f t="shared" si="82"/>
        <v>8.3333333333333332E-3</v>
      </c>
      <c r="F1304" s="79" t="e">
        <f t="shared" si="79"/>
        <v>#REF!</v>
      </c>
      <c r="G1304" s="2"/>
      <c r="H1304" s="37">
        <v>6996</v>
      </c>
      <c r="I1304" s="4">
        <f t="shared" si="80"/>
        <v>58.3</v>
      </c>
      <c r="J1304" s="25">
        <f t="shared" si="81"/>
        <v>41</v>
      </c>
    </row>
    <row r="1305" spans="1:10" ht="16.95" customHeight="1">
      <c r="A1305" s="75" t="s">
        <v>87</v>
      </c>
      <c r="B1305" s="80" t="s">
        <v>88</v>
      </c>
      <c r="C1305" s="77" t="s">
        <v>48</v>
      </c>
      <c r="D1305" s="78">
        <v>1</v>
      </c>
      <c r="E1305" s="79">
        <f>1/120</f>
        <v>8.3333333333333332E-3</v>
      </c>
      <c r="F1305" s="79" t="e">
        <f t="shared" si="79"/>
        <v>#REF!</v>
      </c>
      <c r="G1305" s="2"/>
      <c r="H1305" s="37">
        <v>116952</v>
      </c>
      <c r="I1305" s="4">
        <f t="shared" si="80"/>
        <v>974.6</v>
      </c>
      <c r="J1305" s="25">
        <f t="shared" si="81"/>
        <v>41</v>
      </c>
    </row>
    <row r="1306" spans="1:10" ht="16.95" customHeight="1">
      <c r="A1306" s="95" t="s">
        <v>23</v>
      </c>
      <c r="B1306" s="95"/>
      <c r="C1306" s="50"/>
      <c r="D1306" s="50"/>
      <c r="E1306" s="50"/>
      <c r="F1306" s="50"/>
      <c r="G1306" s="50"/>
      <c r="H1306" s="3" t="s">
        <v>24</v>
      </c>
      <c r="I1306" s="5">
        <f>SUM(I1271:I1305)</f>
        <v>2637.5250000000001</v>
      </c>
      <c r="J1306" s="25">
        <f t="shared" si="81"/>
        <v>41</v>
      </c>
    </row>
    <row r="1307" spans="1:10" ht="16.95" customHeight="1">
      <c r="A1307" s="96" t="s">
        <v>25</v>
      </c>
      <c r="B1307" s="96"/>
      <c r="C1307" s="50"/>
      <c r="D1307" s="50"/>
      <c r="E1307" s="50"/>
      <c r="F1307" s="50"/>
      <c r="G1307" s="50"/>
      <c r="J1307" s="25">
        <f t="shared" si="81"/>
        <v>41</v>
      </c>
    </row>
    <row r="1308" spans="1:10" ht="16.95" customHeight="1">
      <c r="A1308" s="96" t="s">
        <v>26</v>
      </c>
      <c r="B1308" s="96"/>
      <c r="C1308" s="50"/>
      <c r="D1308" s="50"/>
      <c r="E1308" s="50"/>
      <c r="F1308" s="50"/>
      <c r="G1308" s="50"/>
      <c r="J1308" s="25">
        <f t="shared" si="81"/>
        <v>41</v>
      </c>
    </row>
    <row r="1309" spans="1:10" ht="16.95" customHeight="1">
      <c r="A1309" s="95" t="s">
        <v>27</v>
      </c>
      <c r="B1309" s="95"/>
      <c r="C1309" s="95"/>
      <c r="D1309" s="95"/>
      <c r="E1309" s="95"/>
      <c r="F1309" s="95"/>
      <c r="G1309" s="95"/>
      <c r="J1309" s="25">
        <f t="shared" si="81"/>
        <v>41</v>
      </c>
    </row>
    <row r="1310" spans="1:10" ht="16.95" customHeight="1">
      <c r="A1310" s="94" t="s">
        <v>28</v>
      </c>
      <c r="B1310" s="94"/>
      <c r="C1310" s="51" t="s">
        <v>29</v>
      </c>
      <c r="D1310" s="51" t="s">
        <v>30</v>
      </c>
      <c r="E1310" s="51" t="s">
        <v>18</v>
      </c>
      <c r="F1310" s="51" t="s">
        <v>31</v>
      </c>
      <c r="G1310" s="51" t="s">
        <v>20</v>
      </c>
      <c r="J1310" s="25">
        <f t="shared" si="81"/>
        <v>41</v>
      </c>
    </row>
    <row r="1311" spans="1:10" ht="16.95" customHeight="1">
      <c r="A1311" s="96"/>
      <c r="B1311" s="96"/>
      <c r="C1311" s="50"/>
      <c r="D1311" s="50"/>
      <c r="E1311" s="50"/>
      <c r="F1311" s="50"/>
      <c r="G1311" s="51"/>
      <c r="J1311" s="25">
        <f t="shared" si="81"/>
        <v>41</v>
      </c>
    </row>
    <row r="1312" spans="1:10" ht="16.95" customHeight="1">
      <c r="A1312" s="97"/>
      <c r="B1312" s="97"/>
      <c r="C1312" s="50"/>
      <c r="D1312" s="50"/>
      <c r="E1312" s="50"/>
      <c r="F1312" s="51"/>
      <c r="G1312" s="51"/>
      <c r="J1312" s="25">
        <f t="shared" si="81"/>
        <v>41</v>
      </c>
    </row>
    <row r="1313" spans="1:10" ht="16.95" customHeight="1">
      <c r="A1313" s="95" t="s">
        <v>32</v>
      </c>
      <c r="B1313" s="95"/>
      <c r="C1313" s="95"/>
      <c r="D1313" s="95"/>
      <c r="E1313" s="95"/>
      <c r="F1313" s="95"/>
      <c r="G1313" s="95"/>
      <c r="J1313" s="25">
        <f t="shared" si="81"/>
        <v>42</v>
      </c>
    </row>
    <row r="1314" spans="1:10" ht="16.95" customHeight="1">
      <c r="A1314" s="51" t="s">
        <v>33</v>
      </c>
      <c r="B1314" s="51" t="s">
        <v>34</v>
      </c>
      <c r="C1314" s="94" t="s">
        <v>35</v>
      </c>
      <c r="D1314" s="94"/>
      <c r="E1314" s="51" t="s">
        <v>36</v>
      </c>
      <c r="F1314" s="51" t="s">
        <v>37</v>
      </c>
      <c r="G1314" s="51" t="s">
        <v>38</v>
      </c>
      <c r="J1314" s="25">
        <f t="shared" si="81"/>
        <v>42</v>
      </c>
    </row>
    <row r="1315" spans="1:10" ht="16.95" customHeight="1">
      <c r="A1315" s="51" t="s">
        <v>39</v>
      </c>
      <c r="B1315" s="6"/>
      <c r="C1315" s="94" t="e">
        <f>B1315+C1252</f>
        <v>#REF!</v>
      </c>
      <c r="D1315" s="94"/>
      <c r="E1315" s="51"/>
      <c r="F1315" s="24"/>
      <c r="G1315" s="24"/>
      <c r="J1315" s="25">
        <f t="shared" si="81"/>
        <v>42</v>
      </c>
    </row>
    <row r="1316" spans="1:10" ht="16.95" customHeight="1">
      <c r="A1316" s="51" t="s">
        <v>40</v>
      </c>
      <c r="B1316" s="6"/>
      <c r="C1316" s="94" t="e">
        <f>B1316+C1253</f>
        <v>#REF!</v>
      </c>
      <c r="D1316" s="94"/>
      <c r="E1316" s="51"/>
      <c r="F1316" s="24"/>
      <c r="G1316" s="24"/>
      <c r="J1316" s="25">
        <f t="shared" si="81"/>
        <v>42</v>
      </c>
    </row>
    <row r="1317" spans="1:10" ht="36.6" customHeight="1">
      <c r="A1317" s="95" t="s">
        <v>41</v>
      </c>
      <c r="B1317" s="95"/>
      <c r="C1317" s="95"/>
      <c r="D1317" s="95"/>
      <c r="E1317" s="95"/>
      <c r="F1317" s="95"/>
      <c r="G1317" s="95"/>
      <c r="J1317" s="25">
        <f t="shared" si="81"/>
        <v>42</v>
      </c>
    </row>
    <row r="1318" spans="1:10" ht="90" customHeight="1">
      <c r="A1318" s="92" t="s">
        <v>42</v>
      </c>
      <c r="B1318" s="92"/>
      <c r="C1318" s="92"/>
      <c r="D1318" s="92"/>
      <c r="E1318" s="92"/>
      <c r="F1318" s="92"/>
      <c r="G1318" s="92"/>
      <c r="J1318" s="25">
        <f t="shared" si="81"/>
        <v>42</v>
      </c>
    </row>
    <row r="1319" spans="1:10" ht="16.95" customHeight="1">
      <c r="A1319" s="95" t="s">
        <v>43</v>
      </c>
      <c r="B1319" s="95"/>
      <c r="C1319" s="95"/>
      <c r="D1319" s="95"/>
      <c r="E1319" s="95"/>
      <c r="F1319" s="95"/>
      <c r="G1319" s="95"/>
      <c r="J1319" s="25">
        <f t="shared" si="81"/>
        <v>42</v>
      </c>
    </row>
    <row r="1320" spans="1:10" ht="16.95" customHeight="1">
      <c r="A1320" s="95" t="s">
        <v>44</v>
      </c>
      <c r="B1320" s="95"/>
      <c r="C1320" s="95"/>
      <c r="D1320" s="95"/>
      <c r="E1320" s="95"/>
      <c r="F1320" s="95"/>
      <c r="G1320" s="95"/>
      <c r="J1320" s="25">
        <f t="shared" si="81"/>
        <v>42</v>
      </c>
    </row>
    <row r="1321" spans="1:10" ht="16.95" customHeight="1">
      <c r="A1321" s="91" t="s">
        <v>64</v>
      </c>
      <c r="B1321" s="91"/>
      <c r="C1321" s="91"/>
      <c r="D1321" s="91"/>
      <c r="E1321" s="91"/>
      <c r="F1321" s="91"/>
      <c r="G1321" s="91"/>
      <c r="J1321" s="25">
        <f t="shared" si="81"/>
        <v>42</v>
      </c>
    </row>
    <row r="1322" spans="1:10" ht="120.6" customHeight="1">
      <c r="A1322" s="92" t="s">
        <v>45</v>
      </c>
      <c r="B1322" s="92"/>
      <c r="C1322" s="92"/>
      <c r="D1322" s="92"/>
      <c r="E1322" s="92"/>
      <c r="F1322" s="92"/>
      <c r="G1322" s="92"/>
      <c r="J1322" s="25">
        <f t="shared" si="81"/>
        <v>42</v>
      </c>
    </row>
    <row r="1323" spans="1:10" ht="140.4" customHeight="1">
      <c r="A1323" s="93" t="s">
        <v>46</v>
      </c>
      <c r="B1323" s="93"/>
      <c r="C1323" s="93"/>
      <c r="D1323" s="93"/>
      <c r="E1323" s="93"/>
      <c r="F1323" s="93"/>
      <c r="G1323" s="93"/>
      <c r="J1323" s="25">
        <f t="shared" si="81"/>
        <v>42</v>
      </c>
    </row>
    <row r="1324" spans="1:10" ht="37.200000000000003" customHeight="1">
      <c r="A1324" s="103" t="s">
        <v>0</v>
      </c>
      <c r="B1324" s="103"/>
      <c r="C1324" s="103"/>
      <c r="D1324" s="103"/>
      <c r="E1324" s="103"/>
      <c r="F1324" s="103"/>
      <c r="G1324" s="103"/>
      <c r="J1324" s="25">
        <f t="shared" si="81"/>
        <v>43</v>
      </c>
    </row>
    <row r="1325" spans="1:10" ht="16.95" customHeight="1">
      <c r="A1325" s="1" t="s">
        <v>1</v>
      </c>
      <c r="B1325" s="104">
        <f>B1262+1</f>
        <v>23</v>
      </c>
      <c r="C1325" s="104"/>
      <c r="D1325" s="104"/>
      <c r="E1325" s="104"/>
      <c r="F1325" s="104"/>
      <c r="G1325" s="104"/>
      <c r="J1325" s="25">
        <f t="shared" si="81"/>
        <v>43</v>
      </c>
    </row>
    <row r="1326" spans="1:10" ht="16.95" customHeight="1">
      <c r="A1326" s="1" t="s">
        <v>2</v>
      </c>
      <c r="B1326" s="105" t="s">
        <v>63</v>
      </c>
      <c r="C1326" s="105"/>
      <c r="D1326" s="105"/>
      <c r="E1326" s="106">
        <f>E1263+1</f>
        <v>46225</v>
      </c>
      <c r="F1326" s="106"/>
      <c r="G1326" s="106"/>
      <c r="J1326" s="25">
        <f t="shared" si="81"/>
        <v>43</v>
      </c>
    </row>
    <row r="1327" spans="1:10" ht="16.95" customHeight="1">
      <c r="A1327" s="53" t="s">
        <v>3</v>
      </c>
      <c r="B1327" s="2" t="s">
        <v>67</v>
      </c>
      <c r="C1327" s="98" t="s">
        <v>4</v>
      </c>
      <c r="D1327" s="98"/>
      <c r="E1327" s="98" t="s">
        <v>47</v>
      </c>
      <c r="F1327" s="98"/>
      <c r="G1327" s="98"/>
      <c r="J1327" s="25">
        <f t="shared" si="81"/>
        <v>43</v>
      </c>
    </row>
    <row r="1328" spans="1:10" ht="16.95" customHeight="1">
      <c r="A1328" s="53" t="s">
        <v>5</v>
      </c>
      <c r="B1328" s="54">
        <v>120</v>
      </c>
      <c r="C1328" s="98" t="s">
        <v>6</v>
      </c>
      <c r="D1328" s="98"/>
      <c r="E1328" s="98" t="s">
        <v>123</v>
      </c>
      <c r="F1328" s="98"/>
      <c r="G1328" s="98"/>
      <c r="J1328" s="25">
        <f t="shared" si="81"/>
        <v>43</v>
      </c>
    </row>
    <row r="1329" spans="1:10" ht="16.95" customHeight="1">
      <c r="A1329" s="53" t="s">
        <v>7</v>
      </c>
      <c r="B1329" s="54">
        <f>B1325</f>
        <v>23</v>
      </c>
      <c r="C1329" s="100" t="s">
        <v>8</v>
      </c>
      <c r="D1329" s="100"/>
      <c r="E1329" s="101">
        <f>B1328-B1329</f>
        <v>97</v>
      </c>
      <c r="F1329" s="101"/>
      <c r="G1329" s="101"/>
      <c r="J1329" s="25">
        <f t="shared" si="81"/>
        <v>43</v>
      </c>
    </row>
    <row r="1330" spans="1:10" ht="16.95" customHeight="1">
      <c r="A1330" s="53" t="s">
        <v>9</v>
      </c>
      <c r="B1330" s="55">
        <v>46204</v>
      </c>
      <c r="C1330" s="98" t="s">
        <v>10</v>
      </c>
      <c r="D1330" s="98"/>
      <c r="E1330" s="102">
        <f>B1330+B1328-1</f>
        <v>46323</v>
      </c>
      <c r="F1330" s="102"/>
      <c r="G1330" s="102"/>
      <c r="J1330" s="25">
        <f t="shared" si="81"/>
        <v>43</v>
      </c>
    </row>
    <row r="1331" spans="1:10" ht="16.95" customHeight="1">
      <c r="A1331" s="53" t="s">
        <v>11</v>
      </c>
      <c r="B1331" s="56" t="e">
        <f>HLOOKUP(B1325,進度表!$Q$2:$Z$3,2,1)+B1268</f>
        <v>#REF!</v>
      </c>
      <c r="C1331" s="98" t="s">
        <v>12</v>
      </c>
      <c r="D1331" s="98"/>
      <c r="E1331" s="99" t="e">
        <f>I1369/I1331+E1268</f>
        <v>#REF!</v>
      </c>
      <c r="F1331" s="99"/>
      <c r="G1331" s="99"/>
      <c r="H1331" s="3" t="s">
        <v>62</v>
      </c>
      <c r="I1331" s="1">
        <v>2456000</v>
      </c>
      <c r="J1331" s="25">
        <f t="shared" si="81"/>
        <v>43</v>
      </c>
    </row>
    <row r="1332" spans="1:10" ht="16.95" customHeight="1">
      <c r="A1332" s="98" t="s">
        <v>13</v>
      </c>
      <c r="B1332" s="98"/>
      <c r="C1332" s="98"/>
      <c r="D1332" s="98"/>
      <c r="E1332" s="98"/>
      <c r="F1332" s="98"/>
      <c r="G1332" s="98"/>
      <c r="J1332" s="25">
        <f t="shared" si="81"/>
        <v>43</v>
      </c>
    </row>
    <row r="1333" spans="1:10" ht="16.95" customHeight="1">
      <c r="A1333" s="52" t="s">
        <v>14</v>
      </c>
      <c r="B1333" s="52" t="s">
        <v>15</v>
      </c>
      <c r="C1333" s="52" t="s">
        <v>16</v>
      </c>
      <c r="D1333" s="52" t="s">
        <v>17</v>
      </c>
      <c r="E1333" s="52" t="s">
        <v>18</v>
      </c>
      <c r="F1333" s="52" t="s">
        <v>19</v>
      </c>
      <c r="G1333" s="52" t="s">
        <v>20</v>
      </c>
      <c r="H1333" s="3" t="s">
        <v>21</v>
      </c>
      <c r="I1333" s="3" t="s">
        <v>22</v>
      </c>
      <c r="J1333" s="25">
        <f t="shared" si="81"/>
        <v>43</v>
      </c>
    </row>
    <row r="1334" spans="1:10" ht="16.95" customHeight="1">
      <c r="A1334" s="75" t="s">
        <v>65</v>
      </c>
      <c r="B1334" s="76" t="s">
        <v>69</v>
      </c>
      <c r="C1334" s="77"/>
      <c r="D1334" s="78"/>
      <c r="E1334" s="79"/>
      <c r="F1334" s="79"/>
      <c r="G1334" s="2"/>
      <c r="H1334" s="37"/>
      <c r="I1334" s="4"/>
      <c r="J1334" s="25">
        <f t="shared" si="81"/>
        <v>43</v>
      </c>
    </row>
    <row r="1335" spans="1:10" ht="34.950000000000003" customHeight="1">
      <c r="A1335" s="75">
        <v>1</v>
      </c>
      <c r="B1335" s="80" t="s">
        <v>91</v>
      </c>
      <c r="C1335" s="77" t="s">
        <v>48</v>
      </c>
      <c r="D1335" s="78">
        <v>1</v>
      </c>
      <c r="E1335" s="79"/>
      <c r="F1335" s="79" t="e">
        <f t="shared" ref="F1335:F1368" si="83">E1335+F1272</f>
        <v>#REF!</v>
      </c>
      <c r="G1335" s="2"/>
      <c r="H1335" s="37">
        <v>10508</v>
      </c>
      <c r="I1335" s="4">
        <f>H1335*E1335</f>
        <v>0</v>
      </c>
      <c r="J1335" s="25">
        <f t="shared" si="81"/>
        <v>43</v>
      </c>
    </row>
    <row r="1336" spans="1:10" ht="34.799999999999997" customHeight="1">
      <c r="A1336" s="75">
        <v>2</v>
      </c>
      <c r="B1336" s="80" t="s">
        <v>92</v>
      </c>
      <c r="C1336" s="77" t="s">
        <v>48</v>
      </c>
      <c r="D1336" s="78">
        <v>1</v>
      </c>
      <c r="E1336" s="79"/>
      <c r="F1336" s="79" t="e">
        <f t="shared" si="83"/>
        <v>#REF!</v>
      </c>
      <c r="G1336" s="2"/>
      <c r="H1336" s="37">
        <v>13223</v>
      </c>
      <c r="I1336" s="4">
        <f>H1336*E1336</f>
        <v>0</v>
      </c>
      <c r="J1336" s="25">
        <f t="shared" si="81"/>
        <v>43</v>
      </c>
    </row>
    <row r="1337" spans="1:10" ht="53.4" customHeight="1">
      <c r="A1337" s="75">
        <v>3</v>
      </c>
      <c r="B1337" s="80" t="s">
        <v>93</v>
      </c>
      <c r="C1337" s="77" t="s">
        <v>48</v>
      </c>
      <c r="D1337" s="78">
        <v>1</v>
      </c>
      <c r="E1337" s="79"/>
      <c r="F1337" s="79" t="e">
        <f t="shared" si="83"/>
        <v>#REF!</v>
      </c>
      <c r="G1337" s="2"/>
      <c r="H1337" s="37">
        <v>310497</v>
      </c>
      <c r="I1337" s="4">
        <f t="shared" ref="I1337:I1368" si="84">H1337*E1337</f>
        <v>0</v>
      </c>
      <c r="J1337" s="25">
        <f t="shared" si="81"/>
        <v>43</v>
      </c>
    </row>
    <row r="1338" spans="1:10" ht="16.95" customHeight="1">
      <c r="A1338" s="75">
        <v>4</v>
      </c>
      <c r="B1338" s="80" t="s">
        <v>94</v>
      </c>
      <c r="C1338" s="77" t="s">
        <v>48</v>
      </c>
      <c r="D1338" s="78">
        <v>1</v>
      </c>
      <c r="E1338" s="79"/>
      <c r="F1338" s="79" t="e">
        <f t="shared" si="83"/>
        <v>#REF!</v>
      </c>
      <c r="G1338" s="2"/>
      <c r="H1338" s="37">
        <v>8375</v>
      </c>
      <c r="I1338" s="4">
        <f t="shared" si="84"/>
        <v>0</v>
      </c>
      <c r="J1338" s="25">
        <f t="shared" si="81"/>
        <v>43</v>
      </c>
    </row>
    <row r="1339" spans="1:10" ht="16.95" customHeight="1">
      <c r="A1339" s="75">
        <v>5</v>
      </c>
      <c r="B1339" s="80" t="s">
        <v>95</v>
      </c>
      <c r="C1339" s="77" t="s">
        <v>48</v>
      </c>
      <c r="D1339" s="78">
        <v>1</v>
      </c>
      <c r="E1339" s="79"/>
      <c r="F1339" s="79" t="e">
        <f t="shared" si="83"/>
        <v>#REF!</v>
      </c>
      <c r="G1339" s="2"/>
      <c r="H1339" s="37">
        <v>51618</v>
      </c>
      <c r="I1339" s="4">
        <f t="shared" si="84"/>
        <v>0</v>
      </c>
      <c r="J1339" s="25">
        <f t="shared" ref="J1339:J1402" si="85">J1276+2</f>
        <v>43</v>
      </c>
    </row>
    <row r="1340" spans="1:10" ht="16.95" customHeight="1">
      <c r="A1340" s="75">
        <v>6</v>
      </c>
      <c r="B1340" s="80" t="s">
        <v>96</v>
      </c>
      <c r="C1340" s="77" t="s">
        <v>50</v>
      </c>
      <c r="D1340" s="78">
        <v>11.55</v>
      </c>
      <c r="E1340" s="79"/>
      <c r="F1340" s="79" t="e">
        <f t="shared" si="83"/>
        <v>#REF!</v>
      </c>
      <c r="G1340" s="2"/>
      <c r="H1340" s="37">
        <v>1188</v>
      </c>
      <c r="I1340" s="4">
        <f t="shared" si="84"/>
        <v>0</v>
      </c>
      <c r="J1340" s="25">
        <f t="shared" si="85"/>
        <v>43</v>
      </c>
    </row>
    <row r="1341" spans="1:10" ht="34.950000000000003" customHeight="1">
      <c r="A1341" s="75">
        <v>7</v>
      </c>
      <c r="B1341" s="80" t="s">
        <v>97</v>
      </c>
      <c r="C1341" s="77" t="s">
        <v>48</v>
      </c>
      <c r="D1341" s="78">
        <v>1</v>
      </c>
      <c r="E1341" s="79"/>
      <c r="F1341" s="79" t="e">
        <f t="shared" si="83"/>
        <v>#REF!</v>
      </c>
      <c r="G1341" s="2"/>
      <c r="H1341" s="37">
        <v>21157</v>
      </c>
      <c r="I1341" s="4">
        <f t="shared" si="84"/>
        <v>0</v>
      </c>
      <c r="J1341" s="25">
        <f t="shared" si="85"/>
        <v>43</v>
      </c>
    </row>
    <row r="1342" spans="1:10" ht="16.95" customHeight="1">
      <c r="A1342" s="75">
        <v>8</v>
      </c>
      <c r="B1342" s="80" t="s">
        <v>98</v>
      </c>
      <c r="C1342" s="77" t="s">
        <v>50</v>
      </c>
      <c r="D1342" s="78">
        <v>387</v>
      </c>
      <c r="E1342" s="79"/>
      <c r="F1342" s="79" t="e">
        <f t="shared" si="83"/>
        <v>#REF!</v>
      </c>
      <c r="G1342" s="2"/>
      <c r="H1342" s="37">
        <v>705</v>
      </c>
      <c r="I1342" s="4">
        <f t="shared" si="84"/>
        <v>0</v>
      </c>
      <c r="J1342" s="25">
        <f t="shared" si="85"/>
        <v>43</v>
      </c>
    </row>
    <row r="1343" spans="1:10" ht="16.95" customHeight="1">
      <c r="A1343" s="75">
        <v>9</v>
      </c>
      <c r="B1343" s="80" t="s">
        <v>99</v>
      </c>
      <c r="C1343" s="77" t="s">
        <v>50</v>
      </c>
      <c r="D1343" s="78">
        <v>170</v>
      </c>
      <c r="E1343" s="79"/>
      <c r="F1343" s="79" t="e">
        <f t="shared" si="83"/>
        <v>#REF!</v>
      </c>
      <c r="G1343" s="2"/>
      <c r="H1343" s="37">
        <v>617</v>
      </c>
      <c r="I1343" s="4">
        <f t="shared" si="84"/>
        <v>0</v>
      </c>
      <c r="J1343" s="25">
        <f t="shared" si="85"/>
        <v>43</v>
      </c>
    </row>
    <row r="1344" spans="1:10" ht="16.95" customHeight="1">
      <c r="A1344" s="75">
        <v>10</v>
      </c>
      <c r="B1344" s="80" t="s">
        <v>100</v>
      </c>
      <c r="C1344" s="77" t="s">
        <v>66</v>
      </c>
      <c r="D1344" s="78">
        <v>15</v>
      </c>
      <c r="E1344" s="79"/>
      <c r="F1344" s="79" t="e">
        <f t="shared" si="83"/>
        <v>#REF!</v>
      </c>
      <c r="G1344" s="2"/>
      <c r="H1344" s="37">
        <v>617</v>
      </c>
      <c r="I1344" s="4">
        <f t="shared" si="84"/>
        <v>0</v>
      </c>
      <c r="J1344" s="25">
        <f t="shared" si="85"/>
        <v>43</v>
      </c>
    </row>
    <row r="1345" spans="1:10" ht="16.95" customHeight="1">
      <c r="A1345" s="75">
        <v>11</v>
      </c>
      <c r="B1345" s="80" t="s">
        <v>101</v>
      </c>
      <c r="C1345" s="77" t="s">
        <v>50</v>
      </c>
      <c r="D1345" s="78">
        <v>75</v>
      </c>
      <c r="E1345" s="79"/>
      <c r="F1345" s="79" t="e">
        <f t="shared" si="83"/>
        <v>#REF!</v>
      </c>
      <c r="G1345" s="2"/>
      <c r="H1345" s="37">
        <v>1146</v>
      </c>
      <c r="I1345" s="4">
        <f t="shared" si="84"/>
        <v>0</v>
      </c>
      <c r="J1345" s="25">
        <f t="shared" si="85"/>
        <v>43</v>
      </c>
    </row>
    <row r="1346" spans="1:10" ht="16.95" customHeight="1">
      <c r="A1346" s="75">
        <v>12</v>
      </c>
      <c r="B1346" s="80" t="s">
        <v>102</v>
      </c>
      <c r="C1346" s="77" t="s">
        <v>50</v>
      </c>
      <c r="D1346" s="78">
        <v>5</v>
      </c>
      <c r="E1346" s="79"/>
      <c r="F1346" s="79" t="e">
        <f t="shared" si="83"/>
        <v>#REF!</v>
      </c>
      <c r="G1346" s="2"/>
      <c r="H1346" s="37">
        <v>1455</v>
      </c>
      <c r="I1346" s="4">
        <f t="shared" si="84"/>
        <v>0</v>
      </c>
      <c r="J1346" s="25">
        <f t="shared" si="85"/>
        <v>43</v>
      </c>
    </row>
    <row r="1347" spans="1:10" ht="16.95" customHeight="1">
      <c r="A1347" s="75">
        <v>13</v>
      </c>
      <c r="B1347" s="80" t="s">
        <v>103</v>
      </c>
      <c r="C1347" s="77" t="s">
        <v>50</v>
      </c>
      <c r="D1347" s="78">
        <v>217</v>
      </c>
      <c r="E1347" s="79"/>
      <c r="F1347" s="79" t="e">
        <f t="shared" si="83"/>
        <v>#REF!</v>
      </c>
      <c r="G1347" s="2"/>
      <c r="H1347" s="37">
        <v>1410</v>
      </c>
      <c r="I1347" s="4">
        <f t="shared" si="84"/>
        <v>0</v>
      </c>
      <c r="J1347" s="25">
        <f t="shared" si="85"/>
        <v>43</v>
      </c>
    </row>
    <row r="1348" spans="1:10" ht="16.95" customHeight="1">
      <c r="A1348" s="75">
        <v>14</v>
      </c>
      <c r="B1348" s="80" t="s">
        <v>104</v>
      </c>
      <c r="C1348" s="77" t="s">
        <v>49</v>
      </c>
      <c r="D1348" s="78">
        <v>84</v>
      </c>
      <c r="E1348" s="79"/>
      <c r="F1348" s="79" t="e">
        <f t="shared" si="83"/>
        <v>#REF!</v>
      </c>
      <c r="G1348" s="2"/>
      <c r="H1348" s="37">
        <v>529</v>
      </c>
      <c r="I1348" s="4">
        <f t="shared" si="84"/>
        <v>0</v>
      </c>
      <c r="J1348" s="25">
        <f t="shared" si="85"/>
        <v>43</v>
      </c>
    </row>
    <row r="1349" spans="1:10" ht="16.95" customHeight="1">
      <c r="A1349" s="75">
        <v>15</v>
      </c>
      <c r="B1349" s="80" t="s">
        <v>105</v>
      </c>
      <c r="C1349" s="77" t="s">
        <v>50</v>
      </c>
      <c r="D1349" s="78">
        <v>1</v>
      </c>
      <c r="E1349" s="79"/>
      <c r="F1349" s="79" t="e">
        <f t="shared" si="83"/>
        <v>#REF!</v>
      </c>
      <c r="G1349" s="2"/>
      <c r="H1349" s="37">
        <v>1146</v>
      </c>
      <c r="I1349" s="4">
        <f t="shared" si="84"/>
        <v>0</v>
      </c>
      <c r="J1349" s="25">
        <f t="shared" si="85"/>
        <v>43</v>
      </c>
    </row>
    <row r="1350" spans="1:10" ht="34.799999999999997" customHeight="1">
      <c r="A1350" s="75">
        <v>16</v>
      </c>
      <c r="B1350" s="80" t="s">
        <v>106</v>
      </c>
      <c r="C1350" s="77" t="s">
        <v>50</v>
      </c>
      <c r="D1350" s="78">
        <v>314</v>
      </c>
      <c r="E1350" s="79"/>
      <c r="F1350" s="79" t="e">
        <f t="shared" si="83"/>
        <v>#REF!</v>
      </c>
      <c r="G1350" s="2"/>
      <c r="H1350" s="37">
        <v>185</v>
      </c>
      <c r="I1350" s="4">
        <f t="shared" si="84"/>
        <v>0</v>
      </c>
      <c r="J1350" s="25">
        <f t="shared" si="85"/>
        <v>43</v>
      </c>
    </row>
    <row r="1351" spans="1:10" ht="16.95" customHeight="1">
      <c r="A1351" s="75">
        <v>17</v>
      </c>
      <c r="B1351" s="80" t="s">
        <v>107</v>
      </c>
      <c r="C1351" s="77" t="s">
        <v>48</v>
      </c>
      <c r="D1351" s="78">
        <v>1</v>
      </c>
      <c r="E1351" s="79"/>
      <c r="F1351" s="79" t="e">
        <f t="shared" si="83"/>
        <v>#REF!</v>
      </c>
      <c r="G1351" s="2"/>
      <c r="H1351" s="37">
        <v>89918</v>
      </c>
      <c r="I1351" s="4">
        <f t="shared" si="84"/>
        <v>0</v>
      </c>
      <c r="J1351" s="25">
        <f t="shared" si="85"/>
        <v>43</v>
      </c>
    </row>
    <row r="1352" spans="1:10" ht="16.95" customHeight="1">
      <c r="A1352" s="75">
        <v>18</v>
      </c>
      <c r="B1352" s="80" t="s">
        <v>108</v>
      </c>
      <c r="C1352" s="77" t="s">
        <v>120</v>
      </c>
      <c r="D1352" s="78">
        <v>15</v>
      </c>
      <c r="E1352" s="79"/>
      <c r="F1352" s="79" t="e">
        <f t="shared" si="83"/>
        <v>#REF!</v>
      </c>
      <c r="G1352" s="2"/>
      <c r="H1352" s="37">
        <v>661</v>
      </c>
      <c r="I1352" s="4">
        <f t="shared" si="84"/>
        <v>0</v>
      </c>
      <c r="J1352" s="25">
        <f t="shared" si="85"/>
        <v>43</v>
      </c>
    </row>
    <row r="1353" spans="1:10" ht="16.95" customHeight="1">
      <c r="A1353" s="75">
        <v>19</v>
      </c>
      <c r="B1353" s="80" t="s">
        <v>109</v>
      </c>
      <c r="C1353" s="77" t="s">
        <v>50</v>
      </c>
      <c r="D1353" s="78">
        <v>82</v>
      </c>
      <c r="E1353" s="79"/>
      <c r="F1353" s="79" t="e">
        <f t="shared" si="83"/>
        <v>#REF!</v>
      </c>
      <c r="G1353" s="2"/>
      <c r="H1353" s="37">
        <v>2909</v>
      </c>
      <c r="I1353" s="4">
        <f t="shared" si="84"/>
        <v>0</v>
      </c>
      <c r="J1353" s="25">
        <f t="shared" si="85"/>
        <v>43</v>
      </c>
    </row>
    <row r="1354" spans="1:10" ht="16.95" customHeight="1">
      <c r="A1354" s="75">
        <v>20</v>
      </c>
      <c r="B1354" s="80" t="s">
        <v>110</v>
      </c>
      <c r="C1354" s="77" t="s">
        <v>121</v>
      </c>
      <c r="D1354" s="78">
        <v>12</v>
      </c>
      <c r="E1354" s="79"/>
      <c r="F1354" s="79" t="e">
        <f t="shared" si="83"/>
        <v>#REF!</v>
      </c>
      <c r="G1354" s="2"/>
      <c r="H1354" s="37">
        <v>882</v>
      </c>
      <c r="I1354" s="4">
        <f t="shared" si="84"/>
        <v>0</v>
      </c>
      <c r="J1354" s="25">
        <f t="shared" si="85"/>
        <v>43</v>
      </c>
    </row>
    <row r="1355" spans="1:10" ht="16.95" customHeight="1">
      <c r="A1355" s="77">
        <v>21</v>
      </c>
      <c r="B1355" s="80" t="s">
        <v>111</v>
      </c>
      <c r="C1355" s="77" t="s">
        <v>122</v>
      </c>
      <c r="D1355" s="78">
        <v>3</v>
      </c>
      <c r="E1355" s="79"/>
      <c r="F1355" s="79" t="e">
        <f t="shared" si="83"/>
        <v>#REF!</v>
      </c>
      <c r="G1355" s="2"/>
      <c r="H1355" s="38">
        <v>1869</v>
      </c>
      <c r="I1355" s="4">
        <f t="shared" si="84"/>
        <v>0</v>
      </c>
      <c r="J1355" s="25">
        <f t="shared" si="85"/>
        <v>43</v>
      </c>
    </row>
    <row r="1356" spans="1:10" ht="34.950000000000003" customHeight="1">
      <c r="A1356" s="75">
        <v>22</v>
      </c>
      <c r="B1356" s="80" t="s">
        <v>112</v>
      </c>
      <c r="C1356" s="77" t="s">
        <v>48</v>
      </c>
      <c r="D1356" s="78">
        <v>1</v>
      </c>
      <c r="E1356" s="79"/>
      <c r="F1356" s="79" t="e">
        <f t="shared" si="83"/>
        <v>#REF!</v>
      </c>
      <c r="G1356" s="2"/>
      <c r="H1356" s="37">
        <v>82206</v>
      </c>
      <c r="I1356" s="4">
        <f t="shared" si="84"/>
        <v>0</v>
      </c>
      <c r="J1356" s="25">
        <f t="shared" si="85"/>
        <v>43</v>
      </c>
    </row>
    <row r="1357" spans="1:10" ht="16.95" customHeight="1">
      <c r="A1357" s="75">
        <v>23</v>
      </c>
      <c r="B1357" s="80" t="s">
        <v>113</v>
      </c>
      <c r="C1357" s="77" t="s">
        <v>48</v>
      </c>
      <c r="D1357" s="78">
        <v>1</v>
      </c>
      <c r="E1357" s="79"/>
      <c r="F1357" s="79" t="e">
        <f t="shared" si="83"/>
        <v>#REF!</v>
      </c>
      <c r="G1357" s="2"/>
      <c r="H1357" s="37">
        <v>142723</v>
      </c>
      <c r="I1357" s="4">
        <f t="shared" si="84"/>
        <v>0</v>
      </c>
      <c r="J1357" s="25">
        <f t="shared" si="85"/>
        <v>43</v>
      </c>
    </row>
    <row r="1358" spans="1:10" ht="16.95" customHeight="1">
      <c r="A1358" s="75">
        <v>24</v>
      </c>
      <c r="B1358" s="80" t="s">
        <v>114</v>
      </c>
      <c r="C1358" s="77" t="s">
        <v>48</v>
      </c>
      <c r="D1358" s="78">
        <v>1</v>
      </c>
      <c r="E1358" s="79"/>
      <c r="F1358" s="79" t="e">
        <f t="shared" si="83"/>
        <v>#REF!</v>
      </c>
      <c r="G1358" s="2"/>
      <c r="H1358" s="37">
        <v>37290</v>
      </c>
      <c r="I1358" s="4">
        <f t="shared" si="84"/>
        <v>0</v>
      </c>
      <c r="J1358" s="25">
        <f t="shared" si="85"/>
        <v>43</v>
      </c>
    </row>
    <row r="1359" spans="1:10" ht="16.95" customHeight="1">
      <c r="A1359" s="75">
        <v>25</v>
      </c>
      <c r="B1359" s="80" t="s">
        <v>115</v>
      </c>
      <c r="C1359" s="77" t="s">
        <v>48</v>
      </c>
      <c r="D1359" s="78">
        <v>1</v>
      </c>
      <c r="E1359" s="79"/>
      <c r="F1359" s="79" t="e">
        <f t="shared" si="83"/>
        <v>#REF!</v>
      </c>
      <c r="G1359" s="2"/>
      <c r="H1359" s="37">
        <v>99394</v>
      </c>
      <c r="I1359" s="4">
        <f t="shared" si="84"/>
        <v>0</v>
      </c>
      <c r="J1359" s="25">
        <f t="shared" si="85"/>
        <v>43</v>
      </c>
    </row>
    <row r="1360" spans="1:10" ht="34.950000000000003" customHeight="1">
      <c r="A1360" s="75">
        <v>26</v>
      </c>
      <c r="B1360" s="80" t="s">
        <v>116</v>
      </c>
      <c r="C1360" s="77" t="s">
        <v>48</v>
      </c>
      <c r="D1360" s="78">
        <v>1</v>
      </c>
      <c r="E1360" s="79"/>
      <c r="F1360" s="79" t="e">
        <f t="shared" si="83"/>
        <v>#REF!</v>
      </c>
      <c r="G1360" s="2"/>
      <c r="H1360" s="37">
        <v>21334</v>
      </c>
      <c r="I1360" s="4">
        <f t="shared" si="84"/>
        <v>0</v>
      </c>
      <c r="J1360" s="25">
        <f t="shared" si="85"/>
        <v>43</v>
      </c>
    </row>
    <row r="1361" spans="1:10" ht="16.95" customHeight="1">
      <c r="A1361" s="75">
        <v>27</v>
      </c>
      <c r="B1361" s="80" t="s">
        <v>117</v>
      </c>
      <c r="C1361" s="77" t="s">
        <v>48</v>
      </c>
      <c r="D1361" s="78">
        <v>1</v>
      </c>
      <c r="E1361" s="79"/>
      <c r="F1361" s="79" t="e">
        <f t="shared" si="83"/>
        <v>#REF!</v>
      </c>
      <c r="G1361" s="2"/>
      <c r="H1361" s="37">
        <v>29620</v>
      </c>
      <c r="I1361" s="4">
        <f t="shared" si="84"/>
        <v>0</v>
      </c>
      <c r="J1361" s="25">
        <f t="shared" si="85"/>
        <v>43</v>
      </c>
    </row>
    <row r="1362" spans="1:10" ht="16.95" customHeight="1">
      <c r="A1362" s="75">
        <v>28</v>
      </c>
      <c r="B1362" s="80" t="s">
        <v>118</v>
      </c>
      <c r="C1362" s="77" t="s">
        <v>48</v>
      </c>
      <c r="D1362" s="78">
        <v>1</v>
      </c>
      <c r="E1362" s="79"/>
      <c r="F1362" s="79" t="e">
        <f t="shared" si="83"/>
        <v>#REF!</v>
      </c>
      <c r="G1362" s="2"/>
      <c r="H1362" s="37">
        <v>18506</v>
      </c>
      <c r="I1362" s="4">
        <f t="shared" si="84"/>
        <v>0</v>
      </c>
      <c r="J1362" s="25">
        <f t="shared" si="85"/>
        <v>43</v>
      </c>
    </row>
    <row r="1363" spans="1:10" ht="16.95" customHeight="1">
      <c r="A1363" s="75">
        <v>29</v>
      </c>
      <c r="B1363" s="80" t="s">
        <v>119</v>
      </c>
      <c r="C1363" s="77" t="s">
        <v>48</v>
      </c>
      <c r="D1363" s="78">
        <v>1</v>
      </c>
      <c r="E1363" s="79"/>
      <c r="F1363" s="79" t="e">
        <f t="shared" si="83"/>
        <v>#REF!</v>
      </c>
      <c r="G1363" s="2"/>
      <c r="H1363" s="37">
        <v>34381</v>
      </c>
      <c r="I1363" s="4">
        <f t="shared" si="84"/>
        <v>0</v>
      </c>
      <c r="J1363" s="25">
        <f t="shared" si="85"/>
        <v>43</v>
      </c>
    </row>
    <row r="1364" spans="1:10" ht="16.95" customHeight="1">
      <c r="A1364" s="75" t="s">
        <v>79</v>
      </c>
      <c r="B1364" s="80" t="s">
        <v>80</v>
      </c>
      <c r="C1364" s="77" t="s">
        <v>48</v>
      </c>
      <c r="D1364" s="78">
        <v>1</v>
      </c>
      <c r="E1364" s="79">
        <f t="shared" ref="E1364:E1367" si="86">1/120</f>
        <v>8.3333333333333332E-3</v>
      </c>
      <c r="F1364" s="79" t="e">
        <f t="shared" si="83"/>
        <v>#REF!</v>
      </c>
      <c r="G1364" s="2"/>
      <c r="H1364" s="37">
        <v>21395</v>
      </c>
      <c r="I1364" s="4">
        <f t="shared" si="84"/>
        <v>178.29166666666666</v>
      </c>
      <c r="J1364" s="25">
        <f t="shared" si="85"/>
        <v>43</v>
      </c>
    </row>
    <row r="1365" spans="1:10" ht="16.95" customHeight="1">
      <c r="A1365" s="75" t="s">
        <v>81</v>
      </c>
      <c r="B1365" s="80" t="s">
        <v>82</v>
      </c>
      <c r="C1365" s="77" t="s">
        <v>48</v>
      </c>
      <c r="D1365" s="78">
        <v>1</v>
      </c>
      <c r="E1365" s="79">
        <f t="shared" si="86"/>
        <v>8.3333333333333332E-3</v>
      </c>
      <c r="F1365" s="79" t="e">
        <f t="shared" si="83"/>
        <v>#REF!</v>
      </c>
      <c r="G1365" s="2"/>
      <c r="H1365" s="37">
        <v>21395</v>
      </c>
      <c r="I1365" s="4">
        <f t="shared" si="84"/>
        <v>178.29166666666666</v>
      </c>
      <c r="J1365" s="25">
        <f t="shared" si="85"/>
        <v>43</v>
      </c>
    </row>
    <row r="1366" spans="1:10" ht="16.95" customHeight="1">
      <c r="A1366" s="75" t="s">
        <v>83</v>
      </c>
      <c r="B1366" s="80" t="s">
        <v>84</v>
      </c>
      <c r="C1366" s="77" t="s">
        <v>48</v>
      </c>
      <c r="D1366" s="78">
        <v>1</v>
      </c>
      <c r="E1366" s="79">
        <f t="shared" si="86"/>
        <v>8.3333333333333332E-3</v>
      </c>
      <c r="F1366" s="79" t="e">
        <f t="shared" si="83"/>
        <v>#REF!</v>
      </c>
      <c r="G1366" s="2"/>
      <c r="H1366" s="37">
        <v>149765</v>
      </c>
      <c r="I1366" s="4">
        <f t="shared" si="84"/>
        <v>1248.0416666666667</v>
      </c>
      <c r="J1366" s="25">
        <f t="shared" si="85"/>
        <v>43</v>
      </c>
    </row>
    <row r="1367" spans="1:10" ht="16.95" customHeight="1">
      <c r="A1367" s="75" t="s">
        <v>85</v>
      </c>
      <c r="B1367" s="80" t="s">
        <v>86</v>
      </c>
      <c r="C1367" s="77" t="s">
        <v>48</v>
      </c>
      <c r="D1367" s="78">
        <v>1</v>
      </c>
      <c r="E1367" s="79">
        <f t="shared" si="86"/>
        <v>8.3333333333333332E-3</v>
      </c>
      <c r="F1367" s="79" t="e">
        <f t="shared" si="83"/>
        <v>#REF!</v>
      </c>
      <c r="G1367" s="2"/>
      <c r="H1367" s="37">
        <v>6996</v>
      </c>
      <c r="I1367" s="4">
        <f t="shared" si="84"/>
        <v>58.3</v>
      </c>
      <c r="J1367" s="25">
        <f t="shared" si="85"/>
        <v>43</v>
      </c>
    </row>
    <row r="1368" spans="1:10" ht="16.95" customHeight="1">
      <c r="A1368" s="75" t="s">
        <v>87</v>
      </c>
      <c r="B1368" s="80" t="s">
        <v>88</v>
      </c>
      <c r="C1368" s="77" t="s">
        <v>48</v>
      </c>
      <c r="D1368" s="78">
        <v>1</v>
      </c>
      <c r="E1368" s="79">
        <f>1/120</f>
        <v>8.3333333333333332E-3</v>
      </c>
      <c r="F1368" s="79" t="e">
        <f t="shared" si="83"/>
        <v>#REF!</v>
      </c>
      <c r="G1368" s="2"/>
      <c r="H1368" s="37">
        <v>116952</v>
      </c>
      <c r="I1368" s="4">
        <f t="shared" si="84"/>
        <v>974.6</v>
      </c>
      <c r="J1368" s="25">
        <f t="shared" si="85"/>
        <v>43</v>
      </c>
    </row>
    <row r="1369" spans="1:10" ht="16.95" customHeight="1">
      <c r="A1369" s="95" t="s">
        <v>23</v>
      </c>
      <c r="B1369" s="95"/>
      <c r="C1369" s="50"/>
      <c r="D1369" s="50"/>
      <c r="E1369" s="50"/>
      <c r="F1369" s="50"/>
      <c r="G1369" s="50"/>
      <c r="H1369" s="3" t="s">
        <v>24</v>
      </c>
      <c r="I1369" s="5">
        <f>SUM(I1334:I1368)</f>
        <v>2637.5250000000001</v>
      </c>
      <c r="J1369" s="25">
        <f t="shared" si="85"/>
        <v>43</v>
      </c>
    </row>
    <row r="1370" spans="1:10" ht="16.95" customHeight="1">
      <c r="A1370" s="96" t="s">
        <v>25</v>
      </c>
      <c r="B1370" s="96"/>
      <c r="C1370" s="50"/>
      <c r="D1370" s="50"/>
      <c r="E1370" s="50"/>
      <c r="F1370" s="50"/>
      <c r="G1370" s="50"/>
      <c r="J1370" s="25">
        <f t="shared" si="85"/>
        <v>43</v>
      </c>
    </row>
    <row r="1371" spans="1:10" ht="16.95" customHeight="1">
      <c r="A1371" s="96" t="s">
        <v>26</v>
      </c>
      <c r="B1371" s="96"/>
      <c r="C1371" s="50"/>
      <c r="D1371" s="50"/>
      <c r="E1371" s="50"/>
      <c r="F1371" s="50"/>
      <c r="G1371" s="50"/>
      <c r="J1371" s="25">
        <f t="shared" si="85"/>
        <v>43</v>
      </c>
    </row>
    <row r="1372" spans="1:10" ht="16.95" customHeight="1">
      <c r="A1372" s="95" t="s">
        <v>27</v>
      </c>
      <c r="B1372" s="95"/>
      <c r="C1372" s="95"/>
      <c r="D1372" s="95"/>
      <c r="E1372" s="95"/>
      <c r="F1372" s="95"/>
      <c r="G1372" s="95"/>
      <c r="J1372" s="25">
        <f t="shared" si="85"/>
        <v>43</v>
      </c>
    </row>
    <row r="1373" spans="1:10" ht="16.95" customHeight="1">
      <c r="A1373" s="94" t="s">
        <v>28</v>
      </c>
      <c r="B1373" s="94"/>
      <c r="C1373" s="51" t="s">
        <v>29</v>
      </c>
      <c r="D1373" s="51" t="s">
        <v>30</v>
      </c>
      <c r="E1373" s="51" t="s">
        <v>18</v>
      </c>
      <c r="F1373" s="51" t="s">
        <v>31</v>
      </c>
      <c r="G1373" s="51" t="s">
        <v>20</v>
      </c>
      <c r="J1373" s="25">
        <f t="shared" si="85"/>
        <v>43</v>
      </c>
    </row>
    <row r="1374" spans="1:10" ht="16.95" customHeight="1">
      <c r="A1374" s="96"/>
      <c r="B1374" s="96"/>
      <c r="C1374" s="50"/>
      <c r="D1374" s="50"/>
      <c r="E1374" s="50"/>
      <c r="F1374" s="50"/>
      <c r="G1374" s="51"/>
      <c r="J1374" s="25">
        <f t="shared" si="85"/>
        <v>43</v>
      </c>
    </row>
    <row r="1375" spans="1:10" ht="16.95" customHeight="1">
      <c r="A1375" s="97"/>
      <c r="B1375" s="97"/>
      <c r="C1375" s="50"/>
      <c r="D1375" s="50"/>
      <c r="E1375" s="50"/>
      <c r="F1375" s="51"/>
      <c r="G1375" s="51"/>
      <c r="J1375" s="25">
        <f t="shared" si="85"/>
        <v>43</v>
      </c>
    </row>
    <row r="1376" spans="1:10" ht="16.95" customHeight="1">
      <c r="A1376" s="95" t="s">
        <v>32</v>
      </c>
      <c r="B1376" s="95"/>
      <c r="C1376" s="95"/>
      <c r="D1376" s="95"/>
      <c r="E1376" s="95"/>
      <c r="F1376" s="95"/>
      <c r="G1376" s="95"/>
      <c r="J1376" s="25">
        <f t="shared" si="85"/>
        <v>44</v>
      </c>
    </row>
    <row r="1377" spans="1:10" ht="16.95" customHeight="1">
      <c r="A1377" s="51" t="s">
        <v>33</v>
      </c>
      <c r="B1377" s="51" t="s">
        <v>34</v>
      </c>
      <c r="C1377" s="94" t="s">
        <v>35</v>
      </c>
      <c r="D1377" s="94"/>
      <c r="E1377" s="51" t="s">
        <v>36</v>
      </c>
      <c r="F1377" s="51" t="s">
        <v>37</v>
      </c>
      <c r="G1377" s="51" t="s">
        <v>38</v>
      </c>
      <c r="J1377" s="25">
        <f t="shared" si="85"/>
        <v>44</v>
      </c>
    </row>
    <row r="1378" spans="1:10" ht="16.95" customHeight="1">
      <c r="A1378" s="51" t="s">
        <v>39</v>
      </c>
      <c r="B1378" s="6"/>
      <c r="C1378" s="94" t="e">
        <f>B1378+C1315</f>
        <v>#REF!</v>
      </c>
      <c r="D1378" s="94"/>
      <c r="E1378" s="51"/>
      <c r="F1378" s="24"/>
      <c r="G1378" s="24"/>
      <c r="J1378" s="25">
        <f t="shared" si="85"/>
        <v>44</v>
      </c>
    </row>
    <row r="1379" spans="1:10" ht="16.95" customHeight="1">
      <c r="A1379" s="51" t="s">
        <v>40</v>
      </c>
      <c r="B1379" s="6"/>
      <c r="C1379" s="94" t="e">
        <f>B1379+C1316</f>
        <v>#REF!</v>
      </c>
      <c r="D1379" s="94"/>
      <c r="E1379" s="51"/>
      <c r="F1379" s="24"/>
      <c r="G1379" s="24"/>
      <c r="J1379" s="25">
        <f t="shared" si="85"/>
        <v>44</v>
      </c>
    </row>
    <row r="1380" spans="1:10" ht="36.6" customHeight="1">
      <c r="A1380" s="95" t="s">
        <v>41</v>
      </c>
      <c r="B1380" s="95"/>
      <c r="C1380" s="95"/>
      <c r="D1380" s="95"/>
      <c r="E1380" s="95"/>
      <c r="F1380" s="95"/>
      <c r="G1380" s="95"/>
      <c r="J1380" s="25">
        <f t="shared" si="85"/>
        <v>44</v>
      </c>
    </row>
    <row r="1381" spans="1:10" ht="90" customHeight="1">
      <c r="A1381" s="92" t="s">
        <v>42</v>
      </c>
      <c r="B1381" s="92"/>
      <c r="C1381" s="92"/>
      <c r="D1381" s="92"/>
      <c r="E1381" s="92"/>
      <c r="F1381" s="92"/>
      <c r="G1381" s="92"/>
      <c r="J1381" s="25">
        <f t="shared" si="85"/>
        <v>44</v>
      </c>
    </row>
    <row r="1382" spans="1:10" ht="16.95" customHeight="1">
      <c r="A1382" s="95" t="s">
        <v>43</v>
      </c>
      <c r="B1382" s="95"/>
      <c r="C1382" s="95"/>
      <c r="D1382" s="95"/>
      <c r="E1382" s="95"/>
      <c r="F1382" s="95"/>
      <c r="G1382" s="95"/>
      <c r="J1382" s="25">
        <f t="shared" si="85"/>
        <v>44</v>
      </c>
    </row>
    <row r="1383" spans="1:10" ht="16.95" customHeight="1">
      <c r="A1383" s="95" t="s">
        <v>44</v>
      </c>
      <c r="B1383" s="95"/>
      <c r="C1383" s="95"/>
      <c r="D1383" s="95"/>
      <c r="E1383" s="95"/>
      <c r="F1383" s="95"/>
      <c r="G1383" s="95"/>
      <c r="J1383" s="25">
        <f t="shared" si="85"/>
        <v>44</v>
      </c>
    </row>
    <row r="1384" spans="1:10" ht="16.95" customHeight="1">
      <c r="A1384" s="91" t="s">
        <v>64</v>
      </c>
      <c r="B1384" s="91"/>
      <c r="C1384" s="91"/>
      <c r="D1384" s="91"/>
      <c r="E1384" s="91"/>
      <c r="F1384" s="91"/>
      <c r="G1384" s="91"/>
      <c r="J1384" s="25">
        <f t="shared" si="85"/>
        <v>44</v>
      </c>
    </row>
    <row r="1385" spans="1:10" ht="120.6" customHeight="1">
      <c r="A1385" s="92" t="s">
        <v>45</v>
      </c>
      <c r="B1385" s="92"/>
      <c r="C1385" s="92"/>
      <c r="D1385" s="92"/>
      <c r="E1385" s="92"/>
      <c r="F1385" s="92"/>
      <c r="G1385" s="92"/>
      <c r="J1385" s="25">
        <f t="shared" si="85"/>
        <v>44</v>
      </c>
    </row>
    <row r="1386" spans="1:10" ht="140.4" customHeight="1">
      <c r="A1386" s="93" t="s">
        <v>46</v>
      </c>
      <c r="B1386" s="93"/>
      <c r="C1386" s="93"/>
      <c r="D1386" s="93"/>
      <c r="E1386" s="93"/>
      <c r="F1386" s="93"/>
      <c r="G1386" s="93"/>
      <c r="J1386" s="25">
        <f t="shared" si="85"/>
        <v>44</v>
      </c>
    </row>
    <row r="1387" spans="1:10" ht="37.200000000000003" customHeight="1">
      <c r="A1387" s="103" t="s">
        <v>0</v>
      </c>
      <c r="B1387" s="103"/>
      <c r="C1387" s="103"/>
      <c r="D1387" s="103"/>
      <c r="E1387" s="103"/>
      <c r="F1387" s="103"/>
      <c r="G1387" s="103"/>
      <c r="J1387" s="25">
        <f t="shared" si="85"/>
        <v>45</v>
      </c>
    </row>
    <row r="1388" spans="1:10" ht="16.95" customHeight="1">
      <c r="A1388" s="1" t="s">
        <v>1</v>
      </c>
      <c r="B1388" s="104">
        <f>B1325+1</f>
        <v>24</v>
      </c>
      <c r="C1388" s="104"/>
      <c r="D1388" s="104"/>
      <c r="E1388" s="104"/>
      <c r="F1388" s="104"/>
      <c r="G1388" s="104"/>
      <c r="J1388" s="25">
        <f t="shared" si="85"/>
        <v>45</v>
      </c>
    </row>
    <row r="1389" spans="1:10" ht="16.95" customHeight="1">
      <c r="A1389" s="1" t="s">
        <v>2</v>
      </c>
      <c r="B1389" s="105" t="s">
        <v>63</v>
      </c>
      <c r="C1389" s="105"/>
      <c r="D1389" s="105"/>
      <c r="E1389" s="106">
        <f>E1326+1</f>
        <v>46226</v>
      </c>
      <c r="F1389" s="106"/>
      <c r="G1389" s="106"/>
      <c r="J1389" s="25">
        <f t="shared" si="85"/>
        <v>45</v>
      </c>
    </row>
    <row r="1390" spans="1:10" ht="16.95" customHeight="1">
      <c r="A1390" s="53" t="s">
        <v>3</v>
      </c>
      <c r="B1390" s="2" t="s">
        <v>67</v>
      </c>
      <c r="C1390" s="98" t="s">
        <v>4</v>
      </c>
      <c r="D1390" s="98"/>
      <c r="E1390" s="98" t="s">
        <v>47</v>
      </c>
      <c r="F1390" s="98"/>
      <c r="G1390" s="98"/>
      <c r="J1390" s="25">
        <f t="shared" si="85"/>
        <v>45</v>
      </c>
    </row>
    <row r="1391" spans="1:10" ht="16.95" customHeight="1">
      <c r="A1391" s="53" t="s">
        <v>5</v>
      </c>
      <c r="B1391" s="54">
        <v>120</v>
      </c>
      <c r="C1391" s="98" t="s">
        <v>6</v>
      </c>
      <c r="D1391" s="98"/>
      <c r="E1391" s="98" t="s">
        <v>123</v>
      </c>
      <c r="F1391" s="98"/>
      <c r="G1391" s="98"/>
      <c r="J1391" s="25">
        <f t="shared" si="85"/>
        <v>45</v>
      </c>
    </row>
    <row r="1392" spans="1:10" ht="16.95" customHeight="1">
      <c r="A1392" s="53" t="s">
        <v>7</v>
      </c>
      <c r="B1392" s="54">
        <f>B1388</f>
        <v>24</v>
      </c>
      <c r="C1392" s="100" t="s">
        <v>8</v>
      </c>
      <c r="D1392" s="100"/>
      <c r="E1392" s="101">
        <f>B1391-B1392</f>
        <v>96</v>
      </c>
      <c r="F1392" s="101"/>
      <c r="G1392" s="101"/>
      <c r="J1392" s="25">
        <f t="shared" si="85"/>
        <v>45</v>
      </c>
    </row>
    <row r="1393" spans="1:10" ht="16.95" customHeight="1">
      <c r="A1393" s="53" t="s">
        <v>9</v>
      </c>
      <c r="B1393" s="55">
        <v>46204</v>
      </c>
      <c r="C1393" s="98" t="s">
        <v>10</v>
      </c>
      <c r="D1393" s="98"/>
      <c r="E1393" s="102">
        <f>B1393+B1391-1</f>
        <v>46323</v>
      </c>
      <c r="F1393" s="102"/>
      <c r="G1393" s="102"/>
      <c r="J1393" s="25">
        <f t="shared" si="85"/>
        <v>45</v>
      </c>
    </row>
    <row r="1394" spans="1:10" ht="16.95" customHeight="1">
      <c r="A1394" s="53" t="s">
        <v>11</v>
      </c>
      <c r="B1394" s="56" t="e">
        <f>HLOOKUP(B1388,進度表!$Q$2:$Z$3,2,1)+B1331</f>
        <v>#REF!</v>
      </c>
      <c r="C1394" s="98" t="s">
        <v>12</v>
      </c>
      <c r="D1394" s="98"/>
      <c r="E1394" s="99" t="e">
        <f>I1432/I1394+E1331</f>
        <v>#REF!</v>
      </c>
      <c r="F1394" s="99"/>
      <c r="G1394" s="99"/>
      <c r="H1394" s="3" t="s">
        <v>62</v>
      </c>
      <c r="I1394" s="1">
        <v>2456000</v>
      </c>
      <c r="J1394" s="25">
        <f t="shared" si="85"/>
        <v>45</v>
      </c>
    </row>
    <row r="1395" spans="1:10" ht="16.95" customHeight="1">
      <c r="A1395" s="98" t="s">
        <v>13</v>
      </c>
      <c r="B1395" s="98"/>
      <c r="C1395" s="98"/>
      <c r="D1395" s="98"/>
      <c r="E1395" s="98"/>
      <c r="F1395" s="98"/>
      <c r="G1395" s="98"/>
      <c r="J1395" s="25">
        <f t="shared" si="85"/>
        <v>45</v>
      </c>
    </row>
    <row r="1396" spans="1:10" ht="16.95" customHeight="1">
      <c r="A1396" s="52" t="s">
        <v>14</v>
      </c>
      <c r="B1396" s="52" t="s">
        <v>15</v>
      </c>
      <c r="C1396" s="52" t="s">
        <v>16</v>
      </c>
      <c r="D1396" s="52" t="s">
        <v>17</v>
      </c>
      <c r="E1396" s="52" t="s">
        <v>18</v>
      </c>
      <c r="F1396" s="52" t="s">
        <v>19</v>
      </c>
      <c r="G1396" s="52" t="s">
        <v>20</v>
      </c>
      <c r="H1396" s="3" t="s">
        <v>21</v>
      </c>
      <c r="I1396" s="3" t="s">
        <v>22</v>
      </c>
      <c r="J1396" s="25">
        <f t="shared" si="85"/>
        <v>45</v>
      </c>
    </row>
    <row r="1397" spans="1:10" ht="16.95" customHeight="1">
      <c r="A1397" s="75" t="s">
        <v>65</v>
      </c>
      <c r="B1397" s="76" t="s">
        <v>69</v>
      </c>
      <c r="C1397" s="77"/>
      <c r="D1397" s="78"/>
      <c r="E1397" s="79"/>
      <c r="F1397" s="79"/>
      <c r="G1397" s="2"/>
      <c r="H1397" s="37"/>
      <c r="I1397" s="4"/>
      <c r="J1397" s="25">
        <f t="shared" si="85"/>
        <v>45</v>
      </c>
    </row>
    <row r="1398" spans="1:10" ht="34.950000000000003" customHeight="1">
      <c r="A1398" s="75">
        <v>1</v>
      </c>
      <c r="B1398" s="80" t="s">
        <v>91</v>
      </c>
      <c r="C1398" s="77" t="s">
        <v>48</v>
      </c>
      <c r="D1398" s="78">
        <v>1</v>
      </c>
      <c r="E1398" s="79"/>
      <c r="F1398" s="79" t="e">
        <f t="shared" ref="F1398:F1431" si="87">E1398+F1335</f>
        <v>#REF!</v>
      </c>
      <c r="G1398" s="2"/>
      <c r="H1398" s="37">
        <v>10508</v>
      </c>
      <c r="I1398" s="4">
        <f>H1398*E1398</f>
        <v>0</v>
      </c>
      <c r="J1398" s="25">
        <f t="shared" si="85"/>
        <v>45</v>
      </c>
    </row>
    <row r="1399" spans="1:10" ht="34.799999999999997" customHeight="1">
      <c r="A1399" s="75">
        <v>2</v>
      </c>
      <c r="B1399" s="80" t="s">
        <v>92</v>
      </c>
      <c r="C1399" s="77" t="s">
        <v>48</v>
      </c>
      <c r="D1399" s="78">
        <v>1</v>
      </c>
      <c r="E1399" s="79"/>
      <c r="F1399" s="79" t="e">
        <f t="shared" si="87"/>
        <v>#REF!</v>
      </c>
      <c r="G1399" s="2"/>
      <c r="H1399" s="37">
        <v>13223</v>
      </c>
      <c r="I1399" s="4">
        <f>H1399*E1399</f>
        <v>0</v>
      </c>
      <c r="J1399" s="25">
        <f t="shared" si="85"/>
        <v>45</v>
      </c>
    </row>
    <row r="1400" spans="1:10" ht="53.4" customHeight="1">
      <c r="A1400" s="75">
        <v>3</v>
      </c>
      <c r="B1400" s="80" t="s">
        <v>93</v>
      </c>
      <c r="C1400" s="77" t="s">
        <v>48</v>
      </c>
      <c r="D1400" s="78">
        <v>1</v>
      </c>
      <c r="E1400" s="79"/>
      <c r="F1400" s="79" t="e">
        <f t="shared" si="87"/>
        <v>#REF!</v>
      </c>
      <c r="G1400" s="2"/>
      <c r="H1400" s="37">
        <v>310497</v>
      </c>
      <c r="I1400" s="4">
        <f t="shared" ref="I1400:I1431" si="88">H1400*E1400</f>
        <v>0</v>
      </c>
      <c r="J1400" s="25">
        <f t="shared" si="85"/>
        <v>45</v>
      </c>
    </row>
    <row r="1401" spans="1:10" ht="16.95" customHeight="1">
      <c r="A1401" s="75">
        <v>4</v>
      </c>
      <c r="B1401" s="80" t="s">
        <v>94</v>
      </c>
      <c r="C1401" s="77" t="s">
        <v>48</v>
      </c>
      <c r="D1401" s="78">
        <v>1</v>
      </c>
      <c r="E1401" s="79"/>
      <c r="F1401" s="79" t="e">
        <f t="shared" si="87"/>
        <v>#REF!</v>
      </c>
      <c r="G1401" s="2"/>
      <c r="H1401" s="37">
        <v>8375</v>
      </c>
      <c r="I1401" s="4">
        <f t="shared" si="88"/>
        <v>0</v>
      </c>
      <c r="J1401" s="25">
        <f t="shared" si="85"/>
        <v>45</v>
      </c>
    </row>
    <row r="1402" spans="1:10" ht="16.95" customHeight="1">
      <c r="A1402" s="75">
        <v>5</v>
      </c>
      <c r="B1402" s="80" t="s">
        <v>95</v>
      </c>
      <c r="C1402" s="77" t="s">
        <v>48</v>
      </c>
      <c r="D1402" s="78">
        <v>1</v>
      </c>
      <c r="E1402" s="79"/>
      <c r="F1402" s="79" t="e">
        <f t="shared" si="87"/>
        <v>#REF!</v>
      </c>
      <c r="G1402" s="2"/>
      <c r="H1402" s="37">
        <v>51618</v>
      </c>
      <c r="I1402" s="4">
        <f t="shared" si="88"/>
        <v>0</v>
      </c>
      <c r="J1402" s="25">
        <f t="shared" si="85"/>
        <v>45</v>
      </c>
    </row>
    <row r="1403" spans="1:10" ht="16.95" customHeight="1">
      <c r="A1403" s="75">
        <v>6</v>
      </c>
      <c r="B1403" s="80" t="s">
        <v>96</v>
      </c>
      <c r="C1403" s="77" t="s">
        <v>50</v>
      </c>
      <c r="D1403" s="78">
        <v>11.55</v>
      </c>
      <c r="E1403" s="79"/>
      <c r="F1403" s="79" t="e">
        <f t="shared" si="87"/>
        <v>#REF!</v>
      </c>
      <c r="G1403" s="2"/>
      <c r="H1403" s="37">
        <v>1188</v>
      </c>
      <c r="I1403" s="4">
        <f t="shared" si="88"/>
        <v>0</v>
      </c>
      <c r="J1403" s="25">
        <f t="shared" ref="J1403:J1466" si="89">J1340+2</f>
        <v>45</v>
      </c>
    </row>
    <row r="1404" spans="1:10" ht="34.950000000000003" customHeight="1">
      <c r="A1404" s="75">
        <v>7</v>
      </c>
      <c r="B1404" s="80" t="s">
        <v>97</v>
      </c>
      <c r="C1404" s="77" t="s">
        <v>48</v>
      </c>
      <c r="D1404" s="78">
        <v>1</v>
      </c>
      <c r="E1404" s="79"/>
      <c r="F1404" s="79" t="e">
        <f t="shared" si="87"/>
        <v>#REF!</v>
      </c>
      <c r="G1404" s="2"/>
      <c r="H1404" s="37">
        <v>21157</v>
      </c>
      <c r="I1404" s="4">
        <f t="shared" si="88"/>
        <v>0</v>
      </c>
      <c r="J1404" s="25">
        <f t="shared" si="89"/>
        <v>45</v>
      </c>
    </row>
    <row r="1405" spans="1:10" ht="16.95" customHeight="1">
      <c r="A1405" s="75">
        <v>8</v>
      </c>
      <c r="B1405" s="80" t="s">
        <v>98</v>
      </c>
      <c r="C1405" s="77" t="s">
        <v>50</v>
      </c>
      <c r="D1405" s="78">
        <v>387</v>
      </c>
      <c r="E1405" s="79"/>
      <c r="F1405" s="79" t="e">
        <f t="shared" si="87"/>
        <v>#REF!</v>
      </c>
      <c r="G1405" s="2"/>
      <c r="H1405" s="37">
        <v>705</v>
      </c>
      <c r="I1405" s="4">
        <f t="shared" si="88"/>
        <v>0</v>
      </c>
      <c r="J1405" s="25">
        <f t="shared" si="89"/>
        <v>45</v>
      </c>
    </row>
    <row r="1406" spans="1:10" ht="16.95" customHeight="1">
      <c r="A1406" s="75">
        <v>9</v>
      </c>
      <c r="B1406" s="80" t="s">
        <v>99</v>
      </c>
      <c r="C1406" s="77" t="s">
        <v>50</v>
      </c>
      <c r="D1406" s="78">
        <v>170</v>
      </c>
      <c r="E1406" s="79"/>
      <c r="F1406" s="79" t="e">
        <f t="shared" si="87"/>
        <v>#REF!</v>
      </c>
      <c r="G1406" s="2"/>
      <c r="H1406" s="37">
        <v>617</v>
      </c>
      <c r="I1406" s="4">
        <f t="shared" si="88"/>
        <v>0</v>
      </c>
      <c r="J1406" s="25">
        <f t="shared" si="89"/>
        <v>45</v>
      </c>
    </row>
    <row r="1407" spans="1:10" ht="16.95" customHeight="1">
      <c r="A1407" s="75">
        <v>10</v>
      </c>
      <c r="B1407" s="80" t="s">
        <v>100</v>
      </c>
      <c r="C1407" s="77" t="s">
        <v>66</v>
      </c>
      <c r="D1407" s="78">
        <v>15</v>
      </c>
      <c r="E1407" s="79"/>
      <c r="F1407" s="79" t="e">
        <f t="shared" si="87"/>
        <v>#REF!</v>
      </c>
      <c r="G1407" s="2"/>
      <c r="H1407" s="37">
        <v>617</v>
      </c>
      <c r="I1407" s="4">
        <f t="shared" si="88"/>
        <v>0</v>
      </c>
      <c r="J1407" s="25">
        <f t="shared" si="89"/>
        <v>45</v>
      </c>
    </row>
    <row r="1408" spans="1:10" ht="16.95" customHeight="1">
      <c r="A1408" s="75">
        <v>11</v>
      </c>
      <c r="B1408" s="80" t="s">
        <v>101</v>
      </c>
      <c r="C1408" s="77" t="s">
        <v>50</v>
      </c>
      <c r="D1408" s="78">
        <v>75</v>
      </c>
      <c r="E1408" s="79"/>
      <c r="F1408" s="79" t="e">
        <f t="shared" si="87"/>
        <v>#REF!</v>
      </c>
      <c r="G1408" s="2"/>
      <c r="H1408" s="37">
        <v>1146</v>
      </c>
      <c r="I1408" s="4">
        <f t="shared" si="88"/>
        <v>0</v>
      </c>
      <c r="J1408" s="25">
        <f t="shared" si="89"/>
        <v>45</v>
      </c>
    </row>
    <row r="1409" spans="1:10" ht="16.95" customHeight="1">
      <c r="A1409" s="75">
        <v>12</v>
      </c>
      <c r="B1409" s="80" t="s">
        <v>102</v>
      </c>
      <c r="C1409" s="77" t="s">
        <v>50</v>
      </c>
      <c r="D1409" s="78">
        <v>5</v>
      </c>
      <c r="E1409" s="79"/>
      <c r="F1409" s="79" t="e">
        <f t="shared" si="87"/>
        <v>#REF!</v>
      </c>
      <c r="G1409" s="2"/>
      <c r="H1409" s="37">
        <v>1455</v>
      </c>
      <c r="I1409" s="4">
        <f t="shared" si="88"/>
        <v>0</v>
      </c>
      <c r="J1409" s="25">
        <f t="shared" si="89"/>
        <v>45</v>
      </c>
    </row>
    <row r="1410" spans="1:10" ht="16.95" customHeight="1">
      <c r="A1410" s="75">
        <v>13</v>
      </c>
      <c r="B1410" s="80" t="s">
        <v>103</v>
      </c>
      <c r="C1410" s="77" t="s">
        <v>50</v>
      </c>
      <c r="D1410" s="78">
        <v>217</v>
      </c>
      <c r="E1410" s="79"/>
      <c r="F1410" s="79" t="e">
        <f t="shared" si="87"/>
        <v>#REF!</v>
      </c>
      <c r="G1410" s="2"/>
      <c r="H1410" s="37">
        <v>1410</v>
      </c>
      <c r="I1410" s="4">
        <f t="shared" si="88"/>
        <v>0</v>
      </c>
      <c r="J1410" s="25">
        <f t="shared" si="89"/>
        <v>45</v>
      </c>
    </row>
    <row r="1411" spans="1:10" ht="16.95" customHeight="1">
      <c r="A1411" s="75">
        <v>14</v>
      </c>
      <c r="B1411" s="80" t="s">
        <v>104</v>
      </c>
      <c r="C1411" s="77" t="s">
        <v>49</v>
      </c>
      <c r="D1411" s="78">
        <v>84</v>
      </c>
      <c r="E1411" s="79"/>
      <c r="F1411" s="79" t="e">
        <f t="shared" si="87"/>
        <v>#REF!</v>
      </c>
      <c r="G1411" s="2"/>
      <c r="H1411" s="37">
        <v>529</v>
      </c>
      <c r="I1411" s="4">
        <f t="shared" si="88"/>
        <v>0</v>
      </c>
      <c r="J1411" s="25">
        <f t="shared" si="89"/>
        <v>45</v>
      </c>
    </row>
    <row r="1412" spans="1:10" ht="16.95" customHeight="1">
      <c r="A1412" s="75">
        <v>15</v>
      </c>
      <c r="B1412" s="80" t="s">
        <v>105</v>
      </c>
      <c r="C1412" s="77" t="s">
        <v>50</v>
      </c>
      <c r="D1412" s="78">
        <v>1</v>
      </c>
      <c r="E1412" s="79"/>
      <c r="F1412" s="79" t="e">
        <f t="shared" si="87"/>
        <v>#REF!</v>
      </c>
      <c r="G1412" s="2"/>
      <c r="H1412" s="37">
        <v>1146</v>
      </c>
      <c r="I1412" s="4">
        <f t="shared" si="88"/>
        <v>0</v>
      </c>
      <c r="J1412" s="25">
        <f t="shared" si="89"/>
        <v>45</v>
      </c>
    </row>
    <row r="1413" spans="1:10" ht="34.799999999999997" customHeight="1">
      <c r="A1413" s="75">
        <v>16</v>
      </c>
      <c r="B1413" s="80" t="s">
        <v>106</v>
      </c>
      <c r="C1413" s="77" t="s">
        <v>50</v>
      </c>
      <c r="D1413" s="78">
        <v>314</v>
      </c>
      <c r="E1413" s="79"/>
      <c r="F1413" s="79" t="e">
        <f t="shared" si="87"/>
        <v>#REF!</v>
      </c>
      <c r="G1413" s="2"/>
      <c r="H1413" s="37">
        <v>185</v>
      </c>
      <c r="I1413" s="4">
        <f t="shared" si="88"/>
        <v>0</v>
      </c>
      <c r="J1413" s="25">
        <f t="shared" si="89"/>
        <v>45</v>
      </c>
    </row>
    <row r="1414" spans="1:10" ht="16.95" customHeight="1">
      <c r="A1414" s="75">
        <v>17</v>
      </c>
      <c r="B1414" s="80" t="s">
        <v>107</v>
      </c>
      <c r="C1414" s="77" t="s">
        <v>48</v>
      </c>
      <c r="D1414" s="78">
        <v>1</v>
      </c>
      <c r="E1414" s="79"/>
      <c r="F1414" s="79" t="e">
        <f t="shared" si="87"/>
        <v>#REF!</v>
      </c>
      <c r="G1414" s="2"/>
      <c r="H1414" s="37">
        <v>89918</v>
      </c>
      <c r="I1414" s="4">
        <f t="shared" si="88"/>
        <v>0</v>
      </c>
      <c r="J1414" s="25">
        <f t="shared" si="89"/>
        <v>45</v>
      </c>
    </row>
    <row r="1415" spans="1:10" ht="16.95" customHeight="1">
      <c r="A1415" s="75">
        <v>18</v>
      </c>
      <c r="B1415" s="80" t="s">
        <v>108</v>
      </c>
      <c r="C1415" s="77" t="s">
        <v>120</v>
      </c>
      <c r="D1415" s="78">
        <v>15</v>
      </c>
      <c r="E1415" s="79"/>
      <c r="F1415" s="79" t="e">
        <f t="shared" si="87"/>
        <v>#REF!</v>
      </c>
      <c r="G1415" s="2"/>
      <c r="H1415" s="37">
        <v>661</v>
      </c>
      <c r="I1415" s="4">
        <f t="shared" si="88"/>
        <v>0</v>
      </c>
      <c r="J1415" s="25">
        <f t="shared" si="89"/>
        <v>45</v>
      </c>
    </row>
    <row r="1416" spans="1:10" ht="16.95" customHeight="1">
      <c r="A1416" s="75">
        <v>19</v>
      </c>
      <c r="B1416" s="80" t="s">
        <v>109</v>
      </c>
      <c r="C1416" s="77" t="s">
        <v>50</v>
      </c>
      <c r="D1416" s="78">
        <v>82</v>
      </c>
      <c r="E1416" s="79"/>
      <c r="F1416" s="79" t="e">
        <f t="shared" si="87"/>
        <v>#REF!</v>
      </c>
      <c r="G1416" s="2"/>
      <c r="H1416" s="37">
        <v>2909</v>
      </c>
      <c r="I1416" s="4">
        <f t="shared" si="88"/>
        <v>0</v>
      </c>
      <c r="J1416" s="25">
        <f t="shared" si="89"/>
        <v>45</v>
      </c>
    </row>
    <row r="1417" spans="1:10" ht="16.95" customHeight="1">
      <c r="A1417" s="75">
        <v>20</v>
      </c>
      <c r="B1417" s="80" t="s">
        <v>110</v>
      </c>
      <c r="C1417" s="77" t="s">
        <v>121</v>
      </c>
      <c r="D1417" s="78">
        <v>12</v>
      </c>
      <c r="E1417" s="79"/>
      <c r="F1417" s="79" t="e">
        <f t="shared" si="87"/>
        <v>#REF!</v>
      </c>
      <c r="G1417" s="2"/>
      <c r="H1417" s="37">
        <v>882</v>
      </c>
      <c r="I1417" s="4">
        <f t="shared" si="88"/>
        <v>0</v>
      </c>
      <c r="J1417" s="25">
        <f t="shared" si="89"/>
        <v>45</v>
      </c>
    </row>
    <row r="1418" spans="1:10" ht="16.95" customHeight="1">
      <c r="A1418" s="77">
        <v>21</v>
      </c>
      <c r="B1418" s="80" t="s">
        <v>111</v>
      </c>
      <c r="C1418" s="77" t="s">
        <v>122</v>
      </c>
      <c r="D1418" s="78">
        <v>3</v>
      </c>
      <c r="E1418" s="79"/>
      <c r="F1418" s="79" t="e">
        <f t="shared" si="87"/>
        <v>#REF!</v>
      </c>
      <c r="G1418" s="2"/>
      <c r="H1418" s="38">
        <v>1869</v>
      </c>
      <c r="I1418" s="4">
        <f t="shared" si="88"/>
        <v>0</v>
      </c>
      <c r="J1418" s="25">
        <f t="shared" si="89"/>
        <v>45</v>
      </c>
    </row>
    <row r="1419" spans="1:10" ht="34.950000000000003" customHeight="1">
      <c r="A1419" s="75">
        <v>22</v>
      </c>
      <c r="B1419" s="80" t="s">
        <v>112</v>
      </c>
      <c r="C1419" s="77" t="s">
        <v>48</v>
      </c>
      <c r="D1419" s="78">
        <v>1</v>
      </c>
      <c r="E1419" s="79"/>
      <c r="F1419" s="79" t="e">
        <f t="shared" si="87"/>
        <v>#REF!</v>
      </c>
      <c r="G1419" s="2"/>
      <c r="H1419" s="37">
        <v>82206</v>
      </c>
      <c r="I1419" s="4">
        <f t="shared" si="88"/>
        <v>0</v>
      </c>
      <c r="J1419" s="25">
        <f t="shared" si="89"/>
        <v>45</v>
      </c>
    </row>
    <row r="1420" spans="1:10" ht="16.95" customHeight="1">
      <c r="A1420" s="75">
        <v>23</v>
      </c>
      <c r="B1420" s="80" t="s">
        <v>113</v>
      </c>
      <c r="C1420" s="77" t="s">
        <v>48</v>
      </c>
      <c r="D1420" s="78">
        <v>1</v>
      </c>
      <c r="E1420" s="79"/>
      <c r="F1420" s="79" t="e">
        <f t="shared" si="87"/>
        <v>#REF!</v>
      </c>
      <c r="G1420" s="2"/>
      <c r="H1420" s="37">
        <v>142723</v>
      </c>
      <c r="I1420" s="4">
        <f t="shared" si="88"/>
        <v>0</v>
      </c>
      <c r="J1420" s="25">
        <f t="shared" si="89"/>
        <v>45</v>
      </c>
    </row>
    <row r="1421" spans="1:10" ht="16.95" customHeight="1">
      <c r="A1421" s="75">
        <v>24</v>
      </c>
      <c r="B1421" s="80" t="s">
        <v>114</v>
      </c>
      <c r="C1421" s="77" t="s">
        <v>48</v>
      </c>
      <c r="D1421" s="78">
        <v>1</v>
      </c>
      <c r="E1421" s="79"/>
      <c r="F1421" s="79" t="e">
        <f t="shared" si="87"/>
        <v>#REF!</v>
      </c>
      <c r="G1421" s="2"/>
      <c r="H1421" s="37">
        <v>37290</v>
      </c>
      <c r="I1421" s="4">
        <f t="shared" si="88"/>
        <v>0</v>
      </c>
      <c r="J1421" s="25">
        <f t="shared" si="89"/>
        <v>45</v>
      </c>
    </row>
    <row r="1422" spans="1:10" ht="16.95" customHeight="1">
      <c r="A1422" s="75">
        <v>25</v>
      </c>
      <c r="B1422" s="80" t="s">
        <v>115</v>
      </c>
      <c r="C1422" s="77" t="s">
        <v>48</v>
      </c>
      <c r="D1422" s="78">
        <v>1</v>
      </c>
      <c r="E1422" s="79"/>
      <c r="F1422" s="79" t="e">
        <f t="shared" si="87"/>
        <v>#REF!</v>
      </c>
      <c r="G1422" s="2"/>
      <c r="H1422" s="37">
        <v>99394</v>
      </c>
      <c r="I1422" s="4">
        <f t="shared" si="88"/>
        <v>0</v>
      </c>
      <c r="J1422" s="25">
        <f t="shared" si="89"/>
        <v>45</v>
      </c>
    </row>
    <row r="1423" spans="1:10" ht="34.950000000000003" customHeight="1">
      <c r="A1423" s="75">
        <v>26</v>
      </c>
      <c r="B1423" s="80" t="s">
        <v>116</v>
      </c>
      <c r="C1423" s="77" t="s">
        <v>48</v>
      </c>
      <c r="D1423" s="78">
        <v>1</v>
      </c>
      <c r="E1423" s="79"/>
      <c r="F1423" s="79" t="e">
        <f t="shared" si="87"/>
        <v>#REF!</v>
      </c>
      <c r="G1423" s="2"/>
      <c r="H1423" s="37">
        <v>21334</v>
      </c>
      <c r="I1423" s="4">
        <f t="shared" si="88"/>
        <v>0</v>
      </c>
      <c r="J1423" s="25">
        <f t="shared" si="89"/>
        <v>45</v>
      </c>
    </row>
    <row r="1424" spans="1:10" ht="16.95" customHeight="1">
      <c r="A1424" s="75">
        <v>27</v>
      </c>
      <c r="B1424" s="80" t="s">
        <v>117</v>
      </c>
      <c r="C1424" s="77" t="s">
        <v>48</v>
      </c>
      <c r="D1424" s="78">
        <v>1</v>
      </c>
      <c r="E1424" s="79"/>
      <c r="F1424" s="79" t="e">
        <f t="shared" si="87"/>
        <v>#REF!</v>
      </c>
      <c r="G1424" s="2"/>
      <c r="H1424" s="37">
        <v>29620</v>
      </c>
      <c r="I1424" s="4">
        <f t="shared" si="88"/>
        <v>0</v>
      </c>
      <c r="J1424" s="25">
        <f t="shared" si="89"/>
        <v>45</v>
      </c>
    </row>
    <row r="1425" spans="1:10" ht="16.95" customHeight="1">
      <c r="A1425" s="75">
        <v>28</v>
      </c>
      <c r="B1425" s="80" t="s">
        <v>118</v>
      </c>
      <c r="C1425" s="77" t="s">
        <v>48</v>
      </c>
      <c r="D1425" s="78">
        <v>1</v>
      </c>
      <c r="E1425" s="79"/>
      <c r="F1425" s="79" t="e">
        <f t="shared" si="87"/>
        <v>#REF!</v>
      </c>
      <c r="G1425" s="2"/>
      <c r="H1425" s="37">
        <v>18506</v>
      </c>
      <c r="I1425" s="4">
        <f t="shared" si="88"/>
        <v>0</v>
      </c>
      <c r="J1425" s="25">
        <f t="shared" si="89"/>
        <v>45</v>
      </c>
    </row>
    <row r="1426" spans="1:10" ht="16.95" customHeight="1">
      <c r="A1426" s="75">
        <v>29</v>
      </c>
      <c r="B1426" s="80" t="s">
        <v>119</v>
      </c>
      <c r="C1426" s="77" t="s">
        <v>48</v>
      </c>
      <c r="D1426" s="78">
        <v>1</v>
      </c>
      <c r="E1426" s="79"/>
      <c r="F1426" s="79" t="e">
        <f t="shared" si="87"/>
        <v>#REF!</v>
      </c>
      <c r="G1426" s="2"/>
      <c r="H1426" s="37">
        <v>34381</v>
      </c>
      <c r="I1426" s="4">
        <f t="shared" si="88"/>
        <v>0</v>
      </c>
      <c r="J1426" s="25">
        <f t="shared" si="89"/>
        <v>45</v>
      </c>
    </row>
    <row r="1427" spans="1:10" ht="16.95" customHeight="1">
      <c r="A1427" s="75" t="s">
        <v>79</v>
      </c>
      <c r="B1427" s="80" t="s">
        <v>80</v>
      </c>
      <c r="C1427" s="77" t="s">
        <v>48</v>
      </c>
      <c r="D1427" s="78">
        <v>1</v>
      </c>
      <c r="E1427" s="79">
        <f t="shared" ref="E1427:E1430" si="90">1/120</f>
        <v>8.3333333333333332E-3</v>
      </c>
      <c r="F1427" s="79" t="e">
        <f t="shared" si="87"/>
        <v>#REF!</v>
      </c>
      <c r="G1427" s="2"/>
      <c r="H1427" s="37">
        <v>21395</v>
      </c>
      <c r="I1427" s="4">
        <f t="shared" si="88"/>
        <v>178.29166666666666</v>
      </c>
      <c r="J1427" s="25">
        <f t="shared" si="89"/>
        <v>45</v>
      </c>
    </row>
    <row r="1428" spans="1:10" ht="16.95" customHeight="1">
      <c r="A1428" s="75" t="s">
        <v>81</v>
      </c>
      <c r="B1428" s="80" t="s">
        <v>82</v>
      </c>
      <c r="C1428" s="77" t="s">
        <v>48</v>
      </c>
      <c r="D1428" s="78">
        <v>1</v>
      </c>
      <c r="E1428" s="79">
        <f t="shared" si="90"/>
        <v>8.3333333333333332E-3</v>
      </c>
      <c r="F1428" s="79" t="e">
        <f t="shared" si="87"/>
        <v>#REF!</v>
      </c>
      <c r="G1428" s="2"/>
      <c r="H1428" s="37">
        <v>21395</v>
      </c>
      <c r="I1428" s="4">
        <f t="shared" si="88"/>
        <v>178.29166666666666</v>
      </c>
      <c r="J1428" s="25">
        <f t="shared" si="89"/>
        <v>45</v>
      </c>
    </row>
    <row r="1429" spans="1:10" ht="16.95" customHeight="1">
      <c r="A1429" s="75" t="s">
        <v>83</v>
      </c>
      <c r="B1429" s="80" t="s">
        <v>84</v>
      </c>
      <c r="C1429" s="77" t="s">
        <v>48</v>
      </c>
      <c r="D1429" s="78">
        <v>1</v>
      </c>
      <c r="E1429" s="79">
        <f t="shared" si="90"/>
        <v>8.3333333333333332E-3</v>
      </c>
      <c r="F1429" s="79" t="e">
        <f t="shared" si="87"/>
        <v>#REF!</v>
      </c>
      <c r="G1429" s="2"/>
      <c r="H1429" s="37">
        <v>149765</v>
      </c>
      <c r="I1429" s="4">
        <f t="shared" si="88"/>
        <v>1248.0416666666667</v>
      </c>
      <c r="J1429" s="25">
        <f t="shared" si="89"/>
        <v>45</v>
      </c>
    </row>
    <row r="1430" spans="1:10" ht="16.95" customHeight="1">
      <c r="A1430" s="75" t="s">
        <v>85</v>
      </c>
      <c r="B1430" s="80" t="s">
        <v>86</v>
      </c>
      <c r="C1430" s="77" t="s">
        <v>48</v>
      </c>
      <c r="D1430" s="78">
        <v>1</v>
      </c>
      <c r="E1430" s="79">
        <f t="shared" si="90"/>
        <v>8.3333333333333332E-3</v>
      </c>
      <c r="F1430" s="79" t="e">
        <f t="shared" si="87"/>
        <v>#REF!</v>
      </c>
      <c r="G1430" s="2"/>
      <c r="H1430" s="37">
        <v>6996</v>
      </c>
      <c r="I1430" s="4">
        <f t="shared" si="88"/>
        <v>58.3</v>
      </c>
      <c r="J1430" s="25">
        <f t="shared" si="89"/>
        <v>45</v>
      </c>
    </row>
    <row r="1431" spans="1:10" ht="16.95" customHeight="1">
      <c r="A1431" s="75" t="s">
        <v>87</v>
      </c>
      <c r="B1431" s="80" t="s">
        <v>88</v>
      </c>
      <c r="C1431" s="77" t="s">
        <v>48</v>
      </c>
      <c r="D1431" s="78">
        <v>1</v>
      </c>
      <c r="E1431" s="79">
        <f>1/120</f>
        <v>8.3333333333333332E-3</v>
      </c>
      <c r="F1431" s="79" t="e">
        <f t="shared" si="87"/>
        <v>#REF!</v>
      </c>
      <c r="G1431" s="2"/>
      <c r="H1431" s="37">
        <v>116952</v>
      </c>
      <c r="I1431" s="4">
        <f t="shared" si="88"/>
        <v>974.6</v>
      </c>
      <c r="J1431" s="25">
        <f t="shared" si="89"/>
        <v>45</v>
      </c>
    </row>
    <row r="1432" spans="1:10" ht="16.95" customHeight="1">
      <c r="A1432" s="95" t="s">
        <v>23</v>
      </c>
      <c r="B1432" s="95"/>
      <c r="C1432" s="50"/>
      <c r="D1432" s="50"/>
      <c r="E1432" s="50"/>
      <c r="F1432" s="50"/>
      <c r="G1432" s="50"/>
      <c r="H1432" s="3" t="s">
        <v>24</v>
      </c>
      <c r="I1432" s="5">
        <f>SUM(I1397:I1431)</f>
        <v>2637.5250000000001</v>
      </c>
      <c r="J1432" s="25">
        <f t="shared" si="89"/>
        <v>45</v>
      </c>
    </row>
    <row r="1433" spans="1:10" ht="16.95" customHeight="1">
      <c r="A1433" s="96" t="s">
        <v>25</v>
      </c>
      <c r="B1433" s="96"/>
      <c r="C1433" s="50"/>
      <c r="D1433" s="50"/>
      <c r="E1433" s="50"/>
      <c r="F1433" s="50"/>
      <c r="G1433" s="50"/>
      <c r="J1433" s="25">
        <f t="shared" si="89"/>
        <v>45</v>
      </c>
    </row>
    <row r="1434" spans="1:10" ht="16.95" customHeight="1">
      <c r="A1434" s="96" t="s">
        <v>26</v>
      </c>
      <c r="B1434" s="96"/>
      <c r="C1434" s="50"/>
      <c r="D1434" s="50"/>
      <c r="E1434" s="50"/>
      <c r="F1434" s="50"/>
      <c r="G1434" s="50"/>
      <c r="J1434" s="25">
        <f t="shared" si="89"/>
        <v>45</v>
      </c>
    </row>
    <row r="1435" spans="1:10" ht="16.95" customHeight="1">
      <c r="A1435" s="95" t="s">
        <v>27</v>
      </c>
      <c r="B1435" s="95"/>
      <c r="C1435" s="95"/>
      <c r="D1435" s="95"/>
      <c r="E1435" s="95"/>
      <c r="F1435" s="95"/>
      <c r="G1435" s="95"/>
      <c r="J1435" s="25">
        <f t="shared" si="89"/>
        <v>45</v>
      </c>
    </row>
    <row r="1436" spans="1:10" ht="16.95" customHeight="1">
      <c r="A1436" s="94" t="s">
        <v>28</v>
      </c>
      <c r="B1436" s="94"/>
      <c r="C1436" s="51" t="s">
        <v>29</v>
      </c>
      <c r="D1436" s="51" t="s">
        <v>30</v>
      </c>
      <c r="E1436" s="51" t="s">
        <v>18</v>
      </c>
      <c r="F1436" s="51" t="s">
        <v>31</v>
      </c>
      <c r="G1436" s="51" t="s">
        <v>20</v>
      </c>
      <c r="J1436" s="25">
        <f t="shared" si="89"/>
        <v>45</v>
      </c>
    </row>
    <row r="1437" spans="1:10" ht="16.95" customHeight="1">
      <c r="A1437" s="96"/>
      <c r="B1437" s="96"/>
      <c r="C1437" s="50"/>
      <c r="D1437" s="50"/>
      <c r="E1437" s="50"/>
      <c r="F1437" s="50"/>
      <c r="G1437" s="51"/>
      <c r="J1437" s="25">
        <f t="shared" si="89"/>
        <v>45</v>
      </c>
    </row>
    <row r="1438" spans="1:10" ht="16.95" customHeight="1">
      <c r="A1438" s="97"/>
      <c r="B1438" s="97"/>
      <c r="C1438" s="50"/>
      <c r="D1438" s="50"/>
      <c r="E1438" s="50"/>
      <c r="F1438" s="51"/>
      <c r="G1438" s="51"/>
      <c r="J1438" s="25">
        <f t="shared" si="89"/>
        <v>45</v>
      </c>
    </row>
    <row r="1439" spans="1:10" ht="16.95" customHeight="1">
      <c r="A1439" s="95" t="s">
        <v>32</v>
      </c>
      <c r="B1439" s="95"/>
      <c r="C1439" s="95"/>
      <c r="D1439" s="95"/>
      <c r="E1439" s="95"/>
      <c r="F1439" s="95"/>
      <c r="G1439" s="95"/>
      <c r="J1439" s="25">
        <f t="shared" si="89"/>
        <v>46</v>
      </c>
    </row>
    <row r="1440" spans="1:10" ht="16.95" customHeight="1">
      <c r="A1440" s="51" t="s">
        <v>33</v>
      </c>
      <c r="B1440" s="51" t="s">
        <v>34</v>
      </c>
      <c r="C1440" s="94" t="s">
        <v>35</v>
      </c>
      <c r="D1440" s="94"/>
      <c r="E1440" s="51" t="s">
        <v>36</v>
      </c>
      <c r="F1440" s="51" t="s">
        <v>37</v>
      </c>
      <c r="G1440" s="51" t="s">
        <v>38</v>
      </c>
      <c r="J1440" s="25">
        <f t="shared" si="89"/>
        <v>46</v>
      </c>
    </row>
    <row r="1441" spans="1:10" ht="16.95" customHeight="1">
      <c r="A1441" s="51" t="s">
        <v>39</v>
      </c>
      <c r="B1441" s="6"/>
      <c r="C1441" s="94" t="e">
        <f>B1441+C1378</f>
        <v>#REF!</v>
      </c>
      <c r="D1441" s="94"/>
      <c r="E1441" s="51"/>
      <c r="F1441" s="24"/>
      <c r="G1441" s="24"/>
      <c r="J1441" s="25">
        <f t="shared" si="89"/>
        <v>46</v>
      </c>
    </row>
    <row r="1442" spans="1:10" ht="16.95" customHeight="1">
      <c r="A1442" s="51" t="s">
        <v>40</v>
      </c>
      <c r="B1442" s="6"/>
      <c r="C1442" s="94" t="e">
        <f>B1442+C1379</f>
        <v>#REF!</v>
      </c>
      <c r="D1442" s="94"/>
      <c r="E1442" s="51"/>
      <c r="F1442" s="24"/>
      <c r="G1442" s="24"/>
      <c r="J1442" s="25">
        <f t="shared" si="89"/>
        <v>46</v>
      </c>
    </row>
    <row r="1443" spans="1:10" ht="36.6" customHeight="1">
      <c r="A1443" s="95" t="s">
        <v>41</v>
      </c>
      <c r="B1443" s="95"/>
      <c r="C1443" s="95"/>
      <c r="D1443" s="95"/>
      <c r="E1443" s="95"/>
      <c r="F1443" s="95"/>
      <c r="G1443" s="95"/>
      <c r="J1443" s="25">
        <f t="shared" si="89"/>
        <v>46</v>
      </c>
    </row>
    <row r="1444" spans="1:10" ht="90" customHeight="1">
      <c r="A1444" s="92" t="s">
        <v>42</v>
      </c>
      <c r="B1444" s="92"/>
      <c r="C1444" s="92"/>
      <c r="D1444" s="92"/>
      <c r="E1444" s="92"/>
      <c r="F1444" s="92"/>
      <c r="G1444" s="92"/>
      <c r="J1444" s="25">
        <f t="shared" si="89"/>
        <v>46</v>
      </c>
    </row>
    <row r="1445" spans="1:10" ht="16.95" customHeight="1">
      <c r="A1445" s="95" t="s">
        <v>43</v>
      </c>
      <c r="B1445" s="95"/>
      <c r="C1445" s="95"/>
      <c r="D1445" s="95"/>
      <c r="E1445" s="95"/>
      <c r="F1445" s="95"/>
      <c r="G1445" s="95"/>
      <c r="J1445" s="25">
        <f t="shared" si="89"/>
        <v>46</v>
      </c>
    </row>
    <row r="1446" spans="1:10" ht="16.95" customHeight="1">
      <c r="A1446" s="95" t="s">
        <v>44</v>
      </c>
      <c r="B1446" s="95"/>
      <c r="C1446" s="95"/>
      <c r="D1446" s="95"/>
      <c r="E1446" s="95"/>
      <c r="F1446" s="95"/>
      <c r="G1446" s="95"/>
      <c r="J1446" s="25">
        <f t="shared" si="89"/>
        <v>46</v>
      </c>
    </row>
    <row r="1447" spans="1:10" ht="16.95" customHeight="1">
      <c r="A1447" s="91" t="s">
        <v>64</v>
      </c>
      <c r="B1447" s="91"/>
      <c r="C1447" s="91"/>
      <c r="D1447" s="91"/>
      <c r="E1447" s="91"/>
      <c r="F1447" s="91"/>
      <c r="G1447" s="91"/>
      <c r="J1447" s="25">
        <f t="shared" si="89"/>
        <v>46</v>
      </c>
    </row>
    <row r="1448" spans="1:10" ht="120.6" customHeight="1">
      <c r="A1448" s="92" t="s">
        <v>45</v>
      </c>
      <c r="B1448" s="92"/>
      <c r="C1448" s="92"/>
      <c r="D1448" s="92"/>
      <c r="E1448" s="92"/>
      <c r="F1448" s="92"/>
      <c r="G1448" s="92"/>
      <c r="J1448" s="25">
        <f t="shared" si="89"/>
        <v>46</v>
      </c>
    </row>
    <row r="1449" spans="1:10" ht="140.4" customHeight="1">
      <c r="A1449" s="93" t="s">
        <v>46</v>
      </c>
      <c r="B1449" s="93"/>
      <c r="C1449" s="93"/>
      <c r="D1449" s="93"/>
      <c r="E1449" s="93"/>
      <c r="F1449" s="93"/>
      <c r="G1449" s="93"/>
      <c r="J1449" s="25">
        <f t="shared" si="89"/>
        <v>46</v>
      </c>
    </row>
    <row r="1450" spans="1:10" ht="37.200000000000003" customHeight="1">
      <c r="A1450" s="103" t="s">
        <v>0</v>
      </c>
      <c r="B1450" s="103"/>
      <c r="C1450" s="103"/>
      <c r="D1450" s="103"/>
      <c r="E1450" s="103"/>
      <c r="F1450" s="103"/>
      <c r="G1450" s="103"/>
      <c r="J1450" s="25">
        <f t="shared" si="89"/>
        <v>47</v>
      </c>
    </row>
    <row r="1451" spans="1:10" ht="16.95" customHeight="1">
      <c r="A1451" s="1" t="s">
        <v>1</v>
      </c>
      <c r="B1451" s="104">
        <f>B1388+1</f>
        <v>25</v>
      </c>
      <c r="C1451" s="104"/>
      <c r="D1451" s="104"/>
      <c r="E1451" s="104"/>
      <c r="F1451" s="104"/>
      <c r="G1451" s="104"/>
      <c r="J1451" s="25">
        <f t="shared" si="89"/>
        <v>47</v>
      </c>
    </row>
    <row r="1452" spans="1:10" ht="16.95" customHeight="1">
      <c r="A1452" s="1" t="s">
        <v>2</v>
      </c>
      <c r="B1452" s="105" t="s">
        <v>63</v>
      </c>
      <c r="C1452" s="105"/>
      <c r="D1452" s="105"/>
      <c r="E1452" s="106">
        <f>E1389+1</f>
        <v>46227</v>
      </c>
      <c r="F1452" s="106"/>
      <c r="G1452" s="106"/>
      <c r="J1452" s="25">
        <f t="shared" si="89"/>
        <v>47</v>
      </c>
    </row>
    <row r="1453" spans="1:10" ht="16.95" customHeight="1">
      <c r="A1453" s="53" t="s">
        <v>3</v>
      </c>
      <c r="B1453" s="2" t="s">
        <v>67</v>
      </c>
      <c r="C1453" s="98" t="s">
        <v>4</v>
      </c>
      <c r="D1453" s="98"/>
      <c r="E1453" s="98" t="s">
        <v>47</v>
      </c>
      <c r="F1453" s="98"/>
      <c r="G1453" s="98"/>
      <c r="J1453" s="25">
        <f t="shared" si="89"/>
        <v>47</v>
      </c>
    </row>
    <row r="1454" spans="1:10" ht="16.95" customHeight="1">
      <c r="A1454" s="53" t="s">
        <v>5</v>
      </c>
      <c r="B1454" s="54">
        <v>120</v>
      </c>
      <c r="C1454" s="98" t="s">
        <v>6</v>
      </c>
      <c r="D1454" s="98"/>
      <c r="E1454" s="98" t="s">
        <v>123</v>
      </c>
      <c r="F1454" s="98"/>
      <c r="G1454" s="98"/>
      <c r="J1454" s="25">
        <f t="shared" si="89"/>
        <v>47</v>
      </c>
    </row>
    <row r="1455" spans="1:10" ht="16.95" customHeight="1">
      <c r="A1455" s="53" t="s">
        <v>7</v>
      </c>
      <c r="B1455" s="54">
        <f>B1451</f>
        <v>25</v>
      </c>
      <c r="C1455" s="100" t="s">
        <v>8</v>
      </c>
      <c r="D1455" s="100"/>
      <c r="E1455" s="101">
        <f>B1454-B1455</f>
        <v>95</v>
      </c>
      <c r="F1455" s="101"/>
      <c r="G1455" s="101"/>
      <c r="J1455" s="25">
        <f t="shared" si="89"/>
        <v>47</v>
      </c>
    </row>
    <row r="1456" spans="1:10" ht="16.95" customHeight="1">
      <c r="A1456" s="53" t="s">
        <v>9</v>
      </c>
      <c r="B1456" s="55">
        <v>46204</v>
      </c>
      <c r="C1456" s="98" t="s">
        <v>10</v>
      </c>
      <c r="D1456" s="98"/>
      <c r="E1456" s="102">
        <f>B1456+B1454-1</f>
        <v>46323</v>
      </c>
      <c r="F1456" s="102"/>
      <c r="G1456" s="102"/>
      <c r="J1456" s="25">
        <f t="shared" si="89"/>
        <v>47</v>
      </c>
    </row>
    <row r="1457" spans="1:10" ht="16.95" customHeight="1">
      <c r="A1457" s="53" t="s">
        <v>11</v>
      </c>
      <c r="B1457" s="56" t="e">
        <f>HLOOKUP(B1451,進度表!$Q$2:$Z$3,2,1)+B1394</f>
        <v>#REF!</v>
      </c>
      <c r="C1457" s="98" t="s">
        <v>12</v>
      </c>
      <c r="D1457" s="98"/>
      <c r="E1457" s="99" t="e">
        <f>I1495/I1457+E1394</f>
        <v>#REF!</v>
      </c>
      <c r="F1457" s="99"/>
      <c r="G1457" s="99"/>
      <c r="H1457" s="3" t="s">
        <v>62</v>
      </c>
      <c r="I1457" s="1">
        <v>2456000</v>
      </c>
      <c r="J1457" s="25">
        <f t="shared" si="89"/>
        <v>47</v>
      </c>
    </row>
    <row r="1458" spans="1:10" ht="16.95" customHeight="1">
      <c r="A1458" s="98" t="s">
        <v>13</v>
      </c>
      <c r="B1458" s="98"/>
      <c r="C1458" s="98"/>
      <c r="D1458" s="98"/>
      <c r="E1458" s="98"/>
      <c r="F1458" s="98"/>
      <c r="G1458" s="98"/>
      <c r="J1458" s="25">
        <f t="shared" si="89"/>
        <v>47</v>
      </c>
    </row>
    <row r="1459" spans="1:10" ht="16.95" customHeight="1">
      <c r="A1459" s="52" t="s">
        <v>14</v>
      </c>
      <c r="B1459" s="52" t="s">
        <v>15</v>
      </c>
      <c r="C1459" s="52" t="s">
        <v>16</v>
      </c>
      <c r="D1459" s="52" t="s">
        <v>17</v>
      </c>
      <c r="E1459" s="52" t="s">
        <v>18</v>
      </c>
      <c r="F1459" s="52" t="s">
        <v>19</v>
      </c>
      <c r="G1459" s="52" t="s">
        <v>20</v>
      </c>
      <c r="H1459" s="3" t="s">
        <v>21</v>
      </c>
      <c r="I1459" s="3" t="s">
        <v>22</v>
      </c>
      <c r="J1459" s="25">
        <f t="shared" si="89"/>
        <v>47</v>
      </c>
    </row>
    <row r="1460" spans="1:10" ht="16.95" customHeight="1">
      <c r="A1460" s="75" t="s">
        <v>65</v>
      </c>
      <c r="B1460" s="76" t="s">
        <v>69</v>
      </c>
      <c r="C1460" s="77"/>
      <c r="D1460" s="78"/>
      <c r="E1460" s="79"/>
      <c r="F1460" s="79"/>
      <c r="G1460" s="2"/>
      <c r="H1460" s="37"/>
      <c r="I1460" s="4"/>
      <c r="J1460" s="25">
        <f t="shared" si="89"/>
        <v>47</v>
      </c>
    </row>
    <row r="1461" spans="1:10" ht="34.950000000000003" customHeight="1">
      <c r="A1461" s="75">
        <v>1</v>
      </c>
      <c r="B1461" s="80" t="s">
        <v>91</v>
      </c>
      <c r="C1461" s="77" t="s">
        <v>48</v>
      </c>
      <c r="D1461" s="78">
        <v>1</v>
      </c>
      <c r="E1461" s="79"/>
      <c r="F1461" s="79" t="e">
        <f t="shared" ref="F1461:F1494" si="91">E1461+F1398</f>
        <v>#REF!</v>
      </c>
      <c r="G1461" s="2"/>
      <c r="H1461" s="37">
        <v>10508</v>
      </c>
      <c r="I1461" s="4">
        <f>H1461*E1461</f>
        <v>0</v>
      </c>
      <c r="J1461" s="25">
        <f t="shared" si="89"/>
        <v>47</v>
      </c>
    </row>
    <row r="1462" spans="1:10" ht="34.799999999999997" customHeight="1">
      <c r="A1462" s="75">
        <v>2</v>
      </c>
      <c r="B1462" s="80" t="s">
        <v>92</v>
      </c>
      <c r="C1462" s="77" t="s">
        <v>48</v>
      </c>
      <c r="D1462" s="78">
        <v>1</v>
      </c>
      <c r="E1462" s="79"/>
      <c r="F1462" s="79" t="e">
        <f t="shared" si="91"/>
        <v>#REF!</v>
      </c>
      <c r="G1462" s="2"/>
      <c r="H1462" s="37">
        <v>13223</v>
      </c>
      <c r="I1462" s="4">
        <f>H1462*E1462</f>
        <v>0</v>
      </c>
      <c r="J1462" s="25">
        <f t="shared" si="89"/>
        <v>47</v>
      </c>
    </row>
    <row r="1463" spans="1:10" ht="53.4" customHeight="1">
      <c r="A1463" s="75">
        <v>3</v>
      </c>
      <c r="B1463" s="80" t="s">
        <v>93</v>
      </c>
      <c r="C1463" s="77" t="s">
        <v>48</v>
      </c>
      <c r="D1463" s="78">
        <v>1</v>
      </c>
      <c r="E1463" s="79"/>
      <c r="F1463" s="79" t="e">
        <f t="shared" si="91"/>
        <v>#REF!</v>
      </c>
      <c r="G1463" s="2"/>
      <c r="H1463" s="37">
        <v>310497</v>
      </c>
      <c r="I1463" s="4">
        <f t="shared" ref="I1463:I1494" si="92">H1463*E1463</f>
        <v>0</v>
      </c>
      <c r="J1463" s="25">
        <f t="shared" si="89"/>
        <v>47</v>
      </c>
    </row>
    <row r="1464" spans="1:10" ht="16.95" customHeight="1">
      <c r="A1464" s="75">
        <v>4</v>
      </c>
      <c r="B1464" s="80" t="s">
        <v>94</v>
      </c>
      <c r="C1464" s="77" t="s">
        <v>48</v>
      </c>
      <c r="D1464" s="78">
        <v>1</v>
      </c>
      <c r="E1464" s="79"/>
      <c r="F1464" s="79" t="e">
        <f t="shared" si="91"/>
        <v>#REF!</v>
      </c>
      <c r="G1464" s="2"/>
      <c r="H1464" s="37">
        <v>8375</v>
      </c>
      <c r="I1464" s="4">
        <f t="shared" si="92"/>
        <v>0</v>
      </c>
      <c r="J1464" s="25">
        <f t="shared" si="89"/>
        <v>47</v>
      </c>
    </row>
    <row r="1465" spans="1:10" ht="16.95" customHeight="1">
      <c r="A1465" s="75">
        <v>5</v>
      </c>
      <c r="B1465" s="80" t="s">
        <v>95</v>
      </c>
      <c r="C1465" s="77" t="s">
        <v>48</v>
      </c>
      <c r="D1465" s="78">
        <v>1</v>
      </c>
      <c r="E1465" s="79"/>
      <c r="F1465" s="79" t="e">
        <f t="shared" si="91"/>
        <v>#REF!</v>
      </c>
      <c r="G1465" s="2"/>
      <c r="H1465" s="37">
        <v>51618</v>
      </c>
      <c r="I1465" s="4">
        <f t="shared" si="92"/>
        <v>0</v>
      </c>
      <c r="J1465" s="25">
        <f t="shared" si="89"/>
        <v>47</v>
      </c>
    </row>
    <row r="1466" spans="1:10" ht="16.95" customHeight="1">
      <c r="A1466" s="75">
        <v>6</v>
      </c>
      <c r="B1466" s="80" t="s">
        <v>96</v>
      </c>
      <c r="C1466" s="77" t="s">
        <v>50</v>
      </c>
      <c r="D1466" s="78">
        <v>11.55</v>
      </c>
      <c r="E1466" s="79"/>
      <c r="F1466" s="79" t="e">
        <f t="shared" si="91"/>
        <v>#REF!</v>
      </c>
      <c r="G1466" s="2"/>
      <c r="H1466" s="37">
        <v>1188</v>
      </c>
      <c r="I1466" s="4">
        <f t="shared" si="92"/>
        <v>0</v>
      </c>
      <c r="J1466" s="25">
        <f t="shared" si="89"/>
        <v>47</v>
      </c>
    </row>
    <row r="1467" spans="1:10" ht="34.950000000000003" customHeight="1">
      <c r="A1467" s="75">
        <v>7</v>
      </c>
      <c r="B1467" s="80" t="s">
        <v>97</v>
      </c>
      <c r="C1467" s="77" t="s">
        <v>48</v>
      </c>
      <c r="D1467" s="78">
        <v>1</v>
      </c>
      <c r="E1467" s="79"/>
      <c r="F1467" s="79" t="e">
        <f t="shared" si="91"/>
        <v>#REF!</v>
      </c>
      <c r="G1467" s="2"/>
      <c r="H1467" s="37">
        <v>21157</v>
      </c>
      <c r="I1467" s="4">
        <f t="shared" si="92"/>
        <v>0</v>
      </c>
      <c r="J1467" s="25">
        <f t="shared" ref="J1467:J1530" si="93">J1404+2</f>
        <v>47</v>
      </c>
    </row>
    <row r="1468" spans="1:10" ht="16.95" customHeight="1">
      <c r="A1468" s="75">
        <v>8</v>
      </c>
      <c r="B1468" s="80" t="s">
        <v>98</v>
      </c>
      <c r="C1468" s="77" t="s">
        <v>50</v>
      </c>
      <c r="D1468" s="78">
        <v>387</v>
      </c>
      <c r="E1468" s="79"/>
      <c r="F1468" s="79" t="e">
        <f t="shared" si="91"/>
        <v>#REF!</v>
      </c>
      <c r="G1468" s="2"/>
      <c r="H1468" s="37">
        <v>705</v>
      </c>
      <c r="I1468" s="4">
        <f t="shared" si="92"/>
        <v>0</v>
      </c>
      <c r="J1468" s="25">
        <f t="shared" si="93"/>
        <v>47</v>
      </c>
    </row>
    <row r="1469" spans="1:10" ht="16.95" customHeight="1">
      <c r="A1469" s="75">
        <v>9</v>
      </c>
      <c r="B1469" s="80" t="s">
        <v>99</v>
      </c>
      <c r="C1469" s="77" t="s">
        <v>50</v>
      </c>
      <c r="D1469" s="78">
        <v>170</v>
      </c>
      <c r="E1469" s="79"/>
      <c r="F1469" s="79" t="e">
        <f t="shared" si="91"/>
        <v>#REF!</v>
      </c>
      <c r="G1469" s="2"/>
      <c r="H1469" s="37">
        <v>617</v>
      </c>
      <c r="I1469" s="4">
        <f t="shared" si="92"/>
        <v>0</v>
      </c>
      <c r="J1469" s="25">
        <f t="shared" si="93"/>
        <v>47</v>
      </c>
    </row>
    <row r="1470" spans="1:10" ht="16.95" customHeight="1">
      <c r="A1470" s="75">
        <v>10</v>
      </c>
      <c r="B1470" s="80" t="s">
        <v>100</v>
      </c>
      <c r="C1470" s="77" t="s">
        <v>66</v>
      </c>
      <c r="D1470" s="78">
        <v>15</v>
      </c>
      <c r="E1470" s="79"/>
      <c r="F1470" s="79" t="e">
        <f t="shared" si="91"/>
        <v>#REF!</v>
      </c>
      <c r="G1470" s="2"/>
      <c r="H1470" s="37">
        <v>617</v>
      </c>
      <c r="I1470" s="4">
        <f t="shared" si="92"/>
        <v>0</v>
      </c>
      <c r="J1470" s="25">
        <f t="shared" si="93"/>
        <v>47</v>
      </c>
    </row>
    <row r="1471" spans="1:10" ht="16.95" customHeight="1">
      <c r="A1471" s="75">
        <v>11</v>
      </c>
      <c r="B1471" s="80" t="s">
        <v>101</v>
      </c>
      <c r="C1471" s="77" t="s">
        <v>50</v>
      </c>
      <c r="D1471" s="78">
        <v>75</v>
      </c>
      <c r="E1471" s="79"/>
      <c r="F1471" s="79" t="e">
        <f t="shared" si="91"/>
        <v>#REF!</v>
      </c>
      <c r="G1471" s="2"/>
      <c r="H1471" s="37">
        <v>1146</v>
      </c>
      <c r="I1471" s="4">
        <f t="shared" si="92"/>
        <v>0</v>
      </c>
      <c r="J1471" s="25">
        <f t="shared" si="93"/>
        <v>47</v>
      </c>
    </row>
    <row r="1472" spans="1:10" ht="16.95" customHeight="1">
      <c r="A1472" s="75">
        <v>12</v>
      </c>
      <c r="B1472" s="80" t="s">
        <v>102</v>
      </c>
      <c r="C1472" s="77" t="s">
        <v>50</v>
      </c>
      <c r="D1472" s="78">
        <v>5</v>
      </c>
      <c r="E1472" s="79"/>
      <c r="F1472" s="79" t="e">
        <f t="shared" si="91"/>
        <v>#REF!</v>
      </c>
      <c r="G1472" s="2"/>
      <c r="H1472" s="37">
        <v>1455</v>
      </c>
      <c r="I1472" s="4">
        <f t="shared" si="92"/>
        <v>0</v>
      </c>
      <c r="J1472" s="25">
        <f t="shared" si="93"/>
        <v>47</v>
      </c>
    </row>
    <row r="1473" spans="1:10" ht="16.95" customHeight="1">
      <c r="A1473" s="75">
        <v>13</v>
      </c>
      <c r="B1473" s="80" t="s">
        <v>103</v>
      </c>
      <c r="C1473" s="77" t="s">
        <v>50</v>
      </c>
      <c r="D1473" s="78">
        <v>217</v>
      </c>
      <c r="E1473" s="79"/>
      <c r="F1473" s="79" t="e">
        <f t="shared" si="91"/>
        <v>#REF!</v>
      </c>
      <c r="G1473" s="2"/>
      <c r="H1473" s="37">
        <v>1410</v>
      </c>
      <c r="I1473" s="4">
        <f t="shared" si="92"/>
        <v>0</v>
      </c>
      <c r="J1473" s="25">
        <f t="shared" si="93"/>
        <v>47</v>
      </c>
    </row>
    <row r="1474" spans="1:10" ht="16.95" customHeight="1">
      <c r="A1474" s="75">
        <v>14</v>
      </c>
      <c r="B1474" s="80" t="s">
        <v>104</v>
      </c>
      <c r="C1474" s="77" t="s">
        <v>49</v>
      </c>
      <c r="D1474" s="78">
        <v>84</v>
      </c>
      <c r="E1474" s="79"/>
      <c r="F1474" s="79" t="e">
        <f t="shared" si="91"/>
        <v>#REF!</v>
      </c>
      <c r="G1474" s="2"/>
      <c r="H1474" s="37">
        <v>529</v>
      </c>
      <c r="I1474" s="4">
        <f t="shared" si="92"/>
        <v>0</v>
      </c>
      <c r="J1474" s="25">
        <f t="shared" si="93"/>
        <v>47</v>
      </c>
    </row>
    <row r="1475" spans="1:10" ht="16.95" customHeight="1">
      <c r="A1475" s="75">
        <v>15</v>
      </c>
      <c r="B1475" s="80" t="s">
        <v>105</v>
      </c>
      <c r="C1475" s="77" t="s">
        <v>50</v>
      </c>
      <c r="D1475" s="78">
        <v>1</v>
      </c>
      <c r="E1475" s="79"/>
      <c r="F1475" s="79" t="e">
        <f t="shared" si="91"/>
        <v>#REF!</v>
      </c>
      <c r="G1475" s="2"/>
      <c r="H1475" s="37">
        <v>1146</v>
      </c>
      <c r="I1475" s="4">
        <f t="shared" si="92"/>
        <v>0</v>
      </c>
      <c r="J1475" s="25">
        <f t="shared" si="93"/>
        <v>47</v>
      </c>
    </row>
    <row r="1476" spans="1:10" ht="34.799999999999997" customHeight="1">
      <c r="A1476" s="75">
        <v>16</v>
      </c>
      <c r="B1476" s="80" t="s">
        <v>106</v>
      </c>
      <c r="C1476" s="77" t="s">
        <v>50</v>
      </c>
      <c r="D1476" s="78">
        <v>314</v>
      </c>
      <c r="E1476" s="79"/>
      <c r="F1476" s="79" t="e">
        <f t="shared" si="91"/>
        <v>#REF!</v>
      </c>
      <c r="G1476" s="2"/>
      <c r="H1476" s="37">
        <v>185</v>
      </c>
      <c r="I1476" s="4">
        <f t="shared" si="92"/>
        <v>0</v>
      </c>
      <c r="J1476" s="25">
        <f t="shared" si="93"/>
        <v>47</v>
      </c>
    </row>
    <row r="1477" spans="1:10" ht="16.95" customHeight="1">
      <c r="A1477" s="75">
        <v>17</v>
      </c>
      <c r="B1477" s="80" t="s">
        <v>107</v>
      </c>
      <c r="C1477" s="77" t="s">
        <v>48</v>
      </c>
      <c r="D1477" s="78">
        <v>1</v>
      </c>
      <c r="E1477" s="79"/>
      <c r="F1477" s="79" t="e">
        <f t="shared" si="91"/>
        <v>#REF!</v>
      </c>
      <c r="G1477" s="2"/>
      <c r="H1477" s="37">
        <v>89918</v>
      </c>
      <c r="I1477" s="4">
        <f t="shared" si="92"/>
        <v>0</v>
      </c>
      <c r="J1477" s="25">
        <f t="shared" si="93"/>
        <v>47</v>
      </c>
    </row>
    <row r="1478" spans="1:10" ht="16.95" customHeight="1">
      <c r="A1478" s="75">
        <v>18</v>
      </c>
      <c r="B1478" s="80" t="s">
        <v>108</v>
      </c>
      <c r="C1478" s="77" t="s">
        <v>120</v>
      </c>
      <c r="D1478" s="78">
        <v>15</v>
      </c>
      <c r="E1478" s="79"/>
      <c r="F1478" s="79" t="e">
        <f t="shared" si="91"/>
        <v>#REF!</v>
      </c>
      <c r="G1478" s="2"/>
      <c r="H1478" s="37">
        <v>661</v>
      </c>
      <c r="I1478" s="4">
        <f t="shared" si="92"/>
        <v>0</v>
      </c>
      <c r="J1478" s="25">
        <f t="shared" si="93"/>
        <v>47</v>
      </c>
    </row>
    <row r="1479" spans="1:10" ht="16.95" customHeight="1">
      <c r="A1479" s="75">
        <v>19</v>
      </c>
      <c r="B1479" s="80" t="s">
        <v>109</v>
      </c>
      <c r="C1479" s="77" t="s">
        <v>50</v>
      </c>
      <c r="D1479" s="78">
        <v>82</v>
      </c>
      <c r="E1479" s="79"/>
      <c r="F1479" s="79" t="e">
        <f t="shared" si="91"/>
        <v>#REF!</v>
      </c>
      <c r="G1479" s="2"/>
      <c r="H1479" s="37">
        <v>2909</v>
      </c>
      <c r="I1479" s="4">
        <f t="shared" si="92"/>
        <v>0</v>
      </c>
      <c r="J1479" s="25">
        <f t="shared" si="93"/>
        <v>47</v>
      </c>
    </row>
    <row r="1480" spans="1:10" ht="16.95" customHeight="1">
      <c r="A1480" s="75">
        <v>20</v>
      </c>
      <c r="B1480" s="80" t="s">
        <v>110</v>
      </c>
      <c r="C1480" s="77" t="s">
        <v>121</v>
      </c>
      <c r="D1480" s="78">
        <v>12</v>
      </c>
      <c r="E1480" s="79"/>
      <c r="F1480" s="79" t="e">
        <f t="shared" si="91"/>
        <v>#REF!</v>
      </c>
      <c r="G1480" s="2"/>
      <c r="H1480" s="37">
        <v>882</v>
      </c>
      <c r="I1480" s="4">
        <f t="shared" si="92"/>
        <v>0</v>
      </c>
      <c r="J1480" s="25">
        <f t="shared" si="93"/>
        <v>47</v>
      </c>
    </row>
    <row r="1481" spans="1:10" ht="16.95" customHeight="1">
      <c r="A1481" s="77">
        <v>21</v>
      </c>
      <c r="B1481" s="80" t="s">
        <v>111</v>
      </c>
      <c r="C1481" s="77" t="s">
        <v>122</v>
      </c>
      <c r="D1481" s="78">
        <v>3</v>
      </c>
      <c r="E1481" s="79"/>
      <c r="F1481" s="79" t="e">
        <f t="shared" si="91"/>
        <v>#REF!</v>
      </c>
      <c r="G1481" s="2"/>
      <c r="H1481" s="38">
        <v>1869</v>
      </c>
      <c r="I1481" s="4">
        <f t="shared" si="92"/>
        <v>0</v>
      </c>
      <c r="J1481" s="25">
        <f t="shared" si="93"/>
        <v>47</v>
      </c>
    </row>
    <row r="1482" spans="1:10" ht="34.950000000000003" customHeight="1">
      <c r="A1482" s="75">
        <v>22</v>
      </c>
      <c r="B1482" s="80" t="s">
        <v>112</v>
      </c>
      <c r="C1482" s="77" t="s">
        <v>48</v>
      </c>
      <c r="D1482" s="78">
        <v>1</v>
      </c>
      <c r="E1482" s="79"/>
      <c r="F1482" s="79" t="e">
        <f t="shared" si="91"/>
        <v>#REF!</v>
      </c>
      <c r="G1482" s="2"/>
      <c r="H1482" s="37">
        <v>82206</v>
      </c>
      <c r="I1482" s="4">
        <f t="shared" si="92"/>
        <v>0</v>
      </c>
      <c r="J1482" s="25">
        <f t="shared" si="93"/>
        <v>47</v>
      </c>
    </row>
    <row r="1483" spans="1:10" ht="16.95" customHeight="1">
      <c r="A1483" s="75">
        <v>23</v>
      </c>
      <c r="B1483" s="80" t="s">
        <v>113</v>
      </c>
      <c r="C1483" s="77" t="s">
        <v>48</v>
      </c>
      <c r="D1483" s="78">
        <v>1</v>
      </c>
      <c r="E1483" s="79"/>
      <c r="F1483" s="79" t="e">
        <f t="shared" si="91"/>
        <v>#REF!</v>
      </c>
      <c r="G1483" s="2"/>
      <c r="H1483" s="37">
        <v>142723</v>
      </c>
      <c r="I1483" s="4">
        <f t="shared" si="92"/>
        <v>0</v>
      </c>
      <c r="J1483" s="25">
        <f t="shared" si="93"/>
        <v>47</v>
      </c>
    </row>
    <row r="1484" spans="1:10" ht="16.95" customHeight="1">
      <c r="A1484" s="75">
        <v>24</v>
      </c>
      <c r="B1484" s="80" t="s">
        <v>114</v>
      </c>
      <c r="C1484" s="77" t="s">
        <v>48</v>
      </c>
      <c r="D1484" s="78">
        <v>1</v>
      </c>
      <c r="E1484" s="79"/>
      <c r="F1484" s="79" t="e">
        <f t="shared" si="91"/>
        <v>#REF!</v>
      </c>
      <c r="G1484" s="2"/>
      <c r="H1484" s="37">
        <v>37290</v>
      </c>
      <c r="I1484" s="4">
        <f t="shared" si="92"/>
        <v>0</v>
      </c>
      <c r="J1484" s="25">
        <f t="shared" si="93"/>
        <v>47</v>
      </c>
    </row>
    <row r="1485" spans="1:10" ht="16.95" customHeight="1">
      <c r="A1485" s="75">
        <v>25</v>
      </c>
      <c r="B1485" s="80" t="s">
        <v>115</v>
      </c>
      <c r="C1485" s="77" t="s">
        <v>48</v>
      </c>
      <c r="D1485" s="78">
        <v>1</v>
      </c>
      <c r="E1485" s="79"/>
      <c r="F1485" s="79" t="e">
        <f t="shared" si="91"/>
        <v>#REF!</v>
      </c>
      <c r="G1485" s="2"/>
      <c r="H1485" s="37">
        <v>99394</v>
      </c>
      <c r="I1485" s="4">
        <f t="shared" si="92"/>
        <v>0</v>
      </c>
      <c r="J1485" s="25">
        <f t="shared" si="93"/>
        <v>47</v>
      </c>
    </row>
    <row r="1486" spans="1:10" ht="34.950000000000003" customHeight="1">
      <c r="A1486" s="75">
        <v>26</v>
      </c>
      <c r="B1486" s="80" t="s">
        <v>116</v>
      </c>
      <c r="C1486" s="77" t="s">
        <v>48</v>
      </c>
      <c r="D1486" s="78">
        <v>1</v>
      </c>
      <c r="E1486" s="79"/>
      <c r="F1486" s="79" t="e">
        <f t="shared" si="91"/>
        <v>#REF!</v>
      </c>
      <c r="G1486" s="2"/>
      <c r="H1486" s="37">
        <v>21334</v>
      </c>
      <c r="I1486" s="4">
        <f t="shared" si="92"/>
        <v>0</v>
      </c>
      <c r="J1486" s="25">
        <f t="shared" si="93"/>
        <v>47</v>
      </c>
    </row>
    <row r="1487" spans="1:10" ht="16.95" customHeight="1">
      <c r="A1487" s="75">
        <v>27</v>
      </c>
      <c r="B1487" s="80" t="s">
        <v>117</v>
      </c>
      <c r="C1487" s="77" t="s">
        <v>48</v>
      </c>
      <c r="D1487" s="78">
        <v>1</v>
      </c>
      <c r="E1487" s="79"/>
      <c r="F1487" s="79" t="e">
        <f t="shared" si="91"/>
        <v>#REF!</v>
      </c>
      <c r="G1487" s="2"/>
      <c r="H1487" s="37">
        <v>29620</v>
      </c>
      <c r="I1487" s="4">
        <f t="shared" si="92"/>
        <v>0</v>
      </c>
      <c r="J1487" s="25">
        <f t="shared" si="93"/>
        <v>47</v>
      </c>
    </row>
    <row r="1488" spans="1:10" ht="16.95" customHeight="1">
      <c r="A1488" s="75">
        <v>28</v>
      </c>
      <c r="B1488" s="80" t="s">
        <v>118</v>
      </c>
      <c r="C1488" s="77" t="s">
        <v>48</v>
      </c>
      <c r="D1488" s="78">
        <v>1</v>
      </c>
      <c r="E1488" s="79"/>
      <c r="F1488" s="79" t="e">
        <f t="shared" si="91"/>
        <v>#REF!</v>
      </c>
      <c r="G1488" s="2"/>
      <c r="H1488" s="37">
        <v>18506</v>
      </c>
      <c r="I1488" s="4">
        <f t="shared" si="92"/>
        <v>0</v>
      </c>
      <c r="J1488" s="25">
        <f t="shared" si="93"/>
        <v>47</v>
      </c>
    </row>
    <row r="1489" spans="1:10" ht="16.95" customHeight="1">
      <c r="A1489" s="75">
        <v>29</v>
      </c>
      <c r="B1489" s="80" t="s">
        <v>119</v>
      </c>
      <c r="C1489" s="77" t="s">
        <v>48</v>
      </c>
      <c r="D1489" s="78">
        <v>1</v>
      </c>
      <c r="E1489" s="79"/>
      <c r="F1489" s="79" t="e">
        <f t="shared" si="91"/>
        <v>#REF!</v>
      </c>
      <c r="G1489" s="2"/>
      <c r="H1489" s="37">
        <v>34381</v>
      </c>
      <c r="I1489" s="4">
        <f t="shared" si="92"/>
        <v>0</v>
      </c>
      <c r="J1489" s="25">
        <f t="shared" si="93"/>
        <v>47</v>
      </c>
    </row>
    <row r="1490" spans="1:10" ht="16.95" customHeight="1">
      <c r="A1490" s="75" t="s">
        <v>79</v>
      </c>
      <c r="B1490" s="80" t="s">
        <v>80</v>
      </c>
      <c r="C1490" s="77" t="s">
        <v>48</v>
      </c>
      <c r="D1490" s="78">
        <v>1</v>
      </c>
      <c r="E1490" s="79">
        <f t="shared" ref="E1490:E1493" si="94">1/120</f>
        <v>8.3333333333333332E-3</v>
      </c>
      <c r="F1490" s="79" t="e">
        <f t="shared" si="91"/>
        <v>#REF!</v>
      </c>
      <c r="G1490" s="2"/>
      <c r="H1490" s="37">
        <v>21395</v>
      </c>
      <c r="I1490" s="4">
        <f t="shared" si="92"/>
        <v>178.29166666666666</v>
      </c>
      <c r="J1490" s="25">
        <f t="shared" si="93"/>
        <v>47</v>
      </c>
    </row>
    <row r="1491" spans="1:10" ht="16.95" customHeight="1">
      <c r="A1491" s="75" t="s">
        <v>81</v>
      </c>
      <c r="B1491" s="80" t="s">
        <v>82</v>
      </c>
      <c r="C1491" s="77" t="s">
        <v>48</v>
      </c>
      <c r="D1491" s="78">
        <v>1</v>
      </c>
      <c r="E1491" s="79">
        <f t="shared" si="94"/>
        <v>8.3333333333333332E-3</v>
      </c>
      <c r="F1491" s="79" t="e">
        <f t="shared" si="91"/>
        <v>#REF!</v>
      </c>
      <c r="G1491" s="2"/>
      <c r="H1491" s="37">
        <v>21395</v>
      </c>
      <c r="I1491" s="4">
        <f t="shared" si="92"/>
        <v>178.29166666666666</v>
      </c>
      <c r="J1491" s="25">
        <f t="shared" si="93"/>
        <v>47</v>
      </c>
    </row>
    <row r="1492" spans="1:10" ht="16.95" customHeight="1">
      <c r="A1492" s="75" t="s">
        <v>83</v>
      </c>
      <c r="B1492" s="80" t="s">
        <v>84</v>
      </c>
      <c r="C1492" s="77" t="s">
        <v>48</v>
      </c>
      <c r="D1492" s="78">
        <v>1</v>
      </c>
      <c r="E1492" s="79">
        <f t="shared" si="94"/>
        <v>8.3333333333333332E-3</v>
      </c>
      <c r="F1492" s="79" t="e">
        <f t="shared" si="91"/>
        <v>#REF!</v>
      </c>
      <c r="G1492" s="2"/>
      <c r="H1492" s="37">
        <v>149765</v>
      </c>
      <c r="I1492" s="4">
        <f t="shared" si="92"/>
        <v>1248.0416666666667</v>
      </c>
      <c r="J1492" s="25">
        <f t="shared" si="93"/>
        <v>47</v>
      </c>
    </row>
    <row r="1493" spans="1:10" ht="16.95" customHeight="1">
      <c r="A1493" s="75" t="s">
        <v>85</v>
      </c>
      <c r="B1493" s="80" t="s">
        <v>86</v>
      </c>
      <c r="C1493" s="77" t="s">
        <v>48</v>
      </c>
      <c r="D1493" s="78">
        <v>1</v>
      </c>
      <c r="E1493" s="79">
        <f t="shared" si="94"/>
        <v>8.3333333333333332E-3</v>
      </c>
      <c r="F1493" s="79" t="e">
        <f t="shared" si="91"/>
        <v>#REF!</v>
      </c>
      <c r="G1493" s="2"/>
      <c r="H1493" s="37">
        <v>6996</v>
      </c>
      <c r="I1493" s="4">
        <f t="shared" si="92"/>
        <v>58.3</v>
      </c>
      <c r="J1493" s="25">
        <f t="shared" si="93"/>
        <v>47</v>
      </c>
    </row>
    <row r="1494" spans="1:10" ht="16.95" customHeight="1">
      <c r="A1494" s="75" t="s">
        <v>87</v>
      </c>
      <c r="B1494" s="80" t="s">
        <v>88</v>
      </c>
      <c r="C1494" s="77" t="s">
        <v>48</v>
      </c>
      <c r="D1494" s="78">
        <v>1</v>
      </c>
      <c r="E1494" s="79">
        <f>1/120</f>
        <v>8.3333333333333332E-3</v>
      </c>
      <c r="F1494" s="79" t="e">
        <f t="shared" si="91"/>
        <v>#REF!</v>
      </c>
      <c r="G1494" s="2"/>
      <c r="H1494" s="37">
        <v>116952</v>
      </c>
      <c r="I1494" s="4">
        <f t="shared" si="92"/>
        <v>974.6</v>
      </c>
      <c r="J1494" s="25">
        <f t="shared" si="93"/>
        <v>47</v>
      </c>
    </row>
    <row r="1495" spans="1:10" ht="16.95" customHeight="1">
      <c r="A1495" s="95" t="s">
        <v>23</v>
      </c>
      <c r="B1495" s="95"/>
      <c r="C1495" s="50"/>
      <c r="D1495" s="50"/>
      <c r="E1495" s="50"/>
      <c r="F1495" s="50"/>
      <c r="G1495" s="50"/>
      <c r="H1495" s="3" t="s">
        <v>24</v>
      </c>
      <c r="I1495" s="5">
        <f>SUM(I1460:I1494)</f>
        <v>2637.5250000000001</v>
      </c>
      <c r="J1495" s="25">
        <f t="shared" si="93"/>
        <v>47</v>
      </c>
    </row>
    <row r="1496" spans="1:10" ht="16.95" customHeight="1">
      <c r="A1496" s="96" t="s">
        <v>25</v>
      </c>
      <c r="B1496" s="96"/>
      <c r="C1496" s="50"/>
      <c r="D1496" s="50"/>
      <c r="E1496" s="50"/>
      <c r="F1496" s="50"/>
      <c r="G1496" s="50"/>
      <c r="J1496" s="25">
        <f t="shared" si="93"/>
        <v>47</v>
      </c>
    </row>
    <row r="1497" spans="1:10" ht="16.95" customHeight="1">
      <c r="A1497" s="96" t="s">
        <v>26</v>
      </c>
      <c r="B1497" s="96"/>
      <c r="C1497" s="50"/>
      <c r="D1497" s="50"/>
      <c r="E1497" s="50"/>
      <c r="F1497" s="50"/>
      <c r="G1497" s="50"/>
      <c r="J1497" s="25">
        <f t="shared" si="93"/>
        <v>47</v>
      </c>
    </row>
    <row r="1498" spans="1:10" ht="16.95" customHeight="1">
      <c r="A1498" s="95" t="s">
        <v>27</v>
      </c>
      <c r="B1498" s="95"/>
      <c r="C1498" s="95"/>
      <c r="D1498" s="95"/>
      <c r="E1498" s="95"/>
      <c r="F1498" s="95"/>
      <c r="G1498" s="95"/>
      <c r="J1498" s="25">
        <f t="shared" si="93"/>
        <v>47</v>
      </c>
    </row>
    <row r="1499" spans="1:10" ht="16.95" customHeight="1">
      <c r="A1499" s="94" t="s">
        <v>28</v>
      </c>
      <c r="B1499" s="94"/>
      <c r="C1499" s="51" t="s">
        <v>29</v>
      </c>
      <c r="D1499" s="51" t="s">
        <v>30</v>
      </c>
      <c r="E1499" s="51" t="s">
        <v>18</v>
      </c>
      <c r="F1499" s="51" t="s">
        <v>31</v>
      </c>
      <c r="G1499" s="51" t="s">
        <v>20</v>
      </c>
      <c r="J1499" s="25">
        <f t="shared" si="93"/>
        <v>47</v>
      </c>
    </row>
    <row r="1500" spans="1:10" ht="16.95" customHeight="1">
      <c r="A1500" s="96"/>
      <c r="B1500" s="96"/>
      <c r="C1500" s="50"/>
      <c r="D1500" s="50"/>
      <c r="E1500" s="50"/>
      <c r="F1500" s="50"/>
      <c r="G1500" s="51"/>
      <c r="J1500" s="25">
        <f t="shared" si="93"/>
        <v>47</v>
      </c>
    </row>
    <row r="1501" spans="1:10" ht="16.95" customHeight="1">
      <c r="A1501" s="97"/>
      <c r="B1501" s="97"/>
      <c r="C1501" s="50"/>
      <c r="D1501" s="50"/>
      <c r="E1501" s="50"/>
      <c r="F1501" s="51"/>
      <c r="G1501" s="51"/>
      <c r="J1501" s="25">
        <f t="shared" si="93"/>
        <v>47</v>
      </c>
    </row>
    <row r="1502" spans="1:10" ht="16.95" customHeight="1">
      <c r="A1502" s="95" t="s">
        <v>32</v>
      </c>
      <c r="B1502" s="95"/>
      <c r="C1502" s="95"/>
      <c r="D1502" s="95"/>
      <c r="E1502" s="95"/>
      <c r="F1502" s="95"/>
      <c r="G1502" s="95"/>
      <c r="J1502" s="25">
        <f t="shared" si="93"/>
        <v>48</v>
      </c>
    </row>
    <row r="1503" spans="1:10" ht="16.95" customHeight="1">
      <c r="A1503" s="51" t="s">
        <v>33</v>
      </c>
      <c r="B1503" s="51" t="s">
        <v>34</v>
      </c>
      <c r="C1503" s="94" t="s">
        <v>35</v>
      </c>
      <c r="D1503" s="94"/>
      <c r="E1503" s="51" t="s">
        <v>36</v>
      </c>
      <c r="F1503" s="51" t="s">
        <v>37</v>
      </c>
      <c r="G1503" s="51" t="s">
        <v>38</v>
      </c>
      <c r="J1503" s="25">
        <f t="shared" si="93"/>
        <v>48</v>
      </c>
    </row>
    <row r="1504" spans="1:10" ht="16.95" customHeight="1">
      <c r="A1504" s="51" t="s">
        <v>39</v>
      </c>
      <c r="B1504" s="6"/>
      <c r="C1504" s="94" t="e">
        <f>B1504+C1441</f>
        <v>#REF!</v>
      </c>
      <c r="D1504" s="94"/>
      <c r="E1504" s="51"/>
      <c r="F1504" s="24"/>
      <c r="G1504" s="24"/>
      <c r="J1504" s="25">
        <f t="shared" si="93"/>
        <v>48</v>
      </c>
    </row>
    <row r="1505" spans="1:10" ht="16.95" customHeight="1">
      <c r="A1505" s="51" t="s">
        <v>40</v>
      </c>
      <c r="B1505" s="6"/>
      <c r="C1505" s="94" t="e">
        <f>B1505+C1442</f>
        <v>#REF!</v>
      </c>
      <c r="D1505" s="94"/>
      <c r="E1505" s="51"/>
      <c r="F1505" s="24"/>
      <c r="G1505" s="24"/>
      <c r="J1505" s="25">
        <f t="shared" si="93"/>
        <v>48</v>
      </c>
    </row>
    <row r="1506" spans="1:10" ht="36.6" customHeight="1">
      <c r="A1506" s="95" t="s">
        <v>41</v>
      </c>
      <c r="B1506" s="95"/>
      <c r="C1506" s="95"/>
      <c r="D1506" s="95"/>
      <c r="E1506" s="95"/>
      <c r="F1506" s="95"/>
      <c r="G1506" s="95"/>
      <c r="J1506" s="25">
        <f t="shared" si="93"/>
        <v>48</v>
      </c>
    </row>
    <row r="1507" spans="1:10" ht="90" customHeight="1">
      <c r="A1507" s="92" t="s">
        <v>42</v>
      </c>
      <c r="B1507" s="92"/>
      <c r="C1507" s="92"/>
      <c r="D1507" s="92"/>
      <c r="E1507" s="92"/>
      <c r="F1507" s="92"/>
      <c r="G1507" s="92"/>
      <c r="J1507" s="25">
        <f t="shared" si="93"/>
        <v>48</v>
      </c>
    </row>
    <row r="1508" spans="1:10" ht="16.95" customHeight="1">
      <c r="A1508" s="95" t="s">
        <v>43</v>
      </c>
      <c r="B1508" s="95"/>
      <c r="C1508" s="95"/>
      <c r="D1508" s="95"/>
      <c r="E1508" s="95"/>
      <c r="F1508" s="95"/>
      <c r="G1508" s="95"/>
      <c r="J1508" s="25">
        <f t="shared" si="93"/>
        <v>48</v>
      </c>
    </row>
    <row r="1509" spans="1:10" ht="16.95" customHeight="1">
      <c r="A1509" s="95" t="s">
        <v>44</v>
      </c>
      <c r="B1509" s="95"/>
      <c r="C1509" s="95"/>
      <c r="D1509" s="95"/>
      <c r="E1509" s="95"/>
      <c r="F1509" s="95"/>
      <c r="G1509" s="95"/>
      <c r="J1509" s="25">
        <f t="shared" si="93"/>
        <v>48</v>
      </c>
    </row>
    <row r="1510" spans="1:10" ht="16.95" customHeight="1">
      <c r="A1510" s="91" t="s">
        <v>64</v>
      </c>
      <c r="B1510" s="91"/>
      <c r="C1510" s="91"/>
      <c r="D1510" s="91"/>
      <c r="E1510" s="91"/>
      <c r="F1510" s="91"/>
      <c r="G1510" s="91"/>
      <c r="J1510" s="25">
        <f t="shared" si="93"/>
        <v>48</v>
      </c>
    </row>
    <row r="1511" spans="1:10" ht="120.6" customHeight="1">
      <c r="A1511" s="92" t="s">
        <v>45</v>
      </c>
      <c r="B1511" s="92"/>
      <c r="C1511" s="92"/>
      <c r="D1511" s="92"/>
      <c r="E1511" s="92"/>
      <c r="F1511" s="92"/>
      <c r="G1511" s="92"/>
      <c r="J1511" s="25">
        <f t="shared" si="93"/>
        <v>48</v>
      </c>
    </row>
    <row r="1512" spans="1:10" ht="140.4" customHeight="1">
      <c r="A1512" s="93" t="s">
        <v>46</v>
      </c>
      <c r="B1512" s="93"/>
      <c r="C1512" s="93"/>
      <c r="D1512" s="93"/>
      <c r="E1512" s="93"/>
      <c r="F1512" s="93"/>
      <c r="G1512" s="93"/>
      <c r="J1512" s="25">
        <f t="shared" si="93"/>
        <v>48</v>
      </c>
    </row>
    <row r="1513" spans="1:10" ht="37.200000000000003" customHeight="1">
      <c r="A1513" s="103" t="s">
        <v>0</v>
      </c>
      <c r="B1513" s="103"/>
      <c r="C1513" s="103"/>
      <c r="D1513" s="103"/>
      <c r="E1513" s="103"/>
      <c r="F1513" s="103"/>
      <c r="G1513" s="103"/>
      <c r="J1513" s="25">
        <f t="shared" si="93"/>
        <v>49</v>
      </c>
    </row>
    <row r="1514" spans="1:10" ht="16.95" customHeight="1">
      <c r="A1514" s="1" t="s">
        <v>1</v>
      </c>
      <c r="B1514" s="104">
        <f>B1451+1</f>
        <v>26</v>
      </c>
      <c r="C1514" s="104"/>
      <c r="D1514" s="104"/>
      <c r="E1514" s="104"/>
      <c r="F1514" s="104"/>
      <c r="G1514" s="104"/>
      <c r="J1514" s="25">
        <f t="shared" si="93"/>
        <v>49</v>
      </c>
    </row>
    <row r="1515" spans="1:10" ht="16.95" customHeight="1">
      <c r="A1515" s="1" t="s">
        <v>2</v>
      </c>
      <c r="B1515" s="105" t="s">
        <v>63</v>
      </c>
      <c r="C1515" s="105"/>
      <c r="D1515" s="105"/>
      <c r="E1515" s="106">
        <f>E1452+1</f>
        <v>46228</v>
      </c>
      <c r="F1515" s="106"/>
      <c r="G1515" s="106"/>
      <c r="J1515" s="25">
        <f t="shared" si="93"/>
        <v>49</v>
      </c>
    </row>
    <row r="1516" spans="1:10" ht="16.95" customHeight="1">
      <c r="A1516" s="53" t="s">
        <v>3</v>
      </c>
      <c r="B1516" s="2" t="s">
        <v>67</v>
      </c>
      <c r="C1516" s="98" t="s">
        <v>4</v>
      </c>
      <c r="D1516" s="98"/>
      <c r="E1516" s="98" t="s">
        <v>47</v>
      </c>
      <c r="F1516" s="98"/>
      <c r="G1516" s="98"/>
      <c r="J1516" s="25">
        <f t="shared" si="93"/>
        <v>49</v>
      </c>
    </row>
    <row r="1517" spans="1:10" ht="16.95" customHeight="1">
      <c r="A1517" s="53" t="s">
        <v>5</v>
      </c>
      <c r="B1517" s="54">
        <v>120</v>
      </c>
      <c r="C1517" s="98" t="s">
        <v>6</v>
      </c>
      <c r="D1517" s="98"/>
      <c r="E1517" s="98" t="s">
        <v>123</v>
      </c>
      <c r="F1517" s="98"/>
      <c r="G1517" s="98"/>
      <c r="J1517" s="25">
        <f t="shared" si="93"/>
        <v>49</v>
      </c>
    </row>
    <row r="1518" spans="1:10" ht="16.95" customHeight="1">
      <c r="A1518" s="53" t="s">
        <v>7</v>
      </c>
      <c r="B1518" s="54">
        <f>B1514</f>
        <v>26</v>
      </c>
      <c r="C1518" s="100" t="s">
        <v>8</v>
      </c>
      <c r="D1518" s="100"/>
      <c r="E1518" s="101">
        <f>B1517-B1518</f>
        <v>94</v>
      </c>
      <c r="F1518" s="101"/>
      <c r="G1518" s="101"/>
      <c r="J1518" s="25">
        <f t="shared" si="93"/>
        <v>49</v>
      </c>
    </row>
    <row r="1519" spans="1:10" ht="16.95" customHeight="1">
      <c r="A1519" s="53" t="s">
        <v>9</v>
      </c>
      <c r="B1519" s="55">
        <v>46204</v>
      </c>
      <c r="C1519" s="98" t="s">
        <v>10</v>
      </c>
      <c r="D1519" s="98"/>
      <c r="E1519" s="102">
        <f>B1519+B1517-1</f>
        <v>46323</v>
      </c>
      <c r="F1519" s="102"/>
      <c r="G1519" s="102"/>
      <c r="J1519" s="25">
        <f t="shared" si="93"/>
        <v>49</v>
      </c>
    </row>
    <row r="1520" spans="1:10" ht="16.95" customHeight="1">
      <c r="A1520" s="53" t="s">
        <v>11</v>
      </c>
      <c r="B1520" s="56" t="e">
        <f>HLOOKUP(B1514,進度表!$Q$2:$Z$3,2,1)+B1457</f>
        <v>#REF!</v>
      </c>
      <c r="C1520" s="98" t="s">
        <v>12</v>
      </c>
      <c r="D1520" s="98"/>
      <c r="E1520" s="99" t="e">
        <f>I1558/I1520+E1457</f>
        <v>#REF!</v>
      </c>
      <c r="F1520" s="99"/>
      <c r="G1520" s="99"/>
      <c r="H1520" s="3" t="s">
        <v>62</v>
      </c>
      <c r="I1520" s="1">
        <v>2456000</v>
      </c>
      <c r="J1520" s="25">
        <f t="shared" si="93"/>
        <v>49</v>
      </c>
    </row>
    <row r="1521" spans="1:10" ht="16.95" customHeight="1">
      <c r="A1521" s="98" t="s">
        <v>13</v>
      </c>
      <c r="B1521" s="98"/>
      <c r="C1521" s="98"/>
      <c r="D1521" s="98"/>
      <c r="E1521" s="98"/>
      <c r="F1521" s="98"/>
      <c r="G1521" s="98"/>
      <c r="J1521" s="25">
        <f t="shared" si="93"/>
        <v>49</v>
      </c>
    </row>
    <row r="1522" spans="1:10" ht="16.95" customHeight="1">
      <c r="A1522" s="52" t="s">
        <v>14</v>
      </c>
      <c r="B1522" s="52" t="s">
        <v>15</v>
      </c>
      <c r="C1522" s="52" t="s">
        <v>16</v>
      </c>
      <c r="D1522" s="52" t="s">
        <v>17</v>
      </c>
      <c r="E1522" s="52" t="s">
        <v>18</v>
      </c>
      <c r="F1522" s="52" t="s">
        <v>19</v>
      </c>
      <c r="G1522" s="52" t="s">
        <v>20</v>
      </c>
      <c r="H1522" s="3" t="s">
        <v>21</v>
      </c>
      <c r="I1522" s="3" t="s">
        <v>22</v>
      </c>
      <c r="J1522" s="25">
        <f t="shared" si="93"/>
        <v>49</v>
      </c>
    </row>
    <row r="1523" spans="1:10" ht="16.95" customHeight="1">
      <c r="A1523" s="75" t="s">
        <v>65</v>
      </c>
      <c r="B1523" s="76" t="s">
        <v>69</v>
      </c>
      <c r="C1523" s="77"/>
      <c r="D1523" s="78"/>
      <c r="E1523" s="79"/>
      <c r="F1523" s="79"/>
      <c r="G1523" s="2"/>
      <c r="H1523" s="37"/>
      <c r="I1523" s="4"/>
      <c r="J1523" s="25">
        <f t="shared" si="93"/>
        <v>49</v>
      </c>
    </row>
    <row r="1524" spans="1:10" ht="34.950000000000003" customHeight="1">
      <c r="A1524" s="75">
        <v>1</v>
      </c>
      <c r="B1524" s="80" t="s">
        <v>91</v>
      </c>
      <c r="C1524" s="77" t="s">
        <v>48</v>
      </c>
      <c r="D1524" s="78">
        <v>1</v>
      </c>
      <c r="E1524" s="79"/>
      <c r="F1524" s="79" t="e">
        <f t="shared" ref="F1524:F1557" si="95">E1524+F1461</f>
        <v>#REF!</v>
      </c>
      <c r="G1524" s="2"/>
      <c r="H1524" s="37">
        <v>10508</v>
      </c>
      <c r="I1524" s="4">
        <f>H1524*E1524</f>
        <v>0</v>
      </c>
      <c r="J1524" s="25">
        <f t="shared" si="93"/>
        <v>49</v>
      </c>
    </row>
    <row r="1525" spans="1:10" ht="34.799999999999997" customHeight="1">
      <c r="A1525" s="75">
        <v>2</v>
      </c>
      <c r="B1525" s="80" t="s">
        <v>92</v>
      </c>
      <c r="C1525" s="77" t="s">
        <v>48</v>
      </c>
      <c r="D1525" s="78">
        <v>1</v>
      </c>
      <c r="E1525" s="79"/>
      <c r="F1525" s="79" t="e">
        <f t="shared" si="95"/>
        <v>#REF!</v>
      </c>
      <c r="G1525" s="2"/>
      <c r="H1525" s="37">
        <v>13223</v>
      </c>
      <c r="I1525" s="4">
        <f>H1525*E1525</f>
        <v>0</v>
      </c>
      <c r="J1525" s="25">
        <f t="shared" si="93"/>
        <v>49</v>
      </c>
    </row>
    <row r="1526" spans="1:10" ht="53.4" customHeight="1">
      <c r="A1526" s="75">
        <v>3</v>
      </c>
      <c r="B1526" s="80" t="s">
        <v>93</v>
      </c>
      <c r="C1526" s="77" t="s">
        <v>48</v>
      </c>
      <c r="D1526" s="78">
        <v>1</v>
      </c>
      <c r="E1526" s="79"/>
      <c r="F1526" s="79" t="e">
        <f t="shared" si="95"/>
        <v>#REF!</v>
      </c>
      <c r="G1526" s="2"/>
      <c r="H1526" s="37">
        <v>310497</v>
      </c>
      <c r="I1526" s="4">
        <f t="shared" ref="I1526:I1557" si="96">H1526*E1526</f>
        <v>0</v>
      </c>
      <c r="J1526" s="25">
        <f t="shared" si="93"/>
        <v>49</v>
      </c>
    </row>
    <row r="1527" spans="1:10" ht="16.95" customHeight="1">
      <c r="A1527" s="75">
        <v>4</v>
      </c>
      <c r="B1527" s="80" t="s">
        <v>94</v>
      </c>
      <c r="C1527" s="77" t="s">
        <v>48</v>
      </c>
      <c r="D1527" s="78">
        <v>1</v>
      </c>
      <c r="E1527" s="79"/>
      <c r="F1527" s="79" t="e">
        <f t="shared" si="95"/>
        <v>#REF!</v>
      </c>
      <c r="G1527" s="2"/>
      <c r="H1527" s="37">
        <v>8375</v>
      </c>
      <c r="I1527" s="4">
        <f t="shared" si="96"/>
        <v>0</v>
      </c>
      <c r="J1527" s="25">
        <f t="shared" si="93"/>
        <v>49</v>
      </c>
    </row>
    <row r="1528" spans="1:10" ht="16.95" customHeight="1">
      <c r="A1528" s="75">
        <v>5</v>
      </c>
      <c r="B1528" s="80" t="s">
        <v>95</v>
      </c>
      <c r="C1528" s="77" t="s">
        <v>48</v>
      </c>
      <c r="D1528" s="78">
        <v>1</v>
      </c>
      <c r="E1528" s="79"/>
      <c r="F1528" s="79" t="e">
        <f t="shared" si="95"/>
        <v>#REF!</v>
      </c>
      <c r="G1528" s="2"/>
      <c r="H1528" s="37">
        <v>51618</v>
      </c>
      <c r="I1528" s="4">
        <f t="shared" si="96"/>
        <v>0</v>
      </c>
      <c r="J1528" s="25">
        <f t="shared" si="93"/>
        <v>49</v>
      </c>
    </row>
    <row r="1529" spans="1:10" ht="16.95" customHeight="1">
      <c r="A1529" s="75">
        <v>6</v>
      </c>
      <c r="B1529" s="80" t="s">
        <v>96</v>
      </c>
      <c r="C1529" s="77" t="s">
        <v>50</v>
      </c>
      <c r="D1529" s="78">
        <v>11.55</v>
      </c>
      <c r="E1529" s="79"/>
      <c r="F1529" s="79" t="e">
        <f t="shared" si="95"/>
        <v>#REF!</v>
      </c>
      <c r="G1529" s="2"/>
      <c r="H1529" s="37">
        <v>1188</v>
      </c>
      <c r="I1529" s="4">
        <f t="shared" si="96"/>
        <v>0</v>
      </c>
      <c r="J1529" s="25">
        <f t="shared" si="93"/>
        <v>49</v>
      </c>
    </row>
    <row r="1530" spans="1:10" ht="34.950000000000003" customHeight="1">
      <c r="A1530" s="75">
        <v>7</v>
      </c>
      <c r="B1530" s="80" t="s">
        <v>97</v>
      </c>
      <c r="C1530" s="77" t="s">
        <v>48</v>
      </c>
      <c r="D1530" s="78">
        <v>1</v>
      </c>
      <c r="E1530" s="79"/>
      <c r="F1530" s="79" t="e">
        <f t="shared" si="95"/>
        <v>#REF!</v>
      </c>
      <c r="G1530" s="2"/>
      <c r="H1530" s="37">
        <v>21157</v>
      </c>
      <c r="I1530" s="4">
        <f t="shared" si="96"/>
        <v>0</v>
      </c>
      <c r="J1530" s="25">
        <f t="shared" si="93"/>
        <v>49</v>
      </c>
    </row>
    <row r="1531" spans="1:10" ht="16.95" customHeight="1">
      <c r="A1531" s="75">
        <v>8</v>
      </c>
      <c r="B1531" s="80" t="s">
        <v>98</v>
      </c>
      <c r="C1531" s="77" t="s">
        <v>50</v>
      </c>
      <c r="D1531" s="78">
        <v>387</v>
      </c>
      <c r="E1531" s="79"/>
      <c r="F1531" s="79" t="e">
        <f t="shared" si="95"/>
        <v>#REF!</v>
      </c>
      <c r="G1531" s="2"/>
      <c r="H1531" s="37">
        <v>705</v>
      </c>
      <c r="I1531" s="4">
        <f t="shared" si="96"/>
        <v>0</v>
      </c>
      <c r="J1531" s="25">
        <f t="shared" ref="J1531:J1594" si="97">J1468+2</f>
        <v>49</v>
      </c>
    </row>
    <row r="1532" spans="1:10" ht="16.95" customHeight="1">
      <c r="A1532" s="75">
        <v>9</v>
      </c>
      <c r="B1532" s="80" t="s">
        <v>99</v>
      </c>
      <c r="C1532" s="77" t="s">
        <v>50</v>
      </c>
      <c r="D1532" s="78">
        <v>170</v>
      </c>
      <c r="E1532" s="79"/>
      <c r="F1532" s="79" t="e">
        <f t="shared" si="95"/>
        <v>#REF!</v>
      </c>
      <c r="G1532" s="2"/>
      <c r="H1532" s="37">
        <v>617</v>
      </c>
      <c r="I1532" s="4">
        <f t="shared" si="96"/>
        <v>0</v>
      </c>
      <c r="J1532" s="25">
        <f t="shared" si="97"/>
        <v>49</v>
      </c>
    </row>
    <row r="1533" spans="1:10" ht="16.95" customHeight="1">
      <c r="A1533" s="75">
        <v>10</v>
      </c>
      <c r="B1533" s="80" t="s">
        <v>100</v>
      </c>
      <c r="C1533" s="77" t="s">
        <v>66</v>
      </c>
      <c r="D1533" s="78">
        <v>15</v>
      </c>
      <c r="E1533" s="79"/>
      <c r="F1533" s="79" t="e">
        <f t="shared" si="95"/>
        <v>#REF!</v>
      </c>
      <c r="G1533" s="2"/>
      <c r="H1533" s="37">
        <v>617</v>
      </c>
      <c r="I1533" s="4">
        <f t="shared" si="96"/>
        <v>0</v>
      </c>
      <c r="J1533" s="25">
        <f t="shared" si="97"/>
        <v>49</v>
      </c>
    </row>
    <row r="1534" spans="1:10" ht="16.95" customHeight="1">
      <c r="A1534" s="75">
        <v>11</v>
      </c>
      <c r="B1534" s="80" t="s">
        <v>101</v>
      </c>
      <c r="C1534" s="77" t="s">
        <v>50</v>
      </c>
      <c r="D1534" s="78">
        <v>75</v>
      </c>
      <c r="E1534" s="79"/>
      <c r="F1534" s="79" t="e">
        <f t="shared" si="95"/>
        <v>#REF!</v>
      </c>
      <c r="G1534" s="2"/>
      <c r="H1534" s="37">
        <v>1146</v>
      </c>
      <c r="I1534" s="4">
        <f t="shared" si="96"/>
        <v>0</v>
      </c>
      <c r="J1534" s="25">
        <f t="shared" si="97"/>
        <v>49</v>
      </c>
    </row>
    <row r="1535" spans="1:10" ht="16.95" customHeight="1">
      <c r="A1535" s="75">
        <v>12</v>
      </c>
      <c r="B1535" s="80" t="s">
        <v>102</v>
      </c>
      <c r="C1535" s="77" t="s">
        <v>50</v>
      </c>
      <c r="D1535" s="78">
        <v>5</v>
      </c>
      <c r="E1535" s="79"/>
      <c r="F1535" s="79" t="e">
        <f t="shared" si="95"/>
        <v>#REF!</v>
      </c>
      <c r="G1535" s="2"/>
      <c r="H1535" s="37">
        <v>1455</v>
      </c>
      <c r="I1535" s="4">
        <f t="shared" si="96"/>
        <v>0</v>
      </c>
      <c r="J1535" s="25">
        <f t="shared" si="97"/>
        <v>49</v>
      </c>
    </row>
    <row r="1536" spans="1:10" ht="16.95" customHeight="1">
      <c r="A1536" s="75">
        <v>13</v>
      </c>
      <c r="B1536" s="80" t="s">
        <v>103</v>
      </c>
      <c r="C1536" s="77" t="s">
        <v>50</v>
      </c>
      <c r="D1536" s="78">
        <v>217</v>
      </c>
      <c r="E1536" s="79"/>
      <c r="F1536" s="79" t="e">
        <f t="shared" si="95"/>
        <v>#REF!</v>
      </c>
      <c r="G1536" s="2"/>
      <c r="H1536" s="37">
        <v>1410</v>
      </c>
      <c r="I1536" s="4">
        <f t="shared" si="96"/>
        <v>0</v>
      </c>
      <c r="J1536" s="25">
        <f t="shared" si="97"/>
        <v>49</v>
      </c>
    </row>
    <row r="1537" spans="1:10" ht="16.95" customHeight="1">
      <c r="A1537" s="75">
        <v>14</v>
      </c>
      <c r="B1537" s="80" t="s">
        <v>104</v>
      </c>
      <c r="C1537" s="77" t="s">
        <v>49</v>
      </c>
      <c r="D1537" s="78">
        <v>84</v>
      </c>
      <c r="E1537" s="79"/>
      <c r="F1537" s="79" t="e">
        <f t="shared" si="95"/>
        <v>#REF!</v>
      </c>
      <c r="G1537" s="2"/>
      <c r="H1537" s="37">
        <v>529</v>
      </c>
      <c r="I1537" s="4">
        <f t="shared" si="96"/>
        <v>0</v>
      </c>
      <c r="J1537" s="25">
        <f t="shared" si="97"/>
        <v>49</v>
      </c>
    </row>
    <row r="1538" spans="1:10" ht="16.95" customHeight="1">
      <c r="A1538" s="75">
        <v>15</v>
      </c>
      <c r="B1538" s="80" t="s">
        <v>105</v>
      </c>
      <c r="C1538" s="77" t="s">
        <v>50</v>
      </c>
      <c r="D1538" s="78">
        <v>1</v>
      </c>
      <c r="E1538" s="79"/>
      <c r="F1538" s="79" t="e">
        <f t="shared" si="95"/>
        <v>#REF!</v>
      </c>
      <c r="G1538" s="2"/>
      <c r="H1538" s="37">
        <v>1146</v>
      </c>
      <c r="I1538" s="4">
        <f t="shared" si="96"/>
        <v>0</v>
      </c>
      <c r="J1538" s="25">
        <f t="shared" si="97"/>
        <v>49</v>
      </c>
    </row>
    <row r="1539" spans="1:10" ht="34.799999999999997" customHeight="1">
      <c r="A1539" s="75">
        <v>16</v>
      </c>
      <c r="B1539" s="80" t="s">
        <v>106</v>
      </c>
      <c r="C1539" s="77" t="s">
        <v>50</v>
      </c>
      <c r="D1539" s="78">
        <v>314</v>
      </c>
      <c r="E1539" s="79"/>
      <c r="F1539" s="79" t="e">
        <f t="shared" si="95"/>
        <v>#REF!</v>
      </c>
      <c r="G1539" s="2"/>
      <c r="H1539" s="37">
        <v>185</v>
      </c>
      <c r="I1539" s="4">
        <f t="shared" si="96"/>
        <v>0</v>
      </c>
      <c r="J1539" s="25">
        <f t="shared" si="97"/>
        <v>49</v>
      </c>
    </row>
    <row r="1540" spans="1:10" ht="16.95" customHeight="1">
      <c r="A1540" s="75">
        <v>17</v>
      </c>
      <c r="B1540" s="80" t="s">
        <v>107</v>
      </c>
      <c r="C1540" s="77" t="s">
        <v>48</v>
      </c>
      <c r="D1540" s="78">
        <v>1</v>
      </c>
      <c r="E1540" s="79"/>
      <c r="F1540" s="79" t="e">
        <f t="shared" si="95"/>
        <v>#REF!</v>
      </c>
      <c r="G1540" s="2"/>
      <c r="H1540" s="37">
        <v>89918</v>
      </c>
      <c r="I1540" s="4">
        <f t="shared" si="96"/>
        <v>0</v>
      </c>
      <c r="J1540" s="25">
        <f t="shared" si="97"/>
        <v>49</v>
      </c>
    </row>
    <row r="1541" spans="1:10" ht="16.95" customHeight="1">
      <c r="A1541" s="75">
        <v>18</v>
      </c>
      <c r="B1541" s="80" t="s">
        <v>108</v>
      </c>
      <c r="C1541" s="77" t="s">
        <v>120</v>
      </c>
      <c r="D1541" s="78">
        <v>15</v>
      </c>
      <c r="E1541" s="79"/>
      <c r="F1541" s="79" t="e">
        <f t="shared" si="95"/>
        <v>#REF!</v>
      </c>
      <c r="G1541" s="2"/>
      <c r="H1541" s="37">
        <v>661</v>
      </c>
      <c r="I1541" s="4">
        <f t="shared" si="96"/>
        <v>0</v>
      </c>
      <c r="J1541" s="25">
        <f t="shared" si="97"/>
        <v>49</v>
      </c>
    </row>
    <row r="1542" spans="1:10" ht="16.95" customHeight="1">
      <c r="A1542" s="75">
        <v>19</v>
      </c>
      <c r="B1542" s="80" t="s">
        <v>109</v>
      </c>
      <c r="C1542" s="77" t="s">
        <v>50</v>
      </c>
      <c r="D1542" s="78">
        <v>82</v>
      </c>
      <c r="E1542" s="79"/>
      <c r="F1542" s="79" t="e">
        <f t="shared" si="95"/>
        <v>#REF!</v>
      </c>
      <c r="G1542" s="2"/>
      <c r="H1542" s="37">
        <v>2909</v>
      </c>
      <c r="I1542" s="4">
        <f t="shared" si="96"/>
        <v>0</v>
      </c>
      <c r="J1542" s="25">
        <f t="shared" si="97"/>
        <v>49</v>
      </c>
    </row>
    <row r="1543" spans="1:10" ht="16.95" customHeight="1">
      <c r="A1543" s="75">
        <v>20</v>
      </c>
      <c r="B1543" s="80" t="s">
        <v>110</v>
      </c>
      <c r="C1543" s="77" t="s">
        <v>121</v>
      </c>
      <c r="D1543" s="78">
        <v>12</v>
      </c>
      <c r="E1543" s="79"/>
      <c r="F1543" s="79" t="e">
        <f t="shared" si="95"/>
        <v>#REF!</v>
      </c>
      <c r="G1543" s="2"/>
      <c r="H1543" s="37">
        <v>882</v>
      </c>
      <c r="I1543" s="4">
        <f t="shared" si="96"/>
        <v>0</v>
      </c>
      <c r="J1543" s="25">
        <f t="shared" si="97"/>
        <v>49</v>
      </c>
    </row>
    <row r="1544" spans="1:10" ht="16.95" customHeight="1">
      <c r="A1544" s="77">
        <v>21</v>
      </c>
      <c r="B1544" s="80" t="s">
        <v>111</v>
      </c>
      <c r="C1544" s="77" t="s">
        <v>122</v>
      </c>
      <c r="D1544" s="78">
        <v>3</v>
      </c>
      <c r="E1544" s="79"/>
      <c r="F1544" s="79" t="e">
        <f t="shared" si="95"/>
        <v>#REF!</v>
      </c>
      <c r="G1544" s="2"/>
      <c r="H1544" s="38">
        <v>1869</v>
      </c>
      <c r="I1544" s="4">
        <f t="shared" si="96"/>
        <v>0</v>
      </c>
      <c r="J1544" s="25">
        <f t="shared" si="97"/>
        <v>49</v>
      </c>
    </row>
    <row r="1545" spans="1:10" ht="34.950000000000003" customHeight="1">
      <c r="A1545" s="75">
        <v>22</v>
      </c>
      <c r="B1545" s="80" t="s">
        <v>112</v>
      </c>
      <c r="C1545" s="77" t="s">
        <v>48</v>
      </c>
      <c r="D1545" s="78">
        <v>1</v>
      </c>
      <c r="E1545" s="79"/>
      <c r="F1545" s="79" t="e">
        <f t="shared" si="95"/>
        <v>#REF!</v>
      </c>
      <c r="G1545" s="2"/>
      <c r="H1545" s="37">
        <v>82206</v>
      </c>
      <c r="I1545" s="4">
        <f t="shared" si="96"/>
        <v>0</v>
      </c>
      <c r="J1545" s="25">
        <f t="shared" si="97"/>
        <v>49</v>
      </c>
    </row>
    <row r="1546" spans="1:10" ht="16.95" customHeight="1">
      <c r="A1546" s="75">
        <v>23</v>
      </c>
      <c r="B1546" s="80" t="s">
        <v>113</v>
      </c>
      <c r="C1546" s="77" t="s">
        <v>48</v>
      </c>
      <c r="D1546" s="78">
        <v>1</v>
      </c>
      <c r="E1546" s="79"/>
      <c r="F1546" s="79" t="e">
        <f t="shared" si="95"/>
        <v>#REF!</v>
      </c>
      <c r="G1546" s="2"/>
      <c r="H1546" s="37">
        <v>142723</v>
      </c>
      <c r="I1546" s="4">
        <f t="shared" si="96"/>
        <v>0</v>
      </c>
      <c r="J1546" s="25">
        <f t="shared" si="97"/>
        <v>49</v>
      </c>
    </row>
    <row r="1547" spans="1:10" ht="16.95" customHeight="1">
      <c r="A1547" s="75">
        <v>24</v>
      </c>
      <c r="B1547" s="80" t="s">
        <v>114</v>
      </c>
      <c r="C1547" s="77" t="s">
        <v>48</v>
      </c>
      <c r="D1547" s="78">
        <v>1</v>
      </c>
      <c r="E1547" s="79"/>
      <c r="F1547" s="79" t="e">
        <f t="shared" si="95"/>
        <v>#REF!</v>
      </c>
      <c r="G1547" s="2"/>
      <c r="H1547" s="37">
        <v>37290</v>
      </c>
      <c r="I1547" s="4">
        <f t="shared" si="96"/>
        <v>0</v>
      </c>
      <c r="J1547" s="25">
        <f t="shared" si="97"/>
        <v>49</v>
      </c>
    </row>
    <row r="1548" spans="1:10" ht="16.95" customHeight="1">
      <c r="A1548" s="75">
        <v>25</v>
      </c>
      <c r="B1548" s="80" t="s">
        <v>115</v>
      </c>
      <c r="C1548" s="77" t="s">
        <v>48</v>
      </c>
      <c r="D1548" s="78">
        <v>1</v>
      </c>
      <c r="E1548" s="79"/>
      <c r="F1548" s="79" t="e">
        <f t="shared" si="95"/>
        <v>#REF!</v>
      </c>
      <c r="G1548" s="2"/>
      <c r="H1548" s="37">
        <v>99394</v>
      </c>
      <c r="I1548" s="4">
        <f t="shared" si="96"/>
        <v>0</v>
      </c>
      <c r="J1548" s="25">
        <f t="shared" si="97"/>
        <v>49</v>
      </c>
    </row>
    <row r="1549" spans="1:10" ht="34.950000000000003" customHeight="1">
      <c r="A1549" s="75">
        <v>26</v>
      </c>
      <c r="B1549" s="80" t="s">
        <v>116</v>
      </c>
      <c r="C1549" s="77" t="s">
        <v>48</v>
      </c>
      <c r="D1549" s="78">
        <v>1</v>
      </c>
      <c r="E1549" s="79"/>
      <c r="F1549" s="79" t="e">
        <f t="shared" si="95"/>
        <v>#REF!</v>
      </c>
      <c r="G1549" s="2"/>
      <c r="H1549" s="37">
        <v>21334</v>
      </c>
      <c r="I1549" s="4">
        <f t="shared" si="96"/>
        <v>0</v>
      </c>
      <c r="J1549" s="25">
        <f t="shared" si="97"/>
        <v>49</v>
      </c>
    </row>
    <row r="1550" spans="1:10" ht="16.95" customHeight="1">
      <c r="A1550" s="75">
        <v>27</v>
      </c>
      <c r="B1550" s="80" t="s">
        <v>117</v>
      </c>
      <c r="C1550" s="77" t="s">
        <v>48</v>
      </c>
      <c r="D1550" s="78">
        <v>1</v>
      </c>
      <c r="E1550" s="79"/>
      <c r="F1550" s="79" t="e">
        <f t="shared" si="95"/>
        <v>#REF!</v>
      </c>
      <c r="G1550" s="2"/>
      <c r="H1550" s="37">
        <v>29620</v>
      </c>
      <c r="I1550" s="4">
        <f t="shared" si="96"/>
        <v>0</v>
      </c>
      <c r="J1550" s="25">
        <f t="shared" si="97"/>
        <v>49</v>
      </c>
    </row>
    <row r="1551" spans="1:10" ht="16.95" customHeight="1">
      <c r="A1551" s="75">
        <v>28</v>
      </c>
      <c r="B1551" s="80" t="s">
        <v>118</v>
      </c>
      <c r="C1551" s="77" t="s">
        <v>48</v>
      </c>
      <c r="D1551" s="78">
        <v>1</v>
      </c>
      <c r="E1551" s="79"/>
      <c r="F1551" s="79" t="e">
        <f t="shared" si="95"/>
        <v>#REF!</v>
      </c>
      <c r="G1551" s="2"/>
      <c r="H1551" s="37">
        <v>18506</v>
      </c>
      <c r="I1551" s="4">
        <f t="shared" si="96"/>
        <v>0</v>
      </c>
      <c r="J1551" s="25">
        <f t="shared" si="97"/>
        <v>49</v>
      </c>
    </row>
    <row r="1552" spans="1:10" ht="16.95" customHeight="1">
      <c r="A1552" s="75">
        <v>29</v>
      </c>
      <c r="B1552" s="80" t="s">
        <v>119</v>
      </c>
      <c r="C1552" s="77" t="s">
        <v>48</v>
      </c>
      <c r="D1552" s="78">
        <v>1</v>
      </c>
      <c r="E1552" s="79"/>
      <c r="F1552" s="79" t="e">
        <f t="shared" si="95"/>
        <v>#REF!</v>
      </c>
      <c r="G1552" s="2"/>
      <c r="H1552" s="37">
        <v>34381</v>
      </c>
      <c r="I1552" s="4">
        <f t="shared" si="96"/>
        <v>0</v>
      </c>
      <c r="J1552" s="25">
        <f t="shared" si="97"/>
        <v>49</v>
      </c>
    </row>
    <row r="1553" spans="1:10" ht="16.95" customHeight="1">
      <c r="A1553" s="75" t="s">
        <v>79</v>
      </c>
      <c r="B1553" s="80" t="s">
        <v>80</v>
      </c>
      <c r="C1553" s="77" t="s">
        <v>48</v>
      </c>
      <c r="D1553" s="78">
        <v>1</v>
      </c>
      <c r="E1553" s="79">
        <f t="shared" ref="E1553:E1556" si="98">1/120</f>
        <v>8.3333333333333332E-3</v>
      </c>
      <c r="F1553" s="79" t="e">
        <f t="shared" si="95"/>
        <v>#REF!</v>
      </c>
      <c r="G1553" s="2"/>
      <c r="H1553" s="37">
        <v>21395</v>
      </c>
      <c r="I1553" s="4">
        <f t="shared" si="96"/>
        <v>178.29166666666666</v>
      </c>
      <c r="J1553" s="25">
        <f t="shared" si="97"/>
        <v>49</v>
      </c>
    </row>
    <row r="1554" spans="1:10" ht="16.95" customHeight="1">
      <c r="A1554" s="75" t="s">
        <v>81</v>
      </c>
      <c r="B1554" s="80" t="s">
        <v>82</v>
      </c>
      <c r="C1554" s="77" t="s">
        <v>48</v>
      </c>
      <c r="D1554" s="78">
        <v>1</v>
      </c>
      <c r="E1554" s="79">
        <f t="shared" si="98"/>
        <v>8.3333333333333332E-3</v>
      </c>
      <c r="F1554" s="79" t="e">
        <f t="shared" si="95"/>
        <v>#REF!</v>
      </c>
      <c r="G1554" s="2"/>
      <c r="H1554" s="37">
        <v>21395</v>
      </c>
      <c r="I1554" s="4">
        <f t="shared" si="96"/>
        <v>178.29166666666666</v>
      </c>
      <c r="J1554" s="25">
        <f t="shared" si="97"/>
        <v>49</v>
      </c>
    </row>
    <row r="1555" spans="1:10" ht="16.95" customHeight="1">
      <c r="A1555" s="75" t="s">
        <v>83</v>
      </c>
      <c r="B1555" s="80" t="s">
        <v>84</v>
      </c>
      <c r="C1555" s="77" t="s">
        <v>48</v>
      </c>
      <c r="D1555" s="78">
        <v>1</v>
      </c>
      <c r="E1555" s="79">
        <f t="shared" si="98"/>
        <v>8.3333333333333332E-3</v>
      </c>
      <c r="F1555" s="79" t="e">
        <f t="shared" si="95"/>
        <v>#REF!</v>
      </c>
      <c r="G1555" s="2"/>
      <c r="H1555" s="37">
        <v>149765</v>
      </c>
      <c r="I1555" s="4">
        <f t="shared" si="96"/>
        <v>1248.0416666666667</v>
      </c>
      <c r="J1555" s="25">
        <f t="shared" si="97"/>
        <v>49</v>
      </c>
    </row>
    <row r="1556" spans="1:10" ht="16.95" customHeight="1">
      <c r="A1556" s="75" t="s">
        <v>85</v>
      </c>
      <c r="B1556" s="80" t="s">
        <v>86</v>
      </c>
      <c r="C1556" s="77" t="s">
        <v>48</v>
      </c>
      <c r="D1556" s="78">
        <v>1</v>
      </c>
      <c r="E1556" s="79">
        <f t="shared" si="98"/>
        <v>8.3333333333333332E-3</v>
      </c>
      <c r="F1556" s="79" t="e">
        <f t="shared" si="95"/>
        <v>#REF!</v>
      </c>
      <c r="G1556" s="2"/>
      <c r="H1556" s="37">
        <v>6996</v>
      </c>
      <c r="I1556" s="4">
        <f t="shared" si="96"/>
        <v>58.3</v>
      </c>
      <c r="J1556" s="25">
        <f t="shared" si="97"/>
        <v>49</v>
      </c>
    </row>
    <row r="1557" spans="1:10" ht="16.95" customHeight="1">
      <c r="A1557" s="75" t="s">
        <v>87</v>
      </c>
      <c r="B1557" s="80" t="s">
        <v>88</v>
      </c>
      <c r="C1557" s="77" t="s">
        <v>48</v>
      </c>
      <c r="D1557" s="78">
        <v>1</v>
      </c>
      <c r="E1557" s="79">
        <f>1/120</f>
        <v>8.3333333333333332E-3</v>
      </c>
      <c r="F1557" s="79" t="e">
        <f t="shared" si="95"/>
        <v>#REF!</v>
      </c>
      <c r="G1557" s="2"/>
      <c r="H1557" s="37">
        <v>116952</v>
      </c>
      <c r="I1557" s="4">
        <f t="shared" si="96"/>
        <v>974.6</v>
      </c>
      <c r="J1557" s="25">
        <f t="shared" si="97"/>
        <v>49</v>
      </c>
    </row>
    <row r="1558" spans="1:10" ht="16.95" customHeight="1">
      <c r="A1558" s="95" t="s">
        <v>23</v>
      </c>
      <c r="B1558" s="95"/>
      <c r="C1558" s="50"/>
      <c r="D1558" s="50"/>
      <c r="E1558" s="50"/>
      <c r="F1558" s="50"/>
      <c r="G1558" s="50"/>
      <c r="H1558" s="3" t="s">
        <v>24</v>
      </c>
      <c r="I1558" s="5">
        <f>SUM(I1523:I1557)</f>
        <v>2637.5250000000001</v>
      </c>
      <c r="J1558" s="25">
        <f t="shared" si="97"/>
        <v>49</v>
      </c>
    </row>
    <row r="1559" spans="1:10" ht="16.95" customHeight="1">
      <c r="A1559" s="96" t="s">
        <v>25</v>
      </c>
      <c r="B1559" s="96"/>
      <c r="C1559" s="50"/>
      <c r="D1559" s="50"/>
      <c r="E1559" s="50"/>
      <c r="F1559" s="50"/>
      <c r="G1559" s="50"/>
      <c r="J1559" s="25">
        <f t="shared" si="97"/>
        <v>49</v>
      </c>
    </row>
    <row r="1560" spans="1:10" ht="16.95" customHeight="1">
      <c r="A1560" s="96" t="s">
        <v>26</v>
      </c>
      <c r="B1560" s="96"/>
      <c r="C1560" s="50"/>
      <c r="D1560" s="50"/>
      <c r="E1560" s="50"/>
      <c r="F1560" s="50"/>
      <c r="G1560" s="50"/>
      <c r="J1560" s="25">
        <f t="shared" si="97"/>
        <v>49</v>
      </c>
    </row>
    <row r="1561" spans="1:10" ht="16.95" customHeight="1">
      <c r="A1561" s="95" t="s">
        <v>27</v>
      </c>
      <c r="B1561" s="95"/>
      <c r="C1561" s="95"/>
      <c r="D1561" s="95"/>
      <c r="E1561" s="95"/>
      <c r="F1561" s="95"/>
      <c r="G1561" s="95"/>
      <c r="J1561" s="25">
        <f t="shared" si="97"/>
        <v>49</v>
      </c>
    </row>
    <row r="1562" spans="1:10" ht="16.95" customHeight="1">
      <c r="A1562" s="94" t="s">
        <v>28</v>
      </c>
      <c r="B1562" s="94"/>
      <c r="C1562" s="51" t="s">
        <v>29</v>
      </c>
      <c r="D1562" s="51" t="s">
        <v>30</v>
      </c>
      <c r="E1562" s="51" t="s">
        <v>18</v>
      </c>
      <c r="F1562" s="51" t="s">
        <v>31</v>
      </c>
      <c r="G1562" s="51" t="s">
        <v>20</v>
      </c>
      <c r="J1562" s="25">
        <f t="shared" si="97"/>
        <v>49</v>
      </c>
    </row>
    <row r="1563" spans="1:10" ht="16.95" customHeight="1">
      <c r="A1563" s="96"/>
      <c r="B1563" s="96"/>
      <c r="C1563" s="50"/>
      <c r="D1563" s="50"/>
      <c r="E1563" s="50"/>
      <c r="F1563" s="50"/>
      <c r="G1563" s="51"/>
      <c r="J1563" s="25">
        <f t="shared" si="97"/>
        <v>49</v>
      </c>
    </row>
    <row r="1564" spans="1:10" ht="16.95" customHeight="1">
      <c r="A1564" s="97"/>
      <c r="B1564" s="97"/>
      <c r="C1564" s="50"/>
      <c r="D1564" s="50"/>
      <c r="E1564" s="50"/>
      <c r="F1564" s="51"/>
      <c r="G1564" s="51"/>
      <c r="J1564" s="25">
        <f t="shared" si="97"/>
        <v>49</v>
      </c>
    </row>
    <row r="1565" spans="1:10" ht="16.95" customHeight="1">
      <c r="A1565" s="95" t="s">
        <v>32</v>
      </c>
      <c r="B1565" s="95"/>
      <c r="C1565" s="95"/>
      <c r="D1565" s="95"/>
      <c r="E1565" s="95"/>
      <c r="F1565" s="95"/>
      <c r="G1565" s="95"/>
      <c r="J1565" s="25">
        <f t="shared" si="97"/>
        <v>50</v>
      </c>
    </row>
    <row r="1566" spans="1:10" ht="16.95" customHeight="1">
      <c r="A1566" s="51" t="s">
        <v>33</v>
      </c>
      <c r="B1566" s="51" t="s">
        <v>34</v>
      </c>
      <c r="C1566" s="94" t="s">
        <v>35</v>
      </c>
      <c r="D1566" s="94"/>
      <c r="E1566" s="51" t="s">
        <v>36</v>
      </c>
      <c r="F1566" s="51" t="s">
        <v>37</v>
      </c>
      <c r="G1566" s="51" t="s">
        <v>38</v>
      </c>
      <c r="J1566" s="25">
        <f t="shared" si="97"/>
        <v>50</v>
      </c>
    </row>
    <row r="1567" spans="1:10" ht="16.95" customHeight="1">
      <c r="A1567" s="51" t="s">
        <v>39</v>
      </c>
      <c r="B1567" s="6"/>
      <c r="C1567" s="94" t="e">
        <f>B1567+C1504</f>
        <v>#REF!</v>
      </c>
      <c r="D1567" s="94"/>
      <c r="E1567" s="51"/>
      <c r="F1567" s="24"/>
      <c r="G1567" s="24"/>
      <c r="J1567" s="25">
        <f t="shared" si="97"/>
        <v>50</v>
      </c>
    </row>
    <row r="1568" spans="1:10" ht="16.95" customHeight="1">
      <c r="A1568" s="51" t="s">
        <v>40</v>
      </c>
      <c r="B1568" s="6"/>
      <c r="C1568" s="94" t="e">
        <f>B1568+C1505</f>
        <v>#REF!</v>
      </c>
      <c r="D1568" s="94"/>
      <c r="E1568" s="51"/>
      <c r="F1568" s="24"/>
      <c r="G1568" s="24"/>
      <c r="J1568" s="25">
        <f t="shared" si="97"/>
        <v>50</v>
      </c>
    </row>
    <row r="1569" spans="1:10" ht="36.6" customHeight="1">
      <c r="A1569" s="95" t="s">
        <v>41</v>
      </c>
      <c r="B1569" s="95"/>
      <c r="C1569" s="95"/>
      <c r="D1569" s="95"/>
      <c r="E1569" s="95"/>
      <c r="F1569" s="95"/>
      <c r="G1569" s="95"/>
      <c r="J1569" s="25">
        <f t="shared" si="97"/>
        <v>50</v>
      </c>
    </row>
    <row r="1570" spans="1:10" ht="90" customHeight="1">
      <c r="A1570" s="92" t="s">
        <v>42</v>
      </c>
      <c r="B1570" s="92"/>
      <c r="C1570" s="92"/>
      <c r="D1570" s="92"/>
      <c r="E1570" s="92"/>
      <c r="F1570" s="92"/>
      <c r="G1570" s="92"/>
      <c r="J1570" s="25">
        <f t="shared" si="97"/>
        <v>50</v>
      </c>
    </row>
    <row r="1571" spans="1:10" ht="16.95" customHeight="1">
      <c r="A1571" s="95" t="s">
        <v>43</v>
      </c>
      <c r="B1571" s="95"/>
      <c r="C1571" s="95"/>
      <c r="D1571" s="95"/>
      <c r="E1571" s="95"/>
      <c r="F1571" s="95"/>
      <c r="G1571" s="95"/>
      <c r="J1571" s="25">
        <f t="shared" si="97"/>
        <v>50</v>
      </c>
    </row>
    <row r="1572" spans="1:10" ht="16.95" customHeight="1">
      <c r="A1572" s="95" t="s">
        <v>44</v>
      </c>
      <c r="B1572" s="95"/>
      <c r="C1572" s="95"/>
      <c r="D1572" s="95"/>
      <c r="E1572" s="95"/>
      <c r="F1572" s="95"/>
      <c r="G1572" s="95"/>
      <c r="J1572" s="25">
        <f t="shared" si="97"/>
        <v>50</v>
      </c>
    </row>
    <row r="1573" spans="1:10" ht="16.95" customHeight="1">
      <c r="A1573" s="91" t="s">
        <v>64</v>
      </c>
      <c r="B1573" s="91"/>
      <c r="C1573" s="91"/>
      <c r="D1573" s="91"/>
      <c r="E1573" s="91"/>
      <c r="F1573" s="91"/>
      <c r="G1573" s="91"/>
      <c r="J1573" s="25">
        <f t="shared" si="97"/>
        <v>50</v>
      </c>
    </row>
    <row r="1574" spans="1:10" ht="120.6" customHeight="1">
      <c r="A1574" s="92" t="s">
        <v>45</v>
      </c>
      <c r="B1574" s="92"/>
      <c r="C1574" s="92"/>
      <c r="D1574" s="92"/>
      <c r="E1574" s="92"/>
      <c r="F1574" s="92"/>
      <c r="G1574" s="92"/>
      <c r="J1574" s="25">
        <f t="shared" si="97"/>
        <v>50</v>
      </c>
    </row>
    <row r="1575" spans="1:10" ht="140.4" customHeight="1">
      <c r="A1575" s="93" t="s">
        <v>46</v>
      </c>
      <c r="B1575" s="93"/>
      <c r="C1575" s="93"/>
      <c r="D1575" s="93"/>
      <c r="E1575" s="93"/>
      <c r="F1575" s="93"/>
      <c r="G1575" s="93"/>
      <c r="J1575" s="25">
        <f t="shared" si="97"/>
        <v>50</v>
      </c>
    </row>
    <row r="1576" spans="1:10" ht="37.200000000000003" customHeight="1">
      <c r="A1576" s="103" t="s">
        <v>0</v>
      </c>
      <c r="B1576" s="103"/>
      <c r="C1576" s="103"/>
      <c r="D1576" s="103"/>
      <c r="E1576" s="103"/>
      <c r="F1576" s="103"/>
      <c r="G1576" s="103"/>
      <c r="J1576" s="25">
        <f t="shared" si="97"/>
        <v>51</v>
      </c>
    </row>
    <row r="1577" spans="1:10" ht="16.95" customHeight="1">
      <c r="A1577" s="1" t="s">
        <v>1</v>
      </c>
      <c r="B1577" s="104">
        <f>B1514+1</f>
        <v>27</v>
      </c>
      <c r="C1577" s="104"/>
      <c r="D1577" s="104"/>
      <c r="E1577" s="104"/>
      <c r="F1577" s="104"/>
      <c r="G1577" s="104"/>
      <c r="J1577" s="25">
        <f t="shared" si="97"/>
        <v>51</v>
      </c>
    </row>
    <row r="1578" spans="1:10" ht="16.95" customHeight="1">
      <c r="A1578" s="1" t="s">
        <v>2</v>
      </c>
      <c r="B1578" s="105" t="s">
        <v>63</v>
      </c>
      <c r="C1578" s="105"/>
      <c r="D1578" s="105"/>
      <c r="E1578" s="106">
        <f>E1515+1</f>
        <v>46229</v>
      </c>
      <c r="F1578" s="106"/>
      <c r="G1578" s="106"/>
      <c r="J1578" s="25">
        <f t="shared" si="97"/>
        <v>51</v>
      </c>
    </row>
    <row r="1579" spans="1:10" ht="16.95" customHeight="1">
      <c r="A1579" s="53" t="s">
        <v>3</v>
      </c>
      <c r="B1579" s="2" t="s">
        <v>67</v>
      </c>
      <c r="C1579" s="98" t="s">
        <v>4</v>
      </c>
      <c r="D1579" s="98"/>
      <c r="E1579" s="98" t="s">
        <v>47</v>
      </c>
      <c r="F1579" s="98"/>
      <c r="G1579" s="98"/>
      <c r="J1579" s="25">
        <f t="shared" si="97"/>
        <v>51</v>
      </c>
    </row>
    <row r="1580" spans="1:10" ht="16.95" customHeight="1">
      <c r="A1580" s="53" t="s">
        <v>5</v>
      </c>
      <c r="B1580" s="54">
        <v>120</v>
      </c>
      <c r="C1580" s="98" t="s">
        <v>6</v>
      </c>
      <c r="D1580" s="98"/>
      <c r="E1580" s="98" t="s">
        <v>123</v>
      </c>
      <c r="F1580" s="98"/>
      <c r="G1580" s="98"/>
      <c r="J1580" s="25">
        <f t="shared" si="97"/>
        <v>51</v>
      </c>
    </row>
    <row r="1581" spans="1:10" ht="16.95" customHeight="1">
      <c r="A1581" s="53" t="s">
        <v>7</v>
      </c>
      <c r="B1581" s="54">
        <f>B1577</f>
        <v>27</v>
      </c>
      <c r="C1581" s="100" t="s">
        <v>8</v>
      </c>
      <c r="D1581" s="100"/>
      <c r="E1581" s="101">
        <f>B1580-B1581</f>
        <v>93</v>
      </c>
      <c r="F1581" s="101"/>
      <c r="G1581" s="101"/>
      <c r="J1581" s="25">
        <f t="shared" si="97"/>
        <v>51</v>
      </c>
    </row>
    <row r="1582" spans="1:10" ht="16.95" customHeight="1">
      <c r="A1582" s="53" t="s">
        <v>9</v>
      </c>
      <c r="B1582" s="55">
        <v>46204</v>
      </c>
      <c r="C1582" s="98" t="s">
        <v>10</v>
      </c>
      <c r="D1582" s="98"/>
      <c r="E1582" s="102">
        <f>B1582+B1580-1</f>
        <v>46323</v>
      </c>
      <c r="F1582" s="102"/>
      <c r="G1582" s="102"/>
      <c r="J1582" s="25">
        <f t="shared" si="97"/>
        <v>51</v>
      </c>
    </row>
    <row r="1583" spans="1:10" ht="16.95" customHeight="1">
      <c r="A1583" s="53" t="s">
        <v>11</v>
      </c>
      <c r="B1583" s="56" t="e">
        <f>HLOOKUP(B1577,進度表!$Q$2:$Z$3,2,1)+B1520</f>
        <v>#REF!</v>
      </c>
      <c r="C1583" s="98" t="s">
        <v>12</v>
      </c>
      <c r="D1583" s="98"/>
      <c r="E1583" s="99" t="e">
        <f>I1621/I1583+E1520</f>
        <v>#REF!</v>
      </c>
      <c r="F1583" s="99"/>
      <c r="G1583" s="99"/>
      <c r="H1583" s="3" t="s">
        <v>62</v>
      </c>
      <c r="I1583" s="1">
        <v>2456000</v>
      </c>
      <c r="J1583" s="25">
        <f t="shared" si="97"/>
        <v>51</v>
      </c>
    </row>
    <row r="1584" spans="1:10" ht="16.95" customHeight="1">
      <c r="A1584" s="98" t="s">
        <v>13</v>
      </c>
      <c r="B1584" s="98"/>
      <c r="C1584" s="98"/>
      <c r="D1584" s="98"/>
      <c r="E1584" s="98"/>
      <c r="F1584" s="98"/>
      <c r="G1584" s="98"/>
      <c r="J1584" s="25">
        <f t="shared" si="97"/>
        <v>51</v>
      </c>
    </row>
    <row r="1585" spans="1:10" ht="16.95" customHeight="1">
      <c r="A1585" s="52" t="s">
        <v>14</v>
      </c>
      <c r="B1585" s="52" t="s">
        <v>15</v>
      </c>
      <c r="C1585" s="52" t="s">
        <v>16</v>
      </c>
      <c r="D1585" s="52" t="s">
        <v>17</v>
      </c>
      <c r="E1585" s="52" t="s">
        <v>18</v>
      </c>
      <c r="F1585" s="52" t="s">
        <v>19</v>
      </c>
      <c r="G1585" s="52" t="s">
        <v>20</v>
      </c>
      <c r="H1585" s="3" t="s">
        <v>21</v>
      </c>
      <c r="I1585" s="3" t="s">
        <v>22</v>
      </c>
      <c r="J1585" s="25">
        <f t="shared" si="97"/>
        <v>51</v>
      </c>
    </row>
    <row r="1586" spans="1:10" ht="16.95" customHeight="1">
      <c r="A1586" s="75" t="s">
        <v>65</v>
      </c>
      <c r="B1586" s="76" t="s">
        <v>69</v>
      </c>
      <c r="C1586" s="77"/>
      <c r="D1586" s="78"/>
      <c r="E1586" s="79"/>
      <c r="F1586" s="79"/>
      <c r="G1586" s="2"/>
      <c r="H1586" s="37"/>
      <c r="I1586" s="4"/>
      <c r="J1586" s="25">
        <f t="shared" si="97"/>
        <v>51</v>
      </c>
    </row>
    <row r="1587" spans="1:10" ht="34.950000000000003" customHeight="1">
      <c r="A1587" s="75">
        <v>1</v>
      </c>
      <c r="B1587" s="80" t="s">
        <v>91</v>
      </c>
      <c r="C1587" s="77" t="s">
        <v>48</v>
      </c>
      <c r="D1587" s="78">
        <v>1</v>
      </c>
      <c r="E1587" s="79"/>
      <c r="F1587" s="79" t="e">
        <f t="shared" ref="F1587:F1620" si="99">E1587+F1524</f>
        <v>#REF!</v>
      </c>
      <c r="G1587" s="2"/>
      <c r="H1587" s="37">
        <v>10508</v>
      </c>
      <c r="I1587" s="4">
        <f>H1587*E1587</f>
        <v>0</v>
      </c>
      <c r="J1587" s="25">
        <f t="shared" si="97"/>
        <v>51</v>
      </c>
    </row>
    <row r="1588" spans="1:10" ht="34.799999999999997" customHeight="1">
      <c r="A1588" s="75">
        <v>2</v>
      </c>
      <c r="B1588" s="80" t="s">
        <v>92</v>
      </c>
      <c r="C1588" s="77" t="s">
        <v>48</v>
      </c>
      <c r="D1588" s="78">
        <v>1</v>
      </c>
      <c r="E1588" s="79"/>
      <c r="F1588" s="79" t="e">
        <f t="shared" si="99"/>
        <v>#REF!</v>
      </c>
      <c r="G1588" s="2"/>
      <c r="H1588" s="37">
        <v>13223</v>
      </c>
      <c r="I1588" s="4">
        <f>H1588*E1588</f>
        <v>0</v>
      </c>
      <c r="J1588" s="25">
        <f t="shared" si="97"/>
        <v>51</v>
      </c>
    </row>
    <row r="1589" spans="1:10" ht="53.4" customHeight="1">
      <c r="A1589" s="75">
        <v>3</v>
      </c>
      <c r="B1589" s="80" t="s">
        <v>93</v>
      </c>
      <c r="C1589" s="77" t="s">
        <v>48</v>
      </c>
      <c r="D1589" s="78">
        <v>1</v>
      </c>
      <c r="E1589" s="79"/>
      <c r="F1589" s="79" t="e">
        <f t="shared" si="99"/>
        <v>#REF!</v>
      </c>
      <c r="G1589" s="2"/>
      <c r="H1589" s="37">
        <v>310497</v>
      </c>
      <c r="I1589" s="4">
        <f t="shared" ref="I1589:I1620" si="100">H1589*E1589</f>
        <v>0</v>
      </c>
      <c r="J1589" s="25">
        <f t="shared" si="97"/>
        <v>51</v>
      </c>
    </row>
    <row r="1590" spans="1:10" ht="16.95" customHeight="1">
      <c r="A1590" s="75">
        <v>4</v>
      </c>
      <c r="B1590" s="80" t="s">
        <v>94</v>
      </c>
      <c r="C1590" s="77" t="s">
        <v>48</v>
      </c>
      <c r="D1590" s="78">
        <v>1</v>
      </c>
      <c r="E1590" s="79"/>
      <c r="F1590" s="79" t="e">
        <f t="shared" si="99"/>
        <v>#REF!</v>
      </c>
      <c r="G1590" s="2"/>
      <c r="H1590" s="37">
        <v>8375</v>
      </c>
      <c r="I1590" s="4">
        <f t="shared" si="100"/>
        <v>0</v>
      </c>
      <c r="J1590" s="25">
        <f t="shared" si="97"/>
        <v>51</v>
      </c>
    </row>
    <row r="1591" spans="1:10" ht="16.95" customHeight="1">
      <c r="A1591" s="75">
        <v>5</v>
      </c>
      <c r="B1591" s="80" t="s">
        <v>95</v>
      </c>
      <c r="C1591" s="77" t="s">
        <v>48</v>
      </c>
      <c r="D1591" s="78">
        <v>1</v>
      </c>
      <c r="E1591" s="79"/>
      <c r="F1591" s="79" t="e">
        <f t="shared" si="99"/>
        <v>#REF!</v>
      </c>
      <c r="G1591" s="2"/>
      <c r="H1591" s="37">
        <v>51618</v>
      </c>
      <c r="I1591" s="4">
        <f t="shared" si="100"/>
        <v>0</v>
      </c>
      <c r="J1591" s="25">
        <f t="shared" si="97"/>
        <v>51</v>
      </c>
    </row>
    <row r="1592" spans="1:10" ht="16.95" customHeight="1">
      <c r="A1592" s="75">
        <v>6</v>
      </c>
      <c r="B1592" s="80" t="s">
        <v>96</v>
      </c>
      <c r="C1592" s="77" t="s">
        <v>50</v>
      </c>
      <c r="D1592" s="78">
        <v>11.55</v>
      </c>
      <c r="E1592" s="79"/>
      <c r="F1592" s="79" t="e">
        <f t="shared" si="99"/>
        <v>#REF!</v>
      </c>
      <c r="G1592" s="2"/>
      <c r="H1592" s="37">
        <v>1188</v>
      </c>
      <c r="I1592" s="4">
        <f t="shared" si="100"/>
        <v>0</v>
      </c>
      <c r="J1592" s="25">
        <f t="shared" si="97"/>
        <v>51</v>
      </c>
    </row>
    <row r="1593" spans="1:10" ht="34.950000000000003" customHeight="1">
      <c r="A1593" s="75">
        <v>7</v>
      </c>
      <c r="B1593" s="80" t="s">
        <v>97</v>
      </c>
      <c r="C1593" s="77" t="s">
        <v>48</v>
      </c>
      <c r="D1593" s="78">
        <v>1</v>
      </c>
      <c r="E1593" s="79"/>
      <c r="F1593" s="79" t="e">
        <f t="shared" si="99"/>
        <v>#REF!</v>
      </c>
      <c r="G1593" s="2"/>
      <c r="H1593" s="37">
        <v>21157</v>
      </c>
      <c r="I1593" s="4">
        <f t="shared" si="100"/>
        <v>0</v>
      </c>
      <c r="J1593" s="25">
        <f t="shared" si="97"/>
        <v>51</v>
      </c>
    </row>
    <row r="1594" spans="1:10" ht="16.95" customHeight="1">
      <c r="A1594" s="75">
        <v>8</v>
      </c>
      <c r="B1594" s="80" t="s">
        <v>98</v>
      </c>
      <c r="C1594" s="77" t="s">
        <v>50</v>
      </c>
      <c r="D1594" s="78">
        <v>387</v>
      </c>
      <c r="E1594" s="79"/>
      <c r="F1594" s="79" t="e">
        <f t="shared" si="99"/>
        <v>#REF!</v>
      </c>
      <c r="G1594" s="2"/>
      <c r="H1594" s="37">
        <v>705</v>
      </c>
      <c r="I1594" s="4">
        <f t="shared" si="100"/>
        <v>0</v>
      </c>
      <c r="J1594" s="25">
        <f t="shared" si="97"/>
        <v>51</v>
      </c>
    </row>
    <row r="1595" spans="1:10" ht="16.95" customHeight="1">
      <c r="A1595" s="75">
        <v>9</v>
      </c>
      <c r="B1595" s="80" t="s">
        <v>99</v>
      </c>
      <c r="C1595" s="77" t="s">
        <v>50</v>
      </c>
      <c r="D1595" s="78">
        <v>170</v>
      </c>
      <c r="E1595" s="79"/>
      <c r="F1595" s="79" t="e">
        <f t="shared" si="99"/>
        <v>#REF!</v>
      </c>
      <c r="G1595" s="2"/>
      <c r="H1595" s="37">
        <v>617</v>
      </c>
      <c r="I1595" s="4">
        <f t="shared" si="100"/>
        <v>0</v>
      </c>
      <c r="J1595" s="25">
        <f t="shared" ref="J1595:J1658" si="101">J1532+2</f>
        <v>51</v>
      </c>
    </row>
    <row r="1596" spans="1:10" ht="16.95" customHeight="1">
      <c r="A1596" s="75">
        <v>10</v>
      </c>
      <c r="B1596" s="80" t="s">
        <v>100</v>
      </c>
      <c r="C1596" s="77" t="s">
        <v>66</v>
      </c>
      <c r="D1596" s="78">
        <v>15</v>
      </c>
      <c r="E1596" s="79"/>
      <c r="F1596" s="79" t="e">
        <f t="shared" si="99"/>
        <v>#REF!</v>
      </c>
      <c r="G1596" s="2"/>
      <c r="H1596" s="37">
        <v>617</v>
      </c>
      <c r="I1596" s="4">
        <f t="shared" si="100"/>
        <v>0</v>
      </c>
      <c r="J1596" s="25">
        <f t="shared" si="101"/>
        <v>51</v>
      </c>
    </row>
    <row r="1597" spans="1:10" ht="16.95" customHeight="1">
      <c r="A1597" s="75">
        <v>11</v>
      </c>
      <c r="B1597" s="80" t="s">
        <v>101</v>
      </c>
      <c r="C1597" s="77" t="s">
        <v>50</v>
      </c>
      <c r="D1597" s="78">
        <v>75</v>
      </c>
      <c r="E1597" s="79"/>
      <c r="F1597" s="79" t="e">
        <f t="shared" si="99"/>
        <v>#REF!</v>
      </c>
      <c r="G1597" s="2"/>
      <c r="H1597" s="37">
        <v>1146</v>
      </c>
      <c r="I1597" s="4">
        <f t="shared" si="100"/>
        <v>0</v>
      </c>
      <c r="J1597" s="25">
        <f t="shared" si="101"/>
        <v>51</v>
      </c>
    </row>
    <row r="1598" spans="1:10" ht="16.95" customHeight="1">
      <c r="A1598" s="75">
        <v>12</v>
      </c>
      <c r="B1598" s="80" t="s">
        <v>102</v>
      </c>
      <c r="C1598" s="77" t="s">
        <v>50</v>
      </c>
      <c r="D1598" s="78">
        <v>5</v>
      </c>
      <c r="E1598" s="79"/>
      <c r="F1598" s="79" t="e">
        <f t="shared" si="99"/>
        <v>#REF!</v>
      </c>
      <c r="G1598" s="2"/>
      <c r="H1598" s="37">
        <v>1455</v>
      </c>
      <c r="I1598" s="4">
        <f t="shared" si="100"/>
        <v>0</v>
      </c>
      <c r="J1598" s="25">
        <f t="shared" si="101"/>
        <v>51</v>
      </c>
    </row>
    <row r="1599" spans="1:10" ht="16.95" customHeight="1">
      <c r="A1599" s="75">
        <v>13</v>
      </c>
      <c r="B1599" s="80" t="s">
        <v>103</v>
      </c>
      <c r="C1599" s="77" t="s">
        <v>50</v>
      </c>
      <c r="D1599" s="78">
        <v>217</v>
      </c>
      <c r="E1599" s="79"/>
      <c r="F1599" s="79" t="e">
        <f t="shared" si="99"/>
        <v>#REF!</v>
      </c>
      <c r="G1599" s="2"/>
      <c r="H1599" s="37">
        <v>1410</v>
      </c>
      <c r="I1599" s="4">
        <f t="shared" si="100"/>
        <v>0</v>
      </c>
      <c r="J1599" s="25">
        <f t="shared" si="101"/>
        <v>51</v>
      </c>
    </row>
    <row r="1600" spans="1:10" ht="16.95" customHeight="1">
      <c r="A1600" s="75">
        <v>14</v>
      </c>
      <c r="B1600" s="80" t="s">
        <v>104</v>
      </c>
      <c r="C1600" s="77" t="s">
        <v>49</v>
      </c>
      <c r="D1600" s="78">
        <v>84</v>
      </c>
      <c r="E1600" s="79"/>
      <c r="F1600" s="79" t="e">
        <f t="shared" si="99"/>
        <v>#REF!</v>
      </c>
      <c r="G1600" s="2"/>
      <c r="H1600" s="37">
        <v>529</v>
      </c>
      <c r="I1600" s="4">
        <f t="shared" si="100"/>
        <v>0</v>
      </c>
      <c r="J1600" s="25">
        <f t="shared" si="101"/>
        <v>51</v>
      </c>
    </row>
    <row r="1601" spans="1:10" ht="16.95" customHeight="1">
      <c r="A1601" s="75">
        <v>15</v>
      </c>
      <c r="B1601" s="80" t="s">
        <v>105</v>
      </c>
      <c r="C1601" s="77" t="s">
        <v>50</v>
      </c>
      <c r="D1601" s="78">
        <v>1</v>
      </c>
      <c r="E1601" s="79"/>
      <c r="F1601" s="79" t="e">
        <f t="shared" si="99"/>
        <v>#REF!</v>
      </c>
      <c r="G1601" s="2"/>
      <c r="H1601" s="37">
        <v>1146</v>
      </c>
      <c r="I1601" s="4">
        <f t="shared" si="100"/>
        <v>0</v>
      </c>
      <c r="J1601" s="25">
        <f t="shared" si="101"/>
        <v>51</v>
      </c>
    </row>
    <row r="1602" spans="1:10" ht="34.799999999999997" customHeight="1">
      <c r="A1602" s="75">
        <v>16</v>
      </c>
      <c r="B1602" s="80" t="s">
        <v>106</v>
      </c>
      <c r="C1602" s="77" t="s">
        <v>50</v>
      </c>
      <c r="D1602" s="78">
        <v>314</v>
      </c>
      <c r="E1602" s="79"/>
      <c r="F1602" s="79" t="e">
        <f t="shared" si="99"/>
        <v>#REF!</v>
      </c>
      <c r="G1602" s="2"/>
      <c r="H1602" s="37">
        <v>185</v>
      </c>
      <c r="I1602" s="4">
        <f t="shared" si="100"/>
        <v>0</v>
      </c>
      <c r="J1602" s="25">
        <f t="shared" si="101"/>
        <v>51</v>
      </c>
    </row>
    <row r="1603" spans="1:10" ht="16.95" customHeight="1">
      <c r="A1603" s="75">
        <v>17</v>
      </c>
      <c r="B1603" s="80" t="s">
        <v>107</v>
      </c>
      <c r="C1603" s="77" t="s">
        <v>48</v>
      </c>
      <c r="D1603" s="78">
        <v>1</v>
      </c>
      <c r="E1603" s="79"/>
      <c r="F1603" s="79" t="e">
        <f t="shared" si="99"/>
        <v>#REF!</v>
      </c>
      <c r="G1603" s="2"/>
      <c r="H1603" s="37">
        <v>89918</v>
      </c>
      <c r="I1603" s="4">
        <f t="shared" si="100"/>
        <v>0</v>
      </c>
      <c r="J1603" s="25">
        <f t="shared" si="101"/>
        <v>51</v>
      </c>
    </row>
    <row r="1604" spans="1:10" ht="16.95" customHeight="1">
      <c r="A1604" s="75">
        <v>18</v>
      </c>
      <c r="B1604" s="80" t="s">
        <v>108</v>
      </c>
      <c r="C1604" s="77" t="s">
        <v>120</v>
      </c>
      <c r="D1604" s="78">
        <v>15</v>
      </c>
      <c r="E1604" s="79"/>
      <c r="F1604" s="79" t="e">
        <f t="shared" si="99"/>
        <v>#REF!</v>
      </c>
      <c r="G1604" s="2"/>
      <c r="H1604" s="37">
        <v>661</v>
      </c>
      <c r="I1604" s="4">
        <f t="shared" si="100"/>
        <v>0</v>
      </c>
      <c r="J1604" s="25">
        <f t="shared" si="101"/>
        <v>51</v>
      </c>
    </row>
    <row r="1605" spans="1:10" ht="16.95" customHeight="1">
      <c r="A1605" s="75">
        <v>19</v>
      </c>
      <c r="B1605" s="80" t="s">
        <v>109</v>
      </c>
      <c r="C1605" s="77" t="s">
        <v>50</v>
      </c>
      <c r="D1605" s="78">
        <v>82</v>
      </c>
      <c r="E1605" s="79"/>
      <c r="F1605" s="79" t="e">
        <f t="shared" si="99"/>
        <v>#REF!</v>
      </c>
      <c r="G1605" s="2"/>
      <c r="H1605" s="37">
        <v>2909</v>
      </c>
      <c r="I1605" s="4">
        <f t="shared" si="100"/>
        <v>0</v>
      </c>
      <c r="J1605" s="25">
        <f t="shared" si="101"/>
        <v>51</v>
      </c>
    </row>
    <row r="1606" spans="1:10" ht="16.95" customHeight="1">
      <c r="A1606" s="75">
        <v>20</v>
      </c>
      <c r="B1606" s="80" t="s">
        <v>110</v>
      </c>
      <c r="C1606" s="77" t="s">
        <v>121</v>
      </c>
      <c r="D1606" s="78">
        <v>12</v>
      </c>
      <c r="E1606" s="79"/>
      <c r="F1606" s="79" t="e">
        <f t="shared" si="99"/>
        <v>#REF!</v>
      </c>
      <c r="G1606" s="2"/>
      <c r="H1606" s="37">
        <v>882</v>
      </c>
      <c r="I1606" s="4">
        <f t="shared" si="100"/>
        <v>0</v>
      </c>
      <c r="J1606" s="25">
        <f t="shared" si="101"/>
        <v>51</v>
      </c>
    </row>
    <row r="1607" spans="1:10" ht="16.95" customHeight="1">
      <c r="A1607" s="77">
        <v>21</v>
      </c>
      <c r="B1607" s="80" t="s">
        <v>111</v>
      </c>
      <c r="C1607" s="77" t="s">
        <v>122</v>
      </c>
      <c r="D1607" s="78">
        <v>3</v>
      </c>
      <c r="E1607" s="79"/>
      <c r="F1607" s="79" t="e">
        <f t="shared" si="99"/>
        <v>#REF!</v>
      </c>
      <c r="G1607" s="2"/>
      <c r="H1607" s="38">
        <v>1869</v>
      </c>
      <c r="I1607" s="4">
        <f t="shared" si="100"/>
        <v>0</v>
      </c>
      <c r="J1607" s="25">
        <f t="shared" si="101"/>
        <v>51</v>
      </c>
    </row>
    <row r="1608" spans="1:10" ht="34.950000000000003" customHeight="1">
      <c r="A1608" s="75">
        <v>22</v>
      </c>
      <c r="B1608" s="80" t="s">
        <v>112</v>
      </c>
      <c r="C1608" s="77" t="s">
        <v>48</v>
      </c>
      <c r="D1608" s="78">
        <v>1</v>
      </c>
      <c r="E1608" s="79"/>
      <c r="F1608" s="79" t="e">
        <f t="shared" si="99"/>
        <v>#REF!</v>
      </c>
      <c r="G1608" s="2"/>
      <c r="H1608" s="37">
        <v>82206</v>
      </c>
      <c r="I1608" s="4">
        <f t="shared" si="100"/>
        <v>0</v>
      </c>
      <c r="J1608" s="25">
        <f t="shared" si="101"/>
        <v>51</v>
      </c>
    </row>
    <row r="1609" spans="1:10" ht="16.95" customHeight="1">
      <c r="A1609" s="75">
        <v>23</v>
      </c>
      <c r="B1609" s="80" t="s">
        <v>113</v>
      </c>
      <c r="C1609" s="77" t="s">
        <v>48</v>
      </c>
      <c r="D1609" s="78">
        <v>1</v>
      </c>
      <c r="E1609" s="79"/>
      <c r="F1609" s="79" t="e">
        <f t="shared" si="99"/>
        <v>#REF!</v>
      </c>
      <c r="G1609" s="2"/>
      <c r="H1609" s="37">
        <v>142723</v>
      </c>
      <c r="I1609" s="4">
        <f t="shared" si="100"/>
        <v>0</v>
      </c>
      <c r="J1609" s="25">
        <f t="shared" si="101"/>
        <v>51</v>
      </c>
    </row>
    <row r="1610" spans="1:10" ht="16.95" customHeight="1">
      <c r="A1610" s="75">
        <v>24</v>
      </c>
      <c r="B1610" s="80" t="s">
        <v>114</v>
      </c>
      <c r="C1610" s="77" t="s">
        <v>48</v>
      </c>
      <c r="D1610" s="78">
        <v>1</v>
      </c>
      <c r="E1610" s="79"/>
      <c r="F1610" s="79" t="e">
        <f t="shared" si="99"/>
        <v>#REF!</v>
      </c>
      <c r="G1610" s="2"/>
      <c r="H1610" s="37">
        <v>37290</v>
      </c>
      <c r="I1610" s="4">
        <f t="shared" si="100"/>
        <v>0</v>
      </c>
      <c r="J1610" s="25">
        <f t="shared" si="101"/>
        <v>51</v>
      </c>
    </row>
    <row r="1611" spans="1:10" ht="16.95" customHeight="1">
      <c r="A1611" s="75">
        <v>25</v>
      </c>
      <c r="B1611" s="80" t="s">
        <v>115</v>
      </c>
      <c r="C1611" s="77" t="s">
        <v>48</v>
      </c>
      <c r="D1611" s="78">
        <v>1</v>
      </c>
      <c r="E1611" s="79"/>
      <c r="F1611" s="79" t="e">
        <f t="shared" si="99"/>
        <v>#REF!</v>
      </c>
      <c r="G1611" s="2"/>
      <c r="H1611" s="37">
        <v>99394</v>
      </c>
      <c r="I1611" s="4">
        <f t="shared" si="100"/>
        <v>0</v>
      </c>
      <c r="J1611" s="25">
        <f t="shared" si="101"/>
        <v>51</v>
      </c>
    </row>
    <row r="1612" spans="1:10" ht="34.950000000000003" customHeight="1">
      <c r="A1612" s="75">
        <v>26</v>
      </c>
      <c r="B1612" s="80" t="s">
        <v>116</v>
      </c>
      <c r="C1612" s="77" t="s">
        <v>48</v>
      </c>
      <c r="D1612" s="78">
        <v>1</v>
      </c>
      <c r="E1612" s="79"/>
      <c r="F1612" s="79" t="e">
        <f t="shared" si="99"/>
        <v>#REF!</v>
      </c>
      <c r="G1612" s="2"/>
      <c r="H1612" s="37">
        <v>21334</v>
      </c>
      <c r="I1612" s="4">
        <f t="shared" si="100"/>
        <v>0</v>
      </c>
      <c r="J1612" s="25">
        <f t="shared" si="101"/>
        <v>51</v>
      </c>
    </row>
    <row r="1613" spans="1:10" ht="16.95" customHeight="1">
      <c r="A1613" s="75">
        <v>27</v>
      </c>
      <c r="B1613" s="80" t="s">
        <v>117</v>
      </c>
      <c r="C1613" s="77" t="s">
        <v>48</v>
      </c>
      <c r="D1613" s="78">
        <v>1</v>
      </c>
      <c r="E1613" s="79"/>
      <c r="F1613" s="79" t="e">
        <f t="shared" si="99"/>
        <v>#REF!</v>
      </c>
      <c r="G1613" s="2"/>
      <c r="H1613" s="37">
        <v>29620</v>
      </c>
      <c r="I1613" s="4">
        <f t="shared" si="100"/>
        <v>0</v>
      </c>
      <c r="J1613" s="25">
        <f t="shared" si="101"/>
        <v>51</v>
      </c>
    </row>
    <row r="1614" spans="1:10" ht="16.95" customHeight="1">
      <c r="A1614" s="75">
        <v>28</v>
      </c>
      <c r="B1614" s="80" t="s">
        <v>118</v>
      </c>
      <c r="C1614" s="77" t="s">
        <v>48</v>
      </c>
      <c r="D1614" s="78">
        <v>1</v>
      </c>
      <c r="E1614" s="79"/>
      <c r="F1614" s="79" t="e">
        <f t="shared" si="99"/>
        <v>#REF!</v>
      </c>
      <c r="G1614" s="2"/>
      <c r="H1614" s="37">
        <v>18506</v>
      </c>
      <c r="I1614" s="4">
        <f t="shared" si="100"/>
        <v>0</v>
      </c>
      <c r="J1614" s="25">
        <f t="shared" si="101"/>
        <v>51</v>
      </c>
    </row>
    <row r="1615" spans="1:10" ht="16.95" customHeight="1">
      <c r="A1615" s="75">
        <v>29</v>
      </c>
      <c r="B1615" s="80" t="s">
        <v>119</v>
      </c>
      <c r="C1615" s="77" t="s">
        <v>48</v>
      </c>
      <c r="D1615" s="78">
        <v>1</v>
      </c>
      <c r="E1615" s="79"/>
      <c r="F1615" s="79" t="e">
        <f t="shared" si="99"/>
        <v>#REF!</v>
      </c>
      <c r="G1615" s="2"/>
      <c r="H1615" s="37">
        <v>34381</v>
      </c>
      <c r="I1615" s="4">
        <f t="shared" si="100"/>
        <v>0</v>
      </c>
      <c r="J1615" s="25">
        <f t="shared" si="101"/>
        <v>51</v>
      </c>
    </row>
    <row r="1616" spans="1:10" ht="16.95" customHeight="1">
      <c r="A1616" s="75" t="s">
        <v>79</v>
      </c>
      <c r="B1616" s="80" t="s">
        <v>80</v>
      </c>
      <c r="C1616" s="77" t="s">
        <v>48</v>
      </c>
      <c r="D1616" s="78">
        <v>1</v>
      </c>
      <c r="E1616" s="79">
        <f t="shared" ref="E1616:E1619" si="102">1/120</f>
        <v>8.3333333333333332E-3</v>
      </c>
      <c r="F1616" s="79" t="e">
        <f t="shared" si="99"/>
        <v>#REF!</v>
      </c>
      <c r="G1616" s="2"/>
      <c r="H1616" s="37">
        <v>21395</v>
      </c>
      <c r="I1616" s="4">
        <f t="shared" si="100"/>
        <v>178.29166666666666</v>
      </c>
      <c r="J1616" s="25">
        <f t="shared" si="101"/>
        <v>51</v>
      </c>
    </row>
    <row r="1617" spans="1:10" ht="16.95" customHeight="1">
      <c r="A1617" s="75" t="s">
        <v>81</v>
      </c>
      <c r="B1617" s="80" t="s">
        <v>82</v>
      </c>
      <c r="C1617" s="77" t="s">
        <v>48</v>
      </c>
      <c r="D1617" s="78">
        <v>1</v>
      </c>
      <c r="E1617" s="79">
        <f t="shared" si="102"/>
        <v>8.3333333333333332E-3</v>
      </c>
      <c r="F1617" s="79" t="e">
        <f t="shared" si="99"/>
        <v>#REF!</v>
      </c>
      <c r="G1617" s="2"/>
      <c r="H1617" s="37">
        <v>21395</v>
      </c>
      <c r="I1617" s="4">
        <f t="shared" si="100"/>
        <v>178.29166666666666</v>
      </c>
      <c r="J1617" s="25">
        <f t="shared" si="101"/>
        <v>51</v>
      </c>
    </row>
    <row r="1618" spans="1:10" ht="16.95" customHeight="1">
      <c r="A1618" s="75" t="s">
        <v>83</v>
      </c>
      <c r="B1618" s="80" t="s">
        <v>84</v>
      </c>
      <c r="C1618" s="77" t="s">
        <v>48</v>
      </c>
      <c r="D1618" s="78">
        <v>1</v>
      </c>
      <c r="E1618" s="79">
        <f t="shared" si="102"/>
        <v>8.3333333333333332E-3</v>
      </c>
      <c r="F1618" s="79" t="e">
        <f t="shared" si="99"/>
        <v>#REF!</v>
      </c>
      <c r="G1618" s="2"/>
      <c r="H1618" s="37">
        <v>149765</v>
      </c>
      <c r="I1618" s="4">
        <f t="shared" si="100"/>
        <v>1248.0416666666667</v>
      </c>
      <c r="J1618" s="25">
        <f t="shared" si="101"/>
        <v>51</v>
      </c>
    </row>
    <row r="1619" spans="1:10" ht="16.95" customHeight="1">
      <c r="A1619" s="75" t="s">
        <v>85</v>
      </c>
      <c r="B1619" s="80" t="s">
        <v>86</v>
      </c>
      <c r="C1619" s="77" t="s">
        <v>48</v>
      </c>
      <c r="D1619" s="78">
        <v>1</v>
      </c>
      <c r="E1619" s="79">
        <f t="shared" si="102"/>
        <v>8.3333333333333332E-3</v>
      </c>
      <c r="F1619" s="79" t="e">
        <f t="shared" si="99"/>
        <v>#REF!</v>
      </c>
      <c r="G1619" s="2"/>
      <c r="H1619" s="37">
        <v>6996</v>
      </c>
      <c r="I1619" s="4">
        <f t="shared" si="100"/>
        <v>58.3</v>
      </c>
      <c r="J1619" s="25">
        <f t="shared" si="101"/>
        <v>51</v>
      </c>
    </row>
    <row r="1620" spans="1:10" ht="16.95" customHeight="1">
      <c r="A1620" s="75" t="s">
        <v>87</v>
      </c>
      <c r="B1620" s="80" t="s">
        <v>88</v>
      </c>
      <c r="C1620" s="77" t="s">
        <v>48</v>
      </c>
      <c r="D1620" s="78">
        <v>1</v>
      </c>
      <c r="E1620" s="79">
        <f>1/120</f>
        <v>8.3333333333333332E-3</v>
      </c>
      <c r="F1620" s="79" t="e">
        <f t="shared" si="99"/>
        <v>#REF!</v>
      </c>
      <c r="G1620" s="2"/>
      <c r="H1620" s="37">
        <v>116952</v>
      </c>
      <c r="I1620" s="4">
        <f t="shared" si="100"/>
        <v>974.6</v>
      </c>
      <c r="J1620" s="25">
        <f t="shared" si="101"/>
        <v>51</v>
      </c>
    </row>
    <row r="1621" spans="1:10" ht="16.95" customHeight="1">
      <c r="A1621" s="95" t="s">
        <v>23</v>
      </c>
      <c r="B1621" s="95"/>
      <c r="C1621" s="50"/>
      <c r="D1621" s="50"/>
      <c r="E1621" s="50"/>
      <c r="F1621" s="50"/>
      <c r="G1621" s="50"/>
      <c r="H1621" s="3" t="s">
        <v>24</v>
      </c>
      <c r="I1621" s="5">
        <f>SUM(I1586:I1620)</f>
        <v>2637.5250000000001</v>
      </c>
      <c r="J1621" s="25">
        <f t="shared" si="101"/>
        <v>51</v>
      </c>
    </row>
    <row r="1622" spans="1:10" ht="16.95" customHeight="1">
      <c r="A1622" s="96" t="s">
        <v>25</v>
      </c>
      <c r="B1622" s="96"/>
      <c r="C1622" s="50"/>
      <c r="D1622" s="50"/>
      <c r="E1622" s="50"/>
      <c r="F1622" s="50"/>
      <c r="G1622" s="50"/>
      <c r="J1622" s="25">
        <f t="shared" si="101"/>
        <v>51</v>
      </c>
    </row>
    <row r="1623" spans="1:10" ht="16.95" customHeight="1">
      <c r="A1623" s="96" t="s">
        <v>26</v>
      </c>
      <c r="B1623" s="96"/>
      <c r="C1623" s="50"/>
      <c r="D1623" s="50"/>
      <c r="E1623" s="50"/>
      <c r="F1623" s="50"/>
      <c r="G1623" s="50"/>
      <c r="J1623" s="25">
        <f t="shared" si="101"/>
        <v>51</v>
      </c>
    </row>
    <row r="1624" spans="1:10" ht="16.95" customHeight="1">
      <c r="A1624" s="95" t="s">
        <v>27</v>
      </c>
      <c r="B1624" s="95"/>
      <c r="C1624" s="95"/>
      <c r="D1624" s="95"/>
      <c r="E1624" s="95"/>
      <c r="F1624" s="95"/>
      <c r="G1624" s="95"/>
      <c r="J1624" s="25">
        <f t="shared" si="101"/>
        <v>51</v>
      </c>
    </row>
    <row r="1625" spans="1:10" ht="16.95" customHeight="1">
      <c r="A1625" s="94" t="s">
        <v>28</v>
      </c>
      <c r="B1625" s="94"/>
      <c r="C1625" s="51" t="s">
        <v>29</v>
      </c>
      <c r="D1625" s="51" t="s">
        <v>30</v>
      </c>
      <c r="E1625" s="51" t="s">
        <v>18</v>
      </c>
      <c r="F1625" s="51" t="s">
        <v>31</v>
      </c>
      <c r="G1625" s="51" t="s">
        <v>20</v>
      </c>
      <c r="J1625" s="25">
        <f t="shared" si="101"/>
        <v>51</v>
      </c>
    </row>
    <row r="1626" spans="1:10" ht="16.95" customHeight="1">
      <c r="A1626" s="96"/>
      <c r="B1626" s="96"/>
      <c r="C1626" s="50"/>
      <c r="D1626" s="50"/>
      <c r="E1626" s="50"/>
      <c r="F1626" s="50"/>
      <c r="G1626" s="51"/>
      <c r="J1626" s="25">
        <f t="shared" si="101"/>
        <v>51</v>
      </c>
    </row>
    <row r="1627" spans="1:10" ht="16.95" customHeight="1">
      <c r="A1627" s="97"/>
      <c r="B1627" s="97"/>
      <c r="C1627" s="50"/>
      <c r="D1627" s="50"/>
      <c r="E1627" s="50"/>
      <c r="F1627" s="51"/>
      <c r="G1627" s="51"/>
      <c r="J1627" s="25">
        <f t="shared" si="101"/>
        <v>51</v>
      </c>
    </row>
    <row r="1628" spans="1:10" ht="16.95" customHeight="1">
      <c r="A1628" s="95" t="s">
        <v>32</v>
      </c>
      <c r="B1628" s="95"/>
      <c r="C1628" s="95"/>
      <c r="D1628" s="95"/>
      <c r="E1628" s="95"/>
      <c r="F1628" s="95"/>
      <c r="G1628" s="95"/>
      <c r="J1628" s="25">
        <f t="shared" si="101"/>
        <v>52</v>
      </c>
    </row>
    <row r="1629" spans="1:10" ht="16.95" customHeight="1">
      <c r="A1629" s="51" t="s">
        <v>33</v>
      </c>
      <c r="B1629" s="51" t="s">
        <v>34</v>
      </c>
      <c r="C1629" s="94" t="s">
        <v>35</v>
      </c>
      <c r="D1629" s="94"/>
      <c r="E1629" s="51" t="s">
        <v>36</v>
      </c>
      <c r="F1629" s="51" t="s">
        <v>37</v>
      </c>
      <c r="G1629" s="51" t="s">
        <v>38</v>
      </c>
      <c r="J1629" s="25">
        <f t="shared" si="101"/>
        <v>52</v>
      </c>
    </row>
    <row r="1630" spans="1:10" ht="16.95" customHeight="1">
      <c r="A1630" s="51" t="s">
        <v>39</v>
      </c>
      <c r="B1630" s="6"/>
      <c r="C1630" s="94" t="e">
        <f>B1630+C1567</f>
        <v>#REF!</v>
      </c>
      <c r="D1630" s="94"/>
      <c r="E1630" s="51"/>
      <c r="F1630" s="24"/>
      <c r="G1630" s="24"/>
      <c r="J1630" s="25">
        <f t="shared" si="101"/>
        <v>52</v>
      </c>
    </row>
    <row r="1631" spans="1:10" ht="16.95" customHeight="1">
      <c r="A1631" s="51" t="s">
        <v>40</v>
      </c>
      <c r="B1631" s="6"/>
      <c r="C1631" s="94" t="e">
        <f>B1631+C1568</f>
        <v>#REF!</v>
      </c>
      <c r="D1631" s="94"/>
      <c r="E1631" s="51"/>
      <c r="F1631" s="24"/>
      <c r="G1631" s="24"/>
      <c r="J1631" s="25">
        <f t="shared" si="101"/>
        <v>52</v>
      </c>
    </row>
    <row r="1632" spans="1:10" ht="36.6" customHeight="1">
      <c r="A1632" s="95" t="s">
        <v>41</v>
      </c>
      <c r="B1632" s="95"/>
      <c r="C1632" s="95"/>
      <c r="D1632" s="95"/>
      <c r="E1632" s="95"/>
      <c r="F1632" s="95"/>
      <c r="G1632" s="95"/>
      <c r="J1632" s="25">
        <f t="shared" si="101"/>
        <v>52</v>
      </c>
    </row>
    <row r="1633" spans="1:10" ht="90" customHeight="1">
      <c r="A1633" s="92" t="s">
        <v>42</v>
      </c>
      <c r="B1633" s="92"/>
      <c r="C1633" s="92"/>
      <c r="D1633" s="92"/>
      <c r="E1633" s="92"/>
      <c r="F1633" s="92"/>
      <c r="G1633" s="92"/>
      <c r="J1633" s="25">
        <f t="shared" si="101"/>
        <v>52</v>
      </c>
    </row>
    <row r="1634" spans="1:10" ht="16.95" customHeight="1">
      <c r="A1634" s="95" t="s">
        <v>43</v>
      </c>
      <c r="B1634" s="95"/>
      <c r="C1634" s="95"/>
      <c r="D1634" s="95"/>
      <c r="E1634" s="95"/>
      <c r="F1634" s="95"/>
      <c r="G1634" s="95"/>
      <c r="J1634" s="25">
        <f t="shared" si="101"/>
        <v>52</v>
      </c>
    </row>
    <row r="1635" spans="1:10" ht="16.95" customHeight="1">
      <c r="A1635" s="95" t="s">
        <v>44</v>
      </c>
      <c r="B1635" s="95"/>
      <c r="C1635" s="95"/>
      <c r="D1635" s="95"/>
      <c r="E1635" s="95"/>
      <c r="F1635" s="95"/>
      <c r="G1635" s="95"/>
      <c r="J1635" s="25">
        <f t="shared" si="101"/>
        <v>52</v>
      </c>
    </row>
    <row r="1636" spans="1:10" ht="16.95" customHeight="1">
      <c r="A1636" s="91" t="s">
        <v>64</v>
      </c>
      <c r="B1636" s="91"/>
      <c r="C1636" s="91"/>
      <c r="D1636" s="91"/>
      <c r="E1636" s="91"/>
      <c r="F1636" s="91"/>
      <c r="G1636" s="91"/>
      <c r="J1636" s="25">
        <f t="shared" si="101"/>
        <v>52</v>
      </c>
    </row>
    <row r="1637" spans="1:10" ht="120.6" customHeight="1">
      <c r="A1637" s="92" t="s">
        <v>45</v>
      </c>
      <c r="B1637" s="92"/>
      <c r="C1637" s="92"/>
      <c r="D1637" s="92"/>
      <c r="E1637" s="92"/>
      <c r="F1637" s="92"/>
      <c r="G1637" s="92"/>
      <c r="J1637" s="25">
        <f t="shared" si="101"/>
        <v>52</v>
      </c>
    </row>
    <row r="1638" spans="1:10" ht="140.4" customHeight="1">
      <c r="A1638" s="93" t="s">
        <v>46</v>
      </c>
      <c r="B1638" s="93"/>
      <c r="C1638" s="93"/>
      <c r="D1638" s="93"/>
      <c r="E1638" s="93"/>
      <c r="F1638" s="93"/>
      <c r="G1638" s="93"/>
      <c r="J1638" s="25">
        <f t="shared" si="101"/>
        <v>52</v>
      </c>
    </row>
    <row r="1639" spans="1:10" ht="37.200000000000003" customHeight="1">
      <c r="A1639" s="103" t="s">
        <v>0</v>
      </c>
      <c r="B1639" s="103"/>
      <c r="C1639" s="103"/>
      <c r="D1639" s="103"/>
      <c r="E1639" s="103"/>
      <c r="F1639" s="103"/>
      <c r="G1639" s="103"/>
      <c r="J1639" s="25">
        <f t="shared" si="101"/>
        <v>53</v>
      </c>
    </row>
    <row r="1640" spans="1:10" ht="16.95" customHeight="1">
      <c r="A1640" s="1" t="s">
        <v>1</v>
      </c>
      <c r="B1640" s="104">
        <f>B1577+1</f>
        <v>28</v>
      </c>
      <c r="C1640" s="104"/>
      <c r="D1640" s="104"/>
      <c r="E1640" s="104"/>
      <c r="F1640" s="104"/>
      <c r="G1640" s="104"/>
      <c r="J1640" s="25">
        <f t="shared" si="101"/>
        <v>53</v>
      </c>
    </row>
    <row r="1641" spans="1:10" ht="16.95" customHeight="1">
      <c r="A1641" s="1" t="s">
        <v>2</v>
      </c>
      <c r="B1641" s="105" t="s">
        <v>63</v>
      </c>
      <c r="C1641" s="105"/>
      <c r="D1641" s="105"/>
      <c r="E1641" s="106">
        <f>E1578+1</f>
        <v>46230</v>
      </c>
      <c r="F1641" s="106"/>
      <c r="G1641" s="106"/>
      <c r="J1641" s="25">
        <f t="shared" si="101"/>
        <v>53</v>
      </c>
    </row>
    <row r="1642" spans="1:10" ht="16.95" customHeight="1">
      <c r="A1642" s="53" t="s">
        <v>3</v>
      </c>
      <c r="B1642" s="2" t="s">
        <v>67</v>
      </c>
      <c r="C1642" s="98" t="s">
        <v>4</v>
      </c>
      <c r="D1642" s="98"/>
      <c r="E1642" s="98" t="s">
        <v>47</v>
      </c>
      <c r="F1642" s="98"/>
      <c r="G1642" s="98"/>
      <c r="J1642" s="25">
        <f t="shared" si="101"/>
        <v>53</v>
      </c>
    </row>
    <row r="1643" spans="1:10" ht="16.95" customHeight="1">
      <c r="A1643" s="53" t="s">
        <v>5</v>
      </c>
      <c r="B1643" s="54">
        <v>120</v>
      </c>
      <c r="C1643" s="98" t="s">
        <v>6</v>
      </c>
      <c r="D1643" s="98"/>
      <c r="E1643" s="98" t="s">
        <v>123</v>
      </c>
      <c r="F1643" s="98"/>
      <c r="G1643" s="98"/>
      <c r="J1643" s="25">
        <f t="shared" si="101"/>
        <v>53</v>
      </c>
    </row>
    <row r="1644" spans="1:10" ht="16.95" customHeight="1">
      <c r="A1644" s="53" t="s">
        <v>7</v>
      </c>
      <c r="B1644" s="54">
        <f>B1640</f>
        <v>28</v>
      </c>
      <c r="C1644" s="100" t="s">
        <v>8</v>
      </c>
      <c r="D1644" s="100"/>
      <c r="E1644" s="101">
        <f>B1643-B1644</f>
        <v>92</v>
      </c>
      <c r="F1644" s="101"/>
      <c r="G1644" s="101"/>
      <c r="J1644" s="25">
        <f t="shared" si="101"/>
        <v>53</v>
      </c>
    </row>
    <row r="1645" spans="1:10" ht="16.95" customHeight="1">
      <c r="A1645" s="53" t="s">
        <v>9</v>
      </c>
      <c r="B1645" s="55">
        <v>46204</v>
      </c>
      <c r="C1645" s="98" t="s">
        <v>10</v>
      </c>
      <c r="D1645" s="98"/>
      <c r="E1645" s="102">
        <f>B1645+B1643-1</f>
        <v>46323</v>
      </c>
      <c r="F1645" s="102"/>
      <c r="G1645" s="102"/>
      <c r="J1645" s="25">
        <f t="shared" si="101"/>
        <v>53</v>
      </c>
    </row>
    <row r="1646" spans="1:10" ht="16.95" customHeight="1">
      <c r="A1646" s="53" t="s">
        <v>11</v>
      </c>
      <c r="B1646" s="56" t="e">
        <f>HLOOKUP(B1640,進度表!$Q$2:$Z$3,2,1)+B1583</f>
        <v>#REF!</v>
      </c>
      <c r="C1646" s="98" t="s">
        <v>12</v>
      </c>
      <c r="D1646" s="98"/>
      <c r="E1646" s="99" t="e">
        <f>I1684/I1646+E1583</f>
        <v>#REF!</v>
      </c>
      <c r="F1646" s="99"/>
      <c r="G1646" s="99"/>
      <c r="H1646" s="3" t="s">
        <v>62</v>
      </c>
      <c r="I1646" s="1">
        <v>2456000</v>
      </c>
      <c r="J1646" s="25">
        <f t="shared" si="101"/>
        <v>53</v>
      </c>
    </row>
    <row r="1647" spans="1:10" ht="16.95" customHeight="1">
      <c r="A1647" s="98" t="s">
        <v>13</v>
      </c>
      <c r="B1647" s="98"/>
      <c r="C1647" s="98"/>
      <c r="D1647" s="98"/>
      <c r="E1647" s="98"/>
      <c r="F1647" s="98"/>
      <c r="G1647" s="98"/>
      <c r="J1647" s="25">
        <f t="shared" si="101"/>
        <v>53</v>
      </c>
    </row>
    <row r="1648" spans="1:10" ht="16.95" customHeight="1">
      <c r="A1648" s="52" t="s">
        <v>14</v>
      </c>
      <c r="B1648" s="52" t="s">
        <v>15</v>
      </c>
      <c r="C1648" s="52" t="s">
        <v>16</v>
      </c>
      <c r="D1648" s="52" t="s">
        <v>17</v>
      </c>
      <c r="E1648" s="52" t="s">
        <v>18</v>
      </c>
      <c r="F1648" s="52" t="s">
        <v>19</v>
      </c>
      <c r="G1648" s="52" t="s">
        <v>20</v>
      </c>
      <c r="H1648" s="3" t="s">
        <v>21</v>
      </c>
      <c r="I1648" s="3" t="s">
        <v>22</v>
      </c>
      <c r="J1648" s="25">
        <f t="shared" si="101"/>
        <v>53</v>
      </c>
    </row>
    <row r="1649" spans="1:10" ht="16.95" customHeight="1">
      <c r="A1649" s="75" t="s">
        <v>65</v>
      </c>
      <c r="B1649" s="76" t="s">
        <v>69</v>
      </c>
      <c r="C1649" s="77"/>
      <c r="D1649" s="78"/>
      <c r="E1649" s="79"/>
      <c r="F1649" s="79"/>
      <c r="G1649" s="2"/>
      <c r="H1649" s="37"/>
      <c r="I1649" s="4"/>
      <c r="J1649" s="25">
        <f t="shared" si="101"/>
        <v>53</v>
      </c>
    </row>
    <row r="1650" spans="1:10" ht="34.950000000000003" customHeight="1">
      <c r="A1650" s="75">
        <v>1</v>
      </c>
      <c r="B1650" s="80" t="s">
        <v>91</v>
      </c>
      <c r="C1650" s="77" t="s">
        <v>48</v>
      </c>
      <c r="D1650" s="78">
        <v>1</v>
      </c>
      <c r="E1650" s="79"/>
      <c r="F1650" s="79" t="e">
        <f t="shared" ref="F1650:F1683" si="103">E1650+F1587</f>
        <v>#REF!</v>
      </c>
      <c r="G1650" s="2"/>
      <c r="H1650" s="37">
        <v>10508</v>
      </c>
      <c r="I1650" s="4">
        <f>H1650*E1650</f>
        <v>0</v>
      </c>
      <c r="J1650" s="25">
        <f t="shared" si="101"/>
        <v>53</v>
      </c>
    </row>
    <row r="1651" spans="1:10" ht="34.799999999999997" customHeight="1">
      <c r="A1651" s="75">
        <v>2</v>
      </c>
      <c r="B1651" s="80" t="s">
        <v>92</v>
      </c>
      <c r="C1651" s="77" t="s">
        <v>48</v>
      </c>
      <c r="D1651" s="78">
        <v>1</v>
      </c>
      <c r="E1651" s="79"/>
      <c r="F1651" s="79" t="e">
        <f t="shared" si="103"/>
        <v>#REF!</v>
      </c>
      <c r="G1651" s="2"/>
      <c r="H1651" s="37">
        <v>13223</v>
      </c>
      <c r="I1651" s="4">
        <f>H1651*E1651</f>
        <v>0</v>
      </c>
      <c r="J1651" s="25">
        <f t="shared" si="101"/>
        <v>53</v>
      </c>
    </row>
    <row r="1652" spans="1:10" ht="53.4" customHeight="1">
      <c r="A1652" s="75">
        <v>3</v>
      </c>
      <c r="B1652" s="80" t="s">
        <v>93</v>
      </c>
      <c r="C1652" s="77" t="s">
        <v>48</v>
      </c>
      <c r="D1652" s="78">
        <v>1</v>
      </c>
      <c r="E1652" s="79"/>
      <c r="F1652" s="79" t="e">
        <f t="shared" si="103"/>
        <v>#REF!</v>
      </c>
      <c r="G1652" s="2"/>
      <c r="H1652" s="37">
        <v>310497</v>
      </c>
      <c r="I1652" s="4">
        <f t="shared" ref="I1652:I1683" si="104">H1652*E1652</f>
        <v>0</v>
      </c>
      <c r="J1652" s="25">
        <f t="shared" si="101"/>
        <v>53</v>
      </c>
    </row>
    <row r="1653" spans="1:10" ht="16.95" customHeight="1">
      <c r="A1653" s="75">
        <v>4</v>
      </c>
      <c r="B1653" s="80" t="s">
        <v>94</v>
      </c>
      <c r="C1653" s="77" t="s">
        <v>48</v>
      </c>
      <c r="D1653" s="78">
        <v>1</v>
      </c>
      <c r="E1653" s="79"/>
      <c r="F1653" s="79" t="e">
        <f t="shared" si="103"/>
        <v>#REF!</v>
      </c>
      <c r="G1653" s="2"/>
      <c r="H1653" s="37">
        <v>8375</v>
      </c>
      <c r="I1653" s="4">
        <f t="shared" si="104"/>
        <v>0</v>
      </c>
      <c r="J1653" s="25">
        <f t="shared" si="101"/>
        <v>53</v>
      </c>
    </row>
    <row r="1654" spans="1:10" ht="16.95" customHeight="1">
      <c r="A1654" s="75">
        <v>5</v>
      </c>
      <c r="B1654" s="80" t="s">
        <v>95</v>
      </c>
      <c r="C1654" s="77" t="s">
        <v>48</v>
      </c>
      <c r="D1654" s="78">
        <v>1</v>
      </c>
      <c r="E1654" s="79"/>
      <c r="F1654" s="79" t="e">
        <f t="shared" si="103"/>
        <v>#REF!</v>
      </c>
      <c r="G1654" s="2"/>
      <c r="H1654" s="37">
        <v>51618</v>
      </c>
      <c r="I1654" s="4">
        <f t="shared" si="104"/>
        <v>0</v>
      </c>
      <c r="J1654" s="25">
        <f t="shared" si="101"/>
        <v>53</v>
      </c>
    </row>
    <row r="1655" spans="1:10" ht="16.95" customHeight="1">
      <c r="A1655" s="75">
        <v>6</v>
      </c>
      <c r="B1655" s="80" t="s">
        <v>96</v>
      </c>
      <c r="C1655" s="77" t="s">
        <v>50</v>
      </c>
      <c r="D1655" s="78">
        <v>11.55</v>
      </c>
      <c r="E1655" s="79"/>
      <c r="F1655" s="79" t="e">
        <f t="shared" si="103"/>
        <v>#REF!</v>
      </c>
      <c r="G1655" s="2"/>
      <c r="H1655" s="37">
        <v>1188</v>
      </c>
      <c r="I1655" s="4">
        <f t="shared" si="104"/>
        <v>0</v>
      </c>
      <c r="J1655" s="25">
        <f t="shared" si="101"/>
        <v>53</v>
      </c>
    </row>
    <row r="1656" spans="1:10" ht="34.950000000000003" customHeight="1">
      <c r="A1656" s="75">
        <v>7</v>
      </c>
      <c r="B1656" s="80" t="s">
        <v>97</v>
      </c>
      <c r="C1656" s="77" t="s">
        <v>48</v>
      </c>
      <c r="D1656" s="78">
        <v>1</v>
      </c>
      <c r="E1656" s="79"/>
      <c r="F1656" s="79" t="e">
        <f t="shared" si="103"/>
        <v>#REF!</v>
      </c>
      <c r="G1656" s="2"/>
      <c r="H1656" s="37">
        <v>21157</v>
      </c>
      <c r="I1656" s="4">
        <f t="shared" si="104"/>
        <v>0</v>
      </c>
      <c r="J1656" s="25">
        <f t="shared" si="101"/>
        <v>53</v>
      </c>
    </row>
    <row r="1657" spans="1:10" ht="16.95" customHeight="1">
      <c r="A1657" s="75">
        <v>8</v>
      </c>
      <c r="B1657" s="80" t="s">
        <v>98</v>
      </c>
      <c r="C1657" s="77" t="s">
        <v>50</v>
      </c>
      <c r="D1657" s="78">
        <v>387</v>
      </c>
      <c r="E1657" s="79"/>
      <c r="F1657" s="79" t="e">
        <f t="shared" si="103"/>
        <v>#REF!</v>
      </c>
      <c r="G1657" s="2"/>
      <c r="H1657" s="37">
        <v>705</v>
      </c>
      <c r="I1657" s="4">
        <f t="shared" si="104"/>
        <v>0</v>
      </c>
      <c r="J1657" s="25">
        <f t="shared" si="101"/>
        <v>53</v>
      </c>
    </row>
    <row r="1658" spans="1:10" ht="16.95" customHeight="1">
      <c r="A1658" s="75">
        <v>9</v>
      </c>
      <c r="B1658" s="80" t="s">
        <v>99</v>
      </c>
      <c r="C1658" s="77" t="s">
        <v>50</v>
      </c>
      <c r="D1658" s="78">
        <v>170</v>
      </c>
      <c r="E1658" s="79"/>
      <c r="F1658" s="79" t="e">
        <f t="shared" si="103"/>
        <v>#REF!</v>
      </c>
      <c r="G1658" s="2"/>
      <c r="H1658" s="37">
        <v>617</v>
      </c>
      <c r="I1658" s="4">
        <f t="shared" si="104"/>
        <v>0</v>
      </c>
      <c r="J1658" s="25">
        <f t="shared" si="101"/>
        <v>53</v>
      </c>
    </row>
    <row r="1659" spans="1:10" ht="16.95" customHeight="1">
      <c r="A1659" s="75">
        <v>10</v>
      </c>
      <c r="B1659" s="80" t="s">
        <v>100</v>
      </c>
      <c r="C1659" s="77" t="s">
        <v>66</v>
      </c>
      <c r="D1659" s="78">
        <v>15</v>
      </c>
      <c r="E1659" s="79"/>
      <c r="F1659" s="79" t="e">
        <f t="shared" si="103"/>
        <v>#REF!</v>
      </c>
      <c r="G1659" s="2"/>
      <c r="H1659" s="37">
        <v>617</v>
      </c>
      <c r="I1659" s="4">
        <f t="shared" si="104"/>
        <v>0</v>
      </c>
      <c r="J1659" s="25">
        <f t="shared" ref="J1659:J1722" si="105">J1596+2</f>
        <v>53</v>
      </c>
    </row>
    <row r="1660" spans="1:10" ht="16.95" customHeight="1">
      <c r="A1660" s="75">
        <v>11</v>
      </c>
      <c r="B1660" s="80" t="s">
        <v>101</v>
      </c>
      <c r="C1660" s="77" t="s">
        <v>50</v>
      </c>
      <c r="D1660" s="78">
        <v>75</v>
      </c>
      <c r="E1660" s="79"/>
      <c r="F1660" s="79" t="e">
        <f t="shared" si="103"/>
        <v>#REF!</v>
      </c>
      <c r="G1660" s="2"/>
      <c r="H1660" s="37">
        <v>1146</v>
      </c>
      <c r="I1660" s="4">
        <f t="shared" si="104"/>
        <v>0</v>
      </c>
      <c r="J1660" s="25">
        <f t="shared" si="105"/>
        <v>53</v>
      </c>
    </row>
    <row r="1661" spans="1:10" ht="16.95" customHeight="1">
      <c r="A1661" s="75">
        <v>12</v>
      </c>
      <c r="B1661" s="80" t="s">
        <v>102</v>
      </c>
      <c r="C1661" s="77" t="s">
        <v>50</v>
      </c>
      <c r="D1661" s="78">
        <v>5</v>
      </c>
      <c r="E1661" s="79"/>
      <c r="F1661" s="79" t="e">
        <f t="shared" si="103"/>
        <v>#REF!</v>
      </c>
      <c r="G1661" s="2"/>
      <c r="H1661" s="37">
        <v>1455</v>
      </c>
      <c r="I1661" s="4">
        <f t="shared" si="104"/>
        <v>0</v>
      </c>
      <c r="J1661" s="25">
        <f t="shared" si="105"/>
        <v>53</v>
      </c>
    </row>
    <row r="1662" spans="1:10" ht="16.95" customHeight="1">
      <c r="A1662" s="75">
        <v>13</v>
      </c>
      <c r="B1662" s="80" t="s">
        <v>103</v>
      </c>
      <c r="C1662" s="77" t="s">
        <v>50</v>
      </c>
      <c r="D1662" s="78">
        <v>217</v>
      </c>
      <c r="E1662" s="79"/>
      <c r="F1662" s="79" t="e">
        <f t="shared" si="103"/>
        <v>#REF!</v>
      </c>
      <c r="G1662" s="2"/>
      <c r="H1662" s="37">
        <v>1410</v>
      </c>
      <c r="I1662" s="4">
        <f t="shared" si="104"/>
        <v>0</v>
      </c>
      <c r="J1662" s="25">
        <f t="shared" si="105"/>
        <v>53</v>
      </c>
    </row>
    <row r="1663" spans="1:10" ht="16.95" customHeight="1">
      <c r="A1663" s="75">
        <v>14</v>
      </c>
      <c r="B1663" s="80" t="s">
        <v>104</v>
      </c>
      <c r="C1663" s="77" t="s">
        <v>49</v>
      </c>
      <c r="D1663" s="78">
        <v>84</v>
      </c>
      <c r="E1663" s="79"/>
      <c r="F1663" s="79" t="e">
        <f t="shared" si="103"/>
        <v>#REF!</v>
      </c>
      <c r="G1663" s="2"/>
      <c r="H1663" s="37">
        <v>529</v>
      </c>
      <c r="I1663" s="4">
        <f t="shared" si="104"/>
        <v>0</v>
      </c>
      <c r="J1663" s="25">
        <f t="shared" si="105"/>
        <v>53</v>
      </c>
    </row>
    <row r="1664" spans="1:10" ht="16.95" customHeight="1">
      <c r="A1664" s="75">
        <v>15</v>
      </c>
      <c r="B1664" s="80" t="s">
        <v>105</v>
      </c>
      <c r="C1664" s="77" t="s">
        <v>50</v>
      </c>
      <c r="D1664" s="78">
        <v>1</v>
      </c>
      <c r="E1664" s="79"/>
      <c r="F1664" s="79" t="e">
        <f t="shared" si="103"/>
        <v>#REF!</v>
      </c>
      <c r="G1664" s="2"/>
      <c r="H1664" s="37">
        <v>1146</v>
      </c>
      <c r="I1664" s="4">
        <f t="shared" si="104"/>
        <v>0</v>
      </c>
      <c r="J1664" s="25">
        <f t="shared" si="105"/>
        <v>53</v>
      </c>
    </row>
    <row r="1665" spans="1:10" ht="34.799999999999997" customHeight="1">
      <c r="A1665" s="75">
        <v>16</v>
      </c>
      <c r="B1665" s="80" t="s">
        <v>106</v>
      </c>
      <c r="C1665" s="77" t="s">
        <v>50</v>
      </c>
      <c r="D1665" s="78">
        <v>314</v>
      </c>
      <c r="E1665" s="79"/>
      <c r="F1665" s="79" t="e">
        <f t="shared" si="103"/>
        <v>#REF!</v>
      </c>
      <c r="G1665" s="2"/>
      <c r="H1665" s="37">
        <v>185</v>
      </c>
      <c r="I1665" s="4">
        <f t="shared" si="104"/>
        <v>0</v>
      </c>
      <c r="J1665" s="25">
        <f t="shared" si="105"/>
        <v>53</v>
      </c>
    </row>
    <row r="1666" spans="1:10" ht="16.95" customHeight="1">
      <c r="A1666" s="75">
        <v>17</v>
      </c>
      <c r="B1666" s="80" t="s">
        <v>107</v>
      </c>
      <c r="C1666" s="77" t="s">
        <v>48</v>
      </c>
      <c r="D1666" s="78">
        <v>1</v>
      </c>
      <c r="E1666" s="79"/>
      <c r="F1666" s="79" t="e">
        <f t="shared" si="103"/>
        <v>#REF!</v>
      </c>
      <c r="G1666" s="2"/>
      <c r="H1666" s="37">
        <v>89918</v>
      </c>
      <c r="I1666" s="4">
        <f t="shared" si="104"/>
        <v>0</v>
      </c>
      <c r="J1666" s="25">
        <f t="shared" si="105"/>
        <v>53</v>
      </c>
    </row>
    <row r="1667" spans="1:10" ht="16.95" customHeight="1">
      <c r="A1667" s="75">
        <v>18</v>
      </c>
      <c r="B1667" s="80" t="s">
        <v>108</v>
      </c>
      <c r="C1667" s="77" t="s">
        <v>120</v>
      </c>
      <c r="D1667" s="78">
        <v>15</v>
      </c>
      <c r="E1667" s="79"/>
      <c r="F1667" s="79" t="e">
        <f t="shared" si="103"/>
        <v>#REF!</v>
      </c>
      <c r="G1667" s="2"/>
      <c r="H1667" s="37">
        <v>661</v>
      </c>
      <c r="I1667" s="4">
        <f t="shared" si="104"/>
        <v>0</v>
      </c>
      <c r="J1667" s="25">
        <f t="shared" si="105"/>
        <v>53</v>
      </c>
    </row>
    <row r="1668" spans="1:10" ht="16.95" customHeight="1">
      <c r="A1668" s="75">
        <v>19</v>
      </c>
      <c r="B1668" s="80" t="s">
        <v>109</v>
      </c>
      <c r="C1668" s="77" t="s">
        <v>50</v>
      </c>
      <c r="D1668" s="78">
        <v>82</v>
      </c>
      <c r="E1668" s="79"/>
      <c r="F1668" s="79" t="e">
        <f t="shared" si="103"/>
        <v>#REF!</v>
      </c>
      <c r="G1668" s="2"/>
      <c r="H1668" s="37">
        <v>2909</v>
      </c>
      <c r="I1668" s="4">
        <f t="shared" si="104"/>
        <v>0</v>
      </c>
      <c r="J1668" s="25">
        <f t="shared" si="105"/>
        <v>53</v>
      </c>
    </row>
    <row r="1669" spans="1:10" ht="16.95" customHeight="1">
      <c r="A1669" s="75">
        <v>20</v>
      </c>
      <c r="B1669" s="80" t="s">
        <v>110</v>
      </c>
      <c r="C1669" s="77" t="s">
        <v>121</v>
      </c>
      <c r="D1669" s="78">
        <v>12</v>
      </c>
      <c r="E1669" s="79"/>
      <c r="F1669" s="79" t="e">
        <f t="shared" si="103"/>
        <v>#REF!</v>
      </c>
      <c r="G1669" s="2"/>
      <c r="H1669" s="37">
        <v>882</v>
      </c>
      <c r="I1669" s="4">
        <f t="shared" si="104"/>
        <v>0</v>
      </c>
      <c r="J1669" s="25">
        <f t="shared" si="105"/>
        <v>53</v>
      </c>
    </row>
    <row r="1670" spans="1:10" ht="16.95" customHeight="1">
      <c r="A1670" s="77">
        <v>21</v>
      </c>
      <c r="B1670" s="80" t="s">
        <v>111</v>
      </c>
      <c r="C1670" s="77" t="s">
        <v>122</v>
      </c>
      <c r="D1670" s="78">
        <v>3</v>
      </c>
      <c r="E1670" s="79"/>
      <c r="F1670" s="79" t="e">
        <f t="shared" si="103"/>
        <v>#REF!</v>
      </c>
      <c r="G1670" s="2"/>
      <c r="H1670" s="38">
        <v>1869</v>
      </c>
      <c r="I1670" s="4">
        <f t="shared" si="104"/>
        <v>0</v>
      </c>
      <c r="J1670" s="25">
        <f t="shared" si="105"/>
        <v>53</v>
      </c>
    </row>
    <row r="1671" spans="1:10" ht="34.950000000000003" customHeight="1">
      <c r="A1671" s="75">
        <v>22</v>
      </c>
      <c r="B1671" s="80" t="s">
        <v>112</v>
      </c>
      <c r="C1671" s="77" t="s">
        <v>48</v>
      </c>
      <c r="D1671" s="78">
        <v>1</v>
      </c>
      <c r="E1671" s="79"/>
      <c r="F1671" s="79" t="e">
        <f t="shared" si="103"/>
        <v>#REF!</v>
      </c>
      <c r="G1671" s="2"/>
      <c r="H1671" s="37">
        <v>82206</v>
      </c>
      <c r="I1671" s="4">
        <f t="shared" si="104"/>
        <v>0</v>
      </c>
      <c r="J1671" s="25">
        <f t="shared" si="105"/>
        <v>53</v>
      </c>
    </row>
    <row r="1672" spans="1:10" ht="16.95" customHeight="1">
      <c r="A1672" s="75">
        <v>23</v>
      </c>
      <c r="B1672" s="80" t="s">
        <v>113</v>
      </c>
      <c r="C1672" s="77" t="s">
        <v>48</v>
      </c>
      <c r="D1672" s="78">
        <v>1</v>
      </c>
      <c r="E1672" s="79"/>
      <c r="F1672" s="79" t="e">
        <f t="shared" si="103"/>
        <v>#REF!</v>
      </c>
      <c r="G1672" s="2"/>
      <c r="H1672" s="37">
        <v>142723</v>
      </c>
      <c r="I1672" s="4">
        <f t="shared" si="104"/>
        <v>0</v>
      </c>
      <c r="J1672" s="25">
        <f t="shared" si="105"/>
        <v>53</v>
      </c>
    </row>
    <row r="1673" spans="1:10" ht="16.95" customHeight="1">
      <c r="A1673" s="75">
        <v>24</v>
      </c>
      <c r="B1673" s="80" t="s">
        <v>114</v>
      </c>
      <c r="C1673" s="77" t="s">
        <v>48</v>
      </c>
      <c r="D1673" s="78">
        <v>1</v>
      </c>
      <c r="E1673" s="79"/>
      <c r="F1673" s="79" t="e">
        <f t="shared" si="103"/>
        <v>#REF!</v>
      </c>
      <c r="G1673" s="2"/>
      <c r="H1673" s="37">
        <v>37290</v>
      </c>
      <c r="I1673" s="4">
        <f t="shared" si="104"/>
        <v>0</v>
      </c>
      <c r="J1673" s="25">
        <f t="shared" si="105"/>
        <v>53</v>
      </c>
    </row>
    <row r="1674" spans="1:10" ht="16.95" customHeight="1">
      <c r="A1674" s="75">
        <v>25</v>
      </c>
      <c r="B1674" s="80" t="s">
        <v>115</v>
      </c>
      <c r="C1674" s="77" t="s">
        <v>48</v>
      </c>
      <c r="D1674" s="78">
        <v>1</v>
      </c>
      <c r="E1674" s="79"/>
      <c r="F1674" s="79" t="e">
        <f t="shared" si="103"/>
        <v>#REF!</v>
      </c>
      <c r="G1674" s="2"/>
      <c r="H1674" s="37">
        <v>99394</v>
      </c>
      <c r="I1674" s="4">
        <f t="shared" si="104"/>
        <v>0</v>
      </c>
      <c r="J1674" s="25">
        <f t="shared" si="105"/>
        <v>53</v>
      </c>
    </row>
    <row r="1675" spans="1:10" ht="34.950000000000003" customHeight="1">
      <c r="A1675" s="75">
        <v>26</v>
      </c>
      <c r="B1675" s="80" t="s">
        <v>116</v>
      </c>
      <c r="C1675" s="77" t="s">
        <v>48</v>
      </c>
      <c r="D1675" s="78">
        <v>1</v>
      </c>
      <c r="E1675" s="79"/>
      <c r="F1675" s="79" t="e">
        <f t="shared" si="103"/>
        <v>#REF!</v>
      </c>
      <c r="G1675" s="2"/>
      <c r="H1675" s="37">
        <v>21334</v>
      </c>
      <c r="I1675" s="4">
        <f t="shared" si="104"/>
        <v>0</v>
      </c>
      <c r="J1675" s="25">
        <f t="shared" si="105"/>
        <v>53</v>
      </c>
    </row>
    <row r="1676" spans="1:10" ht="16.95" customHeight="1">
      <c r="A1676" s="75">
        <v>27</v>
      </c>
      <c r="B1676" s="80" t="s">
        <v>117</v>
      </c>
      <c r="C1676" s="77" t="s">
        <v>48</v>
      </c>
      <c r="D1676" s="78">
        <v>1</v>
      </c>
      <c r="E1676" s="79"/>
      <c r="F1676" s="79" t="e">
        <f t="shared" si="103"/>
        <v>#REF!</v>
      </c>
      <c r="G1676" s="2"/>
      <c r="H1676" s="37">
        <v>29620</v>
      </c>
      <c r="I1676" s="4">
        <f t="shared" si="104"/>
        <v>0</v>
      </c>
      <c r="J1676" s="25">
        <f t="shared" si="105"/>
        <v>53</v>
      </c>
    </row>
    <row r="1677" spans="1:10" ht="16.95" customHeight="1">
      <c r="A1677" s="75">
        <v>28</v>
      </c>
      <c r="B1677" s="80" t="s">
        <v>118</v>
      </c>
      <c r="C1677" s="77" t="s">
        <v>48</v>
      </c>
      <c r="D1677" s="78">
        <v>1</v>
      </c>
      <c r="E1677" s="79"/>
      <c r="F1677" s="79" t="e">
        <f t="shared" si="103"/>
        <v>#REF!</v>
      </c>
      <c r="G1677" s="2"/>
      <c r="H1677" s="37">
        <v>18506</v>
      </c>
      <c r="I1677" s="4">
        <f t="shared" si="104"/>
        <v>0</v>
      </c>
      <c r="J1677" s="25">
        <f t="shared" si="105"/>
        <v>53</v>
      </c>
    </row>
    <row r="1678" spans="1:10" ht="16.95" customHeight="1">
      <c r="A1678" s="75">
        <v>29</v>
      </c>
      <c r="B1678" s="80" t="s">
        <v>119</v>
      </c>
      <c r="C1678" s="77" t="s">
        <v>48</v>
      </c>
      <c r="D1678" s="78">
        <v>1</v>
      </c>
      <c r="E1678" s="79"/>
      <c r="F1678" s="79" t="e">
        <f t="shared" si="103"/>
        <v>#REF!</v>
      </c>
      <c r="G1678" s="2"/>
      <c r="H1678" s="37">
        <v>34381</v>
      </c>
      <c r="I1678" s="4">
        <f t="shared" si="104"/>
        <v>0</v>
      </c>
      <c r="J1678" s="25">
        <f t="shared" si="105"/>
        <v>53</v>
      </c>
    </row>
    <row r="1679" spans="1:10" ht="16.95" customHeight="1">
      <c r="A1679" s="75" t="s">
        <v>79</v>
      </c>
      <c r="B1679" s="80" t="s">
        <v>80</v>
      </c>
      <c r="C1679" s="77" t="s">
        <v>48</v>
      </c>
      <c r="D1679" s="78">
        <v>1</v>
      </c>
      <c r="E1679" s="79">
        <f t="shared" ref="E1679:E1682" si="106">1/120</f>
        <v>8.3333333333333332E-3</v>
      </c>
      <c r="F1679" s="79" t="e">
        <f t="shared" si="103"/>
        <v>#REF!</v>
      </c>
      <c r="G1679" s="2"/>
      <c r="H1679" s="37">
        <v>21395</v>
      </c>
      <c r="I1679" s="4">
        <f t="shared" si="104"/>
        <v>178.29166666666666</v>
      </c>
      <c r="J1679" s="25">
        <f t="shared" si="105"/>
        <v>53</v>
      </c>
    </row>
    <row r="1680" spans="1:10" ht="16.95" customHeight="1">
      <c r="A1680" s="75" t="s">
        <v>81</v>
      </c>
      <c r="B1680" s="80" t="s">
        <v>82</v>
      </c>
      <c r="C1680" s="77" t="s">
        <v>48</v>
      </c>
      <c r="D1680" s="78">
        <v>1</v>
      </c>
      <c r="E1680" s="79">
        <f t="shared" si="106"/>
        <v>8.3333333333333332E-3</v>
      </c>
      <c r="F1680" s="79" t="e">
        <f t="shared" si="103"/>
        <v>#REF!</v>
      </c>
      <c r="G1680" s="2"/>
      <c r="H1680" s="37">
        <v>21395</v>
      </c>
      <c r="I1680" s="4">
        <f t="shared" si="104"/>
        <v>178.29166666666666</v>
      </c>
      <c r="J1680" s="25">
        <f t="shared" si="105"/>
        <v>53</v>
      </c>
    </row>
    <row r="1681" spans="1:10" ht="16.95" customHeight="1">
      <c r="A1681" s="75" t="s">
        <v>83</v>
      </c>
      <c r="B1681" s="80" t="s">
        <v>84</v>
      </c>
      <c r="C1681" s="77" t="s">
        <v>48</v>
      </c>
      <c r="D1681" s="78">
        <v>1</v>
      </c>
      <c r="E1681" s="79">
        <f t="shared" si="106"/>
        <v>8.3333333333333332E-3</v>
      </c>
      <c r="F1681" s="79" t="e">
        <f t="shared" si="103"/>
        <v>#REF!</v>
      </c>
      <c r="G1681" s="2"/>
      <c r="H1681" s="37">
        <v>149765</v>
      </c>
      <c r="I1681" s="4">
        <f t="shared" si="104"/>
        <v>1248.0416666666667</v>
      </c>
      <c r="J1681" s="25">
        <f t="shared" si="105"/>
        <v>53</v>
      </c>
    </row>
    <row r="1682" spans="1:10" ht="16.95" customHeight="1">
      <c r="A1682" s="75" t="s">
        <v>85</v>
      </c>
      <c r="B1682" s="80" t="s">
        <v>86</v>
      </c>
      <c r="C1682" s="77" t="s">
        <v>48</v>
      </c>
      <c r="D1682" s="78">
        <v>1</v>
      </c>
      <c r="E1682" s="79">
        <f t="shared" si="106"/>
        <v>8.3333333333333332E-3</v>
      </c>
      <c r="F1682" s="79" t="e">
        <f t="shared" si="103"/>
        <v>#REF!</v>
      </c>
      <c r="G1682" s="2"/>
      <c r="H1682" s="37">
        <v>6996</v>
      </c>
      <c r="I1682" s="4">
        <f t="shared" si="104"/>
        <v>58.3</v>
      </c>
      <c r="J1682" s="25">
        <f t="shared" si="105"/>
        <v>53</v>
      </c>
    </row>
    <row r="1683" spans="1:10" ht="16.95" customHeight="1">
      <c r="A1683" s="75" t="s">
        <v>87</v>
      </c>
      <c r="B1683" s="80" t="s">
        <v>88</v>
      </c>
      <c r="C1683" s="77" t="s">
        <v>48</v>
      </c>
      <c r="D1683" s="78">
        <v>1</v>
      </c>
      <c r="E1683" s="79">
        <f>1/120</f>
        <v>8.3333333333333332E-3</v>
      </c>
      <c r="F1683" s="79" t="e">
        <f t="shared" si="103"/>
        <v>#REF!</v>
      </c>
      <c r="G1683" s="2"/>
      <c r="H1683" s="37">
        <v>116952</v>
      </c>
      <c r="I1683" s="4">
        <f t="shared" si="104"/>
        <v>974.6</v>
      </c>
      <c r="J1683" s="25">
        <f t="shared" si="105"/>
        <v>53</v>
      </c>
    </row>
    <row r="1684" spans="1:10" ht="16.95" customHeight="1">
      <c r="A1684" s="95" t="s">
        <v>23</v>
      </c>
      <c r="B1684" s="95"/>
      <c r="C1684" s="50"/>
      <c r="D1684" s="50"/>
      <c r="E1684" s="50"/>
      <c r="F1684" s="50"/>
      <c r="G1684" s="50"/>
      <c r="H1684" s="3" t="s">
        <v>24</v>
      </c>
      <c r="I1684" s="5">
        <f>SUM(I1649:I1683)</f>
        <v>2637.5250000000001</v>
      </c>
      <c r="J1684" s="25">
        <f t="shared" si="105"/>
        <v>53</v>
      </c>
    </row>
    <row r="1685" spans="1:10" ht="16.95" customHeight="1">
      <c r="A1685" s="96" t="s">
        <v>25</v>
      </c>
      <c r="B1685" s="96"/>
      <c r="C1685" s="50"/>
      <c r="D1685" s="50"/>
      <c r="E1685" s="50"/>
      <c r="F1685" s="50"/>
      <c r="G1685" s="50"/>
      <c r="J1685" s="25">
        <f t="shared" si="105"/>
        <v>53</v>
      </c>
    </row>
    <row r="1686" spans="1:10" ht="16.95" customHeight="1">
      <c r="A1686" s="96" t="s">
        <v>26</v>
      </c>
      <c r="B1686" s="96"/>
      <c r="C1686" s="50"/>
      <c r="D1686" s="50"/>
      <c r="E1686" s="50"/>
      <c r="F1686" s="50"/>
      <c r="G1686" s="50"/>
      <c r="J1686" s="25">
        <f t="shared" si="105"/>
        <v>53</v>
      </c>
    </row>
    <row r="1687" spans="1:10" ht="16.95" customHeight="1">
      <c r="A1687" s="95" t="s">
        <v>27</v>
      </c>
      <c r="B1687" s="95"/>
      <c r="C1687" s="95"/>
      <c r="D1687" s="95"/>
      <c r="E1687" s="95"/>
      <c r="F1687" s="95"/>
      <c r="G1687" s="95"/>
      <c r="J1687" s="25">
        <f t="shared" si="105"/>
        <v>53</v>
      </c>
    </row>
    <row r="1688" spans="1:10" ht="16.95" customHeight="1">
      <c r="A1688" s="94" t="s">
        <v>28</v>
      </c>
      <c r="B1688" s="94"/>
      <c r="C1688" s="51" t="s">
        <v>29</v>
      </c>
      <c r="D1688" s="51" t="s">
        <v>30</v>
      </c>
      <c r="E1688" s="51" t="s">
        <v>18</v>
      </c>
      <c r="F1688" s="51" t="s">
        <v>31</v>
      </c>
      <c r="G1688" s="51" t="s">
        <v>20</v>
      </c>
      <c r="J1688" s="25">
        <f t="shared" si="105"/>
        <v>53</v>
      </c>
    </row>
    <row r="1689" spans="1:10" ht="16.95" customHeight="1">
      <c r="A1689" s="96"/>
      <c r="B1689" s="96"/>
      <c r="C1689" s="50"/>
      <c r="D1689" s="50"/>
      <c r="E1689" s="50"/>
      <c r="F1689" s="50"/>
      <c r="G1689" s="51"/>
      <c r="J1689" s="25">
        <f t="shared" si="105"/>
        <v>53</v>
      </c>
    </row>
    <row r="1690" spans="1:10" ht="16.95" customHeight="1">
      <c r="A1690" s="97"/>
      <c r="B1690" s="97"/>
      <c r="C1690" s="50"/>
      <c r="D1690" s="50"/>
      <c r="E1690" s="50"/>
      <c r="F1690" s="51"/>
      <c r="G1690" s="51"/>
      <c r="J1690" s="25">
        <f t="shared" si="105"/>
        <v>53</v>
      </c>
    </row>
    <row r="1691" spans="1:10" ht="16.95" customHeight="1">
      <c r="A1691" s="95" t="s">
        <v>32</v>
      </c>
      <c r="B1691" s="95"/>
      <c r="C1691" s="95"/>
      <c r="D1691" s="95"/>
      <c r="E1691" s="95"/>
      <c r="F1691" s="95"/>
      <c r="G1691" s="95"/>
      <c r="J1691" s="25">
        <f t="shared" si="105"/>
        <v>54</v>
      </c>
    </row>
    <row r="1692" spans="1:10" ht="16.95" customHeight="1">
      <c r="A1692" s="51" t="s">
        <v>33</v>
      </c>
      <c r="B1692" s="51" t="s">
        <v>34</v>
      </c>
      <c r="C1692" s="94" t="s">
        <v>35</v>
      </c>
      <c r="D1692" s="94"/>
      <c r="E1692" s="51" t="s">
        <v>36</v>
      </c>
      <c r="F1692" s="51" t="s">
        <v>37</v>
      </c>
      <c r="G1692" s="51" t="s">
        <v>38</v>
      </c>
      <c r="J1692" s="25">
        <f t="shared" si="105"/>
        <v>54</v>
      </c>
    </row>
    <row r="1693" spans="1:10" ht="16.95" customHeight="1">
      <c r="A1693" s="51" t="s">
        <v>39</v>
      </c>
      <c r="B1693" s="6"/>
      <c r="C1693" s="94" t="e">
        <f>B1693+C1630</f>
        <v>#REF!</v>
      </c>
      <c r="D1693" s="94"/>
      <c r="E1693" s="51"/>
      <c r="F1693" s="24"/>
      <c r="G1693" s="24"/>
      <c r="J1693" s="25">
        <f t="shared" si="105"/>
        <v>54</v>
      </c>
    </row>
    <row r="1694" spans="1:10" ht="16.95" customHeight="1">
      <c r="A1694" s="51" t="s">
        <v>40</v>
      </c>
      <c r="B1694" s="6"/>
      <c r="C1694" s="94" t="e">
        <f>B1694+C1631</f>
        <v>#REF!</v>
      </c>
      <c r="D1694" s="94"/>
      <c r="E1694" s="51"/>
      <c r="F1694" s="24"/>
      <c r="G1694" s="24"/>
      <c r="J1694" s="25">
        <f t="shared" si="105"/>
        <v>54</v>
      </c>
    </row>
    <row r="1695" spans="1:10" ht="36.6" customHeight="1">
      <c r="A1695" s="95" t="s">
        <v>41</v>
      </c>
      <c r="B1695" s="95"/>
      <c r="C1695" s="95"/>
      <c r="D1695" s="95"/>
      <c r="E1695" s="95"/>
      <c r="F1695" s="95"/>
      <c r="G1695" s="95"/>
      <c r="J1695" s="25">
        <f t="shared" si="105"/>
        <v>54</v>
      </c>
    </row>
    <row r="1696" spans="1:10" ht="90" customHeight="1">
      <c r="A1696" s="92" t="s">
        <v>42</v>
      </c>
      <c r="B1696" s="92"/>
      <c r="C1696" s="92"/>
      <c r="D1696" s="92"/>
      <c r="E1696" s="92"/>
      <c r="F1696" s="92"/>
      <c r="G1696" s="92"/>
      <c r="J1696" s="25">
        <f t="shared" si="105"/>
        <v>54</v>
      </c>
    </row>
    <row r="1697" spans="1:10" ht="16.95" customHeight="1">
      <c r="A1697" s="95" t="s">
        <v>43</v>
      </c>
      <c r="B1697" s="95"/>
      <c r="C1697" s="95"/>
      <c r="D1697" s="95"/>
      <c r="E1697" s="95"/>
      <c r="F1697" s="95"/>
      <c r="G1697" s="95"/>
      <c r="J1697" s="25">
        <f t="shared" si="105"/>
        <v>54</v>
      </c>
    </row>
    <row r="1698" spans="1:10" ht="16.95" customHeight="1">
      <c r="A1698" s="95" t="s">
        <v>44</v>
      </c>
      <c r="B1698" s="95"/>
      <c r="C1698" s="95"/>
      <c r="D1698" s="95"/>
      <c r="E1698" s="95"/>
      <c r="F1698" s="95"/>
      <c r="G1698" s="95"/>
      <c r="J1698" s="25">
        <f t="shared" si="105"/>
        <v>54</v>
      </c>
    </row>
    <row r="1699" spans="1:10" ht="16.95" customHeight="1">
      <c r="A1699" s="91" t="s">
        <v>64</v>
      </c>
      <c r="B1699" s="91"/>
      <c r="C1699" s="91"/>
      <c r="D1699" s="91"/>
      <c r="E1699" s="91"/>
      <c r="F1699" s="91"/>
      <c r="G1699" s="91"/>
      <c r="J1699" s="25">
        <f t="shared" si="105"/>
        <v>54</v>
      </c>
    </row>
    <row r="1700" spans="1:10" ht="120.6" customHeight="1">
      <c r="A1700" s="92" t="s">
        <v>45</v>
      </c>
      <c r="B1700" s="92"/>
      <c r="C1700" s="92"/>
      <c r="D1700" s="92"/>
      <c r="E1700" s="92"/>
      <c r="F1700" s="92"/>
      <c r="G1700" s="92"/>
      <c r="J1700" s="25">
        <f t="shared" si="105"/>
        <v>54</v>
      </c>
    </row>
    <row r="1701" spans="1:10" ht="140.4" customHeight="1">
      <c r="A1701" s="93" t="s">
        <v>46</v>
      </c>
      <c r="B1701" s="93"/>
      <c r="C1701" s="93"/>
      <c r="D1701" s="93"/>
      <c r="E1701" s="93"/>
      <c r="F1701" s="93"/>
      <c r="G1701" s="93"/>
      <c r="J1701" s="25">
        <f t="shared" si="105"/>
        <v>54</v>
      </c>
    </row>
    <row r="1702" spans="1:10" ht="37.200000000000003" customHeight="1">
      <c r="A1702" s="103" t="s">
        <v>0</v>
      </c>
      <c r="B1702" s="103"/>
      <c r="C1702" s="103"/>
      <c r="D1702" s="103"/>
      <c r="E1702" s="103"/>
      <c r="F1702" s="103"/>
      <c r="G1702" s="103"/>
      <c r="J1702" s="25">
        <f t="shared" si="105"/>
        <v>55</v>
      </c>
    </row>
    <row r="1703" spans="1:10" ht="16.95" customHeight="1">
      <c r="A1703" s="1" t="s">
        <v>1</v>
      </c>
      <c r="B1703" s="104">
        <f>B1640+1</f>
        <v>29</v>
      </c>
      <c r="C1703" s="104"/>
      <c r="D1703" s="104"/>
      <c r="E1703" s="104"/>
      <c r="F1703" s="104"/>
      <c r="G1703" s="104"/>
      <c r="J1703" s="25">
        <f t="shared" si="105"/>
        <v>55</v>
      </c>
    </row>
    <row r="1704" spans="1:10" ht="16.95" customHeight="1">
      <c r="A1704" s="1" t="s">
        <v>2</v>
      </c>
      <c r="B1704" s="105" t="s">
        <v>63</v>
      </c>
      <c r="C1704" s="105"/>
      <c r="D1704" s="105"/>
      <c r="E1704" s="106">
        <f>E1641+1</f>
        <v>46231</v>
      </c>
      <c r="F1704" s="106"/>
      <c r="G1704" s="106"/>
      <c r="J1704" s="25">
        <f t="shared" si="105"/>
        <v>55</v>
      </c>
    </row>
    <row r="1705" spans="1:10" ht="16.95" customHeight="1">
      <c r="A1705" s="53" t="s">
        <v>3</v>
      </c>
      <c r="B1705" s="2" t="s">
        <v>67</v>
      </c>
      <c r="C1705" s="98" t="s">
        <v>4</v>
      </c>
      <c r="D1705" s="98"/>
      <c r="E1705" s="98" t="s">
        <v>47</v>
      </c>
      <c r="F1705" s="98"/>
      <c r="G1705" s="98"/>
      <c r="J1705" s="25">
        <f t="shared" si="105"/>
        <v>55</v>
      </c>
    </row>
    <row r="1706" spans="1:10" ht="16.95" customHeight="1">
      <c r="A1706" s="53" t="s">
        <v>5</v>
      </c>
      <c r="B1706" s="54">
        <v>120</v>
      </c>
      <c r="C1706" s="98" t="s">
        <v>6</v>
      </c>
      <c r="D1706" s="98"/>
      <c r="E1706" s="98" t="s">
        <v>123</v>
      </c>
      <c r="F1706" s="98"/>
      <c r="G1706" s="98"/>
      <c r="J1706" s="25">
        <f t="shared" si="105"/>
        <v>55</v>
      </c>
    </row>
    <row r="1707" spans="1:10" ht="16.95" customHeight="1">
      <c r="A1707" s="53" t="s">
        <v>7</v>
      </c>
      <c r="B1707" s="54">
        <f>B1703</f>
        <v>29</v>
      </c>
      <c r="C1707" s="100" t="s">
        <v>8</v>
      </c>
      <c r="D1707" s="100"/>
      <c r="E1707" s="101">
        <f>B1706-B1707</f>
        <v>91</v>
      </c>
      <c r="F1707" s="101"/>
      <c r="G1707" s="101"/>
      <c r="J1707" s="25">
        <f t="shared" si="105"/>
        <v>55</v>
      </c>
    </row>
    <row r="1708" spans="1:10" ht="16.95" customHeight="1">
      <c r="A1708" s="53" t="s">
        <v>9</v>
      </c>
      <c r="B1708" s="55">
        <v>46204</v>
      </c>
      <c r="C1708" s="98" t="s">
        <v>10</v>
      </c>
      <c r="D1708" s="98"/>
      <c r="E1708" s="102">
        <f>B1708+B1706-1</f>
        <v>46323</v>
      </c>
      <c r="F1708" s="102"/>
      <c r="G1708" s="102"/>
      <c r="J1708" s="25">
        <f t="shared" si="105"/>
        <v>55</v>
      </c>
    </row>
    <row r="1709" spans="1:10" ht="16.95" customHeight="1">
      <c r="A1709" s="53" t="s">
        <v>11</v>
      </c>
      <c r="B1709" s="56" t="e">
        <f>HLOOKUP(B1703,進度表!$Q$2:$Z$3,2,1)+B1646</f>
        <v>#REF!</v>
      </c>
      <c r="C1709" s="98" t="s">
        <v>12</v>
      </c>
      <c r="D1709" s="98"/>
      <c r="E1709" s="99" t="e">
        <f>I1747/I1709+E1646</f>
        <v>#REF!</v>
      </c>
      <c r="F1709" s="99"/>
      <c r="G1709" s="99"/>
      <c r="H1709" s="3" t="s">
        <v>62</v>
      </c>
      <c r="I1709" s="1">
        <v>2456000</v>
      </c>
      <c r="J1709" s="25">
        <f t="shared" si="105"/>
        <v>55</v>
      </c>
    </row>
    <row r="1710" spans="1:10" ht="16.95" customHeight="1">
      <c r="A1710" s="98" t="s">
        <v>13</v>
      </c>
      <c r="B1710" s="98"/>
      <c r="C1710" s="98"/>
      <c r="D1710" s="98"/>
      <c r="E1710" s="98"/>
      <c r="F1710" s="98"/>
      <c r="G1710" s="98"/>
      <c r="J1710" s="25">
        <f t="shared" si="105"/>
        <v>55</v>
      </c>
    </row>
    <row r="1711" spans="1:10" ht="16.95" customHeight="1">
      <c r="A1711" s="52" t="s">
        <v>14</v>
      </c>
      <c r="B1711" s="52" t="s">
        <v>15</v>
      </c>
      <c r="C1711" s="52" t="s">
        <v>16</v>
      </c>
      <c r="D1711" s="52" t="s">
        <v>17</v>
      </c>
      <c r="E1711" s="52" t="s">
        <v>18</v>
      </c>
      <c r="F1711" s="52" t="s">
        <v>19</v>
      </c>
      <c r="G1711" s="52" t="s">
        <v>20</v>
      </c>
      <c r="H1711" s="3" t="s">
        <v>21</v>
      </c>
      <c r="I1711" s="3" t="s">
        <v>22</v>
      </c>
      <c r="J1711" s="25">
        <f t="shared" si="105"/>
        <v>55</v>
      </c>
    </row>
    <row r="1712" spans="1:10" ht="16.95" customHeight="1">
      <c r="A1712" s="75" t="s">
        <v>65</v>
      </c>
      <c r="B1712" s="76" t="s">
        <v>69</v>
      </c>
      <c r="C1712" s="77"/>
      <c r="D1712" s="78"/>
      <c r="E1712" s="79"/>
      <c r="F1712" s="79"/>
      <c r="G1712" s="2"/>
      <c r="H1712" s="37"/>
      <c r="I1712" s="4"/>
      <c r="J1712" s="25">
        <f t="shared" si="105"/>
        <v>55</v>
      </c>
    </row>
    <row r="1713" spans="1:10" ht="34.950000000000003" customHeight="1">
      <c r="A1713" s="75">
        <v>1</v>
      </c>
      <c r="B1713" s="80" t="s">
        <v>91</v>
      </c>
      <c r="C1713" s="77" t="s">
        <v>48</v>
      </c>
      <c r="D1713" s="78">
        <v>1</v>
      </c>
      <c r="E1713" s="79"/>
      <c r="F1713" s="79" t="e">
        <f t="shared" ref="F1713:F1746" si="107">E1713+F1650</f>
        <v>#REF!</v>
      </c>
      <c r="G1713" s="2"/>
      <c r="H1713" s="37">
        <v>10508</v>
      </c>
      <c r="I1713" s="4">
        <f>H1713*E1713</f>
        <v>0</v>
      </c>
      <c r="J1713" s="25">
        <f t="shared" si="105"/>
        <v>55</v>
      </c>
    </row>
    <row r="1714" spans="1:10" ht="34.799999999999997" customHeight="1">
      <c r="A1714" s="75">
        <v>2</v>
      </c>
      <c r="B1714" s="80" t="s">
        <v>92</v>
      </c>
      <c r="C1714" s="77" t="s">
        <v>48</v>
      </c>
      <c r="D1714" s="78">
        <v>1</v>
      </c>
      <c r="E1714" s="79"/>
      <c r="F1714" s="79" t="e">
        <f t="shared" si="107"/>
        <v>#REF!</v>
      </c>
      <c r="G1714" s="2"/>
      <c r="H1714" s="37">
        <v>13223</v>
      </c>
      <c r="I1714" s="4">
        <f>H1714*E1714</f>
        <v>0</v>
      </c>
      <c r="J1714" s="25">
        <f t="shared" si="105"/>
        <v>55</v>
      </c>
    </row>
    <row r="1715" spans="1:10" ht="53.4" customHeight="1">
      <c r="A1715" s="75">
        <v>3</v>
      </c>
      <c r="B1715" s="80" t="s">
        <v>93</v>
      </c>
      <c r="C1715" s="77" t="s">
        <v>48</v>
      </c>
      <c r="D1715" s="78">
        <v>1</v>
      </c>
      <c r="E1715" s="79"/>
      <c r="F1715" s="79" t="e">
        <f t="shared" si="107"/>
        <v>#REF!</v>
      </c>
      <c r="G1715" s="2"/>
      <c r="H1715" s="37">
        <v>310497</v>
      </c>
      <c r="I1715" s="4">
        <f t="shared" ref="I1715:I1746" si="108">H1715*E1715</f>
        <v>0</v>
      </c>
      <c r="J1715" s="25">
        <f t="shared" si="105"/>
        <v>55</v>
      </c>
    </row>
    <row r="1716" spans="1:10" ht="16.95" customHeight="1">
      <c r="A1716" s="75">
        <v>4</v>
      </c>
      <c r="B1716" s="80" t="s">
        <v>94</v>
      </c>
      <c r="C1716" s="77" t="s">
        <v>48</v>
      </c>
      <c r="D1716" s="78">
        <v>1</v>
      </c>
      <c r="E1716" s="79"/>
      <c r="F1716" s="79" t="e">
        <f t="shared" si="107"/>
        <v>#REF!</v>
      </c>
      <c r="G1716" s="2"/>
      <c r="H1716" s="37">
        <v>8375</v>
      </c>
      <c r="I1716" s="4">
        <f t="shared" si="108"/>
        <v>0</v>
      </c>
      <c r="J1716" s="25">
        <f t="shared" si="105"/>
        <v>55</v>
      </c>
    </row>
    <row r="1717" spans="1:10" ht="16.95" customHeight="1">
      <c r="A1717" s="75">
        <v>5</v>
      </c>
      <c r="B1717" s="80" t="s">
        <v>95</v>
      </c>
      <c r="C1717" s="77" t="s">
        <v>48</v>
      </c>
      <c r="D1717" s="78">
        <v>1</v>
      </c>
      <c r="E1717" s="79"/>
      <c r="F1717" s="79" t="e">
        <f t="shared" si="107"/>
        <v>#REF!</v>
      </c>
      <c r="G1717" s="2"/>
      <c r="H1717" s="37">
        <v>51618</v>
      </c>
      <c r="I1717" s="4">
        <f t="shared" si="108"/>
        <v>0</v>
      </c>
      <c r="J1717" s="25">
        <f t="shared" si="105"/>
        <v>55</v>
      </c>
    </row>
    <row r="1718" spans="1:10" ht="16.95" customHeight="1">
      <c r="A1718" s="75">
        <v>6</v>
      </c>
      <c r="B1718" s="80" t="s">
        <v>96</v>
      </c>
      <c r="C1718" s="77" t="s">
        <v>50</v>
      </c>
      <c r="D1718" s="78">
        <v>11.55</v>
      </c>
      <c r="E1718" s="79"/>
      <c r="F1718" s="79" t="e">
        <f t="shared" si="107"/>
        <v>#REF!</v>
      </c>
      <c r="G1718" s="2"/>
      <c r="H1718" s="37">
        <v>1188</v>
      </c>
      <c r="I1718" s="4">
        <f t="shared" si="108"/>
        <v>0</v>
      </c>
      <c r="J1718" s="25">
        <f t="shared" si="105"/>
        <v>55</v>
      </c>
    </row>
    <row r="1719" spans="1:10" ht="34.950000000000003" customHeight="1">
      <c r="A1719" s="75">
        <v>7</v>
      </c>
      <c r="B1719" s="80" t="s">
        <v>97</v>
      </c>
      <c r="C1719" s="77" t="s">
        <v>48</v>
      </c>
      <c r="D1719" s="78">
        <v>1</v>
      </c>
      <c r="E1719" s="79"/>
      <c r="F1719" s="79" t="e">
        <f t="shared" si="107"/>
        <v>#REF!</v>
      </c>
      <c r="G1719" s="2"/>
      <c r="H1719" s="37">
        <v>21157</v>
      </c>
      <c r="I1719" s="4">
        <f t="shared" si="108"/>
        <v>0</v>
      </c>
      <c r="J1719" s="25">
        <f t="shared" si="105"/>
        <v>55</v>
      </c>
    </row>
    <row r="1720" spans="1:10" ht="16.95" customHeight="1">
      <c r="A1720" s="75">
        <v>8</v>
      </c>
      <c r="B1720" s="80" t="s">
        <v>98</v>
      </c>
      <c r="C1720" s="77" t="s">
        <v>50</v>
      </c>
      <c r="D1720" s="78">
        <v>387</v>
      </c>
      <c r="E1720" s="79"/>
      <c r="F1720" s="79" t="e">
        <f t="shared" si="107"/>
        <v>#REF!</v>
      </c>
      <c r="G1720" s="2"/>
      <c r="H1720" s="37">
        <v>705</v>
      </c>
      <c r="I1720" s="4">
        <f t="shared" si="108"/>
        <v>0</v>
      </c>
      <c r="J1720" s="25">
        <f t="shared" si="105"/>
        <v>55</v>
      </c>
    </row>
    <row r="1721" spans="1:10" ht="16.95" customHeight="1">
      <c r="A1721" s="75">
        <v>9</v>
      </c>
      <c r="B1721" s="80" t="s">
        <v>99</v>
      </c>
      <c r="C1721" s="77" t="s">
        <v>50</v>
      </c>
      <c r="D1721" s="78">
        <v>170</v>
      </c>
      <c r="E1721" s="79"/>
      <c r="F1721" s="79" t="e">
        <f t="shared" si="107"/>
        <v>#REF!</v>
      </c>
      <c r="G1721" s="2"/>
      <c r="H1721" s="37">
        <v>617</v>
      </c>
      <c r="I1721" s="4">
        <f t="shared" si="108"/>
        <v>0</v>
      </c>
      <c r="J1721" s="25">
        <f t="shared" si="105"/>
        <v>55</v>
      </c>
    </row>
    <row r="1722" spans="1:10" ht="16.95" customHeight="1">
      <c r="A1722" s="75">
        <v>10</v>
      </c>
      <c r="B1722" s="80" t="s">
        <v>100</v>
      </c>
      <c r="C1722" s="77" t="s">
        <v>66</v>
      </c>
      <c r="D1722" s="78">
        <v>15</v>
      </c>
      <c r="E1722" s="79"/>
      <c r="F1722" s="79" t="e">
        <f t="shared" si="107"/>
        <v>#REF!</v>
      </c>
      <c r="G1722" s="2"/>
      <c r="H1722" s="37">
        <v>617</v>
      </c>
      <c r="I1722" s="4">
        <f t="shared" si="108"/>
        <v>0</v>
      </c>
      <c r="J1722" s="25">
        <f t="shared" si="105"/>
        <v>55</v>
      </c>
    </row>
    <row r="1723" spans="1:10" ht="16.95" customHeight="1">
      <c r="A1723" s="75">
        <v>11</v>
      </c>
      <c r="B1723" s="80" t="s">
        <v>101</v>
      </c>
      <c r="C1723" s="77" t="s">
        <v>50</v>
      </c>
      <c r="D1723" s="78">
        <v>75</v>
      </c>
      <c r="E1723" s="79"/>
      <c r="F1723" s="79" t="e">
        <f t="shared" si="107"/>
        <v>#REF!</v>
      </c>
      <c r="G1723" s="2"/>
      <c r="H1723" s="37">
        <v>1146</v>
      </c>
      <c r="I1723" s="4">
        <f t="shared" si="108"/>
        <v>0</v>
      </c>
      <c r="J1723" s="25">
        <f t="shared" ref="J1723:J1786" si="109">J1660+2</f>
        <v>55</v>
      </c>
    </row>
    <row r="1724" spans="1:10" ht="16.95" customHeight="1">
      <c r="A1724" s="75">
        <v>12</v>
      </c>
      <c r="B1724" s="80" t="s">
        <v>102</v>
      </c>
      <c r="C1724" s="77" t="s">
        <v>50</v>
      </c>
      <c r="D1724" s="78">
        <v>5</v>
      </c>
      <c r="E1724" s="79"/>
      <c r="F1724" s="79" t="e">
        <f t="shared" si="107"/>
        <v>#REF!</v>
      </c>
      <c r="G1724" s="2"/>
      <c r="H1724" s="37">
        <v>1455</v>
      </c>
      <c r="I1724" s="4">
        <f t="shared" si="108"/>
        <v>0</v>
      </c>
      <c r="J1724" s="25">
        <f t="shared" si="109"/>
        <v>55</v>
      </c>
    </row>
    <row r="1725" spans="1:10" ht="16.95" customHeight="1">
      <c r="A1725" s="75">
        <v>13</v>
      </c>
      <c r="B1725" s="80" t="s">
        <v>103</v>
      </c>
      <c r="C1725" s="77" t="s">
        <v>50</v>
      </c>
      <c r="D1725" s="78">
        <v>217</v>
      </c>
      <c r="E1725" s="79"/>
      <c r="F1725" s="79" t="e">
        <f t="shared" si="107"/>
        <v>#REF!</v>
      </c>
      <c r="G1725" s="2"/>
      <c r="H1725" s="37">
        <v>1410</v>
      </c>
      <c r="I1725" s="4">
        <f t="shared" si="108"/>
        <v>0</v>
      </c>
      <c r="J1725" s="25">
        <f t="shared" si="109"/>
        <v>55</v>
      </c>
    </row>
    <row r="1726" spans="1:10" ht="16.95" customHeight="1">
      <c r="A1726" s="75">
        <v>14</v>
      </c>
      <c r="B1726" s="80" t="s">
        <v>104</v>
      </c>
      <c r="C1726" s="77" t="s">
        <v>49</v>
      </c>
      <c r="D1726" s="78">
        <v>84</v>
      </c>
      <c r="E1726" s="79"/>
      <c r="F1726" s="79" t="e">
        <f t="shared" si="107"/>
        <v>#REF!</v>
      </c>
      <c r="G1726" s="2"/>
      <c r="H1726" s="37">
        <v>529</v>
      </c>
      <c r="I1726" s="4">
        <f t="shared" si="108"/>
        <v>0</v>
      </c>
      <c r="J1726" s="25">
        <f t="shared" si="109"/>
        <v>55</v>
      </c>
    </row>
    <row r="1727" spans="1:10" ht="16.95" customHeight="1">
      <c r="A1727" s="75">
        <v>15</v>
      </c>
      <c r="B1727" s="80" t="s">
        <v>105</v>
      </c>
      <c r="C1727" s="77" t="s">
        <v>50</v>
      </c>
      <c r="D1727" s="78">
        <v>1</v>
      </c>
      <c r="E1727" s="79"/>
      <c r="F1727" s="79" t="e">
        <f t="shared" si="107"/>
        <v>#REF!</v>
      </c>
      <c r="G1727" s="2"/>
      <c r="H1727" s="37">
        <v>1146</v>
      </c>
      <c r="I1727" s="4">
        <f t="shared" si="108"/>
        <v>0</v>
      </c>
      <c r="J1727" s="25">
        <f t="shared" si="109"/>
        <v>55</v>
      </c>
    </row>
    <row r="1728" spans="1:10" ht="34.799999999999997" customHeight="1">
      <c r="A1728" s="75">
        <v>16</v>
      </c>
      <c r="B1728" s="80" t="s">
        <v>106</v>
      </c>
      <c r="C1728" s="77" t="s">
        <v>50</v>
      </c>
      <c r="D1728" s="78">
        <v>314</v>
      </c>
      <c r="E1728" s="79"/>
      <c r="F1728" s="79" t="e">
        <f t="shared" si="107"/>
        <v>#REF!</v>
      </c>
      <c r="G1728" s="2"/>
      <c r="H1728" s="37">
        <v>185</v>
      </c>
      <c r="I1728" s="4">
        <f t="shared" si="108"/>
        <v>0</v>
      </c>
      <c r="J1728" s="25">
        <f t="shared" si="109"/>
        <v>55</v>
      </c>
    </row>
    <row r="1729" spans="1:10" ht="16.95" customHeight="1">
      <c r="A1729" s="75">
        <v>17</v>
      </c>
      <c r="B1729" s="80" t="s">
        <v>107</v>
      </c>
      <c r="C1729" s="77" t="s">
        <v>48</v>
      </c>
      <c r="D1729" s="78">
        <v>1</v>
      </c>
      <c r="E1729" s="79"/>
      <c r="F1729" s="79" t="e">
        <f t="shared" si="107"/>
        <v>#REF!</v>
      </c>
      <c r="G1729" s="2"/>
      <c r="H1729" s="37">
        <v>89918</v>
      </c>
      <c r="I1729" s="4">
        <f t="shared" si="108"/>
        <v>0</v>
      </c>
      <c r="J1729" s="25">
        <f t="shared" si="109"/>
        <v>55</v>
      </c>
    </row>
    <row r="1730" spans="1:10" ht="16.95" customHeight="1">
      <c r="A1730" s="75">
        <v>18</v>
      </c>
      <c r="B1730" s="80" t="s">
        <v>108</v>
      </c>
      <c r="C1730" s="77" t="s">
        <v>120</v>
      </c>
      <c r="D1730" s="78">
        <v>15</v>
      </c>
      <c r="E1730" s="79"/>
      <c r="F1730" s="79" t="e">
        <f t="shared" si="107"/>
        <v>#REF!</v>
      </c>
      <c r="G1730" s="2"/>
      <c r="H1730" s="37">
        <v>661</v>
      </c>
      <c r="I1730" s="4">
        <f t="shared" si="108"/>
        <v>0</v>
      </c>
      <c r="J1730" s="25">
        <f t="shared" si="109"/>
        <v>55</v>
      </c>
    </row>
    <row r="1731" spans="1:10" ht="16.95" customHeight="1">
      <c r="A1731" s="75">
        <v>19</v>
      </c>
      <c r="B1731" s="80" t="s">
        <v>109</v>
      </c>
      <c r="C1731" s="77" t="s">
        <v>50</v>
      </c>
      <c r="D1731" s="78">
        <v>82</v>
      </c>
      <c r="E1731" s="79"/>
      <c r="F1731" s="79" t="e">
        <f t="shared" si="107"/>
        <v>#REF!</v>
      </c>
      <c r="G1731" s="2"/>
      <c r="H1731" s="37">
        <v>2909</v>
      </c>
      <c r="I1731" s="4">
        <f t="shared" si="108"/>
        <v>0</v>
      </c>
      <c r="J1731" s="25">
        <f t="shared" si="109"/>
        <v>55</v>
      </c>
    </row>
    <row r="1732" spans="1:10" ht="16.95" customHeight="1">
      <c r="A1732" s="75">
        <v>20</v>
      </c>
      <c r="B1732" s="80" t="s">
        <v>110</v>
      </c>
      <c r="C1732" s="77" t="s">
        <v>121</v>
      </c>
      <c r="D1732" s="78">
        <v>12</v>
      </c>
      <c r="E1732" s="79"/>
      <c r="F1732" s="79" t="e">
        <f t="shared" si="107"/>
        <v>#REF!</v>
      </c>
      <c r="G1732" s="2"/>
      <c r="H1732" s="37">
        <v>882</v>
      </c>
      <c r="I1732" s="4">
        <f t="shared" si="108"/>
        <v>0</v>
      </c>
      <c r="J1732" s="25">
        <f t="shared" si="109"/>
        <v>55</v>
      </c>
    </row>
    <row r="1733" spans="1:10" ht="16.95" customHeight="1">
      <c r="A1733" s="77">
        <v>21</v>
      </c>
      <c r="B1733" s="80" t="s">
        <v>111</v>
      </c>
      <c r="C1733" s="77" t="s">
        <v>122</v>
      </c>
      <c r="D1733" s="78">
        <v>3</v>
      </c>
      <c r="E1733" s="79"/>
      <c r="F1733" s="79" t="e">
        <f t="shared" si="107"/>
        <v>#REF!</v>
      </c>
      <c r="G1733" s="2"/>
      <c r="H1733" s="38">
        <v>1869</v>
      </c>
      <c r="I1733" s="4">
        <f t="shared" si="108"/>
        <v>0</v>
      </c>
      <c r="J1733" s="25">
        <f t="shared" si="109"/>
        <v>55</v>
      </c>
    </row>
    <row r="1734" spans="1:10" ht="34.950000000000003" customHeight="1">
      <c r="A1734" s="75">
        <v>22</v>
      </c>
      <c r="B1734" s="80" t="s">
        <v>112</v>
      </c>
      <c r="C1734" s="77" t="s">
        <v>48</v>
      </c>
      <c r="D1734" s="78">
        <v>1</v>
      </c>
      <c r="E1734" s="79"/>
      <c r="F1734" s="79" t="e">
        <f t="shared" si="107"/>
        <v>#REF!</v>
      </c>
      <c r="G1734" s="2"/>
      <c r="H1734" s="37">
        <v>82206</v>
      </c>
      <c r="I1734" s="4">
        <f t="shared" si="108"/>
        <v>0</v>
      </c>
      <c r="J1734" s="25">
        <f t="shared" si="109"/>
        <v>55</v>
      </c>
    </row>
    <row r="1735" spans="1:10" ht="16.95" customHeight="1">
      <c r="A1735" s="75">
        <v>23</v>
      </c>
      <c r="B1735" s="80" t="s">
        <v>113</v>
      </c>
      <c r="C1735" s="77" t="s">
        <v>48</v>
      </c>
      <c r="D1735" s="78">
        <v>1</v>
      </c>
      <c r="E1735" s="79"/>
      <c r="F1735" s="79" t="e">
        <f t="shared" si="107"/>
        <v>#REF!</v>
      </c>
      <c r="G1735" s="2"/>
      <c r="H1735" s="37">
        <v>142723</v>
      </c>
      <c r="I1735" s="4">
        <f t="shared" si="108"/>
        <v>0</v>
      </c>
      <c r="J1735" s="25">
        <f t="shared" si="109"/>
        <v>55</v>
      </c>
    </row>
    <row r="1736" spans="1:10" ht="16.95" customHeight="1">
      <c r="A1736" s="75">
        <v>24</v>
      </c>
      <c r="B1736" s="80" t="s">
        <v>114</v>
      </c>
      <c r="C1736" s="77" t="s">
        <v>48</v>
      </c>
      <c r="D1736" s="78">
        <v>1</v>
      </c>
      <c r="E1736" s="79"/>
      <c r="F1736" s="79" t="e">
        <f t="shared" si="107"/>
        <v>#REF!</v>
      </c>
      <c r="G1736" s="2"/>
      <c r="H1736" s="37">
        <v>37290</v>
      </c>
      <c r="I1736" s="4">
        <f t="shared" si="108"/>
        <v>0</v>
      </c>
      <c r="J1736" s="25">
        <f t="shared" si="109"/>
        <v>55</v>
      </c>
    </row>
    <row r="1737" spans="1:10" ht="16.95" customHeight="1">
      <c r="A1737" s="75">
        <v>25</v>
      </c>
      <c r="B1737" s="80" t="s">
        <v>115</v>
      </c>
      <c r="C1737" s="77" t="s">
        <v>48</v>
      </c>
      <c r="D1737" s="78">
        <v>1</v>
      </c>
      <c r="E1737" s="79"/>
      <c r="F1737" s="79" t="e">
        <f t="shared" si="107"/>
        <v>#REF!</v>
      </c>
      <c r="G1737" s="2"/>
      <c r="H1737" s="37">
        <v>99394</v>
      </c>
      <c r="I1737" s="4">
        <f t="shared" si="108"/>
        <v>0</v>
      </c>
      <c r="J1737" s="25">
        <f t="shared" si="109"/>
        <v>55</v>
      </c>
    </row>
    <row r="1738" spans="1:10" ht="34.950000000000003" customHeight="1">
      <c r="A1738" s="75">
        <v>26</v>
      </c>
      <c r="B1738" s="80" t="s">
        <v>116</v>
      </c>
      <c r="C1738" s="77" t="s">
        <v>48</v>
      </c>
      <c r="D1738" s="78">
        <v>1</v>
      </c>
      <c r="E1738" s="79"/>
      <c r="F1738" s="79" t="e">
        <f t="shared" si="107"/>
        <v>#REF!</v>
      </c>
      <c r="G1738" s="2"/>
      <c r="H1738" s="37">
        <v>21334</v>
      </c>
      <c r="I1738" s="4">
        <f t="shared" si="108"/>
        <v>0</v>
      </c>
      <c r="J1738" s="25">
        <f t="shared" si="109"/>
        <v>55</v>
      </c>
    </row>
    <row r="1739" spans="1:10" ht="16.95" customHeight="1">
      <c r="A1739" s="75">
        <v>27</v>
      </c>
      <c r="B1739" s="80" t="s">
        <v>117</v>
      </c>
      <c r="C1739" s="77" t="s">
        <v>48</v>
      </c>
      <c r="D1739" s="78">
        <v>1</v>
      </c>
      <c r="E1739" s="79"/>
      <c r="F1739" s="79" t="e">
        <f t="shared" si="107"/>
        <v>#REF!</v>
      </c>
      <c r="G1739" s="2"/>
      <c r="H1739" s="37">
        <v>29620</v>
      </c>
      <c r="I1739" s="4">
        <f t="shared" si="108"/>
        <v>0</v>
      </c>
      <c r="J1739" s="25">
        <f t="shared" si="109"/>
        <v>55</v>
      </c>
    </row>
    <row r="1740" spans="1:10" ht="16.95" customHeight="1">
      <c r="A1740" s="75">
        <v>28</v>
      </c>
      <c r="B1740" s="80" t="s">
        <v>118</v>
      </c>
      <c r="C1740" s="77" t="s">
        <v>48</v>
      </c>
      <c r="D1740" s="78">
        <v>1</v>
      </c>
      <c r="E1740" s="79"/>
      <c r="F1740" s="79" t="e">
        <f t="shared" si="107"/>
        <v>#REF!</v>
      </c>
      <c r="G1740" s="2"/>
      <c r="H1740" s="37">
        <v>18506</v>
      </c>
      <c r="I1740" s="4">
        <f t="shared" si="108"/>
        <v>0</v>
      </c>
      <c r="J1740" s="25">
        <f t="shared" si="109"/>
        <v>55</v>
      </c>
    </row>
    <row r="1741" spans="1:10" ht="16.95" customHeight="1">
      <c r="A1741" s="75">
        <v>29</v>
      </c>
      <c r="B1741" s="80" t="s">
        <v>119</v>
      </c>
      <c r="C1741" s="77" t="s">
        <v>48</v>
      </c>
      <c r="D1741" s="78">
        <v>1</v>
      </c>
      <c r="E1741" s="79"/>
      <c r="F1741" s="79" t="e">
        <f t="shared" si="107"/>
        <v>#REF!</v>
      </c>
      <c r="G1741" s="2"/>
      <c r="H1741" s="37">
        <v>34381</v>
      </c>
      <c r="I1741" s="4">
        <f t="shared" si="108"/>
        <v>0</v>
      </c>
      <c r="J1741" s="25">
        <f t="shared" si="109"/>
        <v>55</v>
      </c>
    </row>
    <row r="1742" spans="1:10" ht="16.95" customHeight="1">
      <c r="A1742" s="75" t="s">
        <v>79</v>
      </c>
      <c r="B1742" s="80" t="s">
        <v>80</v>
      </c>
      <c r="C1742" s="77" t="s">
        <v>48</v>
      </c>
      <c r="D1742" s="78">
        <v>1</v>
      </c>
      <c r="E1742" s="79">
        <f t="shared" ref="E1742:E1745" si="110">1/120</f>
        <v>8.3333333333333332E-3</v>
      </c>
      <c r="F1742" s="79" t="e">
        <f t="shared" si="107"/>
        <v>#REF!</v>
      </c>
      <c r="G1742" s="2"/>
      <c r="H1742" s="37">
        <v>21395</v>
      </c>
      <c r="I1742" s="4">
        <f t="shared" si="108"/>
        <v>178.29166666666666</v>
      </c>
      <c r="J1742" s="25">
        <f t="shared" si="109"/>
        <v>55</v>
      </c>
    </row>
    <row r="1743" spans="1:10" ht="16.95" customHeight="1">
      <c r="A1743" s="75" t="s">
        <v>81</v>
      </c>
      <c r="B1743" s="80" t="s">
        <v>82</v>
      </c>
      <c r="C1743" s="77" t="s">
        <v>48</v>
      </c>
      <c r="D1743" s="78">
        <v>1</v>
      </c>
      <c r="E1743" s="79">
        <f t="shared" si="110"/>
        <v>8.3333333333333332E-3</v>
      </c>
      <c r="F1743" s="79" t="e">
        <f t="shared" si="107"/>
        <v>#REF!</v>
      </c>
      <c r="G1743" s="2"/>
      <c r="H1743" s="37">
        <v>21395</v>
      </c>
      <c r="I1743" s="4">
        <f t="shared" si="108"/>
        <v>178.29166666666666</v>
      </c>
      <c r="J1743" s="25">
        <f t="shared" si="109"/>
        <v>55</v>
      </c>
    </row>
    <row r="1744" spans="1:10" ht="16.95" customHeight="1">
      <c r="A1744" s="75" t="s">
        <v>83</v>
      </c>
      <c r="B1744" s="80" t="s">
        <v>84</v>
      </c>
      <c r="C1744" s="77" t="s">
        <v>48</v>
      </c>
      <c r="D1744" s="78">
        <v>1</v>
      </c>
      <c r="E1744" s="79">
        <f t="shared" si="110"/>
        <v>8.3333333333333332E-3</v>
      </c>
      <c r="F1744" s="79" t="e">
        <f t="shared" si="107"/>
        <v>#REF!</v>
      </c>
      <c r="G1744" s="2"/>
      <c r="H1744" s="37">
        <v>149765</v>
      </c>
      <c r="I1744" s="4">
        <f t="shared" si="108"/>
        <v>1248.0416666666667</v>
      </c>
      <c r="J1744" s="25">
        <f t="shared" si="109"/>
        <v>55</v>
      </c>
    </row>
    <row r="1745" spans="1:10" ht="16.95" customHeight="1">
      <c r="A1745" s="75" t="s">
        <v>85</v>
      </c>
      <c r="B1745" s="80" t="s">
        <v>86</v>
      </c>
      <c r="C1745" s="77" t="s">
        <v>48</v>
      </c>
      <c r="D1745" s="78">
        <v>1</v>
      </c>
      <c r="E1745" s="79">
        <f t="shared" si="110"/>
        <v>8.3333333333333332E-3</v>
      </c>
      <c r="F1745" s="79" t="e">
        <f t="shared" si="107"/>
        <v>#REF!</v>
      </c>
      <c r="G1745" s="2"/>
      <c r="H1745" s="37">
        <v>6996</v>
      </c>
      <c r="I1745" s="4">
        <f t="shared" si="108"/>
        <v>58.3</v>
      </c>
      <c r="J1745" s="25">
        <f t="shared" si="109"/>
        <v>55</v>
      </c>
    </row>
    <row r="1746" spans="1:10" ht="16.95" customHeight="1">
      <c r="A1746" s="75" t="s">
        <v>87</v>
      </c>
      <c r="B1746" s="80" t="s">
        <v>88</v>
      </c>
      <c r="C1746" s="77" t="s">
        <v>48</v>
      </c>
      <c r="D1746" s="78">
        <v>1</v>
      </c>
      <c r="E1746" s="79">
        <f>1/120</f>
        <v>8.3333333333333332E-3</v>
      </c>
      <c r="F1746" s="79" t="e">
        <f t="shared" si="107"/>
        <v>#REF!</v>
      </c>
      <c r="G1746" s="2"/>
      <c r="H1746" s="37">
        <v>116952</v>
      </c>
      <c r="I1746" s="4">
        <f t="shared" si="108"/>
        <v>974.6</v>
      </c>
      <c r="J1746" s="25">
        <f t="shared" si="109"/>
        <v>55</v>
      </c>
    </row>
    <row r="1747" spans="1:10" ht="16.95" customHeight="1">
      <c r="A1747" s="95" t="s">
        <v>23</v>
      </c>
      <c r="B1747" s="95"/>
      <c r="C1747" s="50"/>
      <c r="D1747" s="50"/>
      <c r="E1747" s="50"/>
      <c r="F1747" s="50"/>
      <c r="G1747" s="50"/>
      <c r="H1747" s="3" t="s">
        <v>24</v>
      </c>
      <c r="I1747" s="5">
        <f>SUM(I1712:I1746)</f>
        <v>2637.5250000000001</v>
      </c>
      <c r="J1747" s="25">
        <f t="shared" si="109"/>
        <v>55</v>
      </c>
    </row>
    <row r="1748" spans="1:10" ht="16.95" customHeight="1">
      <c r="A1748" s="96" t="s">
        <v>25</v>
      </c>
      <c r="B1748" s="96"/>
      <c r="C1748" s="50"/>
      <c r="D1748" s="50"/>
      <c r="E1748" s="50"/>
      <c r="F1748" s="50"/>
      <c r="G1748" s="50"/>
      <c r="J1748" s="25">
        <f t="shared" si="109"/>
        <v>55</v>
      </c>
    </row>
    <row r="1749" spans="1:10" ht="16.95" customHeight="1">
      <c r="A1749" s="96" t="s">
        <v>26</v>
      </c>
      <c r="B1749" s="96"/>
      <c r="C1749" s="50"/>
      <c r="D1749" s="50"/>
      <c r="E1749" s="50"/>
      <c r="F1749" s="50"/>
      <c r="G1749" s="50"/>
      <c r="J1749" s="25">
        <f t="shared" si="109"/>
        <v>55</v>
      </c>
    </row>
    <row r="1750" spans="1:10" ht="16.95" customHeight="1">
      <c r="A1750" s="95" t="s">
        <v>27</v>
      </c>
      <c r="B1750" s="95"/>
      <c r="C1750" s="95"/>
      <c r="D1750" s="95"/>
      <c r="E1750" s="95"/>
      <c r="F1750" s="95"/>
      <c r="G1750" s="95"/>
      <c r="J1750" s="25">
        <f t="shared" si="109"/>
        <v>55</v>
      </c>
    </row>
    <row r="1751" spans="1:10" ht="16.95" customHeight="1">
      <c r="A1751" s="94" t="s">
        <v>28</v>
      </c>
      <c r="B1751" s="94"/>
      <c r="C1751" s="51" t="s">
        <v>29</v>
      </c>
      <c r="D1751" s="51" t="s">
        <v>30</v>
      </c>
      <c r="E1751" s="51" t="s">
        <v>18</v>
      </c>
      <c r="F1751" s="51" t="s">
        <v>31</v>
      </c>
      <c r="G1751" s="51" t="s">
        <v>20</v>
      </c>
      <c r="J1751" s="25">
        <f t="shared" si="109"/>
        <v>55</v>
      </c>
    </row>
    <row r="1752" spans="1:10" ht="16.95" customHeight="1">
      <c r="A1752" s="96"/>
      <c r="B1752" s="96"/>
      <c r="C1752" s="50"/>
      <c r="D1752" s="50"/>
      <c r="E1752" s="50"/>
      <c r="F1752" s="50"/>
      <c r="G1752" s="51"/>
      <c r="J1752" s="25">
        <f t="shared" si="109"/>
        <v>55</v>
      </c>
    </row>
    <row r="1753" spans="1:10" ht="16.95" customHeight="1">
      <c r="A1753" s="97"/>
      <c r="B1753" s="97"/>
      <c r="C1753" s="50"/>
      <c r="D1753" s="50"/>
      <c r="E1753" s="50"/>
      <c r="F1753" s="51"/>
      <c r="G1753" s="51"/>
      <c r="J1753" s="25">
        <f t="shared" si="109"/>
        <v>55</v>
      </c>
    </row>
    <row r="1754" spans="1:10" ht="16.95" customHeight="1">
      <c r="A1754" s="95" t="s">
        <v>32</v>
      </c>
      <c r="B1754" s="95"/>
      <c r="C1754" s="95"/>
      <c r="D1754" s="95"/>
      <c r="E1754" s="95"/>
      <c r="F1754" s="95"/>
      <c r="G1754" s="95"/>
      <c r="J1754" s="25">
        <f t="shared" si="109"/>
        <v>56</v>
      </c>
    </row>
    <row r="1755" spans="1:10" ht="16.95" customHeight="1">
      <c r="A1755" s="51" t="s">
        <v>33</v>
      </c>
      <c r="B1755" s="51" t="s">
        <v>34</v>
      </c>
      <c r="C1755" s="94" t="s">
        <v>35</v>
      </c>
      <c r="D1755" s="94"/>
      <c r="E1755" s="51" t="s">
        <v>36</v>
      </c>
      <c r="F1755" s="51" t="s">
        <v>37</v>
      </c>
      <c r="G1755" s="51" t="s">
        <v>38</v>
      </c>
      <c r="J1755" s="25">
        <f t="shared" si="109"/>
        <v>56</v>
      </c>
    </row>
    <row r="1756" spans="1:10" ht="16.95" customHeight="1">
      <c r="A1756" s="51" t="s">
        <v>39</v>
      </c>
      <c r="B1756" s="6"/>
      <c r="C1756" s="94" t="e">
        <f>B1756+C1693</f>
        <v>#REF!</v>
      </c>
      <c r="D1756" s="94"/>
      <c r="E1756" s="51"/>
      <c r="F1756" s="24"/>
      <c r="G1756" s="24"/>
      <c r="J1756" s="25">
        <f t="shared" si="109"/>
        <v>56</v>
      </c>
    </row>
    <row r="1757" spans="1:10" ht="16.95" customHeight="1">
      <c r="A1757" s="51" t="s">
        <v>40</v>
      </c>
      <c r="B1757" s="6"/>
      <c r="C1757" s="94" t="e">
        <f>B1757+C1694</f>
        <v>#REF!</v>
      </c>
      <c r="D1757" s="94"/>
      <c r="E1757" s="51"/>
      <c r="F1757" s="24"/>
      <c r="G1757" s="24"/>
      <c r="J1757" s="25">
        <f t="shared" si="109"/>
        <v>56</v>
      </c>
    </row>
    <row r="1758" spans="1:10" ht="36.6" customHeight="1">
      <c r="A1758" s="95" t="s">
        <v>41</v>
      </c>
      <c r="B1758" s="95"/>
      <c r="C1758" s="95"/>
      <c r="D1758" s="95"/>
      <c r="E1758" s="95"/>
      <c r="F1758" s="95"/>
      <c r="G1758" s="95"/>
      <c r="J1758" s="25">
        <f t="shared" si="109"/>
        <v>56</v>
      </c>
    </row>
    <row r="1759" spans="1:10" ht="90" customHeight="1">
      <c r="A1759" s="92" t="s">
        <v>42</v>
      </c>
      <c r="B1759" s="92"/>
      <c r="C1759" s="92"/>
      <c r="D1759" s="92"/>
      <c r="E1759" s="92"/>
      <c r="F1759" s="92"/>
      <c r="G1759" s="92"/>
      <c r="J1759" s="25">
        <f t="shared" si="109"/>
        <v>56</v>
      </c>
    </row>
    <row r="1760" spans="1:10" ht="16.95" customHeight="1">
      <c r="A1760" s="95" t="s">
        <v>43</v>
      </c>
      <c r="B1760" s="95"/>
      <c r="C1760" s="95"/>
      <c r="D1760" s="95"/>
      <c r="E1760" s="95"/>
      <c r="F1760" s="95"/>
      <c r="G1760" s="95"/>
      <c r="J1760" s="25">
        <f t="shared" si="109"/>
        <v>56</v>
      </c>
    </row>
    <row r="1761" spans="1:10" ht="16.95" customHeight="1">
      <c r="A1761" s="95" t="s">
        <v>44</v>
      </c>
      <c r="B1761" s="95"/>
      <c r="C1761" s="95"/>
      <c r="D1761" s="95"/>
      <c r="E1761" s="95"/>
      <c r="F1761" s="95"/>
      <c r="G1761" s="95"/>
      <c r="J1761" s="25">
        <f t="shared" si="109"/>
        <v>56</v>
      </c>
    </row>
    <row r="1762" spans="1:10" ht="16.95" customHeight="1">
      <c r="A1762" s="91" t="s">
        <v>64</v>
      </c>
      <c r="B1762" s="91"/>
      <c r="C1762" s="91"/>
      <c r="D1762" s="91"/>
      <c r="E1762" s="91"/>
      <c r="F1762" s="91"/>
      <c r="G1762" s="91"/>
      <c r="J1762" s="25">
        <f t="shared" si="109"/>
        <v>56</v>
      </c>
    </row>
    <row r="1763" spans="1:10" ht="120.6" customHeight="1">
      <c r="A1763" s="92" t="s">
        <v>45</v>
      </c>
      <c r="B1763" s="92"/>
      <c r="C1763" s="92"/>
      <c r="D1763" s="92"/>
      <c r="E1763" s="92"/>
      <c r="F1763" s="92"/>
      <c r="G1763" s="92"/>
      <c r="J1763" s="25">
        <f t="shared" si="109"/>
        <v>56</v>
      </c>
    </row>
    <row r="1764" spans="1:10" ht="140.4" customHeight="1">
      <c r="A1764" s="93" t="s">
        <v>46</v>
      </c>
      <c r="B1764" s="93"/>
      <c r="C1764" s="93"/>
      <c r="D1764" s="93"/>
      <c r="E1764" s="93"/>
      <c r="F1764" s="93"/>
      <c r="G1764" s="93"/>
      <c r="J1764" s="25">
        <f t="shared" si="109"/>
        <v>56</v>
      </c>
    </row>
    <row r="1765" spans="1:10" ht="37.200000000000003" customHeight="1">
      <c r="A1765" s="103" t="s">
        <v>0</v>
      </c>
      <c r="B1765" s="103"/>
      <c r="C1765" s="103"/>
      <c r="D1765" s="103"/>
      <c r="E1765" s="103"/>
      <c r="F1765" s="103"/>
      <c r="G1765" s="103"/>
      <c r="J1765" s="25">
        <f t="shared" si="109"/>
        <v>57</v>
      </c>
    </row>
    <row r="1766" spans="1:10" ht="16.95" customHeight="1">
      <c r="A1766" s="1" t="s">
        <v>1</v>
      </c>
      <c r="B1766" s="104">
        <f>B1703+1</f>
        <v>30</v>
      </c>
      <c r="C1766" s="104"/>
      <c r="D1766" s="104"/>
      <c r="E1766" s="104"/>
      <c r="F1766" s="104"/>
      <c r="G1766" s="104"/>
      <c r="J1766" s="25">
        <f t="shared" si="109"/>
        <v>57</v>
      </c>
    </row>
    <row r="1767" spans="1:10" ht="16.95" customHeight="1">
      <c r="A1767" s="1" t="s">
        <v>2</v>
      </c>
      <c r="B1767" s="105" t="s">
        <v>63</v>
      </c>
      <c r="C1767" s="105"/>
      <c r="D1767" s="105"/>
      <c r="E1767" s="106">
        <f>E1704+1</f>
        <v>46232</v>
      </c>
      <c r="F1767" s="106"/>
      <c r="G1767" s="106"/>
      <c r="J1767" s="25">
        <f t="shared" si="109"/>
        <v>57</v>
      </c>
    </row>
    <row r="1768" spans="1:10" ht="16.95" customHeight="1">
      <c r="A1768" s="53" t="s">
        <v>3</v>
      </c>
      <c r="B1768" s="2" t="s">
        <v>67</v>
      </c>
      <c r="C1768" s="98" t="s">
        <v>4</v>
      </c>
      <c r="D1768" s="98"/>
      <c r="E1768" s="98" t="s">
        <v>47</v>
      </c>
      <c r="F1768" s="98"/>
      <c r="G1768" s="98"/>
      <c r="J1768" s="25">
        <f t="shared" si="109"/>
        <v>57</v>
      </c>
    </row>
    <row r="1769" spans="1:10" ht="16.95" customHeight="1">
      <c r="A1769" s="53" t="s">
        <v>5</v>
      </c>
      <c r="B1769" s="54">
        <v>120</v>
      </c>
      <c r="C1769" s="98" t="s">
        <v>6</v>
      </c>
      <c r="D1769" s="98"/>
      <c r="E1769" s="98" t="s">
        <v>123</v>
      </c>
      <c r="F1769" s="98"/>
      <c r="G1769" s="98"/>
      <c r="J1769" s="25">
        <f t="shared" si="109"/>
        <v>57</v>
      </c>
    </row>
    <row r="1770" spans="1:10" ht="16.95" customHeight="1">
      <c r="A1770" s="53" t="s">
        <v>7</v>
      </c>
      <c r="B1770" s="54">
        <f>B1766</f>
        <v>30</v>
      </c>
      <c r="C1770" s="100" t="s">
        <v>8</v>
      </c>
      <c r="D1770" s="100"/>
      <c r="E1770" s="101">
        <f>B1769-B1770</f>
        <v>90</v>
      </c>
      <c r="F1770" s="101"/>
      <c r="G1770" s="101"/>
      <c r="J1770" s="25">
        <f t="shared" si="109"/>
        <v>57</v>
      </c>
    </row>
    <row r="1771" spans="1:10" ht="16.95" customHeight="1">
      <c r="A1771" s="53" t="s">
        <v>9</v>
      </c>
      <c r="B1771" s="55">
        <v>46204</v>
      </c>
      <c r="C1771" s="98" t="s">
        <v>10</v>
      </c>
      <c r="D1771" s="98"/>
      <c r="E1771" s="102">
        <f>B1771+B1769-1</f>
        <v>46323</v>
      </c>
      <c r="F1771" s="102"/>
      <c r="G1771" s="102"/>
      <c r="J1771" s="25">
        <f t="shared" si="109"/>
        <v>57</v>
      </c>
    </row>
    <row r="1772" spans="1:10" ht="16.95" customHeight="1">
      <c r="A1772" s="53" t="s">
        <v>11</v>
      </c>
      <c r="B1772" s="56" t="e">
        <f>HLOOKUP(B1766,進度表!$Q$2:$Z$3,2,1)+B1709</f>
        <v>#REF!</v>
      </c>
      <c r="C1772" s="98" t="s">
        <v>12</v>
      </c>
      <c r="D1772" s="98"/>
      <c r="E1772" s="99" t="e">
        <f>I1810/I1772+E1709</f>
        <v>#REF!</v>
      </c>
      <c r="F1772" s="99"/>
      <c r="G1772" s="99"/>
      <c r="H1772" s="3" t="s">
        <v>62</v>
      </c>
      <c r="I1772" s="1">
        <v>2456000</v>
      </c>
      <c r="J1772" s="25">
        <f t="shared" si="109"/>
        <v>57</v>
      </c>
    </row>
    <row r="1773" spans="1:10" ht="16.95" customHeight="1">
      <c r="A1773" s="98" t="s">
        <v>13</v>
      </c>
      <c r="B1773" s="98"/>
      <c r="C1773" s="98"/>
      <c r="D1773" s="98"/>
      <c r="E1773" s="98"/>
      <c r="F1773" s="98"/>
      <c r="G1773" s="98"/>
      <c r="J1773" s="25">
        <f t="shared" si="109"/>
        <v>57</v>
      </c>
    </row>
    <row r="1774" spans="1:10" ht="16.95" customHeight="1">
      <c r="A1774" s="52" t="s">
        <v>14</v>
      </c>
      <c r="B1774" s="52" t="s">
        <v>15</v>
      </c>
      <c r="C1774" s="52" t="s">
        <v>16</v>
      </c>
      <c r="D1774" s="52" t="s">
        <v>17</v>
      </c>
      <c r="E1774" s="52" t="s">
        <v>18</v>
      </c>
      <c r="F1774" s="52" t="s">
        <v>19</v>
      </c>
      <c r="G1774" s="52" t="s">
        <v>20</v>
      </c>
      <c r="H1774" s="3" t="s">
        <v>21</v>
      </c>
      <c r="I1774" s="3" t="s">
        <v>22</v>
      </c>
      <c r="J1774" s="25">
        <f t="shared" si="109"/>
        <v>57</v>
      </c>
    </row>
    <row r="1775" spans="1:10" ht="16.95" customHeight="1">
      <c r="A1775" s="75" t="s">
        <v>65</v>
      </c>
      <c r="B1775" s="76" t="s">
        <v>69</v>
      </c>
      <c r="C1775" s="77"/>
      <c r="D1775" s="78"/>
      <c r="E1775" s="79"/>
      <c r="F1775" s="79"/>
      <c r="G1775" s="2"/>
      <c r="H1775" s="37"/>
      <c r="I1775" s="4"/>
      <c r="J1775" s="25">
        <f t="shared" si="109"/>
        <v>57</v>
      </c>
    </row>
    <row r="1776" spans="1:10" ht="34.950000000000003" customHeight="1">
      <c r="A1776" s="75">
        <v>1</v>
      </c>
      <c r="B1776" s="80" t="s">
        <v>91</v>
      </c>
      <c r="C1776" s="77" t="s">
        <v>48</v>
      </c>
      <c r="D1776" s="78">
        <v>1</v>
      </c>
      <c r="E1776" s="79"/>
      <c r="F1776" s="79" t="e">
        <f t="shared" ref="F1776:F1809" si="111">E1776+F1713</f>
        <v>#REF!</v>
      </c>
      <c r="G1776" s="2"/>
      <c r="H1776" s="37">
        <v>10508</v>
      </c>
      <c r="I1776" s="4">
        <f>H1776*E1776</f>
        <v>0</v>
      </c>
      <c r="J1776" s="25">
        <f t="shared" si="109"/>
        <v>57</v>
      </c>
    </row>
    <row r="1777" spans="1:10" ht="34.799999999999997" customHeight="1">
      <c r="A1777" s="75">
        <v>2</v>
      </c>
      <c r="B1777" s="80" t="s">
        <v>92</v>
      </c>
      <c r="C1777" s="77" t="s">
        <v>48</v>
      </c>
      <c r="D1777" s="78">
        <v>1</v>
      </c>
      <c r="E1777" s="79"/>
      <c r="F1777" s="79" t="e">
        <f t="shared" si="111"/>
        <v>#REF!</v>
      </c>
      <c r="G1777" s="2"/>
      <c r="H1777" s="37">
        <v>13223</v>
      </c>
      <c r="I1777" s="4">
        <f>H1777*E1777</f>
        <v>0</v>
      </c>
      <c r="J1777" s="25">
        <f t="shared" si="109"/>
        <v>57</v>
      </c>
    </row>
    <row r="1778" spans="1:10" ht="53.4" customHeight="1">
      <c r="A1778" s="75">
        <v>3</v>
      </c>
      <c r="B1778" s="80" t="s">
        <v>93</v>
      </c>
      <c r="C1778" s="77" t="s">
        <v>48</v>
      </c>
      <c r="D1778" s="78">
        <v>1</v>
      </c>
      <c r="E1778" s="79"/>
      <c r="F1778" s="79" t="e">
        <f t="shared" si="111"/>
        <v>#REF!</v>
      </c>
      <c r="G1778" s="2"/>
      <c r="H1778" s="37">
        <v>310497</v>
      </c>
      <c r="I1778" s="4">
        <f t="shared" ref="I1778:I1809" si="112">H1778*E1778</f>
        <v>0</v>
      </c>
      <c r="J1778" s="25">
        <f t="shared" si="109"/>
        <v>57</v>
      </c>
    </row>
    <row r="1779" spans="1:10" ht="16.95" customHeight="1">
      <c r="A1779" s="75">
        <v>4</v>
      </c>
      <c r="B1779" s="80" t="s">
        <v>94</v>
      </c>
      <c r="C1779" s="77" t="s">
        <v>48</v>
      </c>
      <c r="D1779" s="78">
        <v>1</v>
      </c>
      <c r="E1779" s="79"/>
      <c r="F1779" s="79" t="e">
        <f t="shared" si="111"/>
        <v>#REF!</v>
      </c>
      <c r="G1779" s="2"/>
      <c r="H1779" s="37">
        <v>8375</v>
      </c>
      <c r="I1779" s="4">
        <f t="shared" si="112"/>
        <v>0</v>
      </c>
      <c r="J1779" s="25">
        <f t="shared" si="109"/>
        <v>57</v>
      </c>
    </row>
    <row r="1780" spans="1:10" ht="16.95" customHeight="1">
      <c r="A1780" s="75">
        <v>5</v>
      </c>
      <c r="B1780" s="80" t="s">
        <v>95</v>
      </c>
      <c r="C1780" s="77" t="s">
        <v>48</v>
      </c>
      <c r="D1780" s="78">
        <v>1</v>
      </c>
      <c r="E1780" s="79"/>
      <c r="F1780" s="79" t="e">
        <f t="shared" si="111"/>
        <v>#REF!</v>
      </c>
      <c r="G1780" s="2"/>
      <c r="H1780" s="37">
        <v>51618</v>
      </c>
      <c r="I1780" s="4">
        <f t="shared" si="112"/>
        <v>0</v>
      </c>
      <c r="J1780" s="25">
        <f t="shared" si="109"/>
        <v>57</v>
      </c>
    </row>
    <row r="1781" spans="1:10" ht="16.95" customHeight="1">
      <c r="A1781" s="75">
        <v>6</v>
      </c>
      <c r="B1781" s="80" t="s">
        <v>96</v>
      </c>
      <c r="C1781" s="77" t="s">
        <v>50</v>
      </c>
      <c r="D1781" s="78">
        <v>11.55</v>
      </c>
      <c r="E1781" s="79"/>
      <c r="F1781" s="79" t="e">
        <f t="shared" si="111"/>
        <v>#REF!</v>
      </c>
      <c r="G1781" s="2"/>
      <c r="H1781" s="37">
        <v>1188</v>
      </c>
      <c r="I1781" s="4">
        <f t="shared" si="112"/>
        <v>0</v>
      </c>
      <c r="J1781" s="25">
        <f t="shared" si="109"/>
        <v>57</v>
      </c>
    </row>
    <row r="1782" spans="1:10" ht="34.950000000000003" customHeight="1">
      <c r="A1782" s="75">
        <v>7</v>
      </c>
      <c r="B1782" s="80" t="s">
        <v>97</v>
      </c>
      <c r="C1782" s="77" t="s">
        <v>48</v>
      </c>
      <c r="D1782" s="78">
        <v>1</v>
      </c>
      <c r="E1782" s="79"/>
      <c r="F1782" s="79" t="e">
        <f t="shared" si="111"/>
        <v>#REF!</v>
      </c>
      <c r="G1782" s="2"/>
      <c r="H1782" s="37">
        <v>21157</v>
      </c>
      <c r="I1782" s="4">
        <f t="shared" si="112"/>
        <v>0</v>
      </c>
      <c r="J1782" s="25">
        <f t="shared" si="109"/>
        <v>57</v>
      </c>
    </row>
    <row r="1783" spans="1:10" ht="16.95" customHeight="1">
      <c r="A1783" s="75">
        <v>8</v>
      </c>
      <c r="B1783" s="80" t="s">
        <v>98</v>
      </c>
      <c r="C1783" s="77" t="s">
        <v>50</v>
      </c>
      <c r="D1783" s="78">
        <v>387</v>
      </c>
      <c r="E1783" s="79"/>
      <c r="F1783" s="79" t="e">
        <f t="shared" si="111"/>
        <v>#REF!</v>
      </c>
      <c r="G1783" s="2"/>
      <c r="H1783" s="37">
        <v>705</v>
      </c>
      <c r="I1783" s="4">
        <f t="shared" si="112"/>
        <v>0</v>
      </c>
      <c r="J1783" s="25">
        <f t="shared" si="109"/>
        <v>57</v>
      </c>
    </row>
    <row r="1784" spans="1:10" ht="16.95" customHeight="1">
      <c r="A1784" s="75">
        <v>9</v>
      </c>
      <c r="B1784" s="80" t="s">
        <v>99</v>
      </c>
      <c r="C1784" s="77" t="s">
        <v>50</v>
      </c>
      <c r="D1784" s="78">
        <v>170</v>
      </c>
      <c r="E1784" s="79"/>
      <c r="F1784" s="79" t="e">
        <f t="shared" si="111"/>
        <v>#REF!</v>
      </c>
      <c r="G1784" s="2"/>
      <c r="H1784" s="37">
        <v>617</v>
      </c>
      <c r="I1784" s="4">
        <f t="shared" si="112"/>
        <v>0</v>
      </c>
      <c r="J1784" s="25">
        <f t="shared" si="109"/>
        <v>57</v>
      </c>
    </row>
    <row r="1785" spans="1:10" ht="16.95" customHeight="1">
      <c r="A1785" s="75">
        <v>10</v>
      </c>
      <c r="B1785" s="80" t="s">
        <v>100</v>
      </c>
      <c r="C1785" s="77" t="s">
        <v>66</v>
      </c>
      <c r="D1785" s="78">
        <v>15</v>
      </c>
      <c r="E1785" s="79"/>
      <c r="F1785" s="79" t="e">
        <f t="shared" si="111"/>
        <v>#REF!</v>
      </c>
      <c r="G1785" s="2"/>
      <c r="H1785" s="37">
        <v>617</v>
      </c>
      <c r="I1785" s="4">
        <f t="shared" si="112"/>
        <v>0</v>
      </c>
      <c r="J1785" s="25">
        <f t="shared" si="109"/>
        <v>57</v>
      </c>
    </row>
    <row r="1786" spans="1:10" ht="16.95" customHeight="1">
      <c r="A1786" s="75">
        <v>11</v>
      </c>
      <c r="B1786" s="80" t="s">
        <v>101</v>
      </c>
      <c r="C1786" s="77" t="s">
        <v>50</v>
      </c>
      <c r="D1786" s="78">
        <v>75</v>
      </c>
      <c r="E1786" s="79"/>
      <c r="F1786" s="79" t="e">
        <f t="shared" si="111"/>
        <v>#REF!</v>
      </c>
      <c r="G1786" s="2"/>
      <c r="H1786" s="37">
        <v>1146</v>
      </c>
      <c r="I1786" s="4">
        <f t="shared" si="112"/>
        <v>0</v>
      </c>
      <c r="J1786" s="25">
        <f t="shared" si="109"/>
        <v>57</v>
      </c>
    </row>
    <row r="1787" spans="1:10" ht="16.95" customHeight="1">
      <c r="A1787" s="75">
        <v>12</v>
      </c>
      <c r="B1787" s="80" t="s">
        <v>102</v>
      </c>
      <c r="C1787" s="77" t="s">
        <v>50</v>
      </c>
      <c r="D1787" s="78">
        <v>5</v>
      </c>
      <c r="E1787" s="79"/>
      <c r="F1787" s="79" t="e">
        <f t="shared" si="111"/>
        <v>#REF!</v>
      </c>
      <c r="G1787" s="2"/>
      <c r="H1787" s="37">
        <v>1455</v>
      </c>
      <c r="I1787" s="4">
        <f t="shared" si="112"/>
        <v>0</v>
      </c>
      <c r="J1787" s="25">
        <f t="shared" ref="J1787:J1850" si="113">J1724+2</f>
        <v>57</v>
      </c>
    </row>
    <row r="1788" spans="1:10" ht="16.95" customHeight="1">
      <c r="A1788" s="75">
        <v>13</v>
      </c>
      <c r="B1788" s="80" t="s">
        <v>103</v>
      </c>
      <c r="C1788" s="77" t="s">
        <v>50</v>
      </c>
      <c r="D1788" s="78">
        <v>217</v>
      </c>
      <c r="E1788" s="79"/>
      <c r="F1788" s="79" t="e">
        <f t="shared" si="111"/>
        <v>#REF!</v>
      </c>
      <c r="G1788" s="2"/>
      <c r="H1788" s="37">
        <v>1410</v>
      </c>
      <c r="I1788" s="4">
        <f t="shared" si="112"/>
        <v>0</v>
      </c>
      <c r="J1788" s="25">
        <f t="shared" si="113"/>
        <v>57</v>
      </c>
    </row>
    <row r="1789" spans="1:10" ht="16.95" customHeight="1">
      <c r="A1789" s="75">
        <v>14</v>
      </c>
      <c r="B1789" s="80" t="s">
        <v>104</v>
      </c>
      <c r="C1789" s="77" t="s">
        <v>49</v>
      </c>
      <c r="D1789" s="78">
        <v>84</v>
      </c>
      <c r="E1789" s="79"/>
      <c r="F1789" s="79" t="e">
        <f t="shared" si="111"/>
        <v>#REF!</v>
      </c>
      <c r="G1789" s="2"/>
      <c r="H1789" s="37">
        <v>529</v>
      </c>
      <c r="I1789" s="4">
        <f t="shared" si="112"/>
        <v>0</v>
      </c>
      <c r="J1789" s="25">
        <f t="shared" si="113"/>
        <v>57</v>
      </c>
    </row>
    <row r="1790" spans="1:10" ht="16.95" customHeight="1">
      <c r="A1790" s="75">
        <v>15</v>
      </c>
      <c r="B1790" s="80" t="s">
        <v>105</v>
      </c>
      <c r="C1790" s="77" t="s">
        <v>50</v>
      </c>
      <c r="D1790" s="78">
        <v>1</v>
      </c>
      <c r="E1790" s="79"/>
      <c r="F1790" s="79" t="e">
        <f t="shared" si="111"/>
        <v>#REF!</v>
      </c>
      <c r="G1790" s="2"/>
      <c r="H1790" s="37">
        <v>1146</v>
      </c>
      <c r="I1790" s="4">
        <f t="shared" si="112"/>
        <v>0</v>
      </c>
      <c r="J1790" s="25">
        <f t="shared" si="113"/>
        <v>57</v>
      </c>
    </row>
    <row r="1791" spans="1:10" ht="34.799999999999997" customHeight="1">
      <c r="A1791" s="75">
        <v>16</v>
      </c>
      <c r="B1791" s="80" t="s">
        <v>106</v>
      </c>
      <c r="C1791" s="77" t="s">
        <v>50</v>
      </c>
      <c r="D1791" s="78">
        <v>314</v>
      </c>
      <c r="E1791" s="79"/>
      <c r="F1791" s="79" t="e">
        <f t="shared" si="111"/>
        <v>#REF!</v>
      </c>
      <c r="G1791" s="2"/>
      <c r="H1791" s="37">
        <v>185</v>
      </c>
      <c r="I1791" s="4">
        <f t="shared" si="112"/>
        <v>0</v>
      </c>
      <c r="J1791" s="25">
        <f t="shared" si="113"/>
        <v>57</v>
      </c>
    </row>
    <row r="1792" spans="1:10" ht="16.95" customHeight="1">
      <c r="A1792" s="75">
        <v>17</v>
      </c>
      <c r="B1792" s="80" t="s">
        <v>107</v>
      </c>
      <c r="C1792" s="77" t="s">
        <v>48</v>
      </c>
      <c r="D1792" s="78">
        <v>1</v>
      </c>
      <c r="E1792" s="79"/>
      <c r="F1792" s="79" t="e">
        <f t="shared" si="111"/>
        <v>#REF!</v>
      </c>
      <c r="G1792" s="2"/>
      <c r="H1792" s="37">
        <v>89918</v>
      </c>
      <c r="I1792" s="4">
        <f t="shared" si="112"/>
        <v>0</v>
      </c>
      <c r="J1792" s="25">
        <f t="shared" si="113"/>
        <v>57</v>
      </c>
    </row>
    <row r="1793" spans="1:10" ht="16.95" customHeight="1">
      <c r="A1793" s="75">
        <v>18</v>
      </c>
      <c r="B1793" s="80" t="s">
        <v>108</v>
      </c>
      <c r="C1793" s="77" t="s">
        <v>120</v>
      </c>
      <c r="D1793" s="78">
        <v>15</v>
      </c>
      <c r="E1793" s="79"/>
      <c r="F1793" s="79" t="e">
        <f t="shared" si="111"/>
        <v>#REF!</v>
      </c>
      <c r="G1793" s="2"/>
      <c r="H1793" s="37">
        <v>661</v>
      </c>
      <c r="I1793" s="4">
        <f t="shared" si="112"/>
        <v>0</v>
      </c>
      <c r="J1793" s="25">
        <f t="shared" si="113"/>
        <v>57</v>
      </c>
    </row>
    <row r="1794" spans="1:10" ht="16.95" customHeight="1">
      <c r="A1794" s="75">
        <v>19</v>
      </c>
      <c r="B1794" s="80" t="s">
        <v>109</v>
      </c>
      <c r="C1794" s="77" t="s">
        <v>50</v>
      </c>
      <c r="D1794" s="78">
        <v>82</v>
      </c>
      <c r="E1794" s="79"/>
      <c r="F1794" s="79" t="e">
        <f t="shared" si="111"/>
        <v>#REF!</v>
      </c>
      <c r="G1794" s="2"/>
      <c r="H1794" s="37">
        <v>2909</v>
      </c>
      <c r="I1794" s="4">
        <f t="shared" si="112"/>
        <v>0</v>
      </c>
      <c r="J1794" s="25">
        <f t="shared" si="113"/>
        <v>57</v>
      </c>
    </row>
    <row r="1795" spans="1:10" ht="16.95" customHeight="1">
      <c r="A1795" s="75">
        <v>20</v>
      </c>
      <c r="B1795" s="80" t="s">
        <v>110</v>
      </c>
      <c r="C1795" s="77" t="s">
        <v>121</v>
      </c>
      <c r="D1795" s="78">
        <v>12</v>
      </c>
      <c r="E1795" s="79"/>
      <c r="F1795" s="79" t="e">
        <f t="shared" si="111"/>
        <v>#REF!</v>
      </c>
      <c r="G1795" s="2"/>
      <c r="H1795" s="37">
        <v>882</v>
      </c>
      <c r="I1795" s="4">
        <f t="shared" si="112"/>
        <v>0</v>
      </c>
      <c r="J1795" s="25">
        <f t="shared" si="113"/>
        <v>57</v>
      </c>
    </row>
    <row r="1796" spans="1:10" ht="16.95" customHeight="1">
      <c r="A1796" s="77">
        <v>21</v>
      </c>
      <c r="B1796" s="80" t="s">
        <v>111</v>
      </c>
      <c r="C1796" s="77" t="s">
        <v>122</v>
      </c>
      <c r="D1796" s="78">
        <v>3</v>
      </c>
      <c r="E1796" s="79"/>
      <c r="F1796" s="79" t="e">
        <f t="shared" si="111"/>
        <v>#REF!</v>
      </c>
      <c r="G1796" s="2"/>
      <c r="H1796" s="38">
        <v>1869</v>
      </c>
      <c r="I1796" s="4">
        <f t="shared" si="112"/>
        <v>0</v>
      </c>
      <c r="J1796" s="25">
        <f t="shared" si="113"/>
        <v>57</v>
      </c>
    </row>
    <row r="1797" spans="1:10" ht="34.950000000000003" customHeight="1">
      <c r="A1797" s="75">
        <v>22</v>
      </c>
      <c r="B1797" s="80" t="s">
        <v>112</v>
      </c>
      <c r="C1797" s="77" t="s">
        <v>48</v>
      </c>
      <c r="D1797" s="78">
        <v>1</v>
      </c>
      <c r="E1797" s="79"/>
      <c r="F1797" s="79" t="e">
        <f t="shared" si="111"/>
        <v>#REF!</v>
      </c>
      <c r="G1797" s="2"/>
      <c r="H1797" s="37">
        <v>82206</v>
      </c>
      <c r="I1797" s="4">
        <f t="shared" si="112"/>
        <v>0</v>
      </c>
      <c r="J1797" s="25">
        <f t="shared" si="113"/>
        <v>57</v>
      </c>
    </row>
    <row r="1798" spans="1:10" ht="16.95" customHeight="1">
      <c r="A1798" s="75">
        <v>23</v>
      </c>
      <c r="B1798" s="80" t="s">
        <v>113</v>
      </c>
      <c r="C1798" s="77" t="s">
        <v>48</v>
      </c>
      <c r="D1798" s="78">
        <v>1</v>
      </c>
      <c r="E1798" s="79"/>
      <c r="F1798" s="79" t="e">
        <f t="shared" si="111"/>
        <v>#REF!</v>
      </c>
      <c r="G1798" s="2"/>
      <c r="H1798" s="37">
        <v>142723</v>
      </c>
      <c r="I1798" s="4">
        <f t="shared" si="112"/>
        <v>0</v>
      </c>
      <c r="J1798" s="25">
        <f t="shared" si="113"/>
        <v>57</v>
      </c>
    </row>
    <row r="1799" spans="1:10" ht="16.95" customHeight="1">
      <c r="A1799" s="75">
        <v>24</v>
      </c>
      <c r="B1799" s="80" t="s">
        <v>114</v>
      </c>
      <c r="C1799" s="77" t="s">
        <v>48</v>
      </c>
      <c r="D1799" s="78">
        <v>1</v>
      </c>
      <c r="E1799" s="79"/>
      <c r="F1799" s="79" t="e">
        <f t="shared" si="111"/>
        <v>#REF!</v>
      </c>
      <c r="G1799" s="2"/>
      <c r="H1799" s="37">
        <v>37290</v>
      </c>
      <c r="I1799" s="4">
        <f t="shared" si="112"/>
        <v>0</v>
      </c>
      <c r="J1799" s="25">
        <f t="shared" si="113"/>
        <v>57</v>
      </c>
    </row>
    <row r="1800" spans="1:10" ht="16.95" customHeight="1">
      <c r="A1800" s="75">
        <v>25</v>
      </c>
      <c r="B1800" s="80" t="s">
        <v>115</v>
      </c>
      <c r="C1800" s="77" t="s">
        <v>48</v>
      </c>
      <c r="D1800" s="78">
        <v>1</v>
      </c>
      <c r="E1800" s="79"/>
      <c r="F1800" s="79" t="e">
        <f t="shared" si="111"/>
        <v>#REF!</v>
      </c>
      <c r="G1800" s="2"/>
      <c r="H1800" s="37">
        <v>99394</v>
      </c>
      <c r="I1800" s="4">
        <f t="shared" si="112"/>
        <v>0</v>
      </c>
      <c r="J1800" s="25">
        <f t="shared" si="113"/>
        <v>57</v>
      </c>
    </row>
    <row r="1801" spans="1:10" ht="34.950000000000003" customHeight="1">
      <c r="A1801" s="75">
        <v>26</v>
      </c>
      <c r="B1801" s="80" t="s">
        <v>116</v>
      </c>
      <c r="C1801" s="77" t="s">
        <v>48</v>
      </c>
      <c r="D1801" s="78">
        <v>1</v>
      </c>
      <c r="E1801" s="79"/>
      <c r="F1801" s="79" t="e">
        <f t="shared" si="111"/>
        <v>#REF!</v>
      </c>
      <c r="G1801" s="2"/>
      <c r="H1801" s="37">
        <v>21334</v>
      </c>
      <c r="I1801" s="4">
        <f t="shared" si="112"/>
        <v>0</v>
      </c>
      <c r="J1801" s="25">
        <f t="shared" si="113"/>
        <v>57</v>
      </c>
    </row>
    <row r="1802" spans="1:10" ht="16.95" customHeight="1">
      <c r="A1802" s="75">
        <v>27</v>
      </c>
      <c r="B1802" s="80" t="s">
        <v>117</v>
      </c>
      <c r="C1802" s="77" t="s">
        <v>48</v>
      </c>
      <c r="D1802" s="78">
        <v>1</v>
      </c>
      <c r="E1802" s="79"/>
      <c r="F1802" s="79" t="e">
        <f t="shared" si="111"/>
        <v>#REF!</v>
      </c>
      <c r="G1802" s="2"/>
      <c r="H1802" s="37">
        <v>29620</v>
      </c>
      <c r="I1802" s="4">
        <f t="shared" si="112"/>
        <v>0</v>
      </c>
      <c r="J1802" s="25">
        <f t="shared" si="113"/>
        <v>57</v>
      </c>
    </row>
    <row r="1803" spans="1:10" ht="16.95" customHeight="1">
      <c r="A1803" s="75">
        <v>28</v>
      </c>
      <c r="B1803" s="80" t="s">
        <v>118</v>
      </c>
      <c r="C1803" s="77" t="s">
        <v>48</v>
      </c>
      <c r="D1803" s="78">
        <v>1</v>
      </c>
      <c r="E1803" s="79"/>
      <c r="F1803" s="79" t="e">
        <f t="shared" si="111"/>
        <v>#REF!</v>
      </c>
      <c r="G1803" s="2"/>
      <c r="H1803" s="37">
        <v>18506</v>
      </c>
      <c r="I1803" s="4">
        <f t="shared" si="112"/>
        <v>0</v>
      </c>
      <c r="J1803" s="25">
        <f t="shared" si="113"/>
        <v>57</v>
      </c>
    </row>
    <row r="1804" spans="1:10" ht="16.95" customHeight="1">
      <c r="A1804" s="75">
        <v>29</v>
      </c>
      <c r="B1804" s="80" t="s">
        <v>119</v>
      </c>
      <c r="C1804" s="77" t="s">
        <v>48</v>
      </c>
      <c r="D1804" s="78">
        <v>1</v>
      </c>
      <c r="E1804" s="79"/>
      <c r="F1804" s="79" t="e">
        <f t="shared" si="111"/>
        <v>#REF!</v>
      </c>
      <c r="G1804" s="2"/>
      <c r="H1804" s="37">
        <v>34381</v>
      </c>
      <c r="I1804" s="4">
        <f t="shared" si="112"/>
        <v>0</v>
      </c>
      <c r="J1804" s="25">
        <f t="shared" si="113"/>
        <v>57</v>
      </c>
    </row>
    <row r="1805" spans="1:10" ht="16.95" customHeight="1">
      <c r="A1805" s="75" t="s">
        <v>79</v>
      </c>
      <c r="B1805" s="80" t="s">
        <v>80</v>
      </c>
      <c r="C1805" s="77" t="s">
        <v>48</v>
      </c>
      <c r="D1805" s="78">
        <v>1</v>
      </c>
      <c r="E1805" s="79">
        <f t="shared" ref="E1805:E1808" si="114">1/120</f>
        <v>8.3333333333333332E-3</v>
      </c>
      <c r="F1805" s="79" t="e">
        <f t="shared" si="111"/>
        <v>#REF!</v>
      </c>
      <c r="G1805" s="2"/>
      <c r="H1805" s="37">
        <v>21395</v>
      </c>
      <c r="I1805" s="4">
        <f t="shared" si="112"/>
        <v>178.29166666666666</v>
      </c>
      <c r="J1805" s="25">
        <f t="shared" si="113"/>
        <v>57</v>
      </c>
    </row>
    <row r="1806" spans="1:10" ht="16.95" customHeight="1">
      <c r="A1806" s="75" t="s">
        <v>81</v>
      </c>
      <c r="B1806" s="80" t="s">
        <v>82</v>
      </c>
      <c r="C1806" s="77" t="s">
        <v>48</v>
      </c>
      <c r="D1806" s="78">
        <v>1</v>
      </c>
      <c r="E1806" s="79">
        <f t="shared" si="114"/>
        <v>8.3333333333333332E-3</v>
      </c>
      <c r="F1806" s="79" t="e">
        <f t="shared" si="111"/>
        <v>#REF!</v>
      </c>
      <c r="G1806" s="2"/>
      <c r="H1806" s="37">
        <v>21395</v>
      </c>
      <c r="I1806" s="4">
        <f t="shared" si="112"/>
        <v>178.29166666666666</v>
      </c>
      <c r="J1806" s="25">
        <f t="shared" si="113"/>
        <v>57</v>
      </c>
    </row>
    <row r="1807" spans="1:10" ht="16.95" customHeight="1">
      <c r="A1807" s="75" t="s">
        <v>83</v>
      </c>
      <c r="B1807" s="80" t="s">
        <v>84</v>
      </c>
      <c r="C1807" s="77" t="s">
        <v>48</v>
      </c>
      <c r="D1807" s="78">
        <v>1</v>
      </c>
      <c r="E1807" s="79">
        <f t="shared" si="114"/>
        <v>8.3333333333333332E-3</v>
      </c>
      <c r="F1807" s="79" t="e">
        <f t="shared" si="111"/>
        <v>#REF!</v>
      </c>
      <c r="G1807" s="2"/>
      <c r="H1807" s="37">
        <v>149765</v>
      </c>
      <c r="I1807" s="4">
        <f t="shared" si="112"/>
        <v>1248.0416666666667</v>
      </c>
      <c r="J1807" s="25">
        <f t="shared" si="113"/>
        <v>57</v>
      </c>
    </row>
    <row r="1808" spans="1:10" ht="16.95" customHeight="1">
      <c r="A1808" s="75" t="s">
        <v>85</v>
      </c>
      <c r="B1808" s="80" t="s">
        <v>86</v>
      </c>
      <c r="C1808" s="77" t="s">
        <v>48</v>
      </c>
      <c r="D1808" s="78">
        <v>1</v>
      </c>
      <c r="E1808" s="79">
        <f t="shared" si="114"/>
        <v>8.3333333333333332E-3</v>
      </c>
      <c r="F1808" s="79" t="e">
        <f t="shared" si="111"/>
        <v>#REF!</v>
      </c>
      <c r="G1808" s="2"/>
      <c r="H1808" s="37">
        <v>6996</v>
      </c>
      <c r="I1808" s="4">
        <f t="shared" si="112"/>
        <v>58.3</v>
      </c>
      <c r="J1808" s="25">
        <f t="shared" si="113"/>
        <v>57</v>
      </c>
    </row>
    <row r="1809" spans="1:10" ht="16.95" customHeight="1">
      <c r="A1809" s="75" t="s">
        <v>87</v>
      </c>
      <c r="B1809" s="80" t="s">
        <v>88</v>
      </c>
      <c r="C1809" s="77" t="s">
        <v>48</v>
      </c>
      <c r="D1809" s="78">
        <v>1</v>
      </c>
      <c r="E1809" s="79">
        <f>1/120</f>
        <v>8.3333333333333332E-3</v>
      </c>
      <c r="F1809" s="79" t="e">
        <f t="shared" si="111"/>
        <v>#REF!</v>
      </c>
      <c r="G1809" s="2"/>
      <c r="H1809" s="37">
        <v>116952</v>
      </c>
      <c r="I1809" s="4">
        <f t="shared" si="112"/>
        <v>974.6</v>
      </c>
      <c r="J1809" s="25">
        <f t="shared" si="113"/>
        <v>57</v>
      </c>
    </row>
    <row r="1810" spans="1:10" ht="16.95" customHeight="1">
      <c r="A1810" s="95" t="s">
        <v>23</v>
      </c>
      <c r="B1810" s="95"/>
      <c r="C1810" s="50"/>
      <c r="D1810" s="50"/>
      <c r="E1810" s="50"/>
      <c r="F1810" s="50"/>
      <c r="G1810" s="50"/>
      <c r="H1810" s="3" t="s">
        <v>24</v>
      </c>
      <c r="I1810" s="5">
        <f>SUM(I1775:I1809)</f>
        <v>2637.5250000000001</v>
      </c>
      <c r="J1810" s="25">
        <f t="shared" si="113"/>
        <v>57</v>
      </c>
    </row>
    <row r="1811" spans="1:10" ht="16.95" customHeight="1">
      <c r="A1811" s="96" t="s">
        <v>25</v>
      </c>
      <c r="B1811" s="96"/>
      <c r="C1811" s="50"/>
      <c r="D1811" s="50"/>
      <c r="E1811" s="50"/>
      <c r="F1811" s="50"/>
      <c r="G1811" s="50"/>
      <c r="J1811" s="25">
        <f t="shared" si="113"/>
        <v>57</v>
      </c>
    </row>
    <row r="1812" spans="1:10" ht="16.95" customHeight="1">
      <c r="A1812" s="96" t="s">
        <v>26</v>
      </c>
      <c r="B1812" s="96"/>
      <c r="C1812" s="50"/>
      <c r="D1812" s="50"/>
      <c r="E1812" s="50"/>
      <c r="F1812" s="50"/>
      <c r="G1812" s="50"/>
      <c r="J1812" s="25">
        <f t="shared" si="113"/>
        <v>57</v>
      </c>
    </row>
    <row r="1813" spans="1:10" ht="16.95" customHeight="1">
      <c r="A1813" s="95" t="s">
        <v>27</v>
      </c>
      <c r="B1813" s="95"/>
      <c r="C1813" s="95"/>
      <c r="D1813" s="95"/>
      <c r="E1813" s="95"/>
      <c r="F1813" s="95"/>
      <c r="G1813" s="95"/>
      <c r="J1813" s="25">
        <f t="shared" si="113"/>
        <v>57</v>
      </c>
    </row>
    <row r="1814" spans="1:10" ht="16.95" customHeight="1">
      <c r="A1814" s="94" t="s">
        <v>28</v>
      </c>
      <c r="B1814" s="94"/>
      <c r="C1814" s="51" t="s">
        <v>29</v>
      </c>
      <c r="D1814" s="51" t="s">
        <v>30</v>
      </c>
      <c r="E1814" s="51" t="s">
        <v>18</v>
      </c>
      <c r="F1814" s="51" t="s">
        <v>31</v>
      </c>
      <c r="G1814" s="51" t="s">
        <v>20</v>
      </c>
      <c r="J1814" s="25">
        <f t="shared" si="113"/>
        <v>57</v>
      </c>
    </row>
    <row r="1815" spans="1:10" ht="16.95" customHeight="1">
      <c r="A1815" s="96"/>
      <c r="B1815" s="96"/>
      <c r="C1815" s="50"/>
      <c r="D1815" s="50"/>
      <c r="E1815" s="50"/>
      <c r="F1815" s="50"/>
      <c r="G1815" s="51"/>
      <c r="J1815" s="25">
        <f t="shared" si="113"/>
        <v>57</v>
      </c>
    </row>
    <row r="1816" spans="1:10" ht="16.95" customHeight="1">
      <c r="A1816" s="97"/>
      <c r="B1816" s="97"/>
      <c r="C1816" s="50"/>
      <c r="D1816" s="50"/>
      <c r="E1816" s="50"/>
      <c r="F1816" s="51"/>
      <c r="G1816" s="51"/>
      <c r="J1816" s="25">
        <f t="shared" si="113"/>
        <v>57</v>
      </c>
    </row>
    <row r="1817" spans="1:10" ht="16.95" customHeight="1">
      <c r="A1817" s="95" t="s">
        <v>32</v>
      </c>
      <c r="B1817" s="95"/>
      <c r="C1817" s="95"/>
      <c r="D1817" s="95"/>
      <c r="E1817" s="95"/>
      <c r="F1817" s="95"/>
      <c r="G1817" s="95"/>
      <c r="J1817" s="25">
        <f t="shared" si="113"/>
        <v>58</v>
      </c>
    </row>
    <row r="1818" spans="1:10" ht="16.95" customHeight="1">
      <c r="A1818" s="51" t="s">
        <v>33</v>
      </c>
      <c r="B1818" s="51" t="s">
        <v>34</v>
      </c>
      <c r="C1818" s="94" t="s">
        <v>35</v>
      </c>
      <c r="D1818" s="94"/>
      <c r="E1818" s="51" t="s">
        <v>36</v>
      </c>
      <c r="F1818" s="51" t="s">
        <v>37</v>
      </c>
      <c r="G1818" s="51" t="s">
        <v>38</v>
      </c>
      <c r="J1818" s="25">
        <f t="shared" si="113"/>
        <v>58</v>
      </c>
    </row>
    <row r="1819" spans="1:10" ht="16.95" customHeight="1">
      <c r="A1819" s="51" t="s">
        <v>39</v>
      </c>
      <c r="B1819" s="6"/>
      <c r="C1819" s="94" t="e">
        <f>B1819+C1756</f>
        <v>#REF!</v>
      </c>
      <c r="D1819" s="94"/>
      <c r="E1819" s="51"/>
      <c r="F1819" s="24"/>
      <c r="G1819" s="24"/>
      <c r="J1819" s="25">
        <f t="shared" si="113"/>
        <v>58</v>
      </c>
    </row>
    <row r="1820" spans="1:10" ht="16.95" customHeight="1">
      <c r="A1820" s="51" t="s">
        <v>40</v>
      </c>
      <c r="B1820" s="6"/>
      <c r="C1820" s="94" t="e">
        <f>B1820+C1757</f>
        <v>#REF!</v>
      </c>
      <c r="D1820" s="94"/>
      <c r="E1820" s="51"/>
      <c r="F1820" s="24"/>
      <c r="G1820" s="24"/>
      <c r="J1820" s="25">
        <f t="shared" si="113"/>
        <v>58</v>
      </c>
    </row>
    <row r="1821" spans="1:10" ht="36.6" customHeight="1">
      <c r="A1821" s="95" t="s">
        <v>41</v>
      </c>
      <c r="B1821" s="95"/>
      <c r="C1821" s="95"/>
      <c r="D1821" s="95"/>
      <c r="E1821" s="95"/>
      <c r="F1821" s="95"/>
      <c r="G1821" s="95"/>
      <c r="J1821" s="25">
        <f t="shared" si="113"/>
        <v>58</v>
      </c>
    </row>
    <row r="1822" spans="1:10" ht="90" customHeight="1">
      <c r="A1822" s="92" t="s">
        <v>42</v>
      </c>
      <c r="B1822" s="92"/>
      <c r="C1822" s="92"/>
      <c r="D1822" s="92"/>
      <c r="E1822" s="92"/>
      <c r="F1822" s="92"/>
      <c r="G1822" s="92"/>
      <c r="J1822" s="25">
        <f t="shared" si="113"/>
        <v>58</v>
      </c>
    </row>
    <row r="1823" spans="1:10" ht="16.95" customHeight="1">
      <c r="A1823" s="95" t="s">
        <v>43</v>
      </c>
      <c r="B1823" s="95"/>
      <c r="C1823" s="95"/>
      <c r="D1823" s="95"/>
      <c r="E1823" s="95"/>
      <c r="F1823" s="95"/>
      <c r="G1823" s="95"/>
      <c r="J1823" s="25">
        <f t="shared" si="113"/>
        <v>58</v>
      </c>
    </row>
    <row r="1824" spans="1:10" ht="16.95" customHeight="1">
      <c r="A1824" s="95" t="s">
        <v>44</v>
      </c>
      <c r="B1824" s="95"/>
      <c r="C1824" s="95"/>
      <c r="D1824" s="95"/>
      <c r="E1824" s="95"/>
      <c r="F1824" s="95"/>
      <c r="G1824" s="95"/>
      <c r="J1824" s="25">
        <f t="shared" si="113"/>
        <v>58</v>
      </c>
    </row>
    <row r="1825" spans="1:10" ht="16.95" customHeight="1">
      <c r="A1825" s="91" t="s">
        <v>64</v>
      </c>
      <c r="B1825" s="91"/>
      <c r="C1825" s="91"/>
      <c r="D1825" s="91"/>
      <c r="E1825" s="91"/>
      <c r="F1825" s="91"/>
      <c r="G1825" s="91"/>
      <c r="J1825" s="25">
        <f t="shared" si="113"/>
        <v>58</v>
      </c>
    </row>
    <row r="1826" spans="1:10" ht="120.6" customHeight="1">
      <c r="A1826" s="92" t="s">
        <v>45</v>
      </c>
      <c r="B1826" s="92"/>
      <c r="C1826" s="92"/>
      <c r="D1826" s="92"/>
      <c r="E1826" s="92"/>
      <c r="F1826" s="92"/>
      <c r="G1826" s="92"/>
      <c r="J1826" s="25">
        <f t="shared" si="113"/>
        <v>58</v>
      </c>
    </row>
    <row r="1827" spans="1:10" ht="140.4" customHeight="1">
      <c r="A1827" s="93" t="s">
        <v>46</v>
      </c>
      <c r="B1827" s="93"/>
      <c r="C1827" s="93"/>
      <c r="D1827" s="93"/>
      <c r="E1827" s="93"/>
      <c r="F1827" s="93"/>
      <c r="G1827" s="93"/>
      <c r="J1827" s="25">
        <f t="shared" si="113"/>
        <v>58</v>
      </c>
    </row>
    <row r="1828" spans="1:10" ht="37.200000000000003" customHeight="1">
      <c r="A1828" s="103" t="s">
        <v>0</v>
      </c>
      <c r="B1828" s="103"/>
      <c r="C1828" s="103"/>
      <c r="D1828" s="103"/>
      <c r="E1828" s="103"/>
      <c r="F1828" s="103"/>
      <c r="G1828" s="103"/>
      <c r="J1828" s="25">
        <f t="shared" si="113"/>
        <v>59</v>
      </c>
    </row>
    <row r="1829" spans="1:10" ht="16.95" customHeight="1">
      <c r="A1829" s="1" t="s">
        <v>1</v>
      </c>
      <c r="B1829" s="104">
        <f>B1766+1</f>
        <v>31</v>
      </c>
      <c r="C1829" s="104"/>
      <c r="D1829" s="104"/>
      <c r="E1829" s="104"/>
      <c r="F1829" s="104"/>
      <c r="G1829" s="104"/>
      <c r="J1829" s="25">
        <f t="shared" si="113"/>
        <v>59</v>
      </c>
    </row>
    <row r="1830" spans="1:10" ht="16.95" customHeight="1">
      <c r="A1830" s="1" t="s">
        <v>2</v>
      </c>
      <c r="B1830" s="105" t="s">
        <v>63</v>
      </c>
      <c r="C1830" s="105"/>
      <c r="D1830" s="105"/>
      <c r="E1830" s="106">
        <f>E1767+1</f>
        <v>46233</v>
      </c>
      <c r="F1830" s="106"/>
      <c r="G1830" s="106"/>
      <c r="J1830" s="25">
        <f t="shared" si="113"/>
        <v>59</v>
      </c>
    </row>
    <row r="1831" spans="1:10" ht="16.95" customHeight="1">
      <c r="A1831" s="53" t="s">
        <v>3</v>
      </c>
      <c r="B1831" s="2" t="s">
        <v>67</v>
      </c>
      <c r="C1831" s="98" t="s">
        <v>4</v>
      </c>
      <c r="D1831" s="98"/>
      <c r="E1831" s="98" t="s">
        <v>47</v>
      </c>
      <c r="F1831" s="98"/>
      <c r="G1831" s="98"/>
      <c r="J1831" s="25">
        <f t="shared" si="113"/>
        <v>59</v>
      </c>
    </row>
    <row r="1832" spans="1:10" ht="16.95" customHeight="1">
      <c r="A1832" s="53" t="s">
        <v>5</v>
      </c>
      <c r="B1832" s="54">
        <v>120</v>
      </c>
      <c r="C1832" s="98" t="s">
        <v>6</v>
      </c>
      <c r="D1832" s="98"/>
      <c r="E1832" s="98" t="s">
        <v>123</v>
      </c>
      <c r="F1832" s="98"/>
      <c r="G1832" s="98"/>
      <c r="J1832" s="25">
        <f t="shared" si="113"/>
        <v>59</v>
      </c>
    </row>
    <row r="1833" spans="1:10" ht="16.95" customHeight="1">
      <c r="A1833" s="53" t="s">
        <v>7</v>
      </c>
      <c r="B1833" s="54">
        <f>B1829</f>
        <v>31</v>
      </c>
      <c r="C1833" s="100" t="s">
        <v>8</v>
      </c>
      <c r="D1833" s="100"/>
      <c r="E1833" s="101">
        <f>B1832-B1833</f>
        <v>89</v>
      </c>
      <c r="F1833" s="101"/>
      <c r="G1833" s="101"/>
      <c r="J1833" s="25">
        <f t="shared" si="113"/>
        <v>59</v>
      </c>
    </row>
    <row r="1834" spans="1:10" ht="16.95" customHeight="1">
      <c r="A1834" s="53" t="s">
        <v>9</v>
      </c>
      <c r="B1834" s="55">
        <v>46204</v>
      </c>
      <c r="C1834" s="98" t="s">
        <v>10</v>
      </c>
      <c r="D1834" s="98"/>
      <c r="E1834" s="102">
        <f>B1834+B1832-1</f>
        <v>46323</v>
      </c>
      <c r="F1834" s="102"/>
      <c r="G1834" s="102"/>
      <c r="J1834" s="25">
        <f t="shared" si="113"/>
        <v>59</v>
      </c>
    </row>
    <row r="1835" spans="1:10" ht="16.95" customHeight="1">
      <c r="A1835" s="53" t="s">
        <v>11</v>
      </c>
      <c r="B1835" s="56" t="e">
        <f>HLOOKUP(B1829,進度表!$Q$2:$Z$3,2,1)+B1772</f>
        <v>#REF!</v>
      </c>
      <c r="C1835" s="98" t="s">
        <v>12</v>
      </c>
      <c r="D1835" s="98"/>
      <c r="E1835" s="99" t="e">
        <f>I1873/I1835+E1772</f>
        <v>#REF!</v>
      </c>
      <c r="F1835" s="99"/>
      <c r="G1835" s="99"/>
      <c r="H1835" s="3" t="s">
        <v>62</v>
      </c>
      <c r="I1835" s="1">
        <v>2456000</v>
      </c>
      <c r="J1835" s="25">
        <f t="shared" si="113"/>
        <v>59</v>
      </c>
    </row>
    <row r="1836" spans="1:10" ht="16.95" customHeight="1">
      <c r="A1836" s="98" t="s">
        <v>13</v>
      </c>
      <c r="B1836" s="98"/>
      <c r="C1836" s="98"/>
      <c r="D1836" s="98"/>
      <c r="E1836" s="98"/>
      <c r="F1836" s="98"/>
      <c r="G1836" s="98"/>
      <c r="J1836" s="25">
        <f t="shared" si="113"/>
        <v>59</v>
      </c>
    </row>
    <row r="1837" spans="1:10" ht="16.95" customHeight="1">
      <c r="A1837" s="52" t="s">
        <v>14</v>
      </c>
      <c r="B1837" s="52" t="s">
        <v>15</v>
      </c>
      <c r="C1837" s="52" t="s">
        <v>16</v>
      </c>
      <c r="D1837" s="52" t="s">
        <v>17</v>
      </c>
      <c r="E1837" s="52" t="s">
        <v>18</v>
      </c>
      <c r="F1837" s="52" t="s">
        <v>19</v>
      </c>
      <c r="G1837" s="52" t="s">
        <v>20</v>
      </c>
      <c r="H1837" s="3" t="s">
        <v>21</v>
      </c>
      <c r="I1837" s="3" t="s">
        <v>22</v>
      </c>
      <c r="J1837" s="25">
        <f t="shared" si="113"/>
        <v>59</v>
      </c>
    </row>
    <row r="1838" spans="1:10" ht="16.95" customHeight="1">
      <c r="A1838" s="75" t="s">
        <v>65</v>
      </c>
      <c r="B1838" s="76" t="s">
        <v>69</v>
      </c>
      <c r="C1838" s="77"/>
      <c r="D1838" s="78"/>
      <c r="E1838" s="79"/>
      <c r="F1838" s="79"/>
      <c r="G1838" s="2"/>
      <c r="H1838" s="37"/>
      <c r="I1838" s="4"/>
      <c r="J1838" s="25">
        <f t="shared" si="113"/>
        <v>59</v>
      </c>
    </row>
    <row r="1839" spans="1:10" ht="34.950000000000003" customHeight="1">
      <c r="A1839" s="75">
        <v>1</v>
      </c>
      <c r="B1839" s="80" t="s">
        <v>91</v>
      </c>
      <c r="C1839" s="77" t="s">
        <v>48</v>
      </c>
      <c r="D1839" s="78">
        <v>1</v>
      </c>
      <c r="E1839" s="79"/>
      <c r="F1839" s="79" t="e">
        <f t="shared" ref="F1839:F1872" si="115">E1839+F1776</f>
        <v>#REF!</v>
      </c>
      <c r="G1839" s="2"/>
      <c r="H1839" s="37">
        <v>10508</v>
      </c>
      <c r="I1839" s="4">
        <f>H1839*E1839</f>
        <v>0</v>
      </c>
      <c r="J1839" s="25">
        <f t="shared" si="113"/>
        <v>59</v>
      </c>
    </row>
    <row r="1840" spans="1:10" ht="34.799999999999997" customHeight="1">
      <c r="A1840" s="75">
        <v>2</v>
      </c>
      <c r="B1840" s="80" t="s">
        <v>92</v>
      </c>
      <c r="C1840" s="77" t="s">
        <v>48</v>
      </c>
      <c r="D1840" s="78">
        <v>1</v>
      </c>
      <c r="E1840" s="79"/>
      <c r="F1840" s="79" t="e">
        <f t="shared" si="115"/>
        <v>#REF!</v>
      </c>
      <c r="G1840" s="2"/>
      <c r="H1840" s="37">
        <v>13223</v>
      </c>
      <c r="I1840" s="4">
        <f>H1840*E1840</f>
        <v>0</v>
      </c>
      <c r="J1840" s="25">
        <f t="shared" si="113"/>
        <v>59</v>
      </c>
    </row>
    <row r="1841" spans="1:10" ht="53.4" customHeight="1">
      <c r="A1841" s="75">
        <v>3</v>
      </c>
      <c r="B1841" s="80" t="s">
        <v>93</v>
      </c>
      <c r="C1841" s="77" t="s">
        <v>48</v>
      </c>
      <c r="D1841" s="78">
        <v>1</v>
      </c>
      <c r="E1841" s="79"/>
      <c r="F1841" s="79" t="e">
        <f t="shared" si="115"/>
        <v>#REF!</v>
      </c>
      <c r="G1841" s="2"/>
      <c r="H1841" s="37">
        <v>310497</v>
      </c>
      <c r="I1841" s="4">
        <f t="shared" ref="I1841:I1872" si="116">H1841*E1841</f>
        <v>0</v>
      </c>
      <c r="J1841" s="25">
        <f t="shared" si="113"/>
        <v>59</v>
      </c>
    </row>
    <row r="1842" spans="1:10" ht="16.95" customHeight="1">
      <c r="A1842" s="75">
        <v>4</v>
      </c>
      <c r="B1842" s="80" t="s">
        <v>94</v>
      </c>
      <c r="C1842" s="77" t="s">
        <v>48</v>
      </c>
      <c r="D1842" s="78">
        <v>1</v>
      </c>
      <c r="E1842" s="79"/>
      <c r="F1842" s="79" t="e">
        <f t="shared" si="115"/>
        <v>#REF!</v>
      </c>
      <c r="G1842" s="2"/>
      <c r="H1842" s="37">
        <v>8375</v>
      </c>
      <c r="I1842" s="4">
        <f t="shared" si="116"/>
        <v>0</v>
      </c>
      <c r="J1842" s="25">
        <f t="shared" si="113"/>
        <v>59</v>
      </c>
    </row>
    <row r="1843" spans="1:10" ht="16.95" customHeight="1">
      <c r="A1843" s="75">
        <v>5</v>
      </c>
      <c r="B1843" s="80" t="s">
        <v>95</v>
      </c>
      <c r="C1843" s="77" t="s">
        <v>48</v>
      </c>
      <c r="D1843" s="78">
        <v>1</v>
      </c>
      <c r="E1843" s="79"/>
      <c r="F1843" s="79" t="e">
        <f t="shared" si="115"/>
        <v>#REF!</v>
      </c>
      <c r="G1843" s="2"/>
      <c r="H1843" s="37">
        <v>51618</v>
      </c>
      <c r="I1843" s="4">
        <f t="shared" si="116"/>
        <v>0</v>
      </c>
      <c r="J1843" s="25">
        <f t="shared" si="113"/>
        <v>59</v>
      </c>
    </row>
    <row r="1844" spans="1:10" ht="16.95" customHeight="1">
      <c r="A1844" s="75">
        <v>6</v>
      </c>
      <c r="B1844" s="80" t="s">
        <v>96</v>
      </c>
      <c r="C1844" s="77" t="s">
        <v>50</v>
      </c>
      <c r="D1844" s="78">
        <v>11.55</v>
      </c>
      <c r="E1844" s="79"/>
      <c r="F1844" s="79" t="e">
        <f t="shared" si="115"/>
        <v>#REF!</v>
      </c>
      <c r="G1844" s="2"/>
      <c r="H1844" s="37">
        <v>1188</v>
      </c>
      <c r="I1844" s="4">
        <f t="shared" si="116"/>
        <v>0</v>
      </c>
      <c r="J1844" s="25">
        <f t="shared" si="113"/>
        <v>59</v>
      </c>
    </row>
    <row r="1845" spans="1:10" ht="34.950000000000003" customHeight="1">
      <c r="A1845" s="75">
        <v>7</v>
      </c>
      <c r="B1845" s="80" t="s">
        <v>97</v>
      </c>
      <c r="C1845" s="77" t="s">
        <v>48</v>
      </c>
      <c r="D1845" s="78">
        <v>1</v>
      </c>
      <c r="E1845" s="79"/>
      <c r="F1845" s="79" t="e">
        <f t="shared" si="115"/>
        <v>#REF!</v>
      </c>
      <c r="G1845" s="2"/>
      <c r="H1845" s="37">
        <v>21157</v>
      </c>
      <c r="I1845" s="4">
        <f t="shared" si="116"/>
        <v>0</v>
      </c>
      <c r="J1845" s="25">
        <f t="shared" si="113"/>
        <v>59</v>
      </c>
    </row>
    <row r="1846" spans="1:10" ht="16.95" customHeight="1">
      <c r="A1846" s="75">
        <v>8</v>
      </c>
      <c r="B1846" s="80" t="s">
        <v>98</v>
      </c>
      <c r="C1846" s="77" t="s">
        <v>50</v>
      </c>
      <c r="D1846" s="78">
        <v>387</v>
      </c>
      <c r="E1846" s="79"/>
      <c r="F1846" s="79" t="e">
        <f t="shared" si="115"/>
        <v>#REF!</v>
      </c>
      <c r="G1846" s="2"/>
      <c r="H1846" s="37">
        <v>705</v>
      </c>
      <c r="I1846" s="4">
        <f t="shared" si="116"/>
        <v>0</v>
      </c>
      <c r="J1846" s="25">
        <f t="shared" si="113"/>
        <v>59</v>
      </c>
    </row>
    <row r="1847" spans="1:10" ht="16.95" customHeight="1">
      <c r="A1847" s="75">
        <v>9</v>
      </c>
      <c r="B1847" s="80" t="s">
        <v>99</v>
      </c>
      <c r="C1847" s="77" t="s">
        <v>50</v>
      </c>
      <c r="D1847" s="78">
        <v>170</v>
      </c>
      <c r="E1847" s="79"/>
      <c r="F1847" s="79" t="e">
        <f t="shared" si="115"/>
        <v>#REF!</v>
      </c>
      <c r="G1847" s="2"/>
      <c r="H1847" s="37">
        <v>617</v>
      </c>
      <c r="I1847" s="4">
        <f t="shared" si="116"/>
        <v>0</v>
      </c>
      <c r="J1847" s="25">
        <f t="shared" si="113"/>
        <v>59</v>
      </c>
    </row>
    <row r="1848" spans="1:10" ht="16.95" customHeight="1">
      <c r="A1848" s="75">
        <v>10</v>
      </c>
      <c r="B1848" s="80" t="s">
        <v>100</v>
      </c>
      <c r="C1848" s="77" t="s">
        <v>66</v>
      </c>
      <c r="D1848" s="78">
        <v>15</v>
      </c>
      <c r="E1848" s="79"/>
      <c r="F1848" s="79" t="e">
        <f t="shared" si="115"/>
        <v>#REF!</v>
      </c>
      <c r="G1848" s="2"/>
      <c r="H1848" s="37">
        <v>617</v>
      </c>
      <c r="I1848" s="4">
        <f t="shared" si="116"/>
        <v>0</v>
      </c>
      <c r="J1848" s="25">
        <f t="shared" si="113"/>
        <v>59</v>
      </c>
    </row>
    <row r="1849" spans="1:10" ht="16.95" customHeight="1">
      <c r="A1849" s="75">
        <v>11</v>
      </c>
      <c r="B1849" s="80" t="s">
        <v>101</v>
      </c>
      <c r="C1849" s="77" t="s">
        <v>50</v>
      </c>
      <c r="D1849" s="78">
        <v>75</v>
      </c>
      <c r="E1849" s="79"/>
      <c r="F1849" s="79" t="e">
        <f t="shared" si="115"/>
        <v>#REF!</v>
      </c>
      <c r="G1849" s="2"/>
      <c r="H1849" s="37">
        <v>1146</v>
      </c>
      <c r="I1849" s="4">
        <f t="shared" si="116"/>
        <v>0</v>
      </c>
      <c r="J1849" s="25">
        <f t="shared" si="113"/>
        <v>59</v>
      </c>
    </row>
    <row r="1850" spans="1:10" ht="16.95" customHeight="1">
      <c r="A1850" s="75">
        <v>12</v>
      </c>
      <c r="B1850" s="80" t="s">
        <v>102</v>
      </c>
      <c r="C1850" s="77" t="s">
        <v>50</v>
      </c>
      <c r="D1850" s="78">
        <v>5</v>
      </c>
      <c r="E1850" s="79"/>
      <c r="F1850" s="79" t="e">
        <f t="shared" si="115"/>
        <v>#REF!</v>
      </c>
      <c r="G1850" s="2"/>
      <c r="H1850" s="37">
        <v>1455</v>
      </c>
      <c r="I1850" s="4">
        <f t="shared" si="116"/>
        <v>0</v>
      </c>
      <c r="J1850" s="25">
        <f t="shared" si="113"/>
        <v>59</v>
      </c>
    </row>
    <row r="1851" spans="1:10" ht="16.95" customHeight="1">
      <c r="A1851" s="75">
        <v>13</v>
      </c>
      <c r="B1851" s="80" t="s">
        <v>103</v>
      </c>
      <c r="C1851" s="77" t="s">
        <v>50</v>
      </c>
      <c r="D1851" s="78">
        <v>217</v>
      </c>
      <c r="E1851" s="79"/>
      <c r="F1851" s="79" t="e">
        <f t="shared" si="115"/>
        <v>#REF!</v>
      </c>
      <c r="G1851" s="2"/>
      <c r="H1851" s="37">
        <v>1410</v>
      </c>
      <c r="I1851" s="4">
        <f t="shared" si="116"/>
        <v>0</v>
      </c>
      <c r="J1851" s="25">
        <f t="shared" ref="J1851:J1914" si="117">J1788+2</f>
        <v>59</v>
      </c>
    </row>
    <row r="1852" spans="1:10" ht="16.95" customHeight="1">
      <c r="A1852" s="75">
        <v>14</v>
      </c>
      <c r="B1852" s="80" t="s">
        <v>104</v>
      </c>
      <c r="C1852" s="77" t="s">
        <v>49</v>
      </c>
      <c r="D1852" s="78">
        <v>84</v>
      </c>
      <c r="E1852" s="79"/>
      <c r="F1852" s="79" t="e">
        <f t="shared" si="115"/>
        <v>#REF!</v>
      </c>
      <c r="G1852" s="2"/>
      <c r="H1852" s="37">
        <v>529</v>
      </c>
      <c r="I1852" s="4">
        <f t="shared" si="116"/>
        <v>0</v>
      </c>
      <c r="J1852" s="25">
        <f t="shared" si="117"/>
        <v>59</v>
      </c>
    </row>
    <row r="1853" spans="1:10" ht="16.95" customHeight="1">
      <c r="A1853" s="75">
        <v>15</v>
      </c>
      <c r="B1853" s="80" t="s">
        <v>105</v>
      </c>
      <c r="C1853" s="77" t="s">
        <v>50</v>
      </c>
      <c r="D1853" s="78">
        <v>1</v>
      </c>
      <c r="E1853" s="79"/>
      <c r="F1853" s="79" t="e">
        <f t="shared" si="115"/>
        <v>#REF!</v>
      </c>
      <c r="G1853" s="2"/>
      <c r="H1853" s="37">
        <v>1146</v>
      </c>
      <c r="I1853" s="4">
        <f t="shared" si="116"/>
        <v>0</v>
      </c>
      <c r="J1853" s="25">
        <f t="shared" si="117"/>
        <v>59</v>
      </c>
    </row>
    <row r="1854" spans="1:10" ht="34.799999999999997" customHeight="1">
      <c r="A1854" s="75">
        <v>16</v>
      </c>
      <c r="B1854" s="80" t="s">
        <v>106</v>
      </c>
      <c r="C1854" s="77" t="s">
        <v>50</v>
      </c>
      <c r="D1854" s="78">
        <v>314</v>
      </c>
      <c r="E1854" s="79"/>
      <c r="F1854" s="79" t="e">
        <f t="shared" si="115"/>
        <v>#REF!</v>
      </c>
      <c r="G1854" s="2"/>
      <c r="H1854" s="37">
        <v>185</v>
      </c>
      <c r="I1854" s="4">
        <f t="shared" si="116"/>
        <v>0</v>
      </c>
      <c r="J1854" s="25">
        <f t="shared" si="117"/>
        <v>59</v>
      </c>
    </row>
    <row r="1855" spans="1:10" ht="16.95" customHeight="1">
      <c r="A1855" s="75">
        <v>17</v>
      </c>
      <c r="B1855" s="80" t="s">
        <v>107</v>
      </c>
      <c r="C1855" s="77" t="s">
        <v>48</v>
      </c>
      <c r="D1855" s="78">
        <v>1</v>
      </c>
      <c r="E1855" s="79"/>
      <c r="F1855" s="79" t="e">
        <f t="shared" si="115"/>
        <v>#REF!</v>
      </c>
      <c r="G1855" s="2"/>
      <c r="H1855" s="37">
        <v>89918</v>
      </c>
      <c r="I1855" s="4">
        <f t="shared" si="116"/>
        <v>0</v>
      </c>
      <c r="J1855" s="25">
        <f t="shared" si="117"/>
        <v>59</v>
      </c>
    </row>
    <row r="1856" spans="1:10" ht="16.95" customHeight="1">
      <c r="A1856" s="75">
        <v>18</v>
      </c>
      <c r="B1856" s="80" t="s">
        <v>108</v>
      </c>
      <c r="C1856" s="77" t="s">
        <v>120</v>
      </c>
      <c r="D1856" s="78">
        <v>15</v>
      </c>
      <c r="E1856" s="79"/>
      <c r="F1856" s="79" t="e">
        <f t="shared" si="115"/>
        <v>#REF!</v>
      </c>
      <c r="G1856" s="2"/>
      <c r="H1856" s="37">
        <v>661</v>
      </c>
      <c r="I1856" s="4">
        <f t="shared" si="116"/>
        <v>0</v>
      </c>
      <c r="J1856" s="25">
        <f t="shared" si="117"/>
        <v>59</v>
      </c>
    </row>
    <row r="1857" spans="1:10" ht="16.95" customHeight="1">
      <c r="A1857" s="75">
        <v>19</v>
      </c>
      <c r="B1857" s="80" t="s">
        <v>109</v>
      </c>
      <c r="C1857" s="77" t="s">
        <v>50</v>
      </c>
      <c r="D1857" s="78">
        <v>82</v>
      </c>
      <c r="E1857" s="79"/>
      <c r="F1857" s="79" t="e">
        <f t="shared" si="115"/>
        <v>#REF!</v>
      </c>
      <c r="G1857" s="2"/>
      <c r="H1857" s="37">
        <v>2909</v>
      </c>
      <c r="I1857" s="4">
        <f t="shared" si="116"/>
        <v>0</v>
      </c>
      <c r="J1857" s="25">
        <f t="shared" si="117"/>
        <v>59</v>
      </c>
    </row>
    <row r="1858" spans="1:10" ht="16.95" customHeight="1">
      <c r="A1858" s="75">
        <v>20</v>
      </c>
      <c r="B1858" s="80" t="s">
        <v>110</v>
      </c>
      <c r="C1858" s="77" t="s">
        <v>121</v>
      </c>
      <c r="D1858" s="78">
        <v>12</v>
      </c>
      <c r="E1858" s="79"/>
      <c r="F1858" s="79" t="e">
        <f t="shared" si="115"/>
        <v>#REF!</v>
      </c>
      <c r="G1858" s="2"/>
      <c r="H1858" s="37">
        <v>882</v>
      </c>
      <c r="I1858" s="4">
        <f t="shared" si="116"/>
        <v>0</v>
      </c>
      <c r="J1858" s="25">
        <f t="shared" si="117"/>
        <v>59</v>
      </c>
    </row>
    <row r="1859" spans="1:10" ht="16.95" customHeight="1">
      <c r="A1859" s="77">
        <v>21</v>
      </c>
      <c r="B1859" s="80" t="s">
        <v>111</v>
      </c>
      <c r="C1859" s="77" t="s">
        <v>122</v>
      </c>
      <c r="D1859" s="78">
        <v>3</v>
      </c>
      <c r="E1859" s="79"/>
      <c r="F1859" s="79" t="e">
        <f t="shared" si="115"/>
        <v>#REF!</v>
      </c>
      <c r="G1859" s="2"/>
      <c r="H1859" s="38">
        <v>1869</v>
      </c>
      <c r="I1859" s="4">
        <f t="shared" si="116"/>
        <v>0</v>
      </c>
      <c r="J1859" s="25">
        <f t="shared" si="117"/>
        <v>59</v>
      </c>
    </row>
    <row r="1860" spans="1:10" ht="34.950000000000003" customHeight="1">
      <c r="A1860" s="75">
        <v>22</v>
      </c>
      <c r="B1860" s="80" t="s">
        <v>112</v>
      </c>
      <c r="C1860" s="77" t="s">
        <v>48</v>
      </c>
      <c r="D1860" s="78">
        <v>1</v>
      </c>
      <c r="E1860" s="79"/>
      <c r="F1860" s="79" t="e">
        <f t="shared" si="115"/>
        <v>#REF!</v>
      </c>
      <c r="G1860" s="2"/>
      <c r="H1860" s="37">
        <v>82206</v>
      </c>
      <c r="I1860" s="4">
        <f t="shared" si="116"/>
        <v>0</v>
      </c>
      <c r="J1860" s="25">
        <f t="shared" si="117"/>
        <v>59</v>
      </c>
    </row>
    <row r="1861" spans="1:10" ht="16.95" customHeight="1">
      <c r="A1861" s="75">
        <v>23</v>
      </c>
      <c r="B1861" s="80" t="s">
        <v>113</v>
      </c>
      <c r="C1861" s="77" t="s">
        <v>48</v>
      </c>
      <c r="D1861" s="78">
        <v>1</v>
      </c>
      <c r="E1861" s="79"/>
      <c r="F1861" s="79" t="e">
        <f t="shared" si="115"/>
        <v>#REF!</v>
      </c>
      <c r="G1861" s="2"/>
      <c r="H1861" s="37">
        <v>142723</v>
      </c>
      <c r="I1861" s="4">
        <f t="shared" si="116"/>
        <v>0</v>
      </c>
      <c r="J1861" s="25">
        <f t="shared" si="117"/>
        <v>59</v>
      </c>
    </row>
    <row r="1862" spans="1:10" ht="16.95" customHeight="1">
      <c r="A1862" s="75">
        <v>24</v>
      </c>
      <c r="B1862" s="80" t="s">
        <v>114</v>
      </c>
      <c r="C1862" s="77" t="s">
        <v>48</v>
      </c>
      <c r="D1862" s="78">
        <v>1</v>
      </c>
      <c r="E1862" s="79"/>
      <c r="F1862" s="79" t="e">
        <f t="shared" si="115"/>
        <v>#REF!</v>
      </c>
      <c r="G1862" s="2"/>
      <c r="H1862" s="37">
        <v>37290</v>
      </c>
      <c r="I1862" s="4">
        <f t="shared" si="116"/>
        <v>0</v>
      </c>
      <c r="J1862" s="25">
        <f t="shared" si="117"/>
        <v>59</v>
      </c>
    </row>
    <row r="1863" spans="1:10" ht="16.95" customHeight="1">
      <c r="A1863" s="75">
        <v>25</v>
      </c>
      <c r="B1863" s="80" t="s">
        <v>115</v>
      </c>
      <c r="C1863" s="77" t="s">
        <v>48</v>
      </c>
      <c r="D1863" s="78">
        <v>1</v>
      </c>
      <c r="E1863" s="79"/>
      <c r="F1863" s="79" t="e">
        <f t="shared" si="115"/>
        <v>#REF!</v>
      </c>
      <c r="G1863" s="2"/>
      <c r="H1863" s="37">
        <v>99394</v>
      </c>
      <c r="I1863" s="4">
        <f t="shared" si="116"/>
        <v>0</v>
      </c>
      <c r="J1863" s="25">
        <f t="shared" si="117"/>
        <v>59</v>
      </c>
    </row>
    <row r="1864" spans="1:10" ht="34.950000000000003" customHeight="1">
      <c r="A1864" s="75">
        <v>26</v>
      </c>
      <c r="B1864" s="80" t="s">
        <v>116</v>
      </c>
      <c r="C1864" s="77" t="s">
        <v>48</v>
      </c>
      <c r="D1864" s="78">
        <v>1</v>
      </c>
      <c r="E1864" s="79"/>
      <c r="F1864" s="79" t="e">
        <f t="shared" si="115"/>
        <v>#REF!</v>
      </c>
      <c r="G1864" s="2"/>
      <c r="H1864" s="37">
        <v>21334</v>
      </c>
      <c r="I1864" s="4">
        <f t="shared" si="116"/>
        <v>0</v>
      </c>
      <c r="J1864" s="25">
        <f t="shared" si="117"/>
        <v>59</v>
      </c>
    </row>
    <row r="1865" spans="1:10" ht="16.95" customHeight="1">
      <c r="A1865" s="75">
        <v>27</v>
      </c>
      <c r="B1865" s="80" t="s">
        <v>117</v>
      </c>
      <c r="C1865" s="77" t="s">
        <v>48</v>
      </c>
      <c r="D1865" s="78">
        <v>1</v>
      </c>
      <c r="E1865" s="79"/>
      <c r="F1865" s="79" t="e">
        <f t="shared" si="115"/>
        <v>#REF!</v>
      </c>
      <c r="G1865" s="2"/>
      <c r="H1865" s="37">
        <v>29620</v>
      </c>
      <c r="I1865" s="4">
        <f t="shared" si="116"/>
        <v>0</v>
      </c>
      <c r="J1865" s="25">
        <f t="shared" si="117"/>
        <v>59</v>
      </c>
    </row>
    <row r="1866" spans="1:10" ht="16.95" customHeight="1">
      <c r="A1866" s="75">
        <v>28</v>
      </c>
      <c r="B1866" s="80" t="s">
        <v>118</v>
      </c>
      <c r="C1866" s="77" t="s">
        <v>48</v>
      </c>
      <c r="D1866" s="78">
        <v>1</v>
      </c>
      <c r="E1866" s="79"/>
      <c r="F1866" s="79" t="e">
        <f t="shared" si="115"/>
        <v>#REF!</v>
      </c>
      <c r="G1866" s="2"/>
      <c r="H1866" s="37">
        <v>18506</v>
      </c>
      <c r="I1866" s="4">
        <f t="shared" si="116"/>
        <v>0</v>
      </c>
      <c r="J1866" s="25">
        <f t="shared" si="117"/>
        <v>59</v>
      </c>
    </row>
    <row r="1867" spans="1:10" ht="16.95" customHeight="1">
      <c r="A1867" s="75">
        <v>29</v>
      </c>
      <c r="B1867" s="80" t="s">
        <v>119</v>
      </c>
      <c r="C1867" s="77" t="s">
        <v>48</v>
      </c>
      <c r="D1867" s="78">
        <v>1</v>
      </c>
      <c r="E1867" s="79"/>
      <c r="F1867" s="79" t="e">
        <f t="shared" si="115"/>
        <v>#REF!</v>
      </c>
      <c r="G1867" s="2"/>
      <c r="H1867" s="37">
        <v>34381</v>
      </c>
      <c r="I1867" s="4">
        <f t="shared" si="116"/>
        <v>0</v>
      </c>
      <c r="J1867" s="25">
        <f t="shared" si="117"/>
        <v>59</v>
      </c>
    </row>
    <row r="1868" spans="1:10" ht="16.95" customHeight="1">
      <c r="A1868" s="75" t="s">
        <v>79</v>
      </c>
      <c r="B1868" s="80" t="s">
        <v>80</v>
      </c>
      <c r="C1868" s="77" t="s">
        <v>48</v>
      </c>
      <c r="D1868" s="78">
        <v>1</v>
      </c>
      <c r="E1868" s="79">
        <f t="shared" ref="E1868:E1871" si="118">1/120</f>
        <v>8.3333333333333332E-3</v>
      </c>
      <c r="F1868" s="79" t="e">
        <f t="shared" si="115"/>
        <v>#REF!</v>
      </c>
      <c r="G1868" s="2"/>
      <c r="H1868" s="37">
        <v>21395</v>
      </c>
      <c r="I1868" s="4">
        <f t="shared" si="116"/>
        <v>178.29166666666666</v>
      </c>
      <c r="J1868" s="25">
        <f t="shared" si="117"/>
        <v>59</v>
      </c>
    </row>
    <row r="1869" spans="1:10" ht="16.95" customHeight="1">
      <c r="A1869" s="75" t="s">
        <v>81</v>
      </c>
      <c r="B1869" s="80" t="s">
        <v>82</v>
      </c>
      <c r="C1869" s="77" t="s">
        <v>48</v>
      </c>
      <c r="D1869" s="78">
        <v>1</v>
      </c>
      <c r="E1869" s="79">
        <f t="shared" si="118"/>
        <v>8.3333333333333332E-3</v>
      </c>
      <c r="F1869" s="79" t="e">
        <f t="shared" si="115"/>
        <v>#REF!</v>
      </c>
      <c r="G1869" s="2"/>
      <c r="H1869" s="37">
        <v>21395</v>
      </c>
      <c r="I1869" s="4">
        <f t="shared" si="116"/>
        <v>178.29166666666666</v>
      </c>
      <c r="J1869" s="25">
        <f t="shared" si="117"/>
        <v>59</v>
      </c>
    </row>
    <row r="1870" spans="1:10" ht="16.95" customHeight="1">
      <c r="A1870" s="75" t="s">
        <v>83</v>
      </c>
      <c r="B1870" s="80" t="s">
        <v>84</v>
      </c>
      <c r="C1870" s="77" t="s">
        <v>48</v>
      </c>
      <c r="D1870" s="78">
        <v>1</v>
      </c>
      <c r="E1870" s="79">
        <f t="shared" si="118"/>
        <v>8.3333333333333332E-3</v>
      </c>
      <c r="F1870" s="79" t="e">
        <f t="shared" si="115"/>
        <v>#REF!</v>
      </c>
      <c r="G1870" s="2"/>
      <c r="H1870" s="37">
        <v>149765</v>
      </c>
      <c r="I1870" s="4">
        <f t="shared" si="116"/>
        <v>1248.0416666666667</v>
      </c>
      <c r="J1870" s="25">
        <f t="shared" si="117"/>
        <v>59</v>
      </c>
    </row>
    <row r="1871" spans="1:10" ht="16.95" customHeight="1">
      <c r="A1871" s="75" t="s">
        <v>85</v>
      </c>
      <c r="B1871" s="80" t="s">
        <v>86</v>
      </c>
      <c r="C1871" s="77" t="s">
        <v>48</v>
      </c>
      <c r="D1871" s="78">
        <v>1</v>
      </c>
      <c r="E1871" s="79">
        <f t="shared" si="118"/>
        <v>8.3333333333333332E-3</v>
      </c>
      <c r="F1871" s="79" t="e">
        <f t="shared" si="115"/>
        <v>#REF!</v>
      </c>
      <c r="G1871" s="2"/>
      <c r="H1871" s="37">
        <v>6996</v>
      </c>
      <c r="I1871" s="4">
        <f t="shared" si="116"/>
        <v>58.3</v>
      </c>
      <c r="J1871" s="25">
        <f t="shared" si="117"/>
        <v>59</v>
      </c>
    </row>
    <row r="1872" spans="1:10" ht="16.95" customHeight="1">
      <c r="A1872" s="75" t="s">
        <v>87</v>
      </c>
      <c r="B1872" s="80" t="s">
        <v>88</v>
      </c>
      <c r="C1872" s="77" t="s">
        <v>48</v>
      </c>
      <c r="D1872" s="78">
        <v>1</v>
      </c>
      <c r="E1872" s="79">
        <f>1/120</f>
        <v>8.3333333333333332E-3</v>
      </c>
      <c r="F1872" s="79" t="e">
        <f t="shared" si="115"/>
        <v>#REF!</v>
      </c>
      <c r="G1872" s="2"/>
      <c r="H1872" s="37">
        <v>116952</v>
      </c>
      <c r="I1872" s="4">
        <f t="shared" si="116"/>
        <v>974.6</v>
      </c>
      <c r="J1872" s="25">
        <f t="shared" si="117"/>
        <v>59</v>
      </c>
    </row>
    <row r="1873" spans="1:10" ht="16.95" customHeight="1">
      <c r="A1873" s="95" t="s">
        <v>23</v>
      </c>
      <c r="B1873" s="95"/>
      <c r="C1873" s="50"/>
      <c r="D1873" s="50"/>
      <c r="E1873" s="50"/>
      <c r="F1873" s="50"/>
      <c r="G1873" s="50"/>
      <c r="H1873" s="3" t="s">
        <v>24</v>
      </c>
      <c r="I1873" s="5">
        <f>SUM(I1838:I1872)</f>
        <v>2637.5250000000001</v>
      </c>
      <c r="J1873" s="25">
        <f t="shared" si="117"/>
        <v>59</v>
      </c>
    </row>
    <row r="1874" spans="1:10" ht="16.95" customHeight="1">
      <c r="A1874" s="96" t="s">
        <v>25</v>
      </c>
      <c r="B1874" s="96"/>
      <c r="C1874" s="50"/>
      <c r="D1874" s="50"/>
      <c r="E1874" s="50"/>
      <c r="F1874" s="50"/>
      <c r="G1874" s="50"/>
      <c r="J1874" s="25">
        <f t="shared" si="117"/>
        <v>59</v>
      </c>
    </row>
    <row r="1875" spans="1:10" ht="16.95" customHeight="1">
      <c r="A1875" s="96" t="s">
        <v>26</v>
      </c>
      <c r="B1875" s="96"/>
      <c r="C1875" s="50"/>
      <c r="D1875" s="50"/>
      <c r="E1875" s="50"/>
      <c r="F1875" s="50"/>
      <c r="G1875" s="50"/>
      <c r="J1875" s="25">
        <f t="shared" si="117"/>
        <v>59</v>
      </c>
    </row>
    <row r="1876" spans="1:10" ht="16.95" customHeight="1">
      <c r="A1876" s="95" t="s">
        <v>27</v>
      </c>
      <c r="B1876" s="95"/>
      <c r="C1876" s="95"/>
      <c r="D1876" s="95"/>
      <c r="E1876" s="95"/>
      <c r="F1876" s="95"/>
      <c r="G1876" s="95"/>
      <c r="J1876" s="25">
        <f t="shared" si="117"/>
        <v>59</v>
      </c>
    </row>
    <row r="1877" spans="1:10" ht="16.95" customHeight="1">
      <c r="A1877" s="94" t="s">
        <v>28</v>
      </c>
      <c r="B1877" s="94"/>
      <c r="C1877" s="51" t="s">
        <v>29</v>
      </c>
      <c r="D1877" s="51" t="s">
        <v>30</v>
      </c>
      <c r="E1877" s="51" t="s">
        <v>18</v>
      </c>
      <c r="F1877" s="51" t="s">
        <v>31</v>
      </c>
      <c r="G1877" s="51" t="s">
        <v>20</v>
      </c>
      <c r="J1877" s="25">
        <f t="shared" si="117"/>
        <v>59</v>
      </c>
    </row>
    <row r="1878" spans="1:10" ht="16.95" customHeight="1">
      <c r="A1878" s="96"/>
      <c r="B1878" s="96"/>
      <c r="C1878" s="50"/>
      <c r="D1878" s="50"/>
      <c r="E1878" s="50"/>
      <c r="F1878" s="50"/>
      <c r="G1878" s="51"/>
      <c r="J1878" s="25">
        <f t="shared" si="117"/>
        <v>59</v>
      </c>
    </row>
    <row r="1879" spans="1:10" ht="16.95" customHeight="1">
      <c r="A1879" s="97"/>
      <c r="B1879" s="97"/>
      <c r="C1879" s="50"/>
      <c r="D1879" s="50"/>
      <c r="E1879" s="50"/>
      <c r="F1879" s="51"/>
      <c r="G1879" s="51"/>
      <c r="J1879" s="25">
        <f t="shared" si="117"/>
        <v>59</v>
      </c>
    </row>
    <row r="1880" spans="1:10" ht="16.95" customHeight="1">
      <c r="A1880" s="95" t="s">
        <v>32</v>
      </c>
      <c r="B1880" s="95"/>
      <c r="C1880" s="95"/>
      <c r="D1880" s="95"/>
      <c r="E1880" s="95"/>
      <c r="F1880" s="95"/>
      <c r="G1880" s="95"/>
      <c r="J1880" s="25">
        <f t="shared" si="117"/>
        <v>60</v>
      </c>
    </row>
    <row r="1881" spans="1:10" ht="16.95" customHeight="1">
      <c r="A1881" s="51" t="s">
        <v>33</v>
      </c>
      <c r="B1881" s="51" t="s">
        <v>34</v>
      </c>
      <c r="C1881" s="94" t="s">
        <v>35</v>
      </c>
      <c r="D1881" s="94"/>
      <c r="E1881" s="51" t="s">
        <v>36</v>
      </c>
      <c r="F1881" s="51" t="s">
        <v>37</v>
      </c>
      <c r="G1881" s="51" t="s">
        <v>38</v>
      </c>
      <c r="J1881" s="25">
        <f t="shared" si="117"/>
        <v>60</v>
      </c>
    </row>
    <row r="1882" spans="1:10" ht="16.95" customHeight="1">
      <c r="A1882" s="51" t="s">
        <v>39</v>
      </c>
      <c r="B1882" s="6"/>
      <c r="C1882" s="94" t="e">
        <f>B1882+C1819</f>
        <v>#REF!</v>
      </c>
      <c r="D1882" s="94"/>
      <c r="E1882" s="51"/>
      <c r="F1882" s="24"/>
      <c r="G1882" s="24"/>
      <c r="J1882" s="25">
        <f t="shared" si="117"/>
        <v>60</v>
      </c>
    </row>
    <row r="1883" spans="1:10" ht="16.95" customHeight="1">
      <c r="A1883" s="51" t="s">
        <v>40</v>
      </c>
      <c r="B1883" s="6"/>
      <c r="C1883" s="94" t="e">
        <f>B1883+C1820</f>
        <v>#REF!</v>
      </c>
      <c r="D1883" s="94"/>
      <c r="E1883" s="51"/>
      <c r="F1883" s="24"/>
      <c r="G1883" s="24"/>
      <c r="J1883" s="25">
        <f t="shared" si="117"/>
        <v>60</v>
      </c>
    </row>
    <row r="1884" spans="1:10" ht="36.6" customHeight="1">
      <c r="A1884" s="95" t="s">
        <v>41</v>
      </c>
      <c r="B1884" s="95"/>
      <c r="C1884" s="95"/>
      <c r="D1884" s="95"/>
      <c r="E1884" s="95"/>
      <c r="F1884" s="95"/>
      <c r="G1884" s="95"/>
      <c r="J1884" s="25">
        <f t="shared" si="117"/>
        <v>60</v>
      </c>
    </row>
    <row r="1885" spans="1:10" ht="90" customHeight="1">
      <c r="A1885" s="92" t="s">
        <v>42</v>
      </c>
      <c r="B1885" s="92"/>
      <c r="C1885" s="92"/>
      <c r="D1885" s="92"/>
      <c r="E1885" s="92"/>
      <c r="F1885" s="92"/>
      <c r="G1885" s="92"/>
      <c r="J1885" s="25">
        <f t="shared" si="117"/>
        <v>60</v>
      </c>
    </row>
    <row r="1886" spans="1:10" ht="16.95" customHeight="1">
      <c r="A1886" s="95" t="s">
        <v>43</v>
      </c>
      <c r="B1886" s="95"/>
      <c r="C1886" s="95"/>
      <c r="D1886" s="95"/>
      <c r="E1886" s="95"/>
      <c r="F1886" s="95"/>
      <c r="G1886" s="95"/>
      <c r="J1886" s="25">
        <f t="shared" si="117"/>
        <v>60</v>
      </c>
    </row>
    <row r="1887" spans="1:10" ht="16.95" customHeight="1">
      <c r="A1887" s="95" t="s">
        <v>44</v>
      </c>
      <c r="B1887" s="95"/>
      <c r="C1887" s="95"/>
      <c r="D1887" s="95"/>
      <c r="E1887" s="95"/>
      <c r="F1887" s="95"/>
      <c r="G1887" s="95"/>
      <c r="J1887" s="25">
        <f t="shared" si="117"/>
        <v>60</v>
      </c>
    </row>
    <row r="1888" spans="1:10" ht="16.95" customHeight="1">
      <c r="A1888" s="91" t="s">
        <v>64</v>
      </c>
      <c r="B1888" s="91"/>
      <c r="C1888" s="91"/>
      <c r="D1888" s="91"/>
      <c r="E1888" s="91"/>
      <c r="F1888" s="91"/>
      <c r="G1888" s="91"/>
      <c r="J1888" s="25">
        <f t="shared" si="117"/>
        <v>60</v>
      </c>
    </row>
    <row r="1889" spans="1:10" ht="120.6" customHeight="1">
      <c r="A1889" s="92" t="s">
        <v>45</v>
      </c>
      <c r="B1889" s="92"/>
      <c r="C1889" s="92"/>
      <c r="D1889" s="92"/>
      <c r="E1889" s="92"/>
      <c r="F1889" s="92"/>
      <c r="G1889" s="92"/>
      <c r="J1889" s="25">
        <f t="shared" si="117"/>
        <v>60</v>
      </c>
    </row>
    <row r="1890" spans="1:10" ht="140.4" customHeight="1">
      <c r="A1890" s="93" t="s">
        <v>46</v>
      </c>
      <c r="B1890" s="93"/>
      <c r="C1890" s="93"/>
      <c r="D1890" s="93"/>
      <c r="E1890" s="93"/>
      <c r="F1890" s="93"/>
      <c r="G1890" s="93"/>
      <c r="J1890" s="25">
        <f t="shared" si="117"/>
        <v>60</v>
      </c>
    </row>
    <row r="1891" spans="1:10" ht="37.200000000000003" customHeight="1">
      <c r="A1891" s="103" t="s">
        <v>0</v>
      </c>
      <c r="B1891" s="103"/>
      <c r="C1891" s="103"/>
      <c r="D1891" s="103"/>
      <c r="E1891" s="103"/>
      <c r="F1891" s="103"/>
      <c r="G1891" s="103"/>
      <c r="J1891" s="25">
        <f t="shared" si="117"/>
        <v>61</v>
      </c>
    </row>
    <row r="1892" spans="1:10" ht="16.95" customHeight="1">
      <c r="A1892" s="1" t="s">
        <v>1</v>
      </c>
      <c r="B1892" s="104">
        <f>B1829+1</f>
        <v>32</v>
      </c>
      <c r="C1892" s="104"/>
      <c r="D1892" s="104"/>
      <c r="E1892" s="104"/>
      <c r="F1892" s="104"/>
      <c r="G1892" s="104"/>
      <c r="J1892" s="25">
        <f t="shared" si="117"/>
        <v>61</v>
      </c>
    </row>
    <row r="1893" spans="1:10" ht="16.95" customHeight="1">
      <c r="A1893" s="1" t="s">
        <v>2</v>
      </c>
      <c r="B1893" s="105" t="s">
        <v>63</v>
      </c>
      <c r="C1893" s="105"/>
      <c r="D1893" s="105"/>
      <c r="E1893" s="106">
        <f>E1830+1</f>
        <v>46234</v>
      </c>
      <c r="F1893" s="106"/>
      <c r="G1893" s="106"/>
      <c r="J1893" s="25">
        <f t="shared" si="117"/>
        <v>61</v>
      </c>
    </row>
    <row r="1894" spans="1:10" ht="16.95" customHeight="1">
      <c r="A1894" s="53" t="s">
        <v>3</v>
      </c>
      <c r="B1894" s="2" t="s">
        <v>67</v>
      </c>
      <c r="C1894" s="98" t="s">
        <v>4</v>
      </c>
      <c r="D1894" s="98"/>
      <c r="E1894" s="98" t="s">
        <v>47</v>
      </c>
      <c r="F1894" s="98"/>
      <c r="G1894" s="98"/>
      <c r="J1894" s="25">
        <f t="shared" si="117"/>
        <v>61</v>
      </c>
    </row>
    <row r="1895" spans="1:10" ht="16.95" customHeight="1">
      <c r="A1895" s="53" t="s">
        <v>5</v>
      </c>
      <c r="B1895" s="54">
        <v>120</v>
      </c>
      <c r="C1895" s="98" t="s">
        <v>6</v>
      </c>
      <c r="D1895" s="98"/>
      <c r="E1895" s="98" t="s">
        <v>123</v>
      </c>
      <c r="F1895" s="98"/>
      <c r="G1895" s="98"/>
      <c r="J1895" s="25">
        <f t="shared" si="117"/>
        <v>61</v>
      </c>
    </row>
    <row r="1896" spans="1:10" ht="16.95" customHeight="1">
      <c r="A1896" s="53" t="s">
        <v>7</v>
      </c>
      <c r="B1896" s="54">
        <f>B1892</f>
        <v>32</v>
      </c>
      <c r="C1896" s="100" t="s">
        <v>8</v>
      </c>
      <c r="D1896" s="100"/>
      <c r="E1896" s="101">
        <f>B1895-B1896</f>
        <v>88</v>
      </c>
      <c r="F1896" s="101"/>
      <c r="G1896" s="101"/>
      <c r="J1896" s="25">
        <f t="shared" si="117"/>
        <v>61</v>
      </c>
    </row>
    <row r="1897" spans="1:10" ht="16.95" customHeight="1">
      <c r="A1897" s="53" t="s">
        <v>9</v>
      </c>
      <c r="B1897" s="55">
        <v>46204</v>
      </c>
      <c r="C1897" s="98" t="s">
        <v>10</v>
      </c>
      <c r="D1897" s="98"/>
      <c r="E1897" s="102">
        <f>B1897+B1895-1</f>
        <v>46323</v>
      </c>
      <c r="F1897" s="102"/>
      <c r="G1897" s="102"/>
      <c r="J1897" s="25">
        <f t="shared" si="117"/>
        <v>61</v>
      </c>
    </row>
    <row r="1898" spans="1:10" ht="16.95" customHeight="1">
      <c r="A1898" s="53" t="s">
        <v>11</v>
      </c>
      <c r="B1898" s="56" t="e">
        <f>HLOOKUP(B1892,進度表!$Q$2:$Z$3,2,1)+B1835</f>
        <v>#REF!</v>
      </c>
      <c r="C1898" s="98" t="s">
        <v>12</v>
      </c>
      <c r="D1898" s="98"/>
      <c r="E1898" s="99" t="e">
        <f>I1936/I1898+E1835</f>
        <v>#REF!</v>
      </c>
      <c r="F1898" s="99"/>
      <c r="G1898" s="99"/>
      <c r="H1898" s="3" t="s">
        <v>62</v>
      </c>
      <c r="I1898" s="1">
        <v>2456000</v>
      </c>
      <c r="J1898" s="25">
        <f t="shared" si="117"/>
        <v>61</v>
      </c>
    </row>
    <row r="1899" spans="1:10" ht="16.95" customHeight="1">
      <c r="A1899" s="98" t="s">
        <v>13</v>
      </c>
      <c r="B1899" s="98"/>
      <c r="C1899" s="98"/>
      <c r="D1899" s="98"/>
      <c r="E1899" s="98"/>
      <c r="F1899" s="98"/>
      <c r="G1899" s="98"/>
      <c r="J1899" s="25">
        <f t="shared" si="117"/>
        <v>61</v>
      </c>
    </row>
    <row r="1900" spans="1:10" ht="16.95" customHeight="1">
      <c r="A1900" s="52" t="s">
        <v>14</v>
      </c>
      <c r="B1900" s="52" t="s">
        <v>15</v>
      </c>
      <c r="C1900" s="52" t="s">
        <v>16</v>
      </c>
      <c r="D1900" s="52" t="s">
        <v>17</v>
      </c>
      <c r="E1900" s="52" t="s">
        <v>18</v>
      </c>
      <c r="F1900" s="52" t="s">
        <v>19</v>
      </c>
      <c r="G1900" s="52" t="s">
        <v>20</v>
      </c>
      <c r="H1900" s="3" t="s">
        <v>21</v>
      </c>
      <c r="I1900" s="3" t="s">
        <v>22</v>
      </c>
      <c r="J1900" s="25">
        <f t="shared" si="117"/>
        <v>61</v>
      </c>
    </row>
    <row r="1901" spans="1:10" ht="16.95" customHeight="1">
      <c r="A1901" s="75" t="s">
        <v>65</v>
      </c>
      <c r="B1901" s="76" t="s">
        <v>69</v>
      </c>
      <c r="C1901" s="77"/>
      <c r="D1901" s="78"/>
      <c r="E1901" s="79"/>
      <c r="F1901" s="79"/>
      <c r="G1901" s="2"/>
      <c r="H1901" s="37"/>
      <c r="I1901" s="4"/>
      <c r="J1901" s="25">
        <f t="shared" si="117"/>
        <v>61</v>
      </c>
    </row>
    <row r="1902" spans="1:10" ht="34.950000000000003" customHeight="1">
      <c r="A1902" s="75">
        <v>1</v>
      </c>
      <c r="B1902" s="80" t="s">
        <v>91</v>
      </c>
      <c r="C1902" s="77" t="s">
        <v>48</v>
      </c>
      <c r="D1902" s="78">
        <v>1</v>
      </c>
      <c r="E1902" s="79"/>
      <c r="F1902" s="79" t="e">
        <f t="shared" ref="F1902:F1935" si="119">E1902+F1839</f>
        <v>#REF!</v>
      </c>
      <c r="G1902" s="2"/>
      <c r="H1902" s="37">
        <v>10508</v>
      </c>
      <c r="I1902" s="4">
        <f>H1902*E1902</f>
        <v>0</v>
      </c>
      <c r="J1902" s="25">
        <f t="shared" si="117"/>
        <v>61</v>
      </c>
    </row>
    <row r="1903" spans="1:10" ht="34.799999999999997" customHeight="1">
      <c r="A1903" s="75">
        <v>2</v>
      </c>
      <c r="B1903" s="80" t="s">
        <v>92</v>
      </c>
      <c r="C1903" s="77" t="s">
        <v>48</v>
      </c>
      <c r="D1903" s="78">
        <v>1</v>
      </c>
      <c r="E1903" s="79"/>
      <c r="F1903" s="79" t="e">
        <f t="shared" si="119"/>
        <v>#REF!</v>
      </c>
      <c r="G1903" s="2"/>
      <c r="H1903" s="37">
        <v>13223</v>
      </c>
      <c r="I1903" s="4">
        <f>H1903*E1903</f>
        <v>0</v>
      </c>
      <c r="J1903" s="25">
        <f t="shared" si="117"/>
        <v>61</v>
      </c>
    </row>
    <row r="1904" spans="1:10" ht="53.4" customHeight="1">
      <c r="A1904" s="75">
        <v>3</v>
      </c>
      <c r="B1904" s="80" t="s">
        <v>93</v>
      </c>
      <c r="C1904" s="77" t="s">
        <v>48</v>
      </c>
      <c r="D1904" s="78">
        <v>1</v>
      </c>
      <c r="E1904" s="79"/>
      <c r="F1904" s="79" t="e">
        <f t="shared" si="119"/>
        <v>#REF!</v>
      </c>
      <c r="G1904" s="2"/>
      <c r="H1904" s="37">
        <v>310497</v>
      </c>
      <c r="I1904" s="4">
        <f t="shared" ref="I1904:I1935" si="120">H1904*E1904</f>
        <v>0</v>
      </c>
      <c r="J1904" s="25">
        <f t="shared" si="117"/>
        <v>61</v>
      </c>
    </row>
    <row r="1905" spans="1:10" ht="16.95" customHeight="1">
      <c r="A1905" s="75">
        <v>4</v>
      </c>
      <c r="B1905" s="80" t="s">
        <v>94</v>
      </c>
      <c r="C1905" s="77" t="s">
        <v>48</v>
      </c>
      <c r="D1905" s="78">
        <v>1</v>
      </c>
      <c r="E1905" s="79"/>
      <c r="F1905" s="79" t="e">
        <f t="shared" si="119"/>
        <v>#REF!</v>
      </c>
      <c r="G1905" s="2"/>
      <c r="H1905" s="37">
        <v>8375</v>
      </c>
      <c r="I1905" s="4">
        <f t="shared" si="120"/>
        <v>0</v>
      </c>
      <c r="J1905" s="25">
        <f t="shared" si="117"/>
        <v>61</v>
      </c>
    </row>
    <row r="1906" spans="1:10" ht="16.95" customHeight="1">
      <c r="A1906" s="75">
        <v>5</v>
      </c>
      <c r="B1906" s="80" t="s">
        <v>95</v>
      </c>
      <c r="C1906" s="77" t="s">
        <v>48</v>
      </c>
      <c r="D1906" s="78">
        <v>1</v>
      </c>
      <c r="E1906" s="79"/>
      <c r="F1906" s="79" t="e">
        <f t="shared" si="119"/>
        <v>#REF!</v>
      </c>
      <c r="G1906" s="2"/>
      <c r="H1906" s="37">
        <v>51618</v>
      </c>
      <c r="I1906" s="4">
        <f t="shared" si="120"/>
        <v>0</v>
      </c>
      <c r="J1906" s="25">
        <f t="shared" si="117"/>
        <v>61</v>
      </c>
    </row>
    <row r="1907" spans="1:10" ht="16.95" customHeight="1">
      <c r="A1907" s="75">
        <v>6</v>
      </c>
      <c r="B1907" s="80" t="s">
        <v>96</v>
      </c>
      <c r="C1907" s="77" t="s">
        <v>50</v>
      </c>
      <c r="D1907" s="78">
        <v>11.55</v>
      </c>
      <c r="E1907" s="79"/>
      <c r="F1907" s="79" t="e">
        <f t="shared" si="119"/>
        <v>#REF!</v>
      </c>
      <c r="G1907" s="2"/>
      <c r="H1907" s="37">
        <v>1188</v>
      </c>
      <c r="I1907" s="4">
        <f t="shared" si="120"/>
        <v>0</v>
      </c>
      <c r="J1907" s="25">
        <f t="shared" si="117"/>
        <v>61</v>
      </c>
    </row>
    <row r="1908" spans="1:10" ht="34.950000000000003" customHeight="1">
      <c r="A1908" s="75">
        <v>7</v>
      </c>
      <c r="B1908" s="80" t="s">
        <v>97</v>
      </c>
      <c r="C1908" s="77" t="s">
        <v>48</v>
      </c>
      <c r="D1908" s="78">
        <v>1</v>
      </c>
      <c r="E1908" s="79"/>
      <c r="F1908" s="79" t="e">
        <f t="shared" si="119"/>
        <v>#REF!</v>
      </c>
      <c r="G1908" s="2"/>
      <c r="H1908" s="37">
        <v>21157</v>
      </c>
      <c r="I1908" s="4">
        <f t="shared" si="120"/>
        <v>0</v>
      </c>
      <c r="J1908" s="25">
        <f t="shared" si="117"/>
        <v>61</v>
      </c>
    </row>
    <row r="1909" spans="1:10" ht="16.95" customHeight="1">
      <c r="A1909" s="75">
        <v>8</v>
      </c>
      <c r="B1909" s="80" t="s">
        <v>98</v>
      </c>
      <c r="C1909" s="77" t="s">
        <v>50</v>
      </c>
      <c r="D1909" s="78">
        <v>387</v>
      </c>
      <c r="E1909" s="79"/>
      <c r="F1909" s="79" t="e">
        <f t="shared" si="119"/>
        <v>#REF!</v>
      </c>
      <c r="G1909" s="2"/>
      <c r="H1909" s="37">
        <v>705</v>
      </c>
      <c r="I1909" s="4">
        <f t="shared" si="120"/>
        <v>0</v>
      </c>
      <c r="J1909" s="25">
        <f t="shared" si="117"/>
        <v>61</v>
      </c>
    </row>
    <row r="1910" spans="1:10" ht="16.95" customHeight="1">
      <c r="A1910" s="75">
        <v>9</v>
      </c>
      <c r="B1910" s="80" t="s">
        <v>99</v>
      </c>
      <c r="C1910" s="77" t="s">
        <v>50</v>
      </c>
      <c r="D1910" s="78">
        <v>170</v>
      </c>
      <c r="E1910" s="79"/>
      <c r="F1910" s="79" t="e">
        <f t="shared" si="119"/>
        <v>#REF!</v>
      </c>
      <c r="G1910" s="2"/>
      <c r="H1910" s="37">
        <v>617</v>
      </c>
      <c r="I1910" s="4">
        <f t="shared" si="120"/>
        <v>0</v>
      </c>
      <c r="J1910" s="25">
        <f t="shared" si="117"/>
        <v>61</v>
      </c>
    </row>
    <row r="1911" spans="1:10" ht="16.95" customHeight="1">
      <c r="A1911" s="75">
        <v>10</v>
      </c>
      <c r="B1911" s="80" t="s">
        <v>100</v>
      </c>
      <c r="C1911" s="77" t="s">
        <v>66</v>
      </c>
      <c r="D1911" s="78">
        <v>15</v>
      </c>
      <c r="E1911" s="79"/>
      <c r="F1911" s="79" t="e">
        <f t="shared" si="119"/>
        <v>#REF!</v>
      </c>
      <c r="G1911" s="2"/>
      <c r="H1911" s="37">
        <v>617</v>
      </c>
      <c r="I1911" s="4">
        <f t="shared" si="120"/>
        <v>0</v>
      </c>
      <c r="J1911" s="25">
        <f t="shared" si="117"/>
        <v>61</v>
      </c>
    </row>
    <row r="1912" spans="1:10" ht="16.95" customHeight="1">
      <c r="A1912" s="75">
        <v>11</v>
      </c>
      <c r="B1912" s="80" t="s">
        <v>101</v>
      </c>
      <c r="C1912" s="77" t="s">
        <v>50</v>
      </c>
      <c r="D1912" s="78">
        <v>75</v>
      </c>
      <c r="E1912" s="79"/>
      <c r="F1912" s="79" t="e">
        <f t="shared" si="119"/>
        <v>#REF!</v>
      </c>
      <c r="G1912" s="2"/>
      <c r="H1912" s="37">
        <v>1146</v>
      </c>
      <c r="I1912" s="4">
        <f t="shared" si="120"/>
        <v>0</v>
      </c>
      <c r="J1912" s="25">
        <f t="shared" si="117"/>
        <v>61</v>
      </c>
    </row>
    <row r="1913" spans="1:10" ht="16.95" customHeight="1">
      <c r="A1913" s="75">
        <v>12</v>
      </c>
      <c r="B1913" s="80" t="s">
        <v>102</v>
      </c>
      <c r="C1913" s="77" t="s">
        <v>50</v>
      </c>
      <c r="D1913" s="78">
        <v>5</v>
      </c>
      <c r="E1913" s="79"/>
      <c r="F1913" s="79" t="e">
        <f t="shared" si="119"/>
        <v>#REF!</v>
      </c>
      <c r="G1913" s="2"/>
      <c r="H1913" s="37">
        <v>1455</v>
      </c>
      <c r="I1913" s="4">
        <f t="shared" si="120"/>
        <v>0</v>
      </c>
      <c r="J1913" s="25">
        <f t="shared" si="117"/>
        <v>61</v>
      </c>
    </row>
    <row r="1914" spans="1:10" ht="16.95" customHeight="1">
      <c r="A1914" s="75">
        <v>13</v>
      </c>
      <c r="B1914" s="80" t="s">
        <v>103</v>
      </c>
      <c r="C1914" s="77" t="s">
        <v>50</v>
      </c>
      <c r="D1914" s="78">
        <v>217</v>
      </c>
      <c r="E1914" s="79"/>
      <c r="F1914" s="79" t="e">
        <f t="shared" si="119"/>
        <v>#REF!</v>
      </c>
      <c r="G1914" s="2"/>
      <c r="H1914" s="37">
        <v>1410</v>
      </c>
      <c r="I1914" s="4">
        <f t="shared" si="120"/>
        <v>0</v>
      </c>
      <c r="J1914" s="25">
        <f t="shared" si="117"/>
        <v>61</v>
      </c>
    </row>
    <row r="1915" spans="1:10" ht="16.95" customHeight="1">
      <c r="A1915" s="75">
        <v>14</v>
      </c>
      <c r="B1915" s="80" t="s">
        <v>104</v>
      </c>
      <c r="C1915" s="77" t="s">
        <v>49</v>
      </c>
      <c r="D1915" s="78">
        <v>84</v>
      </c>
      <c r="E1915" s="79"/>
      <c r="F1915" s="79" t="e">
        <f t="shared" si="119"/>
        <v>#REF!</v>
      </c>
      <c r="G1915" s="2"/>
      <c r="H1915" s="37">
        <v>529</v>
      </c>
      <c r="I1915" s="4">
        <f t="shared" si="120"/>
        <v>0</v>
      </c>
      <c r="J1915" s="25">
        <f t="shared" ref="J1915:J1942" si="121">J1852+2</f>
        <v>61</v>
      </c>
    </row>
    <row r="1916" spans="1:10" ht="16.95" customHeight="1">
      <c r="A1916" s="75">
        <v>15</v>
      </c>
      <c r="B1916" s="80" t="s">
        <v>105</v>
      </c>
      <c r="C1916" s="77" t="s">
        <v>50</v>
      </c>
      <c r="D1916" s="78">
        <v>1</v>
      </c>
      <c r="E1916" s="79"/>
      <c r="F1916" s="79" t="e">
        <f t="shared" si="119"/>
        <v>#REF!</v>
      </c>
      <c r="G1916" s="2"/>
      <c r="H1916" s="37">
        <v>1146</v>
      </c>
      <c r="I1916" s="4">
        <f t="shared" si="120"/>
        <v>0</v>
      </c>
      <c r="J1916" s="25">
        <f t="shared" si="121"/>
        <v>61</v>
      </c>
    </row>
    <row r="1917" spans="1:10" ht="34.799999999999997" customHeight="1">
      <c r="A1917" s="75">
        <v>16</v>
      </c>
      <c r="B1917" s="80" t="s">
        <v>106</v>
      </c>
      <c r="C1917" s="77" t="s">
        <v>50</v>
      </c>
      <c r="D1917" s="78">
        <v>314</v>
      </c>
      <c r="E1917" s="79"/>
      <c r="F1917" s="79" t="e">
        <f t="shared" si="119"/>
        <v>#REF!</v>
      </c>
      <c r="G1917" s="2"/>
      <c r="H1917" s="37">
        <v>185</v>
      </c>
      <c r="I1917" s="4">
        <f t="shared" si="120"/>
        <v>0</v>
      </c>
      <c r="J1917" s="25">
        <f t="shared" si="121"/>
        <v>61</v>
      </c>
    </row>
    <row r="1918" spans="1:10" ht="16.95" customHeight="1">
      <c r="A1918" s="75">
        <v>17</v>
      </c>
      <c r="B1918" s="80" t="s">
        <v>107</v>
      </c>
      <c r="C1918" s="77" t="s">
        <v>48</v>
      </c>
      <c r="D1918" s="78">
        <v>1</v>
      </c>
      <c r="E1918" s="79"/>
      <c r="F1918" s="79" t="e">
        <f t="shared" si="119"/>
        <v>#REF!</v>
      </c>
      <c r="G1918" s="2"/>
      <c r="H1918" s="37">
        <v>89918</v>
      </c>
      <c r="I1918" s="4">
        <f t="shared" si="120"/>
        <v>0</v>
      </c>
      <c r="J1918" s="25">
        <f t="shared" si="121"/>
        <v>61</v>
      </c>
    </row>
    <row r="1919" spans="1:10" ht="16.95" customHeight="1">
      <c r="A1919" s="75">
        <v>18</v>
      </c>
      <c r="B1919" s="80" t="s">
        <v>108</v>
      </c>
      <c r="C1919" s="77" t="s">
        <v>120</v>
      </c>
      <c r="D1919" s="78">
        <v>15</v>
      </c>
      <c r="E1919" s="79"/>
      <c r="F1919" s="79" t="e">
        <f t="shared" si="119"/>
        <v>#REF!</v>
      </c>
      <c r="G1919" s="2"/>
      <c r="H1919" s="37">
        <v>661</v>
      </c>
      <c r="I1919" s="4">
        <f t="shared" si="120"/>
        <v>0</v>
      </c>
      <c r="J1919" s="25">
        <f t="shared" si="121"/>
        <v>61</v>
      </c>
    </row>
    <row r="1920" spans="1:10" ht="16.95" customHeight="1">
      <c r="A1920" s="75">
        <v>19</v>
      </c>
      <c r="B1920" s="80" t="s">
        <v>109</v>
      </c>
      <c r="C1920" s="77" t="s">
        <v>50</v>
      </c>
      <c r="D1920" s="78">
        <v>82</v>
      </c>
      <c r="E1920" s="79"/>
      <c r="F1920" s="79" t="e">
        <f t="shared" si="119"/>
        <v>#REF!</v>
      </c>
      <c r="G1920" s="2"/>
      <c r="H1920" s="37">
        <v>2909</v>
      </c>
      <c r="I1920" s="4">
        <f t="shared" si="120"/>
        <v>0</v>
      </c>
      <c r="J1920" s="25">
        <f t="shared" si="121"/>
        <v>61</v>
      </c>
    </row>
    <row r="1921" spans="1:10" ht="16.95" customHeight="1">
      <c r="A1921" s="75">
        <v>20</v>
      </c>
      <c r="B1921" s="80" t="s">
        <v>110</v>
      </c>
      <c r="C1921" s="77" t="s">
        <v>121</v>
      </c>
      <c r="D1921" s="78">
        <v>12</v>
      </c>
      <c r="E1921" s="79"/>
      <c r="F1921" s="79" t="e">
        <f t="shared" si="119"/>
        <v>#REF!</v>
      </c>
      <c r="G1921" s="2"/>
      <c r="H1921" s="37">
        <v>882</v>
      </c>
      <c r="I1921" s="4">
        <f t="shared" si="120"/>
        <v>0</v>
      </c>
      <c r="J1921" s="25">
        <f t="shared" si="121"/>
        <v>61</v>
      </c>
    </row>
    <row r="1922" spans="1:10" ht="16.95" customHeight="1">
      <c r="A1922" s="77">
        <v>21</v>
      </c>
      <c r="B1922" s="80" t="s">
        <v>111</v>
      </c>
      <c r="C1922" s="77" t="s">
        <v>122</v>
      </c>
      <c r="D1922" s="78">
        <v>3</v>
      </c>
      <c r="E1922" s="79"/>
      <c r="F1922" s="79" t="e">
        <f t="shared" si="119"/>
        <v>#REF!</v>
      </c>
      <c r="G1922" s="2"/>
      <c r="H1922" s="38">
        <v>1869</v>
      </c>
      <c r="I1922" s="4">
        <f t="shared" si="120"/>
        <v>0</v>
      </c>
      <c r="J1922" s="25">
        <f t="shared" si="121"/>
        <v>61</v>
      </c>
    </row>
    <row r="1923" spans="1:10" ht="34.950000000000003" customHeight="1">
      <c r="A1923" s="75">
        <v>22</v>
      </c>
      <c r="B1923" s="80" t="s">
        <v>112</v>
      </c>
      <c r="C1923" s="77" t="s">
        <v>48</v>
      </c>
      <c r="D1923" s="78">
        <v>1</v>
      </c>
      <c r="E1923" s="79"/>
      <c r="F1923" s="79" t="e">
        <f t="shared" si="119"/>
        <v>#REF!</v>
      </c>
      <c r="G1923" s="2"/>
      <c r="H1923" s="37">
        <v>82206</v>
      </c>
      <c r="I1923" s="4">
        <f t="shared" si="120"/>
        <v>0</v>
      </c>
      <c r="J1923" s="25">
        <f t="shared" si="121"/>
        <v>61</v>
      </c>
    </row>
    <row r="1924" spans="1:10" ht="16.95" customHeight="1">
      <c r="A1924" s="75">
        <v>23</v>
      </c>
      <c r="B1924" s="80" t="s">
        <v>113</v>
      </c>
      <c r="C1924" s="77" t="s">
        <v>48</v>
      </c>
      <c r="D1924" s="78">
        <v>1</v>
      </c>
      <c r="E1924" s="79"/>
      <c r="F1924" s="79" t="e">
        <f t="shared" si="119"/>
        <v>#REF!</v>
      </c>
      <c r="G1924" s="2"/>
      <c r="H1924" s="37">
        <v>142723</v>
      </c>
      <c r="I1924" s="4">
        <f t="shared" si="120"/>
        <v>0</v>
      </c>
      <c r="J1924" s="25">
        <f t="shared" si="121"/>
        <v>61</v>
      </c>
    </row>
    <row r="1925" spans="1:10" ht="16.95" customHeight="1">
      <c r="A1925" s="75">
        <v>24</v>
      </c>
      <c r="B1925" s="80" t="s">
        <v>114</v>
      </c>
      <c r="C1925" s="77" t="s">
        <v>48</v>
      </c>
      <c r="D1925" s="78">
        <v>1</v>
      </c>
      <c r="E1925" s="79"/>
      <c r="F1925" s="79" t="e">
        <f t="shared" si="119"/>
        <v>#REF!</v>
      </c>
      <c r="G1925" s="2"/>
      <c r="H1925" s="37">
        <v>37290</v>
      </c>
      <c r="I1925" s="4">
        <f t="shared" si="120"/>
        <v>0</v>
      </c>
      <c r="J1925" s="25">
        <f t="shared" si="121"/>
        <v>61</v>
      </c>
    </row>
    <row r="1926" spans="1:10" ht="16.95" customHeight="1">
      <c r="A1926" s="75">
        <v>25</v>
      </c>
      <c r="B1926" s="80" t="s">
        <v>115</v>
      </c>
      <c r="C1926" s="77" t="s">
        <v>48</v>
      </c>
      <c r="D1926" s="78">
        <v>1</v>
      </c>
      <c r="E1926" s="79"/>
      <c r="F1926" s="79" t="e">
        <f t="shared" si="119"/>
        <v>#REF!</v>
      </c>
      <c r="G1926" s="2"/>
      <c r="H1926" s="37">
        <v>99394</v>
      </c>
      <c r="I1926" s="4">
        <f t="shared" si="120"/>
        <v>0</v>
      </c>
      <c r="J1926" s="25">
        <f t="shared" si="121"/>
        <v>61</v>
      </c>
    </row>
    <row r="1927" spans="1:10" ht="34.950000000000003" customHeight="1">
      <c r="A1927" s="75">
        <v>26</v>
      </c>
      <c r="B1927" s="80" t="s">
        <v>116</v>
      </c>
      <c r="C1927" s="77" t="s">
        <v>48</v>
      </c>
      <c r="D1927" s="78">
        <v>1</v>
      </c>
      <c r="E1927" s="79"/>
      <c r="F1927" s="79" t="e">
        <f t="shared" si="119"/>
        <v>#REF!</v>
      </c>
      <c r="G1927" s="2"/>
      <c r="H1927" s="37">
        <v>21334</v>
      </c>
      <c r="I1927" s="4">
        <f t="shared" si="120"/>
        <v>0</v>
      </c>
      <c r="J1927" s="25">
        <f t="shared" si="121"/>
        <v>61</v>
      </c>
    </row>
    <row r="1928" spans="1:10" ht="16.95" customHeight="1">
      <c r="A1928" s="75">
        <v>27</v>
      </c>
      <c r="B1928" s="80" t="s">
        <v>117</v>
      </c>
      <c r="C1928" s="77" t="s">
        <v>48</v>
      </c>
      <c r="D1928" s="78">
        <v>1</v>
      </c>
      <c r="E1928" s="79"/>
      <c r="F1928" s="79" t="e">
        <f t="shared" si="119"/>
        <v>#REF!</v>
      </c>
      <c r="G1928" s="2"/>
      <c r="H1928" s="37">
        <v>29620</v>
      </c>
      <c r="I1928" s="4">
        <f t="shared" si="120"/>
        <v>0</v>
      </c>
      <c r="J1928" s="25">
        <f t="shared" si="121"/>
        <v>61</v>
      </c>
    </row>
    <row r="1929" spans="1:10" ht="16.95" customHeight="1">
      <c r="A1929" s="75">
        <v>28</v>
      </c>
      <c r="B1929" s="80" t="s">
        <v>118</v>
      </c>
      <c r="C1929" s="77" t="s">
        <v>48</v>
      </c>
      <c r="D1929" s="78">
        <v>1</v>
      </c>
      <c r="E1929" s="79"/>
      <c r="F1929" s="79" t="e">
        <f t="shared" si="119"/>
        <v>#REF!</v>
      </c>
      <c r="G1929" s="2"/>
      <c r="H1929" s="37">
        <v>18506</v>
      </c>
      <c r="I1929" s="4">
        <f t="shared" si="120"/>
        <v>0</v>
      </c>
      <c r="J1929" s="25">
        <f t="shared" si="121"/>
        <v>61</v>
      </c>
    </row>
    <row r="1930" spans="1:10" ht="16.95" customHeight="1">
      <c r="A1930" s="75">
        <v>29</v>
      </c>
      <c r="B1930" s="80" t="s">
        <v>119</v>
      </c>
      <c r="C1930" s="77" t="s">
        <v>48</v>
      </c>
      <c r="D1930" s="78">
        <v>1</v>
      </c>
      <c r="E1930" s="79"/>
      <c r="F1930" s="79" t="e">
        <f t="shared" si="119"/>
        <v>#REF!</v>
      </c>
      <c r="G1930" s="2"/>
      <c r="H1930" s="37">
        <v>34381</v>
      </c>
      <c r="I1930" s="4">
        <f t="shared" si="120"/>
        <v>0</v>
      </c>
      <c r="J1930" s="25">
        <f t="shared" si="121"/>
        <v>61</v>
      </c>
    </row>
    <row r="1931" spans="1:10" ht="16.95" customHeight="1">
      <c r="A1931" s="75" t="s">
        <v>79</v>
      </c>
      <c r="B1931" s="80" t="s">
        <v>80</v>
      </c>
      <c r="C1931" s="77" t="s">
        <v>48</v>
      </c>
      <c r="D1931" s="78">
        <v>1</v>
      </c>
      <c r="E1931" s="79">
        <f t="shared" ref="E1931:E1934" si="122">1/120</f>
        <v>8.3333333333333332E-3</v>
      </c>
      <c r="F1931" s="79" t="e">
        <f t="shared" si="119"/>
        <v>#REF!</v>
      </c>
      <c r="G1931" s="2"/>
      <c r="H1931" s="37">
        <v>21395</v>
      </c>
      <c r="I1931" s="4">
        <f t="shared" si="120"/>
        <v>178.29166666666666</v>
      </c>
      <c r="J1931" s="25">
        <f t="shared" si="121"/>
        <v>61</v>
      </c>
    </row>
    <row r="1932" spans="1:10" ht="16.95" customHeight="1">
      <c r="A1932" s="75" t="s">
        <v>81</v>
      </c>
      <c r="B1932" s="80" t="s">
        <v>82</v>
      </c>
      <c r="C1932" s="77" t="s">
        <v>48</v>
      </c>
      <c r="D1932" s="78">
        <v>1</v>
      </c>
      <c r="E1932" s="79">
        <f t="shared" si="122"/>
        <v>8.3333333333333332E-3</v>
      </c>
      <c r="F1932" s="79" t="e">
        <f t="shared" si="119"/>
        <v>#REF!</v>
      </c>
      <c r="G1932" s="2"/>
      <c r="H1932" s="37">
        <v>21395</v>
      </c>
      <c r="I1932" s="4">
        <f t="shared" si="120"/>
        <v>178.29166666666666</v>
      </c>
      <c r="J1932" s="25">
        <f t="shared" si="121"/>
        <v>61</v>
      </c>
    </row>
    <row r="1933" spans="1:10" ht="16.95" customHeight="1">
      <c r="A1933" s="75" t="s">
        <v>83</v>
      </c>
      <c r="B1933" s="80" t="s">
        <v>84</v>
      </c>
      <c r="C1933" s="77" t="s">
        <v>48</v>
      </c>
      <c r="D1933" s="78">
        <v>1</v>
      </c>
      <c r="E1933" s="79">
        <f t="shared" si="122"/>
        <v>8.3333333333333332E-3</v>
      </c>
      <c r="F1933" s="79" t="e">
        <f t="shared" si="119"/>
        <v>#REF!</v>
      </c>
      <c r="G1933" s="2"/>
      <c r="H1933" s="37">
        <v>149765</v>
      </c>
      <c r="I1933" s="4">
        <f t="shared" si="120"/>
        <v>1248.0416666666667</v>
      </c>
      <c r="J1933" s="25">
        <f t="shared" si="121"/>
        <v>61</v>
      </c>
    </row>
    <row r="1934" spans="1:10" ht="16.95" customHeight="1">
      <c r="A1934" s="75" t="s">
        <v>85</v>
      </c>
      <c r="B1934" s="80" t="s">
        <v>86</v>
      </c>
      <c r="C1934" s="77" t="s">
        <v>48</v>
      </c>
      <c r="D1934" s="78">
        <v>1</v>
      </c>
      <c r="E1934" s="79">
        <f t="shared" si="122"/>
        <v>8.3333333333333332E-3</v>
      </c>
      <c r="F1934" s="79" t="e">
        <f t="shared" si="119"/>
        <v>#REF!</v>
      </c>
      <c r="G1934" s="2"/>
      <c r="H1934" s="37">
        <v>6996</v>
      </c>
      <c r="I1934" s="4">
        <f t="shared" si="120"/>
        <v>58.3</v>
      </c>
      <c r="J1934" s="25">
        <f t="shared" si="121"/>
        <v>61</v>
      </c>
    </row>
    <row r="1935" spans="1:10" ht="16.95" customHeight="1">
      <c r="A1935" s="75" t="s">
        <v>87</v>
      </c>
      <c r="B1935" s="80" t="s">
        <v>88</v>
      </c>
      <c r="C1935" s="77" t="s">
        <v>48</v>
      </c>
      <c r="D1935" s="78">
        <v>1</v>
      </c>
      <c r="E1935" s="79">
        <f>1/120</f>
        <v>8.3333333333333332E-3</v>
      </c>
      <c r="F1935" s="79" t="e">
        <f t="shared" si="119"/>
        <v>#REF!</v>
      </c>
      <c r="G1935" s="2"/>
      <c r="H1935" s="37">
        <v>116952</v>
      </c>
      <c r="I1935" s="4">
        <f t="shared" si="120"/>
        <v>974.6</v>
      </c>
      <c r="J1935" s="25">
        <f t="shared" si="121"/>
        <v>61</v>
      </c>
    </row>
    <row r="1936" spans="1:10" ht="16.95" customHeight="1">
      <c r="A1936" s="95" t="s">
        <v>23</v>
      </c>
      <c r="B1936" s="95"/>
      <c r="C1936" s="50"/>
      <c r="D1936" s="50"/>
      <c r="E1936" s="50"/>
      <c r="F1936" s="50"/>
      <c r="G1936" s="50"/>
      <c r="H1936" s="3" t="s">
        <v>24</v>
      </c>
      <c r="I1936" s="5">
        <f>SUM(I1901:I1935)</f>
        <v>2637.5250000000001</v>
      </c>
      <c r="J1936" s="25">
        <f t="shared" si="121"/>
        <v>61</v>
      </c>
    </row>
    <row r="1937" spans="1:10" ht="16.95" customHeight="1">
      <c r="A1937" s="96" t="s">
        <v>25</v>
      </c>
      <c r="B1937" s="96"/>
      <c r="C1937" s="50"/>
      <c r="D1937" s="50"/>
      <c r="E1937" s="50"/>
      <c r="F1937" s="50"/>
      <c r="G1937" s="50"/>
      <c r="J1937" s="25">
        <f t="shared" si="121"/>
        <v>61</v>
      </c>
    </row>
    <row r="1938" spans="1:10" ht="16.95" customHeight="1">
      <c r="A1938" s="96" t="s">
        <v>26</v>
      </c>
      <c r="B1938" s="96"/>
      <c r="C1938" s="50"/>
      <c r="D1938" s="50"/>
      <c r="E1938" s="50"/>
      <c r="F1938" s="50"/>
      <c r="G1938" s="50"/>
      <c r="J1938" s="25">
        <f t="shared" si="121"/>
        <v>61</v>
      </c>
    </row>
    <row r="1939" spans="1:10" ht="16.95" customHeight="1">
      <c r="A1939" s="95" t="s">
        <v>27</v>
      </c>
      <c r="B1939" s="95"/>
      <c r="C1939" s="95"/>
      <c r="D1939" s="95"/>
      <c r="E1939" s="95"/>
      <c r="F1939" s="95"/>
      <c r="G1939" s="95"/>
      <c r="J1939" s="25">
        <f t="shared" si="121"/>
        <v>61</v>
      </c>
    </row>
    <row r="1940" spans="1:10" ht="16.95" customHeight="1">
      <c r="A1940" s="94" t="s">
        <v>28</v>
      </c>
      <c r="B1940" s="94"/>
      <c r="C1940" s="51" t="s">
        <v>29</v>
      </c>
      <c r="D1940" s="51" t="s">
        <v>30</v>
      </c>
      <c r="E1940" s="51" t="s">
        <v>18</v>
      </c>
      <c r="F1940" s="51" t="s">
        <v>31</v>
      </c>
      <c r="G1940" s="51" t="s">
        <v>20</v>
      </c>
      <c r="J1940" s="25">
        <f t="shared" si="121"/>
        <v>61</v>
      </c>
    </row>
    <row r="1941" spans="1:10" ht="16.95" customHeight="1">
      <c r="A1941" s="96"/>
      <c r="B1941" s="96"/>
      <c r="C1941" s="50"/>
      <c r="D1941" s="50"/>
      <c r="E1941" s="50"/>
      <c r="F1941" s="50"/>
      <c r="G1941" s="51"/>
      <c r="J1941" s="25">
        <f t="shared" si="121"/>
        <v>61</v>
      </c>
    </row>
    <row r="1942" spans="1:10" ht="16.95" customHeight="1">
      <c r="A1942" s="97"/>
      <c r="B1942" s="97"/>
      <c r="C1942" s="50"/>
      <c r="D1942" s="50"/>
      <c r="E1942" s="50"/>
      <c r="F1942" s="51"/>
      <c r="G1942" s="51"/>
      <c r="J1942" s="25">
        <f t="shared" si="121"/>
        <v>61</v>
      </c>
    </row>
    <row r="1943" spans="1:10" ht="16.95" customHeight="1">
      <c r="A1943" s="95" t="s">
        <v>32</v>
      </c>
      <c r="B1943" s="95"/>
      <c r="C1943" s="95"/>
      <c r="D1943" s="95"/>
      <c r="E1943" s="95"/>
      <c r="F1943" s="95"/>
      <c r="G1943" s="95"/>
      <c r="J1943" s="25">
        <f t="shared" ref="J1943:J1953" si="123">J1880+2</f>
        <v>62</v>
      </c>
    </row>
    <row r="1944" spans="1:10" ht="16.95" customHeight="1">
      <c r="A1944" s="51" t="s">
        <v>33</v>
      </c>
      <c r="B1944" s="51" t="s">
        <v>34</v>
      </c>
      <c r="C1944" s="94" t="s">
        <v>35</v>
      </c>
      <c r="D1944" s="94"/>
      <c r="E1944" s="51" t="s">
        <v>36</v>
      </c>
      <c r="F1944" s="51" t="s">
        <v>37</v>
      </c>
      <c r="G1944" s="51" t="s">
        <v>38</v>
      </c>
      <c r="J1944" s="25">
        <f t="shared" si="123"/>
        <v>62</v>
      </c>
    </row>
    <row r="1945" spans="1:10" ht="16.95" customHeight="1">
      <c r="A1945" s="51" t="s">
        <v>39</v>
      </c>
      <c r="B1945" s="6"/>
      <c r="C1945" s="94" t="e">
        <f>B1945+C1882</f>
        <v>#REF!</v>
      </c>
      <c r="D1945" s="94"/>
      <c r="E1945" s="51"/>
      <c r="F1945" s="24"/>
      <c r="G1945" s="24"/>
      <c r="J1945" s="25">
        <f t="shared" si="123"/>
        <v>62</v>
      </c>
    </row>
    <row r="1946" spans="1:10" ht="16.95" customHeight="1">
      <c r="A1946" s="51" t="s">
        <v>40</v>
      </c>
      <c r="B1946" s="6"/>
      <c r="C1946" s="94" t="e">
        <f>B1946+C1883</f>
        <v>#REF!</v>
      </c>
      <c r="D1946" s="94"/>
      <c r="E1946" s="51"/>
      <c r="F1946" s="24"/>
      <c r="G1946" s="24"/>
      <c r="J1946" s="25">
        <f t="shared" si="123"/>
        <v>62</v>
      </c>
    </row>
    <row r="1947" spans="1:10" ht="36.6" customHeight="1">
      <c r="A1947" s="95" t="s">
        <v>41</v>
      </c>
      <c r="B1947" s="95"/>
      <c r="C1947" s="95"/>
      <c r="D1947" s="95"/>
      <c r="E1947" s="95"/>
      <c r="F1947" s="95"/>
      <c r="G1947" s="95"/>
      <c r="J1947" s="25">
        <f t="shared" si="123"/>
        <v>62</v>
      </c>
    </row>
    <row r="1948" spans="1:10" ht="90" customHeight="1">
      <c r="A1948" s="92" t="s">
        <v>42</v>
      </c>
      <c r="B1948" s="92"/>
      <c r="C1948" s="92"/>
      <c r="D1948" s="92"/>
      <c r="E1948" s="92"/>
      <c r="F1948" s="92"/>
      <c r="G1948" s="92"/>
      <c r="J1948" s="25">
        <f t="shared" si="123"/>
        <v>62</v>
      </c>
    </row>
    <row r="1949" spans="1:10" ht="16.95" customHeight="1">
      <c r="A1949" s="95" t="s">
        <v>43</v>
      </c>
      <c r="B1949" s="95"/>
      <c r="C1949" s="95"/>
      <c r="D1949" s="95"/>
      <c r="E1949" s="95"/>
      <c r="F1949" s="95"/>
      <c r="G1949" s="95"/>
      <c r="J1949" s="25">
        <f t="shared" si="123"/>
        <v>62</v>
      </c>
    </row>
    <row r="1950" spans="1:10" ht="16.95" customHeight="1">
      <c r="A1950" s="95" t="s">
        <v>44</v>
      </c>
      <c r="B1950" s="95"/>
      <c r="C1950" s="95"/>
      <c r="D1950" s="95"/>
      <c r="E1950" s="95"/>
      <c r="F1950" s="95"/>
      <c r="G1950" s="95"/>
      <c r="J1950" s="25">
        <f t="shared" si="123"/>
        <v>62</v>
      </c>
    </row>
    <row r="1951" spans="1:10" ht="16.95" customHeight="1">
      <c r="A1951" s="91" t="s">
        <v>64</v>
      </c>
      <c r="B1951" s="91"/>
      <c r="C1951" s="91"/>
      <c r="D1951" s="91"/>
      <c r="E1951" s="91"/>
      <c r="F1951" s="91"/>
      <c r="G1951" s="91"/>
      <c r="J1951" s="25">
        <f t="shared" si="123"/>
        <v>62</v>
      </c>
    </row>
    <row r="1952" spans="1:10" ht="120.6" customHeight="1">
      <c r="A1952" s="92" t="s">
        <v>45</v>
      </c>
      <c r="B1952" s="92"/>
      <c r="C1952" s="92"/>
      <c r="D1952" s="92"/>
      <c r="E1952" s="92"/>
      <c r="F1952" s="92"/>
      <c r="G1952" s="92"/>
      <c r="J1952" s="25">
        <f t="shared" si="123"/>
        <v>62</v>
      </c>
    </row>
    <row r="1953" spans="1:10" ht="140.4" customHeight="1">
      <c r="A1953" s="93" t="s">
        <v>46</v>
      </c>
      <c r="B1953" s="93"/>
      <c r="C1953" s="93"/>
      <c r="D1953" s="93"/>
      <c r="E1953" s="93"/>
      <c r="F1953" s="93"/>
      <c r="G1953" s="93"/>
      <c r="J1953" s="25">
        <f t="shared" si="123"/>
        <v>62</v>
      </c>
    </row>
  </sheetData>
  <mergeCells count="1023">
    <mergeCell ref="C8:D8"/>
    <mergeCell ref="E8:G8"/>
    <mergeCell ref="A9:G9"/>
    <mergeCell ref="A46:B46"/>
    <mergeCell ref="A47:B47"/>
    <mergeCell ref="A48:B48"/>
    <mergeCell ref="C5:D5"/>
    <mergeCell ref="E5:G5"/>
    <mergeCell ref="C6:D6"/>
    <mergeCell ref="E6:G6"/>
    <mergeCell ref="C7:D7"/>
    <mergeCell ref="E7:G7"/>
    <mergeCell ref="A1:G1"/>
    <mergeCell ref="B2:G2"/>
    <mergeCell ref="B3:D3"/>
    <mergeCell ref="E3:G3"/>
    <mergeCell ref="C4:D4"/>
    <mergeCell ref="E4:G4"/>
    <mergeCell ref="A61:G61"/>
    <mergeCell ref="A62:G62"/>
    <mergeCell ref="A63:G63"/>
    <mergeCell ref="A64:G64"/>
    <mergeCell ref="B65:G65"/>
    <mergeCell ref="B66:D66"/>
    <mergeCell ref="E66:G66"/>
    <mergeCell ref="C55:D55"/>
    <mergeCell ref="C56:D56"/>
    <mergeCell ref="A57:G57"/>
    <mergeCell ref="A58:G58"/>
    <mergeCell ref="A59:G59"/>
    <mergeCell ref="A60:G60"/>
    <mergeCell ref="A49:G49"/>
    <mergeCell ref="A50:B50"/>
    <mergeCell ref="A51:B51"/>
    <mergeCell ref="A52:B52"/>
    <mergeCell ref="A53:G53"/>
    <mergeCell ref="C54:D54"/>
    <mergeCell ref="A110:B110"/>
    <mergeCell ref="A111:B111"/>
    <mergeCell ref="A112:G112"/>
    <mergeCell ref="A113:B113"/>
    <mergeCell ref="A114:B114"/>
    <mergeCell ref="A115:B115"/>
    <mergeCell ref="C70:D70"/>
    <mergeCell ref="E70:G70"/>
    <mergeCell ref="C71:D71"/>
    <mergeCell ref="E71:G71"/>
    <mergeCell ref="A72:G72"/>
    <mergeCell ref="A109:B109"/>
    <mergeCell ref="C67:D67"/>
    <mergeCell ref="E67:G67"/>
    <mergeCell ref="C68:D68"/>
    <mergeCell ref="E68:G68"/>
    <mergeCell ref="C69:D69"/>
    <mergeCell ref="E69:G69"/>
    <mergeCell ref="B128:G128"/>
    <mergeCell ref="B129:D129"/>
    <mergeCell ref="E129:G129"/>
    <mergeCell ref="C130:D130"/>
    <mergeCell ref="E130:G130"/>
    <mergeCell ref="C131:D131"/>
    <mergeCell ref="E131:G131"/>
    <mergeCell ref="A122:G122"/>
    <mergeCell ref="A123:G123"/>
    <mergeCell ref="A124:G124"/>
    <mergeCell ref="A125:G125"/>
    <mergeCell ref="A126:G126"/>
    <mergeCell ref="A127:G127"/>
    <mergeCell ref="A116:G116"/>
    <mergeCell ref="C117:D117"/>
    <mergeCell ref="C118:D118"/>
    <mergeCell ref="C119:D119"/>
    <mergeCell ref="A120:G120"/>
    <mergeCell ref="A121:G121"/>
    <mergeCell ref="A177:B177"/>
    <mergeCell ref="A178:B178"/>
    <mergeCell ref="A179:G179"/>
    <mergeCell ref="C180:D180"/>
    <mergeCell ref="C181:D181"/>
    <mergeCell ref="C182:D182"/>
    <mergeCell ref="A135:G135"/>
    <mergeCell ref="A172:B172"/>
    <mergeCell ref="A173:B173"/>
    <mergeCell ref="A174:B174"/>
    <mergeCell ref="A175:G175"/>
    <mergeCell ref="A176:B176"/>
    <mergeCell ref="C132:D132"/>
    <mergeCell ref="E132:G132"/>
    <mergeCell ref="C133:D133"/>
    <mergeCell ref="E133:G133"/>
    <mergeCell ref="C134:D134"/>
    <mergeCell ref="E134:G134"/>
    <mergeCell ref="C194:D194"/>
    <mergeCell ref="E194:G194"/>
    <mergeCell ref="C195:D195"/>
    <mergeCell ref="E195:G195"/>
    <mergeCell ref="C196:D196"/>
    <mergeCell ref="E196:G196"/>
    <mergeCell ref="A189:G189"/>
    <mergeCell ref="A190:G190"/>
    <mergeCell ref="B191:G191"/>
    <mergeCell ref="B192:D192"/>
    <mergeCell ref="E192:G192"/>
    <mergeCell ref="C193:D193"/>
    <mergeCell ref="E193:G193"/>
    <mergeCell ref="A183:G183"/>
    <mergeCell ref="A184:G184"/>
    <mergeCell ref="A185:G185"/>
    <mergeCell ref="A186:G186"/>
    <mergeCell ref="A187:G187"/>
    <mergeCell ref="A188:G188"/>
    <mergeCell ref="C244:D244"/>
    <mergeCell ref="C245:D245"/>
    <mergeCell ref="A246:G246"/>
    <mergeCell ref="A247:G247"/>
    <mergeCell ref="A248:G248"/>
    <mergeCell ref="A249:G249"/>
    <mergeCell ref="A238:G238"/>
    <mergeCell ref="A239:B239"/>
    <mergeCell ref="A240:B240"/>
    <mergeCell ref="A241:B241"/>
    <mergeCell ref="A242:G242"/>
    <mergeCell ref="C243:D243"/>
    <mergeCell ref="C197:D197"/>
    <mergeCell ref="E197:G197"/>
    <mergeCell ref="A198:G198"/>
    <mergeCell ref="A235:B235"/>
    <mergeCell ref="A236:B236"/>
    <mergeCell ref="A237:B237"/>
    <mergeCell ref="C259:D259"/>
    <mergeCell ref="E259:G259"/>
    <mergeCell ref="C260:D260"/>
    <mergeCell ref="E260:G260"/>
    <mergeCell ref="A261:G261"/>
    <mergeCell ref="A298:B298"/>
    <mergeCell ref="C256:D256"/>
    <mergeCell ref="E256:G256"/>
    <mergeCell ref="C257:D257"/>
    <mergeCell ref="E257:G257"/>
    <mergeCell ref="C258:D258"/>
    <mergeCell ref="E258:G258"/>
    <mergeCell ref="A250:G250"/>
    <mergeCell ref="A251:G251"/>
    <mergeCell ref="A252:G252"/>
    <mergeCell ref="A253:G253"/>
    <mergeCell ref="B254:G254"/>
    <mergeCell ref="B255:D255"/>
    <mergeCell ref="E255:G255"/>
    <mergeCell ref="A311:G311"/>
    <mergeCell ref="A312:G312"/>
    <mergeCell ref="A313:G313"/>
    <mergeCell ref="A314:G314"/>
    <mergeCell ref="A315:G315"/>
    <mergeCell ref="A316:G316"/>
    <mergeCell ref="A305:G305"/>
    <mergeCell ref="C306:D306"/>
    <mergeCell ref="C307:D307"/>
    <mergeCell ref="C308:D308"/>
    <mergeCell ref="A309:G309"/>
    <mergeCell ref="A310:G310"/>
    <mergeCell ref="A299:B299"/>
    <mergeCell ref="A300:B300"/>
    <mergeCell ref="A301:G301"/>
    <mergeCell ref="A302:B302"/>
    <mergeCell ref="A303:B303"/>
    <mergeCell ref="A304:B304"/>
    <mergeCell ref="A324:G324"/>
    <mergeCell ref="A361:B361"/>
    <mergeCell ref="A362:B362"/>
    <mergeCell ref="A363:B363"/>
    <mergeCell ref="A364:G364"/>
    <mergeCell ref="A365:B365"/>
    <mergeCell ref="C321:D321"/>
    <mergeCell ref="E321:G321"/>
    <mergeCell ref="C322:D322"/>
    <mergeCell ref="E322:G322"/>
    <mergeCell ref="C323:D323"/>
    <mergeCell ref="E323:G323"/>
    <mergeCell ref="B317:G317"/>
    <mergeCell ref="B318:D318"/>
    <mergeCell ref="E318:G318"/>
    <mergeCell ref="C319:D319"/>
    <mergeCell ref="E319:G319"/>
    <mergeCell ref="C320:D320"/>
    <mergeCell ref="E320:G320"/>
    <mergeCell ref="A378:G378"/>
    <mergeCell ref="A379:G379"/>
    <mergeCell ref="B380:G380"/>
    <mergeCell ref="B381:D381"/>
    <mergeCell ref="E381:G381"/>
    <mergeCell ref="C382:D382"/>
    <mergeCell ref="E382:G382"/>
    <mergeCell ref="A372:G372"/>
    <mergeCell ref="A373:G373"/>
    <mergeCell ref="A374:G374"/>
    <mergeCell ref="A375:G375"/>
    <mergeCell ref="A376:G376"/>
    <mergeCell ref="A377:G377"/>
    <mergeCell ref="A366:B366"/>
    <mergeCell ref="A367:B367"/>
    <mergeCell ref="A368:G368"/>
    <mergeCell ref="C369:D369"/>
    <mergeCell ref="C370:D370"/>
    <mergeCell ref="C371:D371"/>
    <mergeCell ref="A427:G427"/>
    <mergeCell ref="A428:B428"/>
    <mergeCell ref="A429:B429"/>
    <mergeCell ref="A430:B430"/>
    <mergeCell ref="A431:G431"/>
    <mergeCell ref="C432:D432"/>
    <mergeCell ref="C386:D386"/>
    <mergeCell ref="E386:G386"/>
    <mergeCell ref="A387:G387"/>
    <mergeCell ref="A424:B424"/>
    <mergeCell ref="A425:B425"/>
    <mergeCell ref="A426:B426"/>
    <mergeCell ref="C383:D383"/>
    <mergeCell ref="E383:G383"/>
    <mergeCell ref="C384:D384"/>
    <mergeCell ref="E384:G384"/>
    <mergeCell ref="C385:D385"/>
    <mergeCell ref="E385:G385"/>
    <mergeCell ref="C445:D445"/>
    <mergeCell ref="E445:G445"/>
    <mergeCell ref="C446:D446"/>
    <mergeCell ref="E446:G446"/>
    <mergeCell ref="C447:D447"/>
    <mergeCell ref="E447:G447"/>
    <mergeCell ref="A439:G439"/>
    <mergeCell ref="A440:G440"/>
    <mergeCell ref="A441:G441"/>
    <mergeCell ref="A442:G442"/>
    <mergeCell ref="B443:G443"/>
    <mergeCell ref="B444:D444"/>
    <mergeCell ref="E444:G444"/>
    <mergeCell ref="C433:D433"/>
    <mergeCell ref="C434:D434"/>
    <mergeCell ref="A435:G435"/>
    <mergeCell ref="A436:G436"/>
    <mergeCell ref="A437:G437"/>
    <mergeCell ref="A438:G438"/>
    <mergeCell ref="A494:G494"/>
    <mergeCell ref="C495:D495"/>
    <mergeCell ref="C496:D496"/>
    <mergeCell ref="C497:D497"/>
    <mergeCell ref="A498:G498"/>
    <mergeCell ref="A499:G499"/>
    <mergeCell ref="A488:B488"/>
    <mergeCell ref="A489:B489"/>
    <mergeCell ref="A490:G490"/>
    <mergeCell ref="A491:B491"/>
    <mergeCell ref="A492:B492"/>
    <mergeCell ref="A493:B493"/>
    <mergeCell ref="C448:D448"/>
    <mergeCell ref="E448:G448"/>
    <mergeCell ref="C449:D449"/>
    <mergeCell ref="E449:G449"/>
    <mergeCell ref="A450:G450"/>
    <mergeCell ref="A487:B487"/>
    <mergeCell ref="C510:D510"/>
    <mergeCell ref="E510:G510"/>
    <mergeCell ref="C511:D511"/>
    <mergeCell ref="E511:G511"/>
    <mergeCell ref="C512:D512"/>
    <mergeCell ref="E512:G512"/>
    <mergeCell ref="B506:G506"/>
    <mergeCell ref="B507:D507"/>
    <mergeCell ref="E507:G507"/>
    <mergeCell ref="C508:D508"/>
    <mergeCell ref="E508:G508"/>
    <mergeCell ref="C509:D509"/>
    <mergeCell ref="E509:G509"/>
    <mergeCell ref="A500:G500"/>
    <mergeCell ref="A501:G501"/>
    <mergeCell ref="A502:G502"/>
    <mergeCell ref="A503:G503"/>
    <mergeCell ref="A504:G504"/>
    <mergeCell ref="A505:G505"/>
    <mergeCell ref="A561:G561"/>
    <mergeCell ref="A562:G562"/>
    <mergeCell ref="A563:G563"/>
    <mergeCell ref="A564:G564"/>
    <mergeCell ref="A565:G565"/>
    <mergeCell ref="A566:G566"/>
    <mergeCell ref="A555:B555"/>
    <mergeCell ref="A556:B556"/>
    <mergeCell ref="A557:G557"/>
    <mergeCell ref="C558:D558"/>
    <mergeCell ref="C559:D559"/>
    <mergeCell ref="C560:D560"/>
    <mergeCell ref="A513:G513"/>
    <mergeCell ref="A550:B550"/>
    <mergeCell ref="A551:B551"/>
    <mergeCell ref="A552:B552"/>
    <mergeCell ref="A553:G553"/>
    <mergeCell ref="A554:B554"/>
    <mergeCell ref="C575:D575"/>
    <mergeCell ref="E575:G575"/>
    <mergeCell ref="A576:G576"/>
    <mergeCell ref="A613:B613"/>
    <mergeCell ref="A614:B614"/>
    <mergeCell ref="A615:B615"/>
    <mergeCell ref="C572:D572"/>
    <mergeCell ref="E572:G572"/>
    <mergeCell ref="C573:D573"/>
    <mergeCell ref="E573:G573"/>
    <mergeCell ref="C574:D574"/>
    <mergeCell ref="E574:G574"/>
    <mergeCell ref="A567:G567"/>
    <mergeCell ref="A568:G568"/>
    <mergeCell ref="B569:G569"/>
    <mergeCell ref="B570:D570"/>
    <mergeCell ref="E570:G570"/>
    <mergeCell ref="C571:D571"/>
    <mergeCell ref="E571:G571"/>
    <mergeCell ref="A628:G628"/>
    <mergeCell ref="A629:G629"/>
    <mergeCell ref="A630:G630"/>
    <mergeCell ref="A631:G631"/>
    <mergeCell ref="B632:G632"/>
    <mergeCell ref="B633:D633"/>
    <mergeCell ref="E633:G633"/>
    <mergeCell ref="C622:D622"/>
    <mergeCell ref="C623:D623"/>
    <mergeCell ref="A624:G624"/>
    <mergeCell ref="A625:G625"/>
    <mergeCell ref="A626:G626"/>
    <mergeCell ref="A627:G627"/>
    <mergeCell ref="A616:G616"/>
    <mergeCell ref="A617:B617"/>
    <mergeCell ref="A618:B618"/>
    <mergeCell ref="A619:B619"/>
    <mergeCell ref="A620:G620"/>
    <mergeCell ref="C621:D621"/>
    <mergeCell ref="A677:B677"/>
    <mergeCell ref="A678:B678"/>
    <mergeCell ref="A679:G679"/>
    <mergeCell ref="A680:B680"/>
    <mergeCell ref="A681:B681"/>
    <mergeCell ref="A682:B682"/>
    <mergeCell ref="C637:D637"/>
    <mergeCell ref="E637:G637"/>
    <mergeCell ref="C638:D638"/>
    <mergeCell ref="E638:G638"/>
    <mergeCell ref="A639:G639"/>
    <mergeCell ref="A676:B676"/>
    <mergeCell ref="C634:D634"/>
    <mergeCell ref="E634:G634"/>
    <mergeCell ref="C635:D635"/>
    <mergeCell ref="E635:G635"/>
    <mergeCell ref="C636:D636"/>
    <mergeCell ref="E636:G636"/>
    <mergeCell ref="B695:G695"/>
    <mergeCell ref="B696:D696"/>
    <mergeCell ref="E696:G696"/>
    <mergeCell ref="C697:D697"/>
    <mergeCell ref="E697:G697"/>
    <mergeCell ref="C698:D698"/>
    <mergeCell ref="E698:G698"/>
    <mergeCell ref="A689:G689"/>
    <mergeCell ref="A690:G690"/>
    <mergeCell ref="A691:G691"/>
    <mergeCell ref="A692:G692"/>
    <mergeCell ref="A693:G693"/>
    <mergeCell ref="A694:G694"/>
    <mergeCell ref="A683:G683"/>
    <mergeCell ref="C684:D684"/>
    <mergeCell ref="C685:D685"/>
    <mergeCell ref="C686:D686"/>
    <mergeCell ref="A687:G687"/>
    <mergeCell ref="A688:G688"/>
    <mergeCell ref="A744:B744"/>
    <mergeCell ref="A745:B745"/>
    <mergeCell ref="A746:G746"/>
    <mergeCell ref="C747:D747"/>
    <mergeCell ref="C748:D748"/>
    <mergeCell ref="C749:D749"/>
    <mergeCell ref="A702:G702"/>
    <mergeCell ref="A739:B739"/>
    <mergeCell ref="A740:B740"/>
    <mergeCell ref="A741:B741"/>
    <mergeCell ref="A742:G742"/>
    <mergeCell ref="A743:B743"/>
    <mergeCell ref="C699:D699"/>
    <mergeCell ref="E699:G699"/>
    <mergeCell ref="C700:D700"/>
    <mergeCell ref="E700:G700"/>
    <mergeCell ref="C701:D701"/>
    <mergeCell ref="E701:G701"/>
    <mergeCell ref="C761:D761"/>
    <mergeCell ref="E761:G761"/>
    <mergeCell ref="C762:D762"/>
    <mergeCell ref="E762:G762"/>
    <mergeCell ref="C763:D763"/>
    <mergeCell ref="E763:G763"/>
    <mergeCell ref="A756:G756"/>
    <mergeCell ref="A757:G757"/>
    <mergeCell ref="B758:G758"/>
    <mergeCell ref="B759:D759"/>
    <mergeCell ref="E759:G759"/>
    <mergeCell ref="C760:D760"/>
    <mergeCell ref="E760:G760"/>
    <mergeCell ref="A750:G750"/>
    <mergeCell ref="A751:G751"/>
    <mergeCell ref="A752:G752"/>
    <mergeCell ref="A753:G753"/>
    <mergeCell ref="A754:G754"/>
    <mergeCell ref="A755:G755"/>
    <mergeCell ref="C811:D811"/>
    <mergeCell ref="C812:D812"/>
    <mergeCell ref="A813:G813"/>
    <mergeCell ref="A814:G814"/>
    <mergeCell ref="A815:G815"/>
    <mergeCell ref="A816:G816"/>
    <mergeCell ref="A805:G805"/>
    <mergeCell ref="A806:B806"/>
    <mergeCell ref="A807:B807"/>
    <mergeCell ref="A808:B808"/>
    <mergeCell ref="A809:G809"/>
    <mergeCell ref="C810:D810"/>
    <mergeCell ref="C764:D764"/>
    <mergeCell ref="E764:G764"/>
    <mergeCell ref="A765:G765"/>
    <mergeCell ref="A802:B802"/>
    <mergeCell ref="A803:B803"/>
    <mergeCell ref="A804:B804"/>
    <mergeCell ref="C826:D826"/>
    <mergeCell ref="E826:G826"/>
    <mergeCell ref="C827:D827"/>
    <mergeCell ref="E827:G827"/>
    <mergeCell ref="A828:G828"/>
    <mergeCell ref="A865:B865"/>
    <mergeCell ref="C823:D823"/>
    <mergeCell ref="E823:G823"/>
    <mergeCell ref="C824:D824"/>
    <mergeCell ref="E824:G824"/>
    <mergeCell ref="C825:D825"/>
    <mergeCell ref="E825:G825"/>
    <mergeCell ref="A817:G817"/>
    <mergeCell ref="A818:G818"/>
    <mergeCell ref="A819:G819"/>
    <mergeCell ref="A820:G820"/>
    <mergeCell ref="B821:G821"/>
    <mergeCell ref="B822:D822"/>
    <mergeCell ref="E822:G822"/>
    <mergeCell ref="A878:G878"/>
    <mergeCell ref="A879:G879"/>
    <mergeCell ref="A880:G880"/>
    <mergeCell ref="A881:G881"/>
    <mergeCell ref="A882:G882"/>
    <mergeCell ref="A883:G883"/>
    <mergeCell ref="A872:G872"/>
    <mergeCell ref="C873:D873"/>
    <mergeCell ref="C874:D874"/>
    <mergeCell ref="C875:D875"/>
    <mergeCell ref="A876:G876"/>
    <mergeCell ref="A877:G877"/>
    <mergeCell ref="A866:B866"/>
    <mergeCell ref="A867:B867"/>
    <mergeCell ref="A868:G868"/>
    <mergeCell ref="A869:B869"/>
    <mergeCell ref="A870:B870"/>
    <mergeCell ref="A871:B871"/>
    <mergeCell ref="A891:G891"/>
    <mergeCell ref="A928:B928"/>
    <mergeCell ref="A929:B929"/>
    <mergeCell ref="A930:B930"/>
    <mergeCell ref="A931:G931"/>
    <mergeCell ref="A932:B932"/>
    <mergeCell ref="C888:D888"/>
    <mergeCell ref="E888:G888"/>
    <mergeCell ref="C889:D889"/>
    <mergeCell ref="E889:G889"/>
    <mergeCell ref="C890:D890"/>
    <mergeCell ref="E890:G890"/>
    <mergeCell ref="B884:G884"/>
    <mergeCell ref="B885:D885"/>
    <mergeCell ref="E885:G885"/>
    <mergeCell ref="C886:D886"/>
    <mergeCell ref="E886:G886"/>
    <mergeCell ref="C887:D887"/>
    <mergeCell ref="E887:G887"/>
    <mergeCell ref="A945:G945"/>
    <mergeCell ref="A946:G946"/>
    <mergeCell ref="B947:G947"/>
    <mergeCell ref="B948:D948"/>
    <mergeCell ref="E948:G948"/>
    <mergeCell ref="C949:D949"/>
    <mergeCell ref="E949:G949"/>
    <mergeCell ref="A939:G939"/>
    <mergeCell ref="A940:G940"/>
    <mergeCell ref="A941:G941"/>
    <mergeCell ref="A942:G942"/>
    <mergeCell ref="A943:G943"/>
    <mergeCell ref="A944:G944"/>
    <mergeCell ref="A933:B933"/>
    <mergeCell ref="A934:B934"/>
    <mergeCell ref="A935:G935"/>
    <mergeCell ref="C936:D936"/>
    <mergeCell ref="C937:D937"/>
    <mergeCell ref="C938:D938"/>
    <mergeCell ref="A994:G994"/>
    <mergeCell ref="A995:B995"/>
    <mergeCell ref="A996:B996"/>
    <mergeCell ref="A997:B997"/>
    <mergeCell ref="A998:G998"/>
    <mergeCell ref="C999:D999"/>
    <mergeCell ref="C953:D953"/>
    <mergeCell ref="E953:G953"/>
    <mergeCell ref="A954:G954"/>
    <mergeCell ref="A991:B991"/>
    <mergeCell ref="A992:B992"/>
    <mergeCell ref="A993:B993"/>
    <mergeCell ref="C950:D950"/>
    <mergeCell ref="E950:G950"/>
    <mergeCell ref="C951:D951"/>
    <mergeCell ref="E951:G951"/>
    <mergeCell ref="C952:D952"/>
    <mergeCell ref="E952:G952"/>
    <mergeCell ref="C1012:D1012"/>
    <mergeCell ref="E1012:G1012"/>
    <mergeCell ref="C1013:D1013"/>
    <mergeCell ref="E1013:G1013"/>
    <mergeCell ref="C1014:D1014"/>
    <mergeCell ref="E1014:G1014"/>
    <mergeCell ref="A1006:G1006"/>
    <mergeCell ref="A1007:G1007"/>
    <mergeCell ref="A1008:G1008"/>
    <mergeCell ref="A1009:G1009"/>
    <mergeCell ref="B1010:G1010"/>
    <mergeCell ref="B1011:D1011"/>
    <mergeCell ref="E1011:G1011"/>
    <mergeCell ref="C1000:D1000"/>
    <mergeCell ref="C1001:D1001"/>
    <mergeCell ref="A1002:G1002"/>
    <mergeCell ref="A1003:G1003"/>
    <mergeCell ref="A1004:G1004"/>
    <mergeCell ref="A1005:G1005"/>
    <mergeCell ref="A1061:G1061"/>
    <mergeCell ref="C1062:D1062"/>
    <mergeCell ref="C1063:D1063"/>
    <mergeCell ref="C1064:D1064"/>
    <mergeCell ref="A1065:G1065"/>
    <mergeCell ref="A1066:G1066"/>
    <mergeCell ref="A1055:B1055"/>
    <mergeCell ref="A1056:B1056"/>
    <mergeCell ref="A1057:G1057"/>
    <mergeCell ref="A1058:B1058"/>
    <mergeCell ref="A1059:B1059"/>
    <mergeCell ref="A1060:B1060"/>
    <mergeCell ref="C1015:D1015"/>
    <mergeCell ref="E1015:G1015"/>
    <mergeCell ref="C1016:D1016"/>
    <mergeCell ref="E1016:G1016"/>
    <mergeCell ref="A1017:G1017"/>
    <mergeCell ref="A1054:B1054"/>
    <mergeCell ref="C1077:D1077"/>
    <mergeCell ref="E1077:G1077"/>
    <mergeCell ref="C1078:D1078"/>
    <mergeCell ref="E1078:G1078"/>
    <mergeCell ref="C1079:D1079"/>
    <mergeCell ref="E1079:G1079"/>
    <mergeCell ref="B1073:G1073"/>
    <mergeCell ref="B1074:D1074"/>
    <mergeCell ref="E1074:G1074"/>
    <mergeCell ref="C1075:D1075"/>
    <mergeCell ref="E1075:G1075"/>
    <mergeCell ref="C1076:D1076"/>
    <mergeCell ref="E1076:G1076"/>
    <mergeCell ref="A1067:G1067"/>
    <mergeCell ref="A1068:G1068"/>
    <mergeCell ref="A1069:G1069"/>
    <mergeCell ref="A1070:G1070"/>
    <mergeCell ref="A1071:G1071"/>
    <mergeCell ref="A1072:G1072"/>
    <mergeCell ref="A1128:G1128"/>
    <mergeCell ref="A1129:G1129"/>
    <mergeCell ref="A1130:G1130"/>
    <mergeCell ref="A1131:G1131"/>
    <mergeCell ref="A1132:G1132"/>
    <mergeCell ref="A1133:G1133"/>
    <mergeCell ref="A1122:B1122"/>
    <mergeCell ref="A1123:B1123"/>
    <mergeCell ref="A1124:G1124"/>
    <mergeCell ref="C1125:D1125"/>
    <mergeCell ref="C1126:D1126"/>
    <mergeCell ref="C1127:D1127"/>
    <mergeCell ref="A1080:G1080"/>
    <mergeCell ref="A1117:B1117"/>
    <mergeCell ref="A1118:B1118"/>
    <mergeCell ref="A1119:B1119"/>
    <mergeCell ref="A1120:G1120"/>
    <mergeCell ref="A1121:B1121"/>
    <mergeCell ref="C1142:D1142"/>
    <mergeCell ref="E1142:G1142"/>
    <mergeCell ref="A1143:G1143"/>
    <mergeCell ref="A1180:B1180"/>
    <mergeCell ref="A1181:B1181"/>
    <mergeCell ref="A1182:B1182"/>
    <mergeCell ref="C1139:D1139"/>
    <mergeCell ref="E1139:G1139"/>
    <mergeCell ref="C1140:D1140"/>
    <mergeCell ref="E1140:G1140"/>
    <mergeCell ref="C1141:D1141"/>
    <mergeCell ref="E1141:G1141"/>
    <mergeCell ref="A1134:G1134"/>
    <mergeCell ref="A1135:G1135"/>
    <mergeCell ref="B1136:G1136"/>
    <mergeCell ref="B1137:D1137"/>
    <mergeCell ref="E1137:G1137"/>
    <mergeCell ref="C1138:D1138"/>
    <mergeCell ref="E1138:G1138"/>
    <mergeCell ref="A1195:G1195"/>
    <mergeCell ref="A1196:G1196"/>
    <mergeCell ref="A1197:G1197"/>
    <mergeCell ref="A1198:G1198"/>
    <mergeCell ref="B1199:G1199"/>
    <mergeCell ref="B1200:D1200"/>
    <mergeCell ref="E1200:G1200"/>
    <mergeCell ref="C1189:D1189"/>
    <mergeCell ref="C1190:D1190"/>
    <mergeCell ref="A1191:G1191"/>
    <mergeCell ref="A1192:G1192"/>
    <mergeCell ref="A1193:G1193"/>
    <mergeCell ref="A1194:G1194"/>
    <mergeCell ref="A1183:G1183"/>
    <mergeCell ref="A1184:B1184"/>
    <mergeCell ref="A1185:B1185"/>
    <mergeCell ref="A1186:B1186"/>
    <mergeCell ref="A1187:G1187"/>
    <mergeCell ref="C1188:D1188"/>
    <mergeCell ref="A1244:B1244"/>
    <mergeCell ref="A1245:B1245"/>
    <mergeCell ref="A1246:G1246"/>
    <mergeCell ref="A1247:B1247"/>
    <mergeCell ref="A1248:B1248"/>
    <mergeCell ref="A1249:B1249"/>
    <mergeCell ref="C1204:D1204"/>
    <mergeCell ref="E1204:G1204"/>
    <mergeCell ref="C1205:D1205"/>
    <mergeCell ref="E1205:G1205"/>
    <mergeCell ref="A1206:G1206"/>
    <mergeCell ref="A1243:B1243"/>
    <mergeCell ref="C1201:D1201"/>
    <mergeCell ref="E1201:G1201"/>
    <mergeCell ref="C1202:D1202"/>
    <mergeCell ref="E1202:G1202"/>
    <mergeCell ref="C1203:D1203"/>
    <mergeCell ref="E1203:G1203"/>
    <mergeCell ref="B1262:G1262"/>
    <mergeCell ref="B1263:D1263"/>
    <mergeCell ref="E1263:G1263"/>
    <mergeCell ref="C1264:D1264"/>
    <mergeCell ref="E1264:G1264"/>
    <mergeCell ref="C1265:D1265"/>
    <mergeCell ref="E1265:G1265"/>
    <mergeCell ref="A1256:G1256"/>
    <mergeCell ref="A1257:G1257"/>
    <mergeCell ref="A1258:G1258"/>
    <mergeCell ref="A1259:G1259"/>
    <mergeCell ref="A1260:G1260"/>
    <mergeCell ref="A1261:G1261"/>
    <mergeCell ref="A1250:G1250"/>
    <mergeCell ref="C1251:D1251"/>
    <mergeCell ref="C1252:D1252"/>
    <mergeCell ref="C1253:D1253"/>
    <mergeCell ref="A1254:G1254"/>
    <mergeCell ref="A1255:G1255"/>
    <mergeCell ref="A1311:B1311"/>
    <mergeCell ref="A1312:B1312"/>
    <mergeCell ref="A1313:G1313"/>
    <mergeCell ref="C1314:D1314"/>
    <mergeCell ref="C1315:D1315"/>
    <mergeCell ref="C1316:D1316"/>
    <mergeCell ref="A1269:G1269"/>
    <mergeCell ref="A1306:B1306"/>
    <mergeCell ref="A1307:B1307"/>
    <mergeCell ref="A1308:B1308"/>
    <mergeCell ref="A1309:G1309"/>
    <mergeCell ref="A1310:B1310"/>
    <mergeCell ref="C1266:D1266"/>
    <mergeCell ref="E1266:G1266"/>
    <mergeCell ref="C1267:D1267"/>
    <mergeCell ref="E1267:G1267"/>
    <mergeCell ref="C1268:D1268"/>
    <mergeCell ref="E1268:G1268"/>
    <mergeCell ref="C1328:D1328"/>
    <mergeCell ref="E1328:G1328"/>
    <mergeCell ref="C1329:D1329"/>
    <mergeCell ref="E1329:G1329"/>
    <mergeCell ref="C1330:D1330"/>
    <mergeCell ref="E1330:G1330"/>
    <mergeCell ref="A1323:G1323"/>
    <mergeCell ref="A1324:G1324"/>
    <mergeCell ref="B1325:G1325"/>
    <mergeCell ref="B1326:D1326"/>
    <mergeCell ref="E1326:G1326"/>
    <mergeCell ref="C1327:D1327"/>
    <mergeCell ref="E1327:G1327"/>
    <mergeCell ref="A1317:G1317"/>
    <mergeCell ref="A1318:G1318"/>
    <mergeCell ref="A1319:G1319"/>
    <mergeCell ref="A1320:G1320"/>
    <mergeCell ref="A1321:G1321"/>
    <mergeCell ref="A1322:G1322"/>
    <mergeCell ref="C1378:D1378"/>
    <mergeCell ref="C1379:D1379"/>
    <mergeCell ref="A1380:G1380"/>
    <mergeCell ref="A1381:G1381"/>
    <mergeCell ref="A1382:G1382"/>
    <mergeCell ref="A1383:G1383"/>
    <mergeCell ref="A1372:G1372"/>
    <mergeCell ref="A1373:B1373"/>
    <mergeCell ref="A1374:B1374"/>
    <mergeCell ref="A1375:B1375"/>
    <mergeCell ref="A1376:G1376"/>
    <mergeCell ref="C1377:D1377"/>
    <mergeCell ref="C1331:D1331"/>
    <mergeCell ref="E1331:G1331"/>
    <mergeCell ref="A1332:G1332"/>
    <mergeCell ref="A1369:B1369"/>
    <mergeCell ref="A1370:B1370"/>
    <mergeCell ref="A1371:B1371"/>
    <mergeCell ref="C1393:D1393"/>
    <mergeCell ref="E1393:G1393"/>
    <mergeCell ref="C1394:D1394"/>
    <mergeCell ref="E1394:G1394"/>
    <mergeCell ref="A1395:G1395"/>
    <mergeCell ref="A1432:B1432"/>
    <mergeCell ref="C1390:D1390"/>
    <mergeCell ref="E1390:G1390"/>
    <mergeCell ref="C1391:D1391"/>
    <mergeCell ref="E1391:G1391"/>
    <mergeCell ref="C1392:D1392"/>
    <mergeCell ref="E1392:G1392"/>
    <mergeCell ref="A1384:G1384"/>
    <mergeCell ref="A1385:G1385"/>
    <mergeCell ref="A1386:G1386"/>
    <mergeCell ref="A1387:G1387"/>
    <mergeCell ref="B1388:G1388"/>
    <mergeCell ref="B1389:D1389"/>
    <mergeCell ref="E1389:G1389"/>
    <mergeCell ref="A1445:G1445"/>
    <mergeCell ref="A1446:G1446"/>
    <mergeCell ref="A1447:G1447"/>
    <mergeCell ref="A1448:G1448"/>
    <mergeCell ref="A1449:G1449"/>
    <mergeCell ref="A1450:G1450"/>
    <mergeCell ref="A1439:G1439"/>
    <mergeCell ref="C1440:D1440"/>
    <mergeCell ref="C1441:D1441"/>
    <mergeCell ref="C1442:D1442"/>
    <mergeCell ref="A1443:G1443"/>
    <mergeCell ref="A1444:G1444"/>
    <mergeCell ref="A1433:B1433"/>
    <mergeCell ref="A1434:B1434"/>
    <mergeCell ref="A1435:G1435"/>
    <mergeCell ref="A1436:B1436"/>
    <mergeCell ref="A1437:B1437"/>
    <mergeCell ref="A1438:B1438"/>
    <mergeCell ref="A1458:G1458"/>
    <mergeCell ref="A1495:B1495"/>
    <mergeCell ref="A1496:B1496"/>
    <mergeCell ref="A1497:B1497"/>
    <mergeCell ref="A1498:G1498"/>
    <mergeCell ref="A1499:B1499"/>
    <mergeCell ref="C1455:D1455"/>
    <mergeCell ref="E1455:G1455"/>
    <mergeCell ref="C1456:D1456"/>
    <mergeCell ref="E1456:G1456"/>
    <mergeCell ref="C1457:D1457"/>
    <mergeCell ref="E1457:G1457"/>
    <mergeCell ref="B1451:G1451"/>
    <mergeCell ref="B1452:D1452"/>
    <mergeCell ref="E1452:G1452"/>
    <mergeCell ref="C1453:D1453"/>
    <mergeCell ref="E1453:G1453"/>
    <mergeCell ref="C1454:D1454"/>
    <mergeCell ref="E1454:G1454"/>
    <mergeCell ref="A1512:G1512"/>
    <mergeCell ref="A1513:G1513"/>
    <mergeCell ref="B1514:G1514"/>
    <mergeCell ref="B1515:D1515"/>
    <mergeCell ref="E1515:G1515"/>
    <mergeCell ref="C1516:D1516"/>
    <mergeCell ref="E1516:G1516"/>
    <mergeCell ref="A1506:G1506"/>
    <mergeCell ref="A1507:G1507"/>
    <mergeCell ref="A1508:G1508"/>
    <mergeCell ref="A1509:G1509"/>
    <mergeCell ref="A1510:G1510"/>
    <mergeCell ref="A1511:G1511"/>
    <mergeCell ref="A1500:B1500"/>
    <mergeCell ref="A1501:B1501"/>
    <mergeCell ref="A1502:G1502"/>
    <mergeCell ref="C1503:D1503"/>
    <mergeCell ref="C1504:D1504"/>
    <mergeCell ref="C1505:D1505"/>
    <mergeCell ref="A1561:G1561"/>
    <mergeCell ref="A1562:B1562"/>
    <mergeCell ref="A1563:B1563"/>
    <mergeCell ref="A1564:B1564"/>
    <mergeCell ref="A1565:G1565"/>
    <mergeCell ref="C1566:D1566"/>
    <mergeCell ref="C1520:D1520"/>
    <mergeCell ref="E1520:G1520"/>
    <mergeCell ref="A1521:G1521"/>
    <mergeCell ref="A1558:B1558"/>
    <mergeCell ref="A1559:B1559"/>
    <mergeCell ref="A1560:B1560"/>
    <mergeCell ref="C1517:D1517"/>
    <mergeCell ref="E1517:G1517"/>
    <mergeCell ref="C1518:D1518"/>
    <mergeCell ref="E1518:G1518"/>
    <mergeCell ref="C1519:D1519"/>
    <mergeCell ref="E1519:G1519"/>
    <mergeCell ref="C1579:D1579"/>
    <mergeCell ref="E1579:G1579"/>
    <mergeCell ref="C1580:D1580"/>
    <mergeCell ref="E1580:G1580"/>
    <mergeCell ref="C1581:D1581"/>
    <mergeCell ref="E1581:G1581"/>
    <mergeCell ref="A1573:G1573"/>
    <mergeCell ref="A1574:G1574"/>
    <mergeCell ref="A1575:G1575"/>
    <mergeCell ref="A1576:G1576"/>
    <mergeCell ref="B1577:G1577"/>
    <mergeCell ref="B1578:D1578"/>
    <mergeCell ref="E1578:G1578"/>
    <mergeCell ref="C1567:D1567"/>
    <mergeCell ref="C1568:D1568"/>
    <mergeCell ref="A1569:G1569"/>
    <mergeCell ref="A1570:G1570"/>
    <mergeCell ref="A1571:G1571"/>
    <mergeCell ref="A1572:G1572"/>
    <mergeCell ref="A1628:G1628"/>
    <mergeCell ref="C1629:D1629"/>
    <mergeCell ref="C1630:D1630"/>
    <mergeCell ref="C1631:D1631"/>
    <mergeCell ref="A1632:G1632"/>
    <mergeCell ref="A1633:G1633"/>
    <mergeCell ref="A1622:B1622"/>
    <mergeCell ref="A1623:B1623"/>
    <mergeCell ref="A1624:G1624"/>
    <mergeCell ref="A1625:B1625"/>
    <mergeCell ref="A1626:B1626"/>
    <mergeCell ref="A1627:B1627"/>
    <mergeCell ref="C1582:D1582"/>
    <mergeCell ref="E1582:G1582"/>
    <mergeCell ref="C1583:D1583"/>
    <mergeCell ref="E1583:G1583"/>
    <mergeCell ref="A1584:G1584"/>
    <mergeCell ref="A1621:B1621"/>
    <mergeCell ref="C1644:D1644"/>
    <mergeCell ref="E1644:G1644"/>
    <mergeCell ref="C1645:D1645"/>
    <mergeCell ref="E1645:G1645"/>
    <mergeCell ref="C1646:D1646"/>
    <mergeCell ref="E1646:G1646"/>
    <mergeCell ref="B1640:G1640"/>
    <mergeCell ref="B1641:D1641"/>
    <mergeCell ref="E1641:G1641"/>
    <mergeCell ref="C1642:D1642"/>
    <mergeCell ref="E1642:G1642"/>
    <mergeCell ref="C1643:D1643"/>
    <mergeCell ref="E1643:G1643"/>
    <mergeCell ref="A1634:G1634"/>
    <mergeCell ref="A1635:G1635"/>
    <mergeCell ref="A1636:G1636"/>
    <mergeCell ref="A1637:G1637"/>
    <mergeCell ref="A1638:G1638"/>
    <mergeCell ref="A1639:G1639"/>
    <mergeCell ref="A1695:G1695"/>
    <mergeCell ref="A1696:G1696"/>
    <mergeCell ref="A1697:G1697"/>
    <mergeCell ref="A1698:G1698"/>
    <mergeCell ref="A1699:G1699"/>
    <mergeCell ref="A1700:G1700"/>
    <mergeCell ref="A1689:B1689"/>
    <mergeCell ref="A1690:B1690"/>
    <mergeCell ref="A1691:G1691"/>
    <mergeCell ref="C1692:D1692"/>
    <mergeCell ref="C1693:D1693"/>
    <mergeCell ref="C1694:D1694"/>
    <mergeCell ref="A1647:G1647"/>
    <mergeCell ref="A1684:B1684"/>
    <mergeCell ref="A1685:B1685"/>
    <mergeCell ref="A1686:B1686"/>
    <mergeCell ref="A1687:G1687"/>
    <mergeCell ref="A1688:B1688"/>
    <mergeCell ref="C1709:D1709"/>
    <mergeCell ref="E1709:G1709"/>
    <mergeCell ref="A1710:G1710"/>
    <mergeCell ref="A1747:B1747"/>
    <mergeCell ref="A1748:B1748"/>
    <mergeCell ref="A1749:B1749"/>
    <mergeCell ref="C1706:D1706"/>
    <mergeCell ref="E1706:G1706"/>
    <mergeCell ref="C1707:D1707"/>
    <mergeCell ref="E1707:G1707"/>
    <mergeCell ref="C1708:D1708"/>
    <mergeCell ref="E1708:G1708"/>
    <mergeCell ref="A1701:G1701"/>
    <mergeCell ref="A1702:G1702"/>
    <mergeCell ref="B1703:G1703"/>
    <mergeCell ref="B1704:D1704"/>
    <mergeCell ref="E1704:G1704"/>
    <mergeCell ref="C1705:D1705"/>
    <mergeCell ref="E1705:G1705"/>
    <mergeCell ref="A1762:G1762"/>
    <mergeCell ref="A1763:G1763"/>
    <mergeCell ref="A1764:G1764"/>
    <mergeCell ref="A1765:G1765"/>
    <mergeCell ref="B1766:G1766"/>
    <mergeCell ref="B1767:D1767"/>
    <mergeCell ref="E1767:G1767"/>
    <mergeCell ref="C1756:D1756"/>
    <mergeCell ref="C1757:D1757"/>
    <mergeCell ref="A1758:G1758"/>
    <mergeCell ref="A1759:G1759"/>
    <mergeCell ref="A1760:G1760"/>
    <mergeCell ref="A1761:G1761"/>
    <mergeCell ref="A1750:G1750"/>
    <mergeCell ref="A1751:B1751"/>
    <mergeCell ref="A1752:B1752"/>
    <mergeCell ref="A1753:B1753"/>
    <mergeCell ref="A1754:G1754"/>
    <mergeCell ref="C1755:D1755"/>
    <mergeCell ref="A1811:B1811"/>
    <mergeCell ref="A1812:B1812"/>
    <mergeCell ref="A1813:G1813"/>
    <mergeCell ref="A1814:B1814"/>
    <mergeCell ref="A1815:B1815"/>
    <mergeCell ref="A1816:B1816"/>
    <mergeCell ref="C1771:D1771"/>
    <mergeCell ref="E1771:G1771"/>
    <mergeCell ref="C1772:D1772"/>
    <mergeCell ref="E1772:G1772"/>
    <mergeCell ref="A1773:G1773"/>
    <mergeCell ref="A1810:B1810"/>
    <mergeCell ref="C1768:D1768"/>
    <mergeCell ref="E1768:G1768"/>
    <mergeCell ref="C1769:D1769"/>
    <mergeCell ref="E1769:G1769"/>
    <mergeCell ref="C1770:D1770"/>
    <mergeCell ref="E1770:G1770"/>
    <mergeCell ref="B1829:G1829"/>
    <mergeCell ref="B1830:D1830"/>
    <mergeCell ref="E1830:G1830"/>
    <mergeCell ref="C1831:D1831"/>
    <mergeCell ref="E1831:G1831"/>
    <mergeCell ref="C1832:D1832"/>
    <mergeCell ref="E1832:G1832"/>
    <mergeCell ref="A1823:G1823"/>
    <mergeCell ref="A1824:G1824"/>
    <mergeCell ref="A1825:G1825"/>
    <mergeCell ref="A1826:G1826"/>
    <mergeCell ref="A1827:G1827"/>
    <mergeCell ref="A1828:G1828"/>
    <mergeCell ref="A1817:G1817"/>
    <mergeCell ref="C1818:D1818"/>
    <mergeCell ref="C1819:D1819"/>
    <mergeCell ref="C1820:D1820"/>
    <mergeCell ref="A1821:G1821"/>
    <mergeCell ref="A1822:G1822"/>
    <mergeCell ref="A1878:B1878"/>
    <mergeCell ref="A1879:B1879"/>
    <mergeCell ref="A1880:G1880"/>
    <mergeCell ref="C1881:D1881"/>
    <mergeCell ref="C1882:D1882"/>
    <mergeCell ref="C1883:D1883"/>
    <mergeCell ref="A1836:G1836"/>
    <mergeCell ref="A1873:B1873"/>
    <mergeCell ref="A1874:B1874"/>
    <mergeCell ref="A1875:B1875"/>
    <mergeCell ref="A1876:G1876"/>
    <mergeCell ref="A1877:B1877"/>
    <mergeCell ref="C1833:D1833"/>
    <mergeCell ref="E1833:G1833"/>
    <mergeCell ref="C1834:D1834"/>
    <mergeCell ref="E1834:G1834"/>
    <mergeCell ref="C1835:D1835"/>
    <mergeCell ref="E1835:G1835"/>
    <mergeCell ref="C1895:D1895"/>
    <mergeCell ref="E1895:G1895"/>
    <mergeCell ref="C1896:D1896"/>
    <mergeCell ref="E1896:G1896"/>
    <mergeCell ref="C1897:D1897"/>
    <mergeCell ref="E1897:G1897"/>
    <mergeCell ref="A1890:G1890"/>
    <mergeCell ref="A1891:G1891"/>
    <mergeCell ref="B1892:G1892"/>
    <mergeCell ref="B1893:D1893"/>
    <mergeCell ref="E1893:G1893"/>
    <mergeCell ref="C1894:D1894"/>
    <mergeCell ref="E1894:G1894"/>
    <mergeCell ref="A1884:G1884"/>
    <mergeCell ref="A1885:G1885"/>
    <mergeCell ref="A1886:G1886"/>
    <mergeCell ref="A1887:G1887"/>
    <mergeCell ref="A1888:G1888"/>
    <mergeCell ref="A1889:G1889"/>
    <mergeCell ref="A1951:G1951"/>
    <mergeCell ref="A1952:G1952"/>
    <mergeCell ref="A1953:G1953"/>
    <mergeCell ref="C1945:D1945"/>
    <mergeCell ref="C1946:D1946"/>
    <mergeCell ref="A1947:G1947"/>
    <mergeCell ref="A1948:G1948"/>
    <mergeCell ref="A1949:G1949"/>
    <mergeCell ref="A1950:G1950"/>
    <mergeCell ref="A1939:G1939"/>
    <mergeCell ref="A1940:B1940"/>
    <mergeCell ref="A1941:B1941"/>
    <mergeCell ref="A1942:B1942"/>
    <mergeCell ref="A1943:G1943"/>
    <mergeCell ref="C1944:D1944"/>
    <mergeCell ref="C1898:D1898"/>
    <mergeCell ref="E1898:G1898"/>
    <mergeCell ref="A1899:G1899"/>
    <mergeCell ref="A1936:B1936"/>
    <mergeCell ref="A1937:B1937"/>
    <mergeCell ref="A1938:B1938"/>
  </mergeCells>
  <phoneticPr fontId="2" type="noConversion"/>
  <pageMargins left="0.43307086614173229" right="0.23622047244094491" top="0.74803149606299213" bottom="0.59055118110236227" header="0.31496062992125984" footer="0.31496062992125984"/>
  <pageSetup paperSize="9" scale="67" fitToHeight="0" orientation="portrait" r:id="rId1"/>
  <rowBreaks count="62" manualBreakCount="62">
    <brk id="52" max="6" man="1"/>
    <brk id="63" max="16383" man="1"/>
    <brk id="115" max="6" man="1"/>
    <brk id="126" max="6" man="1"/>
    <brk id="178" max="6" man="1"/>
    <brk id="189" max="6" man="1"/>
    <brk id="241" max="6" man="1"/>
    <brk id="252" max="6" man="1"/>
    <brk id="304" max="6" man="1"/>
    <brk id="315" max="6" man="1"/>
    <brk id="367" max="6" man="1"/>
    <brk id="378" max="6" man="1"/>
    <brk id="430" max="6" man="1"/>
    <brk id="441" max="6" man="1"/>
    <brk id="493" max="6" man="1"/>
    <brk id="504" max="6" man="1"/>
    <brk id="556" max="6" man="1"/>
    <brk id="567" max="6" man="1"/>
    <brk id="619" max="6" man="1"/>
    <brk id="630" max="6" man="1"/>
    <brk id="682" max="6" man="1"/>
    <brk id="693" max="6" man="1"/>
    <brk id="745" max="6" man="1"/>
    <brk id="756" max="6" man="1"/>
    <brk id="808" max="6" man="1"/>
    <brk id="819" max="6" man="1"/>
    <brk id="871" max="6" man="1"/>
    <brk id="882" max="6" man="1"/>
    <brk id="934" max="6" man="1"/>
    <brk id="945" max="6" man="1"/>
    <brk id="997" max="6" man="1"/>
    <brk id="1008" max="6" man="1"/>
    <brk id="1060" max="6" man="1"/>
    <brk id="1071" max="6" man="1"/>
    <brk id="1123" max="6" man="1"/>
    <brk id="1134" max="6" man="1"/>
    <brk id="1186" max="6" man="1"/>
    <brk id="1197" max="6" man="1"/>
    <brk id="1249" max="6" man="1"/>
    <brk id="1260" max="6" man="1"/>
    <brk id="1312" max="6" man="1"/>
    <brk id="1323" max="6" man="1"/>
    <brk id="1375" max="6" man="1"/>
    <brk id="1386" max="6" man="1"/>
    <brk id="1438" max="6" man="1"/>
    <brk id="1449" max="6" man="1"/>
    <brk id="1501" max="6" man="1"/>
    <brk id="1512" max="6" man="1"/>
    <brk id="1564" max="6" man="1"/>
    <brk id="1575" max="6" man="1"/>
    <brk id="1627" max="6" man="1"/>
    <brk id="1638" max="6" man="1"/>
    <brk id="1690" max="6" man="1"/>
    <brk id="1701" max="6" man="1"/>
    <brk id="1753" max="6" man="1"/>
    <brk id="1764" max="6" man="1"/>
    <brk id="1816" max="6" man="1"/>
    <brk id="1827" max="6" man="1"/>
    <brk id="1879" max="6" man="1"/>
    <brk id="1890" max="6" man="1"/>
    <brk id="1942" max="6" man="1"/>
    <brk id="195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具名範圍</vt:lpstr>
      </vt:variant>
      <vt:variant>
        <vt:i4>5</vt:i4>
      </vt:variant>
    </vt:vector>
  </HeadingPairs>
  <TitlesOfParts>
    <vt:vector size="10" baseType="lpstr">
      <vt:lpstr>進度表</vt:lpstr>
      <vt:lpstr>日報表(7)</vt:lpstr>
      <vt:lpstr>日報表(8)</vt:lpstr>
      <vt:lpstr>日報表(9)</vt:lpstr>
      <vt:lpstr>日報表(10)</vt:lpstr>
      <vt:lpstr>'日報表(10)'!Print_Area</vt:lpstr>
      <vt:lpstr>'日報表(7)'!Print_Area</vt:lpstr>
      <vt:lpstr>'日報表(8)'!Print_Area</vt:lpstr>
      <vt:lpstr>'日報表(9)'!Print_Area</vt:lpstr>
      <vt:lpstr>進度表!Print_Area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ADMIN</cp:lastModifiedBy>
  <cp:lastPrinted>2026-07-25T13:18:32Z</cp:lastPrinted>
  <dcterms:created xsi:type="dcterms:W3CDTF">2015-06-05T18:19:34Z</dcterms:created>
  <dcterms:modified xsi:type="dcterms:W3CDTF">2026-07-26T15:43:15Z</dcterms:modified>
</cp:coreProperties>
</file>