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和穩土木包工業\永定國小-無障礙\"/>
    </mc:Choice>
  </mc:AlternateContent>
  <xr:revisionPtr revIDLastSave="0" documentId="13_ncr:1_{008C336B-C54C-4DF7-AFBE-66FB27D21E1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封面" sheetId="7" r:id="rId1"/>
    <sheet name="日報" sheetId="8" r:id="rId2"/>
    <sheet name="施工項目" sheetId="6" r:id="rId3"/>
  </sheets>
  <externalReferences>
    <externalReference r:id="rId4"/>
  </externalReferences>
  <definedNames>
    <definedName name="_xlnm._FilterDatabase" localSheetId="1" hidden="1">日報!$A$1:$M$10</definedName>
    <definedName name="_xlnm.Print_Area" localSheetId="1">日報!$A$1:$M$987</definedName>
    <definedName name="_xlnm.Print_Area" localSheetId="2">施工項目!$A$1:$BH$588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48" i="8" l="1"/>
  <c r="BI583" i="6"/>
  <c r="AW581" i="6"/>
  <c r="BC581" i="6" s="1"/>
  <c r="AQ581" i="6"/>
  <c r="AE581" i="6"/>
  <c r="Y581" i="6"/>
  <c r="BI581" i="6" s="1"/>
  <c r="U581" i="6"/>
  <c r="E581" i="6"/>
  <c r="A581" i="6"/>
  <c r="AW580" i="6"/>
  <c r="BC580" i="6" s="1"/>
  <c r="AE580" i="6"/>
  <c r="AQ580" i="6" s="1"/>
  <c r="Y580" i="6"/>
  <c r="BI580" i="6" s="1"/>
  <c r="U580" i="6"/>
  <c r="E580" i="6"/>
  <c r="A580" i="6"/>
  <c r="BI579" i="6"/>
  <c r="AW579" i="6"/>
  <c r="BC579" i="6" s="1"/>
  <c r="AE579" i="6"/>
  <c r="AQ579" i="6" s="1"/>
  <c r="Y579" i="6"/>
  <c r="U579" i="6"/>
  <c r="E579" i="6"/>
  <c r="A579" i="6"/>
  <c r="AW578" i="6"/>
  <c r="BC578" i="6" s="1"/>
  <c r="AE578" i="6"/>
  <c r="AQ578" i="6" s="1"/>
  <c r="Y578" i="6"/>
  <c r="BI578" i="6" s="1"/>
  <c r="U578" i="6"/>
  <c r="E578" i="6"/>
  <c r="A578" i="6"/>
  <c r="AW577" i="6"/>
  <c r="BC577" i="6" s="1"/>
  <c r="AE577" i="6"/>
  <c r="AQ577" i="6" s="1"/>
  <c r="Y577" i="6"/>
  <c r="BI577" i="6" s="1"/>
  <c r="U577" i="6"/>
  <c r="E577" i="6"/>
  <c r="A577" i="6"/>
  <c r="AW576" i="6"/>
  <c r="BC576" i="6" s="1"/>
  <c r="AE576" i="6"/>
  <c r="AQ576" i="6" s="1"/>
  <c r="Y576" i="6"/>
  <c r="BI576" i="6" s="1"/>
  <c r="U576" i="6"/>
  <c r="E576" i="6"/>
  <c r="A576" i="6"/>
  <c r="AW575" i="6"/>
  <c r="BC575" i="6" s="1"/>
  <c r="AE575" i="6"/>
  <c r="AQ575" i="6" s="1"/>
  <c r="Y575" i="6"/>
  <c r="BI575" i="6" s="1"/>
  <c r="U575" i="6"/>
  <c r="E575" i="6"/>
  <c r="A575" i="6"/>
  <c r="BI574" i="6"/>
  <c r="AW574" i="6"/>
  <c r="BC574" i="6" s="1"/>
  <c r="AQ574" i="6"/>
  <c r="AE574" i="6"/>
  <c r="Y574" i="6"/>
  <c r="U574" i="6"/>
  <c r="E574" i="6"/>
  <c r="A574" i="6"/>
  <c r="AW573" i="6"/>
  <c r="AE573" i="6"/>
  <c r="Y573" i="6"/>
  <c r="BI573" i="6" s="1"/>
  <c r="U573" i="6"/>
  <c r="E573" i="6"/>
  <c r="A573" i="6"/>
  <c r="AW572" i="6"/>
  <c r="BC572" i="6" s="1"/>
  <c r="AE572" i="6"/>
  <c r="AQ572" i="6" s="1"/>
  <c r="Y572" i="6"/>
  <c r="BI572" i="6" s="1"/>
  <c r="U572" i="6"/>
  <c r="E572" i="6"/>
  <c r="A572" i="6"/>
  <c r="BI571" i="6"/>
  <c r="BC571" i="6"/>
  <c r="AW571" i="6"/>
  <c r="AE571" i="6"/>
  <c r="AQ571" i="6" s="1"/>
  <c r="Y571" i="6"/>
  <c r="U571" i="6"/>
  <c r="E571" i="6"/>
  <c r="A571" i="6"/>
  <c r="AW570" i="6"/>
  <c r="BC570" i="6" s="1"/>
  <c r="AE570" i="6"/>
  <c r="AQ570" i="6" s="1"/>
  <c r="Y570" i="6"/>
  <c r="BI570" i="6" s="1"/>
  <c r="U570" i="6"/>
  <c r="E570" i="6"/>
  <c r="A570" i="6"/>
  <c r="AW569" i="6"/>
  <c r="BC569" i="6" s="1"/>
  <c r="AE569" i="6"/>
  <c r="AQ569" i="6" s="1"/>
  <c r="Y569" i="6"/>
  <c r="BI569" i="6" s="1"/>
  <c r="U569" i="6"/>
  <c r="E569" i="6"/>
  <c r="A569" i="6"/>
  <c r="AW568" i="6"/>
  <c r="BC568" i="6" s="1"/>
  <c r="AE568" i="6"/>
  <c r="AQ568" i="6" s="1"/>
  <c r="Y568" i="6"/>
  <c r="BI568" i="6" s="1"/>
  <c r="U568" i="6"/>
  <c r="E568" i="6"/>
  <c r="A568" i="6"/>
  <c r="AW567" i="6"/>
  <c r="BC567" i="6" s="1"/>
  <c r="AE567" i="6"/>
  <c r="AQ567" i="6" s="1"/>
  <c r="Y567" i="6"/>
  <c r="BI567" i="6" s="1"/>
  <c r="U567" i="6"/>
  <c r="E567" i="6"/>
  <c r="A567" i="6"/>
  <c r="AW566" i="6"/>
  <c r="BC566" i="6" s="1"/>
  <c r="AE566" i="6"/>
  <c r="BI566" i="6" s="1"/>
  <c r="Y566" i="6"/>
  <c r="U566" i="6"/>
  <c r="E566" i="6"/>
  <c r="BI565" i="6"/>
  <c r="E565" i="6"/>
  <c r="A565" i="6"/>
  <c r="AW563" i="6"/>
  <c r="I946" i="8"/>
  <c r="G946" i="8"/>
  <c r="H943" i="8"/>
  <c r="K943" i="8" s="1"/>
  <c r="B942" i="8"/>
  <c r="K901" i="8"/>
  <c r="BI555" i="6"/>
  <c r="AW553" i="6"/>
  <c r="BC553" i="6" s="1"/>
  <c r="AE553" i="6"/>
  <c r="AQ553" i="6" s="1"/>
  <c r="Y553" i="6"/>
  <c r="BI553" i="6" s="1"/>
  <c r="U553" i="6"/>
  <c r="E553" i="6"/>
  <c r="A553" i="6"/>
  <c r="AW552" i="6"/>
  <c r="BC552" i="6" s="1"/>
  <c r="AE552" i="6"/>
  <c r="AQ552" i="6" s="1"/>
  <c r="Y552" i="6"/>
  <c r="BI552" i="6" s="1"/>
  <c r="U552" i="6"/>
  <c r="E552" i="6"/>
  <c r="A552" i="6"/>
  <c r="AW551" i="6"/>
  <c r="BC551" i="6" s="1"/>
  <c r="AE551" i="6"/>
  <c r="AQ551" i="6" s="1"/>
  <c r="Y551" i="6"/>
  <c r="BI551" i="6" s="1"/>
  <c r="U551" i="6"/>
  <c r="E551" i="6"/>
  <c r="A551" i="6"/>
  <c r="AW550" i="6"/>
  <c r="BC550" i="6" s="1"/>
  <c r="AE550" i="6"/>
  <c r="AQ550" i="6" s="1"/>
  <c r="Y550" i="6"/>
  <c r="BI550" i="6" s="1"/>
  <c r="U550" i="6"/>
  <c r="E550" i="6"/>
  <c r="A550" i="6"/>
  <c r="AW549" i="6"/>
  <c r="BC549" i="6" s="1"/>
  <c r="AE549" i="6"/>
  <c r="AQ549" i="6" s="1"/>
  <c r="Y549" i="6"/>
  <c r="BI549" i="6" s="1"/>
  <c r="U549" i="6"/>
  <c r="E549" i="6"/>
  <c r="A549" i="6"/>
  <c r="AW548" i="6"/>
  <c r="BC548" i="6" s="1"/>
  <c r="AE548" i="6"/>
  <c r="AQ548" i="6" s="1"/>
  <c r="Y548" i="6"/>
  <c r="BI548" i="6" s="1"/>
  <c r="U548" i="6"/>
  <c r="E548" i="6"/>
  <c r="A548" i="6"/>
  <c r="AW547" i="6"/>
  <c r="BC547" i="6" s="1"/>
  <c r="AE547" i="6"/>
  <c r="AQ547" i="6" s="1"/>
  <c r="Y547" i="6"/>
  <c r="BI547" i="6" s="1"/>
  <c r="U547" i="6"/>
  <c r="E547" i="6"/>
  <c r="A547" i="6"/>
  <c r="BI546" i="6"/>
  <c r="AW546" i="6"/>
  <c r="BC546" i="6" s="1"/>
  <c r="AQ546" i="6"/>
  <c r="AE546" i="6"/>
  <c r="Y546" i="6"/>
  <c r="U546" i="6"/>
  <c r="E546" i="6"/>
  <c r="A546" i="6"/>
  <c r="AW545" i="6"/>
  <c r="AE545" i="6"/>
  <c r="Y545" i="6"/>
  <c r="BI545" i="6" s="1"/>
  <c r="U545" i="6"/>
  <c r="E545" i="6"/>
  <c r="A545" i="6"/>
  <c r="AW544" i="6"/>
  <c r="BC544" i="6" s="1"/>
  <c r="AE544" i="6"/>
  <c r="AQ544" i="6" s="1"/>
  <c r="Y544" i="6"/>
  <c r="BI544" i="6" s="1"/>
  <c r="U544" i="6"/>
  <c r="E544" i="6"/>
  <c r="A544" i="6"/>
  <c r="BI543" i="6"/>
  <c r="BC543" i="6"/>
  <c r="AW543" i="6"/>
  <c r="AE543" i="6"/>
  <c r="AQ543" i="6" s="1"/>
  <c r="Y543" i="6"/>
  <c r="U543" i="6"/>
  <c r="E543" i="6"/>
  <c r="A543" i="6"/>
  <c r="AW542" i="6"/>
  <c r="BC542" i="6" s="1"/>
  <c r="AE542" i="6"/>
  <c r="AQ542" i="6" s="1"/>
  <c r="Y542" i="6"/>
  <c r="BI542" i="6" s="1"/>
  <c r="U542" i="6"/>
  <c r="E542" i="6"/>
  <c r="A542" i="6"/>
  <c r="AW541" i="6"/>
  <c r="BC541" i="6" s="1"/>
  <c r="AE541" i="6"/>
  <c r="AQ541" i="6" s="1"/>
  <c r="Y541" i="6"/>
  <c r="BI541" i="6" s="1"/>
  <c r="U541" i="6"/>
  <c r="E541" i="6"/>
  <c r="A541" i="6"/>
  <c r="AW540" i="6"/>
  <c r="BC540" i="6" s="1"/>
  <c r="AE540" i="6"/>
  <c r="AQ540" i="6" s="1"/>
  <c r="Y540" i="6"/>
  <c r="BI540" i="6" s="1"/>
  <c r="U540" i="6"/>
  <c r="E540" i="6"/>
  <c r="A540" i="6"/>
  <c r="AW539" i="6"/>
  <c r="BC539" i="6" s="1"/>
  <c r="AE539" i="6"/>
  <c r="AQ539" i="6" s="1"/>
  <c r="Y539" i="6"/>
  <c r="BI539" i="6" s="1"/>
  <c r="U539" i="6"/>
  <c r="E539" i="6"/>
  <c r="A539" i="6"/>
  <c r="AW538" i="6"/>
  <c r="BC538" i="6" s="1"/>
  <c r="AE538" i="6"/>
  <c r="BI538" i="6" s="1"/>
  <c r="Y538" i="6"/>
  <c r="U538" i="6"/>
  <c r="E538" i="6"/>
  <c r="BI537" i="6"/>
  <c r="E537" i="6"/>
  <c r="A537" i="6"/>
  <c r="AW535" i="6"/>
  <c r="I899" i="8"/>
  <c r="G899" i="8"/>
  <c r="H896" i="8"/>
  <c r="K896" i="8" s="1"/>
  <c r="B895" i="8"/>
  <c r="K854" i="8"/>
  <c r="BI527" i="6"/>
  <c r="AW525" i="6"/>
  <c r="BC525" i="6" s="1"/>
  <c r="AE525" i="6"/>
  <c r="AQ525" i="6" s="1"/>
  <c r="Y525" i="6"/>
  <c r="BI525" i="6" s="1"/>
  <c r="U525" i="6"/>
  <c r="E525" i="6"/>
  <c r="A525" i="6"/>
  <c r="AW524" i="6"/>
  <c r="BC524" i="6" s="1"/>
  <c r="AE524" i="6"/>
  <c r="AQ524" i="6" s="1"/>
  <c r="Y524" i="6"/>
  <c r="BI524" i="6" s="1"/>
  <c r="U524" i="6"/>
  <c r="E524" i="6"/>
  <c r="A524" i="6"/>
  <c r="AW523" i="6"/>
  <c r="BC523" i="6" s="1"/>
  <c r="AE523" i="6"/>
  <c r="AQ523" i="6" s="1"/>
  <c r="Y523" i="6"/>
  <c r="BI523" i="6" s="1"/>
  <c r="U523" i="6"/>
  <c r="E523" i="6"/>
  <c r="A523" i="6"/>
  <c r="AW522" i="6"/>
  <c r="BC522" i="6" s="1"/>
  <c r="AE522" i="6"/>
  <c r="AQ522" i="6" s="1"/>
  <c r="Y522" i="6"/>
  <c r="BI522" i="6" s="1"/>
  <c r="U522" i="6"/>
  <c r="E522" i="6"/>
  <c r="A522" i="6"/>
  <c r="AW521" i="6"/>
  <c r="BC521" i="6" s="1"/>
  <c r="AE521" i="6"/>
  <c r="AQ521" i="6" s="1"/>
  <c r="Y521" i="6"/>
  <c r="BI521" i="6" s="1"/>
  <c r="U521" i="6"/>
  <c r="E521" i="6"/>
  <c r="A521" i="6"/>
  <c r="AW520" i="6"/>
  <c r="AE520" i="6"/>
  <c r="BC520" i="6" s="1"/>
  <c r="Y520" i="6"/>
  <c r="BI520" i="6" s="1"/>
  <c r="U520" i="6"/>
  <c r="E520" i="6"/>
  <c r="A520" i="6"/>
  <c r="AW519" i="6"/>
  <c r="BC519" i="6" s="1"/>
  <c r="AE519" i="6"/>
  <c r="AQ519" i="6" s="1"/>
  <c r="Y519" i="6"/>
  <c r="BI519" i="6" s="1"/>
  <c r="U519" i="6"/>
  <c r="E519" i="6"/>
  <c r="A519" i="6"/>
  <c r="BI518" i="6"/>
  <c r="AW518" i="6"/>
  <c r="BC518" i="6" s="1"/>
  <c r="AE518" i="6"/>
  <c r="AQ518" i="6" s="1"/>
  <c r="Y518" i="6"/>
  <c r="U518" i="6"/>
  <c r="E518" i="6"/>
  <c r="A518" i="6"/>
  <c r="AW517" i="6"/>
  <c r="AE517" i="6"/>
  <c r="Y517" i="6"/>
  <c r="BI517" i="6" s="1"/>
  <c r="U517" i="6"/>
  <c r="E517" i="6"/>
  <c r="A517" i="6"/>
  <c r="AW516" i="6"/>
  <c r="BC516" i="6" s="1"/>
  <c r="AE516" i="6"/>
  <c r="AQ516" i="6" s="1"/>
  <c r="Y516" i="6"/>
  <c r="BI516" i="6" s="1"/>
  <c r="U516" i="6"/>
  <c r="E516" i="6"/>
  <c r="A516" i="6"/>
  <c r="BI515" i="6"/>
  <c r="BC515" i="6"/>
  <c r="AW515" i="6"/>
  <c r="AE515" i="6"/>
  <c r="AQ515" i="6" s="1"/>
  <c r="Y515" i="6"/>
  <c r="U515" i="6"/>
  <c r="E515" i="6"/>
  <c r="A515" i="6"/>
  <c r="AW514" i="6"/>
  <c r="BC514" i="6" s="1"/>
  <c r="AQ514" i="6"/>
  <c r="AE514" i="6"/>
  <c r="Y514" i="6"/>
  <c r="BI514" i="6" s="1"/>
  <c r="U514" i="6"/>
  <c r="E514" i="6"/>
  <c r="A514" i="6"/>
  <c r="AW513" i="6"/>
  <c r="BC513" i="6" s="1"/>
  <c r="AE513" i="6"/>
  <c r="AQ513" i="6" s="1"/>
  <c r="Y513" i="6"/>
  <c r="BI513" i="6" s="1"/>
  <c r="U513" i="6"/>
  <c r="E513" i="6"/>
  <c r="A513" i="6"/>
  <c r="AW512" i="6"/>
  <c r="BC512" i="6" s="1"/>
  <c r="AQ512" i="6"/>
  <c r="AE512" i="6"/>
  <c r="Y512" i="6"/>
  <c r="BI512" i="6" s="1"/>
  <c r="U512" i="6"/>
  <c r="E512" i="6"/>
  <c r="A512" i="6"/>
  <c r="AW511" i="6"/>
  <c r="BC511" i="6" s="1"/>
  <c r="AE511" i="6"/>
  <c r="AQ511" i="6" s="1"/>
  <c r="Y511" i="6"/>
  <c r="BI511" i="6" s="1"/>
  <c r="U511" i="6"/>
  <c r="E511" i="6"/>
  <c r="A511" i="6"/>
  <c r="AW510" i="6"/>
  <c r="BC510" i="6" s="1"/>
  <c r="AE510" i="6"/>
  <c r="BI510" i="6" s="1"/>
  <c r="Y510" i="6"/>
  <c r="U510" i="6"/>
  <c r="E510" i="6"/>
  <c r="BI509" i="6"/>
  <c r="E509" i="6"/>
  <c r="A509" i="6"/>
  <c r="AW507" i="6"/>
  <c r="I852" i="8"/>
  <c r="G852" i="8"/>
  <c r="H849" i="8"/>
  <c r="K849" i="8" s="1"/>
  <c r="B848" i="8"/>
  <c r="K807" i="8"/>
  <c r="BI499" i="6"/>
  <c r="BI497" i="6"/>
  <c r="AW497" i="6"/>
  <c r="BC497" i="6" s="1"/>
  <c r="AQ497" i="6"/>
  <c r="AE497" i="6"/>
  <c r="Y497" i="6"/>
  <c r="U497" i="6"/>
  <c r="E497" i="6"/>
  <c r="A497" i="6"/>
  <c r="AW496" i="6"/>
  <c r="BC496" i="6" s="1"/>
  <c r="AE496" i="6"/>
  <c r="AQ496" i="6" s="1"/>
  <c r="Y496" i="6"/>
  <c r="BI496" i="6" s="1"/>
  <c r="U496" i="6"/>
  <c r="E496" i="6"/>
  <c r="A496" i="6"/>
  <c r="AW495" i="6"/>
  <c r="BC495" i="6" s="1"/>
  <c r="AE495" i="6"/>
  <c r="AQ495" i="6" s="1"/>
  <c r="Y495" i="6"/>
  <c r="BI495" i="6" s="1"/>
  <c r="U495" i="6"/>
  <c r="E495" i="6"/>
  <c r="A495" i="6"/>
  <c r="AW494" i="6"/>
  <c r="BC494" i="6" s="1"/>
  <c r="AE494" i="6"/>
  <c r="AQ494" i="6" s="1"/>
  <c r="Y494" i="6"/>
  <c r="BI494" i="6" s="1"/>
  <c r="U494" i="6"/>
  <c r="E494" i="6"/>
  <c r="A494" i="6"/>
  <c r="AW493" i="6"/>
  <c r="BC493" i="6" s="1"/>
  <c r="AE493" i="6"/>
  <c r="AQ493" i="6" s="1"/>
  <c r="Y493" i="6"/>
  <c r="BI493" i="6" s="1"/>
  <c r="U493" i="6"/>
  <c r="E493" i="6"/>
  <c r="A493" i="6"/>
  <c r="AW492" i="6"/>
  <c r="BC492" i="6" s="1"/>
  <c r="AE492" i="6"/>
  <c r="AQ492" i="6" s="1"/>
  <c r="Y492" i="6"/>
  <c r="BI492" i="6" s="1"/>
  <c r="U492" i="6"/>
  <c r="E492" i="6"/>
  <c r="A492" i="6"/>
  <c r="AW491" i="6"/>
  <c r="BC491" i="6" s="1"/>
  <c r="AE491" i="6"/>
  <c r="AQ491" i="6" s="1"/>
  <c r="Y491" i="6"/>
  <c r="BI491" i="6" s="1"/>
  <c r="U491" i="6"/>
  <c r="E491" i="6"/>
  <c r="A491" i="6"/>
  <c r="BI490" i="6"/>
  <c r="AW490" i="6"/>
  <c r="BC490" i="6" s="1"/>
  <c r="AE490" i="6"/>
  <c r="AQ490" i="6" s="1"/>
  <c r="Y490" i="6"/>
  <c r="U490" i="6"/>
  <c r="E490" i="6"/>
  <c r="A490" i="6"/>
  <c r="AW489" i="6"/>
  <c r="AE489" i="6"/>
  <c r="Y489" i="6"/>
  <c r="BI489" i="6" s="1"/>
  <c r="U489" i="6"/>
  <c r="E489" i="6"/>
  <c r="A489" i="6"/>
  <c r="AW488" i="6"/>
  <c r="BC488" i="6" s="1"/>
  <c r="AE488" i="6"/>
  <c r="AQ488" i="6" s="1"/>
  <c r="Y488" i="6"/>
  <c r="BI488" i="6" s="1"/>
  <c r="U488" i="6"/>
  <c r="E488" i="6"/>
  <c r="A488" i="6"/>
  <c r="BI487" i="6"/>
  <c r="BC487" i="6"/>
  <c r="AW487" i="6"/>
  <c r="AQ487" i="6"/>
  <c r="AE487" i="6"/>
  <c r="Y487" i="6"/>
  <c r="U487" i="6"/>
  <c r="E487" i="6"/>
  <c r="A487" i="6"/>
  <c r="AW486" i="6"/>
  <c r="BC486" i="6" s="1"/>
  <c r="AE486" i="6"/>
  <c r="AQ486" i="6" s="1"/>
  <c r="Y486" i="6"/>
  <c r="BI486" i="6" s="1"/>
  <c r="U486" i="6"/>
  <c r="E486" i="6"/>
  <c r="A486" i="6"/>
  <c r="AW485" i="6"/>
  <c r="BC485" i="6" s="1"/>
  <c r="AE485" i="6"/>
  <c r="AQ485" i="6" s="1"/>
  <c r="Y485" i="6"/>
  <c r="BI485" i="6" s="1"/>
  <c r="U485" i="6"/>
  <c r="E485" i="6"/>
  <c r="A485" i="6"/>
  <c r="AW484" i="6"/>
  <c r="AE484" i="6"/>
  <c r="AQ484" i="6" s="1"/>
  <c r="Y484" i="6"/>
  <c r="BI484" i="6" s="1"/>
  <c r="U484" i="6"/>
  <c r="E484" i="6"/>
  <c r="A484" i="6"/>
  <c r="AW483" i="6"/>
  <c r="BC483" i="6" s="1"/>
  <c r="AE483" i="6"/>
  <c r="AQ483" i="6" s="1"/>
  <c r="Y483" i="6"/>
  <c r="BI483" i="6" s="1"/>
  <c r="U483" i="6"/>
  <c r="E483" i="6"/>
  <c r="A483" i="6"/>
  <c r="AW482" i="6"/>
  <c r="BC482" i="6" s="1"/>
  <c r="AE482" i="6"/>
  <c r="BI482" i="6" s="1"/>
  <c r="Y482" i="6"/>
  <c r="U482" i="6"/>
  <c r="E482" i="6"/>
  <c r="BI481" i="6"/>
  <c r="E481" i="6"/>
  <c r="A481" i="6"/>
  <c r="AW479" i="6"/>
  <c r="I805" i="8"/>
  <c r="G805" i="8"/>
  <c r="H802" i="8"/>
  <c r="K802" i="8" s="1"/>
  <c r="B801" i="8"/>
  <c r="K760" i="8"/>
  <c r="BI471" i="6"/>
  <c r="AW469" i="6"/>
  <c r="BC469" i="6" s="1"/>
  <c r="AE469" i="6"/>
  <c r="AQ469" i="6" s="1"/>
  <c r="Y469" i="6"/>
  <c r="BI469" i="6" s="1"/>
  <c r="U469" i="6"/>
  <c r="E469" i="6"/>
  <c r="A469" i="6"/>
  <c r="AW468" i="6"/>
  <c r="BC468" i="6" s="1"/>
  <c r="AE468" i="6"/>
  <c r="AQ468" i="6" s="1"/>
  <c r="Y468" i="6"/>
  <c r="BI468" i="6" s="1"/>
  <c r="U468" i="6"/>
  <c r="E468" i="6"/>
  <c r="A468" i="6"/>
  <c r="AW467" i="6"/>
  <c r="BC467" i="6" s="1"/>
  <c r="AE467" i="6"/>
  <c r="AQ467" i="6" s="1"/>
  <c r="Y467" i="6"/>
  <c r="BI467" i="6" s="1"/>
  <c r="U467" i="6"/>
  <c r="E467" i="6"/>
  <c r="A467" i="6"/>
  <c r="AW466" i="6"/>
  <c r="BC466" i="6" s="1"/>
  <c r="AE466" i="6"/>
  <c r="AQ466" i="6" s="1"/>
  <c r="Y466" i="6"/>
  <c r="BI466" i="6" s="1"/>
  <c r="U466" i="6"/>
  <c r="E466" i="6"/>
  <c r="A466" i="6"/>
  <c r="AW465" i="6"/>
  <c r="BC465" i="6" s="1"/>
  <c r="AE465" i="6"/>
  <c r="AQ465" i="6" s="1"/>
  <c r="Y465" i="6"/>
  <c r="BI465" i="6" s="1"/>
  <c r="U465" i="6"/>
  <c r="E465" i="6"/>
  <c r="A465" i="6"/>
  <c r="AW464" i="6"/>
  <c r="BC464" i="6" s="1"/>
  <c r="AE464" i="6"/>
  <c r="AQ464" i="6" s="1"/>
  <c r="Y464" i="6"/>
  <c r="BI464" i="6" s="1"/>
  <c r="U464" i="6"/>
  <c r="E464" i="6"/>
  <c r="A464" i="6"/>
  <c r="AW463" i="6"/>
  <c r="BC463" i="6" s="1"/>
  <c r="AE463" i="6"/>
  <c r="AQ463" i="6" s="1"/>
  <c r="Y463" i="6"/>
  <c r="BI463" i="6" s="1"/>
  <c r="U463" i="6"/>
  <c r="E463" i="6"/>
  <c r="A463" i="6"/>
  <c r="BI462" i="6"/>
  <c r="AW462" i="6"/>
  <c r="BC462" i="6" s="1"/>
  <c r="AE462" i="6"/>
  <c r="AQ462" i="6" s="1"/>
  <c r="Y462" i="6"/>
  <c r="U462" i="6"/>
  <c r="E462" i="6"/>
  <c r="A462" i="6"/>
  <c r="AW461" i="6"/>
  <c r="AE461" i="6"/>
  <c r="Y461" i="6"/>
  <c r="BI461" i="6" s="1"/>
  <c r="U461" i="6"/>
  <c r="E461" i="6"/>
  <c r="A461" i="6"/>
  <c r="AW460" i="6"/>
  <c r="BC460" i="6" s="1"/>
  <c r="AE460" i="6"/>
  <c r="AQ460" i="6" s="1"/>
  <c r="Y460" i="6"/>
  <c r="BI460" i="6" s="1"/>
  <c r="U460" i="6"/>
  <c r="E460" i="6"/>
  <c r="A460" i="6"/>
  <c r="BI459" i="6"/>
  <c r="BC459" i="6"/>
  <c r="AW459" i="6"/>
  <c r="AE459" i="6"/>
  <c r="AQ459" i="6" s="1"/>
  <c r="Y459" i="6"/>
  <c r="U459" i="6"/>
  <c r="E459" i="6"/>
  <c r="A459" i="6"/>
  <c r="AW458" i="6"/>
  <c r="BC458" i="6" s="1"/>
  <c r="AE458" i="6"/>
  <c r="AQ458" i="6" s="1"/>
  <c r="Y458" i="6"/>
  <c r="BI458" i="6" s="1"/>
  <c r="U458" i="6"/>
  <c r="E458" i="6"/>
  <c r="A458" i="6"/>
  <c r="AW457" i="6"/>
  <c r="BC457" i="6" s="1"/>
  <c r="AE457" i="6"/>
  <c r="AQ457" i="6" s="1"/>
  <c r="Y457" i="6"/>
  <c r="BI457" i="6" s="1"/>
  <c r="U457" i="6"/>
  <c r="E457" i="6"/>
  <c r="A457" i="6"/>
  <c r="AW456" i="6"/>
  <c r="BC456" i="6" s="1"/>
  <c r="AE456" i="6"/>
  <c r="AQ456" i="6" s="1"/>
  <c r="Y456" i="6"/>
  <c r="BI456" i="6" s="1"/>
  <c r="U456" i="6"/>
  <c r="E456" i="6"/>
  <c r="A456" i="6"/>
  <c r="AW455" i="6"/>
  <c r="BC455" i="6" s="1"/>
  <c r="AE455" i="6"/>
  <c r="AQ455" i="6" s="1"/>
  <c r="Y455" i="6"/>
  <c r="BI455" i="6" s="1"/>
  <c r="U455" i="6"/>
  <c r="E455" i="6"/>
  <c r="A455" i="6"/>
  <c r="AW454" i="6"/>
  <c r="AE454" i="6"/>
  <c r="BI454" i="6" s="1"/>
  <c r="Y454" i="6"/>
  <c r="U454" i="6"/>
  <c r="E454" i="6"/>
  <c r="BI453" i="6"/>
  <c r="E453" i="6"/>
  <c r="A453" i="6"/>
  <c r="AW451" i="6"/>
  <c r="I758" i="8"/>
  <c r="G758" i="8"/>
  <c r="H755" i="8"/>
  <c r="K755" i="8" s="1"/>
  <c r="B754" i="8"/>
  <c r="K713" i="8"/>
  <c r="BI443" i="6"/>
  <c r="AW441" i="6"/>
  <c r="BC441" i="6" s="1"/>
  <c r="AQ441" i="6"/>
  <c r="AE441" i="6"/>
  <c r="Y441" i="6"/>
  <c r="BI441" i="6" s="1"/>
  <c r="U441" i="6"/>
  <c r="E441" i="6"/>
  <c r="A441" i="6"/>
  <c r="AW440" i="6"/>
  <c r="BC440" i="6" s="1"/>
  <c r="AE440" i="6"/>
  <c r="AQ440" i="6" s="1"/>
  <c r="Y440" i="6"/>
  <c r="BI440" i="6" s="1"/>
  <c r="U440" i="6"/>
  <c r="E440" i="6"/>
  <c r="A440" i="6"/>
  <c r="AW439" i="6"/>
  <c r="BC439" i="6" s="1"/>
  <c r="AQ439" i="6"/>
  <c r="AE439" i="6"/>
  <c r="Y439" i="6"/>
  <c r="BI439" i="6" s="1"/>
  <c r="U439" i="6"/>
  <c r="E439" i="6"/>
  <c r="A439" i="6"/>
  <c r="AW438" i="6"/>
  <c r="BC438" i="6" s="1"/>
  <c r="AE438" i="6"/>
  <c r="AQ438" i="6" s="1"/>
  <c r="Y438" i="6"/>
  <c r="BI438" i="6" s="1"/>
  <c r="U438" i="6"/>
  <c r="E438" i="6"/>
  <c r="A438" i="6"/>
  <c r="AW437" i="6"/>
  <c r="BC437" i="6" s="1"/>
  <c r="AE437" i="6"/>
  <c r="AQ437" i="6" s="1"/>
  <c r="Y437" i="6"/>
  <c r="BI437" i="6" s="1"/>
  <c r="U437" i="6"/>
  <c r="E437" i="6"/>
  <c r="A437" i="6"/>
  <c r="AW436" i="6"/>
  <c r="BC436" i="6" s="1"/>
  <c r="AE436" i="6"/>
  <c r="AQ436" i="6" s="1"/>
  <c r="Y436" i="6"/>
  <c r="BI436" i="6" s="1"/>
  <c r="U436" i="6"/>
  <c r="E436" i="6"/>
  <c r="A436" i="6"/>
  <c r="AW435" i="6"/>
  <c r="BC435" i="6" s="1"/>
  <c r="AE435" i="6"/>
  <c r="AQ435" i="6" s="1"/>
  <c r="Y435" i="6"/>
  <c r="BI435" i="6" s="1"/>
  <c r="U435" i="6"/>
  <c r="E435" i="6"/>
  <c r="A435" i="6"/>
  <c r="BI434" i="6"/>
  <c r="AW434" i="6"/>
  <c r="BC434" i="6" s="1"/>
  <c r="AE434" i="6"/>
  <c r="AQ434" i="6" s="1"/>
  <c r="Y434" i="6"/>
  <c r="U434" i="6"/>
  <c r="E434" i="6"/>
  <c r="A434" i="6"/>
  <c r="AW433" i="6"/>
  <c r="AE433" i="6"/>
  <c r="Y433" i="6"/>
  <c r="BI433" i="6" s="1"/>
  <c r="U433" i="6"/>
  <c r="E433" i="6"/>
  <c r="A433" i="6"/>
  <c r="AW432" i="6"/>
  <c r="BC432" i="6" s="1"/>
  <c r="AE432" i="6"/>
  <c r="AQ432" i="6" s="1"/>
  <c r="Y432" i="6"/>
  <c r="BI432" i="6" s="1"/>
  <c r="U432" i="6"/>
  <c r="E432" i="6"/>
  <c r="A432" i="6"/>
  <c r="BI431" i="6"/>
  <c r="BC431" i="6"/>
  <c r="AW431" i="6"/>
  <c r="AE431" i="6"/>
  <c r="AQ431" i="6" s="1"/>
  <c r="Y431" i="6"/>
  <c r="U431" i="6"/>
  <c r="E431" i="6"/>
  <c r="A431" i="6"/>
  <c r="AW430" i="6"/>
  <c r="BC430" i="6" s="1"/>
  <c r="AE430" i="6"/>
  <c r="AQ430" i="6" s="1"/>
  <c r="Y430" i="6"/>
  <c r="BI430" i="6" s="1"/>
  <c r="U430" i="6"/>
  <c r="E430" i="6"/>
  <c r="A430" i="6"/>
  <c r="AW429" i="6"/>
  <c r="BC429" i="6" s="1"/>
  <c r="AE429" i="6"/>
  <c r="AQ429" i="6" s="1"/>
  <c r="Y429" i="6"/>
  <c r="BI429" i="6" s="1"/>
  <c r="U429" i="6"/>
  <c r="E429" i="6"/>
  <c r="A429" i="6"/>
  <c r="AW428" i="6"/>
  <c r="BC428" i="6" s="1"/>
  <c r="AE428" i="6"/>
  <c r="AQ428" i="6" s="1"/>
  <c r="Y428" i="6"/>
  <c r="BI428" i="6" s="1"/>
  <c r="U428" i="6"/>
  <c r="E428" i="6"/>
  <c r="A428" i="6"/>
  <c r="AW427" i="6"/>
  <c r="BC427" i="6" s="1"/>
  <c r="AE427" i="6"/>
  <c r="AQ427" i="6" s="1"/>
  <c r="Y427" i="6"/>
  <c r="BI427" i="6" s="1"/>
  <c r="U427" i="6"/>
  <c r="E427" i="6"/>
  <c r="A427" i="6"/>
  <c r="AW426" i="6"/>
  <c r="BC426" i="6" s="1"/>
  <c r="AE426" i="6"/>
  <c r="BI426" i="6" s="1"/>
  <c r="Y426" i="6"/>
  <c r="U426" i="6"/>
  <c r="E426" i="6"/>
  <c r="BI425" i="6"/>
  <c r="E425" i="6"/>
  <c r="A425" i="6"/>
  <c r="AW423" i="6"/>
  <c r="I711" i="8"/>
  <c r="G711" i="8"/>
  <c r="H708" i="8"/>
  <c r="K708" i="8" s="1"/>
  <c r="B707" i="8"/>
  <c r="K666" i="8"/>
  <c r="BI415" i="6"/>
  <c r="AW413" i="6"/>
  <c r="BC413" i="6" s="1"/>
  <c r="AQ413" i="6"/>
  <c r="AE413" i="6"/>
  <c r="Y413" i="6"/>
  <c r="BI413" i="6" s="1"/>
  <c r="U413" i="6"/>
  <c r="E413" i="6"/>
  <c r="A413" i="6"/>
  <c r="AW412" i="6"/>
  <c r="BC412" i="6" s="1"/>
  <c r="AE412" i="6"/>
  <c r="AQ412" i="6" s="1"/>
  <c r="Y412" i="6"/>
  <c r="BI412" i="6" s="1"/>
  <c r="U412" i="6"/>
  <c r="E412" i="6"/>
  <c r="A412" i="6"/>
  <c r="BI411" i="6"/>
  <c r="BC411" i="6"/>
  <c r="AW411" i="6"/>
  <c r="AE411" i="6"/>
  <c r="AQ411" i="6" s="1"/>
  <c r="Y411" i="6"/>
  <c r="U411" i="6"/>
  <c r="E411" i="6"/>
  <c r="A411" i="6"/>
  <c r="AW410" i="6"/>
  <c r="BC410" i="6" s="1"/>
  <c r="AE410" i="6"/>
  <c r="AQ410" i="6" s="1"/>
  <c r="Y410" i="6"/>
  <c r="BI410" i="6" s="1"/>
  <c r="U410" i="6"/>
  <c r="E410" i="6"/>
  <c r="A410" i="6"/>
  <c r="AW409" i="6"/>
  <c r="BC409" i="6" s="1"/>
  <c r="AE409" i="6"/>
  <c r="AQ409" i="6" s="1"/>
  <c r="Y409" i="6"/>
  <c r="BI409" i="6" s="1"/>
  <c r="U409" i="6"/>
  <c r="E409" i="6"/>
  <c r="A409" i="6"/>
  <c r="AW408" i="6"/>
  <c r="BC408" i="6" s="1"/>
  <c r="AE408" i="6"/>
  <c r="AQ408" i="6" s="1"/>
  <c r="Y408" i="6"/>
  <c r="BI408" i="6" s="1"/>
  <c r="U408" i="6"/>
  <c r="E408" i="6"/>
  <c r="A408" i="6"/>
  <c r="AW407" i="6"/>
  <c r="BC407" i="6" s="1"/>
  <c r="AE407" i="6"/>
  <c r="AQ407" i="6" s="1"/>
  <c r="Y407" i="6"/>
  <c r="BI407" i="6" s="1"/>
  <c r="U407" i="6"/>
  <c r="E407" i="6"/>
  <c r="A407" i="6"/>
  <c r="BI406" i="6"/>
  <c r="AW406" i="6"/>
  <c r="BC406" i="6" s="1"/>
  <c r="AQ406" i="6"/>
  <c r="AE406" i="6"/>
  <c r="Y406" i="6"/>
  <c r="U406" i="6"/>
  <c r="E406" i="6"/>
  <c r="A406" i="6"/>
  <c r="AW405" i="6"/>
  <c r="AE405" i="6"/>
  <c r="Y405" i="6"/>
  <c r="BI405" i="6" s="1"/>
  <c r="U405" i="6"/>
  <c r="E405" i="6"/>
  <c r="A405" i="6"/>
  <c r="AW404" i="6"/>
  <c r="BC404" i="6" s="1"/>
  <c r="AE404" i="6"/>
  <c r="AQ404" i="6" s="1"/>
  <c r="Y404" i="6"/>
  <c r="BI404" i="6" s="1"/>
  <c r="U404" i="6"/>
  <c r="E404" i="6"/>
  <c r="A404" i="6"/>
  <c r="BI403" i="6"/>
  <c r="AW403" i="6"/>
  <c r="BC403" i="6" s="1"/>
  <c r="AQ403" i="6"/>
  <c r="AE403" i="6"/>
  <c r="Y403" i="6"/>
  <c r="U403" i="6"/>
  <c r="E403" i="6"/>
  <c r="A403" i="6"/>
  <c r="BC402" i="6"/>
  <c r="AW402" i="6"/>
  <c r="AE402" i="6"/>
  <c r="AQ402" i="6" s="1"/>
  <c r="Y402" i="6"/>
  <c r="BI402" i="6" s="1"/>
  <c r="U402" i="6"/>
  <c r="E402" i="6"/>
  <c r="A402" i="6"/>
  <c r="AW401" i="6"/>
  <c r="BC401" i="6" s="1"/>
  <c r="AE401" i="6"/>
  <c r="AQ401" i="6" s="1"/>
  <c r="Y401" i="6"/>
  <c r="BI401" i="6" s="1"/>
  <c r="U401" i="6"/>
  <c r="E401" i="6"/>
  <c r="A401" i="6"/>
  <c r="BI400" i="6"/>
  <c r="AW400" i="6"/>
  <c r="BC400" i="6" s="1"/>
  <c r="AE400" i="6"/>
  <c r="AQ400" i="6" s="1"/>
  <c r="Y400" i="6"/>
  <c r="U400" i="6"/>
  <c r="E400" i="6"/>
  <c r="A400" i="6"/>
  <c r="AW399" i="6"/>
  <c r="BC399" i="6" s="1"/>
  <c r="AE399" i="6"/>
  <c r="AQ399" i="6" s="1"/>
  <c r="Y399" i="6"/>
  <c r="BI399" i="6" s="1"/>
  <c r="U399" i="6"/>
  <c r="E399" i="6"/>
  <c r="A399" i="6"/>
  <c r="AW398" i="6"/>
  <c r="BC398" i="6" s="1"/>
  <c r="AE398" i="6"/>
  <c r="AQ398" i="6" s="1"/>
  <c r="Y398" i="6"/>
  <c r="BI398" i="6" s="1"/>
  <c r="U398" i="6"/>
  <c r="E398" i="6"/>
  <c r="BI397" i="6"/>
  <c r="E397" i="6"/>
  <c r="A397" i="6"/>
  <c r="AW395" i="6"/>
  <c r="I664" i="8"/>
  <c r="G664" i="8"/>
  <c r="H661" i="8"/>
  <c r="K661" i="8" s="1"/>
  <c r="B660" i="8"/>
  <c r="K619" i="8"/>
  <c r="BI387" i="6"/>
  <c r="AW385" i="6"/>
  <c r="BC385" i="6" s="1"/>
  <c r="AE385" i="6"/>
  <c r="AQ385" i="6" s="1"/>
  <c r="Y385" i="6"/>
  <c r="BI385" i="6" s="1"/>
  <c r="U385" i="6"/>
  <c r="E385" i="6"/>
  <c r="A385" i="6"/>
  <c r="AW384" i="6"/>
  <c r="BC384" i="6" s="1"/>
  <c r="AE384" i="6"/>
  <c r="AQ384" i="6" s="1"/>
  <c r="Y384" i="6"/>
  <c r="BI384" i="6" s="1"/>
  <c r="U384" i="6"/>
  <c r="E384" i="6"/>
  <c r="A384" i="6"/>
  <c r="BC383" i="6"/>
  <c r="AW383" i="6"/>
  <c r="AE383" i="6"/>
  <c r="AQ383" i="6" s="1"/>
  <c r="Y383" i="6"/>
  <c r="BI383" i="6" s="1"/>
  <c r="U383" i="6"/>
  <c r="E383" i="6"/>
  <c r="A383" i="6"/>
  <c r="AW382" i="6"/>
  <c r="BC382" i="6" s="1"/>
  <c r="AE382" i="6"/>
  <c r="AQ382" i="6" s="1"/>
  <c r="Y382" i="6"/>
  <c r="BI382" i="6" s="1"/>
  <c r="U382" i="6"/>
  <c r="E382" i="6"/>
  <c r="A382" i="6"/>
  <c r="AW381" i="6"/>
  <c r="BC381" i="6" s="1"/>
  <c r="AE381" i="6"/>
  <c r="AQ381" i="6" s="1"/>
  <c r="Y381" i="6"/>
  <c r="BI381" i="6" s="1"/>
  <c r="U381" i="6"/>
  <c r="E381" i="6"/>
  <c r="A381" i="6"/>
  <c r="AW380" i="6"/>
  <c r="BC380" i="6" s="1"/>
  <c r="AE380" i="6"/>
  <c r="AQ380" i="6" s="1"/>
  <c r="Y380" i="6"/>
  <c r="BI380" i="6" s="1"/>
  <c r="U380" i="6"/>
  <c r="E380" i="6"/>
  <c r="A380" i="6"/>
  <c r="BI379" i="6"/>
  <c r="AW379" i="6"/>
  <c r="BC379" i="6" s="1"/>
  <c r="AE379" i="6"/>
  <c r="AQ379" i="6" s="1"/>
  <c r="Y379" i="6"/>
  <c r="U379" i="6"/>
  <c r="E379" i="6"/>
  <c r="A379" i="6"/>
  <c r="BI378" i="6"/>
  <c r="AW378" i="6"/>
  <c r="BC378" i="6" s="1"/>
  <c r="AE378" i="6"/>
  <c r="AQ378" i="6" s="1"/>
  <c r="Y378" i="6"/>
  <c r="U378" i="6"/>
  <c r="E378" i="6"/>
  <c r="A378" i="6"/>
  <c r="AW377" i="6"/>
  <c r="AE377" i="6"/>
  <c r="Y377" i="6"/>
  <c r="BI377" i="6" s="1"/>
  <c r="U377" i="6"/>
  <c r="E377" i="6"/>
  <c r="A377" i="6"/>
  <c r="BI376" i="6"/>
  <c r="BC376" i="6"/>
  <c r="AW376" i="6"/>
  <c r="AE376" i="6"/>
  <c r="AQ376" i="6" s="1"/>
  <c r="Y376" i="6"/>
  <c r="U376" i="6"/>
  <c r="E376" i="6"/>
  <c r="A376" i="6"/>
  <c r="BI375" i="6"/>
  <c r="BC375" i="6"/>
  <c r="AW375" i="6"/>
  <c r="AQ375" i="6"/>
  <c r="AE375" i="6"/>
  <c r="Y375" i="6"/>
  <c r="U375" i="6"/>
  <c r="E375" i="6"/>
  <c r="A375" i="6"/>
  <c r="AW374" i="6"/>
  <c r="BC374" i="6" s="1"/>
  <c r="AE374" i="6"/>
  <c r="AQ374" i="6" s="1"/>
  <c r="Y374" i="6"/>
  <c r="BI374" i="6" s="1"/>
  <c r="U374" i="6"/>
  <c r="E374" i="6"/>
  <c r="A374" i="6"/>
  <c r="AW373" i="6"/>
  <c r="BC373" i="6" s="1"/>
  <c r="AE373" i="6"/>
  <c r="AQ373" i="6" s="1"/>
  <c r="Y373" i="6"/>
  <c r="BI373" i="6" s="1"/>
  <c r="U373" i="6"/>
  <c r="E373" i="6"/>
  <c r="A373" i="6"/>
  <c r="BI372" i="6"/>
  <c r="AW372" i="6"/>
  <c r="BC372" i="6" s="1"/>
  <c r="AQ372" i="6"/>
  <c r="AE372" i="6"/>
  <c r="Y372" i="6"/>
  <c r="U372" i="6"/>
  <c r="E372" i="6"/>
  <c r="A372" i="6"/>
  <c r="AW371" i="6"/>
  <c r="BC371" i="6" s="1"/>
  <c r="AE371" i="6"/>
  <c r="BI371" i="6" s="1"/>
  <c r="Y371" i="6"/>
  <c r="U371" i="6"/>
  <c r="E371" i="6"/>
  <c r="A371" i="6"/>
  <c r="AW370" i="6"/>
  <c r="BC370" i="6" s="1"/>
  <c r="AE370" i="6"/>
  <c r="BI370" i="6" s="1"/>
  <c r="Y370" i="6"/>
  <c r="U370" i="6"/>
  <c r="E370" i="6"/>
  <c r="BI369" i="6"/>
  <c r="E369" i="6"/>
  <c r="A369" i="6"/>
  <c r="AW367" i="6"/>
  <c r="I617" i="8"/>
  <c r="G617" i="8"/>
  <c r="H614" i="8"/>
  <c r="K614" i="8" s="1"/>
  <c r="B613" i="8"/>
  <c r="K572" i="8"/>
  <c r="I570" i="8"/>
  <c r="G570" i="8"/>
  <c r="H567" i="8"/>
  <c r="K567" i="8" s="1"/>
  <c r="B566" i="8"/>
  <c r="K525" i="8"/>
  <c r="BI359" i="6"/>
  <c r="AW357" i="6"/>
  <c r="BC357" i="6" s="1"/>
  <c r="AE357" i="6"/>
  <c r="AQ357" i="6" s="1"/>
  <c r="Y357" i="6"/>
  <c r="BI357" i="6" s="1"/>
  <c r="U357" i="6"/>
  <c r="E357" i="6"/>
  <c r="A357" i="6"/>
  <c r="AW356" i="6"/>
  <c r="BC356" i="6" s="1"/>
  <c r="AE356" i="6"/>
  <c r="AQ356" i="6" s="1"/>
  <c r="Y356" i="6"/>
  <c r="BI356" i="6" s="1"/>
  <c r="U356" i="6"/>
  <c r="E356" i="6"/>
  <c r="A356" i="6"/>
  <c r="AW355" i="6"/>
  <c r="BC355" i="6" s="1"/>
  <c r="AE355" i="6"/>
  <c r="AQ355" i="6" s="1"/>
  <c r="Y355" i="6"/>
  <c r="BI355" i="6" s="1"/>
  <c r="U355" i="6"/>
  <c r="E355" i="6"/>
  <c r="A355" i="6"/>
  <c r="AW354" i="6"/>
  <c r="BC354" i="6" s="1"/>
  <c r="AE354" i="6"/>
  <c r="AQ354" i="6" s="1"/>
  <c r="Y354" i="6"/>
  <c r="BI354" i="6" s="1"/>
  <c r="U354" i="6"/>
  <c r="E354" i="6"/>
  <c r="A354" i="6"/>
  <c r="AW353" i="6"/>
  <c r="BC353" i="6" s="1"/>
  <c r="AE353" i="6"/>
  <c r="AQ353" i="6" s="1"/>
  <c r="Y353" i="6"/>
  <c r="BI353" i="6" s="1"/>
  <c r="U353" i="6"/>
  <c r="E353" i="6"/>
  <c r="A353" i="6"/>
  <c r="AW352" i="6"/>
  <c r="BC352" i="6" s="1"/>
  <c r="AE352" i="6"/>
  <c r="AQ352" i="6" s="1"/>
  <c r="Y352" i="6"/>
  <c r="BI352" i="6" s="1"/>
  <c r="U352" i="6"/>
  <c r="E352" i="6"/>
  <c r="A352" i="6"/>
  <c r="BI351" i="6"/>
  <c r="AW351" i="6"/>
  <c r="BC351" i="6" s="1"/>
  <c r="AE351" i="6"/>
  <c r="AQ351" i="6" s="1"/>
  <c r="Y351" i="6"/>
  <c r="U351" i="6"/>
  <c r="E351" i="6"/>
  <c r="A351" i="6"/>
  <c r="BI350" i="6"/>
  <c r="AW350" i="6"/>
  <c r="BC350" i="6" s="1"/>
  <c r="AE350" i="6"/>
  <c r="AQ350" i="6" s="1"/>
  <c r="Y350" i="6"/>
  <c r="U350" i="6"/>
  <c r="E350" i="6"/>
  <c r="A350" i="6"/>
  <c r="AW349" i="6"/>
  <c r="AE349" i="6"/>
  <c r="Y349" i="6"/>
  <c r="BI349" i="6" s="1"/>
  <c r="U349" i="6"/>
  <c r="E349" i="6"/>
  <c r="A349" i="6"/>
  <c r="BI348" i="6"/>
  <c r="BC348" i="6"/>
  <c r="AW348" i="6"/>
  <c r="AE348" i="6"/>
  <c r="AQ348" i="6" s="1"/>
  <c r="Y348" i="6"/>
  <c r="U348" i="6"/>
  <c r="E348" i="6"/>
  <c r="A348" i="6"/>
  <c r="BI347" i="6"/>
  <c r="BC347" i="6"/>
  <c r="AW347" i="6"/>
  <c r="AE347" i="6"/>
  <c r="AQ347" i="6" s="1"/>
  <c r="Y347" i="6"/>
  <c r="U347" i="6"/>
  <c r="E347" i="6"/>
  <c r="A347" i="6"/>
  <c r="AW346" i="6"/>
  <c r="BC346" i="6" s="1"/>
  <c r="AE346" i="6"/>
  <c r="AQ346" i="6" s="1"/>
  <c r="Y346" i="6"/>
  <c r="BI346" i="6" s="1"/>
  <c r="U346" i="6"/>
  <c r="E346" i="6"/>
  <c r="A346" i="6"/>
  <c r="AW345" i="6"/>
  <c r="BC345" i="6" s="1"/>
  <c r="AE345" i="6"/>
  <c r="AQ345" i="6" s="1"/>
  <c r="Y345" i="6"/>
  <c r="BI345" i="6" s="1"/>
  <c r="U345" i="6"/>
  <c r="E345" i="6"/>
  <c r="A345" i="6"/>
  <c r="AW344" i="6"/>
  <c r="BC344" i="6" s="1"/>
  <c r="AE344" i="6"/>
  <c r="AQ344" i="6" s="1"/>
  <c r="Y344" i="6"/>
  <c r="BI344" i="6" s="1"/>
  <c r="U344" i="6"/>
  <c r="E344" i="6"/>
  <c r="A344" i="6"/>
  <c r="AW343" i="6"/>
  <c r="BC343" i="6" s="1"/>
  <c r="AE343" i="6"/>
  <c r="BI343" i="6" s="1"/>
  <c r="Y343" i="6"/>
  <c r="U343" i="6"/>
  <c r="E343" i="6"/>
  <c r="A343" i="6"/>
  <c r="AW342" i="6"/>
  <c r="BC342" i="6" s="1"/>
  <c r="AE342" i="6"/>
  <c r="AQ342" i="6" s="1"/>
  <c r="Y342" i="6"/>
  <c r="U342" i="6"/>
  <c r="E342" i="6"/>
  <c r="BI341" i="6"/>
  <c r="E341" i="6"/>
  <c r="A341" i="6"/>
  <c r="AW339" i="6"/>
  <c r="BI331" i="6"/>
  <c r="AW329" i="6"/>
  <c r="BC329" i="6" s="1"/>
  <c r="AE329" i="6"/>
  <c r="AQ329" i="6" s="1"/>
  <c r="Y329" i="6"/>
  <c r="BI329" i="6" s="1"/>
  <c r="U329" i="6"/>
  <c r="E329" i="6"/>
  <c r="A329" i="6"/>
  <c r="AW328" i="6"/>
  <c r="BC328" i="6" s="1"/>
  <c r="AE328" i="6"/>
  <c r="AQ328" i="6" s="1"/>
  <c r="Y328" i="6"/>
  <c r="BI328" i="6" s="1"/>
  <c r="U328" i="6"/>
  <c r="E328" i="6"/>
  <c r="A328" i="6"/>
  <c r="AW327" i="6"/>
  <c r="BC327" i="6" s="1"/>
  <c r="AE327" i="6"/>
  <c r="AQ327" i="6" s="1"/>
  <c r="Y327" i="6"/>
  <c r="BI327" i="6" s="1"/>
  <c r="U327" i="6"/>
  <c r="E327" i="6"/>
  <c r="A327" i="6"/>
  <c r="AW326" i="6"/>
  <c r="BC326" i="6" s="1"/>
  <c r="AE326" i="6"/>
  <c r="AQ326" i="6" s="1"/>
  <c r="Y326" i="6"/>
  <c r="BI326" i="6" s="1"/>
  <c r="U326" i="6"/>
  <c r="E326" i="6"/>
  <c r="A326" i="6"/>
  <c r="AW325" i="6"/>
  <c r="BC325" i="6" s="1"/>
  <c r="AE325" i="6"/>
  <c r="AQ325" i="6" s="1"/>
  <c r="Y325" i="6"/>
  <c r="BI325" i="6" s="1"/>
  <c r="U325" i="6"/>
  <c r="E325" i="6"/>
  <c r="A325" i="6"/>
  <c r="AW324" i="6"/>
  <c r="BC324" i="6" s="1"/>
  <c r="AE324" i="6"/>
  <c r="AQ324" i="6" s="1"/>
  <c r="Y324" i="6"/>
  <c r="BI324" i="6" s="1"/>
  <c r="U324" i="6"/>
  <c r="E324" i="6"/>
  <c r="A324" i="6"/>
  <c r="AW323" i="6"/>
  <c r="BC323" i="6" s="1"/>
  <c r="AE323" i="6"/>
  <c r="AQ323" i="6" s="1"/>
  <c r="Y323" i="6"/>
  <c r="BI323" i="6" s="1"/>
  <c r="U323" i="6"/>
  <c r="E323" i="6"/>
  <c r="A323" i="6"/>
  <c r="BI322" i="6"/>
  <c r="AW322" i="6"/>
  <c r="BC322" i="6" s="1"/>
  <c r="AE322" i="6"/>
  <c r="AQ322" i="6" s="1"/>
  <c r="Y322" i="6"/>
  <c r="U322" i="6"/>
  <c r="E322" i="6"/>
  <c r="A322" i="6"/>
  <c r="AW321" i="6"/>
  <c r="AE321" i="6"/>
  <c r="Y321" i="6"/>
  <c r="BI321" i="6" s="1"/>
  <c r="U321" i="6"/>
  <c r="E321" i="6"/>
  <c r="A321" i="6"/>
  <c r="AW320" i="6"/>
  <c r="BC320" i="6" s="1"/>
  <c r="AE320" i="6"/>
  <c r="AQ320" i="6" s="1"/>
  <c r="Y320" i="6"/>
  <c r="BI320" i="6" s="1"/>
  <c r="U320" i="6"/>
  <c r="E320" i="6"/>
  <c r="A320" i="6"/>
  <c r="BI319" i="6"/>
  <c r="BC319" i="6"/>
  <c r="AW319" i="6"/>
  <c r="AQ319" i="6"/>
  <c r="AE319" i="6"/>
  <c r="Y319" i="6"/>
  <c r="U319" i="6"/>
  <c r="E319" i="6"/>
  <c r="A319" i="6"/>
  <c r="AW318" i="6"/>
  <c r="BC318" i="6" s="1"/>
  <c r="AE318" i="6"/>
  <c r="AQ318" i="6" s="1"/>
  <c r="Y318" i="6"/>
  <c r="BI318" i="6" s="1"/>
  <c r="U318" i="6"/>
  <c r="E318" i="6"/>
  <c r="A318" i="6"/>
  <c r="AW317" i="6"/>
  <c r="BC317" i="6" s="1"/>
  <c r="AE317" i="6"/>
  <c r="AQ317" i="6" s="1"/>
  <c r="Y317" i="6"/>
  <c r="BI317" i="6" s="1"/>
  <c r="U317" i="6"/>
  <c r="E317" i="6"/>
  <c r="A317" i="6"/>
  <c r="AW316" i="6"/>
  <c r="BC316" i="6" s="1"/>
  <c r="AE316" i="6"/>
  <c r="AQ316" i="6" s="1"/>
  <c r="Y316" i="6"/>
  <c r="BI316" i="6" s="1"/>
  <c r="U316" i="6"/>
  <c r="E316" i="6"/>
  <c r="A316" i="6"/>
  <c r="AW315" i="6"/>
  <c r="BC315" i="6" s="1"/>
  <c r="AE315" i="6"/>
  <c r="AQ315" i="6" s="1"/>
  <c r="Y315" i="6"/>
  <c r="BI315" i="6" s="1"/>
  <c r="U315" i="6"/>
  <c r="E315" i="6"/>
  <c r="A315" i="6"/>
  <c r="AW314" i="6"/>
  <c r="BC314" i="6" s="1"/>
  <c r="AE314" i="6"/>
  <c r="AQ314" i="6" s="1"/>
  <c r="Y314" i="6"/>
  <c r="U314" i="6"/>
  <c r="E314" i="6"/>
  <c r="BI313" i="6"/>
  <c r="E313" i="6"/>
  <c r="A313" i="6"/>
  <c r="AW311" i="6"/>
  <c r="I523" i="8"/>
  <c r="G523" i="8"/>
  <c r="H520" i="8"/>
  <c r="K520" i="8" s="1"/>
  <c r="B519" i="8"/>
  <c r="K478" i="8"/>
  <c r="I476" i="8"/>
  <c r="G476" i="8"/>
  <c r="H473" i="8"/>
  <c r="K473" i="8" s="1"/>
  <c r="B472" i="8"/>
  <c r="K431" i="8"/>
  <c r="I429" i="8"/>
  <c r="G429" i="8"/>
  <c r="H426" i="8"/>
  <c r="K426" i="8" s="1"/>
  <c r="B425" i="8"/>
  <c r="K384" i="8"/>
  <c r="I382" i="8"/>
  <c r="G382" i="8"/>
  <c r="H379" i="8"/>
  <c r="K379" i="8" s="1"/>
  <c r="B378" i="8"/>
  <c r="K337" i="8"/>
  <c r="I335" i="8"/>
  <c r="G335" i="8"/>
  <c r="H332" i="8"/>
  <c r="K332" i="8" s="1"/>
  <c r="B331" i="8"/>
  <c r="K290" i="8"/>
  <c r="I288" i="8"/>
  <c r="G288" i="8"/>
  <c r="H285" i="8"/>
  <c r="K285" i="8" s="1"/>
  <c r="B284" i="8"/>
  <c r="K243" i="8"/>
  <c r="I241" i="8"/>
  <c r="G241" i="8"/>
  <c r="H238" i="8"/>
  <c r="K238" i="8" s="1"/>
  <c r="B237" i="8"/>
  <c r="K196" i="8"/>
  <c r="I194" i="8"/>
  <c r="G194" i="8"/>
  <c r="H191" i="8"/>
  <c r="K191" i="8" s="1"/>
  <c r="B190" i="8"/>
  <c r="K149" i="8"/>
  <c r="BI303" i="6"/>
  <c r="BC301" i="6"/>
  <c r="AW301" i="6"/>
  <c r="AE301" i="6"/>
  <c r="AQ301" i="6" s="1"/>
  <c r="Y301" i="6"/>
  <c r="BI301" i="6" s="1"/>
  <c r="U301" i="6"/>
  <c r="E301" i="6"/>
  <c r="A301" i="6"/>
  <c r="AW300" i="6"/>
  <c r="BC300" i="6" s="1"/>
  <c r="AE300" i="6"/>
  <c r="AQ300" i="6" s="1"/>
  <c r="Y300" i="6"/>
  <c r="BI300" i="6" s="1"/>
  <c r="U300" i="6"/>
  <c r="E300" i="6"/>
  <c r="A300" i="6"/>
  <c r="AW299" i="6"/>
  <c r="BC299" i="6" s="1"/>
  <c r="AE299" i="6"/>
  <c r="AQ299" i="6" s="1"/>
  <c r="Y299" i="6"/>
  <c r="BI299" i="6" s="1"/>
  <c r="U299" i="6"/>
  <c r="E299" i="6"/>
  <c r="A299" i="6"/>
  <c r="AW298" i="6"/>
  <c r="BC298" i="6" s="1"/>
  <c r="AE298" i="6"/>
  <c r="AQ298" i="6" s="1"/>
  <c r="Y298" i="6"/>
  <c r="BI298" i="6" s="1"/>
  <c r="U298" i="6"/>
  <c r="E298" i="6"/>
  <c r="A298" i="6"/>
  <c r="AW297" i="6"/>
  <c r="BC297" i="6" s="1"/>
  <c r="AE297" i="6"/>
  <c r="AQ297" i="6" s="1"/>
  <c r="Y297" i="6"/>
  <c r="BI297" i="6" s="1"/>
  <c r="U297" i="6"/>
  <c r="E297" i="6"/>
  <c r="A297" i="6"/>
  <c r="AW296" i="6"/>
  <c r="BC296" i="6" s="1"/>
  <c r="AE296" i="6"/>
  <c r="AQ296" i="6" s="1"/>
  <c r="Y296" i="6"/>
  <c r="BI296" i="6" s="1"/>
  <c r="U296" i="6"/>
  <c r="E296" i="6"/>
  <c r="A296" i="6"/>
  <c r="AW295" i="6"/>
  <c r="BC295" i="6" s="1"/>
  <c r="AE295" i="6"/>
  <c r="AQ295" i="6" s="1"/>
  <c r="Y295" i="6"/>
  <c r="BI295" i="6" s="1"/>
  <c r="U295" i="6"/>
  <c r="E295" i="6"/>
  <c r="A295" i="6"/>
  <c r="BI294" i="6"/>
  <c r="AW294" i="6"/>
  <c r="BC294" i="6" s="1"/>
  <c r="AE294" i="6"/>
  <c r="AQ294" i="6" s="1"/>
  <c r="Y294" i="6"/>
  <c r="U294" i="6"/>
  <c r="E294" i="6"/>
  <c r="A294" i="6"/>
  <c r="BI293" i="6"/>
  <c r="AW293" i="6"/>
  <c r="AE293" i="6"/>
  <c r="Y293" i="6"/>
  <c r="U293" i="6"/>
  <c r="E293" i="6"/>
  <c r="A293" i="6"/>
  <c r="AW292" i="6"/>
  <c r="BC292" i="6" s="1"/>
  <c r="AE292" i="6"/>
  <c r="AQ292" i="6" s="1"/>
  <c r="Y292" i="6"/>
  <c r="BI292" i="6" s="1"/>
  <c r="U292" i="6"/>
  <c r="E292" i="6"/>
  <c r="A292" i="6"/>
  <c r="BI291" i="6"/>
  <c r="BC291" i="6"/>
  <c r="AW291" i="6"/>
  <c r="AE291" i="6"/>
  <c r="AQ291" i="6" s="1"/>
  <c r="Y291" i="6"/>
  <c r="U291" i="6"/>
  <c r="E291" i="6"/>
  <c r="A291" i="6"/>
  <c r="AW290" i="6"/>
  <c r="BC290" i="6" s="1"/>
  <c r="AE290" i="6"/>
  <c r="AQ290" i="6" s="1"/>
  <c r="Y290" i="6"/>
  <c r="BI290" i="6" s="1"/>
  <c r="U290" i="6"/>
  <c r="E290" i="6"/>
  <c r="A290" i="6"/>
  <c r="AW289" i="6"/>
  <c r="BC289" i="6" s="1"/>
  <c r="AE289" i="6"/>
  <c r="AQ289" i="6" s="1"/>
  <c r="Y289" i="6"/>
  <c r="BI289" i="6" s="1"/>
  <c r="U289" i="6"/>
  <c r="E289" i="6"/>
  <c r="A289" i="6"/>
  <c r="BI288" i="6"/>
  <c r="BC288" i="6"/>
  <c r="AW288" i="6"/>
  <c r="AE288" i="6"/>
  <c r="AQ288" i="6" s="1"/>
  <c r="Y288" i="6"/>
  <c r="U288" i="6"/>
  <c r="E288" i="6"/>
  <c r="A288" i="6"/>
  <c r="AW287" i="6"/>
  <c r="BC287" i="6" s="1"/>
  <c r="AE287" i="6"/>
  <c r="AQ287" i="6" s="1"/>
  <c r="Y287" i="6"/>
  <c r="BI287" i="6" s="1"/>
  <c r="U287" i="6"/>
  <c r="E287" i="6"/>
  <c r="A287" i="6"/>
  <c r="AW286" i="6"/>
  <c r="BC286" i="6" s="1"/>
  <c r="AE286" i="6"/>
  <c r="BI286" i="6" s="1"/>
  <c r="Y286" i="6"/>
  <c r="U286" i="6"/>
  <c r="E286" i="6"/>
  <c r="BI285" i="6"/>
  <c r="E285" i="6"/>
  <c r="A285" i="6"/>
  <c r="AW283" i="6"/>
  <c r="BI275" i="6"/>
  <c r="AW273" i="6"/>
  <c r="BC273" i="6" s="1"/>
  <c r="AQ273" i="6"/>
  <c r="AE273" i="6"/>
  <c r="Y273" i="6"/>
  <c r="BI273" i="6" s="1"/>
  <c r="U273" i="6"/>
  <c r="E273" i="6"/>
  <c r="A273" i="6"/>
  <c r="AW272" i="6"/>
  <c r="BC272" i="6" s="1"/>
  <c r="AE272" i="6"/>
  <c r="AQ272" i="6" s="1"/>
  <c r="Y272" i="6"/>
  <c r="BI272" i="6" s="1"/>
  <c r="U272" i="6"/>
  <c r="E272" i="6"/>
  <c r="A272" i="6"/>
  <c r="AW271" i="6"/>
  <c r="AE271" i="6"/>
  <c r="BC271" i="6" s="1"/>
  <c r="Y271" i="6"/>
  <c r="BI271" i="6" s="1"/>
  <c r="U271" i="6"/>
  <c r="E271" i="6"/>
  <c r="A271" i="6"/>
  <c r="BI270" i="6"/>
  <c r="AW270" i="6"/>
  <c r="BC270" i="6" s="1"/>
  <c r="AQ270" i="6"/>
  <c r="AE270" i="6"/>
  <c r="Y270" i="6"/>
  <c r="U270" i="6"/>
  <c r="E270" i="6"/>
  <c r="A270" i="6"/>
  <c r="AW269" i="6"/>
  <c r="BC269" i="6" s="1"/>
  <c r="AE269" i="6"/>
  <c r="AQ269" i="6" s="1"/>
  <c r="Y269" i="6"/>
  <c r="BI269" i="6" s="1"/>
  <c r="U269" i="6"/>
  <c r="E269" i="6"/>
  <c r="A269" i="6"/>
  <c r="AW268" i="6"/>
  <c r="BC268" i="6" s="1"/>
  <c r="AE268" i="6"/>
  <c r="AQ268" i="6" s="1"/>
  <c r="Y268" i="6"/>
  <c r="BI268" i="6" s="1"/>
  <c r="U268" i="6"/>
  <c r="E268" i="6"/>
  <c r="A268" i="6"/>
  <c r="AW267" i="6"/>
  <c r="BC267" i="6" s="1"/>
  <c r="AQ267" i="6"/>
  <c r="AE267" i="6"/>
  <c r="Y267" i="6"/>
  <c r="BI267" i="6" s="1"/>
  <c r="U267" i="6"/>
  <c r="E267" i="6"/>
  <c r="A267" i="6"/>
  <c r="BI266" i="6"/>
  <c r="AW266" i="6"/>
  <c r="BC266" i="6" s="1"/>
  <c r="AE266" i="6"/>
  <c r="AQ266" i="6" s="1"/>
  <c r="Y266" i="6"/>
  <c r="U266" i="6"/>
  <c r="E266" i="6"/>
  <c r="A266" i="6"/>
  <c r="AW265" i="6"/>
  <c r="AE265" i="6"/>
  <c r="Y265" i="6"/>
  <c r="BI265" i="6" s="1"/>
  <c r="U265" i="6"/>
  <c r="E265" i="6"/>
  <c r="A265" i="6"/>
  <c r="AW264" i="6"/>
  <c r="BC264" i="6" s="1"/>
  <c r="AE264" i="6"/>
  <c r="AQ264" i="6" s="1"/>
  <c r="Y264" i="6"/>
  <c r="BI264" i="6" s="1"/>
  <c r="U264" i="6"/>
  <c r="E264" i="6"/>
  <c r="A264" i="6"/>
  <c r="BI263" i="6"/>
  <c r="BC263" i="6"/>
  <c r="AW263" i="6"/>
  <c r="AQ263" i="6"/>
  <c r="AE263" i="6"/>
  <c r="Y263" i="6"/>
  <c r="U263" i="6"/>
  <c r="E263" i="6"/>
  <c r="A263" i="6"/>
  <c r="AW262" i="6"/>
  <c r="BC262" i="6" s="1"/>
  <c r="AE262" i="6"/>
  <c r="AQ262" i="6" s="1"/>
  <c r="Y262" i="6"/>
  <c r="BI262" i="6" s="1"/>
  <c r="U262" i="6"/>
  <c r="E262" i="6"/>
  <c r="A262" i="6"/>
  <c r="AW261" i="6"/>
  <c r="BC261" i="6" s="1"/>
  <c r="AE261" i="6"/>
  <c r="AQ261" i="6" s="1"/>
  <c r="Y261" i="6"/>
  <c r="BI261" i="6" s="1"/>
  <c r="U261" i="6"/>
  <c r="E261" i="6"/>
  <c r="A261" i="6"/>
  <c r="AW260" i="6"/>
  <c r="BC260" i="6" s="1"/>
  <c r="AE260" i="6"/>
  <c r="AQ260" i="6" s="1"/>
  <c r="Y260" i="6"/>
  <c r="BI260" i="6" s="1"/>
  <c r="U260" i="6"/>
  <c r="E260" i="6"/>
  <c r="A260" i="6"/>
  <c r="AW259" i="6"/>
  <c r="BC259" i="6" s="1"/>
  <c r="AE259" i="6"/>
  <c r="AQ259" i="6" s="1"/>
  <c r="Y259" i="6"/>
  <c r="BI259" i="6" s="1"/>
  <c r="U259" i="6"/>
  <c r="E259" i="6"/>
  <c r="A259" i="6"/>
  <c r="AW258" i="6"/>
  <c r="BC258" i="6" s="1"/>
  <c r="AE258" i="6"/>
  <c r="BI258" i="6" s="1"/>
  <c r="Y258" i="6"/>
  <c r="U258" i="6"/>
  <c r="E258" i="6"/>
  <c r="BI257" i="6"/>
  <c r="E257" i="6"/>
  <c r="A257" i="6"/>
  <c r="AW255" i="6"/>
  <c r="BI247" i="6"/>
  <c r="AW245" i="6"/>
  <c r="BC245" i="6" s="1"/>
  <c r="AQ245" i="6"/>
  <c r="AE245" i="6"/>
  <c r="Y245" i="6"/>
  <c r="BI245" i="6" s="1"/>
  <c r="U245" i="6"/>
  <c r="E245" i="6"/>
  <c r="A245" i="6"/>
  <c r="AW244" i="6"/>
  <c r="BC244" i="6" s="1"/>
  <c r="AE244" i="6"/>
  <c r="AQ244" i="6" s="1"/>
  <c r="Y244" i="6"/>
  <c r="BI244" i="6" s="1"/>
  <c r="U244" i="6"/>
  <c r="E244" i="6"/>
  <c r="A244" i="6"/>
  <c r="AW243" i="6"/>
  <c r="BC243" i="6" s="1"/>
  <c r="AE243" i="6"/>
  <c r="AQ243" i="6" s="1"/>
  <c r="Y243" i="6"/>
  <c r="BI243" i="6" s="1"/>
  <c r="U243" i="6"/>
  <c r="E243" i="6"/>
  <c r="A243" i="6"/>
  <c r="AW242" i="6"/>
  <c r="BC242" i="6" s="1"/>
  <c r="AE242" i="6"/>
  <c r="AQ242" i="6" s="1"/>
  <c r="Y242" i="6"/>
  <c r="BI242" i="6" s="1"/>
  <c r="U242" i="6"/>
  <c r="E242" i="6"/>
  <c r="A242" i="6"/>
  <c r="AW241" i="6"/>
  <c r="BC241" i="6" s="1"/>
  <c r="AE241" i="6"/>
  <c r="AQ241" i="6" s="1"/>
  <c r="Y241" i="6"/>
  <c r="BI241" i="6" s="1"/>
  <c r="U241" i="6"/>
  <c r="E241" i="6"/>
  <c r="A241" i="6"/>
  <c r="AW240" i="6"/>
  <c r="BC240" i="6" s="1"/>
  <c r="AE240" i="6"/>
  <c r="AQ240" i="6" s="1"/>
  <c r="Y240" i="6"/>
  <c r="BI240" i="6" s="1"/>
  <c r="U240" i="6"/>
  <c r="E240" i="6"/>
  <c r="A240" i="6"/>
  <c r="AW239" i="6"/>
  <c r="BC239" i="6" s="1"/>
  <c r="AE239" i="6"/>
  <c r="AQ239" i="6" s="1"/>
  <c r="Y239" i="6"/>
  <c r="BI239" i="6" s="1"/>
  <c r="U239" i="6"/>
  <c r="E239" i="6"/>
  <c r="A239" i="6"/>
  <c r="BI238" i="6"/>
  <c r="AW238" i="6"/>
  <c r="BC238" i="6" s="1"/>
  <c r="AE238" i="6"/>
  <c r="AQ238" i="6" s="1"/>
  <c r="Y238" i="6"/>
  <c r="U238" i="6"/>
  <c r="E238" i="6"/>
  <c r="A238" i="6"/>
  <c r="AW237" i="6"/>
  <c r="AE237" i="6"/>
  <c r="Y237" i="6"/>
  <c r="BI237" i="6" s="1"/>
  <c r="U237" i="6"/>
  <c r="E237" i="6"/>
  <c r="A237" i="6"/>
  <c r="AW236" i="6"/>
  <c r="BC236" i="6" s="1"/>
  <c r="AE236" i="6"/>
  <c r="AQ236" i="6" s="1"/>
  <c r="Y236" i="6"/>
  <c r="BI236" i="6" s="1"/>
  <c r="U236" i="6"/>
  <c r="E236" i="6"/>
  <c r="A236" i="6"/>
  <c r="BI235" i="6"/>
  <c r="AW235" i="6"/>
  <c r="BC235" i="6" s="1"/>
  <c r="AE235" i="6"/>
  <c r="AQ235" i="6" s="1"/>
  <c r="Y235" i="6"/>
  <c r="U235" i="6"/>
  <c r="E235" i="6"/>
  <c r="A235" i="6"/>
  <c r="AW234" i="6"/>
  <c r="BC234" i="6" s="1"/>
  <c r="AE234" i="6"/>
  <c r="AQ234" i="6" s="1"/>
  <c r="Y234" i="6"/>
  <c r="BI234" i="6" s="1"/>
  <c r="U234" i="6"/>
  <c r="E234" i="6"/>
  <c r="A234" i="6"/>
  <c r="AW233" i="6"/>
  <c r="BC233" i="6" s="1"/>
  <c r="AE233" i="6"/>
  <c r="AQ233" i="6" s="1"/>
  <c r="Y233" i="6"/>
  <c r="BI233" i="6" s="1"/>
  <c r="U233" i="6"/>
  <c r="E233" i="6"/>
  <c r="A233" i="6"/>
  <c r="AW232" i="6"/>
  <c r="BC232" i="6" s="1"/>
  <c r="AE232" i="6"/>
  <c r="AQ232" i="6" s="1"/>
  <c r="Y232" i="6"/>
  <c r="BI232" i="6" s="1"/>
  <c r="U232" i="6"/>
  <c r="E232" i="6"/>
  <c r="A232" i="6"/>
  <c r="AW231" i="6"/>
  <c r="BC231" i="6" s="1"/>
  <c r="AE231" i="6"/>
  <c r="AQ231" i="6" s="1"/>
  <c r="Y231" i="6"/>
  <c r="BI231" i="6" s="1"/>
  <c r="U231" i="6"/>
  <c r="E231" i="6"/>
  <c r="A231" i="6"/>
  <c r="AW230" i="6"/>
  <c r="BC230" i="6" s="1"/>
  <c r="AE230" i="6"/>
  <c r="AQ230" i="6" s="1"/>
  <c r="Y230" i="6"/>
  <c r="BI230" i="6" s="1"/>
  <c r="U230" i="6"/>
  <c r="E230" i="6"/>
  <c r="BI229" i="6"/>
  <c r="E229" i="6"/>
  <c r="A229" i="6"/>
  <c r="AW227" i="6"/>
  <c r="BI219" i="6"/>
  <c r="AW217" i="6"/>
  <c r="BC217" i="6" s="1"/>
  <c r="AE217" i="6"/>
  <c r="AQ217" i="6" s="1"/>
  <c r="Y217" i="6"/>
  <c r="BI217" i="6" s="1"/>
  <c r="U217" i="6"/>
  <c r="E217" i="6"/>
  <c r="A217" i="6"/>
  <c r="AW216" i="6"/>
  <c r="BC216" i="6" s="1"/>
  <c r="AE216" i="6"/>
  <c r="AQ216" i="6" s="1"/>
  <c r="Y216" i="6"/>
  <c r="BI216" i="6" s="1"/>
  <c r="U216" i="6"/>
  <c r="E216" i="6"/>
  <c r="A216" i="6"/>
  <c r="AW215" i="6"/>
  <c r="BC215" i="6" s="1"/>
  <c r="AE215" i="6"/>
  <c r="AQ215" i="6" s="1"/>
  <c r="Y215" i="6"/>
  <c r="BI215" i="6" s="1"/>
  <c r="U215" i="6"/>
  <c r="E215" i="6"/>
  <c r="A215" i="6"/>
  <c r="AW214" i="6"/>
  <c r="BC214" i="6" s="1"/>
  <c r="AE214" i="6"/>
  <c r="AQ214" i="6" s="1"/>
  <c r="Y214" i="6"/>
  <c r="BI214" i="6" s="1"/>
  <c r="U214" i="6"/>
  <c r="E214" i="6"/>
  <c r="A214" i="6"/>
  <c r="AW213" i="6"/>
  <c r="BC213" i="6" s="1"/>
  <c r="AE213" i="6"/>
  <c r="AQ213" i="6" s="1"/>
  <c r="Y213" i="6"/>
  <c r="BI213" i="6" s="1"/>
  <c r="U213" i="6"/>
  <c r="E213" i="6"/>
  <c r="A213" i="6"/>
  <c r="AW212" i="6"/>
  <c r="BC212" i="6" s="1"/>
  <c r="AE212" i="6"/>
  <c r="AQ212" i="6" s="1"/>
  <c r="Y212" i="6"/>
  <c r="BI212" i="6" s="1"/>
  <c r="U212" i="6"/>
  <c r="E212" i="6"/>
  <c r="A212" i="6"/>
  <c r="AW211" i="6"/>
  <c r="BC211" i="6" s="1"/>
  <c r="AE211" i="6"/>
  <c r="AQ211" i="6" s="1"/>
  <c r="Y211" i="6"/>
  <c r="BI211" i="6" s="1"/>
  <c r="U211" i="6"/>
  <c r="E211" i="6"/>
  <c r="A211" i="6"/>
  <c r="BI210" i="6"/>
  <c r="AW210" i="6"/>
  <c r="BC210" i="6" s="1"/>
  <c r="AE210" i="6"/>
  <c r="AQ210" i="6" s="1"/>
  <c r="Y210" i="6"/>
  <c r="U210" i="6"/>
  <c r="E210" i="6"/>
  <c r="A210" i="6"/>
  <c r="AW209" i="6"/>
  <c r="AE209" i="6"/>
  <c r="Y209" i="6"/>
  <c r="BI209" i="6" s="1"/>
  <c r="U209" i="6"/>
  <c r="E209" i="6"/>
  <c r="A209" i="6"/>
  <c r="AW208" i="6"/>
  <c r="BC208" i="6" s="1"/>
  <c r="AE208" i="6"/>
  <c r="AQ208" i="6" s="1"/>
  <c r="Y208" i="6"/>
  <c r="BI208" i="6" s="1"/>
  <c r="U208" i="6"/>
  <c r="E208" i="6"/>
  <c r="A208" i="6"/>
  <c r="BI207" i="6"/>
  <c r="BC207" i="6"/>
  <c r="AW207" i="6"/>
  <c r="AE207" i="6"/>
  <c r="AQ207" i="6" s="1"/>
  <c r="Y207" i="6"/>
  <c r="U207" i="6"/>
  <c r="E207" i="6"/>
  <c r="A207" i="6"/>
  <c r="AW206" i="6"/>
  <c r="BC206" i="6" s="1"/>
  <c r="AE206" i="6"/>
  <c r="AQ206" i="6" s="1"/>
  <c r="Y206" i="6"/>
  <c r="BI206" i="6" s="1"/>
  <c r="U206" i="6"/>
  <c r="E206" i="6"/>
  <c r="A206" i="6"/>
  <c r="AW205" i="6"/>
  <c r="BC205" i="6" s="1"/>
  <c r="AE205" i="6"/>
  <c r="AQ205" i="6" s="1"/>
  <c r="Y205" i="6"/>
  <c r="BI205" i="6" s="1"/>
  <c r="U205" i="6"/>
  <c r="E205" i="6"/>
  <c r="A205" i="6"/>
  <c r="AW204" i="6"/>
  <c r="BC204" i="6" s="1"/>
  <c r="AE204" i="6"/>
  <c r="AQ204" i="6" s="1"/>
  <c r="Y204" i="6"/>
  <c r="BI204" i="6" s="1"/>
  <c r="U204" i="6"/>
  <c r="E204" i="6"/>
  <c r="A204" i="6"/>
  <c r="AW203" i="6"/>
  <c r="BC203" i="6" s="1"/>
  <c r="AE203" i="6"/>
  <c r="AQ203" i="6" s="1"/>
  <c r="Y203" i="6"/>
  <c r="BI203" i="6" s="1"/>
  <c r="U203" i="6"/>
  <c r="E203" i="6"/>
  <c r="A203" i="6"/>
  <c r="AW202" i="6"/>
  <c r="BC202" i="6" s="1"/>
  <c r="AE202" i="6"/>
  <c r="BI202" i="6" s="1"/>
  <c r="BI218" i="6" s="1"/>
  <c r="Y202" i="6"/>
  <c r="U202" i="6"/>
  <c r="E202" i="6"/>
  <c r="BI201" i="6"/>
  <c r="E201" i="6"/>
  <c r="A201" i="6"/>
  <c r="AW199" i="6"/>
  <c r="BI191" i="6"/>
  <c r="AW189" i="6"/>
  <c r="BC189" i="6" s="1"/>
  <c r="AE189" i="6"/>
  <c r="AQ189" i="6" s="1"/>
  <c r="Y189" i="6"/>
  <c r="BI189" i="6" s="1"/>
  <c r="U189" i="6"/>
  <c r="E189" i="6"/>
  <c r="A189" i="6"/>
  <c r="AW188" i="6"/>
  <c r="BC188" i="6" s="1"/>
  <c r="AE188" i="6"/>
  <c r="AQ188" i="6" s="1"/>
  <c r="Y188" i="6"/>
  <c r="BI188" i="6" s="1"/>
  <c r="U188" i="6"/>
  <c r="E188" i="6"/>
  <c r="A188" i="6"/>
  <c r="AW187" i="6"/>
  <c r="BC187" i="6" s="1"/>
  <c r="AE187" i="6"/>
  <c r="AQ187" i="6" s="1"/>
  <c r="Y187" i="6"/>
  <c r="BI187" i="6" s="1"/>
  <c r="U187" i="6"/>
  <c r="E187" i="6"/>
  <c r="A187" i="6"/>
  <c r="AW186" i="6"/>
  <c r="AE186" i="6"/>
  <c r="BC186" i="6" s="1"/>
  <c r="Y186" i="6"/>
  <c r="BI186" i="6" s="1"/>
  <c r="U186" i="6"/>
  <c r="E186" i="6"/>
  <c r="A186" i="6"/>
  <c r="AW185" i="6"/>
  <c r="BC185" i="6" s="1"/>
  <c r="AE185" i="6"/>
  <c r="AQ185" i="6" s="1"/>
  <c r="Y185" i="6"/>
  <c r="BI185" i="6" s="1"/>
  <c r="U185" i="6"/>
  <c r="E185" i="6"/>
  <c r="A185" i="6"/>
  <c r="AW184" i="6"/>
  <c r="BC184" i="6" s="1"/>
  <c r="AE184" i="6"/>
  <c r="AQ184" i="6" s="1"/>
  <c r="Y184" i="6"/>
  <c r="BI184" i="6" s="1"/>
  <c r="U184" i="6"/>
  <c r="E184" i="6"/>
  <c r="A184" i="6"/>
  <c r="AW183" i="6"/>
  <c r="BC183" i="6" s="1"/>
  <c r="AE183" i="6"/>
  <c r="AQ183" i="6" s="1"/>
  <c r="Y183" i="6"/>
  <c r="BI183" i="6" s="1"/>
  <c r="U183" i="6"/>
  <c r="E183" i="6"/>
  <c r="A183" i="6"/>
  <c r="BI182" i="6"/>
  <c r="AW182" i="6"/>
  <c r="BC182" i="6" s="1"/>
  <c r="AE182" i="6"/>
  <c r="AQ182" i="6" s="1"/>
  <c r="Y182" i="6"/>
  <c r="U182" i="6"/>
  <c r="E182" i="6"/>
  <c r="A182" i="6"/>
  <c r="AW181" i="6"/>
  <c r="AE181" i="6"/>
  <c r="Y181" i="6"/>
  <c r="BI181" i="6" s="1"/>
  <c r="U181" i="6"/>
  <c r="E181" i="6"/>
  <c r="A181" i="6"/>
  <c r="AW180" i="6"/>
  <c r="BC180" i="6" s="1"/>
  <c r="AE180" i="6"/>
  <c r="AQ180" i="6" s="1"/>
  <c r="Y180" i="6"/>
  <c r="BI180" i="6" s="1"/>
  <c r="U180" i="6"/>
  <c r="E180" i="6"/>
  <c r="A180" i="6"/>
  <c r="BI179" i="6"/>
  <c r="BC179" i="6"/>
  <c r="AW179" i="6"/>
  <c r="AE179" i="6"/>
  <c r="AQ179" i="6" s="1"/>
  <c r="Y179" i="6"/>
  <c r="U179" i="6"/>
  <c r="E179" i="6"/>
  <c r="A179" i="6"/>
  <c r="AW178" i="6"/>
  <c r="BC178" i="6" s="1"/>
  <c r="AQ178" i="6"/>
  <c r="AE178" i="6"/>
  <c r="Y178" i="6"/>
  <c r="BI178" i="6" s="1"/>
  <c r="U178" i="6"/>
  <c r="E178" i="6"/>
  <c r="A178" i="6"/>
  <c r="AW177" i="6"/>
  <c r="BC177" i="6" s="1"/>
  <c r="AE177" i="6"/>
  <c r="AQ177" i="6" s="1"/>
  <c r="Y177" i="6"/>
  <c r="BI177" i="6" s="1"/>
  <c r="U177" i="6"/>
  <c r="E177" i="6"/>
  <c r="A177" i="6"/>
  <c r="AW176" i="6"/>
  <c r="BC176" i="6" s="1"/>
  <c r="AE176" i="6"/>
  <c r="AQ176" i="6" s="1"/>
  <c r="Y176" i="6"/>
  <c r="BI176" i="6" s="1"/>
  <c r="U176" i="6"/>
  <c r="E176" i="6"/>
  <c r="A176" i="6"/>
  <c r="AW175" i="6"/>
  <c r="BC175" i="6" s="1"/>
  <c r="AE175" i="6"/>
  <c r="AQ175" i="6" s="1"/>
  <c r="Y175" i="6"/>
  <c r="BI175" i="6" s="1"/>
  <c r="U175" i="6"/>
  <c r="E175" i="6"/>
  <c r="A175" i="6"/>
  <c r="AW174" i="6"/>
  <c r="BC174" i="6" s="1"/>
  <c r="AE174" i="6"/>
  <c r="BI174" i="6" s="1"/>
  <c r="Y174" i="6"/>
  <c r="U174" i="6"/>
  <c r="E174" i="6"/>
  <c r="BI173" i="6"/>
  <c r="E173" i="6"/>
  <c r="A173" i="6"/>
  <c r="AW171" i="6"/>
  <c r="BI163" i="6"/>
  <c r="AW161" i="6"/>
  <c r="BC161" i="6" s="1"/>
  <c r="AE161" i="6"/>
  <c r="AQ161" i="6" s="1"/>
  <c r="Y161" i="6"/>
  <c r="BI161" i="6" s="1"/>
  <c r="U161" i="6"/>
  <c r="E161" i="6"/>
  <c r="A161" i="6"/>
  <c r="AW160" i="6"/>
  <c r="BC160" i="6" s="1"/>
  <c r="AE160" i="6"/>
  <c r="AQ160" i="6" s="1"/>
  <c r="Y160" i="6"/>
  <c r="BI160" i="6" s="1"/>
  <c r="U160" i="6"/>
  <c r="E160" i="6"/>
  <c r="A160" i="6"/>
  <c r="AW159" i="6"/>
  <c r="BC159" i="6" s="1"/>
  <c r="AE159" i="6"/>
  <c r="AQ159" i="6" s="1"/>
  <c r="Y159" i="6"/>
  <c r="BI159" i="6" s="1"/>
  <c r="U159" i="6"/>
  <c r="E159" i="6"/>
  <c r="A159" i="6"/>
  <c r="AW158" i="6"/>
  <c r="BC158" i="6" s="1"/>
  <c r="AE158" i="6"/>
  <c r="AQ158" i="6" s="1"/>
  <c r="Y158" i="6"/>
  <c r="BI158" i="6" s="1"/>
  <c r="U158" i="6"/>
  <c r="E158" i="6"/>
  <c r="A158" i="6"/>
  <c r="AW157" i="6"/>
  <c r="BC157" i="6" s="1"/>
  <c r="AE157" i="6"/>
  <c r="AQ157" i="6" s="1"/>
  <c r="Y157" i="6"/>
  <c r="BI157" i="6" s="1"/>
  <c r="U157" i="6"/>
  <c r="E157" i="6"/>
  <c r="A157" i="6"/>
  <c r="AW156" i="6"/>
  <c r="BC156" i="6" s="1"/>
  <c r="AE156" i="6"/>
  <c r="AQ156" i="6" s="1"/>
  <c r="Y156" i="6"/>
  <c r="BI156" i="6" s="1"/>
  <c r="U156" i="6"/>
  <c r="E156" i="6"/>
  <c r="A156" i="6"/>
  <c r="AW155" i="6"/>
  <c r="BC155" i="6" s="1"/>
  <c r="AE155" i="6"/>
  <c r="AQ155" i="6" s="1"/>
  <c r="Y155" i="6"/>
  <c r="BI155" i="6" s="1"/>
  <c r="U155" i="6"/>
  <c r="E155" i="6"/>
  <c r="A155" i="6"/>
  <c r="BI154" i="6"/>
  <c r="AW154" i="6"/>
  <c r="BC154" i="6" s="1"/>
  <c r="AE154" i="6"/>
  <c r="AQ154" i="6" s="1"/>
  <c r="Y154" i="6"/>
  <c r="U154" i="6"/>
  <c r="E154" i="6"/>
  <c r="A154" i="6"/>
  <c r="AW153" i="6"/>
  <c r="AE153" i="6"/>
  <c r="Y153" i="6"/>
  <c r="BI153" i="6" s="1"/>
  <c r="U153" i="6"/>
  <c r="E153" i="6"/>
  <c r="A153" i="6"/>
  <c r="AW152" i="6"/>
  <c r="BC152" i="6" s="1"/>
  <c r="AE152" i="6"/>
  <c r="AQ152" i="6" s="1"/>
  <c r="Y152" i="6"/>
  <c r="BI152" i="6" s="1"/>
  <c r="U152" i="6"/>
  <c r="E152" i="6"/>
  <c r="A152" i="6"/>
  <c r="BI151" i="6"/>
  <c r="BC151" i="6"/>
  <c r="AW151" i="6"/>
  <c r="AE151" i="6"/>
  <c r="AQ151" i="6" s="1"/>
  <c r="Y151" i="6"/>
  <c r="U151" i="6"/>
  <c r="E151" i="6"/>
  <c r="A151" i="6"/>
  <c r="AW150" i="6"/>
  <c r="BC150" i="6" s="1"/>
  <c r="AE150" i="6"/>
  <c r="AQ150" i="6" s="1"/>
  <c r="Y150" i="6"/>
  <c r="BI150" i="6" s="1"/>
  <c r="U150" i="6"/>
  <c r="E150" i="6"/>
  <c r="A150" i="6"/>
  <c r="AW149" i="6"/>
  <c r="BC149" i="6" s="1"/>
  <c r="AE149" i="6"/>
  <c r="AQ149" i="6" s="1"/>
  <c r="Y149" i="6"/>
  <c r="BI149" i="6" s="1"/>
  <c r="U149" i="6"/>
  <c r="E149" i="6"/>
  <c r="A149" i="6"/>
  <c r="AW148" i="6"/>
  <c r="BC148" i="6" s="1"/>
  <c r="AE148" i="6"/>
  <c r="AQ148" i="6" s="1"/>
  <c r="Y148" i="6"/>
  <c r="BI148" i="6" s="1"/>
  <c r="U148" i="6"/>
  <c r="E148" i="6"/>
  <c r="A148" i="6"/>
  <c r="AW147" i="6"/>
  <c r="BC147" i="6" s="1"/>
  <c r="AE147" i="6"/>
  <c r="AQ147" i="6" s="1"/>
  <c r="Y147" i="6"/>
  <c r="BI147" i="6" s="1"/>
  <c r="U147" i="6"/>
  <c r="E147" i="6"/>
  <c r="A147" i="6"/>
  <c r="AW146" i="6"/>
  <c r="BC146" i="6" s="1"/>
  <c r="AE146" i="6"/>
  <c r="BI146" i="6" s="1"/>
  <c r="BI162" i="6" s="1"/>
  <c r="Y146" i="6"/>
  <c r="U146" i="6"/>
  <c r="E146" i="6"/>
  <c r="BI145" i="6"/>
  <c r="E145" i="6"/>
  <c r="A145" i="6"/>
  <c r="AW143" i="6"/>
  <c r="BI135" i="6"/>
  <c r="AW133" i="6"/>
  <c r="BC133" i="6" s="1"/>
  <c r="AE133" i="6"/>
  <c r="AQ133" i="6" s="1"/>
  <c r="Y133" i="6"/>
  <c r="BI133" i="6" s="1"/>
  <c r="U133" i="6"/>
  <c r="E133" i="6"/>
  <c r="A133" i="6"/>
  <c r="AW132" i="6"/>
  <c r="BC132" i="6" s="1"/>
  <c r="AE132" i="6"/>
  <c r="AQ132" i="6" s="1"/>
  <c r="Y132" i="6"/>
  <c r="BI132" i="6" s="1"/>
  <c r="U132" i="6"/>
  <c r="E132" i="6"/>
  <c r="A132" i="6"/>
  <c r="AW131" i="6"/>
  <c r="BC131" i="6" s="1"/>
  <c r="AE131" i="6"/>
  <c r="AQ131" i="6" s="1"/>
  <c r="Y131" i="6"/>
  <c r="BI131" i="6" s="1"/>
  <c r="U131" i="6"/>
  <c r="E131" i="6"/>
  <c r="A131" i="6"/>
  <c r="AW130" i="6"/>
  <c r="BC130" i="6" s="1"/>
  <c r="AE130" i="6"/>
  <c r="AQ130" i="6" s="1"/>
  <c r="Y130" i="6"/>
  <c r="BI130" i="6" s="1"/>
  <c r="U130" i="6"/>
  <c r="E130" i="6"/>
  <c r="A130" i="6"/>
  <c r="AW129" i="6"/>
  <c r="BC129" i="6" s="1"/>
  <c r="AE129" i="6"/>
  <c r="AQ129" i="6" s="1"/>
  <c r="Y129" i="6"/>
  <c r="BI129" i="6" s="1"/>
  <c r="U129" i="6"/>
  <c r="E129" i="6"/>
  <c r="A129" i="6"/>
  <c r="AW128" i="6"/>
  <c r="BC128" i="6" s="1"/>
  <c r="AE128" i="6"/>
  <c r="AQ128" i="6" s="1"/>
  <c r="Y128" i="6"/>
  <c r="BI128" i="6" s="1"/>
  <c r="U128" i="6"/>
  <c r="E128" i="6"/>
  <c r="A128" i="6"/>
  <c r="BI127" i="6"/>
  <c r="AW127" i="6"/>
  <c r="BC127" i="6" s="1"/>
  <c r="AE127" i="6"/>
  <c r="AQ127" i="6" s="1"/>
  <c r="Y127" i="6"/>
  <c r="U127" i="6"/>
  <c r="E127" i="6"/>
  <c r="A127" i="6"/>
  <c r="BI126" i="6"/>
  <c r="AW126" i="6"/>
  <c r="BC126" i="6" s="1"/>
  <c r="AE126" i="6"/>
  <c r="AQ126" i="6" s="1"/>
  <c r="Y126" i="6"/>
  <c r="U126" i="6"/>
  <c r="E126" i="6"/>
  <c r="A126" i="6"/>
  <c r="AW125" i="6"/>
  <c r="AE125" i="6"/>
  <c r="Y125" i="6"/>
  <c r="BI125" i="6" s="1"/>
  <c r="U125" i="6"/>
  <c r="E125" i="6"/>
  <c r="A125" i="6"/>
  <c r="AW124" i="6"/>
  <c r="BC124" i="6" s="1"/>
  <c r="AE124" i="6"/>
  <c r="AQ124" i="6" s="1"/>
  <c r="Y124" i="6"/>
  <c r="BI124" i="6" s="1"/>
  <c r="U124" i="6"/>
  <c r="E124" i="6"/>
  <c r="A124" i="6"/>
  <c r="BI123" i="6"/>
  <c r="BC123" i="6"/>
  <c r="AW123" i="6"/>
  <c r="AE123" i="6"/>
  <c r="AQ123" i="6" s="1"/>
  <c r="Y123" i="6"/>
  <c r="U123" i="6"/>
  <c r="E123" i="6"/>
  <c r="A123" i="6"/>
  <c r="AW122" i="6"/>
  <c r="BC122" i="6" s="1"/>
  <c r="AE122" i="6"/>
  <c r="AQ122" i="6" s="1"/>
  <c r="Y122" i="6"/>
  <c r="BI122" i="6" s="1"/>
  <c r="U122" i="6"/>
  <c r="E122" i="6"/>
  <c r="A122" i="6"/>
  <c r="AW121" i="6"/>
  <c r="BC121" i="6" s="1"/>
  <c r="AE121" i="6"/>
  <c r="AQ121" i="6" s="1"/>
  <c r="Y121" i="6"/>
  <c r="BI121" i="6" s="1"/>
  <c r="U121" i="6"/>
  <c r="E121" i="6"/>
  <c r="A121" i="6"/>
  <c r="AW120" i="6"/>
  <c r="AE120" i="6"/>
  <c r="BC120" i="6" s="1"/>
  <c r="Y120" i="6"/>
  <c r="BI120" i="6" s="1"/>
  <c r="U120" i="6"/>
  <c r="E120" i="6"/>
  <c r="A120" i="6"/>
  <c r="AW119" i="6"/>
  <c r="BC119" i="6" s="1"/>
  <c r="AE119" i="6"/>
  <c r="AQ119" i="6" s="1"/>
  <c r="Y119" i="6"/>
  <c r="BI119" i="6" s="1"/>
  <c r="U119" i="6"/>
  <c r="E119" i="6"/>
  <c r="A119" i="6"/>
  <c r="AW118" i="6"/>
  <c r="BC118" i="6" s="1"/>
  <c r="AE118" i="6"/>
  <c r="BI118" i="6" s="1"/>
  <c r="Y118" i="6"/>
  <c r="U118" i="6"/>
  <c r="E118" i="6"/>
  <c r="BI117" i="6"/>
  <c r="E117" i="6"/>
  <c r="A117" i="6"/>
  <c r="AW115" i="6"/>
  <c r="BI107" i="6"/>
  <c r="AW105" i="6"/>
  <c r="BC105" i="6" s="1"/>
  <c r="AE105" i="6"/>
  <c r="BI105" i="6" s="1"/>
  <c r="Y105" i="6"/>
  <c r="U105" i="6"/>
  <c r="E105" i="6"/>
  <c r="A105" i="6"/>
  <c r="AW104" i="6"/>
  <c r="BC104" i="6" s="1"/>
  <c r="AE104" i="6"/>
  <c r="AQ104" i="6" s="1"/>
  <c r="Y104" i="6"/>
  <c r="BI104" i="6" s="1"/>
  <c r="U104" i="6"/>
  <c r="E104" i="6"/>
  <c r="A104" i="6"/>
  <c r="AW103" i="6"/>
  <c r="BC103" i="6" s="1"/>
  <c r="AE103" i="6"/>
  <c r="AQ103" i="6" s="1"/>
  <c r="Y103" i="6"/>
  <c r="BI103" i="6" s="1"/>
  <c r="U103" i="6"/>
  <c r="E103" i="6"/>
  <c r="A103" i="6"/>
  <c r="BC102" i="6"/>
  <c r="AW102" i="6"/>
  <c r="AE102" i="6"/>
  <c r="AQ102" i="6" s="1"/>
  <c r="Y102" i="6"/>
  <c r="BI102" i="6" s="1"/>
  <c r="U102" i="6"/>
  <c r="E102" i="6"/>
  <c r="A102" i="6"/>
  <c r="AW101" i="6"/>
  <c r="BC101" i="6" s="1"/>
  <c r="AE101" i="6"/>
  <c r="AQ101" i="6" s="1"/>
  <c r="Y101" i="6"/>
  <c r="BI101" i="6" s="1"/>
  <c r="U101" i="6"/>
  <c r="E101" i="6"/>
  <c r="A101" i="6"/>
  <c r="AW100" i="6"/>
  <c r="BC100" i="6" s="1"/>
  <c r="AE100" i="6"/>
  <c r="AQ100" i="6" s="1"/>
  <c r="Y100" i="6"/>
  <c r="BI100" i="6" s="1"/>
  <c r="U100" i="6"/>
  <c r="E100" i="6"/>
  <c r="A100" i="6"/>
  <c r="AW99" i="6"/>
  <c r="BC99" i="6" s="1"/>
  <c r="AE99" i="6"/>
  <c r="AQ99" i="6" s="1"/>
  <c r="Y99" i="6"/>
  <c r="BI99" i="6" s="1"/>
  <c r="U99" i="6"/>
  <c r="E99" i="6"/>
  <c r="A99" i="6"/>
  <c r="BI98" i="6"/>
  <c r="AW98" i="6"/>
  <c r="BC98" i="6" s="1"/>
  <c r="AE98" i="6"/>
  <c r="AQ98" i="6" s="1"/>
  <c r="Y98" i="6"/>
  <c r="U98" i="6"/>
  <c r="E98" i="6"/>
  <c r="A98" i="6"/>
  <c r="AW97" i="6"/>
  <c r="AE97" i="6"/>
  <c r="Y97" i="6"/>
  <c r="BI97" i="6" s="1"/>
  <c r="U97" i="6"/>
  <c r="E97" i="6"/>
  <c r="A97" i="6"/>
  <c r="AW96" i="6"/>
  <c r="BC96" i="6" s="1"/>
  <c r="AE96" i="6"/>
  <c r="AQ96" i="6" s="1"/>
  <c r="Y96" i="6"/>
  <c r="BI96" i="6" s="1"/>
  <c r="U96" i="6"/>
  <c r="E96" i="6"/>
  <c r="A96" i="6"/>
  <c r="BI95" i="6"/>
  <c r="BC95" i="6"/>
  <c r="AW95" i="6"/>
  <c r="AE95" i="6"/>
  <c r="AQ95" i="6" s="1"/>
  <c r="Y95" i="6"/>
  <c r="U95" i="6"/>
  <c r="E95" i="6"/>
  <c r="A95" i="6"/>
  <c r="AW94" i="6"/>
  <c r="BC94" i="6" s="1"/>
  <c r="AQ94" i="6"/>
  <c r="AE94" i="6"/>
  <c r="Y94" i="6"/>
  <c r="BI94" i="6" s="1"/>
  <c r="U94" i="6"/>
  <c r="E94" i="6"/>
  <c r="A94" i="6"/>
  <c r="AW93" i="6"/>
  <c r="BC93" i="6" s="1"/>
  <c r="AE93" i="6"/>
  <c r="AQ93" i="6" s="1"/>
  <c r="Y93" i="6"/>
  <c r="BI93" i="6" s="1"/>
  <c r="U93" i="6"/>
  <c r="E93" i="6"/>
  <c r="A93" i="6"/>
  <c r="AW92" i="6"/>
  <c r="BC92" i="6" s="1"/>
  <c r="AE92" i="6"/>
  <c r="AQ92" i="6" s="1"/>
  <c r="Y92" i="6"/>
  <c r="BI92" i="6" s="1"/>
  <c r="U92" i="6"/>
  <c r="E92" i="6"/>
  <c r="A92" i="6"/>
  <c r="AW91" i="6"/>
  <c r="BC91" i="6" s="1"/>
  <c r="AE91" i="6"/>
  <c r="AQ91" i="6" s="1"/>
  <c r="Y91" i="6"/>
  <c r="BI91" i="6" s="1"/>
  <c r="U91" i="6"/>
  <c r="E91" i="6"/>
  <c r="A91" i="6"/>
  <c r="AW90" i="6"/>
  <c r="BC90" i="6" s="1"/>
  <c r="AE90" i="6"/>
  <c r="BI90" i="6" s="1"/>
  <c r="Y90" i="6"/>
  <c r="U90" i="6"/>
  <c r="E90" i="6"/>
  <c r="BI89" i="6"/>
  <c r="E89" i="6"/>
  <c r="A89" i="6"/>
  <c r="AW87" i="6"/>
  <c r="I147" i="8"/>
  <c r="G147" i="8"/>
  <c r="H144" i="8"/>
  <c r="K144" i="8" s="1"/>
  <c r="B143" i="8"/>
  <c r="K102" i="8"/>
  <c r="BI79" i="6"/>
  <c r="AW77" i="6"/>
  <c r="BC77" i="6" s="1"/>
  <c r="AE77" i="6"/>
  <c r="AQ77" i="6" s="1"/>
  <c r="Y77" i="6"/>
  <c r="BI77" i="6" s="1"/>
  <c r="U77" i="6"/>
  <c r="E77" i="6"/>
  <c r="A77" i="6"/>
  <c r="AW76" i="6"/>
  <c r="BC76" i="6" s="1"/>
  <c r="AE76" i="6"/>
  <c r="AQ76" i="6" s="1"/>
  <c r="Y76" i="6"/>
  <c r="BI76" i="6" s="1"/>
  <c r="U76" i="6"/>
  <c r="E76" i="6"/>
  <c r="A76" i="6"/>
  <c r="BC75" i="6"/>
  <c r="AW75" i="6"/>
  <c r="AE75" i="6"/>
  <c r="AQ75" i="6" s="1"/>
  <c r="Y75" i="6"/>
  <c r="BI75" i="6" s="1"/>
  <c r="U75" i="6"/>
  <c r="E75" i="6"/>
  <c r="A75" i="6"/>
  <c r="AW74" i="6"/>
  <c r="BC74" i="6" s="1"/>
  <c r="AE74" i="6"/>
  <c r="AQ74" i="6" s="1"/>
  <c r="Y74" i="6"/>
  <c r="BI74" i="6" s="1"/>
  <c r="U74" i="6"/>
  <c r="E74" i="6"/>
  <c r="A74" i="6"/>
  <c r="AW73" i="6"/>
  <c r="BC73" i="6" s="1"/>
  <c r="AE73" i="6"/>
  <c r="AQ73" i="6" s="1"/>
  <c r="Y73" i="6"/>
  <c r="BI73" i="6" s="1"/>
  <c r="U73" i="6"/>
  <c r="E73" i="6"/>
  <c r="A73" i="6"/>
  <c r="AW72" i="6"/>
  <c r="BC72" i="6" s="1"/>
  <c r="AE72" i="6"/>
  <c r="AQ72" i="6" s="1"/>
  <c r="Y72" i="6"/>
  <c r="BI72" i="6" s="1"/>
  <c r="U72" i="6"/>
  <c r="E72" i="6"/>
  <c r="A72" i="6"/>
  <c r="BI71" i="6"/>
  <c r="AW71" i="6"/>
  <c r="BC71" i="6" s="1"/>
  <c r="AE71" i="6"/>
  <c r="AQ71" i="6" s="1"/>
  <c r="Y71" i="6"/>
  <c r="U71" i="6"/>
  <c r="E71" i="6"/>
  <c r="A71" i="6"/>
  <c r="BI70" i="6"/>
  <c r="AW70" i="6"/>
  <c r="BC70" i="6" s="1"/>
  <c r="AE70" i="6"/>
  <c r="AQ70" i="6" s="1"/>
  <c r="Y70" i="6"/>
  <c r="U70" i="6"/>
  <c r="E70" i="6"/>
  <c r="A70" i="6"/>
  <c r="AW69" i="6"/>
  <c r="AE69" i="6"/>
  <c r="Y69" i="6"/>
  <c r="BI69" i="6" s="1"/>
  <c r="U69" i="6"/>
  <c r="E69" i="6"/>
  <c r="A69" i="6"/>
  <c r="BI68" i="6"/>
  <c r="BC68" i="6"/>
  <c r="AW68" i="6"/>
  <c r="AE68" i="6"/>
  <c r="AQ68" i="6" s="1"/>
  <c r="Y68" i="6"/>
  <c r="U68" i="6"/>
  <c r="E68" i="6"/>
  <c r="A68" i="6"/>
  <c r="BI67" i="6"/>
  <c r="BC67" i="6"/>
  <c r="AW67" i="6"/>
  <c r="AQ67" i="6"/>
  <c r="AE67" i="6"/>
  <c r="Y67" i="6"/>
  <c r="U67" i="6"/>
  <c r="E67" i="6"/>
  <c r="A67" i="6"/>
  <c r="AW66" i="6"/>
  <c r="BC66" i="6" s="1"/>
  <c r="AE66" i="6"/>
  <c r="AQ66" i="6" s="1"/>
  <c r="Y66" i="6"/>
  <c r="BI66" i="6" s="1"/>
  <c r="U66" i="6"/>
  <c r="E66" i="6"/>
  <c r="A66" i="6"/>
  <c r="AW65" i="6"/>
  <c r="BC65" i="6" s="1"/>
  <c r="AE65" i="6"/>
  <c r="AQ65" i="6" s="1"/>
  <c r="Y65" i="6"/>
  <c r="BI65" i="6" s="1"/>
  <c r="U65" i="6"/>
  <c r="E65" i="6"/>
  <c r="A65" i="6"/>
  <c r="BI64" i="6"/>
  <c r="AW64" i="6"/>
  <c r="BC64" i="6" s="1"/>
  <c r="AQ64" i="6"/>
  <c r="AE64" i="6"/>
  <c r="Y64" i="6"/>
  <c r="U64" i="6"/>
  <c r="E64" i="6"/>
  <c r="A64" i="6"/>
  <c r="AW63" i="6"/>
  <c r="BC63" i="6" s="1"/>
  <c r="AE63" i="6"/>
  <c r="AQ63" i="6" s="1"/>
  <c r="Y63" i="6"/>
  <c r="U63" i="6"/>
  <c r="E63" i="6"/>
  <c r="A63" i="6"/>
  <c r="AW62" i="6"/>
  <c r="BC62" i="6" s="1"/>
  <c r="AE62" i="6"/>
  <c r="AQ62" i="6" s="1"/>
  <c r="Y62" i="6"/>
  <c r="U62" i="6"/>
  <c r="E62" i="6"/>
  <c r="A62" i="6"/>
  <c r="A90" i="6" s="1"/>
  <c r="A118" i="6" s="1"/>
  <c r="A146" i="6" s="1"/>
  <c r="A174" i="6" s="1"/>
  <c r="A202" i="6" s="1"/>
  <c r="A230" i="6" s="1"/>
  <c r="A258" i="6" s="1"/>
  <c r="A286" i="6" s="1"/>
  <c r="A314" i="6" s="1"/>
  <c r="A342" i="6" s="1"/>
  <c r="A370" i="6" s="1"/>
  <c r="A398" i="6" s="1"/>
  <c r="A426" i="6" s="1"/>
  <c r="A454" i="6" s="1"/>
  <c r="A482" i="6" s="1"/>
  <c r="A510" i="6" s="1"/>
  <c r="A538" i="6" s="1"/>
  <c r="A566" i="6" s="1"/>
  <c r="BI61" i="6"/>
  <c r="E61" i="6"/>
  <c r="A61" i="6"/>
  <c r="AW59" i="6"/>
  <c r="I100" i="8"/>
  <c r="G100" i="8"/>
  <c r="K97" i="8"/>
  <c r="H97" i="8"/>
  <c r="B96" i="8"/>
  <c r="A59" i="8"/>
  <c r="K55" i="8"/>
  <c r="U34" i="6"/>
  <c r="Y34" i="6"/>
  <c r="AE34" i="6"/>
  <c r="U35" i="6"/>
  <c r="Y35" i="6"/>
  <c r="AE35" i="6"/>
  <c r="U36" i="6"/>
  <c r="Y36" i="6"/>
  <c r="BI36" i="6" s="1"/>
  <c r="AE36" i="6"/>
  <c r="U37" i="6"/>
  <c r="Y37" i="6"/>
  <c r="BI37" i="6" s="1"/>
  <c r="AE37" i="6"/>
  <c r="BC37" i="6" s="1"/>
  <c r="U38" i="6"/>
  <c r="Y38" i="6"/>
  <c r="BI38" i="6" s="1"/>
  <c r="AE38" i="6"/>
  <c r="U39" i="6"/>
  <c r="Y39" i="6"/>
  <c r="AE39" i="6"/>
  <c r="AQ39" i="6" s="1"/>
  <c r="U40" i="6"/>
  <c r="Y40" i="6"/>
  <c r="BI40" i="6" s="1"/>
  <c r="AE40" i="6"/>
  <c r="BC40" i="6" s="1"/>
  <c r="U41" i="6"/>
  <c r="Y41" i="6"/>
  <c r="BI41" i="6" s="1"/>
  <c r="AE41" i="6"/>
  <c r="U42" i="6"/>
  <c r="Y42" i="6"/>
  <c r="AE42" i="6"/>
  <c r="U43" i="6"/>
  <c r="Y43" i="6"/>
  <c r="AE43" i="6"/>
  <c r="U44" i="6"/>
  <c r="Y44" i="6"/>
  <c r="AE44" i="6"/>
  <c r="U45" i="6"/>
  <c r="Y45" i="6"/>
  <c r="AE45" i="6"/>
  <c r="U46" i="6"/>
  <c r="Y46" i="6"/>
  <c r="AE46" i="6"/>
  <c r="AQ46" i="6" s="1"/>
  <c r="U47" i="6"/>
  <c r="Y47" i="6"/>
  <c r="BI47" i="6" s="1"/>
  <c r="AE47" i="6"/>
  <c r="BC47" i="6" s="1"/>
  <c r="U48" i="6"/>
  <c r="Y48" i="6"/>
  <c r="BI48" i="6" s="1"/>
  <c r="AE48" i="6"/>
  <c r="AQ48" i="6" s="1"/>
  <c r="U49" i="6"/>
  <c r="Y49" i="6"/>
  <c r="AE49" i="6"/>
  <c r="AW44" i="6"/>
  <c r="AW43" i="6"/>
  <c r="AW42" i="6"/>
  <c r="AW41" i="6"/>
  <c r="AW40" i="6"/>
  <c r="AW39" i="6"/>
  <c r="AW38" i="6"/>
  <c r="AW37" i="6"/>
  <c r="AW36" i="6"/>
  <c r="AW35" i="6"/>
  <c r="AW34" i="6"/>
  <c r="BC34" i="6" s="1"/>
  <c r="AW49" i="6"/>
  <c r="AW48" i="6"/>
  <c r="AW47" i="6"/>
  <c r="AW46" i="6"/>
  <c r="AW45" i="6"/>
  <c r="BC45" i="6" s="1"/>
  <c r="A33" i="6"/>
  <c r="E33" i="6"/>
  <c r="A34" i="6"/>
  <c r="E34" i="6"/>
  <c r="A35" i="6"/>
  <c r="E35" i="6"/>
  <c r="A36" i="6"/>
  <c r="E36" i="6"/>
  <c r="A37" i="6"/>
  <c r="E37" i="6"/>
  <c r="A38" i="6"/>
  <c r="E38" i="6"/>
  <c r="A39" i="6"/>
  <c r="E39" i="6"/>
  <c r="A40" i="6"/>
  <c r="E40" i="6"/>
  <c r="A41" i="6"/>
  <c r="E41" i="6"/>
  <c r="A42" i="6"/>
  <c r="E42" i="6"/>
  <c r="A43" i="6"/>
  <c r="E43" i="6"/>
  <c r="A44" i="6"/>
  <c r="E44" i="6"/>
  <c r="A45" i="6"/>
  <c r="E45" i="6"/>
  <c r="A46" i="6"/>
  <c r="E46" i="6"/>
  <c r="A47" i="6"/>
  <c r="E47" i="6"/>
  <c r="A48" i="6"/>
  <c r="E48" i="6"/>
  <c r="A49" i="6"/>
  <c r="E49" i="6"/>
  <c r="AW31" i="6"/>
  <c r="BI51" i="6"/>
  <c r="BC49" i="6"/>
  <c r="AQ49" i="6"/>
  <c r="BI49" i="6"/>
  <c r="AQ45" i="6"/>
  <c r="BI45" i="6"/>
  <c r="BC44" i="6"/>
  <c r="AQ44" i="6"/>
  <c r="BI43" i="6"/>
  <c r="BC42" i="6"/>
  <c r="AQ42" i="6"/>
  <c r="BI35" i="6"/>
  <c r="BI34" i="6"/>
  <c r="BI33" i="6"/>
  <c r="AW7" i="6"/>
  <c r="BC7" i="6" s="1"/>
  <c r="AQ7" i="6"/>
  <c r="AW6" i="6"/>
  <c r="BC6" i="6" s="1"/>
  <c r="AQ6" i="6"/>
  <c r="AE17" i="6"/>
  <c r="AE18" i="6"/>
  <c r="AE19" i="6"/>
  <c r="AE20" i="6"/>
  <c r="AE21" i="6"/>
  <c r="Y17" i="6"/>
  <c r="Y18" i="6"/>
  <c r="Y19" i="6"/>
  <c r="Y20" i="6"/>
  <c r="Y21" i="6"/>
  <c r="AE6" i="6"/>
  <c r="AE7" i="6"/>
  <c r="AE8" i="6"/>
  <c r="AE9" i="6"/>
  <c r="AE10" i="6"/>
  <c r="AE11" i="6"/>
  <c r="AE12" i="6"/>
  <c r="AE13" i="6"/>
  <c r="AE14" i="6"/>
  <c r="AE15" i="6"/>
  <c r="AE16" i="6"/>
  <c r="U17" i="6"/>
  <c r="U18" i="6"/>
  <c r="U19" i="6"/>
  <c r="U20" i="6"/>
  <c r="U21" i="6"/>
  <c r="U6" i="6"/>
  <c r="U7" i="6"/>
  <c r="U8" i="6"/>
  <c r="U9" i="6"/>
  <c r="U10" i="6"/>
  <c r="U11" i="6"/>
  <c r="U12" i="6"/>
  <c r="U13" i="6"/>
  <c r="U14" i="6"/>
  <c r="U15" i="6"/>
  <c r="U16" i="6"/>
  <c r="A17" i="6"/>
  <c r="A18" i="6"/>
  <c r="A19" i="6"/>
  <c r="A20" i="6"/>
  <c r="A21" i="6"/>
  <c r="A5" i="6"/>
  <c r="A7" i="6"/>
  <c r="A8" i="6"/>
  <c r="A9" i="6"/>
  <c r="A10" i="6"/>
  <c r="A11" i="6"/>
  <c r="A12" i="6"/>
  <c r="A13" i="6"/>
  <c r="A14" i="6"/>
  <c r="A15" i="6"/>
  <c r="A16" i="6"/>
  <c r="E17" i="6"/>
  <c r="E18" i="6"/>
  <c r="E19" i="6"/>
  <c r="E20" i="6"/>
  <c r="E21" i="6"/>
  <c r="E5" i="6"/>
  <c r="E6" i="6"/>
  <c r="E7" i="6"/>
  <c r="E8" i="6"/>
  <c r="E9" i="6"/>
  <c r="E10" i="6"/>
  <c r="E11" i="6"/>
  <c r="E12" i="6"/>
  <c r="E13" i="6"/>
  <c r="E14" i="6"/>
  <c r="E15" i="6"/>
  <c r="E16" i="6"/>
  <c r="I53" i="8"/>
  <c r="G53" i="8"/>
  <c r="H50" i="8"/>
  <c r="B49" i="8"/>
  <c r="K50" i="8"/>
  <c r="AQ582" i="6" l="1"/>
  <c r="BC582" i="6"/>
  <c r="BI582" i="6"/>
  <c r="AQ566" i="6"/>
  <c r="AQ554" i="6"/>
  <c r="BC554" i="6"/>
  <c r="BI554" i="6"/>
  <c r="AQ538" i="6"/>
  <c r="BC526" i="6"/>
  <c r="BI526" i="6"/>
  <c r="AQ510" i="6"/>
  <c r="AQ520" i="6"/>
  <c r="AQ526" i="6" s="1"/>
  <c r="AQ498" i="6"/>
  <c r="BI498" i="6"/>
  <c r="AQ482" i="6"/>
  <c r="BC484" i="6"/>
  <c r="BC498" i="6" s="1"/>
  <c r="AQ500" i="6" s="1"/>
  <c r="BI500" i="6" s="1"/>
  <c r="AQ470" i="6"/>
  <c r="BC470" i="6"/>
  <c r="BI470" i="6"/>
  <c r="BC454" i="6"/>
  <c r="AQ454" i="6"/>
  <c r="AQ442" i="6"/>
  <c r="BI442" i="6"/>
  <c r="BC442" i="6"/>
  <c r="AQ444" i="6" s="1"/>
  <c r="BI444" i="6" s="1"/>
  <c r="AQ426" i="6"/>
  <c r="BC414" i="6"/>
  <c r="AQ414" i="6"/>
  <c r="BI414" i="6"/>
  <c r="AQ386" i="6"/>
  <c r="BC386" i="6"/>
  <c r="BI386" i="6"/>
  <c r="AQ370" i="6"/>
  <c r="AQ371" i="6"/>
  <c r="AQ358" i="6"/>
  <c r="BC358" i="6"/>
  <c r="BI342" i="6"/>
  <c r="BI358" i="6" s="1"/>
  <c r="AQ343" i="6"/>
  <c r="BC330" i="6"/>
  <c r="AQ330" i="6"/>
  <c r="BI314" i="6"/>
  <c r="BI330" i="6" s="1"/>
  <c r="BI302" i="6"/>
  <c r="AQ302" i="6"/>
  <c r="BC302" i="6"/>
  <c r="AQ304" i="6" s="1"/>
  <c r="BI304" i="6" s="1"/>
  <c r="AQ286" i="6"/>
  <c r="BC274" i="6"/>
  <c r="AQ276" i="6" s="1"/>
  <c r="BI276" i="6" s="1"/>
  <c r="AQ274" i="6"/>
  <c r="BI274" i="6"/>
  <c r="AQ258" i="6"/>
  <c r="AQ271" i="6"/>
  <c r="AQ246" i="6"/>
  <c r="BC246" i="6"/>
  <c r="BI246" i="6"/>
  <c r="AQ218" i="6"/>
  <c r="BC218" i="6"/>
  <c r="AQ220" i="6" s="1"/>
  <c r="BI220" i="6" s="1"/>
  <c r="AQ202" i="6"/>
  <c r="BC190" i="6"/>
  <c r="BI190" i="6"/>
  <c r="AQ174" i="6"/>
  <c r="AQ186" i="6"/>
  <c r="AQ190" i="6" s="1"/>
  <c r="AQ162" i="6"/>
  <c r="BC162" i="6"/>
  <c r="AQ164" i="6" s="1"/>
  <c r="BI164" i="6" s="1"/>
  <c r="AQ146" i="6"/>
  <c r="BC134" i="6"/>
  <c r="BI134" i="6"/>
  <c r="AQ118" i="6"/>
  <c r="AQ120" i="6"/>
  <c r="AQ134" i="6" s="1"/>
  <c r="BC106" i="6"/>
  <c r="BI106" i="6"/>
  <c r="AQ90" i="6"/>
  <c r="AQ105" i="6"/>
  <c r="AQ106" i="6" s="1"/>
  <c r="BC78" i="6"/>
  <c r="AQ78" i="6"/>
  <c r="BI62" i="6"/>
  <c r="BI63" i="6"/>
  <c r="BC36" i="6"/>
  <c r="BC48" i="6"/>
  <c r="BC46" i="6"/>
  <c r="BI46" i="6"/>
  <c r="BC43" i="6"/>
  <c r="BC39" i="6"/>
  <c r="BI42" i="6"/>
  <c r="AQ36" i="6"/>
  <c r="BI39" i="6"/>
  <c r="BI50" i="6" s="1"/>
  <c r="AQ43" i="6"/>
  <c r="AQ34" i="6"/>
  <c r="AQ40" i="6"/>
  <c r="AQ38" i="6"/>
  <c r="BI44" i="6"/>
  <c r="AQ37" i="6"/>
  <c r="AQ35" i="6"/>
  <c r="AQ47" i="6"/>
  <c r="BC35" i="6"/>
  <c r="BC38" i="6"/>
  <c r="AW21" i="6"/>
  <c r="AQ21" i="6"/>
  <c r="AW20" i="6"/>
  <c r="AQ20" i="6"/>
  <c r="AW19" i="6"/>
  <c r="AQ19" i="6"/>
  <c r="AW18" i="6"/>
  <c r="AQ18" i="6"/>
  <c r="AW8" i="6"/>
  <c r="AQ8" i="6"/>
  <c r="AQ584" i="6" l="1"/>
  <c r="BI584" i="6" s="1"/>
  <c r="AQ556" i="6"/>
  <c r="BI556" i="6" s="1"/>
  <c r="AQ528" i="6"/>
  <c r="BI528" i="6" s="1"/>
  <c r="AQ472" i="6"/>
  <c r="BI472" i="6" s="1"/>
  <c r="AQ416" i="6"/>
  <c r="BI416" i="6" s="1"/>
  <c r="AQ388" i="6"/>
  <c r="BI388" i="6" s="1"/>
  <c r="AQ360" i="6"/>
  <c r="BI360" i="6" s="1"/>
  <c r="AQ332" i="6"/>
  <c r="BI332" i="6" s="1"/>
  <c r="AQ248" i="6"/>
  <c r="BI248" i="6" s="1"/>
  <c r="AQ192" i="6"/>
  <c r="BI192" i="6" s="1"/>
  <c r="AQ136" i="6"/>
  <c r="BI136" i="6" s="1"/>
  <c r="AQ108" i="6"/>
  <c r="BI108" i="6" s="1"/>
  <c r="BI78" i="6"/>
  <c r="AQ80" i="6"/>
  <c r="BI80" i="6" s="1"/>
  <c r="BC50" i="6"/>
  <c r="AQ52" i="6" s="1"/>
  <c r="BI52" i="6" s="1"/>
  <c r="AQ50" i="6"/>
  <c r="BC8" i="6"/>
  <c r="BC18" i="6"/>
  <c r="BC19" i="6"/>
  <c r="BC20" i="6"/>
  <c r="BC21" i="6"/>
  <c r="AW16" i="6"/>
  <c r="AQ16" i="6"/>
  <c r="AW15" i="6"/>
  <c r="AQ15" i="6"/>
  <c r="AW14" i="6"/>
  <c r="AQ14" i="6"/>
  <c r="AW12" i="6"/>
  <c r="AQ12" i="6"/>
  <c r="AW11" i="6"/>
  <c r="AQ11" i="6"/>
  <c r="AW10" i="6"/>
  <c r="AQ10" i="6"/>
  <c r="AW9" i="6"/>
  <c r="AQ9" i="6"/>
  <c r="BC10" i="6" l="1"/>
  <c r="BC14" i="6"/>
  <c r="BC16" i="6"/>
  <c r="BC11" i="6"/>
  <c r="BC9" i="6"/>
  <c r="BC15" i="6"/>
  <c r="BC12" i="6"/>
  <c r="AQ17" i="6"/>
  <c r="AQ22" i="6" s="1"/>
  <c r="AW17" i="6"/>
  <c r="BC17" i="6" l="1"/>
  <c r="BC22" i="6" s="1"/>
  <c r="BI23" i="6"/>
  <c r="BI19" i="6" l="1"/>
  <c r="BI18" i="6"/>
  <c r="BI17" i="6"/>
  <c r="BI16" i="6"/>
  <c r="BI15" i="6"/>
  <c r="BI14" i="6"/>
  <c r="BI21" i="6" l="1"/>
  <c r="BI20" i="6"/>
  <c r="K3" i="8" l="1"/>
  <c r="BI12" i="6" l="1"/>
  <c r="BI13" i="6"/>
  <c r="BI5" i="6"/>
  <c r="BI6" i="6"/>
  <c r="BI7" i="6"/>
  <c r="BI8" i="6"/>
  <c r="BI9" i="6"/>
  <c r="BI10" i="6"/>
  <c r="BI11" i="6"/>
  <c r="BI22" i="6" l="1"/>
  <c r="AQ24" i="6" l="1"/>
  <c r="K8" i="8" s="1"/>
  <c r="BI24" i="6" l="1"/>
</calcChain>
</file>

<file path=xl/sharedStrings.xml><?xml version="1.0" encoding="utf-8"?>
<sst xmlns="http://schemas.openxmlformats.org/spreadsheetml/2006/main" count="1801" uniqueCount="92">
  <si>
    <t>項次</t>
  </si>
  <si>
    <t>契約數量</t>
    <phoneticPr fontId="4" type="noConversion"/>
  </si>
  <si>
    <t>本日　　完成數量</t>
    <phoneticPr fontId="4" type="noConversion"/>
  </si>
  <si>
    <t>本日　      完成金額</t>
    <phoneticPr fontId="4" type="noConversion"/>
  </si>
  <si>
    <t>累計　　完成數量</t>
    <phoneticPr fontId="4" type="noConversion"/>
  </si>
  <si>
    <t>累計　    完成金額</t>
    <phoneticPr fontId="4" type="noConversion"/>
  </si>
  <si>
    <t>工程項目</t>
    <phoneticPr fontId="4" type="noConversion"/>
  </si>
  <si>
    <t>單位</t>
    <phoneticPr fontId="4" type="noConversion"/>
  </si>
  <si>
    <t>契約單價</t>
    <phoneticPr fontId="4" type="noConversion"/>
  </si>
  <si>
    <t xml:space="preserve"> 日期：</t>
    <phoneticPr fontId="4" type="noConversion"/>
  </si>
  <si>
    <t>工程名稱：</t>
    <phoneticPr fontId="4" type="noConversion"/>
  </si>
  <si>
    <t>累計完成進度=(累計完成金額÷契約金額)%=</t>
    <phoneticPr fontId="4" type="noConversion"/>
  </si>
  <si>
    <t xml:space="preserve">第二聯                                                                                                    </t>
    <phoneticPr fontId="4" type="noConversion"/>
  </si>
  <si>
    <t>施工日誌</t>
    <phoneticPr fontId="4" type="noConversion"/>
  </si>
  <si>
    <t>負  責  人</t>
    <phoneticPr fontId="4" type="noConversion"/>
  </si>
  <si>
    <t>承　包　廠　商</t>
    <phoneticPr fontId="4" type="noConversion"/>
  </si>
  <si>
    <t>A.</t>
  </si>
  <si>
    <t>B.</t>
  </si>
  <si>
    <t>實際進度(%)</t>
  </si>
  <si>
    <t>公共工程施工日誌</t>
    <phoneticPr fontId="4" type="noConversion"/>
  </si>
  <si>
    <t>表報編號：</t>
  </si>
  <si>
    <t xml:space="preserve">本日天氣：                        </t>
    <phoneticPr fontId="4" type="noConversion"/>
  </si>
  <si>
    <t>上午：</t>
  </si>
  <si>
    <t>晴</t>
    <phoneticPr fontId="4" type="noConversion"/>
  </si>
  <si>
    <t xml:space="preserve"> 下午： 晴</t>
    <phoneticPr fontId="4" type="noConversion"/>
  </si>
  <si>
    <t xml:space="preserve">  填表日期：</t>
    <phoneticPr fontId="4" type="noConversion"/>
  </si>
  <si>
    <t>工程名稱</t>
  </si>
  <si>
    <t>承攬廠商名稱</t>
  </si>
  <si>
    <t>核定工期</t>
    <phoneticPr fontId="4" type="noConversion"/>
  </si>
  <si>
    <t>累計工期</t>
  </si>
  <si>
    <t>剩餘工期</t>
  </si>
  <si>
    <t>開工日期</t>
  </si>
  <si>
    <t>完工日期</t>
  </si>
  <si>
    <t>預定進度(%)</t>
  </si>
  <si>
    <t>一、依施工計畫書執行按圖施工概況（含約定之重要施工項目及完成數量等）：</t>
  </si>
  <si>
    <t>施工項目</t>
  </si>
  <si>
    <t>單位</t>
  </si>
  <si>
    <t>契約數量</t>
  </si>
  <si>
    <t>本日完成數量</t>
  </si>
  <si>
    <t>累計完成數量</t>
  </si>
  <si>
    <t>備註</t>
  </si>
  <si>
    <t>營造業專業工程特定施工項目</t>
  </si>
  <si>
    <t>二、工地材料管理概況（含約定之重要材料使用狀況及數量等）：</t>
  </si>
  <si>
    <t>材料名稱</t>
  </si>
  <si>
    <t>設計數量</t>
  </si>
  <si>
    <t>本日使用數量</t>
  </si>
  <si>
    <t>累計使用數量</t>
  </si>
  <si>
    <t>三、工地人員及機具管理（含約定之出工人數及機具使用情形及數量）：</t>
  </si>
  <si>
    <t>工別</t>
  </si>
  <si>
    <t>本日人數</t>
  </si>
  <si>
    <t>累計人數</t>
  </si>
  <si>
    <t>機具名稱</t>
  </si>
  <si>
    <t>大工</t>
    <phoneticPr fontId="4" type="noConversion"/>
  </si>
  <si>
    <t>小工</t>
    <phoneticPr fontId="4" type="noConversion"/>
  </si>
  <si>
    <t>六、施工取樣試驗紀錄：</t>
  </si>
  <si>
    <t>七、通知協力廠商辦理事項：</t>
  </si>
  <si>
    <t>設立工程告示牌</t>
    <phoneticPr fontId="4" type="noConversion"/>
  </si>
  <si>
    <t>式</t>
    <phoneticPr fontId="4" type="noConversion"/>
  </si>
  <si>
    <t>工程保險</t>
    <phoneticPr fontId="4" type="noConversion"/>
  </si>
  <si>
    <r>
      <t>四、本日施工項目是否有須依「營造業專業工程特定施工項目應置之技術士種類、比率或人數標準表」規定應設置技術士之專業工程：□有</t>
    </r>
    <r>
      <rPr>
        <sz val="9"/>
        <rFont val="Arial"/>
        <family val="2"/>
      </rPr>
      <t xml:space="preserve"> </t>
    </r>
    <r>
      <rPr>
        <sz val="9"/>
        <rFont val="標楷體"/>
        <family val="4"/>
        <charset val="136"/>
      </rPr>
      <t>□無（此項如勾選</t>
    </r>
    <r>
      <rPr>
        <sz val="9"/>
        <rFont val="Arial"/>
        <family val="2"/>
      </rPr>
      <t>”</t>
    </r>
    <r>
      <rPr>
        <sz val="9"/>
        <rFont val="標楷體"/>
        <family val="4"/>
        <charset val="136"/>
      </rPr>
      <t>有</t>
    </r>
    <r>
      <rPr>
        <sz val="9"/>
        <rFont val="Arial"/>
        <family val="2"/>
      </rPr>
      <t>”</t>
    </r>
    <r>
      <rPr>
        <sz val="9"/>
        <rFont val="標楷體"/>
        <family val="4"/>
        <charset val="136"/>
      </rPr>
      <t>，則應填寫後附「公共工程施工日誌之技術士簽章表」）</t>
    </r>
  </si>
  <si>
    <r>
      <t>五、</t>
    </r>
    <r>
      <rPr>
        <sz val="8"/>
        <color rgb="FF000000"/>
        <rFont val="標楷體"/>
        <family val="4"/>
        <charset val="136"/>
      </rPr>
      <t>工地職業安全衛生事項之督導、公共環境與安全之維護及其他工地行政事務：</t>
    </r>
  </si>
  <si>
    <r>
      <t xml:space="preserve"> </t>
    </r>
    <r>
      <rPr>
        <sz val="8"/>
        <color rgb="FFFF0000"/>
        <rFont val="Arial"/>
        <family val="2"/>
      </rPr>
      <t xml:space="preserve"> </t>
    </r>
    <r>
      <rPr>
        <sz val="8"/>
        <color theme="1"/>
        <rFont val="Arial"/>
        <family val="2"/>
      </rPr>
      <t>(</t>
    </r>
    <r>
      <rPr>
        <sz val="8"/>
        <color theme="1"/>
        <rFont val="標楷體"/>
        <family val="4"/>
        <charset val="136"/>
      </rPr>
      <t>ㄧ</t>
    </r>
    <r>
      <rPr>
        <sz val="8"/>
        <color theme="1"/>
        <rFont val="Arial"/>
        <family val="2"/>
      </rPr>
      <t>)</t>
    </r>
    <r>
      <rPr>
        <sz val="8"/>
        <color theme="1"/>
        <rFont val="標楷體"/>
        <family val="4"/>
        <charset val="136"/>
      </rPr>
      <t>施工前檢查事項：</t>
    </r>
  </si>
  <si>
    <r>
      <t xml:space="preserve">   1.</t>
    </r>
    <r>
      <rPr>
        <sz val="8"/>
        <color theme="1"/>
        <rFont val="標楷體"/>
        <family val="4"/>
        <charset val="136"/>
      </rPr>
      <t>實施勤前教育</t>
    </r>
    <r>
      <rPr>
        <sz val="8"/>
        <color theme="1"/>
        <rFont val="Arial"/>
        <family val="2"/>
      </rPr>
      <t>(</t>
    </r>
    <r>
      <rPr>
        <sz val="8"/>
        <color theme="1"/>
        <rFont val="標楷體"/>
        <family val="4"/>
        <charset val="136"/>
      </rPr>
      <t>含工地預防災變及危害告知</t>
    </r>
    <r>
      <rPr>
        <sz val="8"/>
        <color theme="1"/>
        <rFont val="Arial"/>
        <family val="2"/>
      </rPr>
      <t>)</t>
    </r>
    <r>
      <rPr>
        <sz val="8"/>
        <color theme="1"/>
        <rFont val="標楷體"/>
        <family val="4"/>
        <charset val="136"/>
      </rPr>
      <t>：□有 □無</t>
    </r>
  </si>
  <si>
    <r>
      <t xml:space="preserve">   2.</t>
    </r>
    <r>
      <rPr>
        <sz val="8"/>
        <color theme="1"/>
        <rFont val="標楷體"/>
        <family val="4"/>
        <charset val="136"/>
      </rPr>
      <t>確認新進勞工是否提報勞工保險</t>
    </r>
    <r>
      <rPr>
        <sz val="8"/>
        <color theme="1"/>
        <rFont val="Arial"/>
        <family val="2"/>
      </rPr>
      <t>(</t>
    </r>
    <r>
      <rPr>
        <sz val="8"/>
        <color theme="1"/>
        <rFont val="標楷體"/>
        <family val="4"/>
        <charset val="136"/>
      </rPr>
      <t>或其他商業保險</t>
    </r>
    <r>
      <rPr>
        <sz val="8"/>
        <color theme="1"/>
        <rFont val="Arial"/>
        <family val="2"/>
      </rPr>
      <t>)</t>
    </r>
    <r>
      <rPr>
        <sz val="8"/>
        <color theme="1"/>
        <rFont val="標楷體"/>
        <family val="4"/>
        <charset val="136"/>
      </rPr>
      <t>資料及安全衛生教育訓練紀錄：□有 □無 □無新進勞工</t>
    </r>
  </si>
  <si>
    <t xml:space="preserve">   3.檢查勞工個人防護具：□有 □無</t>
  </si>
  <si>
    <r>
      <t xml:space="preserve">  (</t>
    </r>
    <r>
      <rPr>
        <sz val="8"/>
        <color theme="1"/>
        <rFont val="標楷體"/>
        <family val="4"/>
        <charset val="136"/>
      </rPr>
      <t>二</t>
    </r>
    <r>
      <rPr>
        <sz val="8"/>
        <color theme="1"/>
        <rFont val="Arial"/>
        <family val="2"/>
      </rPr>
      <t>)</t>
    </r>
    <r>
      <rPr>
        <sz val="8"/>
        <color theme="1"/>
        <rFont val="標楷體"/>
        <family val="4"/>
        <charset val="136"/>
      </rPr>
      <t>其他事項：</t>
    </r>
  </si>
  <si>
    <r>
      <t>簽章：【工地主任】（註</t>
    </r>
    <r>
      <rPr>
        <sz val="12"/>
        <rFont val="Arial"/>
        <family val="2"/>
      </rPr>
      <t>3</t>
    </r>
    <r>
      <rPr>
        <sz val="12"/>
        <rFont val="標楷體"/>
        <family val="4"/>
        <charset val="136"/>
      </rPr>
      <t>）：</t>
    </r>
  </si>
  <si>
    <t>申報開工</t>
    <phoneticPr fontId="4" type="noConversion"/>
  </si>
  <si>
    <r>
      <t>註：</t>
    </r>
    <r>
      <rPr>
        <sz val="6"/>
        <color theme="1"/>
        <rFont val="Arial"/>
        <family val="2"/>
      </rPr>
      <t>1.</t>
    </r>
    <r>
      <rPr>
        <sz val="6"/>
        <color theme="1"/>
        <rFont val="標楷體"/>
        <family val="4"/>
        <charset val="136"/>
      </rPr>
      <t>依營造業法第</t>
    </r>
    <r>
      <rPr>
        <sz val="6"/>
        <color theme="1"/>
        <rFont val="Arial"/>
        <family val="2"/>
      </rPr>
      <t>32</t>
    </r>
    <r>
      <rPr>
        <sz val="6"/>
        <color theme="1"/>
        <rFont val="標楷體"/>
        <family val="4"/>
        <charset val="136"/>
      </rPr>
      <t>條第</t>
    </r>
    <r>
      <rPr>
        <sz val="6"/>
        <color theme="1"/>
        <rFont val="Arial"/>
        <family val="2"/>
      </rPr>
      <t>1</t>
    </r>
    <r>
      <rPr>
        <sz val="6"/>
        <color theme="1"/>
        <rFont val="標楷體"/>
        <family val="4"/>
        <charset val="136"/>
      </rPr>
      <t>項第</t>
    </r>
    <r>
      <rPr>
        <sz val="6"/>
        <color theme="1"/>
        <rFont val="Arial"/>
        <family val="2"/>
      </rPr>
      <t>2</t>
    </r>
    <r>
      <rPr>
        <sz val="6"/>
        <color theme="1"/>
        <rFont val="標楷體"/>
        <family val="4"/>
        <charset val="136"/>
      </rPr>
      <t>款規定，工地主任應按日填報施工日誌</t>
    </r>
  </si>
  <si>
    <r>
      <t>2.</t>
    </r>
    <r>
      <rPr>
        <sz val="6"/>
        <color theme="1"/>
        <rFont val="標楷體"/>
        <family val="4"/>
        <charset val="136"/>
      </rPr>
      <t>本施工日誌格式僅供參考，惟原則應包含上開欄位，各機關亦得依工程性質及契約約定事項自行增訂之。</t>
    </r>
  </si>
  <si>
    <r>
      <t>3.</t>
    </r>
    <r>
      <rPr>
        <sz val="6"/>
        <color theme="1"/>
        <rFont val="標楷體"/>
        <family val="4"/>
        <charset val="136"/>
      </rPr>
      <t>本工程依營造業法第</t>
    </r>
    <r>
      <rPr>
        <sz val="6"/>
        <color theme="1"/>
        <rFont val="Arial"/>
        <family val="2"/>
      </rPr>
      <t>30</t>
    </r>
    <r>
      <rPr>
        <sz val="6"/>
        <color theme="1"/>
        <rFont val="標楷體"/>
        <family val="4"/>
        <charset val="136"/>
      </rPr>
      <t>條規定須置工地主任者，由工地主任簽章；依上開規定免置工地主任者，則由營造業法第</t>
    </r>
    <r>
      <rPr>
        <sz val="6"/>
        <color theme="1"/>
        <rFont val="Arial"/>
        <family val="2"/>
      </rPr>
      <t>32</t>
    </r>
    <r>
      <rPr>
        <sz val="6"/>
        <color theme="1"/>
        <rFont val="標楷體"/>
        <family val="4"/>
        <charset val="136"/>
      </rPr>
      <t>條第</t>
    </r>
    <r>
      <rPr>
        <sz val="6"/>
        <color theme="1"/>
        <rFont val="Arial"/>
        <family val="2"/>
      </rPr>
      <t>2</t>
    </r>
    <r>
      <rPr>
        <sz val="6"/>
        <color theme="1"/>
        <rFont val="標楷體"/>
        <family val="4"/>
        <charset val="136"/>
      </rPr>
      <t>項所定之人員簽章。廠商非屬營造業者，由工地負責人簽章。</t>
    </r>
  </si>
  <si>
    <r>
      <t>4.</t>
    </r>
    <r>
      <rPr>
        <sz val="6"/>
        <color theme="1"/>
        <rFont val="標楷體"/>
        <family val="4"/>
        <charset val="136"/>
      </rPr>
      <t>契約工期如有修正，應填修正後之契約工期，含展延工期及不計工期天數；如有依契約變更設計，預定進度及實際進度應填變更設計後計算之進度。</t>
    </r>
  </si>
  <si>
    <r>
      <t>5.</t>
    </r>
    <r>
      <rPr>
        <sz val="6"/>
        <color theme="1"/>
        <rFont val="標楷體"/>
        <family val="4"/>
        <charset val="136"/>
      </rPr>
      <t>上開重要事項記錄包含（</t>
    </r>
    <r>
      <rPr>
        <sz val="6"/>
        <color theme="1"/>
        <rFont val="Arial"/>
        <family val="2"/>
      </rPr>
      <t>1</t>
    </r>
    <r>
      <rPr>
        <sz val="6"/>
        <color theme="1"/>
        <rFont val="標楷體"/>
        <family val="4"/>
        <charset val="136"/>
      </rPr>
      <t>）主辦機關及監造單位指示（</t>
    </r>
    <r>
      <rPr>
        <sz val="6"/>
        <color theme="1"/>
        <rFont val="Arial"/>
        <family val="2"/>
      </rPr>
      <t>2</t>
    </r>
    <r>
      <rPr>
        <sz val="6"/>
        <color theme="1"/>
        <rFont val="標楷體"/>
        <family val="4"/>
        <charset val="136"/>
      </rPr>
      <t>）工地遇緊急異常狀況之通報處理情形（</t>
    </r>
    <r>
      <rPr>
        <sz val="6"/>
        <color theme="1"/>
        <rFont val="Arial"/>
        <family val="2"/>
      </rPr>
      <t>3</t>
    </r>
    <r>
      <rPr>
        <sz val="6"/>
        <color theme="1"/>
        <rFont val="標楷體"/>
        <family val="4"/>
        <charset val="136"/>
      </rPr>
      <t>）本日是否由專任工程人員督察按圖施工、解決施工技術問題等。</t>
    </r>
  </si>
  <si>
    <r>
      <t>6.</t>
    </r>
    <r>
      <rPr>
        <sz val="6"/>
        <color theme="1"/>
        <rFont val="標楷體"/>
        <family val="4"/>
        <charset val="136"/>
      </rPr>
      <t>公共工程屬建築物者，請依內政部</t>
    </r>
    <r>
      <rPr>
        <sz val="6"/>
        <color theme="1"/>
        <rFont val="Arial"/>
        <family val="2"/>
      </rPr>
      <t>99</t>
    </r>
    <r>
      <rPr>
        <sz val="6"/>
        <color theme="1"/>
        <rFont val="標楷體"/>
        <family val="4"/>
        <charset val="136"/>
      </rPr>
      <t>年</t>
    </r>
    <r>
      <rPr>
        <sz val="6"/>
        <color theme="1"/>
        <rFont val="Arial"/>
        <family val="2"/>
      </rPr>
      <t>2</t>
    </r>
    <r>
      <rPr>
        <sz val="6"/>
        <color theme="1"/>
        <rFont val="標楷體"/>
        <family val="4"/>
        <charset val="136"/>
      </rPr>
      <t>月</t>
    </r>
    <r>
      <rPr>
        <sz val="6"/>
        <color theme="1"/>
        <rFont val="Arial"/>
        <family val="2"/>
      </rPr>
      <t>5</t>
    </r>
    <r>
      <rPr>
        <sz val="6"/>
        <color theme="1"/>
        <rFont val="標楷體"/>
        <family val="4"/>
        <charset val="136"/>
      </rPr>
      <t>日台內營字第</t>
    </r>
    <r>
      <rPr>
        <sz val="6"/>
        <color theme="1"/>
        <rFont val="Arial"/>
        <family val="2"/>
      </rPr>
      <t>0990800804</t>
    </r>
    <r>
      <rPr>
        <sz val="6"/>
        <color theme="1"/>
        <rFont val="標楷體"/>
        <family val="4"/>
        <charset val="136"/>
      </rPr>
      <t>號令頒之「建築物施工日誌」填寫。</t>
    </r>
  </si>
  <si>
    <t>工期展延天數</t>
    <phoneticPr fontId="4" type="noConversion"/>
  </si>
  <si>
    <t>計</t>
    <phoneticPr fontId="4" type="noConversion"/>
  </si>
  <si>
    <t>八、重要事項記錄：</t>
    <phoneticPr fontId="4" type="noConversion"/>
  </si>
  <si>
    <t>雲林縣二崙鄉永定國民小學</t>
    <phoneticPr fontId="4" type="noConversion"/>
  </si>
  <si>
    <t>雲林縣永定國小114年度改善無障礙校園環境工程</t>
    <phoneticPr fontId="4" type="noConversion"/>
  </si>
  <si>
    <t>施工廠商：和穩土木包工業</t>
    <phoneticPr fontId="4" type="noConversion"/>
  </si>
  <si>
    <t>施工日期：114年09月10日~114年09月30日</t>
    <phoneticPr fontId="4" type="noConversion"/>
  </si>
  <si>
    <t>和穩土木包工業</t>
    <phoneticPr fontId="4" type="noConversion"/>
  </si>
  <si>
    <t>60日曆天</t>
    <phoneticPr fontId="4" type="noConversion"/>
  </si>
  <si>
    <t>114年09年10日</t>
    <phoneticPr fontId="4" type="noConversion"/>
  </si>
  <si>
    <t>114年11月08日</t>
    <phoneticPr fontId="4" type="noConversion"/>
  </si>
  <si>
    <t xml:space="preserve">              公共工程施工日誌</t>
    <phoneticPr fontId="4" type="noConversion"/>
  </si>
  <si>
    <t>測量放樣</t>
    <phoneticPr fontId="4" type="noConversion"/>
  </si>
  <si>
    <t>M</t>
    <phoneticPr fontId="4" type="noConversion"/>
  </si>
  <si>
    <t>備料</t>
    <phoneticPr fontId="4" type="noConversion"/>
  </si>
  <si>
    <t>教室出入口地坪打除</t>
    <phoneticPr fontId="4" type="noConversion"/>
  </si>
  <si>
    <t>司令台階梯打除</t>
    <phoneticPr fontId="4" type="noConversion"/>
  </si>
  <si>
    <t>環境整理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</si>
</sst>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,##0.00;[Red]#,##0.00"/>
    <numFmt numFmtId="177" formatCode="[$-404]e&quot;年&quot;m&quot;月&quot;d&quot;日&quot;;@"/>
    <numFmt numFmtId="178" formatCode="##&quot;天&quot;"/>
    <numFmt numFmtId="179" formatCode="yyyy&quot;年&quot;m&quot;月&quot;d&quot;日&quot;;@"/>
    <numFmt numFmtId="180" formatCode="[$-404]aaaa;@"/>
    <numFmt numFmtId="181" formatCode="##&quot;0天&quot;"/>
    <numFmt numFmtId="182" formatCode="0.000%"/>
    <numFmt numFmtId="183" formatCode="#,##0;[Red]#,##0"/>
    <numFmt numFmtId="184" formatCode="#,##0.0;[Red]#,##0.0"/>
    <numFmt numFmtId="185" formatCode="#,##0.000;[Red]#,##0.000"/>
  </numFmts>
  <fonts count="33" x14ac:knownFonts="1">
    <font>
      <sz val="12"/>
      <name val="新細明體"/>
      <family val="1"/>
      <charset val="136"/>
    </font>
    <font>
      <b/>
      <sz val="20"/>
      <name val="標楷體"/>
      <family val="4"/>
      <charset val="136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1"/>
      <color indexed="12"/>
      <name val="標楷體"/>
      <family val="4"/>
      <charset val="136"/>
    </font>
    <font>
      <sz val="12"/>
      <color indexed="8"/>
      <name val="新細明體"/>
      <family val="1"/>
      <charset val="136"/>
    </font>
    <font>
      <sz val="36"/>
      <color indexed="8"/>
      <name val="標楷體"/>
      <family val="4"/>
      <charset val="136"/>
    </font>
    <font>
      <b/>
      <sz val="80"/>
      <color rgb="FFFF0000"/>
      <name val="標楷體"/>
      <family val="4"/>
      <charset val="136"/>
    </font>
    <font>
      <sz val="25"/>
      <color indexed="8"/>
      <name val="標楷體"/>
      <family val="4"/>
      <charset val="136"/>
    </font>
    <font>
      <sz val="10"/>
      <color indexed="12"/>
      <name val="標楷體"/>
      <family val="4"/>
      <charset val="136"/>
    </font>
    <font>
      <sz val="6"/>
      <name val="新細明體"/>
      <family val="1"/>
      <charset val="136"/>
    </font>
    <font>
      <b/>
      <sz val="16"/>
      <name val="標楷體"/>
      <family val="4"/>
      <charset val="136"/>
    </font>
    <font>
      <sz val="9"/>
      <name val="標楷體"/>
      <family val="4"/>
      <charset val="136"/>
    </font>
    <font>
      <sz val="9"/>
      <name val="Arial"/>
      <family val="2"/>
    </font>
    <font>
      <sz val="8"/>
      <color theme="1"/>
      <name val="標楷體"/>
      <family val="4"/>
      <charset val="136"/>
    </font>
    <font>
      <sz val="8"/>
      <color rgb="FF000000"/>
      <name val="標楷體"/>
      <family val="4"/>
      <charset val="136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12"/>
      <color theme="1"/>
      <name val="標楷體"/>
      <family val="4"/>
      <charset val="136"/>
    </font>
    <font>
      <sz val="12"/>
      <name val="Arial"/>
      <family val="2"/>
    </font>
    <font>
      <sz val="6"/>
      <color theme="1"/>
      <name val="標楷體"/>
      <family val="4"/>
      <charset val="136"/>
    </font>
    <font>
      <sz val="6"/>
      <color theme="1"/>
      <name val="Arial"/>
      <family val="2"/>
    </font>
    <font>
      <sz val="6"/>
      <color theme="1"/>
      <name val="新細明體"/>
      <family val="2"/>
      <charset val="136"/>
      <scheme val="minor"/>
    </font>
    <font>
      <sz val="11"/>
      <color rgb="FFFF0000"/>
      <name val="標楷體"/>
      <family val="4"/>
      <charset val="136"/>
    </font>
    <font>
      <sz val="12"/>
      <color rgb="FFFF0000"/>
      <name val="標楷體"/>
      <family val="4"/>
      <charset val="136"/>
    </font>
    <font>
      <sz val="8"/>
      <color rgb="FFFF0000"/>
      <name val="標楷體"/>
      <family val="4"/>
      <charset val="136"/>
    </font>
    <font>
      <sz val="10"/>
      <color rgb="FFFF0000"/>
      <name val="標楷體"/>
      <family val="4"/>
      <charset val="136"/>
    </font>
    <font>
      <sz val="23"/>
      <color indexed="8"/>
      <name val="標楷體"/>
      <family val="4"/>
      <charset val="136"/>
    </font>
    <font>
      <sz val="10"/>
      <name val="Helv"/>
      <family val="2"/>
    </font>
    <font>
      <sz val="11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7" fillId="0" borderId="0">
      <alignment vertical="center"/>
    </xf>
    <xf numFmtId="0" fontId="31" fillId="0" borderId="0"/>
  </cellStyleXfs>
  <cellXfs count="190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176" fontId="6" fillId="0" borderId="0" xfId="0" applyNumberFormat="1" applyFont="1" applyAlignment="1">
      <alignment horizontal="right" vertical="center" wrapText="1"/>
    </xf>
    <xf numFmtId="0" fontId="2" fillId="0" borderId="9" xfId="0" applyFont="1" applyBorder="1" applyAlignment="1">
      <alignment horizontal="center" vertical="center" wrapText="1"/>
    </xf>
    <xf numFmtId="178" fontId="2" fillId="0" borderId="0" xfId="0" applyNumberFormat="1" applyFont="1" applyAlignment="1">
      <alignment vertical="center"/>
    </xf>
    <xf numFmtId="0" fontId="2" fillId="0" borderId="8" xfId="0" applyFont="1" applyBorder="1" applyAlignment="1">
      <alignment horizontal="center" vertical="center" shrinkToFit="1"/>
    </xf>
    <xf numFmtId="178" fontId="2" fillId="0" borderId="9" xfId="0" applyNumberFormat="1" applyFont="1" applyBorder="1" applyAlignment="1">
      <alignment horizontal="center" vertical="center" wrapText="1"/>
    </xf>
    <xf numFmtId="181" fontId="2" fillId="0" borderId="11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justify" vertical="center" wrapText="1"/>
    </xf>
    <xf numFmtId="0" fontId="12" fillId="0" borderId="0" xfId="0" applyFont="1" applyAlignment="1">
      <alignment vertical="center"/>
    </xf>
    <xf numFmtId="0" fontId="2" fillId="0" borderId="9" xfId="0" applyFont="1" applyBorder="1" applyAlignment="1">
      <alignment horizontal="center"/>
    </xf>
    <xf numFmtId="0" fontId="23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182" fontId="2" fillId="0" borderId="0" xfId="0" applyNumberFormat="1" applyFont="1" applyAlignment="1">
      <alignment vertical="center"/>
    </xf>
    <xf numFmtId="183" fontId="6" fillId="0" borderId="0" xfId="0" applyNumberFormat="1" applyFont="1" applyAlignment="1">
      <alignment horizontal="right" vertical="center" wrapText="1"/>
    </xf>
    <xf numFmtId="183" fontId="11" fillId="0" borderId="0" xfId="0" applyNumberFormat="1" applyFont="1" applyAlignment="1">
      <alignment horizontal="right" vertical="center" wrapText="1"/>
    </xf>
    <xf numFmtId="176" fontId="26" fillId="0" borderId="0" xfId="0" applyNumberFormat="1" applyFont="1" applyAlignment="1">
      <alignment horizontal="right" vertical="center" wrapText="1"/>
    </xf>
    <xf numFmtId="0" fontId="27" fillId="0" borderId="0" xfId="0" applyFont="1" applyAlignment="1">
      <alignment vertical="center"/>
    </xf>
    <xf numFmtId="183" fontId="26" fillId="0" borderId="0" xfId="0" applyNumberFormat="1" applyFont="1" applyAlignment="1">
      <alignment horizontal="right" vertical="center" wrapText="1"/>
    </xf>
    <xf numFmtId="0" fontId="10" fillId="0" borderId="0" xfId="1" applyFont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30" fillId="0" borderId="0" xfId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0" fillId="0" borderId="28" xfId="0" applyFont="1" applyBorder="1" applyAlignment="1">
      <alignment horizontal="justify" vertical="center" wrapText="1"/>
    </xf>
    <xf numFmtId="0" fontId="20" fillId="0" borderId="0" xfId="0" applyFont="1" applyAlignment="1">
      <alignment horizontal="justify" vertical="center" wrapText="1"/>
    </xf>
    <xf numFmtId="0" fontId="20" fillId="0" borderId="29" xfId="0" applyFont="1" applyBorder="1" applyAlignment="1">
      <alignment horizontal="justify" vertical="center" wrapText="1"/>
    </xf>
    <xf numFmtId="0" fontId="16" fillId="0" borderId="28" xfId="0" applyFont="1" applyBorder="1" applyAlignment="1">
      <alignment horizontal="justify" vertical="center" wrapText="1"/>
    </xf>
    <xf numFmtId="0" fontId="16" fillId="0" borderId="0" xfId="0" applyFont="1" applyAlignment="1">
      <alignment horizontal="justify" vertical="center" wrapText="1"/>
    </xf>
    <xf numFmtId="0" fontId="16" fillId="0" borderId="29" xfId="0" applyFont="1" applyBorder="1" applyAlignment="1">
      <alignment horizontal="justify" vertical="center" wrapText="1"/>
    </xf>
    <xf numFmtId="0" fontId="20" fillId="0" borderId="30" xfId="0" applyFont="1" applyBorder="1" applyAlignment="1">
      <alignment horizontal="justify" vertical="center" wrapText="1"/>
    </xf>
    <xf numFmtId="0" fontId="20" fillId="0" borderId="2" xfId="0" applyFont="1" applyBorder="1" applyAlignment="1">
      <alignment horizontal="justify" vertical="center" wrapText="1"/>
    </xf>
    <xf numFmtId="0" fontId="20" fillId="0" borderId="31" xfId="0" applyFont="1" applyBorder="1" applyAlignment="1">
      <alignment horizontal="justify" vertical="center" wrapText="1"/>
    </xf>
    <xf numFmtId="0" fontId="21" fillId="0" borderId="24" xfId="0" applyFont="1" applyBorder="1" applyAlignment="1">
      <alignment horizontal="justify" vertical="center" wrapText="1"/>
    </xf>
    <xf numFmtId="0" fontId="21" fillId="0" borderId="25" xfId="0" applyFont="1" applyBorder="1" applyAlignment="1">
      <alignment horizontal="justify" vertical="center" wrapText="1"/>
    </xf>
    <xf numFmtId="0" fontId="21" fillId="0" borderId="26" xfId="0" applyFont="1" applyBorder="1" applyAlignment="1">
      <alignment horizontal="justify" vertical="center" wrapText="1"/>
    </xf>
    <xf numFmtId="0" fontId="2" fillId="0" borderId="24" xfId="0" applyFont="1" applyBorder="1" applyAlignment="1">
      <alignment horizontal="justify" vertical="center" wrapText="1"/>
    </xf>
    <xf numFmtId="0" fontId="2" fillId="0" borderId="25" xfId="0" applyFont="1" applyBorder="1" applyAlignment="1">
      <alignment horizontal="justify" vertical="center" wrapText="1"/>
    </xf>
    <xf numFmtId="0" fontId="2" fillId="0" borderId="26" xfId="0" applyFont="1" applyBorder="1" applyAlignment="1">
      <alignment horizontal="justify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14" fillId="0" borderId="24" xfId="0" applyFont="1" applyBorder="1" applyAlignment="1">
      <alignment horizontal="justify" vertical="center" wrapText="1"/>
    </xf>
    <xf numFmtId="0" fontId="14" fillId="0" borderId="25" xfId="0" applyFont="1" applyBorder="1" applyAlignment="1">
      <alignment horizontal="justify" vertical="center" wrapText="1"/>
    </xf>
    <xf numFmtId="0" fontId="14" fillId="0" borderId="26" xfId="0" applyFont="1" applyBorder="1" applyAlignment="1">
      <alignment horizontal="justify" vertical="center" wrapText="1"/>
    </xf>
    <xf numFmtId="0" fontId="16" fillId="0" borderId="3" xfId="0" applyFont="1" applyBorder="1" applyAlignment="1">
      <alignment horizontal="justify" vertical="center" wrapText="1"/>
    </xf>
    <xf numFmtId="0" fontId="16" fillId="0" borderId="1" xfId="0" applyFont="1" applyBorder="1" applyAlignment="1">
      <alignment horizontal="justify" vertical="center" wrapText="1"/>
    </xf>
    <xf numFmtId="0" fontId="16" fillId="0" borderId="27" xfId="0" applyFont="1" applyBorder="1" applyAlignment="1">
      <alignment horizontal="justify" vertical="center" wrapText="1"/>
    </xf>
    <xf numFmtId="0" fontId="18" fillId="0" borderId="28" xfId="0" applyFont="1" applyBorder="1" applyAlignment="1">
      <alignment horizontal="justify" vertical="center" wrapText="1"/>
    </xf>
    <xf numFmtId="0" fontId="18" fillId="0" borderId="0" xfId="0" applyFont="1" applyAlignment="1">
      <alignment horizontal="justify" vertical="center" wrapText="1"/>
    </xf>
    <xf numFmtId="0" fontId="18" fillId="0" borderId="29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/>
    <xf numFmtId="14" fontId="2" fillId="0" borderId="9" xfId="0" applyNumberFormat="1" applyFont="1" applyBorder="1" applyAlignment="1">
      <alignment horizontal="center" vertical="center" wrapText="1"/>
    </xf>
    <xf numFmtId="10" fontId="2" fillId="0" borderId="9" xfId="0" applyNumberFormat="1" applyFont="1" applyBorder="1" applyAlignment="1">
      <alignment horizontal="center" vertical="center" wrapText="1"/>
    </xf>
    <xf numFmtId="182" fontId="2" fillId="0" borderId="9" xfId="0" applyNumberFormat="1" applyFont="1" applyBorder="1" applyAlignment="1">
      <alignment horizontal="center" vertical="center" wrapText="1"/>
    </xf>
    <xf numFmtId="182" fontId="2" fillId="0" borderId="1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179" fontId="2" fillId="0" borderId="2" xfId="0" applyNumberFormat="1" applyFont="1" applyBorder="1" applyAlignment="1">
      <alignment horizontal="left" vertical="center" shrinkToFit="1"/>
    </xf>
    <xf numFmtId="180" fontId="2" fillId="0" borderId="2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78" fontId="2" fillId="0" borderId="9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7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82" fontId="5" fillId="0" borderId="17" xfId="0" applyNumberFormat="1" applyFont="1" applyBorder="1" applyAlignment="1">
      <alignment vertical="center"/>
    </xf>
    <xf numFmtId="182" fontId="5" fillId="0" borderId="16" xfId="0" applyNumberFormat="1" applyFont="1" applyBorder="1" applyAlignment="1">
      <alignment vertical="center"/>
    </xf>
    <xf numFmtId="182" fontId="5" fillId="0" borderId="10" xfId="0" applyNumberFormat="1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1" fillId="0" borderId="15" xfId="0" applyFont="1" applyBorder="1" applyAlignment="1">
      <alignment horizontal="center" vertical="top" wrapText="1"/>
    </xf>
    <xf numFmtId="0" fontId="21" fillId="0" borderId="16" xfId="0" applyFont="1" applyBorder="1" applyAlignment="1">
      <alignment horizontal="center"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84" fontId="32" fillId="0" borderId="17" xfId="0" applyNumberFormat="1" applyFont="1" applyBorder="1" applyAlignment="1">
      <alignment vertical="center"/>
    </xf>
    <xf numFmtId="184" fontId="32" fillId="0" borderId="16" xfId="0" applyNumberFormat="1" applyFont="1" applyBorder="1" applyAlignment="1">
      <alignment vertical="center"/>
    </xf>
    <xf numFmtId="184" fontId="32" fillId="0" borderId="10" xfId="0" applyNumberFormat="1" applyFont="1" applyBorder="1" applyAlignment="1">
      <alignment vertical="center"/>
    </xf>
    <xf numFmtId="183" fontId="32" fillId="0" borderId="17" xfId="0" applyNumberFormat="1" applyFont="1" applyBorder="1" applyAlignment="1">
      <alignment vertical="center"/>
    </xf>
    <xf numFmtId="183" fontId="32" fillId="0" borderId="16" xfId="0" applyNumberFormat="1" applyFont="1" applyBorder="1" applyAlignment="1">
      <alignment vertical="center"/>
    </xf>
    <xf numFmtId="183" fontId="32" fillId="0" borderId="10" xfId="0" applyNumberFormat="1" applyFont="1" applyBorder="1" applyAlignment="1">
      <alignment vertical="center"/>
    </xf>
    <xf numFmtId="184" fontId="32" fillId="0" borderId="18" xfId="0" applyNumberFormat="1" applyFont="1" applyBorder="1" applyAlignment="1">
      <alignment vertical="center"/>
    </xf>
    <xf numFmtId="0" fontId="28" fillId="0" borderId="15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justify" vertical="top" wrapText="1"/>
    </xf>
    <xf numFmtId="0" fontId="27" fillId="0" borderId="16" xfId="0" applyFont="1" applyBorder="1" applyAlignment="1">
      <alignment horizontal="justify" vertical="top" wrapText="1"/>
    </xf>
    <xf numFmtId="0" fontId="27" fillId="0" borderId="10" xfId="0" applyFont="1" applyBorder="1" applyAlignment="1">
      <alignment horizontal="justify" vertical="top" wrapText="1"/>
    </xf>
    <xf numFmtId="0" fontId="27" fillId="0" borderId="17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184" fontId="26" fillId="0" borderId="17" xfId="0" applyNumberFormat="1" applyFont="1" applyBorder="1" applyAlignment="1">
      <alignment vertical="center"/>
    </xf>
    <xf numFmtId="184" fontId="26" fillId="0" borderId="16" xfId="0" applyNumberFormat="1" applyFont="1" applyBorder="1" applyAlignment="1">
      <alignment vertical="center"/>
    </xf>
    <xf numFmtId="184" fontId="26" fillId="0" borderId="10" xfId="0" applyNumberFormat="1" applyFont="1" applyBorder="1" applyAlignment="1">
      <alignment vertical="center"/>
    </xf>
    <xf numFmtId="183" fontId="26" fillId="0" borderId="9" xfId="0" applyNumberFormat="1" applyFont="1" applyBorder="1" applyAlignment="1">
      <alignment vertical="center"/>
    </xf>
    <xf numFmtId="185" fontId="26" fillId="0" borderId="17" xfId="0" applyNumberFormat="1" applyFont="1" applyBorder="1" applyAlignment="1">
      <alignment vertical="center"/>
    </xf>
    <xf numFmtId="185" fontId="26" fillId="0" borderId="16" xfId="0" applyNumberFormat="1" applyFont="1" applyBorder="1" applyAlignment="1">
      <alignment vertical="center"/>
    </xf>
    <xf numFmtId="185" fontId="26" fillId="0" borderId="10" xfId="0" applyNumberFormat="1" applyFont="1" applyBorder="1" applyAlignment="1">
      <alignment vertical="center"/>
    </xf>
    <xf numFmtId="183" fontId="26" fillId="0" borderId="17" xfId="0" applyNumberFormat="1" applyFont="1" applyBorder="1" applyAlignment="1">
      <alignment vertical="center"/>
    </xf>
    <xf numFmtId="183" fontId="26" fillId="0" borderId="16" xfId="0" applyNumberFormat="1" applyFont="1" applyBorder="1" applyAlignment="1">
      <alignment vertical="center"/>
    </xf>
    <xf numFmtId="183" fontId="26" fillId="0" borderId="10" xfId="0" applyNumberFormat="1" applyFont="1" applyBorder="1" applyAlignment="1">
      <alignment vertical="center"/>
    </xf>
    <xf numFmtId="184" fontId="26" fillId="0" borderId="18" xfId="0" applyNumberFormat="1" applyFont="1" applyBorder="1" applyAlignment="1">
      <alignment vertical="center"/>
    </xf>
    <xf numFmtId="184" fontId="29" fillId="0" borderId="17" xfId="0" applyNumberFormat="1" applyFont="1" applyBorder="1" applyAlignment="1">
      <alignment vertical="center"/>
    </xf>
    <xf numFmtId="184" fontId="29" fillId="0" borderId="16" xfId="0" applyNumberFormat="1" applyFont="1" applyBorder="1" applyAlignment="1">
      <alignment vertical="center"/>
    </xf>
    <xf numFmtId="184" fontId="29" fillId="0" borderId="10" xfId="0" applyNumberFormat="1" applyFont="1" applyBorder="1" applyAlignment="1">
      <alignment vertical="center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justify" vertical="top" wrapText="1"/>
    </xf>
    <xf numFmtId="0" fontId="21" fillId="0" borderId="16" xfId="0" applyFont="1" applyBorder="1" applyAlignment="1">
      <alignment horizontal="justify" vertical="top" wrapText="1"/>
    </xf>
    <xf numFmtId="0" fontId="21" fillId="0" borderId="10" xfId="0" applyFont="1" applyBorder="1" applyAlignment="1">
      <alignment horizontal="justify" vertical="top" wrapText="1"/>
    </xf>
    <xf numFmtId="184" fontId="3" fillId="0" borderId="17" xfId="0" applyNumberFormat="1" applyFont="1" applyBorder="1" applyAlignment="1">
      <alignment vertical="center"/>
    </xf>
    <xf numFmtId="184" fontId="3" fillId="0" borderId="16" xfId="0" applyNumberFormat="1" applyFont="1" applyBorder="1" applyAlignment="1">
      <alignment vertical="center"/>
    </xf>
    <xf numFmtId="184" fontId="3" fillId="0" borderId="10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4" fontId="5" fillId="0" borderId="17" xfId="0" applyNumberFormat="1" applyFont="1" applyBorder="1" applyAlignment="1">
      <alignment vertical="center"/>
    </xf>
    <xf numFmtId="184" fontId="5" fillId="0" borderId="16" xfId="0" applyNumberFormat="1" applyFont="1" applyBorder="1" applyAlignment="1">
      <alignment vertical="center"/>
    </xf>
    <xf numFmtId="184" fontId="5" fillId="0" borderId="10" xfId="0" applyNumberFormat="1" applyFont="1" applyBorder="1" applyAlignment="1">
      <alignment vertical="center"/>
    </xf>
    <xf numFmtId="183" fontId="5" fillId="0" borderId="17" xfId="0" applyNumberFormat="1" applyFont="1" applyBorder="1" applyAlignment="1">
      <alignment vertical="center"/>
    </xf>
    <xf numFmtId="183" fontId="5" fillId="0" borderId="16" xfId="0" applyNumberFormat="1" applyFont="1" applyBorder="1" applyAlignment="1">
      <alignment vertical="center"/>
    </xf>
    <xf numFmtId="183" fontId="5" fillId="0" borderId="10" xfId="0" applyNumberFormat="1" applyFont="1" applyBorder="1" applyAlignment="1">
      <alignment vertical="center"/>
    </xf>
    <xf numFmtId="184" fontId="5" fillId="0" borderId="18" xfId="0" applyNumberFormat="1" applyFont="1" applyBorder="1" applyAlignment="1">
      <alignment vertical="center"/>
    </xf>
    <xf numFmtId="184" fontId="5" fillId="0" borderId="9" xfId="0" applyNumberFormat="1" applyFont="1" applyBorder="1" applyAlignment="1">
      <alignment vertical="center"/>
    </xf>
    <xf numFmtId="184" fontId="5" fillId="0" borderId="11" xfId="0" applyNumberFormat="1" applyFont="1" applyBorder="1" applyAlignment="1">
      <alignment vertical="center"/>
    </xf>
    <xf numFmtId="183" fontId="3" fillId="0" borderId="9" xfId="0" applyNumberFormat="1" applyFont="1" applyBorder="1" applyAlignment="1">
      <alignment vertical="center"/>
    </xf>
    <xf numFmtId="0" fontId="27" fillId="0" borderId="17" xfId="0" applyFont="1" applyBorder="1" applyAlignment="1">
      <alignment horizontal="left" vertical="top" wrapText="1"/>
    </xf>
    <xf numFmtId="0" fontId="27" fillId="0" borderId="16" xfId="0" applyFont="1" applyBorder="1" applyAlignment="1">
      <alignment horizontal="left" vertical="top" wrapText="1"/>
    </xf>
    <xf numFmtId="0" fontId="27" fillId="0" borderId="10" xfId="0" applyFont="1" applyBorder="1" applyAlignment="1">
      <alignment horizontal="left" vertical="top" wrapText="1"/>
    </xf>
    <xf numFmtId="184" fontId="26" fillId="0" borderId="9" xfId="0" applyNumberFormat="1" applyFont="1" applyBorder="1" applyAlignment="1">
      <alignment vertical="center"/>
    </xf>
    <xf numFmtId="184" fontId="26" fillId="0" borderId="11" xfId="0" applyNumberFormat="1" applyFont="1" applyBorder="1" applyAlignment="1">
      <alignment vertical="center"/>
    </xf>
    <xf numFmtId="0" fontId="21" fillId="0" borderId="17" xfId="0" applyFont="1" applyBorder="1" applyAlignment="1">
      <alignment horizontal="left" vertical="top" wrapText="1"/>
    </xf>
    <xf numFmtId="0" fontId="21" fillId="0" borderId="16" xfId="0" applyFont="1" applyBorder="1" applyAlignment="1">
      <alignment horizontal="left" vertical="top" wrapText="1"/>
    </xf>
    <xf numFmtId="0" fontId="21" fillId="0" borderId="10" xfId="0" applyFont="1" applyBorder="1" applyAlignment="1">
      <alignment horizontal="left" vertical="top" wrapText="1"/>
    </xf>
    <xf numFmtId="176" fontId="32" fillId="0" borderId="9" xfId="0" applyNumberFormat="1" applyFont="1" applyBorder="1" applyAlignment="1">
      <alignment vertical="center"/>
    </xf>
    <xf numFmtId="176" fontId="32" fillId="0" borderId="11" xfId="0" applyNumberFormat="1" applyFont="1" applyBorder="1" applyAlignment="1">
      <alignment vertical="center"/>
    </xf>
    <xf numFmtId="0" fontId="2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  <xf numFmtId="0" fontId="2" fillId="0" borderId="2" xfId="0" applyFont="1" applyBorder="1" applyAlignment="1">
      <alignment horizontal="right" vertical="center"/>
    </xf>
    <xf numFmtId="177" fontId="2" fillId="0" borderId="2" xfId="0" applyNumberFormat="1" applyFont="1" applyBorder="1" applyAlignment="1">
      <alignment horizontal="left" vertical="center"/>
    </xf>
  </cellXfs>
  <cellStyles count="3">
    <cellStyle name="一般" xfId="0" builtinId="0"/>
    <cellStyle name="一般_Sheet3" xfId="1" xr:uid="{00000000-0005-0000-0000-000001000000}"/>
    <cellStyle name="樣式 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1644;&#31337;&#22303;&#26408;&#21253;&#24037;&#26989;\&#27704;&#23450;&#22283;&#23567;-&#28961;&#38556;&#31001;\04&#27010;&#31639;to&#25215;&#21830;&#27770;&#27161;&#37329;&#38989;510000.xls" TargetMode="External"/><Relationship Id="rId1" Type="http://schemas.openxmlformats.org/officeDocument/2006/relationships/externalLinkPath" Target="04&#27010;&#31639;to&#25215;&#21830;&#27770;&#27161;&#37329;&#38989;5100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標單)總表"/>
      <sheetName val="(標單)詳細價目表"/>
      <sheetName val="(標單)單價分析"/>
    </sheetNames>
    <sheetDataSet>
      <sheetData sheetId="0"/>
      <sheetData sheetId="1">
        <row r="2">
          <cell r="A2" t="str">
            <v>壹</v>
          </cell>
          <cell r="B2" t="str">
            <v>直接工程費</v>
          </cell>
        </row>
        <row r="3">
          <cell r="B3" t="str">
            <v>工程告示牌與職安衛告示牌(租用)</v>
          </cell>
          <cell r="C3" t="str">
            <v>式</v>
          </cell>
          <cell r="E3">
            <v>5000</v>
          </cell>
        </row>
        <row r="4">
          <cell r="A4">
            <v>2</v>
          </cell>
          <cell r="B4" t="str">
            <v>三角錐與連桿(租用)</v>
          </cell>
          <cell r="C4" t="str">
            <v>M</v>
          </cell>
          <cell r="E4">
            <v>60</v>
          </cell>
        </row>
        <row r="5">
          <cell r="A5">
            <v>3</v>
          </cell>
          <cell r="B5" t="str">
            <v>施工動線開闢及損害復原；測量與放樣</v>
          </cell>
          <cell r="C5" t="str">
            <v>式</v>
          </cell>
          <cell r="E5">
            <v>4000</v>
          </cell>
        </row>
        <row r="6">
          <cell r="A6">
            <v>4</v>
          </cell>
          <cell r="B6" t="str">
            <v>切割打除清運校舍與教室出入口地坪以及司令台階梯平台(含合法清運證明)</v>
          </cell>
          <cell r="C6" t="str">
            <v>式</v>
          </cell>
          <cell r="E6">
            <v>52817</v>
          </cell>
        </row>
        <row r="7">
          <cell r="A7">
            <v>5</v>
          </cell>
          <cell r="B7" t="str">
            <v>校舍出入口施做斜坡順平高差</v>
          </cell>
          <cell r="C7" t="str">
            <v>M2</v>
          </cell>
          <cell r="E7">
            <v>600</v>
          </cell>
        </row>
        <row r="8">
          <cell r="A8">
            <v>6</v>
          </cell>
          <cell r="B8" t="str">
            <v>開挖整地，新設無障礙RC坡道，牆面與地坪粉刷整平(連工帶料，責任施工)</v>
          </cell>
          <cell r="C8" t="str">
            <v>式</v>
          </cell>
          <cell r="E8">
            <v>153000</v>
          </cell>
        </row>
        <row r="9">
          <cell r="A9">
            <v>7</v>
          </cell>
          <cell r="B9" t="str">
            <v>施做抿石子(1~2分AK石，抿石子專用泥)</v>
          </cell>
          <cell r="C9" t="str">
            <v>M2</v>
          </cell>
          <cell r="E9">
            <v>1460</v>
          </cell>
        </row>
        <row r="10">
          <cell r="A10">
            <v>8</v>
          </cell>
          <cell r="B10" t="str">
            <v>無障礙坡道地坪拉毛</v>
          </cell>
          <cell r="C10" t="str">
            <v>M2</v>
          </cell>
          <cell r="E10">
            <v>100</v>
          </cell>
        </row>
        <row r="11">
          <cell r="A11">
            <v>9</v>
          </cell>
          <cell r="B11" t="str">
            <v>司令台既有樓梯面清潔，刷止滑漆(一底二度)</v>
          </cell>
          <cell r="C11" t="str">
            <v>式</v>
          </cell>
          <cell r="E11">
            <v>3000</v>
          </cell>
        </row>
        <row r="12">
          <cell r="A12">
            <v>10</v>
          </cell>
          <cell r="B12" t="str">
            <v>校舍、教室及司令台坡道出入口配置無線押扣與插電式緊急求救鈴</v>
          </cell>
          <cell r="C12" t="str">
            <v>組</v>
          </cell>
          <cell r="E12">
            <v>700</v>
          </cell>
        </row>
        <row r="13">
          <cell r="A13">
            <v>11</v>
          </cell>
          <cell r="B13" t="str">
            <v>司令台周圍及無障礙坡道安裝不鏽鋼扶手(連工帶料)</v>
          </cell>
          <cell r="C13" t="str">
            <v>M</v>
          </cell>
          <cell r="E13">
            <v>3000</v>
          </cell>
        </row>
        <row r="15">
          <cell r="A15" t="str">
            <v>貳</v>
          </cell>
          <cell r="B15" t="str">
            <v>職業安全衛生管理費與施工環境保護與清潔（壹*2%）</v>
          </cell>
          <cell r="C15" t="str">
            <v>式</v>
          </cell>
          <cell r="D15">
            <v>1</v>
          </cell>
          <cell r="E15">
            <v>8807</v>
          </cell>
        </row>
        <row r="16">
          <cell r="A16" t="str">
            <v>參</v>
          </cell>
          <cell r="B16" t="str">
            <v>公共工程品質管制作業費（壹*1%）</v>
          </cell>
          <cell r="C16" t="str">
            <v>式</v>
          </cell>
          <cell r="D16">
            <v>1</v>
          </cell>
          <cell r="E16">
            <v>4404</v>
          </cell>
        </row>
        <row r="17">
          <cell r="A17" t="str">
            <v>肆</v>
          </cell>
          <cell r="B17" t="str">
            <v>包商管理及利潤費（約壹*7%）</v>
          </cell>
          <cell r="C17" t="str">
            <v>式</v>
          </cell>
          <cell r="D17">
            <v>1</v>
          </cell>
          <cell r="E17">
            <v>30825</v>
          </cell>
        </row>
        <row r="18">
          <cell r="A18" t="str">
            <v>伍</v>
          </cell>
          <cell r="B18" t="str">
            <v>營造綜合保險費</v>
          </cell>
          <cell r="C18" t="str">
            <v>式</v>
          </cell>
          <cell r="D18">
            <v>1</v>
          </cell>
          <cell r="E18">
            <v>1321</v>
          </cell>
        </row>
        <row r="19">
          <cell r="A19" t="str">
            <v>陸</v>
          </cell>
          <cell r="B19" t="str">
            <v>營業稅（(壹~伍)*5％）</v>
          </cell>
          <cell r="C19" t="str">
            <v>式</v>
          </cell>
          <cell r="D19">
            <v>1</v>
          </cell>
          <cell r="E19">
            <v>24286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25"/>
  <sheetViews>
    <sheetView topLeftCell="A7" zoomScaleNormal="100" workbookViewId="0">
      <selection activeCell="A24" sqref="A24:J24"/>
    </sheetView>
  </sheetViews>
  <sheetFormatPr defaultRowHeight="16.5" x14ac:dyDescent="0.25"/>
  <cols>
    <col min="9" max="9" width="20.5" customWidth="1"/>
  </cols>
  <sheetData>
    <row r="4" spans="1:9" ht="50.25" x14ac:dyDescent="0.25">
      <c r="A4" s="22" t="s">
        <v>77</v>
      </c>
      <c r="B4" s="22"/>
      <c r="C4" s="22"/>
      <c r="D4" s="22"/>
      <c r="E4" s="22"/>
      <c r="F4" s="22"/>
      <c r="G4" s="22"/>
      <c r="H4" s="22"/>
      <c r="I4" s="22"/>
    </row>
    <row r="7" spans="1:9" ht="79.150000000000006" customHeight="1" x14ac:dyDescent="0.25">
      <c r="A7" s="23" t="s">
        <v>78</v>
      </c>
      <c r="B7" s="23"/>
      <c r="C7" s="23"/>
      <c r="D7" s="23"/>
      <c r="E7" s="23"/>
      <c r="F7" s="23"/>
      <c r="G7" s="23"/>
      <c r="H7" s="23"/>
      <c r="I7" s="23"/>
    </row>
    <row r="12" spans="1:9" ht="111.75" x14ac:dyDescent="0.25">
      <c r="A12" s="24" t="s">
        <v>13</v>
      </c>
      <c r="B12" s="24"/>
      <c r="C12" s="24"/>
      <c r="D12" s="24"/>
      <c r="E12" s="24"/>
      <c r="F12" s="24"/>
      <c r="G12" s="24"/>
      <c r="H12" s="24"/>
      <c r="I12" s="24"/>
    </row>
    <row r="19" spans="1:10" ht="50.25" x14ac:dyDescent="0.25">
      <c r="A19" s="22"/>
      <c r="B19" s="22"/>
      <c r="C19" s="22"/>
      <c r="D19" s="22"/>
      <c r="E19" s="22"/>
      <c r="F19" s="22"/>
      <c r="G19" s="22"/>
      <c r="H19" s="22"/>
      <c r="I19" s="22"/>
    </row>
    <row r="24" spans="1:10" ht="35.25" x14ac:dyDescent="0.25">
      <c r="A24" s="21" t="s">
        <v>79</v>
      </c>
      <c r="B24" s="21"/>
      <c r="C24" s="21"/>
      <c r="D24" s="21"/>
      <c r="E24" s="21"/>
      <c r="F24" s="21"/>
      <c r="G24" s="21"/>
      <c r="H24" s="21"/>
      <c r="I24" s="21"/>
      <c r="J24" s="21"/>
    </row>
    <row r="25" spans="1:10" ht="35.25" x14ac:dyDescent="0.25">
      <c r="A25" s="21" t="s">
        <v>80</v>
      </c>
      <c r="B25" s="21"/>
      <c r="C25" s="21"/>
      <c r="D25" s="21"/>
      <c r="E25" s="21"/>
      <c r="F25" s="21"/>
      <c r="G25" s="21"/>
      <c r="H25" s="21"/>
      <c r="I25" s="21"/>
      <c r="J25" s="21"/>
    </row>
  </sheetData>
  <mergeCells count="6">
    <mergeCell ref="A25:J25"/>
    <mergeCell ref="A4:I4"/>
    <mergeCell ref="A7:I7"/>
    <mergeCell ref="A12:I12"/>
    <mergeCell ref="A19:I19"/>
    <mergeCell ref="A24:J24"/>
  </mergeCells>
  <phoneticPr fontId="4" type="noConversion"/>
  <pageMargins left="0.7" right="0.7" top="0.75" bottom="0.75" header="0.3" footer="0.3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87"/>
  <sheetViews>
    <sheetView view="pageBreakPreview" zoomScale="99" zoomScaleNormal="400" zoomScaleSheetLayoutView="99" workbookViewId="0">
      <selection activeCell="A949" sqref="A949:M949"/>
    </sheetView>
  </sheetViews>
  <sheetFormatPr defaultRowHeight="16.5" x14ac:dyDescent="0.25"/>
  <cols>
    <col min="1" max="1" width="9.125" style="2" customWidth="1"/>
    <col min="2" max="2" width="6.625" style="2" customWidth="1"/>
    <col min="3" max="3" width="5.375" style="2" customWidth="1"/>
    <col min="4" max="4" width="3.75" style="2" customWidth="1"/>
    <col min="5" max="5" width="9" style="2"/>
    <col min="6" max="6" width="4.125" style="2" customWidth="1"/>
    <col min="7" max="7" width="7.25" style="2" customWidth="1"/>
    <col min="8" max="8" width="12.625" style="2" customWidth="1"/>
    <col min="9" max="9" width="5.125" style="2" customWidth="1"/>
    <col min="10" max="10" width="5.5" style="2" customWidth="1"/>
    <col min="11" max="11" width="6" style="2" customWidth="1"/>
    <col min="12" max="12" width="4.75" style="2" customWidth="1"/>
    <col min="13" max="13" width="11.875" style="5" customWidth="1"/>
    <col min="14" max="14" width="0.5" hidden="1" customWidth="1"/>
    <col min="15" max="20" width="8.875" hidden="1" customWidth="1"/>
    <col min="21" max="21" width="1.375" customWidth="1"/>
  </cols>
  <sheetData>
    <row r="1" spans="1:13" ht="28.15" customHeight="1" x14ac:dyDescent="0.25">
      <c r="A1" s="89" t="s">
        <v>19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x14ac:dyDescent="0.25">
      <c r="A2" s="2" t="s">
        <v>20</v>
      </c>
      <c r="B2" s="2">
        <v>1</v>
      </c>
    </row>
    <row r="3" spans="1:13" ht="17.25" thickBot="1" x14ac:dyDescent="0.3">
      <c r="A3" s="2" t="s">
        <v>21</v>
      </c>
      <c r="B3" s="2" t="s">
        <v>22</v>
      </c>
      <c r="C3" s="2" t="s">
        <v>23</v>
      </c>
      <c r="D3" s="2" t="s">
        <v>24</v>
      </c>
      <c r="F3" s="68" t="s">
        <v>25</v>
      </c>
      <c r="G3" s="68"/>
      <c r="H3" s="69">
        <v>45910</v>
      </c>
      <c r="I3" s="69"/>
      <c r="J3" s="69"/>
      <c r="K3" s="70">
        <f>H3</f>
        <v>45910</v>
      </c>
      <c r="L3" s="70"/>
      <c r="M3" s="70"/>
    </row>
    <row r="4" spans="1:13" ht="16.5" customHeight="1" x14ac:dyDescent="0.25">
      <c r="A4" s="71" t="s">
        <v>26</v>
      </c>
      <c r="B4" s="72"/>
      <c r="C4" s="73"/>
      <c r="D4" s="77" t="s">
        <v>78</v>
      </c>
      <c r="E4" s="78"/>
      <c r="F4" s="78"/>
      <c r="G4" s="79"/>
      <c r="H4" s="83" t="s">
        <v>27</v>
      </c>
      <c r="I4" s="83"/>
      <c r="J4" s="83"/>
      <c r="K4" s="84" t="s">
        <v>81</v>
      </c>
      <c r="L4" s="84"/>
      <c r="M4" s="85"/>
    </row>
    <row r="5" spans="1:13" ht="21" customHeight="1" x14ac:dyDescent="0.25">
      <c r="A5" s="74"/>
      <c r="B5" s="75"/>
      <c r="C5" s="76"/>
      <c r="D5" s="80"/>
      <c r="E5" s="81"/>
      <c r="F5" s="81"/>
      <c r="G5" s="82"/>
      <c r="H5" s="56"/>
      <c r="I5" s="56"/>
      <c r="J5" s="56"/>
      <c r="K5" s="86"/>
      <c r="L5" s="86"/>
      <c r="M5" s="87"/>
    </row>
    <row r="6" spans="1:13" x14ac:dyDescent="0.25">
      <c r="A6" s="6" t="s">
        <v>28</v>
      </c>
      <c r="B6" s="56" t="s">
        <v>82</v>
      </c>
      <c r="C6" s="56"/>
      <c r="D6" s="56" t="s">
        <v>29</v>
      </c>
      <c r="E6" s="56"/>
      <c r="F6" s="56"/>
      <c r="G6" s="7">
        <v>1</v>
      </c>
      <c r="H6" s="4" t="s">
        <v>30</v>
      </c>
      <c r="I6" s="88">
        <v>59</v>
      </c>
      <c r="J6" s="88"/>
      <c r="K6" s="56" t="s">
        <v>74</v>
      </c>
      <c r="L6" s="56"/>
      <c r="M6" s="8">
        <v>0</v>
      </c>
    </row>
    <row r="7" spans="1:13" x14ac:dyDescent="0.25">
      <c r="A7" s="55" t="s">
        <v>31</v>
      </c>
      <c r="B7" s="56"/>
      <c r="C7" s="56"/>
      <c r="D7" s="56" t="s">
        <v>83</v>
      </c>
      <c r="E7" s="56"/>
      <c r="F7" s="56"/>
      <c r="G7" s="56"/>
      <c r="H7" s="56" t="s">
        <v>32</v>
      </c>
      <c r="I7" s="56"/>
      <c r="J7" s="56"/>
      <c r="K7" s="64" t="s">
        <v>84</v>
      </c>
      <c r="L7" s="56"/>
      <c r="M7" s="57"/>
    </row>
    <row r="8" spans="1:13" x14ac:dyDescent="0.25">
      <c r="A8" s="55" t="s">
        <v>33</v>
      </c>
      <c r="B8" s="56"/>
      <c r="C8" s="56"/>
      <c r="D8" s="65">
        <v>2E-3</v>
      </c>
      <c r="E8" s="65"/>
      <c r="F8" s="65"/>
      <c r="G8" s="65"/>
      <c r="H8" s="56" t="s">
        <v>18</v>
      </c>
      <c r="I8" s="56"/>
      <c r="J8" s="56"/>
      <c r="K8" s="66">
        <f>施工項目!AQ24</f>
        <v>4.8686274509803923E-3</v>
      </c>
      <c r="L8" s="66"/>
      <c r="M8" s="67"/>
    </row>
    <row r="9" spans="1:13" x14ac:dyDescent="0.25">
      <c r="A9" s="52" t="s">
        <v>34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4"/>
    </row>
    <row r="10" spans="1:13" s="2" customFormat="1" x14ac:dyDescent="0.25">
      <c r="A10" s="60" t="s">
        <v>35</v>
      </c>
      <c r="B10" s="61"/>
      <c r="C10" s="61"/>
      <c r="D10" s="62"/>
      <c r="E10" s="11" t="s">
        <v>36</v>
      </c>
      <c r="F10" s="60" t="s">
        <v>37</v>
      </c>
      <c r="G10" s="62"/>
      <c r="H10" s="60" t="s">
        <v>38</v>
      </c>
      <c r="I10" s="62"/>
      <c r="J10" s="63" t="s">
        <v>39</v>
      </c>
      <c r="K10" s="63"/>
      <c r="L10" s="56" t="s">
        <v>40</v>
      </c>
      <c r="M10" s="57"/>
    </row>
    <row r="11" spans="1:13" x14ac:dyDescent="0.25">
      <c r="A11" s="52" t="s">
        <v>56</v>
      </c>
      <c r="B11" s="53"/>
      <c r="C11" s="53"/>
      <c r="D11" s="53"/>
      <c r="E11" s="4" t="s">
        <v>57</v>
      </c>
      <c r="F11" s="41">
        <v>1</v>
      </c>
      <c r="G11" s="41"/>
      <c r="H11" s="41">
        <v>1</v>
      </c>
      <c r="I11" s="41"/>
      <c r="J11" s="41">
        <v>1</v>
      </c>
      <c r="K11" s="41"/>
      <c r="L11" s="53"/>
      <c r="M11" s="54"/>
    </row>
    <row r="12" spans="1:13" x14ac:dyDescent="0.25">
      <c r="A12" s="52" t="s">
        <v>58</v>
      </c>
      <c r="B12" s="53"/>
      <c r="C12" s="53"/>
      <c r="D12" s="53"/>
      <c r="E12" s="4" t="s">
        <v>57</v>
      </c>
      <c r="F12" s="41">
        <v>1</v>
      </c>
      <c r="G12" s="41"/>
      <c r="H12" s="41">
        <v>1</v>
      </c>
      <c r="I12" s="41"/>
      <c r="J12" s="41">
        <v>1</v>
      </c>
      <c r="K12" s="41"/>
      <c r="L12" s="53"/>
      <c r="M12" s="54"/>
    </row>
    <row r="13" spans="1:13" x14ac:dyDescent="0.25">
      <c r="A13" s="52" t="s">
        <v>67</v>
      </c>
      <c r="B13" s="53"/>
      <c r="C13" s="53"/>
      <c r="D13" s="53"/>
      <c r="E13" s="4"/>
      <c r="F13" s="41"/>
      <c r="G13" s="41"/>
      <c r="H13" s="41"/>
      <c r="I13" s="41"/>
      <c r="J13" s="41"/>
      <c r="K13" s="41"/>
      <c r="L13" s="53"/>
      <c r="M13" s="54"/>
    </row>
    <row r="14" spans="1:13" x14ac:dyDescent="0.25">
      <c r="A14" s="52"/>
      <c r="B14" s="53"/>
      <c r="C14" s="53"/>
      <c r="D14" s="53"/>
      <c r="E14" s="4"/>
      <c r="F14" s="41"/>
      <c r="G14" s="41"/>
      <c r="H14" s="41"/>
      <c r="I14" s="41"/>
      <c r="J14" s="41"/>
      <c r="K14" s="41"/>
      <c r="L14" s="53"/>
      <c r="M14" s="54"/>
    </row>
    <row r="15" spans="1:13" x14ac:dyDescent="0.25">
      <c r="A15" s="52"/>
      <c r="B15" s="53"/>
      <c r="C15" s="53"/>
      <c r="D15" s="53"/>
      <c r="E15" s="4"/>
      <c r="F15" s="56"/>
      <c r="G15" s="56"/>
      <c r="H15" s="41"/>
      <c r="I15" s="41"/>
      <c r="J15" s="41"/>
      <c r="K15" s="41"/>
      <c r="L15" s="53"/>
      <c r="M15" s="54"/>
    </row>
    <row r="16" spans="1:13" x14ac:dyDescent="0.25">
      <c r="A16" s="52"/>
      <c r="B16" s="53"/>
      <c r="C16" s="53"/>
      <c r="D16" s="53"/>
      <c r="E16" s="4"/>
      <c r="F16" s="41"/>
      <c r="G16" s="41"/>
      <c r="H16" s="41"/>
      <c r="I16" s="41"/>
      <c r="J16" s="58"/>
      <c r="K16" s="59"/>
      <c r="L16" s="53"/>
      <c r="M16" s="54"/>
    </row>
    <row r="17" spans="1:13" x14ac:dyDescent="0.25">
      <c r="A17" s="52"/>
      <c r="B17" s="53"/>
      <c r="C17" s="53"/>
      <c r="D17" s="53"/>
      <c r="E17" s="4"/>
      <c r="F17" s="41"/>
      <c r="G17" s="41"/>
      <c r="H17" s="41"/>
      <c r="I17" s="41"/>
      <c r="J17" s="41"/>
      <c r="K17" s="41"/>
      <c r="L17" s="53"/>
      <c r="M17" s="54"/>
    </row>
    <row r="18" spans="1:13" x14ac:dyDescent="0.25">
      <c r="A18" s="52"/>
      <c r="B18" s="53"/>
      <c r="C18" s="53"/>
      <c r="D18" s="53"/>
      <c r="E18" s="9"/>
      <c r="F18" s="41"/>
      <c r="G18" s="41"/>
      <c r="H18" s="41"/>
      <c r="I18" s="41"/>
      <c r="J18" s="41"/>
      <c r="K18" s="41"/>
      <c r="L18" s="53"/>
      <c r="M18" s="54"/>
    </row>
    <row r="19" spans="1:13" x14ac:dyDescent="0.25">
      <c r="A19" s="52"/>
      <c r="B19" s="53"/>
      <c r="C19" s="53"/>
      <c r="D19" s="53"/>
      <c r="E19" s="9"/>
      <c r="F19" s="41"/>
      <c r="G19" s="41"/>
      <c r="H19" s="41"/>
      <c r="I19" s="41"/>
      <c r="J19" s="41"/>
      <c r="K19" s="41"/>
      <c r="L19" s="53"/>
      <c r="M19" s="54"/>
    </row>
    <row r="20" spans="1:13" x14ac:dyDescent="0.25">
      <c r="A20" s="52" t="s">
        <v>41</v>
      </c>
      <c r="B20" s="53"/>
      <c r="C20" s="53"/>
      <c r="D20" s="53"/>
      <c r="E20" s="9"/>
      <c r="F20" s="53"/>
      <c r="G20" s="53"/>
      <c r="H20" s="53"/>
      <c r="I20" s="53"/>
      <c r="J20" s="53"/>
      <c r="K20" s="53"/>
      <c r="L20" s="53"/>
      <c r="M20" s="54"/>
    </row>
    <row r="21" spans="1:13" x14ac:dyDescent="0.25">
      <c r="A21" s="52" t="s">
        <v>16</v>
      </c>
      <c r="B21" s="53"/>
      <c r="C21" s="53"/>
      <c r="D21" s="53"/>
      <c r="E21" s="9"/>
      <c r="F21" s="53"/>
      <c r="G21" s="53"/>
      <c r="H21" s="53"/>
      <c r="I21" s="53"/>
      <c r="J21" s="53"/>
      <c r="K21" s="53"/>
      <c r="L21" s="53"/>
      <c r="M21" s="54"/>
    </row>
    <row r="22" spans="1:13" x14ac:dyDescent="0.25">
      <c r="A22" s="52" t="s">
        <v>17</v>
      </c>
      <c r="B22" s="53"/>
      <c r="C22" s="53"/>
      <c r="D22" s="53"/>
      <c r="E22" s="9"/>
      <c r="F22" s="53"/>
      <c r="G22" s="53"/>
      <c r="H22" s="53"/>
      <c r="I22" s="53"/>
      <c r="J22" s="53"/>
      <c r="K22" s="53"/>
      <c r="L22" s="53"/>
      <c r="M22" s="54"/>
    </row>
    <row r="23" spans="1:13" x14ac:dyDescent="0.25">
      <c r="A23" s="52" t="s">
        <v>42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4"/>
    </row>
    <row r="24" spans="1:13" x14ac:dyDescent="0.25">
      <c r="A24" s="55" t="s">
        <v>43</v>
      </c>
      <c r="B24" s="56"/>
      <c r="C24" s="56"/>
      <c r="D24" s="56"/>
      <c r="E24" s="4" t="s">
        <v>36</v>
      </c>
      <c r="F24" s="56" t="s">
        <v>44</v>
      </c>
      <c r="G24" s="56"/>
      <c r="H24" s="56" t="s">
        <v>45</v>
      </c>
      <c r="I24" s="56"/>
      <c r="J24" s="56" t="s">
        <v>46</v>
      </c>
      <c r="K24" s="56"/>
      <c r="L24" s="56" t="s">
        <v>40</v>
      </c>
      <c r="M24" s="57"/>
    </row>
    <row r="25" spans="1:13" x14ac:dyDescent="0.25">
      <c r="A25" s="52"/>
      <c r="B25" s="53"/>
      <c r="C25" s="53"/>
      <c r="D25" s="53"/>
      <c r="E25" s="9"/>
      <c r="F25" s="53"/>
      <c r="G25" s="53"/>
      <c r="H25" s="53"/>
      <c r="I25" s="53"/>
      <c r="J25" s="53"/>
      <c r="K25" s="53"/>
      <c r="L25" s="53"/>
      <c r="M25" s="54"/>
    </row>
    <row r="26" spans="1:13" x14ac:dyDescent="0.25">
      <c r="A26" s="52"/>
      <c r="B26" s="53"/>
      <c r="C26" s="53"/>
      <c r="D26" s="53"/>
      <c r="E26" s="9"/>
      <c r="F26" s="53"/>
      <c r="G26" s="53"/>
      <c r="H26" s="53"/>
      <c r="I26" s="53"/>
      <c r="J26" s="53"/>
      <c r="K26" s="53"/>
      <c r="L26" s="53"/>
      <c r="M26" s="54"/>
    </row>
    <row r="27" spans="1:13" x14ac:dyDescent="0.25">
      <c r="A27" s="52" t="s">
        <v>47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4"/>
    </row>
    <row r="28" spans="1:13" x14ac:dyDescent="0.25">
      <c r="A28" s="55" t="s">
        <v>48</v>
      </c>
      <c r="B28" s="56"/>
      <c r="C28" s="56" t="s">
        <v>49</v>
      </c>
      <c r="D28" s="56"/>
      <c r="E28" s="56" t="s">
        <v>50</v>
      </c>
      <c r="F28" s="56"/>
      <c r="G28" s="56"/>
      <c r="H28" s="56" t="s">
        <v>51</v>
      </c>
      <c r="I28" s="56"/>
      <c r="J28" s="56" t="s">
        <v>45</v>
      </c>
      <c r="K28" s="56"/>
      <c r="L28" s="56" t="s">
        <v>46</v>
      </c>
      <c r="M28" s="57"/>
    </row>
    <row r="29" spans="1:13" x14ac:dyDescent="0.25">
      <c r="A29" s="40" t="s">
        <v>52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2"/>
    </row>
    <row r="30" spans="1:13" ht="17.25" thickBot="1" x14ac:dyDescent="0.3">
      <c r="A30" s="40" t="s">
        <v>53</v>
      </c>
      <c r="B30" s="41"/>
      <c r="C30" s="41">
        <v>2</v>
      </c>
      <c r="D30" s="41"/>
      <c r="E30" s="41">
        <v>2</v>
      </c>
      <c r="F30" s="41"/>
      <c r="G30" s="41"/>
      <c r="H30" s="41"/>
      <c r="I30" s="41"/>
      <c r="J30" s="41"/>
      <c r="K30" s="41"/>
      <c r="L30" s="41"/>
      <c r="M30" s="42"/>
    </row>
    <row r="31" spans="1:13" ht="25.15" customHeight="1" thickBot="1" x14ac:dyDescent="0.3">
      <c r="A31" s="43" t="s">
        <v>59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5"/>
    </row>
    <row r="32" spans="1:13" x14ac:dyDescent="0.25">
      <c r="A32" s="46" t="s">
        <v>60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8"/>
    </row>
    <row r="33" spans="1:25" x14ac:dyDescent="0.25">
      <c r="A33" s="49" t="s">
        <v>61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1"/>
    </row>
    <row r="34" spans="1:25" x14ac:dyDescent="0.25">
      <c r="A34" s="25" t="s">
        <v>62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7"/>
    </row>
    <row r="35" spans="1:25" x14ac:dyDescent="0.25">
      <c r="A35" s="25" t="s">
        <v>63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7"/>
    </row>
    <row r="36" spans="1:25" x14ac:dyDescent="0.25">
      <c r="A36" s="28" t="s">
        <v>64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0"/>
    </row>
    <row r="37" spans="1:25" ht="17.25" thickBot="1" x14ac:dyDescent="0.3">
      <c r="A37" s="31" t="s">
        <v>65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3"/>
    </row>
    <row r="38" spans="1:25" ht="17.25" thickBot="1" x14ac:dyDescent="0.3">
      <c r="A38" s="34" t="s">
        <v>54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6"/>
    </row>
    <row r="39" spans="1:25" ht="17.25" thickBot="1" x14ac:dyDescent="0.3">
      <c r="A39" s="34" t="s">
        <v>55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6"/>
    </row>
    <row r="40" spans="1:25" ht="17.25" thickBot="1" x14ac:dyDescent="0.3">
      <c r="A40" s="34" t="s">
        <v>76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6"/>
    </row>
    <row r="41" spans="1:25" ht="17.25" thickBot="1" x14ac:dyDescent="0.3">
      <c r="A41" s="37" t="s">
        <v>66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9"/>
    </row>
    <row r="42" spans="1:25" x14ac:dyDescent="0.25">
      <c r="A42" s="12" t="s">
        <v>68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0"/>
      <c r="T42" s="10"/>
      <c r="U42" s="10"/>
      <c r="V42" s="10"/>
      <c r="W42" s="10"/>
      <c r="X42" s="10"/>
      <c r="Y42" s="10"/>
    </row>
    <row r="43" spans="1:25" x14ac:dyDescent="0.25">
      <c r="A43" s="14" t="s">
        <v>69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0"/>
      <c r="T43" s="10"/>
      <c r="U43" s="10"/>
      <c r="V43" s="10"/>
      <c r="W43" s="10"/>
      <c r="X43" s="10"/>
      <c r="Y43" s="10"/>
    </row>
    <row r="44" spans="1:25" s="10" customFormat="1" ht="8.25" x14ac:dyDescent="0.25">
      <c r="A44" s="14" t="s">
        <v>70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1:25" x14ac:dyDescent="0.25">
      <c r="A45" s="14" t="s">
        <v>71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0"/>
      <c r="T45" s="10"/>
      <c r="U45" s="10"/>
      <c r="V45" s="10"/>
      <c r="W45" s="10"/>
      <c r="X45" s="10"/>
      <c r="Y45" s="10"/>
    </row>
    <row r="46" spans="1:25" x14ac:dyDescent="0.25">
      <c r="A46" s="14" t="s">
        <v>72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0"/>
      <c r="T46" s="10"/>
      <c r="U46" s="10"/>
      <c r="V46" s="10"/>
      <c r="W46" s="10"/>
      <c r="X46" s="10"/>
      <c r="Y46" s="10"/>
    </row>
    <row r="47" spans="1:25" x14ac:dyDescent="0.25">
      <c r="A47" s="14" t="s">
        <v>73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0"/>
      <c r="T47" s="10"/>
      <c r="U47" s="10"/>
      <c r="V47" s="10"/>
      <c r="W47" s="10"/>
      <c r="X47" s="10"/>
      <c r="Y47" s="10"/>
    </row>
    <row r="48" spans="1:25" ht="28.15" customHeight="1" x14ac:dyDescent="0.25">
      <c r="A48" s="89" t="s">
        <v>19</v>
      </c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</row>
    <row r="49" spans="1:13" x14ac:dyDescent="0.25">
      <c r="A49" s="2" t="s">
        <v>20</v>
      </c>
      <c r="B49" s="2">
        <f>B2+1</f>
        <v>2</v>
      </c>
    </row>
    <row r="50" spans="1:13" ht="17.25" thickBot="1" x14ac:dyDescent="0.3">
      <c r="A50" s="2" t="s">
        <v>21</v>
      </c>
      <c r="B50" s="2" t="s">
        <v>22</v>
      </c>
      <c r="C50" s="2" t="s">
        <v>23</v>
      </c>
      <c r="D50" s="2" t="s">
        <v>24</v>
      </c>
      <c r="F50" s="68" t="s">
        <v>25</v>
      </c>
      <c r="G50" s="68"/>
      <c r="H50" s="69">
        <f>H3+1</f>
        <v>45911</v>
      </c>
      <c r="I50" s="69"/>
      <c r="J50" s="69"/>
      <c r="K50" s="70">
        <f>H50</f>
        <v>45911</v>
      </c>
      <c r="L50" s="70"/>
      <c r="M50" s="70"/>
    </row>
    <row r="51" spans="1:13" ht="16.5" customHeight="1" x14ac:dyDescent="0.25">
      <c r="A51" s="71" t="s">
        <v>26</v>
      </c>
      <c r="B51" s="72"/>
      <c r="C51" s="73"/>
      <c r="D51" s="77" t="s">
        <v>78</v>
      </c>
      <c r="E51" s="78"/>
      <c r="F51" s="78"/>
      <c r="G51" s="79"/>
      <c r="H51" s="83" t="s">
        <v>27</v>
      </c>
      <c r="I51" s="83"/>
      <c r="J51" s="83"/>
      <c r="K51" s="84" t="s">
        <v>81</v>
      </c>
      <c r="L51" s="84"/>
      <c r="M51" s="85"/>
    </row>
    <row r="52" spans="1:13" ht="21" customHeight="1" x14ac:dyDescent="0.25">
      <c r="A52" s="74"/>
      <c r="B52" s="75"/>
      <c r="C52" s="76"/>
      <c r="D52" s="80"/>
      <c r="E52" s="81"/>
      <c r="F52" s="81"/>
      <c r="G52" s="82"/>
      <c r="H52" s="56"/>
      <c r="I52" s="56"/>
      <c r="J52" s="56"/>
      <c r="K52" s="86"/>
      <c r="L52" s="86"/>
      <c r="M52" s="87"/>
    </row>
    <row r="53" spans="1:13" x14ac:dyDescent="0.25">
      <c r="A53" s="6" t="s">
        <v>28</v>
      </c>
      <c r="B53" s="56" t="s">
        <v>82</v>
      </c>
      <c r="C53" s="56"/>
      <c r="D53" s="56" t="s">
        <v>29</v>
      </c>
      <c r="E53" s="56"/>
      <c r="F53" s="56"/>
      <c r="G53" s="7">
        <f>G6+1</f>
        <v>2</v>
      </c>
      <c r="H53" s="4" t="s">
        <v>30</v>
      </c>
      <c r="I53" s="88">
        <f>I6-1</f>
        <v>58</v>
      </c>
      <c r="J53" s="88"/>
      <c r="K53" s="56" t="s">
        <v>74</v>
      </c>
      <c r="L53" s="56"/>
      <c r="M53" s="8">
        <v>0</v>
      </c>
    </row>
    <row r="54" spans="1:13" x14ac:dyDescent="0.25">
      <c r="A54" s="55" t="s">
        <v>31</v>
      </c>
      <c r="B54" s="56"/>
      <c r="C54" s="56"/>
      <c r="D54" s="56" t="s">
        <v>83</v>
      </c>
      <c r="E54" s="56"/>
      <c r="F54" s="56"/>
      <c r="G54" s="56"/>
      <c r="H54" s="56" t="s">
        <v>32</v>
      </c>
      <c r="I54" s="56"/>
      <c r="J54" s="56"/>
      <c r="K54" s="64" t="s">
        <v>84</v>
      </c>
      <c r="L54" s="56"/>
      <c r="M54" s="57"/>
    </row>
    <row r="55" spans="1:13" x14ac:dyDescent="0.25">
      <c r="A55" s="55" t="s">
        <v>33</v>
      </c>
      <c r="B55" s="56"/>
      <c r="C55" s="56"/>
      <c r="D55" s="65">
        <v>4.0000000000000001E-3</v>
      </c>
      <c r="E55" s="65"/>
      <c r="F55" s="65"/>
      <c r="G55" s="65"/>
      <c r="H55" s="56" t="s">
        <v>18</v>
      </c>
      <c r="I55" s="56"/>
      <c r="J55" s="56"/>
      <c r="K55" s="66">
        <f>施工項目!AQ52</f>
        <v>1.1066666666666667E-2</v>
      </c>
      <c r="L55" s="66"/>
      <c r="M55" s="67"/>
    </row>
    <row r="56" spans="1:13" x14ac:dyDescent="0.25">
      <c r="A56" s="52" t="s">
        <v>34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4"/>
    </row>
    <row r="57" spans="1:13" s="2" customFormat="1" x14ac:dyDescent="0.25">
      <c r="A57" s="60" t="s">
        <v>35</v>
      </c>
      <c r="B57" s="61"/>
      <c r="C57" s="61"/>
      <c r="D57" s="62"/>
      <c r="E57" s="11" t="s">
        <v>36</v>
      </c>
      <c r="F57" s="60" t="s">
        <v>37</v>
      </c>
      <c r="G57" s="62"/>
      <c r="H57" s="60" t="s">
        <v>38</v>
      </c>
      <c r="I57" s="62"/>
      <c r="J57" s="63" t="s">
        <v>39</v>
      </c>
      <c r="K57" s="63"/>
      <c r="L57" s="56" t="s">
        <v>40</v>
      </c>
      <c r="M57" s="57"/>
    </row>
    <row r="58" spans="1:13" x14ac:dyDescent="0.25">
      <c r="A58" s="52" t="s">
        <v>86</v>
      </c>
      <c r="B58" s="53"/>
      <c r="C58" s="53"/>
      <c r="D58" s="53"/>
      <c r="E58" s="4" t="s">
        <v>57</v>
      </c>
      <c r="F58" s="41">
        <v>1</v>
      </c>
      <c r="G58" s="41"/>
      <c r="H58" s="41">
        <v>0.5</v>
      </c>
      <c r="I58" s="41"/>
      <c r="J58" s="41">
        <v>0.5</v>
      </c>
      <c r="K58" s="41"/>
      <c r="L58" s="53"/>
      <c r="M58" s="54"/>
    </row>
    <row r="59" spans="1:13" x14ac:dyDescent="0.25">
      <c r="A59" s="52" t="str">
        <f>施工項目!E35</f>
        <v>三角錐與連桿(租用)</v>
      </c>
      <c r="B59" s="53"/>
      <c r="C59" s="53"/>
      <c r="D59" s="53"/>
      <c r="E59" s="4" t="s">
        <v>87</v>
      </c>
      <c r="F59" s="41">
        <v>86</v>
      </c>
      <c r="G59" s="41"/>
      <c r="H59" s="41">
        <v>86</v>
      </c>
      <c r="I59" s="41"/>
      <c r="J59" s="41">
        <v>86</v>
      </c>
      <c r="K59" s="41"/>
      <c r="L59" s="53"/>
      <c r="M59" s="54"/>
    </row>
    <row r="60" spans="1:13" x14ac:dyDescent="0.25">
      <c r="A60" s="52"/>
      <c r="B60" s="53"/>
      <c r="C60" s="53"/>
      <c r="D60" s="53"/>
      <c r="E60" s="4"/>
      <c r="F60" s="41"/>
      <c r="G60" s="41"/>
      <c r="H60" s="41"/>
      <c r="I60" s="41"/>
      <c r="J60" s="41"/>
      <c r="K60" s="41"/>
      <c r="L60" s="53"/>
      <c r="M60" s="54"/>
    </row>
    <row r="61" spans="1:13" x14ac:dyDescent="0.25">
      <c r="A61" s="52"/>
      <c r="B61" s="53"/>
      <c r="C61" s="53"/>
      <c r="D61" s="53"/>
      <c r="E61" s="4"/>
      <c r="F61" s="41"/>
      <c r="G61" s="41"/>
      <c r="H61" s="41"/>
      <c r="I61" s="41"/>
      <c r="J61" s="41"/>
      <c r="K61" s="41"/>
      <c r="L61" s="53"/>
      <c r="M61" s="54"/>
    </row>
    <row r="62" spans="1:13" x14ac:dyDescent="0.25">
      <c r="A62" s="52"/>
      <c r="B62" s="53"/>
      <c r="C62" s="53"/>
      <c r="D62" s="53"/>
      <c r="E62" s="4"/>
      <c r="F62" s="56"/>
      <c r="G62" s="56"/>
      <c r="H62" s="41"/>
      <c r="I62" s="41"/>
      <c r="J62" s="41"/>
      <c r="K62" s="41"/>
      <c r="L62" s="53"/>
      <c r="M62" s="54"/>
    </row>
    <row r="63" spans="1:13" x14ac:dyDescent="0.25">
      <c r="A63" s="52"/>
      <c r="B63" s="53"/>
      <c r="C63" s="53"/>
      <c r="D63" s="53"/>
      <c r="E63" s="4"/>
      <c r="F63" s="41"/>
      <c r="G63" s="41"/>
      <c r="H63" s="41"/>
      <c r="I63" s="41"/>
      <c r="J63" s="58"/>
      <c r="K63" s="59"/>
      <c r="L63" s="53"/>
      <c r="M63" s="54"/>
    </row>
    <row r="64" spans="1:13" x14ac:dyDescent="0.25">
      <c r="A64" s="52"/>
      <c r="B64" s="53"/>
      <c r="C64" s="53"/>
      <c r="D64" s="53"/>
      <c r="E64" s="4"/>
      <c r="F64" s="41"/>
      <c r="G64" s="41"/>
      <c r="H64" s="41"/>
      <c r="I64" s="41"/>
      <c r="J64" s="41"/>
      <c r="K64" s="41"/>
      <c r="L64" s="53"/>
      <c r="M64" s="54"/>
    </row>
    <row r="65" spans="1:13" x14ac:dyDescent="0.25">
      <c r="A65" s="52"/>
      <c r="B65" s="53"/>
      <c r="C65" s="53"/>
      <c r="D65" s="53"/>
      <c r="E65" s="9"/>
      <c r="F65" s="41"/>
      <c r="G65" s="41"/>
      <c r="H65" s="41"/>
      <c r="I65" s="41"/>
      <c r="J65" s="41"/>
      <c r="K65" s="41"/>
      <c r="L65" s="53"/>
      <c r="M65" s="54"/>
    </row>
    <row r="66" spans="1:13" x14ac:dyDescent="0.25">
      <c r="A66" s="52"/>
      <c r="B66" s="53"/>
      <c r="C66" s="53"/>
      <c r="D66" s="53"/>
      <c r="E66" s="9"/>
      <c r="F66" s="41"/>
      <c r="G66" s="41"/>
      <c r="H66" s="41"/>
      <c r="I66" s="41"/>
      <c r="J66" s="41"/>
      <c r="K66" s="41"/>
      <c r="L66" s="53"/>
      <c r="M66" s="54"/>
    </row>
    <row r="67" spans="1:13" x14ac:dyDescent="0.25">
      <c r="A67" s="52" t="s">
        <v>41</v>
      </c>
      <c r="B67" s="53"/>
      <c r="C67" s="53"/>
      <c r="D67" s="53"/>
      <c r="E67" s="9"/>
      <c r="F67" s="53"/>
      <c r="G67" s="53"/>
      <c r="H67" s="53"/>
      <c r="I67" s="53"/>
      <c r="J67" s="53"/>
      <c r="K67" s="53"/>
      <c r="L67" s="53"/>
      <c r="M67" s="54"/>
    </row>
    <row r="68" spans="1:13" x14ac:dyDescent="0.25">
      <c r="A68" s="52" t="s">
        <v>16</v>
      </c>
      <c r="B68" s="53"/>
      <c r="C68" s="53"/>
      <c r="D68" s="53"/>
      <c r="E68" s="9"/>
      <c r="F68" s="53"/>
      <c r="G68" s="53"/>
      <c r="H68" s="53"/>
      <c r="I68" s="53"/>
      <c r="J68" s="53"/>
      <c r="K68" s="53"/>
      <c r="L68" s="53"/>
      <c r="M68" s="54"/>
    </row>
    <row r="69" spans="1:13" x14ac:dyDescent="0.25">
      <c r="A69" s="52" t="s">
        <v>17</v>
      </c>
      <c r="B69" s="53"/>
      <c r="C69" s="53"/>
      <c r="D69" s="53"/>
      <c r="E69" s="9"/>
      <c r="F69" s="53"/>
      <c r="G69" s="53"/>
      <c r="H69" s="53"/>
      <c r="I69" s="53"/>
      <c r="J69" s="53"/>
      <c r="K69" s="53"/>
      <c r="L69" s="53"/>
      <c r="M69" s="54"/>
    </row>
    <row r="70" spans="1:13" x14ac:dyDescent="0.25">
      <c r="A70" s="52" t="s">
        <v>42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4"/>
    </row>
    <row r="71" spans="1:13" x14ac:dyDescent="0.25">
      <c r="A71" s="55" t="s">
        <v>43</v>
      </c>
      <c r="B71" s="56"/>
      <c r="C71" s="56"/>
      <c r="D71" s="56"/>
      <c r="E71" s="4" t="s">
        <v>36</v>
      </c>
      <c r="F71" s="56" t="s">
        <v>44</v>
      </c>
      <c r="G71" s="56"/>
      <c r="H71" s="56" t="s">
        <v>45</v>
      </c>
      <c r="I71" s="56"/>
      <c r="J71" s="56" t="s">
        <v>46</v>
      </c>
      <c r="K71" s="56"/>
      <c r="L71" s="56" t="s">
        <v>40</v>
      </c>
      <c r="M71" s="57"/>
    </row>
    <row r="72" spans="1:13" x14ac:dyDescent="0.25">
      <c r="A72" s="52"/>
      <c r="B72" s="53"/>
      <c r="C72" s="53"/>
      <c r="D72" s="53"/>
      <c r="E72" s="9"/>
      <c r="F72" s="53"/>
      <c r="G72" s="53"/>
      <c r="H72" s="53"/>
      <c r="I72" s="53"/>
      <c r="J72" s="53"/>
      <c r="K72" s="53"/>
      <c r="L72" s="53"/>
      <c r="M72" s="54"/>
    </row>
    <row r="73" spans="1:13" x14ac:dyDescent="0.25">
      <c r="A73" s="52"/>
      <c r="B73" s="53"/>
      <c r="C73" s="53"/>
      <c r="D73" s="53"/>
      <c r="E73" s="9"/>
      <c r="F73" s="53"/>
      <c r="G73" s="53"/>
      <c r="H73" s="53"/>
      <c r="I73" s="53"/>
      <c r="J73" s="53"/>
      <c r="K73" s="53"/>
      <c r="L73" s="53"/>
      <c r="M73" s="54"/>
    </row>
    <row r="74" spans="1:13" x14ac:dyDescent="0.25">
      <c r="A74" s="52" t="s">
        <v>47</v>
      </c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4"/>
    </row>
    <row r="75" spans="1:13" x14ac:dyDescent="0.25">
      <c r="A75" s="55" t="s">
        <v>48</v>
      </c>
      <c r="B75" s="56"/>
      <c r="C75" s="56" t="s">
        <v>49</v>
      </c>
      <c r="D75" s="56"/>
      <c r="E75" s="56" t="s">
        <v>50</v>
      </c>
      <c r="F75" s="56"/>
      <c r="G75" s="56"/>
      <c r="H75" s="56" t="s">
        <v>51</v>
      </c>
      <c r="I75" s="56"/>
      <c r="J75" s="56" t="s">
        <v>45</v>
      </c>
      <c r="K75" s="56"/>
      <c r="L75" s="56" t="s">
        <v>46</v>
      </c>
      <c r="M75" s="57"/>
    </row>
    <row r="76" spans="1:13" x14ac:dyDescent="0.25">
      <c r="A76" s="40" t="s">
        <v>52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2"/>
    </row>
    <row r="77" spans="1:13" ht="17.25" thickBot="1" x14ac:dyDescent="0.3">
      <c r="A77" s="40" t="s">
        <v>53</v>
      </c>
      <c r="B77" s="41"/>
      <c r="C77" s="41">
        <v>2</v>
      </c>
      <c r="D77" s="41"/>
      <c r="E77" s="41">
        <v>4</v>
      </c>
      <c r="F77" s="41"/>
      <c r="G77" s="41"/>
      <c r="H77" s="41"/>
      <c r="I77" s="41"/>
      <c r="J77" s="41"/>
      <c r="K77" s="41"/>
      <c r="L77" s="41"/>
      <c r="M77" s="42"/>
    </row>
    <row r="78" spans="1:13" ht="25.15" customHeight="1" thickBot="1" x14ac:dyDescent="0.3">
      <c r="A78" s="43" t="s">
        <v>59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5"/>
    </row>
    <row r="79" spans="1:13" x14ac:dyDescent="0.25">
      <c r="A79" s="46" t="s">
        <v>60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8"/>
    </row>
    <row r="80" spans="1:13" x14ac:dyDescent="0.25">
      <c r="A80" s="49" t="s">
        <v>61</v>
      </c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1"/>
    </row>
    <row r="81" spans="1:25" x14ac:dyDescent="0.25">
      <c r="A81" s="25" t="s">
        <v>62</v>
      </c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7"/>
    </row>
    <row r="82" spans="1:25" x14ac:dyDescent="0.25">
      <c r="A82" s="25" t="s">
        <v>63</v>
      </c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7"/>
    </row>
    <row r="83" spans="1:25" x14ac:dyDescent="0.25">
      <c r="A83" s="28" t="s">
        <v>64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30"/>
    </row>
    <row r="84" spans="1:25" ht="17.25" thickBot="1" x14ac:dyDescent="0.3">
      <c r="A84" s="31" t="s">
        <v>65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3"/>
    </row>
    <row r="85" spans="1:25" ht="17.25" thickBot="1" x14ac:dyDescent="0.3">
      <c r="A85" s="34" t="s">
        <v>54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6"/>
    </row>
    <row r="86" spans="1:25" ht="17.25" thickBot="1" x14ac:dyDescent="0.3">
      <c r="A86" s="34" t="s">
        <v>55</v>
      </c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6"/>
    </row>
    <row r="87" spans="1:25" ht="17.25" thickBot="1" x14ac:dyDescent="0.3">
      <c r="A87" s="34" t="s">
        <v>76</v>
      </c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6"/>
    </row>
    <row r="88" spans="1:25" ht="17.25" thickBot="1" x14ac:dyDescent="0.3">
      <c r="A88" s="37" t="s">
        <v>66</v>
      </c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9"/>
    </row>
    <row r="89" spans="1:25" x14ac:dyDescent="0.25">
      <c r="A89" s="12" t="s">
        <v>68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0"/>
      <c r="T89" s="10"/>
      <c r="U89" s="10"/>
      <c r="V89" s="10"/>
      <c r="W89" s="10"/>
      <c r="X89" s="10"/>
      <c r="Y89" s="10"/>
    </row>
    <row r="90" spans="1:25" x14ac:dyDescent="0.25">
      <c r="A90" s="14" t="s">
        <v>69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0"/>
      <c r="T90" s="10"/>
      <c r="U90" s="10"/>
      <c r="V90" s="10"/>
      <c r="W90" s="10"/>
      <c r="X90" s="10"/>
      <c r="Y90" s="10"/>
    </row>
    <row r="91" spans="1:25" s="10" customFormat="1" ht="8.25" x14ac:dyDescent="0.25">
      <c r="A91" s="14" t="s">
        <v>70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 spans="1:25" x14ac:dyDescent="0.25">
      <c r="A92" s="14" t="s">
        <v>71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0"/>
      <c r="T92" s="10"/>
      <c r="U92" s="10"/>
      <c r="V92" s="10"/>
      <c r="W92" s="10"/>
      <c r="X92" s="10"/>
      <c r="Y92" s="10"/>
    </row>
    <row r="93" spans="1:25" x14ac:dyDescent="0.25">
      <c r="A93" s="14" t="s">
        <v>72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0"/>
      <c r="T93" s="10"/>
      <c r="U93" s="10"/>
      <c r="V93" s="10"/>
      <c r="W93" s="10"/>
      <c r="X93" s="10"/>
      <c r="Y93" s="10"/>
    </row>
    <row r="94" spans="1:25" x14ac:dyDescent="0.25">
      <c r="A94" s="14" t="s">
        <v>73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0"/>
      <c r="T94" s="10"/>
      <c r="U94" s="10"/>
      <c r="V94" s="10"/>
      <c r="W94" s="10"/>
      <c r="X94" s="10"/>
      <c r="Y94" s="10"/>
    </row>
    <row r="95" spans="1:25" ht="28.15" customHeight="1" x14ac:dyDescent="0.25">
      <c r="A95" s="89" t="s">
        <v>19</v>
      </c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</row>
    <row r="96" spans="1:25" x14ac:dyDescent="0.25">
      <c r="A96" s="2" t="s">
        <v>20</v>
      </c>
      <c r="B96" s="2">
        <f>B49+1</f>
        <v>3</v>
      </c>
    </row>
    <row r="97" spans="1:13" ht="17.25" thickBot="1" x14ac:dyDescent="0.3">
      <c r="A97" s="2" t="s">
        <v>21</v>
      </c>
      <c r="B97" s="2" t="s">
        <v>22</v>
      </c>
      <c r="C97" s="2" t="s">
        <v>23</v>
      </c>
      <c r="D97" s="2" t="s">
        <v>24</v>
      </c>
      <c r="F97" s="68" t="s">
        <v>25</v>
      </c>
      <c r="G97" s="68"/>
      <c r="H97" s="69">
        <f>H50+1</f>
        <v>45912</v>
      </c>
      <c r="I97" s="69"/>
      <c r="J97" s="69"/>
      <c r="K97" s="70">
        <f>H97</f>
        <v>45912</v>
      </c>
      <c r="L97" s="70"/>
      <c r="M97" s="70"/>
    </row>
    <row r="98" spans="1:13" ht="16.5" customHeight="1" x14ac:dyDescent="0.25">
      <c r="A98" s="71" t="s">
        <v>26</v>
      </c>
      <c r="B98" s="72"/>
      <c r="C98" s="73"/>
      <c r="D98" s="77" t="s">
        <v>78</v>
      </c>
      <c r="E98" s="78"/>
      <c r="F98" s="78"/>
      <c r="G98" s="79"/>
      <c r="H98" s="83" t="s">
        <v>27</v>
      </c>
      <c r="I98" s="83"/>
      <c r="J98" s="83"/>
      <c r="K98" s="84" t="s">
        <v>81</v>
      </c>
      <c r="L98" s="84"/>
      <c r="M98" s="85"/>
    </row>
    <row r="99" spans="1:13" ht="21" customHeight="1" x14ac:dyDescent="0.25">
      <c r="A99" s="74"/>
      <c r="B99" s="75"/>
      <c r="C99" s="76"/>
      <c r="D99" s="80"/>
      <c r="E99" s="81"/>
      <c r="F99" s="81"/>
      <c r="G99" s="82"/>
      <c r="H99" s="56"/>
      <c r="I99" s="56"/>
      <c r="J99" s="56"/>
      <c r="K99" s="86"/>
      <c r="L99" s="86"/>
      <c r="M99" s="87"/>
    </row>
    <row r="100" spans="1:13" x14ac:dyDescent="0.25">
      <c r="A100" s="6" t="s">
        <v>28</v>
      </c>
      <c r="B100" s="56" t="s">
        <v>82</v>
      </c>
      <c r="C100" s="56"/>
      <c r="D100" s="56" t="s">
        <v>29</v>
      </c>
      <c r="E100" s="56"/>
      <c r="F100" s="56"/>
      <c r="G100" s="7">
        <f>G53+1</f>
        <v>3</v>
      </c>
      <c r="H100" s="4" t="s">
        <v>30</v>
      </c>
      <c r="I100" s="88">
        <f>I53-1</f>
        <v>57</v>
      </c>
      <c r="J100" s="88"/>
      <c r="K100" s="56" t="s">
        <v>74</v>
      </c>
      <c r="L100" s="56"/>
      <c r="M100" s="8">
        <v>0</v>
      </c>
    </row>
    <row r="101" spans="1:13" x14ac:dyDescent="0.25">
      <c r="A101" s="55" t="s">
        <v>31</v>
      </c>
      <c r="B101" s="56"/>
      <c r="C101" s="56"/>
      <c r="D101" s="56" t="s">
        <v>83</v>
      </c>
      <c r="E101" s="56"/>
      <c r="F101" s="56"/>
      <c r="G101" s="56"/>
      <c r="H101" s="56" t="s">
        <v>32</v>
      </c>
      <c r="I101" s="56"/>
      <c r="J101" s="56"/>
      <c r="K101" s="64" t="s">
        <v>84</v>
      </c>
      <c r="L101" s="56"/>
      <c r="M101" s="57"/>
    </row>
    <row r="102" spans="1:13" x14ac:dyDescent="0.25">
      <c r="A102" s="55" t="s">
        <v>33</v>
      </c>
      <c r="B102" s="56"/>
      <c r="C102" s="56"/>
      <c r="D102" s="65">
        <v>6.0000000000000001E-3</v>
      </c>
      <c r="E102" s="65"/>
      <c r="F102" s="65"/>
      <c r="G102" s="65"/>
      <c r="H102" s="56" t="s">
        <v>18</v>
      </c>
      <c r="I102" s="56"/>
      <c r="J102" s="56"/>
      <c r="K102" s="66">
        <f>施工項目!AQ80</f>
        <v>1.3345098039215686E-2</v>
      </c>
      <c r="L102" s="66"/>
      <c r="M102" s="67"/>
    </row>
    <row r="103" spans="1:13" x14ac:dyDescent="0.25">
      <c r="A103" s="52" t="s">
        <v>34</v>
      </c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4"/>
    </row>
    <row r="104" spans="1:13" s="2" customFormat="1" x14ac:dyDescent="0.25">
      <c r="A104" s="60" t="s">
        <v>35</v>
      </c>
      <c r="B104" s="61"/>
      <c r="C104" s="61"/>
      <c r="D104" s="62"/>
      <c r="E104" s="11" t="s">
        <v>36</v>
      </c>
      <c r="F104" s="60" t="s">
        <v>37</v>
      </c>
      <c r="G104" s="62"/>
      <c r="H104" s="60" t="s">
        <v>38</v>
      </c>
      <c r="I104" s="62"/>
      <c r="J104" s="63" t="s">
        <v>39</v>
      </c>
      <c r="K104" s="63"/>
      <c r="L104" s="56" t="s">
        <v>40</v>
      </c>
      <c r="M104" s="57"/>
    </row>
    <row r="105" spans="1:13" x14ac:dyDescent="0.25">
      <c r="A105" s="52" t="s">
        <v>88</v>
      </c>
      <c r="B105" s="53"/>
      <c r="C105" s="53"/>
      <c r="D105" s="53"/>
      <c r="E105" s="4"/>
      <c r="F105" s="41"/>
      <c r="G105" s="41"/>
      <c r="H105" s="41"/>
      <c r="I105" s="41"/>
      <c r="J105" s="41"/>
      <c r="K105" s="41"/>
      <c r="L105" s="53"/>
      <c r="M105" s="54"/>
    </row>
    <row r="106" spans="1:13" x14ac:dyDescent="0.25">
      <c r="A106" s="52"/>
      <c r="B106" s="53"/>
      <c r="C106" s="53"/>
      <c r="D106" s="53"/>
      <c r="E106" s="4"/>
      <c r="F106" s="41"/>
      <c r="G106" s="41"/>
      <c r="H106" s="41"/>
      <c r="I106" s="41"/>
      <c r="J106" s="41"/>
      <c r="K106" s="41"/>
      <c r="L106" s="53"/>
      <c r="M106" s="54"/>
    </row>
    <row r="107" spans="1:13" x14ac:dyDescent="0.25">
      <c r="A107" s="52"/>
      <c r="B107" s="53"/>
      <c r="C107" s="53"/>
      <c r="D107" s="53"/>
      <c r="E107" s="4"/>
      <c r="F107" s="41"/>
      <c r="G107" s="41"/>
      <c r="H107" s="41"/>
      <c r="I107" s="41"/>
      <c r="J107" s="41"/>
      <c r="K107" s="41"/>
      <c r="L107" s="53"/>
      <c r="M107" s="54"/>
    </row>
    <row r="108" spans="1:13" x14ac:dyDescent="0.25">
      <c r="A108" s="52"/>
      <c r="B108" s="53"/>
      <c r="C108" s="53"/>
      <c r="D108" s="53"/>
      <c r="E108" s="4"/>
      <c r="F108" s="41"/>
      <c r="G108" s="41"/>
      <c r="H108" s="41"/>
      <c r="I108" s="41"/>
      <c r="J108" s="41"/>
      <c r="K108" s="41"/>
      <c r="L108" s="53"/>
      <c r="M108" s="54"/>
    </row>
    <row r="109" spans="1:13" x14ac:dyDescent="0.25">
      <c r="A109" s="52"/>
      <c r="B109" s="53"/>
      <c r="C109" s="53"/>
      <c r="D109" s="53"/>
      <c r="E109" s="4"/>
      <c r="F109" s="56"/>
      <c r="G109" s="56"/>
      <c r="H109" s="41"/>
      <c r="I109" s="41"/>
      <c r="J109" s="41"/>
      <c r="K109" s="41"/>
      <c r="L109" s="53"/>
      <c r="M109" s="54"/>
    </row>
    <row r="110" spans="1:13" x14ac:dyDescent="0.25">
      <c r="A110" s="52"/>
      <c r="B110" s="53"/>
      <c r="C110" s="53"/>
      <c r="D110" s="53"/>
      <c r="E110" s="4"/>
      <c r="F110" s="41"/>
      <c r="G110" s="41"/>
      <c r="H110" s="41"/>
      <c r="I110" s="41"/>
      <c r="J110" s="58"/>
      <c r="K110" s="59"/>
      <c r="L110" s="53"/>
      <c r="M110" s="54"/>
    </row>
    <row r="111" spans="1:13" x14ac:dyDescent="0.25">
      <c r="A111" s="52"/>
      <c r="B111" s="53"/>
      <c r="C111" s="53"/>
      <c r="D111" s="53"/>
      <c r="E111" s="4"/>
      <c r="F111" s="41"/>
      <c r="G111" s="41"/>
      <c r="H111" s="41"/>
      <c r="I111" s="41"/>
      <c r="J111" s="41"/>
      <c r="K111" s="41"/>
      <c r="L111" s="53"/>
      <c r="M111" s="54"/>
    </row>
    <row r="112" spans="1:13" x14ac:dyDescent="0.25">
      <c r="A112" s="52"/>
      <c r="B112" s="53"/>
      <c r="C112" s="53"/>
      <c r="D112" s="53"/>
      <c r="E112" s="9"/>
      <c r="F112" s="41"/>
      <c r="G112" s="41"/>
      <c r="H112" s="41"/>
      <c r="I112" s="41"/>
      <c r="J112" s="41"/>
      <c r="K112" s="41"/>
      <c r="L112" s="53"/>
      <c r="M112" s="54"/>
    </row>
    <row r="113" spans="1:13" x14ac:dyDescent="0.25">
      <c r="A113" s="52"/>
      <c r="B113" s="53"/>
      <c r="C113" s="53"/>
      <c r="D113" s="53"/>
      <c r="E113" s="9"/>
      <c r="F113" s="41"/>
      <c r="G113" s="41"/>
      <c r="H113" s="41"/>
      <c r="I113" s="41"/>
      <c r="J113" s="41"/>
      <c r="K113" s="41"/>
      <c r="L113" s="53"/>
      <c r="M113" s="54"/>
    </row>
    <row r="114" spans="1:13" x14ac:dyDescent="0.25">
      <c r="A114" s="52" t="s">
        <v>41</v>
      </c>
      <c r="B114" s="53"/>
      <c r="C114" s="53"/>
      <c r="D114" s="53"/>
      <c r="E114" s="9"/>
      <c r="F114" s="53"/>
      <c r="G114" s="53"/>
      <c r="H114" s="53"/>
      <c r="I114" s="53"/>
      <c r="J114" s="53"/>
      <c r="K114" s="53"/>
      <c r="L114" s="53"/>
      <c r="M114" s="54"/>
    </row>
    <row r="115" spans="1:13" x14ac:dyDescent="0.25">
      <c r="A115" s="52" t="s">
        <v>16</v>
      </c>
      <c r="B115" s="53"/>
      <c r="C115" s="53"/>
      <c r="D115" s="53"/>
      <c r="E115" s="9"/>
      <c r="F115" s="53"/>
      <c r="G115" s="53"/>
      <c r="H115" s="53"/>
      <c r="I115" s="53"/>
      <c r="J115" s="53"/>
      <c r="K115" s="53"/>
      <c r="L115" s="53"/>
      <c r="M115" s="54"/>
    </row>
    <row r="116" spans="1:13" x14ac:dyDescent="0.25">
      <c r="A116" s="52" t="s">
        <v>17</v>
      </c>
      <c r="B116" s="53"/>
      <c r="C116" s="53"/>
      <c r="D116" s="53"/>
      <c r="E116" s="9"/>
      <c r="F116" s="53"/>
      <c r="G116" s="53"/>
      <c r="H116" s="53"/>
      <c r="I116" s="53"/>
      <c r="J116" s="53"/>
      <c r="K116" s="53"/>
      <c r="L116" s="53"/>
      <c r="M116" s="54"/>
    </row>
    <row r="117" spans="1:13" x14ac:dyDescent="0.25">
      <c r="A117" s="52" t="s">
        <v>42</v>
      </c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4"/>
    </row>
    <row r="118" spans="1:13" x14ac:dyDescent="0.25">
      <c r="A118" s="55" t="s">
        <v>43</v>
      </c>
      <c r="B118" s="56"/>
      <c r="C118" s="56"/>
      <c r="D118" s="56"/>
      <c r="E118" s="4" t="s">
        <v>36</v>
      </c>
      <c r="F118" s="56" t="s">
        <v>44</v>
      </c>
      <c r="G118" s="56"/>
      <c r="H118" s="56" t="s">
        <v>45</v>
      </c>
      <c r="I118" s="56"/>
      <c r="J118" s="56" t="s">
        <v>46</v>
      </c>
      <c r="K118" s="56"/>
      <c r="L118" s="56" t="s">
        <v>40</v>
      </c>
      <c r="M118" s="57"/>
    </row>
    <row r="119" spans="1:13" x14ac:dyDescent="0.25">
      <c r="A119" s="52"/>
      <c r="B119" s="53"/>
      <c r="C119" s="53"/>
      <c r="D119" s="53"/>
      <c r="E119" s="9"/>
      <c r="F119" s="53"/>
      <c r="G119" s="53"/>
      <c r="H119" s="53"/>
      <c r="I119" s="53"/>
      <c r="J119" s="53"/>
      <c r="K119" s="53"/>
      <c r="L119" s="53"/>
      <c r="M119" s="54"/>
    </row>
    <row r="120" spans="1:13" x14ac:dyDescent="0.25">
      <c r="A120" s="52"/>
      <c r="B120" s="53"/>
      <c r="C120" s="53"/>
      <c r="D120" s="53"/>
      <c r="E120" s="9"/>
      <c r="F120" s="53"/>
      <c r="G120" s="53"/>
      <c r="H120" s="53"/>
      <c r="I120" s="53"/>
      <c r="J120" s="53"/>
      <c r="K120" s="53"/>
      <c r="L120" s="53"/>
      <c r="M120" s="54"/>
    </row>
    <row r="121" spans="1:13" x14ac:dyDescent="0.25">
      <c r="A121" s="52" t="s">
        <v>47</v>
      </c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4"/>
    </row>
    <row r="122" spans="1:13" x14ac:dyDescent="0.25">
      <c r="A122" s="55" t="s">
        <v>48</v>
      </c>
      <c r="B122" s="56"/>
      <c r="C122" s="56" t="s">
        <v>49</v>
      </c>
      <c r="D122" s="56"/>
      <c r="E122" s="56" t="s">
        <v>50</v>
      </c>
      <c r="F122" s="56"/>
      <c r="G122" s="56"/>
      <c r="H122" s="56" t="s">
        <v>51</v>
      </c>
      <c r="I122" s="56"/>
      <c r="J122" s="56" t="s">
        <v>45</v>
      </c>
      <c r="K122" s="56"/>
      <c r="L122" s="56" t="s">
        <v>46</v>
      </c>
      <c r="M122" s="57"/>
    </row>
    <row r="123" spans="1:13" x14ac:dyDescent="0.25">
      <c r="A123" s="40" t="s">
        <v>52</v>
      </c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2"/>
    </row>
    <row r="124" spans="1:13" ht="17.25" thickBot="1" x14ac:dyDescent="0.3">
      <c r="A124" s="40" t="s">
        <v>53</v>
      </c>
      <c r="B124" s="41"/>
      <c r="C124" s="41"/>
      <c r="D124" s="41"/>
      <c r="E124" s="41">
        <v>4</v>
      </c>
      <c r="F124" s="41"/>
      <c r="G124" s="41"/>
      <c r="H124" s="41"/>
      <c r="I124" s="41"/>
      <c r="J124" s="41"/>
      <c r="K124" s="41"/>
      <c r="L124" s="41"/>
      <c r="M124" s="42"/>
    </row>
    <row r="125" spans="1:13" ht="25.15" customHeight="1" thickBot="1" x14ac:dyDescent="0.3">
      <c r="A125" s="43" t="s">
        <v>59</v>
      </c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5"/>
    </row>
    <row r="126" spans="1:13" x14ac:dyDescent="0.25">
      <c r="A126" s="46" t="s">
        <v>60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8"/>
    </row>
    <row r="127" spans="1:13" x14ac:dyDescent="0.25">
      <c r="A127" s="49" t="s">
        <v>61</v>
      </c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1"/>
    </row>
    <row r="128" spans="1:13" x14ac:dyDescent="0.25">
      <c r="A128" s="25" t="s">
        <v>62</v>
      </c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7"/>
    </row>
    <row r="129" spans="1:25" x14ac:dyDescent="0.25">
      <c r="A129" s="25" t="s">
        <v>63</v>
      </c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7"/>
    </row>
    <row r="130" spans="1:25" x14ac:dyDescent="0.25">
      <c r="A130" s="28" t="s">
        <v>64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30"/>
    </row>
    <row r="131" spans="1:25" ht="17.25" thickBot="1" x14ac:dyDescent="0.3">
      <c r="A131" s="31" t="s">
        <v>65</v>
      </c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3"/>
    </row>
    <row r="132" spans="1:25" ht="17.25" thickBot="1" x14ac:dyDescent="0.3">
      <c r="A132" s="34" t="s">
        <v>54</v>
      </c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6"/>
    </row>
    <row r="133" spans="1:25" ht="17.25" thickBot="1" x14ac:dyDescent="0.3">
      <c r="A133" s="34" t="s">
        <v>55</v>
      </c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6"/>
    </row>
    <row r="134" spans="1:25" ht="17.25" thickBot="1" x14ac:dyDescent="0.3">
      <c r="A134" s="34" t="s">
        <v>76</v>
      </c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6"/>
    </row>
    <row r="135" spans="1:25" ht="17.25" thickBot="1" x14ac:dyDescent="0.3">
      <c r="A135" s="37" t="s">
        <v>66</v>
      </c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9"/>
    </row>
    <row r="136" spans="1:25" x14ac:dyDescent="0.25">
      <c r="A136" s="12" t="s">
        <v>68</v>
      </c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0"/>
      <c r="T136" s="10"/>
      <c r="U136" s="10"/>
      <c r="V136" s="10"/>
      <c r="W136" s="10"/>
      <c r="X136" s="10"/>
      <c r="Y136" s="10"/>
    </row>
    <row r="137" spans="1:25" x14ac:dyDescent="0.25">
      <c r="A137" s="14" t="s">
        <v>69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0"/>
      <c r="T137" s="10"/>
      <c r="U137" s="10"/>
      <c r="V137" s="10"/>
      <c r="W137" s="10"/>
      <c r="X137" s="10"/>
      <c r="Y137" s="10"/>
    </row>
    <row r="138" spans="1:25" s="10" customFormat="1" ht="8.25" x14ac:dyDescent="0.25">
      <c r="A138" s="14" t="s">
        <v>70</v>
      </c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</row>
    <row r="139" spans="1:25" x14ac:dyDescent="0.25">
      <c r="A139" s="14" t="s">
        <v>71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0"/>
      <c r="T139" s="10"/>
      <c r="U139" s="10"/>
      <c r="V139" s="10"/>
      <c r="W139" s="10"/>
      <c r="X139" s="10"/>
      <c r="Y139" s="10"/>
    </row>
    <row r="140" spans="1:25" x14ac:dyDescent="0.25">
      <c r="A140" s="14" t="s">
        <v>72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0"/>
      <c r="T140" s="10"/>
      <c r="U140" s="10"/>
      <c r="V140" s="10"/>
      <c r="W140" s="10"/>
      <c r="X140" s="10"/>
      <c r="Y140" s="10"/>
    </row>
    <row r="141" spans="1:25" x14ac:dyDescent="0.25">
      <c r="A141" s="14" t="s">
        <v>73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0"/>
      <c r="T141" s="10"/>
      <c r="U141" s="10"/>
      <c r="V141" s="10"/>
      <c r="W141" s="10"/>
      <c r="X141" s="10"/>
      <c r="Y141" s="10"/>
    </row>
    <row r="142" spans="1:25" ht="28.15" customHeight="1" x14ac:dyDescent="0.25">
      <c r="A142" s="89" t="s">
        <v>19</v>
      </c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</row>
    <row r="143" spans="1:25" x14ac:dyDescent="0.25">
      <c r="A143" s="2" t="s">
        <v>20</v>
      </c>
      <c r="B143" s="2">
        <f>B96+1</f>
        <v>4</v>
      </c>
    </row>
    <row r="144" spans="1:25" ht="17.25" thickBot="1" x14ac:dyDescent="0.3">
      <c r="A144" s="2" t="s">
        <v>21</v>
      </c>
      <c r="B144" s="2" t="s">
        <v>22</v>
      </c>
      <c r="C144" s="2" t="s">
        <v>23</v>
      </c>
      <c r="D144" s="2" t="s">
        <v>24</v>
      </c>
      <c r="F144" s="68" t="s">
        <v>25</v>
      </c>
      <c r="G144" s="68"/>
      <c r="H144" s="69">
        <f>H97+1</f>
        <v>45913</v>
      </c>
      <c r="I144" s="69"/>
      <c r="J144" s="69"/>
      <c r="K144" s="70">
        <f>H144</f>
        <v>45913</v>
      </c>
      <c r="L144" s="70"/>
      <c r="M144" s="70"/>
    </row>
    <row r="145" spans="1:13" ht="16.5" customHeight="1" x14ac:dyDescent="0.25">
      <c r="A145" s="71" t="s">
        <v>26</v>
      </c>
      <c r="B145" s="72"/>
      <c r="C145" s="73"/>
      <c r="D145" s="77" t="s">
        <v>78</v>
      </c>
      <c r="E145" s="78"/>
      <c r="F145" s="78"/>
      <c r="G145" s="79"/>
      <c r="H145" s="83" t="s">
        <v>27</v>
      </c>
      <c r="I145" s="83"/>
      <c r="J145" s="83"/>
      <c r="K145" s="84" t="s">
        <v>81</v>
      </c>
      <c r="L145" s="84"/>
      <c r="M145" s="85"/>
    </row>
    <row r="146" spans="1:13" ht="21" customHeight="1" x14ac:dyDescent="0.25">
      <c r="A146" s="74"/>
      <c r="B146" s="75"/>
      <c r="C146" s="76"/>
      <c r="D146" s="80"/>
      <c r="E146" s="81"/>
      <c r="F146" s="81"/>
      <c r="G146" s="82"/>
      <c r="H146" s="56"/>
      <c r="I146" s="56"/>
      <c r="J146" s="56"/>
      <c r="K146" s="86"/>
      <c r="L146" s="86"/>
      <c r="M146" s="87"/>
    </row>
    <row r="147" spans="1:13" x14ac:dyDescent="0.25">
      <c r="A147" s="6" t="s">
        <v>28</v>
      </c>
      <c r="B147" s="56" t="s">
        <v>82</v>
      </c>
      <c r="C147" s="56"/>
      <c r="D147" s="56" t="s">
        <v>29</v>
      </c>
      <c r="E147" s="56"/>
      <c r="F147" s="56"/>
      <c r="G147" s="7">
        <f>G100+1</f>
        <v>4</v>
      </c>
      <c r="H147" s="4" t="s">
        <v>30</v>
      </c>
      <c r="I147" s="88">
        <f>I100-1</f>
        <v>56</v>
      </c>
      <c r="J147" s="88"/>
      <c r="K147" s="56" t="s">
        <v>74</v>
      </c>
      <c r="L147" s="56"/>
      <c r="M147" s="8">
        <v>0</v>
      </c>
    </row>
    <row r="148" spans="1:13" x14ac:dyDescent="0.25">
      <c r="A148" s="55" t="s">
        <v>31</v>
      </c>
      <c r="B148" s="56"/>
      <c r="C148" s="56"/>
      <c r="D148" s="56" t="s">
        <v>83</v>
      </c>
      <c r="E148" s="56"/>
      <c r="F148" s="56"/>
      <c r="G148" s="56"/>
      <c r="H148" s="56" t="s">
        <v>32</v>
      </c>
      <c r="I148" s="56"/>
      <c r="J148" s="56"/>
      <c r="K148" s="64" t="s">
        <v>84</v>
      </c>
      <c r="L148" s="56"/>
      <c r="M148" s="57"/>
    </row>
    <row r="149" spans="1:13" x14ac:dyDescent="0.25">
      <c r="A149" s="55" t="s">
        <v>33</v>
      </c>
      <c r="B149" s="56"/>
      <c r="C149" s="56"/>
      <c r="D149" s="65">
        <v>8.0000000000000002E-3</v>
      </c>
      <c r="E149" s="65"/>
      <c r="F149" s="65"/>
      <c r="G149" s="65"/>
      <c r="H149" s="56" t="s">
        <v>18</v>
      </c>
      <c r="I149" s="56"/>
      <c r="J149" s="56"/>
      <c r="K149" s="66">
        <f>施工項目!AQ108</f>
        <v>1.5619607843137255E-2</v>
      </c>
      <c r="L149" s="66"/>
      <c r="M149" s="67"/>
    </row>
    <row r="150" spans="1:13" x14ac:dyDescent="0.25">
      <c r="A150" s="52" t="s">
        <v>34</v>
      </c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4"/>
    </row>
    <row r="151" spans="1:13" s="2" customFormat="1" x14ac:dyDescent="0.25">
      <c r="A151" s="60" t="s">
        <v>35</v>
      </c>
      <c r="B151" s="61"/>
      <c r="C151" s="61"/>
      <c r="D151" s="62"/>
      <c r="E151" s="11" t="s">
        <v>36</v>
      </c>
      <c r="F151" s="60" t="s">
        <v>37</v>
      </c>
      <c r="G151" s="62"/>
      <c r="H151" s="60" t="s">
        <v>38</v>
      </c>
      <c r="I151" s="62"/>
      <c r="J151" s="63" t="s">
        <v>39</v>
      </c>
      <c r="K151" s="63"/>
      <c r="L151" s="56" t="s">
        <v>40</v>
      </c>
      <c r="M151" s="57"/>
    </row>
    <row r="152" spans="1:13" x14ac:dyDescent="0.25">
      <c r="A152" s="52" t="s">
        <v>88</v>
      </c>
      <c r="B152" s="53"/>
      <c r="C152" s="53"/>
      <c r="D152" s="53"/>
      <c r="E152" s="4"/>
      <c r="F152" s="41"/>
      <c r="G152" s="41"/>
      <c r="H152" s="41"/>
      <c r="I152" s="41"/>
      <c r="J152" s="41"/>
      <c r="K152" s="41"/>
      <c r="L152" s="53"/>
      <c r="M152" s="54"/>
    </row>
    <row r="153" spans="1:13" x14ac:dyDescent="0.25">
      <c r="A153" s="52"/>
      <c r="B153" s="53"/>
      <c r="C153" s="53"/>
      <c r="D153" s="53"/>
      <c r="E153" s="4"/>
      <c r="F153" s="41"/>
      <c r="G153" s="41"/>
      <c r="H153" s="41"/>
      <c r="I153" s="41"/>
      <c r="J153" s="41"/>
      <c r="K153" s="41"/>
      <c r="L153" s="53"/>
      <c r="M153" s="54"/>
    </row>
    <row r="154" spans="1:13" x14ac:dyDescent="0.25">
      <c r="A154" s="52"/>
      <c r="B154" s="53"/>
      <c r="C154" s="53"/>
      <c r="D154" s="53"/>
      <c r="E154" s="4"/>
      <c r="F154" s="41"/>
      <c r="G154" s="41"/>
      <c r="H154" s="41"/>
      <c r="I154" s="41"/>
      <c r="J154" s="41"/>
      <c r="K154" s="41"/>
      <c r="L154" s="53"/>
      <c r="M154" s="54"/>
    </row>
    <row r="155" spans="1:13" x14ac:dyDescent="0.25">
      <c r="A155" s="52"/>
      <c r="B155" s="53"/>
      <c r="C155" s="53"/>
      <c r="D155" s="53"/>
      <c r="E155" s="4"/>
      <c r="F155" s="41"/>
      <c r="G155" s="41"/>
      <c r="H155" s="41"/>
      <c r="I155" s="41"/>
      <c r="J155" s="41"/>
      <c r="K155" s="41"/>
      <c r="L155" s="53"/>
      <c r="M155" s="54"/>
    </row>
    <row r="156" spans="1:13" x14ac:dyDescent="0.25">
      <c r="A156" s="52"/>
      <c r="B156" s="53"/>
      <c r="C156" s="53"/>
      <c r="D156" s="53"/>
      <c r="E156" s="4"/>
      <c r="F156" s="56"/>
      <c r="G156" s="56"/>
      <c r="H156" s="41"/>
      <c r="I156" s="41"/>
      <c r="J156" s="41"/>
      <c r="K156" s="41"/>
      <c r="L156" s="53"/>
      <c r="M156" s="54"/>
    </row>
    <row r="157" spans="1:13" x14ac:dyDescent="0.25">
      <c r="A157" s="52"/>
      <c r="B157" s="53"/>
      <c r="C157" s="53"/>
      <c r="D157" s="53"/>
      <c r="E157" s="4"/>
      <c r="F157" s="41"/>
      <c r="G157" s="41"/>
      <c r="H157" s="41"/>
      <c r="I157" s="41"/>
      <c r="J157" s="58"/>
      <c r="K157" s="59"/>
      <c r="L157" s="53"/>
      <c r="M157" s="54"/>
    </row>
    <row r="158" spans="1:13" x14ac:dyDescent="0.25">
      <c r="A158" s="52"/>
      <c r="B158" s="53"/>
      <c r="C158" s="53"/>
      <c r="D158" s="53"/>
      <c r="E158" s="4"/>
      <c r="F158" s="41"/>
      <c r="G158" s="41"/>
      <c r="H158" s="41"/>
      <c r="I158" s="41"/>
      <c r="J158" s="41"/>
      <c r="K158" s="41"/>
      <c r="L158" s="53"/>
      <c r="M158" s="54"/>
    </row>
    <row r="159" spans="1:13" x14ac:dyDescent="0.25">
      <c r="A159" s="52"/>
      <c r="B159" s="53"/>
      <c r="C159" s="53"/>
      <c r="D159" s="53"/>
      <c r="E159" s="9"/>
      <c r="F159" s="41"/>
      <c r="G159" s="41"/>
      <c r="H159" s="41"/>
      <c r="I159" s="41"/>
      <c r="J159" s="41"/>
      <c r="K159" s="41"/>
      <c r="L159" s="53"/>
      <c r="M159" s="54"/>
    </row>
    <row r="160" spans="1:13" x14ac:dyDescent="0.25">
      <c r="A160" s="52"/>
      <c r="B160" s="53"/>
      <c r="C160" s="53"/>
      <c r="D160" s="53"/>
      <c r="E160" s="9"/>
      <c r="F160" s="41"/>
      <c r="G160" s="41"/>
      <c r="H160" s="41"/>
      <c r="I160" s="41"/>
      <c r="J160" s="41"/>
      <c r="K160" s="41"/>
      <c r="L160" s="53"/>
      <c r="M160" s="54"/>
    </row>
    <row r="161" spans="1:13" x14ac:dyDescent="0.25">
      <c r="A161" s="52" t="s">
        <v>41</v>
      </c>
      <c r="B161" s="53"/>
      <c r="C161" s="53"/>
      <c r="D161" s="53"/>
      <c r="E161" s="9"/>
      <c r="F161" s="53"/>
      <c r="G161" s="53"/>
      <c r="H161" s="53"/>
      <c r="I161" s="53"/>
      <c r="J161" s="53"/>
      <c r="K161" s="53"/>
      <c r="L161" s="53"/>
      <c r="M161" s="54"/>
    </row>
    <row r="162" spans="1:13" x14ac:dyDescent="0.25">
      <c r="A162" s="52" t="s">
        <v>16</v>
      </c>
      <c r="B162" s="53"/>
      <c r="C162" s="53"/>
      <c r="D162" s="53"/>
      <c r="E162" s="9"/>
      <c r="F162" s="53"/>
      <c r="G162" s="53"/>
      <c r="H162" s="53"/>
      <c r="I162" s="53"/>
      <c r="J162" s="53"/>
      <c r="K162" s="53"/>
      <c r="L162" s="53"/>
      <c r="M162" s="54"/>
    </row>
    <row r="163" spans="1:13" x14ac:dyDescent="0.25">
      <c r="A163" s="52" t="s">
        <v>17</v>
      </c>
      <c r="B163" s="53"/>
      <c r="C163" s="53"/>
      <c r="D163" s="53"/>
      <c r="E163" s="9"/>
      <c r="F163" s="53"/>
      <c r="G163" s="53"/>
      <c r="H163" s="53"/>
      <c r="I163" s="53"/>
      <c r="J163" s="53"/>
      <c r="K163" s="53"/>
      <c r="L163" s="53"/>
      <c r="M163" s="54"/>
    </row>
    <row r="164" spans="1:13" x14ac:dyDescent="0.25">
      <c r="A164" s="52" t="s">
        <v>42</v>
      </c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4"/>
    </row>
    <row r="165" spans="1:13" x14ac:dyDescent="0.25">
      <c r="A165" s="55" t="s">
        <v>43</v>
      </c>
      <c r="B165" s="56"/>
      <c r="C165" s="56"/>
      <c r="D165" s="56"/>
      <c r="E165" s="4" t="s">
        <v>36</v>
      </c>
      <c r="F165" s="56" t="s">
        <v>44</v>
      </c>
      <c r="G165" s="56"/>
      <c r="H165" s="56" t="s">
        <v>45</v>
      </c>
      <c r="I165" s="56"/>
      <c r="J165" s="56" t="s">
        <v>46</v>
      </c>
      <c r="K165" s="56"/>
      <c r="L165" s="56" t="s">
        <v>40</v>
      </c>
      <c r="M165" s="57"/>
    </row>
    <row r="166" spans="1:13" x14ac:dyDescent="0.25">
      <c r="A166" s="52"/>
      <c r="B166" s="53"/>
      <c r="C166" s="53"/>
      <c r="D166" s="53"/>
      <c r="E166" s="9"/>
      <c r="F166" s="53"/>
      <c r="G166" s="53"/>
      <c r="H166" s="53"/>
      <c r="I166" s="53"/>
      <c r="J166" s="53"/>
      <c r="K166" s="53"/>
      <c r="L166" s="53"/>
      <c r="M166" s="54"/>
    </row>
    <row r="167" spans="1:13" x14ac:dyDescent="0.25">
      <c r="A167" s="52"/>
      <c r="B167" s="53"/>
      <c r="C167" s="53"/>
      <c r="D167" s="53"/>
      <c r="E167" s="9"/>
      <c r="F167" s="53"/>
      <c r="G167" s="53"/>
      <c r="H167" s="53"/>
      <c r="I167" s="53"/>
      <c r="J167" s="53"/>
      <c r="K167" s="53"/>
      <c r="L167" s="53"/>
      <c r="M167" s="54"/>
    </row>
    <row r="168" spans="1:13" x14ac:dyDescent="0.25">
      <c r="A168" s="52" t="s">
        <v>47</v>
      </c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4"/>
    </row>
    <row r="169" spans="1:13" x14ac:dyDescent="0.25">
      <c r="A169" s="55" t="s">
        <v>48</v>
      </c>
      <c r="B169" s="56"/>
      <c r="C169" s="56" t="s">
        <v>49</v>
      </c>
      <c r="D169" s="56"/>
      <c r="E169" s="56" t="s">
        <v>50</v>
      </c>
      <c r="F169" s="56"/>
      <c r="G169" s="56"/>
      <c r="H169" s="56" t="s">
        <v>51</v>
      </c>
      <c r="I169" s="56"/>
      <c r="J169" s="56" t="s">
        <v>45</v>
      </c>
      <c r="K169" s="56"/>
      <c r="L169" s="56" t="s">
        <v>46</v>
      </c>
      <c r="M169" s="57"/>
    </row>
    <row r="170" spans="1:13" x14ac:dyDescent="0.25">
      <c r="A170" s="40" t="s">
        <v>52</v>
      </c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2"/>
    </row>
    <row r="171" spans="1:13" ht="17.25" thickBot="1" x14ac:dyDescent="0.3">
      <c r="A171" s="40" t="s">
        <v>53</v>
      </c>
      <c r="B171" s="41"/>
      <c r="C171" s="41"/>
      <c r="D171" s="41"/>
      <c r="E171" s="41">
        <v>4</v>
      </c>
      <c r="F171" s="41"/>
      <c r="G171" s="41"/>
      <c r="H171" s="41"/>
      <c r="I171" s="41"/>
      <c r="J171" s="41"/>
      <c r="K171" s="41"/>
      <c r="L171" s="41"/>
      <c r="M171" s="42"/>
    </row>
    <row r="172" spans="1:13" ht="25.15" customHeight="1" thickBot="1" x14ac:dyDescent="0.3">
      <c r="A172" s="43" t="s">
        <v>59</v>
      </c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5"/>
    </row>
    <row r="173" spans="1:13" x14ac:dyDescent="0.25">
      <c r="A173" s="46" t="s">
        <v>60</v>
      </c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8"/>
    </row>
    <row r="174" spans="1:13" x14ac:dyDescent="0.25">
      <c r="A174" s="49" t="s">
        <v>61</v>
      </c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1"/>
    </row>
    <row r="175" spans="1:13" x14ac:dyDescent="0.25">
      <c r="A175" s="25" t="s">
        <v>62</v>
      </c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7"/>
    </row>
    <row r="176" spans="1:13" x14ac:dyDescent="0.25">
      <c r="A176" s="25" t="s">
        <v>63</v>
      </c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7"/>
    </row>
    <row r="177" spans="1:25" x14ac:dyDescent="0.25">
      <c r="A177" s="28" t="s">
        <v>64</v>
      </c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30"/>
    </row>
    <row r="178" spans="1:25" ht="17.25" thickBot="1" x14ac:dyDescent="0.3">
      <c r="A178" s="31" t="s">
        <v>65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3"/>
    </row>
    <row r="179" spans="1:25" ht="17.25" thickBot="1" x14ac:dyDescent="0.3">
      <c r="A179" s="34" t="s">
        <v>54</v>
      </c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6"/>
    </row>
    <row r="180" spans="1:25" ht="17.25" thickBot="1" x14ac:dyDescent="0.3">
      <c r="A180" s="34" t="s">
        <v>55</v>
      </c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6"/>
    </row>
    <row r="181" spans="1:25" ht="17.25" thickBot="1" x14ac:dyDescent="0.3">
      <c r="A181" s="34" t="s">
        <v>76</v>
      </c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6"/>
    </row>
    <row r="182" spans="1:25" ht="17.25" thickBot="1" x14ac:dyDescent="0.3">
      <c r="A182" s="37" t="s">
        <v>66</v>
      </c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9"/>
    </row>
    <row r="183" spans="1:25" x14ac:dyDescent="0.25">
      <c r="A183" s="12" t="s">
        <v>68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0"/>
      <c r="T183" s="10"/>
      <c r="U183" s="10"/>
      <c r="V183" s="10"/>
      <c r="W183" s="10"/>
      <c r="X183" s="10"/>
      <c r="Y183" s="10"/>
    </row>
    <row r="184" spans="1:25" x14ac:dyDescent="0.25">
      <c r="A184" s="14" t="s">
        <v>69</v>
      </c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0"/>
      <c r="T184" s="10"/>
      <c r="U184" s="10"/>
      <c r="V184" s="10"/>
      <c r="W184" s="10"/>
      <c r="X184" s="10"/>
      <c r="Y184" s="10"/>
    </row>
    <row r="185" spans="1:25" s="10" customFormat="1" ht="8.25" x14ac:dyDescent="0.25">
      <c r="A185" s="14" t="s">
        <v>70</v>
      </c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 spans="1:25" x14ac:dyDescent="0.25">
      <c r="A186" s="14" t="s">
        <v>71</v>
      </c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0"/>
      <c r="T186" s="10"/>
      <c r="U186" s="10"/>
      <c r="V186" s="10"/>
      <c r="W186" s="10"/>
      <c r="X186" s="10"/>
      <c r="Y186" s="10"/>
    </row>
    <row r="187" spans="1:25" x14ac:dyDescent="0.25">
      <c r="A187" s="14" t="s">
        <v>72</v>
      </c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0"/>
      <c r="T187" s="10"/>
      <c r="U187" s="10"/>
      <c r="V187" s="10"/>
      <c r="W187" s="10"/>
      <c r="X187" s="10"/>
      <c r="Y187" s="10"/>
    </row>
    <row r="188" spans="1:25" x14ac:dyDescent="0.25">
      <c r="A188" s="14" t="s">
        <v>73</v>
      </c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0"/>
      <c r="T188" s="10"/>
      <c r="U188" s="10"/>
      <c r="V188" s="10"/>
      <c r="W188" s="10"/>
      <c r="X188" s="10"/>
      <c r="Y188" s="10"/>
    </row>
    <row r="189" spans="1:25" ht="28.15" customHeight="1" x14ac:dyDescent="0.25">
      <c r="A189" s="89" t="s">
        <v>19</v>
      </c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</row>
    <row r="190" spans="1:25" x14ac:dyDescent="0.25">
      <c r="A190" s="2" t="s">
        <v>20</v>
      </c>
      <c r="B190" s="2">
        <f>B143+1</f>
        <v>5</v>
      </c>
    </row>
    <row r="191" spans="1:25" ht="17.25" thickBot="1" x14ac:dyDescent="0.3">
      <c r="A191" s="2" t="s">
        <v>21</v>
      </c>
      <c r="B191" s="2" t="s">
        <v>22</v>
      </c>
      <c r="C191" s="2" t="s">
        <v>23</v>
      </c>
      <c r="D191" s="2" t="s">
        <v>24</v>
      </c>
      <c r="F191" s="68" t="s">
        <v>25</v>
      </c>
      <c r="G191" s="68"/>
      <c r="H191" s="69">
        <f>H144+1</f>
        <v>45914</v>
      </c>
      <c r="I191" s="69"/>
      <c r="J191" s="69"/>
      <c r="K191" s="70">
        <f>H191</f>
        <v>45914</v>
      </c>
      <c r="L191" s="70"/>
      <c r="M191" s="70"/>
    </row>
    <row r="192" spans="1:25" ht="16.5" customHeight="1" x14ac:dyDescent="0.25">
      <c r="A192" s="71" t="s">
        <v>26</v>
      </c>
      <c r="B192" s="72"/>
      <c r="C192" s="73"/>
      <c r="D192" s="77" t="s">
        <v>78</v>
      </c>
      <c r="E192" s="78"/>
      <c r="F192" s="78"/>
      <c r="G192" s="79"/>
      <c r="H192" s="83" t="s">
        <v>27</v>
      </c>
      <c r="I192" s="83"/>
      <c r="J192" s="83"/>
      <c r="K192" s="84" t="s">
        <v>81</v>
      </c>
      <c r="L192" s="84"/>
      <c r="M192" s="85"/>
    </row>
    <row r="193" spans="1:13" ht="21" customHeight="1" x14ac:dyDescent="0.25">
      <c r="A193" s="74"/>
      <c r="B193" s="75"/>
      <c r="C193" s="76"/>
      <c r="D193" s="80"/>
      <c r="E193" s="81"/>
      <c r="F193" s="81"/>
      <c r="G193" s="82"/>
      <c r="H193" s="56"/>
      <c r="I193" s="56"/>
      <c r="J193" s="56"/>
      <c r="K193" s="86"/>
      <c r="L193" s="86"/>
      <c r="M193" s="87"/>
    </row>
    <row r="194" spans="1:13" x14ac:dyDescent="0.25">
      <c r="A194" s="6" t="s">
        <v>28</v>
      </c>
      <c r="B194" s="56" t="s">
        <v>82</v>
      </c>
      <c r="C194" s="56"/>
      <c r="D194" s="56" t="s">
        <v>29</v>
      </c>
      <c r="E194" s="56"/>
      <c r="F194" s="56"/>
      <c r="G194" s="7">
        <f>G147+1</f>
        <v>5</v>
      </c>
      <c r="H194" s="4" t="s">
        <v>30</v>
      </c>
      <c r="I194" s="88">
        <f>I147-1</f>
        <v>55</v>
      </c>
      <c r="J194" s="88"/>
      <c r="K194" s="56" t="s">
        <v>74</v>
      </c>
      <c r="L194" s="56"/>
      <c r="M194" s="8">
        <v>0</v>
      </c>
    </row>
    <row r="195" spans="1:13" x14ac:dyDescent="0.25">
      <c r="A195" s="55" t="s">
        <v>31</v>
      </c>
      <c r="B195" s="56"/>
      <c r="C195" s="56"/>
      <c r="D195" s="56" t="s">
        <v>83</v>
      </c>
      <c r="E195" s="56"/>
      <c r="F195" s="56"/>
      <c r="G195" s="56"/>
      <c r="H195" s="56" t="s">
        <v>32</v>
      </c>
      <c r="I195" s="56"/>
      <c r="J195" s="56"/>
      <c r="K195" s="64" t="s">
        <v>84</v>
      </c>
      <c r="L195" s="56"/>
      <c r="M195" s="57"/>
    </row>
    <row r="196" spans="1:13" x14ac:dyDescent="0.25">
      <c r="A196" s="55" t="s">
        <v>33</v>
      </c>
      <c r="B196" s="56"/>
      <c r="C196" s="56"/>
      <c r="D196" s="65">
        <v>0.01</v>
      </c>
      <c r="E196" s="65"/>
      <c r="F196" s="65"/>
      <c r="G196" s="65"/>
      <c r="H196" s="56" t="s">
        <v>18</v>
      </c>
      <c r="I196" s="56"/>
      <c r="J196" s="56"/>
      <c r="K196" s="66">
        <f>施工項目!AQ136</f>
        <v>1.7898039215686275E-2</v>
      </c>
      <c r="L196" s="66"/>
      <c r="M196" s="67"/>
    </row>
    <row r="197" spans="1:13" x14ac:dyDescent="0.25">
      <c r="A197" s="52" t="s">
        <v>34</v>
      </c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4"/>
    </row>
    <row r="198" spans="1:13" s="2" customFormat="1" x14ac:dyDescent="0.25">
      <c r="A198" s="60" t="s">
        <v>35</v>
      </c>
      <c r="B198" s="61"/>
      <c r="C198" s="61"/>
      <c r="D198" s="62"/>
      <c r="E198" s="11" t="s">
        <v>36</v>
      </c>
      <c r="F198" s="60" t="s">
        <v>37</v>
      </c>
      <c r="G198" s="62"/>
      <c r="H198" s="60" t="s">
        <v>38</v>
      </c>
      <c r="I198" s="62"/>
      <c r="J198" s="63" t="s">
        <v>39</v>
      </c>
      <c r="K198" s="63"/>
      <c r="L198" s="56" t="s">
        <v>40</v>
      </c>
      <c r="M198" s="57"/>
    </row>
    <row r="199" spans="1:13" x14ac:dyDescent="0.25">
      <c r="A199" s="52" t="s">
        <v>88</v>
      </c>
      <c r="B199" s="53"/>
      <c r="C199" s="53"/>
      <c r="D199" s="53"/>
      <c r="E199" s="4"/>
      <c r="F199" s="41"/>
      <c r="G199" s="41"/>
      <c r="H199" s="41"/>
      <c r="I199" s="41"/>
      <c r="J199" s="41"/>
      <c r="K199" s="41"/>
      <c r="L199" s="53"/>
      <c r="M199" s="54"/>
    </row>
    <row r="200" spans="1:13" x14ac:dyDescent="0.25">
      <c r="A200" s="52"/>
      <c r="B200" s="53"/>
      <c r="C200" s="53"/>
      <c r="D200" s="53"/>
      <c r="E200" s="4"/>
      <c r="F200" s="41"/>
      <c r="G200" s="41"/>
      <c r="H200" s="41"/>
      <c r="I200" s="41"/>
      <c r="J200" s="41"/>
      <c r="K200" s="41"/>
      <c r="L200" s="53"/>
      <c r="M200" s="54"/>
    </row>
    <row r="201" spans="1:13" x14ac:dyDescent="0.25">
      <c r="A201" s="52"/>
      <c r="B201" s="53"/>
      <c r="C201" s="53"/>
      <c r="D201" s="53"/>
      <c r="E201" s="4"/>
      <c r="F201" s="41"/>
      <c r="G201" s="41"/>
      <c r="H201" s="41"/>
      <c r="I201" s="41"/>
      <c r="J201" s="41"/>
      <c r="K201" s="41"/>
      <c r="L201" s="53"/>
      <c r="M201" s="54"/>
    </row>
    <row r="202" spans="1:13" x14ac:dyDescent="0.25">
      <c r="A202" s="52"/>
      <c r="B202" s="53"/>
      <c r="C202" s="53"/>
      <c r="D202" s="53"/>
      <c r="E202" s="4"/>
      <c r="F202" s="41"/>
      <c r="G202" s="41"/>
      <c r="H202" s="41"/>
      <c r="I202" s="41"/>
      <c r="J202" s="41"/>
      <c r="K202" s="41"/>
      <c r="L202" s="53"/>
      <c r="M202" s="54"/>
    </row>
    <row r="203" spans="1:13" x14ac:dyDescent="0.25">
      <c r="A203" s="52"/>
      <c r="B203" s="53"/>
      <c r="C203" s="53"/>
      <c r="D203" s="53"/>
      <c r="E203" s="4"/>
      <c r="F203" s="56"/>
      <c r="G203" s="56"/>
      <c r="H203" s="41"/>
      <c r="I203" s="41"/>
      <c r="J203" s="41"/>
      <c r="K203" s="41"/>
      <c r="L203" s="53"/>
      <c r="M203" s="54"/>
    </row>
    <row r="204" spans="1:13" x14ac:dyDescent="0.25">
      <c r="A204" s="52"/>
      <c r="B204" s="53"/>
      <c r="C204" s="53"/>
      <c r="D204" s="53"/>
      <c r="E204" s="4"/>
      <c r="F204" s="41"/>
      <c r="G204" s="41"/>
      <c r="H204" s="41"/>
      <c r="I204" s="41"/>
      <c r="J204" s="58"/>
      <c r="K204" s="59"/>
      <c r="L204" s="53"/>
      <c r="M204" s="54"/>
    </row>
    <row r="205" spans="1:13" x14ac:dyDescent="0.25">
      <c r="A205" s="52"/>
      <c r="B205" s="53"/>
      <c r="C205" s="53"/>
      <c r="D205" s="53"/>
      <c r="E205" s="4"/>
      <c r="F205" s="41"/>
      <c r="G205" s="41"/>
      <c r="H205" s="41"/>
      <c r="I205" s="41"/>
      <c r="J205" s="41"/>
      <c r="K205" s="41"/>
      <c r="L205" s="53"/>
      <c r="M205" s="54"/>
    </row>
    <row r="206" spans="1:13" x14ac:dyDescent="0.25">
      <c r="A206" s="52"/>
      <c r="B206" s="53"/>
      <c r="C206" s="53"/>
      <c r="D206" s="53"/>
      <c r="E206" s="9"/>
      <c r="F206" s="41"/>
      <c r="G206" s="41"/>
      <c r="H206" s="41"/>
      <c r="I206" s="41"/>
      <c r="J206" s="41"/>
      <c r="K206" s="41"/>
      <c r="L206" s="53"/>
      <c r="M206" s="54"/>
    </row>
    <row r="207" spans="1:13" x14ac:dyDescent="0.25">
      <c r="A207" s="52"/>
      <c r="B207" s="53"/>
      <c r="C207" s="53"/>
      <c r="D207" s="53"/>
      <c r="E207" s="9"/>
      <c r="F207" s="41"/>
      <c r="G207" s="41"/>
      <c r="H207" s="41"/>
      <c r="I207" s="41"/>
      <c r="J207" s="41"/>
      <c r="K207" s="41"/>
      <c r="L207" s="53"/>
      <c r="M207" s="54"/>
    </row>
    <row r="208" spans="1:13" x14ac:dyDescent="0.25">
      <c r="A208" s="52" t="s">
        <v>41</v>
      </c>
      <c r="B208" s="53"/>
      <c r="C208" s="53"/>
      <c r="D208" s="53"/>
      <c r="E208" s="9"/>
      <c r="F208" s="53"/>
      <c r="G208" s="53"/>
      <c r="H208" s="53"/>
      <c r="I208" s="53"/>
      <c r="J208" s="53"/>
      <c r="K208" s="53"/>
      <c r="L208" s="53"/>
      <c r="M208" s="54"/>
    </row>
    <row r="209" spans="1:13" x14ac:dyDescent="0.25">
      <c r="A209" s="52" t="s">
        <v>16</v>
      </c>
      <c r="B209" s="53"/>
      <c r="C209" s="53"/>
      <c r="D209" s="53"/>
      <c r="E209" s="9"/>
      <c r="F209" s="53"/>
      <c r="G209" s="53"/>
      <c r="H209" s="53"/>
      <c r="I209" s="53"/>
      <c r="J209" s="53"/>
      <c r="K209" s="53"/>
      <c r="L209" s="53"/>
      <c r="M209" s="54"/>
    </row>
    <row r="210" spans="1:13" x14ac:dyDescent="0.25">
      <c r="A210" s="52" t="s">
        <v>17</v>
      </c>
      <c r="B210" s="53"/>
      <c r="C210" s="53"/>
      <c r="D210" s="53"/>
      <c r="E210" s="9"/>
      <c r="F210" s="53"/>
      <c r="G210" s="53"/>
      <c r="H210" s="53"/>
      <c r="I210" s="53"/>
      <c r="J210" s="53"/>
      <c r="K210" s="53"/>
      <c r="L210" s="53"/>
      <c r="M210" s="54"/>
    </row>
    <row r="211" spans="1:13" x14ac:dyDescent="0.25">
      <c r="A211" s="52" t="s">
        <v>42</v>
      </c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4"/>
    </row>
    <row r="212" spans="1:13" x14ac:dyDescent="0.25">
      <c r="A212" s="55" t="s">
        <v>43</v>
      </c>
      <c r="B212" s="56"/>
      <c r="C212" s="56"/>
      <c r="D212" s="56"/>
      <c r="E212" s="4" t="s">
        <v>36</v>
      </c>
      <c r="F212" s="56" t="s">
        <v>44</v>
      </c>
      <c r="G212" s="56"/>
      <c r="H212" s="56" t="s">
        <v>45</v>
      </c>
      <c r="I212" s="56"/>
      <c r="J212" s="56" t="s">
        <v>46</v>
      </c>
      <c r="K212" s="56"/>
      <c r="L212" s="56" t="s">
        <v>40</v>
      </c>
      <c r="M212" s="57"/>
    </row>
    <row r="213" spans="1:13" x14ac:dyDescent="0.25">
      <c r="A213" s="52"/>
      <c r="B213" s="53"/>
      <c r="C213" s="53"/>
      <c r="D213" s="53"/>
      <c r="E213" s="9"/>
      <c r="F213" s="53"/>
      <c r="G213" s="53"/>
      <c r="H213" s="53"/>
      <c r="I213" s="53"/>
      <c r="J213" s="53"/>
      <c r="K213" s="53"/>
      <c r="L213" s="53"/>
      <c r="M213" s="54"/>
    </row>
    <row r="214" spans="1:13" x14ac:dyDescent="0.25">
      <c r="A214" s="52"/>
      <c r="B214" s="53"/>
      <c r="C214" s="53"/>
      <c r="D214" s="53"/>
      <c r="E214" s="9"/>
      <c r="F214" s="53"/>
      <c r="G214" s="53"/>
      <c r="H214" s="53"/>
      <c r="I214" s="53"/>
      <c r="J214" s="53"/>
      <c r="K214" s="53"/>
      <c r="L214" s="53"/>
      <c r="M214" s="54"/>
    </row>
    <row r="215" spans="1:13" x14ac:dyDescent="0.25">
      <c r="A215" s="52" t="s">
        <v>47</v>
      </c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4"/>
    </row>
    <row r="216" spans="1:13" x14ac:dyDescent="0.25">
      <c r="A216" s="55" t="s">
        <v>48</v>
      </c>
      <c r="B216" s="56"/>
      <c r="C216" s="56" t="s">
        <v>49</v>
      </c>
      <c r="D216" s="56"/>
      <c r="E216" s="56" t="s">
        <v>50</v>
      </c>
      <c r="F216" s="56"/>
      <c r="G216" s="56"/>
      <c r="H216" s="56" t="s">
        <v>51</v>
      </c>
      <c r="I216" s="56"/>
      <c r="J216" s="56" t="s">
        <v>45</v>
      </c>
      <c r="K216" s="56"/>
      <c r="L216" s="56" t="s">
        <v>46</v>
      </c>
      <c r="M216" s="57"/>
    </row>
    <row r="217" spans="1:13" x14ac:dyDescent="0.25">
      <c r="A217" s="40" t="s">
        <v>52</v>
      </c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2"/>
    </row>
    <row r="218" spans="1:13" ht="17.25" thickBot="1" x14ac:dyDescent="0.3">
      <c r="A218" s="40" t="s">
        <v>53</v>
      </c>
      <c r="B218" s="41"/>
      <c r="C218" s="41"/>
      <c r="D218" s="41"/>
      <c r="E218" s="41">
        <v>4</v>
      </c>
      <c r="F218" s="41"/>
      <c r="G218" s="41"/>
      <c r="H218" s="41"/>
      <c r="I218" s="41"/>
      <c r="J218" s="41"/>
      <c r="K218" s="41"/>
      <c r="L218" s="41"/>
      <c r="M218" s="42"/>
    </row>
    <row r="219" spans="1:13" ht="25.15" customHeight="1" thickBot="1" x14ac:dyDescent="0.3">
      <c r="A219" s="43" t="s">
        <v>59</v>
      </c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5"/>
    </row>
    <row r="220" spans="1:13" x14ac:dyDescent="0.25">
      <c r="A220" s="46" t="s">
        <v>60</v>
      </c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8"/>
    </row>
    <row r="221" spans="1:13" x14ac:dyDescent="0.25">
      <c r="A221" s="49" t="s">
        <v>61</v>
      </c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1"/>
    </row>
    <row r="222" spans="1:13" x14ac:dyDescent="0.25">
      <c r="A222" s="25" t="s">
        <v>62</v>
      </c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7"/>
    </row>
    <row r="223" spans="1:13" x14ac:dyDescent="0.25">
      <c r="A223" s="25" t="s">
        <v>63</v>
      </c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7"/>
    </row>
    <row r="224" spans="1:13" x14ac:dyDescent="0.25">
      <c r="A224" s="28" t="s">
        <v>64</v>
      </c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30"/>
    </row>
    <row r="225" spans="1:25" ht="17.25" thickBot="1" x14ac:dyDescent="0.3">
      <c r="A225" s="31" t="s">
        <v>65</v>
      </c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3"/>
    </row>
    <row r="226" spans="1:25" ht="17.25" thickBot="1" x14ac:dyDescent="0.3">
      <c r="A226" s="34" t="s">
        <v>54</v>
      </c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6"/>
    </row>
    <row r="227" spans="1:25" ht="17.25" thickBot="1" x14ac:dyDescent="0.3">
      <c r="A227" s="34" t="s">
        <v>55</v>
      </c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6"/>
    </row>
    <row r="228" spans="1:25" ht="17.25" thickBot="1" x14ac:dyDescent="0.3">
      <c r="A228" s="34" t="s">
        <v>76</v>
      </c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6"/>
    </row>
    <row r="229" spans="1:25" ht="17.25" thickBot="1" x14ac:dyDescent="0.3">
      <c r="A229" s="37" t="s">
        <v>66</v>
      </c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9"/>
    </row>
    <row r="230" spans="1:25" x14ac:dyDescent="0.25">
      <c r="A230" s="12" t="s">
        <v>68</v>
      </c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0"/>
      <c r="T230" s="10"/>
      <c r="U230" s="10"/>
      <c r="V230" s="10"/>
      <c r="W230" s="10"/>
      <c r="X230" s="10"/>
      <c r="Y230" s="10"/>
    </row>
    <row r="231" spans="1:25" x14ac:dyDescent="0.25">
      <c r="A231" s="14" t="s">
        <v>69</v>
      </c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0"/>
      <c r="T231" s="10"/>
      <c r="U231" s="10"/>
      <c r="V231" s="10"/>
      <c r="W231" s="10"/>
      <c r="X231" s="10"/>
      <c r="Y231" s="10"/>
    </row>
    <row r="232" spans="1:25" s="10" customFormat="1" ht="8.25" x14ac:dyDescent="0.25">
      <c r="A232" s="14" t="s">
        <v>70</v>
      </c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</row>
    <row r="233" spans="1:25" x14ac:dyDescent="0.25">
      <c r="A233" s="14" t="s">
        <v>71</v>
      </c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0"/>
      <c r="T233" s="10"/>
      <c r="U233" s="10"/>
      <c r="V233" s="10"/>
      <c r="W233" s="10"/>
      <c r="X233" s="10"/>
      <c r="Y233" s="10"/>
    </row>
    <row r="234" spans="1:25" x14ac:dyDescent="0.25">
      <c r="A234" s="14" t="s">
        <v>72</v>
      </c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0"/>
      <c r="T234" s="10"/>
      <c r="U234" s="10"/>
      <c r="V234" s="10"/>
      <c r="W234" s="10"/>
      <c r="X234" s="10"/>
      <c r="Y234" s="10"/>
    </row>
    <row r="235" spans="1:25" x14ac:dyDescent="0.25">
      <c r="A235" s="14" t="s">
        <v>73</v>
      </c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0"/>
      <c r="T235" s="10"/>
      <c r="U235" s="10"/>
      <c r="V235" s="10"/>
      <c r="W235" s="10"/>
      <c r="X235" s="10"/>
      <c r="Y235" s="10"/>
    </row>
    <row r="236" spans="1:25" ht="28.15" customHeight="1" x14ac:dyDescent="0.25">
      <c r="A236" s="89" t="s">
        <v>19</v>
      </c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</row>
    <row r="237" spans="1:25" x14ac:dyDescent="0.25">
      <c r="A237" s="2" t="s">
        <v>20</v>
      </c>
      <c r="B237" s="2">
        <f>B190+1</f>
        <v>6</v>
      </c>
    </row>
    <row r="238" spans="1:25" ht="17.25" thickBot="1" x14ac:dyDescent="0.3">
      <c r="A238" s="2" t="s">
        <v>21</v>
      </c>
      <c r="B238" s="2" t="s">
        <v>22</v>
      </c>
      <c r="C238" s="2" t="s">
        <v>23</v>
      </c>
      <c r="D238" s="2" t="s">
        <v>24</v>
      </c>
      <c r="F238" s="68" t="s">
        <v>25</v>
      </c>
      <c r="G238" s="68"/>
      <c r="H238" s="69">
        <f>H191+1</f>
        <v>45915</v>
      </c>
      <c r="I238" s="69"/>
      <c r="J238" s="69"/>
      <c r="K238" s="70">
        <f>H238</f>
        <v>45915</v>
      </c>
      <c r="L238" s="70"/>
      <c r="M238" s="70"/>
    </row>
    <row r="239" spans="1:25" ht="16.5" customHeight="1" x14ac:dyDescent="0.25">
      <c r="A239" s="71" t="s">
        <v>26</v>
      </c>
      <c r="B239" s="72"/>
      <c r="C239" s="73"/>
      <c r="D239" s="77" t="s">
        <v>78</v>
      </c>
      <c r="E239" s="78"/>
      <c r="F239" s="78"/>
      <c r="G239" s="79"/>
      <c r="H239" s="83" t="s">
        <v>27</v>
      </c>
      <c r="I239" s="83"/>
      <c r="J239" s="83"/>
      <c r="K239" s="84" t="s">
        <v>81</v>
      </c>
      <c r="L239" s="84"/>
      <c r="M239" s="85"/>
    </row>
    <row r="240" spans="1:25" ht="21" customHeight="1" x14ac:dyDescent="0.25">
      <c r="A240" s="74"/>
      <c r="B240" s="75"/>
      <c r="C240" s="76"/>
      <c r="D240" s="80"/>
      <c r="E240" s="81"/>
      <c r="F240" s="81"/>
      <c r="G240" s="82"/>
      <c r="H240" s="56"/>
      <c r="I240" s="56"/>
      <c r="J240" s="56"/>
      <c r="K240" s="86"/>
      <c r="L240" s="86"/>
      <c r="M240" s="87"/>
    </row>
    <row r="241" spans="1:13" x14ac:dyDescent="0.25">
      <c r="A241" s="6" t="s">
        <v>28</v>
      </c>
      <c r="B241" s="56" t="s">
        <v>82</v>
      </c>
      <c r="C241" s="56"/>
      <c r="D241" s="56" t="s">
        <v>29</v>
      </c>
      <c r="E241" s="56"/>
      <c r="F241" s="56"/>
      <c r="G241" s="7">
        <f>G194+1</f>
        <v>6</v>
      </c>
      <c r="H241" s="4" t="s">
        <v>30</v>
      </c>
      <c r="I241" s="88">
        <f>I194-1</f>
        <v>54</v>
      </c>
      <c r="J241" s="88"/>
      <c r="K241" s="56" t="s">
        <v>74</v>
      </c>
      <c r="L241" s="56"/>
      <c r="M241" s="8">
        <v>0</v>
      </c>
    </row>
    <row r="242" spans="1:13" x14ac:dyDescent="0.25">
      <c r="A242" s="55" t="s">
        <v>31</v>
      </c>
      <c r="B242" s="56"/>
      <c r="C242" s="56"/>
      <c r="D242" s="56" t="s">
        <v>83</v>
      </c>
      <c r="E242" s="56"/>
      <c r="F242" s="56"/>
      <c r="G242" s="56"/>
      <c r="H242" s="56" t="s">
        <v>32</v>
      </c>
      <c r="I242" s="56"/>
      <c r="J242" s="56"/>
      <c r="K242" s="64" t="s">
        <v>84</v>
      </c>
      <c r="L242" s="56"/>
      <c r="M242" s="57"/>
    </row>
    <row r="243" spans="1:13" x14ac:dyDescent="0.25">
      <c r="A243" s="55" t="s">
        <v>33</v>
      </c>
      <c r="B243" s="56"/>
      <c r="C243" s="56"/>
      <c r="D243" s="65">
        <v>1.2E-2</v>
      </c>
      <c r="E243" s="65"/>
      <c r="F243" s="65"/>
      <c r="G243" s="65"/>
      <c r="H243" s="56" t="s">
        <v>18</v>
      </c>
      <c r="I243" s="56"/>
      <c r="J243" s="56"/>
      <c r="K243" s="66">
        <f>施工項目!AQ164</f>
        <v>2.0174509803921568E-2</v>
      </c>
      <c r="L243" s="66"/>
      <c r="M243" s="67"/>
    </row>
    <row r="244" spans="1:13" x14ac:dyDescent="0.25">
      <c r="A244" s="52" t="s">
        <v>34</v>
      </c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4"/>
    </row>
    <row r="245" spans="1:13" s="2" customFormat="1" x14ac:dyDescent="0.25">
      <c r="A245" s="60" t="s">
        <v>35</v>
      </c>
      <c r="B245" s="61"/>
      <c r="C245" s="61"/>
      <c r="D245" s="62"/>
      <c r="E245" s="11" t="s">
        <v>36</v>
      </c>
      <c r="F245" s="60" t="s">
        <v>37</v>
      </c>
      <c r="G245" s="62"/>
      <c r="H245" s="60" t="s">
        <v>38</v>
      </c>
      <c r="I245" s="62"/>
      <c r="J245" s="63" t="s">
        <v>39</v>
      </c>
      <c r="K245" s="63"/>
      <c r="L245" s="56" t="s">
        <v>40</v>
      </c>
      <c r="M245" s="57"/>
    </row>
    <row r="246" spans="1:13" x14ac:dyDescent="0.25">
      <c r="A246" s="52" t="s">
        <v>88</v>
      </c>
      <c r="B246" s="53"/>
      <c r="C246" s="53"/>
      <c r="D246" s="53"/>
      <c r="E246" s="4"/>
      <c r="F246" s="41"/>
      <c r="G246" s="41"/>
      <c r="H246" s="41"/>
      <c r="I246" s="41"/>
      <c r="J246" s="41"/>
      <c r="K246" s="41"/>
      <c r="L246" s="53"/>
      <c r="M246" s="54"/>
    </row>
    <row r="247" spans="1:13" x14ac:dyDescent="0.25">
      <c r="A247" s="52"/>
      <c r="B247" s="53"/>
      <c r="C247" s="53"/>
      <c r="D247" s="53"/>
      <c r="E247" s="4"/>
      <c r="F247" s="41"/>
      <c r="G247" s="41"/>
      <c r="H247" s="41"/>
      <c r="I247" s="41"/>
      <c r="J247" s="41"/>
      <c r="K247" s="41"/>
      <c r="L247" s="53"/>
      <c r="M247" s="54"/>
    </row>
    <row r="248" spans="1:13" x14ac:dyDescent="0.25">
      <c r="A248" s="52"/>
      <c r="B248" s="53"/>
      <c r="C248" s="53"/>
      <c r="D248" s="53"/>
      <c r="E248" s="4"/>
      <c r="F248" s="41"/>
      <c r="G248" s="41"/>
      <c r="H248" s="41"/>
      <c r="I248" s="41"/>
      <c r="J248" s="41"/>
      <c r="K248" s="41"/>
      <c r="L248" s="53"/>
      <c r="M248" s="54"/>
    </row>
    <row r="249" spans="1:13" x14ac:dyDescent="0.25">
      <c r="A249" s="52"/>
      <c r="B249" s="53"/>
      <c r="C249" s="53"/>
      <c r="D249" s="53"/>
      <c r="E249" s="4"/>
      <c r="F249" s="41"/>
      <c r="G249" s="41"/>
      <c r="H249" s="41"/>
      <c r="I249" s="41"/>
      <c r="J249" s="41"/>
      <c r="K249" s="41"/>
      <c r="L249" s="53"/>
      <c r="M249" s="54"/>
    </row>
    <row r="250" spans="1:13" x14ac:dyDescent="0.25">
      <c r="A250" s="52"/>
      <c r="B250" s="53"/>
      <c r="C250" s="53"/>
      <c r="D250" s="53"/>
      <c r="E250" s="4"/>
      <c r="F250" s="56"/>
      <c r="G250" s="56"/>
      <c r="H250" s="41"/>
      <c r="I250" s="41"/>
      <c r="J250" s="41"/>
      <c r="K250" s="41"/>
      <c r="L250" s="53"/>
      <c r="M250" s="54"/>
    </row>
    <row r="251" spans="1:13" x14ac:dyDescent="0.25">
      <c r="A251" s="52"/>
      <c r="B251" s="53"/>
      <c r="C251" s="53"/>
      <c r="D251" s="53"/>
      <c r="E251" s="4"/>
      <c r="F251" s="41"/>
      <c r="G251" s="41"/>
      <c r="H251" s="41"/>
      <c r="I251" s="41"/>
      <c r="J251" s="58"/>
      <c r="K251" s="59"/>
      <c r="L251" s="53"/>
      <c r="M251" s="54"/>
    </row>
    <row r="252" spans="1:13" x14ac:dyDescent="0.25">
      <c r="A252" s="52"/>
      <c r="B252" s="53"/>
      <c r="C252" s="53"/>
      <c r="D252" s="53"/>
      <c r="E252" s="4"/>
      <c r="F252" s="41"/>
      <c r="G252" s="41"/>
      <c r="H252" s="41"/>
      <c r="I252" s="41"/>
      <c r="J252" s="41"/>
      <c r="K252" s="41"/>
      <c r="L252" s="53"/>
      <c r="M252" s="54"/>
    </row>
    <row r="253" spans="1:13" x14ac:dyDescent="0.25">
      <c r="A253" s="52"/>
      <c r="B253" s="53"/>
      <c r="C253" s="53"/>
      <c r="D253" s="53"/>
      <c r="E253" s="9"/>
      <c r="F253" s="41"/>
      <c r="G253" s="41"/>
      <c r="H253" s="41"/>
      <c r="I253" s="41"/>
      <c r="J253" s="41"/>
      <c r="K253" s="41"/>
      <c r="L253" s="53"/>
      <c r="M253" s="54"/>
    </row>
    <row r="254" spans="1:13" x14ac:dyDescent="0.25">
      <c r="A254" s="52"/>
      <c r="B254" s="53"/>
      <c r="C254" s="53"/>
      <c r="D254" s="53"/>
      <c r="E254" s="9"/>
      <c r="F254" s="41"/>
      <c r="G254" s="41"/>
      <c r="H254" s="41"/>
      <c r="I254" s="41"/>
      <c r="J254" s="41"/>
      <c r="K254" s="41"/>
      <c r="L254" s="53"/>
      <c r="M254" s="54"/>
    </row>
    <row r="255" spans="1:13" x14ac:dyDescent="0.25">
      <c r="A255" s="52" t="s">
        <v>41</v>
      </c>
      <c r="B255" s="53"/>
      <c r="C255" s="53"/>
      <c r="D255" s="53"/>
      <c r="E255" s="9"/>
      <c r="F255" s="53"/>
      <c r="G255" s="53"/>
      <c r="H255" s="53"/>
      <c r="I255" s="53"/>
      <c r="J255" s="53"/>
      <c r="K255" s="53"/>
      <c r="L255" s="53"/>
      <c r="M255" s="54"/>
    </row>
    <row r="256" spans="1:13" x14ac:dyDescent="0.25">
      <c r="A256" s="52" t="s">
        <v>16</v>
      </c>
      <c r="B256" s="53"/>
      <c r="C256" s="53"/>
      <c r="D256" s="53"/>
      <c r="E256" s="9"/>
      <c r="F256" s="53"/>
      <c r="G256" s="53"/>
      <c r="H256" s="53"/>
      <c r="I256" s="53"/>
      <c r="J256" s="53"/>
      <c r="K256" s="53"/>
      <c r="L256" s="53"/>
      <c r="M256" s="54"/>
    </row>
    <row r="257" spans="1:13" x14ac:dyDescent="0.25">
      <c r="A257" s="52" t="s">
        <v>17</v>
      </c>
      <c r="B257" s="53"/>
      <c r="C257" s="53"/>
      <c r="D257" s="53"/>
      <c r="E257" s="9"/>
      <c r="F257" s="53"/>
      <c r="G257" s="53"/>
      <c r="H257" s="53"/>
      <c r="I257" s="53"/>
      <c r="J257" s="53"/>
      <c r="K257" s="53"/>
      <c r="L257" s="53"/>
      <c r="M257" s="54"/>
    </row>
    <row r="258" spans="1:13" x14ac:dyDescent="0.25">
      <c r="A258" s="52" t="s">
        <v>42</v>
      </c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4"/>
    </row>
    <row r="259" spans="1:13" x14ac:dyDescent="0.25">
      <c r="A259" s="55" t="s">
        <v>43</v>
      </c>
      <c r="B259" s="56"/>
      <c r="C259" s="56"/>
      <c r="D259" s="56"/>
      <c r="E259" s="4" t="s">
        <v>36</v>
      </c>
      <c r="F259" s="56" t="s">
        <v>44</v>
      </c>
      <c r="G259" s="56"/>
      <c r="H259" s="56" t="s">
        <v>45</v>
      </c>
      <c r="I259" s="56"/>
      <c r="J259" s="56" t="s">
        <v>46</v>
      </c>
      <c r="K259" s="56"/>
      <c r="L259" s="56" t="s">
        <v>40</v>
      </c>
      <c r="M259" s="57"/>
    </row>
    <row r="260" spans="1:13" x14ac:dyDescent="0.25">
      <c r="A260" s="52"/>
      <c r="B260" s="53"/>
      <c r="C260" s="53"/>
      <c r="D260" s="53"/>
      <c r="E260" s="9"/>
      <c r="F260" s="53"/>
      <c r="G260" s="53"/>
      <c r="H260" s="53"/>
      <c r="I260" s="53"/>
      <c r="J260" s="53"/>
      <c r="K260" s="53"/>
      <c r="L260" s="53"/>
      <c r="M260" s="54"/>
    </row>
    <row r="261" spans="1:13" x14ac:dyDescent="0.25">
      <c r="A261" s="52"/>
      <c r="B261" s="53"/>
      <c r="C261" s="53"/>
      <c r="D261" s="53"/>
      <c r="E261" s="9"/>
      <c r="F261" s="53"/>
      <c r="G261" s="53"/>
      <c r="H261" s="53"/>
      <c r="I261" s="53"/>
      <c r="J261" s="53"/>
      <c r="K261" s="53"/>
      <c r="L261" s="53"/>
      <c r="M261" s="54"/>
    </row>
    <row r="262" spans="1:13" x14ac:dyDescent="0.25">
      <c r="A262" s="52" t="s">
        <v>47</v>
      </c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4"/>
    </row>
    <row r="263" spans="1:13" x14ac:dyDescent="0.25">
      <c r="A263" s="55" t="s">
        <v>48</v>
      </c>
      <c r="B263" s="56"/>
      <c r="C263" s="56" t="s">
        <v>49</v>
      </c>
      <c r="D263" s="56"/>
      <c r="E263" s="56" t="s">
        <v>50</v>
      </c>
      <c r="F263" s="56"/>
      <c r="G263" s="56"/>
      <c r="H263" s="56" t="s">
        <v>51</v>
      </c>
      <c r="I263" s="56"/>
      <c r="J263" s="56" t="s">
        <v>45</v>
      </c>
      <c r="K263" s="56"/>
      <c r="L263" s="56" t="s">
        <v>46</v>
      </c>
      <c r="M263" s="57"/>
    </row>
    <row r="264" spans="1:13" x14ac:dyDescent="0.25">
      <c r="A264" s="40" t="s">
        <v>52</v>
      </c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2"/>
    </row>
    <row r="265" spans="1:13" ht="17.25" thickBot="1" x14ac:dyDescent="0.3">
      <c r="A265" s="40" t="s">
        <v>53</v>
      </c>
      <c r="B265" s="41"/>
      <c r="C265" s="41"/>
      <c r="D265" s="41"/>
      <c r="E265" s="41">
        <v>4</v>
      </c>
      <c r="F265" s="41"/>
      <c r="G265" s="41"/>
      <c r="H265" s="41"/>
      <c r="I265" s="41"/>
      <c r="J265" s="41"/>
      <c r="K265" s="41"/>
      <c r="L265" s="41"/>
      <c r="M265" s="42"/>
    </row>
    <row r="266" spans="1:13" ht="25.15" customHeight="1" thickBot="1" x14ac:dyDescent="0.3">
      <c r="A266" s="43" t="s">
        <v>59</v>
      </c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5"/>
    </row>
    <row r="267" spans="1:13" x14ac:dyDescent="0.25">
      <c r="A267" s="46" t="s">
        <v>60</v>
      </c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8"/>
    </row>
    <row r="268" spans="1:13" x14ac:dyDescent="0.25">
      <c r="A268" s="49" t="s">
        <v>61</v>
      </c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1"/>
    </row>
    <row r="269" spans="1:13" x14ac:dyDescent="0.25">
      <c r="A269" s="25" t="s">
        <v>62</v>
      </c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7"/>
    </row>
    <row r="270" spans="1:13" x14ac:dyDescent="0.25">
      <c r="A270" s="25" t="s">
        <v>63</v>
      </c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7"/>
    </row>
    <row r="271" spans="1:13" x14ac:dyDescent="0.25">
      <c r="A271" s="28" t="s">
        <v>64</v>
      </c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30"/>
    </row>
    <row r="272" spans="1:13" ht="17.25" thickBot="1" x14ac:dyDescent="0.3">
      <c r="A272" s="31" t="s">
        <v>65</v>
      </c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3"/>
    </row>
    <row r="273" spans="1:25" ht="17.25" thickBot="1" x14ac:dyDescent="0.3">
      <c r="A273" s="34" t="s">
        <v>54</v>
      </c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6"/>
    </row>
    <row r="274" spans="1:25" ht="17.25" thickBot="1" x14ac:dyDescent="0.3">
      <c r="A274" s="34" t="s">
        <v>55</v>
      </c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6"/>
    </row>
    <row r="275" spans="1:25" ht="17.25" thickBot="1" x14ac:dyDescent="0.3">
      <c r="A275" s="34" t="s">
        <v>76</v>
      </c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6"/>
    </row>
    <row r="276" spans="1:25" ht="17.25" thickBot="1" x14ac:dyDescent="0.3">
      <c r="A276" s="37" t="s">
        <v>66</v>
      </c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9"/>
    </row>
    <row r="277" spans="1:25" x14ac:dyDescent="0.25">
      <c r="A277" s="12" t="s">
        <v>68</v>
      </c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0"/>
      <c r="T277" s="10"/>
      <c r="U277" s="10"/>
      <c r="V277" s="10"/>
      <c r="W277" s="10"/>
      <c r="X277" s="10"/>
      <c r="Y277" s="10"/>
    </row>
    <row r="278" spans="1:25" x14ac:dyDescent="0.25">
      <c r="A278" s="14" t="s">
        <v>69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0"/>
      <c r="T278" s="10"/>
      <c r="U278" s="10"/>
      <c r="V278" s="10"/>
      <c r="W278" s="10"/>
      <c r="X278" s="10"/>
      <c r="Y278" s="10"/>
    </row>
    <row r="279" spans="1:25" s="10" customFormat="1" ht="8.25" x14ac:dyDescent="0.25">
      <c r="A279" s="14" t="s">
        <v>70</v>
      </c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</row>
    <row r="280" spans="1:25" x14ac:dyDescent="0.25">
      <c r="A280" s="14" t="s">
        <v>71</v>
      </c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0"/>
      <c r="T280" s="10"/>
      <c r="U280" s="10"/>
      <c r="V280" s="10"/>
      <c r="W280" s="10"/>
      <c r="X280" s="10"/>
      <c r="Y280" s="10"/>
    </row>
    <row r="281" spans="1:25" x14ac:dyDescent="0.25">
      <c r="A281" s="14" t="s">
        <v>72</v>
      </c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0"/>
      <c r="T281" s="10"/>
      <c r="U281" s="10"/>
      <c r="V281" s="10"/>
      <c r="W281" s="10"/>
      <c r="X281" s="10"/>
      <c r="Y281" s="10"/>
    </row>
    <row r="282" spans="1:25" x14ac:dyDescent="0.25">
      <c r="A282" s="14" t="s">
        <v>73</v>
      </c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0"/>
      <c r="T282" s="10"/>
      <c r="U282" s="10"/>
      <c r="V282" s="10"/>
      <c r="W282" s="10"/>
      <c r="X282" s="10"/>
      <c r="Y282" s="10"/>
    </row>
    <row r="283" spans="1:25" ht="28.15" customHeight="1" x14ac:dyDescent="0.25">
      <c r="A283" s="89" t="s">
        <v>19</v>
      </c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</row>
    <row r="284" spans="1:25" x14ac:dyDescent="0.25">
      <c r="A284" s="2" t="s">
        <v>20</v>
      </c>
      <c r="B284" s="2">
        <f>B237+1</f>
        <v>7</v>
      </c>
    </row>
    <row r="285" spans="1:25" ht="17.25" thickBot="1" x14ac:dyDescent="0.3">
      <c r="A285" s="2" t="s">
        <v>21</v>
      </c>
      <c r="B285" s="2" t="s">
        <v>22</v>
      </c>
      <c r="C285" s="2" t="s">
        <v>23</v>
      </c>
      <c r="D285" s="2" t="s">
        <v>24</v>
      </c>
      <c r="F285" s="68" t="s">
        <v>25</v>
      </c>
      <c r="G285" s="68"/>
      <c r="H285" s="69">
        <f>H238+1</f>
        <v>45916</v>
      </c>
      <c r="I285" s="69"/>
      <c r="J285" s="69"/>
      <c r="K285" s="70">
        <f>H285</f>
        <v>45916</v>
      </c>
      <c r="L285" s="70"/>
      <c r="M285" s="70"/>
    </row>
    <row r="286" spans="1:25" ht="16.5" customHeight="1" x14ac:dyDescent="0.25">
      <c r="A286" s="71" t="s">
        <v>26</v>
      </c>
      <c r="B286" s="72"/>
      <c r="C286" s="73"/>
      <c r="D286" s="77" t="s">
        <v>78</v>
      </c>
      <c r="E286" s="78"/>
      <c r="F286" s="78"/>
      <c r="G286" s="79"/>
      <c r="H286" s="83" t="s">
        <v>27</v>
      </c>
      <c r="I286" s="83"/>
      <c r="J286" s="83"/>
      <c r="K286" s="84" t="s">
        <v>81</v>
      </c>
      <c r="L286" s="84"/>
      <c r="M286" s="85"/>
    </row>
    <row r="287" spans="1:25" ht="21" customHeight="1" x14ac:dyDescent="0.25">
      <c r="A287" s="74"/>
      <c r="B287" s="75"/>
      <c r="C287" s="76"/>
      <c r="D287" s="80"/>
      <c r="E287" s="81"/>
      <c r="F287" s="81"/>
      <c r="G287" s="82"/>
      <c r="H287" s="56"/>
      <c r="I287" s="56"/>
      <c r="J287" s="56"/>
      <c r="K287" s="86"/>
      <c r="L287" s="86"/>
      <c r="M287" s="87"/>
    </row>
    <row r="288" spans="1:25" x14ac:dyDescent="0.25">
      <c r="A288" s="6" t="s">
        <v>28</v>
      </c>
      <c r="B288" s="56" t="s">
        <v>82</v>
      </c>
      <c r="C288" s="56"/>
      <c r="D288" s="56" t="s">
        <v>29</v>
      </c>
      <c r="E288" s="56"/>
      <c r="F288" s="56"/>
      <c r="G288" s="7">
        <f>G241+1</f>
        <v>7</v>
      </c>
      <c r="H288" s="4" t="s">
        <v>30</v>
      </c>
      <c r="I288" s="88">
        <f>I241-1</f>
        <v>53</v>
      </c>
      <c r="J288" s="88"/>
      <c r="K288" s="56" t="s">
        <v>74</v>
      </c>
      <c r="L288" s="56"/>
      <c r="M288" s="8">
        <v>0</v>
      </c>
    </row>
    <row r="289" spans="1:13" x14ac:dyDescent="0.25">
      <c r="A289" s="55" t="s">
        <v>31</v>
      </c>
      <c r="B289" s="56"/>
      <c r="C289" s="56"/>
      <c r="D289" s="56" t="s">
        <v>83</v>
      </c>
      <c r="E289" s="56"/>
      <c r="F289" s="56"/>
      <c r="G289" s="56"/>
      <c r="H289" s="56" t="s">
        <v>32</v>
      </c>
      <c r="I289" s="56"/>
      <c r="J289" s="56"/>
      <c r="K289" s="64" t="s">
        <v>84</v>
      </c>
      <c r="L289" s="56"/>
      <c r="M289" s="57"/>
    </row>
    <row r="290" spans="1:13" x14ac:dyDescent="0.25">
      <c r="A290" s="55" t="s">
        <v>33</v>
      </c>
      <c r="B290" s="56"/>
      <c r="C290" s="56"/>
      <c r="D290" s="65">
        <v>1.4E-2</v>
      </c>
      <c r="E290" s="65"/>
      <c r="F290" s="65"/>
      <c r="G290" s="65"/>
      <c r="H290" s="56" t="s">
        <v>18</v>
      </c>
      <c r="I290" s="56"/>
      <c r="J290" s="56"/>
      <c r="K290" s="66">
        <f>施工項目!AQ192</f>
        <v>2.2452941176470589E-2</v>
      </c>
      <c r="L290" s="66"/>
      <c r="M290" s="67"/>
    </row>
    <row r="291" spans="1:13" x14ac:dyDescent="0.25">
      <c r="A291" s="52" t="s">
        <v>34</v>
      </c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4"/>
    </row>
    <row r="292" spans="1:13" s="2" customFormat="1" x14ac:dyDescent="0.25">
      <c r="A292" s="60" t="s">
        <v>35</v>
      </c>
      <c r="B292" s="61"/>
      <c r="C292" s="61"/>
      <c r="D292" s="62"/>
      <c r="E292" s="11" t="s">
        <v>36</v>
      </c>
      <c r="F292" s="60" t="s">
        <v>37</v>
      </c>
      <c r="G292" s="62"/>
      <c r="H292" s="60" t="s">
        <v>38</v>
      </c>
      <c r="I292" s="62"/>
      <c r="J292" s="63" t="s">
        <v>39</v>
      </c>
      <c r="K292" s="63"/>
      <c r="L292" s="56" t="s">
        <v>40</v>
      </c>
      <c r="M292" s="57"/>
    </row>
    <row r="293" spans="1:13" x14ac:dyDescent="0.25">
      <c r="A293" s="52" t="s">
        <v>88</v>
      </c>
      <c r="B293" s="53"/>
      <c r="C293" s="53"/>
      <c r="D293" s="53"/>
      <c r="E293" s="4"/>
      <c r="F293" s="41"/>
      <c r="G293" s="41"/>
      <c r="H293" s="41"/>
      <c r="I293" s="41"/>
      <c r="J293" s="41"/>
      <c r="K293" s="41"/>
      <c r="L293" s="53"/>
      <c r="M293" s="54"/>
    </row>
    <row r="294" spans="1:13" x14ac:dyDescent="0.25">
      <c r="A294" s="52"/>
      <c r="B294" s="53"/>
      <c r="C294" s="53"/>
      <c r="D294" s="53"/>
      <c r="E294" s="4"/>
      <c r="F294" s="41"/>
      <c r="G294" s="41"/>
      <c r="H294" s="41"/>
      <c r="I294" s="41"/>
      <c r="J294" s="41"/>
      <c r="K294" s="41"/>
      <c r="L294" s="53"/>
      <c r="M294" s="54"/>
    </row>
    <row r="295" spans="1:13" x14ac:dyDescent="0.25">
      <c r="A295" s="52"/>
      <c r="B295" s="53"/>
      <c r="C295" s="53"/>
      <c r="D295" s="53"/>
      <c r="E295" s="4"/>
      <c r="F295" s="41"/>
      <c r="G295" s="41"/>
      <c r="H295" s="41"/>
      <c r="I295" s="41"/>
      <c r="J295" s="41"/>
      <c r="K295" s="41"/>
      <c r="L295" s="53"/>
      <c r="M295" s="54"/>
    </row>
    <row r="296" spans="1:13" x14ac:dyDescent="0.25">
      <c r="A296" s="52"/>
      <c r="B296" s="53"/>
      <c r="C296" s="53"/>
      <c r="D296" s="53"/>
      <c r="E296" s="4"/>
      <c r="F296" s="41"/>
      <c r="G296" s="41"/>
      <c r="H296" s="41"/>
      <c r="I296" s="41"/>
      <c r="J296" s="41"/>
      <c r="K296" s="41"/>
      <c r="L296" s="53"/>
      <c r="M296" s="54"/>
    </row>
    <row r="297" spans="1:13" x14ac:dyDescent="0.25">
      <c r="A297" s="52"/>
      <c r="B297" s="53"/>
      <c r="C297" s="53"/>
      <c r="D297" s="53"/>
      <c r="E297" s="4"/>
      <c r="F297" s="56"/>
      <c r="G297" s="56"/>
      <c r="H297" s="41"/>
      <c r="I297" s="41"/>
      <c r="J297" s="41"/>
      <c r="K297" s="41"/>
      <c r="L297" s="53"/>
      <c r="M297" s="54"/>
    </row>
    <row r="298" spans="1:13" x14ac:dyDescent="0.25">
      <c r="A298" s="52"/>
      <c r="B298" s="53"/>
      <c r="C298" s="53"/>
      <c r="D298" s="53"/>
      <c r="E298" s="4"/>
      <c r="F298" s="41"/>
      <c r="G298" s="41"/>
      <c r="H298" s="41"/>
      <c r="I298" s="41"/>
      <c r="J298" s="58"/>
      <c r="K298" s="59"/>
      <c r="L298" s="53"/>
      <c r="M298" s="54"/>
    </row>
    <row r="299" spans="1:13" x14ac:dyDescent="0.25">
      <c r="A299" s="52"/>
      <c r="B299" s="53"/>
      <c r="C299" s="53"/>
      <c r="D299" s="53"/>
      <c r="E299" s="4"/>
      <c r="F299" s="41"/>
      <c r="G299" s="41"/>
      <c r="H299" s="41"/>
      <c r="I299" s="41"/>
      <c r="J299" s="41"/>
      <c r="K299" s="41"/>
      <c r="L299" s="53"/>
      <c r="M299" s="54"/>
    </row>
    <row r="300" spans="1:13" x14ac:dyDescent="0.25">
      <c r="A300" s="52"/>
      <c r="B300" s="53"/>
      <c r="C300" s="53"/>
      <c r="D300" s="53"/>
      <c r="E300" s="9"/>
      <c r="F300" s="41"/>
      <c r="G300" s="41"/>
      <c r="H300" s="41"/>
      <c r="I300" s="41"/>
      <c r="J300" s="41"/>
      <c r="K300" s="41"/>
      <c r="L300" s="53"/>
      <c r="M300" s="54"/>
    </row>
    <row r="301" spans="1:13" x14ac:dyDescent="0.25">
      <c r="A301" s="52"/>
      <c r="B301" s="53"/>
      <c r="C301" s="53"/>
      <c r="D301" s="53"/>
      <c r="E301" s="9"/>
      <c r="F301" s="41"/>
      <c r="G301" s="41"/>
      <c r="H301" s="41"/>
      <c r="I301" s="41"/>
      <c r="J301" s="41"/>
      <c r="K301" s="41"/>
      <c r="L301" s="53"/>
      <c r="M301" s="54"/>
    </row>
    <row r="302" spans="1:13" x14ac:dyDescent="0.25">
      <c r="A302" s="52" t="s">
        <v>41</v>
      </c>
      <c r="B302" s="53"/>
      <c r="C302" s="53"/>
      <c r="D302" s="53"/>
      <c r="E302" s="9"/>
      <c r="F302" s="53"/>
      <c r="G302" s="53"/>
      <c r="H302" s="53"/>
      <c r="I302" s="53"/>
      <c r="J302" s="53"/>
      <c r="K302" s="53"/>
      <c r="L302" s="53"/>
      <c r="M302" s="54"/>
    </row>
    <row r="303" spans="1:13" x14ac:dyDescent="0.25">
      <c r="A303" s="52" t="s">
        <v>16</v>
      </c>
      <c r="B303" s="53"/>
      <c r="C303" s="53"/>
      <c r="D303" s="53"/>
      <c r="E303" s="9"/>
      <c r="F303" s="53"/>
      <c r="G303" s="53"/>
      <c r="H303" s="53"/>
      <c r="I303" s="53"/>
      <c r="J303" s="53"/>
      <c r="K303" s="53"/>
      <c r="L303" s="53"/>
      <c r="M303" s="54"/>
    </row>
    <row r="304" spans="1:13" x14ac:dyDescent="0.25">
      <c r="A304" s="52" t="s">
        <v>17</v>
      </c>
      <c r="B304" s="53"/>
      <c r="C304" s="53"/>
      <c r="D304" s="53"/>
      <c r="E304" s="9"/>
      <c r="F304" s="53"/>
      <c r="G304" s="53"/>
      <c r="H304" s="53"/>
      <c r="I304" s="53"/>
      <c r="J304" s="53"/>
      <c r="K304" s="53"/>
      <c r="L304" s="53"/>
      <c r="M304" s="54"/>
    </row>
    <row r="305" spans="1:13" x14ac:dyDescent="0.25">
      <c r="A305" s="52" t="s">
        <v>42</v>
      </c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4"/>
    </row>
    <row r="306" spans="1:13" x14ac:dyDescent="0.25">
      <c r="A306" s="55" t="s">
        <v>43</v>
      </c>
      <c r="B306" s="56"/>
      <c r="C306" s="56"/>
      <c r="D306" s="56"/>
      <c r="E306" s="4" t="s">
        <v>36</v>
      </c>
      <c r="F306" s="56" t="s">
        <v>44</v>
      </c>
      <c r="G306" s="56"/>
      <c r="H306" s="56" t="s">
        <v>45</v>
      </c>
      <c r="I306" s="56"/>
      <c r="J306" s="56" t="s">
        <v>46</v>
      </c>
      <c r="K306" s="56"/>
      <c r="L306" s="56" t="s">
        <v>40</v>
      </c>
      <c r="M306" s="57"/>
    </row>
    <row r="307" spans="1:13" x14ac:dyDescent="0.25">
      <c r="A307" s="52"/>
      <c r="B307" s="53"/>
      <c r="C307" s="53"/>
      <c r="D307" s="53"/>
      <c r="E307" s="9"/>
      <c r="F307" s="53"/>
      <c r="G307" s="53"/>
      <c r="H307" s="53"/>
      <c r="I307" s="53"/>
      <c r="J307" s="53"/>
      <c r="K307" s="53"/>
      <c r="L307" s="53"/>
      <c r="M307" s="54"/>
    </row>
    <row r="308" spans="1:13" x14ac:dyDescent="0.25">
      <c r="A308" s="52"/>
      <c r="B308" s="53"/>
      <c r="C308" s="53"/>
      <c r="D308" s="53"/>
      <c r="E308" s="9"/>
      <c r="F308" s="53"/>
      <c r="G308" s="53"/>
      <c r="H308" s="53"/>
      <c r="I308" s="53"/>
      <c r="J308" s="53"/>
      <c r="K308" s="53"/>
      <c r="L308" s="53"/>
      <c r="M308" s="54"/>
    </row>
    <row r="309" spans="1:13" x14ac:dyDescent="0.25">
      <c r="A309" s="52" t="s">
        <v>47</v>
      </c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4"/>
    </row>
    <row r="310" spans="1:13" x14ac:dyDescent="0.25">
      <c r="A310" s="55" t="s">
        <v>48</v>
      </c>
      <c r="B310" s="56"/>
      <c r="C310" s="56" t="s">
        <v>49</v>
      </c>
      <c r="D310" s="56"/>
      <c r="E310" s="56" t="s">
        <v>50</v>
      </c>
      <c r="F310" s="56"/>
      <c r="G310" s="56"/>
      <c r="H310" s="56" t="s">
        <v>51</v>
      </c>
      <c r="I310" s="56"/>
      <c r="J310" s="56" t="s">
        <v>45</v>
      </c>
      <c r="K310" s="56"/>
      <c r="L310" s="56" t="s">
        <v>46</v>
      </c>
      <c r="M310" s="57"/>
    </row>
    <row r="311" spans="1:13" x14ac:dyDescent="0.25">
      <c r="A311" s="40" t="s">
        <v>52</v>
      </c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2"/>
    </row>
    <row r="312" spans="1:13" ht="17.25" thickBot="1" x14ac:dyDescent="0.3">
      <c r="A312" s="40" t="s">
        <v>53</v>
      </c>
      <c r="B312" s="41"/>
      <c r="C312" s="41"/>
      <c r="D312" s="41"/>
      <c r="E312" s="41">
        <v>4</v>
      </c>
      <c r="F312" s="41"/>
      <c r="G312" s="41"/>
      <c r="H312" s="41"/>
      <c r="I312" s="41"/>
      <c r="J312" s="41"/>
      <c r="K312" s="41"/>
      <c r="L312" s="41"/>
      <c r="M312" s="42"/>
    </row>
    <row r="313" spans="1:13" ht="25.15" customHeight="1" thickBot="1" x14ac:dyDescent="0.3">
      <c r="A313" s="43" t="s">
        <v>59</v>
      </c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5"/>
    </row>
    <row r="314" spans="1:13" x14ac:dyDescent="0.25">
      <c r="A314" s="46" t="s">
        <v>60</v>
      </c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8"/>
    </row>
    <row r="315" spans="1:13" x14ac:dyDescent="0.25">
      <c r="A315" s="49" t="s">
        <v>61</v>
      </c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1"/>
    </row>
    <row r="316" spans="1:13" x14ac:dyDescent="0.25">
      <c r="A316" s="25" t="s">
        <v>62</v>
      </c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7"/>
    </row>
    <row r="317" spans="1:13" x14ac:dyDescent="0.25">
      <c r="A317" s="25" t="s">
        <v>63</v>
      </c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7"/>
    </row>
    <row r="318" spans="1:13" x14ac:dyDescent="0.25">
      <c r="A318" s="28" t="s">
        <v>64</v>
      </c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30"/>
    </row>
    <row r="319" spans="1:13" ht="17.25" thickBot="1" x14ac:dyDescent="0.3">
      <c r="A319" s="31" t="s">
        <v>65</v>
      </c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3"/>
    </row>
    <row r="320" spans="1:13" ht="17.25" thickBot="1" x14ac:dyDescent="0.3">
      <c r="A320" s="34" t="s">
        <v>54</v>
      </c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6"/>
    </row>
    <row r="321" spans="1:25" ht="17.25" thickBot="1" x14ac:dyDescent="0.3">
      <c r="A321" s="34" t="s">
        <v>55</v>
      </c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6"/>
    </row>
    <row r="322" spans="1:25" ht="17.25" thickBot="1" x14ac:dyDescent="0.3">
      <c r="A322" s="34" t="s">
        <v>76</v>
      </c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6"/>
    </row>
    <row r="323" spans="1:25" ht="17.25" thickBot="1" x14ac:dyDescent="0.3">
      <c r="A323" s="37" t="s">
        <v>66</v>
      </c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9"/>
    </row>
    <row r="324" spans="1:25" x14ac:dyDescent="0.25">
      <c r="A324" s="12" t="s">
        <v>68</v>
      </c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0"/>
      <c r="T324" s="10"/>
      <c r="U324" s="10"/>
      <c r="V324" s="10"/>
      <c r="W324" s="10"/>
      <c r="X324" s="10"/>
      <c r="Y324" s="10"/>
    </row>
    <row r="325" spans="1:25" x14ac:dyDescent="0.25">
      <c r="A325" s="14" t="s">
        <v>69</v>
      </c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0"/>
      <c r="T325" s="10"/>
      <c r="U325" s="10"/>
      <c r="V325" s="10"/>
      <c r="W325" s="10"/>
      <c r="X325" s="10"/>
      <c r="Y325" s="10"/>
    </row>
    <row r="326" spans="1:25" s="10" customFormat="1" ht="8.25" x14ac:dyDescent="0.25">
      <c r="A326" s="14" t="s">
        <v>70</v>
      </c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</row>
    <row r="327" spans="1:25" x14ac:dyDescent="0.25">
      <c r="A327" s="14" t="s">
        <v>71</v>
      </c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0"/>
      <c r="T327" s="10"/>
      <c r="U327" s="10"/>
      <c r="V327" s="10"/>
      <c r="W327" s="10"/>
      <c r="X327" s="10"/>
      <c r="Y327" s="10"/>
    </row>
    <row r="328" spans="1:25" x14ac:dyDescent="0.25">
      <c r="A328" s="14" t="s">
        <v>72</v>
      </c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0"/>
      <c r="T328" s="10"/>
      <c r="U328" s="10"/>
      <c r="V328" s="10"/>
      <c r="W328" s="10"/>
      <c r="X328" s="10"/>
      <c r="Y328" s="10"/>
    </row>
    <row r="329" spans="1:25" x14ac:dyDescent="0.25">
      <c r="A329" s="14" t="s">
        <v>73</v>
      </c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0"/>
      <c r="T329" s="10"/>
      <c r="U329" s="10"/>
      <c r="V329" s="10"/>
      <c r="W329" s="10"/>
      <c r="X329" s="10"/>
      <c r="Y329" s="10"/>
    </row>
    <row r="330" spans="1:25" ht="28.15" customHeight="1" x14ac:dyDescent="0.25">
      <c r="A330" s="89" t="s">
        <v>19</v>
      </c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</row>
    <row r="331" spans="1:25" x14ac:dyDescent="0.25">
      <c r="A331" s="2" t="s">
        <v>20</v>
      </c>
      <c r="B331" s="2">
        <f>B284+1</f>
        <v>8</v>
      </c>
    </row>
    <row r="332" spans="1:25" ht="17.25" thickBot="1" x14ac:dyDescent="0.3">
      <c r="A332" s="2" t="s">
        <v>21</v>
      </c>
      <c r="B332" s="2" t="s">
        <v>22</v>
      </c>
      <c r="C332" s="2" t="s">
        <v>23</v>
      </c>
      <c r="D332" s="2" t="s">
        <v>24</v>
      </c>
      <c r="F332" s="68" t="s">
        <v>25</v>
      </c>
      <c r="G332" s="68"/>
      <c r="H332" s="69">
        <f>H285+1</f>
        <v>45917</v>
      </c>
      <c r="I332" s="69"/>
      <c r="J332" s="69"/>
      <c r="K332" s="70">
        <f>H332</f>
        <v>45917</v>
      </c>
      <c r="L332" s="70"/>
      <c r="M332" s="70"/>
    </row>
    <row r="333" spans="1:25" ht="16.5" customHeight="1" x14ac:dyDescent="0.25">
      <c r="A333" s="71" t="s">
        <v>26</v>
      </c>
      <c r="B333" s="72"/>
      <c r="C333" s="73"/>
      <c r="D333" s="77" t="s">
        <v>78</v>
      </c>
      <c r="E333" s="78"/>
      <c r="F333" s="78"/>
      <c r="G333" s="79"/>
      <c r="H333" s="83" t="s">
        <v>27</v>
      </c>
      <c r="I333" s="83"/>
      <c r="J333" s="83"/>
      <c r="K333" s="84" t="s">
        <v>81</v>
      </c>
      <c r="L333" s="84"/>
      <c r="M333" s="85"/>
    </row>
    <row r="334" spans="1:25" ht="21" customHeight="1" x14ac:dyDescent="0.25">
      <c r="A334" s="74"/>
      <c r="B334" s="75"/>
      <c r="C334" s="76"/>
      <c r="D334" s="80"/>
      <c r="E334" s="81"/>
      <c r="F334" s="81"/>
      <c r="G334" s="82"/>
      <c r="H334" s="56"/>
      <c r="I334" s="56"/>
      <c r="J334" s="56"/>
      <c r="K334" s="86"/>
      <c r="L334" s="86"/>
      <c r="M334" s="87"/>
    </row>
    <row r="335" spans="1:25" x14ac:dyDescent="0.25">
      <c r="A335" s="6" t="s">
        <v>28</v>
      </c>
      <c r="B335" s="56" t="s">
        <v>82</v>
      </c>
      <c r="C335" s="56"/>
      <c r="D335" s="56" t="s">
        <v>29</v>
      </c>
      <c r="E335" s="56"/>
      <c r="F335" s="56"/>
      <c r="G335" s="7">
        <f>G288+1</f>
        <v>8</v>
      </c>
      <c r="H335" s="4" t="s">
        <v>30</v>
      </c>
      <c r="I335" s="88">
        <f>I288-1</f>
        <v>52</v>
      </c>
      <c r="J335" s="88"/>
      <c r="K335" s="56" t="s">
        <v>74</v>
      </c>
      <c r="L335" s="56"/>
      <c r="M335" s="8">
        <v>0</v>
      </c>
    </row>
    <row r="336" spans="1:25" x14ac:dyDescent="0.25">
      <c r="A336" s="55" t="s">
        <v>31</v>
      </c>
      <c r="B336" s="56"/>
      <c r="C336" s="56"/>
      <c r="D336" s="56" t="s">
        <v>83</v>
      </c>
      <c r="E336" s="56"/>
      <c r="F336" s="56"/>
      <c r="G336" s="56"/>
      <c r="H336" s="56" t="s">
        <v>32</v>
      </c>
      <c r="I336" s="56"/>
      <c r="J336" s="56"/>
      <c r="K336" s="64" t="s">
        <v>84</v>
      </c>
      <c r="L336" s="56"/>
      <c r="M336" s="57"/>
    </row>
    <row r="337" spans="1:13" x14ac:dyDescent="0.25">
      <c r="A337" s="55" t="s">
        <v>33</v>
      </c>
      <c r="B337" s="56"/>
      <c r="C337" s="56"/>
      <c r="D337" s="65">
        <v>1.6E-2</v>
      </c>
      <c r="E337" s="65"/>
      <c r="F337" s="65"/>
      <c r="G337" s="65"/>
      <c r="H337" s="56" t="s">
        <v>18</v>
      </c>
      <c r="I337" s="56"/>
      <c r="J337" s="56"/>
      <c r="K337" s="66">
        <f>施工項目!AQ220</f>
        <v>2.4731372549019609E-2</v>
      </c>
      <c r="L337" s="66"/>
      <c r="M337" s="67"/>
    </row>
    <row r="338" spans="1:13" x14ac:dyDescent="0.25">
      <c r="A338" s="52" t="s">
        <v>34</v>
      </c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4"/>
    </row>
    <row r="339" spans="1:13" s="2" customFormat="1" x14ac:dyDescent="0.25">
      <c r="A339" s="60" t="s">
        <v>35</v>
      </c>
      <c r="B339" s="61"/>
      <c r="C339" s="61"/>
      <c r="D339" s="62"/>
      <c r="E339" s="11" t="s">
        <v>36</v>
      </c>
      <c r="F339" s="60" t="s">
        <v>37</v>
      </c>
      <c r="G339" s="62"/>
      <c r="H339" s="60" t="s">
        <v>38</v>
      </c>
      <c r="I339" s="62"/>
      <c r="J339" s="63" t="s">
        <v>39</v>
      </c>
      <c r="K339" s="63"/>
      <c r="L339" s="56" t="s">
        <v>40</v>
      </c>
      <c r="M339" s="57"/>
    </row>
    <row r="340" spans="1:13" x14ac:dyDescent="0.25">
      <c r="A340" s="52" t="s">
        <v>88</v>
      </c>
      <c r="B340" s="53"/>
      <c r="C340" s="53"/>
      <c r="D340" s="53"/>
      <c r="E340" s="4"/>
      <c r="F340" s="41"/>
      <c r="G340" s="41"/>
      <c r="H340" s="41"/>
      <c r="I340" s="41"/>
      <c r="J340" s="41"/>
      <c r="K340" s="41"/>
      <c r="L340" s="53"/>
      <c r="M340" s="54"/>
    </row>
    <row r="341" spans="1:13" x14ac:dyDescent="0.25">
      <c r="A341" s="52"/>
      <c r="B341" s="53"/>
      <c r="C341" s="53"/>
      <c r="D341" s="53"/>
      <c r="E341" s="4"/>
      <c r="F341" s="41"/>
      <c r="G341" s="41"/>
      <c r="H341" s="41"/>
      <c r="I341" s="41"/>
      <c r="J341" s="41"/>
      <c r="K341" s="41"/>
      <c r="L341" s="53"/>
      <c r="M341" s="54"/>
    </row>
    <row r="342" spans="1:13" x14ac:dyDescent="0.25">
      <c r="A342" s="52"/>
      <c r="B342" s="53"/>
      <c r="C342" s="53"/>
      <c r="D342" s="53"/>
      <c r="E342" s="4"/>
      <c r="F342" s="41"/>
      <c r="G342" s="41"/>
      <c r="H342" s="41"/>
      <c r="I342" s="41"/>
      <c r="J342" s="41"/>
      <c r="K342" s="41"/>
      <c r="L342" s="53"/>
      <c r="M342" s="54"/>
    </row>
    <row r="343" spans="1:13" x14ac:dyDescent="0.25">
      <c r="A343" s="52"/>
      <c r="B343" s="53"/>
      <c r="C343" s="53"/>
      <c r="D343" s="53"/>
      <c r="E343" s="4"/>
      <c r="F343" s="41"/>
      <c r="G343" s="41"/>
      <c r="H343" s="41"/>
      <c r="I343" s="41"/>
      <c r="J343" s="41"/>
      <c r="K343" s="41"/>
      <c r="L343" s="53"/>
      <c r="M343" s="54"/>
    </row>
    <row r="344" spans="1:13" x14ac:dyDescent="0.25">
      <c r="A344" s="52"/>
      <c r="B344" s="53"/>
      <c r="C344" s="53"/>
      <c r="D344" s="53"/>
      <c r="E344" s="4"/>
      <c r="F344" s="56"/>
      <c r="G344" s="56"/>
      <c r="H344" s="41"/>
      <c r="I344" s="41"/>
      <c r="J344" s="41"/>
      <c r="K344" s="41"/>
      <c r="L344" s="53"/>
      <c r="M344" s="54"/>
    </row>
    <row r="345" spans="1:13" x14ac:dyDescent="0.25">
      <c r="A345" s="52"/>
      <c r="B345" s="53"/>
      <c r="C345" s="53"/>
      <c r="D345" s="53"/>
      <c r="E345" s="4"/>
      <c r="F345" s="41"/>
      <c r="G345" s="41"/>
      <c r="H345" s="41"/>
      <c r="I345" s="41"/>
      <c r="J345" s="58"/>
      <c r="K345" s="59"/>
      <c r="L345" s="53"/>
      <c r="M345" s="54"/>
    </row>
    <row r="346" spans="1:13" x14ac:dyDescent="0.25">
      <c r="A346" s="52"/>
      <c r="B346" s="53"/>
      <c r="C346" s="53"/>
      <c r="D346" s="53"/>
      <c r="E346" s="4"/>
      <c r="F346" s="41"/>
      <c r="G346" s="41"/>
      <c r="H346" s="41"/>
      <c r="I346" s="41"/>
      <c r="J346" s="41"/>
      <c r="K346" s="41"/>
      <c r="L346" s="53"/>
      <c r="M346" s="54"/>
    </row>
    <row r="347" spans="1:13" x14ac:dyDescent="0.25">
      <c r="A347" s="52"/>
      <c r="B347" s="53"/>
      <c r="C347" s="53"/>
      <c r="D347" s="53"/>
      <c r="E347" s="9"/>
      <c r="F347" s="41"/>
      <c r="G347" s="41"/>
      <c r="H347" s="41"/>
      <c r="I347" s="41"/>
      <c r="J347" s="41"/>
      <c r="K347" s="41"/>
      <c r="L347" s="53"/>
      <c r="M347" s="54"/>
    </row>
    <row r="348" spans="1:13" x14ac:dyDescent="0.25">
      <c r="A348" s="52"/>
      <c r="B348" s="53"/>
      <c r="C348" s="53"/>
      <c r="D348" s="53"/>
      <c r="E348" s="9"/>
      <c r="F348" s="41"/>
      <c r="G348" s="41"/>
      <c r="H348" s="41"/>
      <c r="I348" s="41"/>
      <c r="J348" s="41"/>
      <c r="K348" s="41"/>
      <c r="L348" s="53"/>
      <c r="M348" s="54"/>
    </row>
    <row r="349" spans="1:13" x14ac:dyDescent="0.25">
      <c r="A349" s="52" t="s">
        <v>41</v>
      </c>
      <c r="B349" s="53"/>
      <c r="C349" s="53"/>
      <c r="D349" s="53"/>
      <c r="E349" s="9"/>
      <c r="F349" s="53"/>
      <c r="G349" s="53"/>
      <c r="H349" s="53"/>
      <c r="I349" s="53"/>
      <c r="J349" s="53"/>
      <c r="K349" s="53"/>
      <c r="L349" s="53"/>
      <c r="M349" s="54"/>
    </row>
    <row r="350" spans="1:13" x14ac:dyDescent="0.25">
      <c r="A350" s="52" t="s">
        <v>16</v>
      </c>
      <c r="B350" s="53"/>
      <c r="C350" s="53"/>
      <c r="D350" s="53"/>
      <c r="E350" s="9"/>
      <c r="F350" s="53"/>
      <c r="G350" s="53"/>
      <c r="H350" s="53"/>
      <c r="I350" s="53"/>
      <c r="J350" s="53"/>
      <c r="K350" s="53"/>
      <c r="L350" s="53"/>
      <c r="M350" s="54"/>
    </row>
    <row r="351" spans="1:13" x14ac:dyDescent="0.25">
      <c r="A351" s="52" t="s">
        <v>17</v>
      </c>
      <c r="B351" s="53"/>
      <c r="C351" s="53"/>
      <c r="D351" s="53"/>
      <c r="E351" s="9"/>
      <c r="F351" s="53"/>
      <c r="G351" s="53"/>
      <c r="H351" s="53"/>
      <c r="I351" s="53"/>
      <c r="J351" s="53"/>
      <c r="K351" s="53"/>
      <c r="L351" s="53"/>
      <c r="M351" s="54"/>
    </row>
    <row r="352" spans="1:13" x14ac:dyDescent="0.25">
      <c r="A352" s="52" t="s">
        <v>42</v>
      </c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4"/>
    </row>
    <row r="353" spans="1:13" x14ac:dyDescent="0.25">
      <c r="A353" s="55" t="s">
        <v>43</v>
      </c>
      <c r="B353" s="56"/>
      <c r="C353" s="56"/>
      <c r="D353" s="56"/>
      <c r="E353" s="4" t="s">
        <v>36</v>
      </c>
      <c r="F353" s="56" t="s">
        <v>44</v>
      </c>
      <c r="G353" s="56"/>
      <c r="H353" s="56" t="s">
        <v>45</v>
      </c>
      <c r="I353" s="56"/>
      <c r="J353" s="56" t="s">
        <v>46</v>
      </c>
      <c r="K353" s="56"/>
      <c r="L353" s="56" t="s">
        <v>40</v>
      </c>
      <c r="M353" s="57"/>
    </row>
    <row r="354" spans="1:13" x14ac:dyDescent="0.25">
      <c r="A354" s="52"/>
      <c r="B354" s="53"/>
      <c r="C354" s="53"/>
      <c r="D354" s="53"/>
      <c r="E354" s="9"/>
      <c r="F354" s="53"/>
      <c r="G354" s="53"/>
      <c r="H354" s="53"/>
      <c r="I354" s="53"/>
      <c r="J354" s="53"/>
      <c r="K354" s="53"/>
      <c r="L354" s="53"/>
      <c r="M354" s="54"/>
    </row>
    <row r="355" spans="1:13" x14ac:dyDescent="0.25">
      <c r="A355" s="52"/>
      <c r="B355" s="53"/>
      <c r="C355" s="53"/>
      <c r="D355" s="53"/>
      <c r="E355" s="9"/>
      <c r="F355" s="53"/>
      <c r="G355" s="53"/>
      <c r="H355" s="53"/>
      <c r="I355" s="53"/>
      <c r="J355" s="53"/>
      <c r="K355" s="53"/>
      <c r="L355" s="53"/>
      <c r="M355" s="54"/>
    </row>
    <row r="356" spans="1:13" x14ac:dyDescent="0.25">
      <c r="A356" s="52" t="s">
        <v>47</v>
      </c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4"/>
    </row>
    <row r="357" spans="1:13" x14ac:dyDescent="0.25">
      <c r="A357" s="55" t="s">
        <v>48</v>
      </c>
      <c r="B357" s="56"/>
      <c r="C357" s="56" t="s">
        <v>49</v>
      </c>
      <c r="D357" s="56"/>
      <c r="E357" s="56" t="s">
        <v>50</v>
      </c>
      <c r="F357" s="56"/>
      <c r="G357" s="56"/>
      <c r="H357" s="56" t="s">
        <v>51</v>
      </c>
      <c r="I357" s="56"/>
      <c r="J357" s="56" t="s">
        <v>45</v>
      </c>
      <c r="K357" s="56"/>
      <c r="L357" s="56" t="s">
        <v>46</v>
      </c>
      <c r="M357" s="57"/>
    </row>
    <row r="358" spans="1:13" x14ac:dyDescent="0.25">
      <c r="A358" s="40" t="s">
        <v>52</v>
      </c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2"/>
    </row>
    <row r="359" spans="1:13" ht="17.25" thickBot="1" x14ac:dyDescent="0.3">
      <c r="A359" s="40" t="s">
        <v>53</v>
      </c>
      <c r="B359" s="41"/>
      <c r="C359" s="41"/>
      <c r="D359" s="41"/>
      <c r="E359" s="41">
        <v>4</v>
      </c>
      <c r="F359" s="41"/>
      <c r="G359" s="41"/>
      <c r="H359" s="41"/>
      <c r="I359" s="41"/>
      <c r="J359" s="41"/>
      <c r="K359" s="41"/>
      <c r="L359" s="41"/>
      <c r="M359" s="42"/>
    </row>
    <row r="360" spans="1:13" ht="25.15" customHeight="1" thickBot="1" x14ac:dyDescent="0.3">
      <c r="A360" s="43" t="s">
        <v>59</v>
      </c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5"/>
    </row>
    <row r="361" spans="1:13" x14ac:dyDescent="0.25">
      <c r="A361" s="46" t="s">
        <v>60</v>
      </c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8"/>
    </row>
    <row r="362" spans="1:13" x14ac:dyDescent="0.25">
      <c r="A362" s="49" t="s">
        <v>61</v>
      </c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1"/>
    </row>
    <row r="363" spans="1:13" x14ac:dyDescent="0.25">
      <c r="A363" s="25" t="s">
        <v>62</v>
      </c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7"/>
    </row>
    <row r="364" spans="1:13" x14ac:dyDescent="0.25">
      <c r="A364" s="25" t="s">
        <v>63</v>
      </c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7"/>
    </row>
    <row r="365" spans="1:13" x14ac:dyDescent="0.25">
      <c r="A365" s="28" t="s">
        <v>64</v>
      </c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30"/>
    </row>
    <row r="366" spans="1:13" ht="17.25" thickBot="1" x14ac:dyDescent="0.3">
      <c r="A366" s="31" t="s">
        <v>65</v>
      </c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3"/>
    </row>
    <row r="367" spans="1:13" ht="17.25" thickBot="1" x14ac:dyDescent="0.3">
      <c r="A367" s="34" t="s">
        <v>54</v>
      </c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6"/>
    </row>
    <row r="368" spans="1:13" ht="17.25" thickBot="1" x14ac:dyDescent="0.3">
      <c r="A368" s="34" t="s">
        <v>55</v>
      </c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6"/>
    </row>
    <row r="369" spans="1:25" ht="17.25" thickBot="1" x14ac:dyDescent="0.3">
      <c r="A369" s="34" t="s">
        <v>76</v>
      </c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6"/>
    </row>
    <row r="370" spans="1:25" ht="17.25" thickBot="1" x14ac:dyDescent="0.3">
      <c r="A370" s="37" t="s">
        <v>66</v>
      </c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9"/>
    </row>
    <row r="371" spans="1:25" x14ac:dyDescent="0.25">
      <c r="A371" s="12" t="s">
        <v>68</v>
      </c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0"/>
      <c r="T371" s="10"/>
      <c r="U371" s="10"/>
      <c r="V371" s="10"/>
      <c r="W371" s="10"/>
      <c r="X371" s="10"/>
      <c r="Y371" s="10"/>
    </row>
    <row r="372" spans="1:25" x14ac:dyDescent="0.25">
      <c r="A372" s="14" t="s">
        <v>69</v>
      </c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0"/>
      <c r="T372" s="10"/>
      <c r="U372" s="10"/>
      <c r="V372" s="10"/>
      <c r="W372" s="10"/>
      <c r="X372" s="10"/>
      <c r="Y372" s="10"/>
    </row>
    <row r="373" spans="1:25" s="10" customFormat="1" ht="8.25" x14ac:dyDescent="0.25">
      <c r="A373" s="14" t="s">
        <v>70</v>
      </c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</row>
    <row r="374" spans="1:25" x14ac:dyDescent="0.25">
      <c r="A374" s="14" t="s">
        <v>71</v>
      </c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0"/>
      <c r="T374" s="10"/>
      <c r="U374" s="10"/>
      <c r="V374" s="10"/>
      <c r="W374" s="10"/>
      <c r="X374" s="10"/>
      <c r="Y374" s="10"/>
    </row>
    <row r="375" spans="1:25" x14ac:dyDescent="0.25">
      <c r="A375" s="14" t="s">
        <v>72</v>
      </c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0"/>
      <c r="T375" s="10"/>
      <c r="U375" s="10"/>
      <c r="V375" s="10"/>
      <c r="W375" s="10"/>
      <c r="X375" s="10"/>
      <c r="Y375" s="10"/>
    </row>
    <row r="376" spans="1:25" x14ac:dyDescent="0.25">
      <c r="A376" s="14" t="s">
        <v>73</v>
      </c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0"/>
      <c r="T376" s="10"/>
      <c r="U376" s="10"/>
      <c r="V376" s="10"/>
      <c r="W376" s="10"/>
      <c r="X376" s="10"/>
      <c r="Y376" s="10"/>
    </row>
    <row r="377" spans="1:25" ht="28.15" customHeight="1" x14ac:dyDescent="0.25">
      <c r="A377" s="89" t="s">
        <v>19</v>
      </c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</row>
    <row r="378" spans="1:25" x14ac:dyDescent="0.25">
      <c r="A378" s="2" t="s">
        <v>20</v>
      </c>
      <c r="B378" s="2">
        <f>B331+1</f>
        <v>9</v>
      </c>
    </row>
    <row r="379" spans="1:25" ht="17.25" thickBot="1" x14ac:dyDescent="0.3">
      <c r="A379" s="2" t="s">
        <v>21</v>
      </c>
      <c r="B379" s="2" t="s">
        <v>22</v>
      </c>
      <c r="C379" s="2" t="s">
        <v>23</v>
      </c>
      <c r="D379" s="2" t="s">
        <v>24</v>
      </c>
      <c r="F379" s="68" t="s">
        <v>25</v>
      </c>
      <c r="G379" s="68"/>
      <c r="H379" s="69">
        <f>H332+1</f>
        <v>45918</v>
      </c>
      <c r="I379" s="69"/>
      <c r="J379" s="69"/>
      <c r="K379" s="70">
        <f>H379</f>
        <v>45918</v>
      </c>
      <c r="L379" s="70"/>
      <c r="M379" s="70"/>
    </row>
    <row r="380" spans="1:25" ht="16.5" customHeight="1" x14ac:dyDescent="0.25">
      <c r="A380" s="71" t="s">
        <v>26</v>
      </c>
      <c r="B380" s="72"/>
      <c r="C380" s="73"/>
      <c r="D380" s="77" t="s">
        <v>78</v>
      </c>
      <c r="E380" s="78"/>
      <c r="F380" s="78"/>
      <c r="G380" s="79"/>
      <c r="H380" s="83" t="s">
        <v>27</v>
      </c>
      <c r="I380" s="83"/>
      <c r="J380" s="83"/>
      <c r="K380" s="84" t="s">
        <v>81</v>
      </c>
      <c r="L380" s="84"/>
      <c r="M380" s="85"/>
    </row>
    <row r="381" spans="1:25" ht="21" customHeight="1" x14ac:dyDescent="0.25">
      <c r="A381" s="74"/>
      <c r="B381" s="75"/>
      <c r="C381" s="76"/>
      <c r="D381" s="80"/>
      <c r="E381" s="81"/>
      <c r="F381" s="81"/>
      <c r="G381" s="82"/>
      <c r="H381" s="56"/>
      <c r="I381" s="56"/>
      <c r="J381" s="56"/>
      <c r="K381" s="86"/>
      <c r="L381" s="86"/>
      <c r="M381" s="87"/>
    </row>
    <row r="382" spans="1:25" x14ac:dyDescent="0.25">
      <c r="A382" s="6" t="s">
        <v>28</v>
      </c>
      <c r="B382" s="56" t="s">
        <v>82</v>
      </c>
      <c r="C382" s="56"/>
      <c r="D382" s="56" t="s">
        <v>29</v>
      </c>
      <c r="E382" s="56"/>
      <c r="F382" s="56"/>
      <c r="G382" s="7">
        <f>G335+1</f>
        <v>9</v>
      </c>
      <c r="H382" s="4" t="s">
        <v>30</v>
      </c>
      <c r="I382" s="88">
        <f>I335-1</f>
        <v>51</v>
      </c>
      <c r="J382" s="88"/>
      <c r="K382" s="56" t="s">
        <v>74</v>
      </c>
      <c r="L382" s="56"/>
      <c r="M382" s="8">
        <v>0</v>
      </c>
    </row>
    <row r="383" spans="1:25" x14ac:dyDescent="0.25">
      <c r="A383" s="55" t="s">
        <v>31</v>
      </c>
      <c r="B383" s="56"/>
      <c r="C383" s="56"/>
      <c r="D383" s="56" t="s">
        <v>83</v>
      </c>
      <c r="E383" s="56"/>
      <c r="F383" s="56"/>
      <c r="G383" s="56"/>
      <c r="H383" s="56" t="s">
        <v>32</v>
      </c>
      <c r="I383" s="56"/>
      <c r="J383" s="56"/>
      <c r="K383" s="64" t="s">
        <v>84</v>
      </c>
      <c r="L383" s="56"/>
      <c r="M383" s="57"/>
    </row>
    <row r="384" spans="1:25" x14ac:dyDescent="0.25">
      <c r="A384" s="55" t="s">
        <v>33</v>
      </c>
      <c r="B384" s="56"/>
      <c r="C384" s="56"/>
      <c r="D384" s="65">
        <v>1.7999999999999999E-2</v>
      </c>
      <c r="E384" s="65"/>
      <c r="F384" s="65"/>
      <c r="G384" s="65"/>
      <c r="H384" s="56" t="s">
        <v>18</v>
      </c>
      <c r="I384" s="56"/>
      <c r="J384" s="56"/>
      <c r="K384" s="66">
        <f>施工項目!AQ248</f>
        <v>2.7007843137254902E-2</v>
      </c>
      <c r="L384" s="66"/>
      <c r="M384" s="67"/>
    </row>
    <row r="385" spans="1:13" x14ac:dyDescent="0.25">
      <c r="A385" s="52" t="s">
        <v>34</v>
      </c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4"/>
    </row>
    <row r="386" spans="1:13" s="2" customFormat="1" x14ac:dyDescent="0.25">
      <c r="A386" s="60" t="s">
        <v>35</v>
      </c>
      <c r="B386" s="61"/>
      <c r="C386" s="61"/>
      <c r="D386" s="62"/>
      <c r="E386" s="11" t="s">
        <v>36</v>
      </c>
      <c r="F386" s="60" t="s">
        <v>37</v>
      </c>
      <c r="G386" s="62"/>
      <c r="H386" s="60" t="s">
        <v>38</v>
      </c>
      <c r="I386" s="62"/>
      <c r="J386" s="63" t="s">
        <v>39</v>
      </c>
      <c r="K386" s="63"/>
      <c r="L386" s="56" t="s">
        <v>40</v>
      </c>
      <c r="M386" s="57"/>
    </row>
    <row r="387" spans="1:13" x14ac:dyDescent="0.25">
      <c r="A387" s="52" t="s">
        <v>88</v>
      </c>
      <c r="B387" s="53"/>
      <c r="C387" s="53"/>
      <c r="D387" s="53"/>
      <c r="E387" s="4"/>
      <c r="F387" s="41"/>
      <c r="G387" s="41"/>
      <c r="H387" s="41"/>
      <c r="I387" s="41"/>
      <c r="J387" s="41"/>
      <c r="K387" s="41"/>
      <c r="L387" s="53"/>
      <c r="M387" s="54"/>
    </row>
    <row r="388" spans="1:13" x14ac:dyDescent="0.25">
      <c r="A388" s="52"/>
      <c r="B388" s="53"/>
      <c r="C388" s="53"/>
      <c r="D388" s="53"/>
      <c r="E388" s="4"/>
      <c r="F388" s="41"/>
      <c r="G388" s="41"/>
      <c r="H388" s="41"/>
      <c r="I388" s="41"/>
      <c r="J388" s="41"/>
      <c r="K388" s="41"/>
      <c r="L388" s="53"/>
      <c r="M388" s="54"/>
    </row>
    <row r="389" spans="1:13" x14ac:dyDescent="0.25">
      <c r="A389" s="52"/>
      <c r="B389" s="53"/>
      <c r="C389" s="53"/>
      <c r="D389" s="53"/>
      <c r="E389" s="4"/>
      <c r="F389" s="41"/>
      <c r="G389" s="41"/>
      <c r="H389" s="41"/>
      <c r="I389" s="41"/>
      <c r="J389" s="41"/>
      <c r="K389" s="41"/>
      <c r="L389" s="53"/>
      <c r="M389" s="54"/>
    </row>
    <row r="390" spans="1:13" x14ac:dyDescent="0.25">
      <c r="A390" s="52"/>
      <c r="B390" s="53"/>
      <c r="C390" s="53"/>
      <c r="D390" s="53"/>
      <c r="E390" s="4"/>
      <c r="F390" s="41"/>
      <c r="G390" s="41"/>
      <c r="H390" s="41"/>
      <c r="I390" s="41"/>
      <c r="J390" s="41"/>
      <c r="K390" s="41"/>
      <c r="L390" s="53"/>
      <c r="M390" s="54"/>
    </row>
    <row r="391" spans="1:13" x14ac:dyDescent="0.25">
      <c r="A391" s="52"/>
      <c r="B391" s="53"/>
      <c r="C391" s="53"/>
      <c r="D391" s="53"/>
      <c r="E391" s="4"/>
      <c r="F391" s="56"/>
      <c r="G391" s="56"/>
      <c r="H391" s="41"/>
      <c r="I391" s="41"/>
      <c r="J391" s="41"/>
      <c r="K391" s="41"/>
      <c r="L391" s="53"/>
      <c r="M391" s="54"/>
    </row>
    <row r="392" spans="1:13" x14ac:dyDescent="0.25">
      <c r="A392" s="52"/>
      <c r="B392" s="53"/>
      <c r="C392" s="53"/>
      <c r="D392" s="53"/>
      <c r="E392" s="4"/>
      <c r="F392" s="41"/>
      <c r="G392" s="41"/>
      <c r="H392" s="41"/>
      <c r="I392" s="41"/>
      <c r="J392" s="58"/>
      <c r="K392" s="59"/>
      <c r="L392" s="53"/>
      <c r="M392" s="54"/>
    </row>
    <row r="393" spans="1:13" x14ac:dyDescent="0.25">
      <c r="A393" s="52"/>
      <c r="B393" s="53"/>
      <c r="C393" s="53"/>
      <c r="D393" s="53"/>
      <c r="E393" s="4"/>
      <c r="F393" s="41"/>
      <c r="G393" s="41"/>
      <c r="H393" s="41"/>
      <c r="I393" s="41"/>
      <c r="J393" s="41"/>
      <c r="K393" s="41"/>
      <c r="L393" s="53"/>
      <c r="M393" s="54"/>
    </row>
    <row r="394" spans="1:13" x14ac:dyDescent="0.25">
      <c r="A394" s="52"/>
      <c r="B394" s="53"/>
      <c r="C394" s="53"/>
      <c r="D394" s="53"/>
      <c r="E394" s="9"/>
      <c r="F394" s="41"/>
      <c r="G394" s="41"/>
      <c r="H394" s="41"/>
      <c r="I394" s="41"/>
      <c r="J394" s="41"/>
      <c r="K394" s="41"/>
      <c r="L394" s="53"/>
      <c r="M394" s="54"/>
    </row>
    <row r="395" spans="1:13" x14ac:dyDescent="0.25">
      <c r="A395" s="52"/>
      <c r="B395" s="53"/>
      <c r="C395" s="53"/>
      <c r="D395" s="53"/>
      <c r="E395" s="9"/>
      <c r="F395" s="41"/>
      <c r="G395" s="41"/>
      <c r="H395" s="41"/>
      <c r="I395" s="41"/>
      <c r="J395" s="41"/>
      <c r="K395" s="41"/>
      <c r="L395" s="53"/>
      <c r="M395" s="54"/>
    </row>
    <row r="396" spans="1:13" x14ac:dyDescent="0.25">
      <c r="A396" s="52" t="s">
        <v>41</v>
      </c>
      <c r="B396" s="53"/>
      <c r="C396" s="53"/>
      <c r="D396" s="53"/>
      <c r="E396" s="9"/>
      <c r="F396" s="53"/>
      <c r="G396" s="53"/>
      <c r="H396" s="53"/>
      <c r="I396" s="53"/>
      <c r="J396" s="53"/>
      <c r="K396" s="53"/>
      <c r="L396" s="53"/>
      <c r="M396" s="54"/>
    </row>
    <row r="397" spans="1:13" x14ac:dyDescent="0.25">
      <c r="A397" s="52" t="s">
        <v>16</v>
      </c>
      <c r="B397" s="53"/>
      <c r="C397" s="53"/>
      <c r="D397" s="53"/>
      <c r="E397" s="9"/>
      <c r="F397" s="53"/>
      <c r="G397" s="53"/>
      <c r="H397" s="53"/>
      <c r="I397" s="53"/>
      <c r="J397" s="53"/>
      <c r="K397" s="53"/>
      <c r="L397" s="53"/>
      <c r="M397" s="54"/>
    </row>
    <row r="398" spans="1:13" x14ac:dyDescent="0.25">
      <c r="A398" s="52" t="s">
        <v>17</v>
      </c>
      <c r="B398" s="53"/>
      <c r="C398" s="53"/>
      <c r="D398" s="53"/>
      <c r="E398" s="9"/>
      <c r="F398" s="53"/>
      <c r="G398" s="53"/>
      <c r="H398" s="53"/>
      <c r="I398" s="53"/>
      <c r="J398" s="53"/>
      <c r="K398" s="53"/>
      <c r="L398" s="53"/>
      <c r="M398" s="54"/>
    </row>
    <row r="399" spans="1:13" x14ac:dyDescent="0.25">
      <c r="A399" s="52" t="s">
        <v>42</v>
      </c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4"/>
    </row>
    <row r="400" spans="1:13" x14ac:dyDescent="0.25">
      <c r="A400" s="55" t="s">
        <v>43</v>
      </c>
      <c r="B400" s="56"/>
      <c r="C400" s="56"/>
      <c r="D400" s="56"/>
      <c r="E400" s="4" t="s">
        <v>36</v>
      </c>
      <c r="F400" s="56" t="s">
        <v>44</v>
      </c>
      <c r="G400" s="56"/>
      <c r="H400" s="56" t="s">
        <v>45</v>
      </c>
      <c r="I400" s="56"/>
      <c r="J400" s="56" t="s">
        <v>46</v>
      </c>
      <c r="K400" s="56"/>
      <c r="L400" s="56" t="s">
        <v>40</v>
      </c>
      <c r="M400" s="57"/>
    </row>
    <row r="401" spans="1:13" x14ac:dyDescent="0.25">
      <c r="A401" s="52"/>
      <c r="B401" s="53"/>
      <c r="C401" s="53"/>
      <c r="D401" s="53"/>
      <c r="E401" s="9"/>
      <c r="F401" s="53"/>
      <c r="G401" s="53"/>
      <c r="H401" s="53"/>
      <c r="I401" s="53"/>
      <c r="J401" s="53"/>
      <c r="K401" s="53"/>
      <c r="L401" s="53"/>
      <c r="M401" s="54"/>
    </row>
    <row r="402" spans="1:13" x14ac:dyDescent="0.25">
      <c r="A402" s="52"/>
      <c r="B402" s="53"/>
      <c r="C402" s="53"/>
      <c r="D402" s="53"/>
      <c r="E402" s="9"/>
      <c r="F402" s="53"/>
      <c r="G402" s="53"/>
      <c r="H402" s="53"/>
      <c r="I402" s="53"/>
      <c r="J402" s="53"/>
      <c r="K402" s="53"/>
      <c r="L402" s="53"/>
      <c r="M402" s="54"/>
    </row>
    <row r="403" spans="1:13" x14ac:dyDescent="0.25">
      <c r="A403" s="52" t="s">
        <v>47</v>
      </c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4"/>
    </row>
    <row r="404" spans="1:13" x14ac:dyDescent="0.25">
      <c r="A404" s="55" t="s">
        <v>48</v>
      </c>
      <c r="B404" s="56"/>
      <c r="C404" s="56" t="s">
        <v>49</v>
      </c>
      <c r="D404" s="56"/>
      <c r="E404" s="56" t="s">
        <v>50</v>
      </c>
      <c r="F404" s="56"/>
      <c r="G404" s="56"/>
      <c r="H404" s="56" t="s">
        <v>51</v>
      </c>
      <c r="I404" s="56"/>
      <c r="J404" s="56" t="s">
        <v>45</v>
      </c>
      <c r="K404" s="56"/>
      <c r="L404" s="56" t="s">
        <v>46</v>
      </c>
      <c r="M404" s="57"/>
    </row>
    <row r="405" spans="1:13" x14ac:dyDescent="0.25">
      <c r="A405" s="40" t="s">
        <v>52</v>
      </c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2"/>
    </row>
    <row r="406" spans="1:13" ht="17.25" thickBot="1" x14ac:dyDescent="0.3">
      <c r="A406" s="40" t="s">
        <v>53</v>
      </c>
      <c r="B406" s="41"/>
      <c r="C406" s="41"/>
      <c r="D406" s="41"/>
      <c r="E406" s="41">
        <v>4</v>
      </c>
      <c r="F406" s="41"/>
      <c r="G406" s="41"/>
      <c r="H406" s="41"/>
      <c r="I406" s="41"/>
      <c r="J406" s="41"/>
      <c r="K406" s="41"/>
      <c r="L406" s="41"/>
      <c r="M406" s="42"/>
    </row>
    <row r="407" spans="1:13" ht="25.15" customHeight="1" thickBot="1" x14ac:dyDescent="0.3">
      <c r="A407" s="43" t="s">
        <v>59</v>
      </c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5"/>
    </row>
    <row r="408" spans="1:13" x14ac:dyDescent="0.25">
      <c r="A408" s="46" t="s">
        <v>60</v>
      </c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8"/>
    </row>
    <row r="409" spans="1:13" x14ac:dyDescent="0.25">
      <c r="A409" s="49" t="s">
        <v>61</v>
      </c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1"/>
    </row>
    <row r="410" spans="1:13" x14ac:dyDescent="0.25">
      <c r="A410" s="25" t="s">
        <v>62</v>
      </c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7"/>
    </row>
    <row r="411" spans="1:13" x14ac:dyDescent="0.25">
      <c r="A411" s="25" t="s">
        <v>63</v>
      </c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7"/>
    </row>
    <row r="412" spans="1:13" x14ac:dyDescent="0.25">
      <c r="A412" s="28" t="s">
        <v>64</v>
      </c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30"/>
    </row>
    <row r="413" spans="1:13" ht="17.25" thickBot="1" x14ac:dyDescent="0.3">
      <c r="A413" s="31" t="s">
        <v>65</v>
      </c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3"/>
    </row>
    <row r="414" spans="1:13" ht="17.25" thickBot="1" x14ac:dyDescent="0.3">
      <c r="A414" s="34" t="s">
        <v>54</v>
      </c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6"/>
    </row>
    <row r="415" spans="1:13" ht="17.25" thickBot="1" x14ac:dyDescent="0.3">
      <c r="A415" s="34" t="s">
        <v>55</v>
      </c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6"/>
    </row>
    <row r="416" spans="1:13" ht="17.25" thickBot="1" x14ac:dyDescent="0.3">
      <c r="A416" s="34" t="s">
        <v>76</v>
      </c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6"/>
    </row>
    <row r="417" spans="1:25" ht="17.25" thickBot="1" x14ac:dyDescent="0.3">
      <c r="A417" s="37" t="s">
        <v>66</v>
      </c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9"/>
    </row>
    <row r="418" spans="1:25" x14ac:dyDescent="0.25">
      <c r="A418" s="12" t="s">
        <v>68</v>
      </c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0"/>
      <c r="T418" s="10"/>
      <c r="U418" s="10"/>
      <c r="V418" s="10"/>
      <c r="W418" s="10"/>
      <c r="X418" s="10"/>
      <c r="Y418" s="10"/>
    </row>
    <row r="419" spans="1:25" x14ac:dyDescent="0.25">
      <c r="A419" s="14" t="s">
        <v>69</v>
      </c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0"/>
      <c r="T419" s="10"/>
      <c r="U419" s="10"/>
      <c r="V419" s="10"/>
      <c r="W419" s="10"/>
      <c r="X419" s="10"/>
      <c r="Y419" s="10"/>
    </row>
    <row r="420" spans="1:25" s="10" customFormat="1" ht="8.25" x14ac:dyDescent="0.25">
      <c r="A420" s="14" t="s">
        <v>70</v>
      </c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</row>
    <row r="421" spans="1:25" x14ac:dyDescent="0.25">
      <c r="A421" s="14" t="s">
        <v>71</v>
      </c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0"/>
      <c r="T421" s="10"/>
      <c r="U421" s="10"/>
      <c r="V421" s="10"/>
      <c r="W421" s="10"/>
      <c r="X421" s="10"/>
      <c r="Y421" s="10"/>
    </row>
    <row r="422" spans="1:25" x14ac:dyDescent="0.25">
      <c r="A422" s="14" t="s">
        <v>72</v>
      </c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0"/>
      <c r="T422" s="10"/>
      <c r="U422" s="10"/>
      <c r="V422" s="10"/>
      <c r="W422" s="10"/>
      <c r="X422" s="10"/>
      <c r="Y422" s="10"/>
    </row>
    <row r="423" spans="1:25" x14ac:dyDescent="0.25">
      <c r="A423" s="14" t="s">
        <v>73</v>
      </c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0"/>
      <c r="T423" s="10"/>
      <c r="U423" s="10"/>
      <c r="V423" s="10"/>
      <c r="W423" s="10"/>
      <c r="X423" s="10"/>
      <c r="Y423" s="10"/>
    </row>
    <row r="424" spans="1:25" ht="28.15" customHeight="1" x14ac:dyDescent="0.25">
      <c r="A424" s="89" t="s">
        <v>19</v>
      </c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</row>
    <row r="425" spans="1:25" x14ac:dyDescent="0.25">
      <c r="A425" s="2" t="s">
        <v>20</v>
      </c>
      <c r="B425" s="2">
        <f>B378+1</f>
        <v>10</v>
      </c>
    </row>
    <row r="426" spans="1:25" ht="17.25" thickBot="1" x14ac:dyDescent="0.3">
      <c r="A426" s="2" t="s">
        <v>21</v>
      </c>
      <c r="B426" s="2" t="s">
        <v>22</v>
      </c>
      <c r="C426" s="2" t="s">
        <v>23</v>
      </c>
      <c r="D426" s="2" t="s">
        <v>24</v>
      </c>
      <c r="F426" s="68" t="s">
        <v>25</v>
      </c>
      <c r="G426" s="68"/>
      <c r="H426" s="69">
        <f>H379+1</f>
        <v>45919</v>
      </c>
      <c r="I426" s="69"/>
      <c r="J426" s="69"/>
      <c r="K426" s="70">
        <f>H426</f>
        <v>45919</v>
      </c>
      <c r="L426" s="70"/>
      <c r="M426" s="70"/>
    </row>
    <row r="427" spans="1:25" ht="16.5" customHeight="1" x14ac:dyDescent="0.25">
      <c r="A427" s="71" t="s">
        <v>26</v>
      </c>
      <c r="B427" s="72"/>
      <c r="C427" s="73"/>
      <c r="D427" s="77" t="s">
        <v>78</v>
      </c>
      <c r="E427" s="78"/>
      <c r="F427" s="78"/>
      <c r="G427" s="79"/>
      <c r="H427" s="83" t="s">
        <v>27</v>
      </c>
      <c r="I427" s="83"/>
      <c r="J427" s="83"/>
      <c r="K427" s="84" t="s">
        <v>81</v>
      </c>
      <c r="L427" s="84"/>
      <c r="M427" s="85"/>
    </row>
    <row r="428" spans="1:25" ht="21" customHeight="1" x14ac:dyDescent="0.25">
      <c r="A428" s="74"/>
      <c r="B428" s="75"/>
      <c r="C428" s="76"/>
      <c r="D428" s="80"/>
      <c r="E428" s="81"/>
      <c r="F428" s="81"/>
      <c r="G428" s="82"/>
      <c r="H428" s="56"/>
      <c r="I428" s="56"/>
      <c r="J428" s="56"/>
      <c r="K428" s="86"/>
      <c r="L428" s="86"/>
      <c r="M428" s="87"/>
    </row>
    <row r="429" spans="1:25" x14ac:dyDescent="0.25">
      <c r="A429" s="6" t="s">
        <v>28</v>
      </c>
      <c r="B429" s="56" t="s">
        <v>82</v>
      </c>
      <c r="C429" s="56"/>
      <c r="D429" s="56" t="s">
        <v>29</v>
      </c>
      <c r="E429" s="56"/>
      <c r="F429" s="56"/>
      <c r="G429" s="7">
        <f>G382+1</f>
        <v>10</v>
      </c>
      <c r="H429" s="4" t="s">
        <v>30</v>
      </c>
      <c r="I429" s="88">
        <f>I382-1</f>
        <v>50</v>
      </c>
      <c r="J429" s="88"/>
      <c r="K429" s="56" t="s">
        <v>74</v>
      </c>
      <c r="L429" s="56"/>
      <c r="M429" s="8">
        <v>0</v>
      </c>
    </row>
    <row r="430" spans="1:25" x14ac:dyDescent="0.25">
      <c r="A430" s="55" t="s">
        <v>31</v>
      </c>
      <c r="B430" s="56"/>
      <c r="C430" s="56"/>
      <c r="D430" s="56" t="s">
        <v>83</v>
      </c>
      <c r="E430" s="56"/>
      <c r="F430" s="56"/>
      <c r="G430" s="56"/>
      <c r="H430" s="56" t="s">
        <v>32</v>
      </c>
      <c r="I430" s="56"/>
      <c r="J430" s="56"/>
      <c r="K430" s="64" t="s">
        <v>84</v>
      </c>
      <c r="L430" s="56"/>
      <c r="M430" s="57"/>
    </row>
    <row r="431" spans="1:25" x14ac:dyDescent="0.25">
      <c r="A431" s="55" t="s">
        <v>33</v>
      </c>
      <c r="B431" s="56"/>
      <c r="C431" s="56"/>
      <c r="D431" s="65">
        <v>0.02</v>
      </c>
      <c r="E431" s="65"/>
      <c r="F431" s="65"/>
      <c r="G431" s="65"/>
      <c r="H431" s="56" t="s">
        <v>18</v>
      </c>
      <c r="I431" s="56"/>
      <c r="J431" s="56"/>
      <c r="K431" s="66">
        <f>施工項目!AQ276</f>
        <v>2.9286274509803922E-2</v>
      </c>
      <c r="L431" s="66"/>
      <c r="M431" s="67"/>
    </row>
    <row r="432" spans="1:25" x14ac:dyDescent="0.25">
      <c r="A432" s="52" t="s">
        <v>34</v>
      </c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4"/>
    </row>
    <row r="433" spans="1:13" s="2" customFormat="1" x14ac:dyDescent="0.25">
      <c r="A433" s="60" t="s">
        <v>35</v>
      </c>
      <c r="B433" s="61"/>
      <c r="C433" s="61"/>
      <c r="D433" s="62"/>
      <c r="E433" s="11" t="s">
        <v>36</v>
      </c>
      <c r="F433" s="60" t="s">
        <v>37</v>
      </c>
      <c r="G433" s="62"/>
      <c r="H433" s="60" t="s">
        <v>38</v>
      </c>
      <c r="I433" s="62"/>
      <c r="J433" s="63" t="s">
        <v>39</v>
      </c>
      <c r="K433" s="63"/>
      <c r="L433" s="56" t="s">
        <v>40</v>
      </c>
      <c r="M433" s="57"/>
    </row>
    <row r="434" spans="1:13" x14ac:dyDescent="0.25">
      <c r="A434" s="52" t="s">
        <v>88</v>
      </c>
      <c r="B434" s="53"/>
      <c r="C434" s="53"/>
      <c r="D434" s="53"/>
      <c r="E434" s="4"/>
      <c r="F434" s="41"/>
      <c r="G434" s="41"/>
      <c r="H434" s="41"/>
      <c r="I434" s="41"/>
      <c r="J434" s="41"/>
      <c r="K434" s="41"/>
      <c r="L434" s="53"/>
      <c r="M434" s="54"/>
    </row>
    <row r="435" spans="1:13" x14ac:dyDescent="0.25">
      <c r="A435" s="52"/>
      <c r="B435" s="53"/>
      <c r="C435" s="53"/>
      <c r="D435" s="53"/>
      <c r="E435" s="4"/>
      <c r="F435" s="41"/>
      <c r="G435" s="41"/>
      <c r="H435" s="41"/>
      <c r="I435" s="41"/>
      <c r="J435" s="41"/>
      <c r="K435" s="41"/>
      <c r="L435" s="53"/>
      <c r="M435" s="54"/>
    </row>
    <row r="436" spans="1:13" x14ac:dyDescent="0.25">
      <c r="A436" s="52"/>
      <c r="B436" s="53"/>
      <c r="C436" s="53"/>
      <c r="D436" s="53"/>
      <c r="E436" s="4"/>
      <c r="F436" s="41"/>
      <c r="G436" s="41"/>
      <c r="H436" s="41"/>
      <c r="I436" s="41"/>
      <c r="J436" s="41"/>
      <c r="K436" s="41"/>
      <c r="L436" s="53"/>
      <c r="M436" s="54"/>
    </row>
    <row r="437" spans="1:13" x14ac:dyDescent="0.25">
      <c r="A437" s="52"/>
      <c r="B437" s="53"/>
      <c r="C437" s="53"/>
      <c r="D437" s="53"/>
      <c r="E437" s="4"/>
      <c r="F437" s="41"/>
      <c r="G437" s="41"/>
      <c r="H437" s="41"/>
      <c r="I437" s="41"/>
      <c r="J437" s="41"/>
      <c r="K437" s="41"/>
      <c r="L437" s="53"/>
      <c r="M437" s="54"/>
    </row>
    <row r="438" spans="1:13" x14ac:dyDescent="0.25">
      <c r="A438" s="52"/>
      <c r="B438" s="53"/>
      <c r="C438" s="53"/>
      <c r="D438" s="53"/>
      <c r="E438" s="4"/>
      <c r="F438" s="56"/>
      <c r="G438" s="56"/>
      <c r="H438" s="41"/>
      <c r="I438" s="41"/>
      <c r="J438" s="41"/>
      <c r="K438" s="41"/>
      <c r="L438" s="53"/>
      <c r="M438" s="54"/>
    </row>
    <row r="439" spans="1:13" x14ac:dyDescent="0.25">
      <c r="A439" s="52"/>
      <c r="B439" s="53"/>
      <c r="C439" s="53"/>
      <c r="D439" s="53"/>
      <c r="E439" s="4"/>
      <c r="F439" s="41"/>
      <c r="G439" s="41"/>
      <c r="H439" s="41"/>
      <c r="I439" s="41"/>
      <c r="J439" s="58"/>
      <c r="K439" s="59"/>
      <c r="L439" s="53"/>
      <c r="M439" s="54"/>
    </row>
    <row r="440" spans="1:13" x14ac:dyDescent="0.25">
      <c r="A440" s="52"/>
      <c r="B440" s="53"/>
      <c r="C440" s="53"/>
      <c r="D440" s="53"/>
      <c r="E440" s="4"/>
      <c r="F440" s="41"/>
      <c r="G440" s="41"/>
      <c r="H440" s="41"/>
      <c r="I440" s="41"/>
      <c r="J440" s="41"/>
      <c r="K440" s="41"/>
      <c r="L440" s="53"/>
      <c r="M440" s="54"/>
    </row>
    <row r="441" spans="1:13" x14ac:dyDescent="0.25">
      <c r="A441" s="52"/>
      <c r="B441" s="53"/>
      <c r="C441" s="53"/>
      <c r="D441" s="53"/>
      <c r="E441" s="9"/>
      <c r="F441" s="41"/>
      <c r="G441" s="41"/>
      <c r="H441" s="41"/>
      <c r="I441" s="41"/>
      <c r="J441" s="41"/>
      <c r="K441" s="41"/>
      <c r="L441" s="53"/>
      <c r="M441" s="54"/>
    </row>
    <row r="442" spans="1:13" x14ac:dyDescent="0.25">
      <c r="A442" s="52"/>
      <c r="B442" s="53"/>
      <c r="C442" s="53"/>
      <c r="D442" s="53"/>
      <c r="E442" s="9"/>
      <c r="F442" s="41"/>
      <c r="G442" s="41"/>
      <c r="H442" s="41"/>
      <c r="I442" s="41"/>
      <c r="J442" s="41"/>
      <c r="K442" s="41"/>
      <c r="L442" s="53"/>
      <c r="M442" s="54"/>
    </row>
    <row r="443" spans="1:13" x14ac:dyDescent="0.25">
      <c r="A443" s="52" t="s">
        <v>41</v>
      </c>
      <c r="B443" s="53"/>
      <c r="C443" s="53"/>
      <c r="D443" s="53"/>
      <c r="E443" s="9"/>
      <c r="F443" s="53"/>
      <c r="G443" s="53"/>
      <c r="H443" s="53"/>
      <c r="I443" s="53"/>
      <c r="J443" s="53"/>
      <c r="K443" s="53"/>
      <c r="L443" s="53"/>
      <c r="M443" s="54"/>
    </row>
    <row r="444" spans="1:13" x14ac:dyDescent="0.25">
      <c r="A444" s="52" t="s">
        <v>16</v>
      </c>
      <c r="B444" s="53"/>
      <c r="C444" s="53"/>
      <c r="D444" s="53"/>
      <c r="E444" s="9"/>
      <c r="F444" s="53"/>
      <c r="G444" s="53"/>
      <c r="H444" s="53"/>
      <c r="I444" s="53"/>
      <c r="J444" s="53"/>
      <c r="K444" s="53"/>
      <c r="L444" s="53"/>
      <c r="M444" s="54"/>
    </row>
    <row r="445" spans="1:13" x14ac:dyDescent="0.25">
      <c r="A445" s="52" t="s">
        <v>17</v>
      </c>
      <c r="B445" s="53"/>
      <c r="C445" s="53"/>
      <c r="D445" s="53"/>
      <c r="E445" s="9"/>
      <c r="F445" s="53"/>
      <c r="G445" s="53"/>
      <c r="H445" s="53"/>
      <c r="I445" s="53"/>
      <c r="J445" s="53"/>
      <c r="K445" s="53"/>
      <c r="L445" s="53"/>
      <c r="M445" s="54"/>
    </row>
    <row r="446" spans="1:13" x14ac:dyDescent="0.25">
      <c r="A446" s="52" t="s">
        <v>42</v>
      </c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4"/>
    </row>
    <row r="447" spans="1:13" x14ac:dyDescent="0.25">
      <c r="A447" s="55" t="s">
        <v>43</v>
      </c>
      <c r="B447" s="56"/>
      <c r="C447" s="56"/>
      <c r="D447" s="56"/>
      <c r="E447" s="4" t="s">
        <v>36</v>
      </c>
      <c r="F447" s="56" t="s">
        <v>44</v>
      </c>
      <c r="G447" s="56"/>
      <c r="H447" s="56" t="s">
        <v>45</v>
      </c>
      <c r="I447" s="56"/>
      <c r="J447" s="56" t="s">
        <v>46</v>
      </c>
      <c r="K447" s="56"/>
      <c r="L447" s="56" t="s">
        <v>40</v>
      </c>
      <c r="M447" s="57"/>
    </row>
    <row r="448" spans="1:13" x14ac:dyDescent="0.25">
      <c r="A448" s="52"/>
      <c r="B448" s="53"/>
      <c r="C448" s="53"/>
      <c r="D448" s="53"/>
      <c r="E448" s="9"/>
      <c r="F448" s="53"/>
      <c r="G448" s="53"/>
      <c r="H448" s="53"/>
      <c r="I448" s="53"/>
      <c r="J448" s="53"/>
      <c r="K448" s="53"/>
      <c r="L448" s="53"/>
      <c r="M448" s="54"/>
    </row>
    <row r="449" spans="1:13" x14ac:dyDescent="0.25">
      <c r="A449" s="52"/>
      <c r="B449" s="53"/>
      <c r="C449" s="53"/>
      <c r="D449" s="53"/>
      <c r="E449" s="9"/>
      <c r="F449" s="53"/>
      <c r="G449" s="53"/>
      <c r="H449" s="53"/>
      <c r="I449" s="53"/>
      <c r="J449" s="53"/>
      <c r="K449" s="53"/>
      <c r="L449" s="53"/>
      <c r="M449" s="54"/>
    </row>
    <row r="450" spans="1:13" x14ac:dyDescent="0.25">
      <c r="A450" s="52" t="s">
        <v>47</v>
      </c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4"/>
    </row>
    <row r="451" spans="1:13" x14ac:dyDescent="0.25">
      <c r="A451" s="55" t="s">
        <v>48</v>
      </c>
      <c r="B451" s="56"/>
      <c r="C451" s="56" t="s">
        <v>49</v>
      </c>
      <c r="D451" s="56"/>
      <c r="E451" s="56" t="s">
        <v>50</v>
      </c>
      <c r="F451" s="56"/>
      <c r="G451" s="56"/>
      <c r="H451" s="56" t="s">
        <v>51</v>
      </c>
      <c r="I451" s="56"/>
      <c r="J451" s="56" t="s">
        <v>45</v>
      </c>
      <c r="K451" s="56"/>
      <c r="L451" s="56" t="s">
        <v>46</v>
      </c>
      <c r="M451" s="57"/>
    </row>
    <row r="452" spans="1:13" x14ac:dyDescent="0.25">
      <c r="A452" s="40" t="s">
        <v>52</v>
      </c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2"/>
    </row>
    <row r="453" spans="1:13" ht="17.25" thickBot="1" x14ac:dyDescent="0.3">
      <c r="A453" s="40" t="s">
        <v>53</v>
      </c>
      <c r="B453" s="41"/>
      <c r="C453" s="41"/>
      <c r="D453" s="41"/>
      <c r="E453" s="41">
        <v>4</v>
      </c>
      <c r="F453" s="41"/>
      <c r="G453" s="41"/>
      <c r="H453" s="41"/>
      <c r="I453" s="41"/>
      <c r="J453" s="41"/>
      <c r="K453" s="41"/>
      <c r="L453" s="41"/>
      <c r="M453" s="42"/>
    </row>
    <row r="454" spans="1:13" ht="25.15" customHeight="1" thickBot="1" x14ac:dyDescent="0.3">
      <c r="A454" s="43" t="s">
        <v>59</v>
      </c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5"/>
    </row>
    <row r="455" spans="1:13" x14ac:dyDescent="0.25">
      <c r="A455" s="46" t="s">
        <v>60</v>
      </c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8"/>
    </row>
    <row r="456" spans="1:13" x14ac:dyDescent="0.25">
      <c r="A456" s="49" t="s">
        <v>61</v>
      </c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1"/>
    </row>
    <row r="457" spans="1:13" x14ac:dyDescent="0.25">
      <c r="A457" s="25" t="s">
        <v>62</v>
      </c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7"/>
    </row>
    <row r="458" spans="1:13" x14ac:dyDescent="0.25">
      <c r="A458" s="25" t="s">
        <v>63</v>
      </c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7"/>
    </row>
    <row r="459" spans="1:13" x14ac:dyDescent="0.25">
      <c r="A459" s="28" t="s">
        <v>64</v>
      </c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30"/>
    </row>
    <row r="460" spans="1:13" ht="17.25" thickBot="1" x14ac:dyDescent="0.3">
      <c r="A460" s="31" t="s">
        <v>65</v>
      </c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3"/>
    </row>
    <row r="461" spans="1:13" ht="17.25" thickBot="1" x14ac:dyDescent="0.3">
      <c r="A461" s="34" t="s">
        <v>54</v>
      </c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6"/>
    </row>
    <row r="462" spans="1:13" ht="17.25" thickBot="1" x14ac:dyDescent="0.3">
      <c r="A462" s="34" t="s">
        <v>55</v>
      </c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6"/>
    </row>
    <row r="463" spans="1:13" ht="17.25" thickBot="1" x14ac:dyDescent="0.3">
      <c r="A463" s="34" t="s">
        <v>76</v>
      </c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6"/>
    </row>
    <row r="464" spans="1:13" ht="17.25" thickBot="1" x14ac:dyDescent="0.3">
      <c r="A464" s="37" t="s">
        <v>66</v>
      </c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9"/>
    </row>
    <row r="465" spans="1:25" x14ac:dyDescent="0.25">
      <c r="A465" s="12" t="s">
        <v>68</v>
      </c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0"/>
      <c r="T465" s="10"/>
      <c r="U465" s="10"/>
      <c r="V465" s="10"/>
      <c r="W465" s="10"/>
      <c r="X465" s="10"/>
      <c r="Y465" s="10"/>
    </row>
    <row r="466" spans="1:25" x14ac:dyDescent="0.25">
      <c r="A466" s="14" t="s">
        <v>69</v>
      </c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0"/>
      <c r="T466" s="10"/>
      <c r="U466" s="10"/>
      <c r="V466" s="10"/>
      <c r="W466" s="10"/>
      <c r="X466" s="10"/>
      <c r="Y466" s="10"/>
    </row>
    <row r="467" spans="1:25" s="10" customFormat="1" ht="8.25" x14ac:dyDescent="0.25">
      <c r="A467" s="14" t="s">
        <v>70</v>
      </c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</row>
    <row r="468" spans="1:25" x14ac:dyDescent="0.25">
      <c r="A468" s="14" t="s">
        <v>71</v>
      </c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0"/>
      <c r="T468" s="10"/>
      <c r="U468" s="10"/>
      <c r="V468" s="10"/>
      <c r="W468" s="10"/>
      <c r="X468" s="10"/>
      <c r="Y468" s="10"/>
    </row>
    <row r="469" spans="1:25" x14ac:dyDescent="0.25">
      <c r="A469" s="14" t="s">
        <v>72</v>
      </c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0"/>
      <c r="T469" s="10"/>
      <c r="U469" s="10"/>
      <c r="V469" s="10"/>
      <c r="W469" s="10"/>
      <c r="X469" s="10"/>
      <c r="Y469" s="10"/>
    </row>
    <row r="470" spans="1:25" x14ac:dyDescent="0.25">
      <c r="A470" s="14" t="s">
        <v>73</v>
      </c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0"/>
      <c r="T470" s="10"/>
      <c r="U470" s="10"/>
      <c r="V470" s="10"/>
      <c r="W470" s="10"/>
      <c r="X470" s="10"/>
      <c r="Y470" s="10"/>
    </row>
    <row r="471" spans="1:25" ht="28.15" customHeight="1" x14ac:dyDescent="0.25">
      <c r="A471" s="89" t="s">
        <v>19</v>
      </c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</row>
    <row r="472" spans="1:25" x14ac:dyDescent="0.25">
      <c r="A472" s="2" t="s">
        <v>20</v>
      </c>
      <c r="B472" s="2">
        <f>B425+1</f>
        <v>11</v>
      </c>
    </row>
    <row r="473" spans="1:25" ht="17.25" thickBot="1" x14ac:dyDescent="0.3">
      <c r="A473" s="2" t="s">
        <v>21</v>
      </c>
      <c r="B473" s="2" t="s">
        <v>22</v>
      </c>
      <c r="C473" s="2" t="s">
        <v>23</v>
      </c>
      <c r="D473" s="2" t="s">
        <v>24</v>
      </c>
      <c r="F473" s="68" t="s">
        <v>25</v>
      </c>
      <c r="G473" s="68"/>
      <c r="H473" s="69">
        <f>H426+1</f>
        <v>45920</v>
      </c>
      <c r="I473" s="69"/>
      <c r="J473" s="69"/>
      <c r="K473" s="70">
        <f>H473</f>
        <v>45920</v>
      </c>
      <c r="L473" s="70"/>
      <c r="M473" s="70"/>
    </row>
    <row r="474" spans="1:25" ht="16.5" customHeight="1" x14ac:dyDescent="0.25">
      <c r="A474" s="71" t="s">
        <v>26</v>
      </c>
      <c r="B474" s="72"/>
      <c r="C474" s="73"/>
      <c r="D474" s="77" t="s">
        <v>78</v>
      </c>
      <c r="E474" s="78"/>
      <c r="F474" s="78"/>
      <c r="G474" s="79"/>
      <c r="H474" s="83" t="s">
        <v>27</v>
      </c>
      <c r="I474" s="83"/>
      <c r="J474" s="83"/>
      <c r="K474" s="84" t="s">
        <v>81</v>
      </c>
      <c r="L474" s="84"/>
      <c r="M474" s="85"/>
    </row>
    <row r="475" spans="1:25" ht="21" customHeight="1" x14ac:dyDescent="0.25">
      <c r="A475" s="74"/>
      <c r="B475" s="75"/>
      <c r="C475" s="76"/>
      <c r="D475" s="80"/>
      <c r="E475" s="81"/>
      <c r="F475" s="81"/>
      <c r="G475" s="82"/>
      <c r="H475" s="56"/>
      <c r="I475" s="56"/>
      <c r="J475" s="56"/>
      <c r="K475" s="86"/>
      <c r="L475" s="86"/>
      <c r="M475" s="87"/>
    </row>
    <row r="476" spans="1:25" x14ac:dyDescent="0.25">
      <c r="A476" s="6" t="s">
        <v>28</v>
      </c>
      <c r="B476" s="56" t="s">
        <v>82</v>
      </c>
      <c r="C476" s="56"/>
      <c r="D476" s="56" t="s">
        <v>29</v>
      </c>
      <c r="E476" s="56"/>
      <c r="F476" s="56"/>
      <c r="G476" s="7">
        <f>G429+1</f>
        <v>11</v>
      </c>
      <c r="H476" s="4" t="s">
        <v>30</v>
      </c>
      <c r="I476" s="88">
        <f>I429-1</f>
        <v>49</v>
      </c>
      <c r="J476" s="88"/>
      <c r="K476" s="56" t="s">
        <v>74</v>
      </c>
      <c r="L476" s="56"/>
      <c r="M476" s="8">
        <v>0</v>
      </c>
    </row>
    <row r="477" spans="1:25" x14ac:dyDescent="0.25">
      <c r="A477" s="55" t="s">
        <v>31</v>
      </c>
      <c r="B477" s="56"/>
      <c r="C477" s="56"/>
      <c r="D477" s="56" t="s">
        <v>83</v>
      </c>
      <c r="E477" s="56"/>
      <c r="F477" s="56"/>
      <c r="G477" s="56"/>
      <c r="H477" s="56" t="s">
        <v>32</v>
      </c>
      <c r="I477" s="56"/>
      <c r="J477" s="56"/>
      <c r="K477" s="64" t="s">
        <v>84</v>
      </c>
      <c r="L477" s="56"/>
      <c r="M477" s="57"/>
    </row>
    <row r="478" spans="1:25" x14ac:dyDescent="0.25">
      <c r="A478" s="55" t="s">
        <v>33</v>
      </c>
      <c r="B478" s="56"/>
      <c r="C478" s="56"/>
      <c r="D478" s="65">
        <v>2.1999999999999999E-2</v>
      </c>
      <c r="E478" s="65"/>
      <c r="F478" s="65"/>
      <c r="G478" s="65"/>
      <c r="H478" s="56" t="s">
        <v>18</v>
      </c>
      <c r="I478" s="56"/>
      <c r="J478" s="56"/>
      <c r="K478" s="66">
        <f>施工項目!AQ304</f>
        <v>3.1562745098039219E-2</v>
      </c>
      <c r="L478" s="66"/>
      <c r="M478" s="67"/>
    </row>
    <row r="479" spans="1:25" x14ac:dyDescent="0.25">
      <c r="A479" s="52" t="s">
        <v>34</v>
      </c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4"/>
    </row>
    <row r="480" spans="1:25" s="2" customFormat="1" x14ac:dyDescent="0.25">
      <c r="A480" s="60" t="s">
        <v>35</v>
      </c>
      <c r="B480" s="61"/>
      <c r="C480" s="61"/>
      <c r="D480" s="62"/>
      <c r="E480" s="11" t="s">
        <v>36</v>
      </c>
      <c r="F480" s="60" t="s">
        <v>37</v>
      </c>
      <c r="G480" s="62"/>
      <c r="H480" s="60" t="s">
        <v>38</v>
      </c>
      <c r="I480" s="62"/>
      <c r="J480" s="63" t="s">
        <v>39</v>
      </c>
      <c r="K480" s="63"/>
      <c r="L480" s="56" t="s">
        <v>40</v>
      </c>
      <c r="M480" s="57"/>
    </row>
    <row r="481" spans="1:13" x14ac:dyDescent="0.25">
      <c r="A481" s="52" t="s">
        <v>88</v>
      </c>
      <c r="B481" s="53"/>
      <c r="C481" s="53"/>
      <c r="D481" s="53"/>
      <c r="E481" s="4"/>
      <c r="F481" s="41"/>
      <c r="G481" s="41"/>
      <c r="H481" s="41"/>
      <c r="I481" s="41"/>
      <c r="J481" s="41"/>
      <c r="K481" s="41"/>
      <c r="L481" s="53"/>
      <c r="M481" s="54"/>
    </row>
    <row r="482" spans="1:13" x14ac:dyDescent="0.25">
      <c r="A482" s="52"/>
      <c r="B482" s="53"/>
      <c r="C482" s="53"/>
      <c r="D482" s="53"/>
      <c r="E482" s="4"/>
      <c r="F482" s="41"/>
      <c r="G482" s="41"/>
      <c r="H482" s="41"/>
      <c r="I482" s="41"/>
      <c r="J482" s="41"/>
      <c r="K482" s="41"/>
      <c r="L482" s="53"/>
      <c r="M482" s="54"/>
    </row>
    <row r="483" spans="1:13" x14ac:dyDescent="0.25">
      <c r="A483" s="52"/>
      <c r="B483" s="53"/>
      <c r="C483" s="53"/>
      <c r="D483" s="53"/>
      <c r="E483" s="4"/>
      <c r="F483" s="41"/>
      <c r="G483" s="41"/>
      <c r="H483" s="41"/>
      <c r="I483" s="41"/>
      <c r="J483" s="41"/>
      <c r="K483" s="41"/>
      <c r="L483" s="53"/>
      <c r="M483" s="54"/>
    </row>
    <row r="484" spans="1:13" x14ac:dyDescent="0.25">
      <c r="A484" s="52"/>
      <c r="B484" s="53"/>
      <c r="C484" s="53"/>
      <c r="D484" s="53"/>
      <c r="E484" s="4"/>
      <c r="F484" s="41"/>
      <c r="G484" s="41"/>
      <c r="H484" s="41"/>
      <c r="I484" s="41"/>
      <c r="J484" s="41"/>
      <c r="K484" s="41"/>
      <c r="L484" s="53"/>
      <c r="M484" s="54"/>
    </row>
    <row r="485" spans="1:13" x14ac:dyDescent="0.25">
      <c r="A485" s="52"/>
      <c r="B485" s="53"/>
      <c r="C485" s="53"/>
      <c r="D485" s="53"/>
      <c r="E485" s="4"/>
      <c r="F485" s="56"/>
      <c r="G485" s="56"/>
      <c r="H485" s="41"/>
      <c r="I485" s="41"/>
      <c r="J485" s="41"/>
      <c r="K485" s="41"/>
      <c r="L485" s="53"/>
      <c r="M485" s="54"/>
    </row>
    <row r="486" spans="1:13" x14ac:dyDescent="0.25">
      <c r="A486" s="52"/>
      <c r="B486" s="53"/>
      <c r="C486" s="53"/>
      <c r="D486" s="53"/>
      <c r="E486" s="4"/>
      <c r="F486" s="41"/>
      <c r="G486" s="41"/>
      <c r="H486" s="41"/>
      <c r="I486" s="41"/>
      <c r="J486" s="58"/>
      <c r="K486" s="59"/>
      <c r="L486" s="53"/>
      <c r="M486" s="54"/>
    </row>
    <row r="487" spans="1:13" x14ac:dyDescent="0.25">
      <c r="A487" s="52"/>
      <c r="B487" s="53"/>
      <c r="C487" s="53"/>
      <c r="D487" s="53"/>
      <c r="E487" s="4"/>
      <c r="F487" s="41"/>
      <c r="G487" s="41"/>
      <c r="H487" s="41"/>
      <c r="I487" s="41"/>
      <c r="J487" s="41"/>
      <c r="K487" s="41"/>
      <c r="L487" s="53"/>
      <c r="M487" s="54"/>
    </row>
    <row r="488" spans="1:13" x14ac:dyDescent="0.25">
      <c r="A488" s="52"/>
      <c r="B488" s="53"/>
      <c r="C488" s="53"/>
      <c r="D488" s="53"/>
      <c r="E488" s="9"/>
      <c r="F488" s="41"/>
      <c r="G488" s="41"/>
      <c r="H488" s="41"/>
      <c r="I488" s="41"/>
      <c r="J488" s="41"/>
      <c r="K488" s="41"/>
      <c r="L488" s="53"/>
      <c r="M488" s="54"/>
    </row>
    <row r="489" spans="1:13" x14ac:dyDescent="0.25">
      <c r="A489" s="52"/>
      <c r="B489" s="53"/>
      <c r="C489" s="53"/>
      <c r="D489" s="53"/>
      <c r="E489" s="9"/>
      <c r="F489" s="41"/>
      <c r="G489" s="41"/>
      <c r="H489" s="41"/>
      <c r="I489" s="41"/>
      <c r="J489" s="41"/>
      <c r="K489" s="41"/>
      <c r="L489" s="53"/>
      <c r="M489" s="54"/>
    </row>
    <row r="490" spans="1:13" x14ac:dyDescent="0.25">
      <c r="A490" s="52" t="s">
        <v>41</v>
      </c>
      <c r="B490" s="53"/>
      <c r="C490" s="53"/>
      <c r="D490" s="53"/>
      <c r="E490" s="9"/>
      <c r="F490" s="53"/>
      <c r="G490" s="53"/>
      <c r="H490" s="53"/>
      <c r="I490" s="53"/>
      <c r="J490" s="53"/>
      <c r="K490" s="53"/>
      <c r="L490" s="53"/>
      <c r="M490" s="54"/>
    </row>
    <row r="491" spans="1:13" x14ac:dyDescent="0.25">
      <c r="A491" s="52" t="s">
        <v>16</v>
      </c>
      <c r="B491" s="53"/>
      <c r="C491" s="53"/>
      <c r="D491" s="53"/>
      <c r="E491" s="9"/>
      <c r="F491" s="53"/>
      <c r="G491" s="53"/>
      <c r="H491" s="53"/>
      <c r="I491" s="53"/>
      <c r="J491" s="53"/>
      <c r="K491" s="53"/>
      <c r="L491" s="53"/>
      <c r="M491" s="54"/>
    </row>
    <row r="492" spans="1:13" x14ac:dyDescent="0.25">
      <c r="A492" s="52" t="s">
        <v>17</v>
      </c>
      <c r="B492" s="53"/>
      <c r="C492" s="53"/>
      <c r="D492" s="53"/>
      <c r="E492" s="9"/>
      <c r="F492" s="53"/>
      <c r="G492" s="53"/>
      <c r="H492" s="53"/>
      <c r="I492" s="53"/>
      <c r="J492" s="53"/>
      <c r="K492" s="53"/>
      <c r="L492" s="53"/>
      <c r="M492" s="54"/>
    </row>
    <row r="493" spans="1:13" x14ac:dyDescent="0.25">
      <c r="A493" s="52" t="s">
        <v>42</v>
      </c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4"/>
    </row>
    <row r="494" spans="1:13" x14ac:dyDescent="0.25">
      <c r="A494" s="55" t="s">
        <v>43</v>
      </c>
      <c r="B494" s="56"/>
      <c r="C494" s="56"/>
      <c r="D494" s="56"/>
      <c r="E494" s="4" t="s">
        <v>36</v>
      </c>
      <c r="F494" s="56" t="s">
        <v>44</v>
      </c>
      <c r="G494" s="56"/>
      <c r="H494" s="56" t="s">
        <v>45</v>
      </c>
      <c r="I494" s="56"/>
      <c r="J494" s="56" t="s">
        <v>46</v>
      </c>
      <c r="K494" s="56"/>
      <c r="L494" s="56" t="s">
        <v>40</v>
      </c>
      <c r="M494" s="57"/>
    </row>
    <row r="495" spans="1:13" x14ac:dyDescent="0.25">
      <c r="A495" s="52"/>
      <c r="B495" s="53"/>
      <c r="C495" s="53"/>
      <c r="D495" s="53"/>
      <c r="E495" s="9"/>
      <c r="F495" s="53"/>
      <c r="G495" s="53"/>
      <c r="H495" s="53"/>
      <c r="I495" s="53"/>
      <c r="J495" s="53"/>
      <c r="K495" s="53"/>
      <c r="L495" s="53"/>
      <c r="M495" s="54"/>
    </row>
    <row r="496" spans="1:13" x14ac:dyDescent="0.25">
      <c r="A496" s="52"/>
      <c r="B496" s="53"/>
      <c r="C496" s="53"/>
      <c r="D496" s="53"/>
      <c r="E496" s="9"/>
      <c r="F496" s="53"/>
      <c r="G496" s="53"/>
      <c r="H496" s="53"/>
      <c r="I496" s="53"/>
      <c r="J496" s="53"/>
      <c r="K496" s="53"/>
      <c r="L496" s="53"/>
      <c r="M496" s="54"/>
    </row>
    <row r="497" spans="1:25" x14ac:dyDescent="0.25">
      <c r="A497" s="52" t="s">
        <v>47</v>
      </c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4"/>
    </row>
    <row r="498" spans="1:25" x14ac:dyDescent="0.25">
      <c r="A498" s="55" t="s">
        <v>48</v>
      </c>
      <c r="B498" s="56"/>
      <c r="C498" s="56" t="s">
        <v>49</v>
      </c>
      <c r="D498" s="56"/>
      <c r="E498" s="56" t="s">
        <v>50</v>
      </c>
      <c r="F498" s="56"/>
      <c r="G498" s="56"/>
      <c r="H498" s="56" t="s">
        <v>51</v>
      </c>
      <c r="I498" s="56"/>
      <c r="J498" s="56" t="s">
        <v>45</v>
      </c>
      <c r="K498" s="56"/>
      <c r="L498" s="56" t="s">
        <v>46</v>
      </c>
      <c r="M498" s="57"/>
    </row>
    <row r="499" spans="1:25" x14ac:dyDescent="0.25">
      <c r="A499" s="40" t="s">
        <v>52</v>
      </c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2"/>
    </row>
    <row r="500" spans="1:25" ht="17.25" thickBot="1" x14ac:dyDescent="0.3">
      <c r="A500" s="40" t="s">
        <v>53</v>
      </c>
      <c r="B500" s="41"/>
      <c r="C500" s="41"/>
      <c r="D500" s="41"/>
      <c r="E500" s="41">
        <v>4</v>
      </c>
      <c r="F500" s="41"/>
      <c r="G500" s="41"/>
      <c r="H500" s="41"/>
      <c r="I500" s="41"/>
      <c r="J500" s="41"/>
      <c r="K500" s="41"/>
      <c r="L500" s="41"/>
      <c r="M500" s="42"/>
    </row>
    <row r="501" spans="1:25" ht="25.15" customHeight="1" thickBot="1" x14ac:dyDescent="0.3">
      <c r="A501" s="43" t="s">
        <v>59</v>
      </c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5"/>
    </row>
    <row r="502" spans="1:25" x14ac:dyDescent="0.25">
      <c r="A502" s="46" t="s">
        <v>60</v>
      </c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8"/>
    </row>
    <row r="503" spans="1:25" x14ac:dyDescent="0.25">
      <c r="A503" s="49" t="s">
        <v>61</v>
      </c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1"/>
    </row>
    <row r="504" spans="1:25" x14ac:dyDescent="0.25">
      <c r="A504" s="25" t="s">
        <v>62</v>
      </c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7"/>
    </row>
    <row r="505" spans="1:25" x14ac:dyDescent="0.25">
      <c r="A505" s="25" t="s">
        <v>63</v>
      </c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7"/>
    </row>
    <row r="506" spans="1:25" x14ac:dyDescent="0.25">
      <c r="A506" s="28" t="s">
        <v>64</v>
      </c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30"/>
    </row>
    <row r="507" spans="1:25" ht="17.25" thickBot="1" x14ac:dyDescent="0.3">
      <c r="A507" s="31" t="s">
        <v>65</v>
      </c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3"/>
    </row>
    <row r="508" spans="1:25" ht="17.25" thickBot="1" x14ac:dyDescent="0.3">
      <c r="A508" s="34" t="s">
        <v>54</v>
      </c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6"/>
    </row>
    <row r="509" spans="1:25" ht="17.25" thickBot="1" x14ac:dyDescent="0.3">
      <c r="A509" s="34" t="s">
        <v>55</v>
      </c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6"/>
    </row>
    <row r="510" spans="1:25" ht="17.25" thickBot="1" x14ac:dyDescent="0.3">
      <c r="A510" s="34" t="s">
        <v>76</v>
      </c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6"/>
    </row>
    <row r="511" spans="1:25" ht="17.25" thickBot="1" x14ac:dyDescent="0.3">
      <c r="A511" s="37" t="s">
        <v>66</v>
      </c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9"/>
    </row>
    <row r="512" spans="1:25" x14ac:dyDescent="0.25">
      <c r="A512" s="12" t="s">
        <v>68</v>
      </c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0"/>
      <c r="T512" s="10"/>
      <c r="U512" s="10"/>
      <c r="V512" s="10"/>
      <c r="W512" s="10"/>
      <c r="X512" s="10"/>
      <c r="Y512" s="10"/>
    </row>
    <row r="513" spans="1:25" x14ac:dyDescent="0.25">
      <c r="A513" s="14" t="s">
        <v>69</v>
      </c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0"/>
      <c r="T513" s="10"/>
      <c r="U513" s="10"/>
      <c r="V513" s="10"/>
      <c r="W513" s="10"/>
      <c r="X513" s="10"/>
      <c r="Y513" s="10"/>
    </row>
    <row r="514" spans="1:25" s="10" customFormat="1" ht="8.25" x14ac:dyDescent="0.25">
      <c r="A514" s="14" t="s">
        <v>70</v>
      </c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</row>
    <row r="515" spans="1:25" x14ac:dyDescent="0.25">
      <c r="A515" s="14" t="s">
        <v>71</v>
      </c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0"/>
      <c r="T515" s="10"/>
      <c r="U515" s="10"/>
      <c r="V515" s="10"/>
      <c r="W515" s="10"/>
      <c r="X515" s="10"/>
      <c r="Y515" s="10"/>
    </row>
    <row r="516" spans="1:25" x14ac:dyDescent="0.25">
      <c r="A516" s="14" t="s">
        <v>72</v>
      </c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0"/>
      <c r="T516" s="10"/>
      <c r="U516" s="10"/>
      <c r="V516" s="10"/>
      <c r="W516" s="10"/>
      <c r="X516" s="10"/>
      <c r="Y516" s="10"/>
    </row>
    <row r="517" spans="1:25" x14ac:dyDescent="0.25">
      <c r="A517" s="14" t="s">
        <v>73</v>
      </c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0"/>
      <c r="T517" s="10"/>
      <c r="U517" s="10"/>
      <c r="V517" s="10"/>
      <c r="W517" s="10"/>
      <c r="X517" s="10"/>
      <c r="Y517" s="10"/>
    </row>
    <row r="518" spans="1:25" ht="28.15" customHeight="1" x14ac:dyDescent="0.25">
      <c r="A518" s="89" t="s">
        <v>19</v>
      </c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</row>
    <row r="519" spans="1:25" x14ac:dyDescent="0.25">
      <c r="A519" s="2" t="s">
        <v>20</v>
      </c>
      <c r="B519" s="2">
        <f>B472+1</f>
        <v>12</v>
      </c>
    </row>
    <row r="520" spans="1:25" ht="17.25" thickBot="1" x14ac:dyDescent="0.3">
      <c r="A520" s="2" t="s">
        <v>21</v>
      </c>
      <c r="B520" s="2" t="s">
        <v>22</v>
      </c>
      <c r="C520" s="2" t="s">
        <v>23</v>
      </c>
      <c r="D520" s="2" t="s">
        <v>24</v>
      </c>
      <c r="F520" s="68" t="s">
        <v>25</v>
      </c>
      <c r="G520" s="68"/>
      <c r="H520" s="69">
        <f>H473+1</f>
        <v>45921</v>
      </c>
      <c r="I520" s="69"/>
      <c r="J520" s="69"/>
      <c r="K520" s="70">
        <f>H520</f>
        <v>45921</v>
      </c>
      <c r="L520" s="70"/>
      <c r="M520" s="70"/>
    </row>
    <row r="521" spans="1:25" ht="16.5" customHeight="1" x14ac:dyDescent="0.25">
      <c r="A521" s="71" t="s">
        <v>26</v>
      </c>
      <c r="B521" s="72"/>
      <c r="C521" s="73"/>
      <c r="D521" s="77" t="s">
        <v>78</v>
      </c>
      <c r="E521" s="78"/>
      <c r="F521" s="78"/>
      <c r="G521" s="79"/>
      <c r="H521" s="83" t="s">
        <v>27</v>
      </c>
      <c r="I521" s="83"/>
      <c r="J521" s="83"/>
      <c r="K521" s="84" t="s">
        <v>81</v>
      </c>
      <c r="L521" s="84"/>
      <c r="M521" s="85"/>
    </row>
    <row r="522" spans="1:25" ht="21" customHeight="1" x14ac:dyDescent="0.25">
      <c r="A522" s="74"/>
      <c r="B522" s="75"/>
      <c r="C522" s="76"/>
      <c r="D522" s="80"/>
      <c r="E522" s="81"/>
      <c r="F522" s="81"/>
      <c r="G522" s="82"/>
      <c r="H522" s="56"/>
      <c r="I522" s="56"/>
      <c r="J522" s="56"/>
      <c r="K522" s="86"/>
      <c r="L522" s="86"/>
      <c r="M522" s="87"/>
    </row>
    <row r="523" spans="1:25" x14ac:dyDescent="0.25">
      <c r="A523" s="6" t="s">
        <v>28</v>
      </c>
      <c r="B523" s="56" t="s">
        <v>82</v>
      </c>
      <c r="C523" s="56"/>
      <c r="D523" s="56" t="s">
        <v>29</v>
      </c>
      <c r="E523" s="56"/>
      <c r="F523" s="56"/>
      <c r="G523" s="7">
        <f>G476+1</f>
        <v>12</v>
      </c>
      <c r="H523" s="4" t="s">
        <v>30</v>
      </c>
      <c r="I523" s="88">
        <f>I476-1</f>
        <v>48</v>
      </c>
      <c r="J523" s="88"/>
      <c r="K523" s="56" t="s">
        <v>74</v>
      </c>
      <c r="L523" s="56"/>
      <c r="M523" s="8">
        <v>0</v>
      </c>
    </row>
    <row r="524" spans="1:25" x14ac:dyDescent="0.25">
      <c r="A524" s="55" t="s">
        <v>31</v>
      </c>
      <c r="B524" s="56"/>
      <c r="C524" s="56"/>
      <c r="D524" s="56" t="s">
        <v>83</v>
      </c>
      <c r="E524" s="56"/>
      <c r="F524" s="56"/>
      <c r="G524" s="56"/>
      <c r="H524" s="56" t="s">
        <v>32</v>
      </c>
      <c r="I524" s="56"/>
      <c r="J524" s="56"/>
      <c r="K524" s="64" t="s">
        <v>84</v>
      </c>
      <c r="L524" s="56"/>
      <c r="M524" s="57"/>
    </row>
    <row r="525" spans="1:25" x14ac:dyDescent="0.25">
      <c r="A525" s="55" t="s">
        <v>33</v>
      </c>
      <c r="B525" s="56"/>
      <c r="C525" s="56"/>
      <c r="D525" s="65">
        <v>2.4E-2</v>
      </c>
      <c r="E525" s="65"/>
      <c r="F525" s="65"/>
      <c r="G525" s="65"/>
      <c r="H525" s="56" t="s">
        <v>18</v>
      </c>
      <c r="I525" s="56"/>
      <c r="J525" s="56"/>
      <c r="K525" s="66">
        <f>施工項目!AQ332</f>
        <v>3.3839215686274508E-2</v>
      </c>
      <c r="L525" s="66"/>
      <c r="M525" s="67"/>
    </row>
    <row r="526" spans="1:25" x14ac:dyDescent="0.25">
      <c r="A526" s="52" t="s">
        <v>34</v>
      </c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4"/>
    </row>
    <row r="527" spans="1:25" s="2" customFormat="1" x14ac:dyDescent="0.25">
      <c r="A527" s="60" t="s">
        <v>35</v>
      </c>
      <c r="B527" s="61"/>
      <c r="C527" s="61"/>
      <c r="D527" s="62"/>
      <c r="E527" s="11" t="s">
        <v>36</v>
      </c>
      <c r="F527" s="60" t="s">
        <v>37</v>
      </c>
      <c r="G527" s="62"/>
      <c r="H527" s="60" t="s">
        <v>38</v>
      </c>
      <c r="I527" s="62"/>
      <c r="J527" s="63" t="s">
        <v>39</v>
      </c>
      <c r="K527" s="63"/>
      <c r="L527" s="56" t="s">
        <v>40</v>
      </c>
      <c r="M527" s="57"/>
    </row>
    <row r="528" spans="1:25" x14ac:dyDescent="0.25">
      <c r="A528" s="52" t="s">
        <v>88</v>
      </c>
      <c r="B528" s="53"/>
      <c r="C528" s="53"/>
      <c r="D528" s="53"/>
      <c r="E528" s="4"/>
      <c r="F528" s="41"/>
      <c r="G528" s="41"/>
      <c r="H528" s="41"/>
      <c r="I528" s="41"/>
      <c r="J528" s="41"/>
      <c r="K528" s="41"/>
      <c r="L528" s="53"/>
      <c r="M528" s="54"/>
    </row>
    <row r="529" spans="1:13" x14ac:dyDescent="0.25">
      <c r="A529" s="52"/>
      <c r="B529" s="53"/>
      <c r="C529" s="53"/>
      <c r="D529" s="53"/>
      <c r="E529" s="4"/>
      <c r="F529" s="41"/>
      <c r="G529" s="41"/>
      <c r="H529" s="41"/>
      <c r="I529" s="41"/>
      <c r="J529" s="41"/>
      <c r="K529" s="41"/>
      <c r="L529" s="53"/>
      <c r="M529" s="54"/>
    </row>
    <row r="530" spans="1:13" x14ac:dyDescent="0.25">
      <c r="A530" s="52"/>
      <c r="B530" s="53"/>
      <c r="C530" s="53"/>
      <c r="D530" s="53"/>
      <c r="E530" s="4"/>
      <c r="F530" s="41"/>
      <c r="G530" s="41"/>
      <c r="H530" s="41"/>
      <c r="I530" s="41"/>
      <c r="J530" s="41"/>
      <c r="K530" s="41"/>
      <c r="L530" s="53"/>
      <c r="M530" s="54"/>
    </row>
    <row r="531" spans="1:13" x14ac:dyDescent="0.25">
      <c r="A531" s="52"/>
      <c r="B531" s="53"/>
      <c r="C531" s="53"/>
      <c r="D531" s="53"/>
      <c r="E531" s="4"/>
      <c r="F531" s="41"/>
      <c r="G531" s="41"/>
      <c r="H531" s="41"/>
      <c r="I531" s="41"/>
      <c r="J531" s="41"/>
      <c r="K531" s="41"/>
      <c r="L531" s="53"/>
      <c r="M531" s="54"/>
    </row>
    <row r="532" spans="1:13" x14ac:dyDescent="0.25">
      <c r="A532" s="52"/>
      <c r="B532" s="53"/>
      <c r="C532" s="53"/>
      <c r="D532" s="53"/>
      <c r="E532" s="4"/>
      <c r="F532" s="56"/>
      <c r="G532" s="56"/>
      <c r="H532" s="41"/>
      <c r="I532" s="41"/>
      <c r="J532" s="41"/>
      <c r="K532" s="41"/>
      <c r="L532" s="53"/>
      <c r="M532" s="54"/>
    </row>
    <row r="533" spans="1:13" x14ac:dyDescent="0.25">
      <c r="A533" s="52"/>
      <c r="B533" s="53"/>
      <c r="C533" s="53"/>
      <c r="D533" s="53"/>
      <c r="E533" s="4"/>
      <c r="F533" s="41"/>
      <c r="G533" s="41"/>
      <c r="H533" s="41"/>
      <c r="I533" s="41"/>
      <c r="J533" s="58"/>
      <c r="K533" s="59"/>
      <c r="L533" s="53"/>
      <c r="M533" s="54"/>
    </row>
    <row r="534" spans="1:13" x14ac:dyDescent="0.25">
      <c r="A534" s="52"/>
      <c r="B534" s="53"/>
      <c r="C534" s="53"/>
      <c r="D534" s="53"/>
      <c r="E534" s="4"/>
      <c r="F534" s="41"/>
      <c r="G534" s="41"/>
      <c r="H534" s="41"/>
      <c r="I534" s="41"/>
      <c r="J534" s="41"/>
      <c r="K534" s="41"/>
      <c r="L534" s="53"/>
      <c r="M534" s="54"/>
    </row>
    <row r="535" spans="1:13" x14ac:dyDescent="0.25">
      <c r="A535" s="52"/>
      <c r="B535" s="53"/>
      <c r="C535" s="53"/>
      <c r="D535" s="53"/>
      <c r="E535" s="9"/>
      <c r="F535" s="41"/>
      <c r="G535" s="41"/>
      <c r="H535" s="41"/>
      <c r="I535" s="41"/>
      <c r="J535" s="41"/>
      <c r="K535" s="41"/>
      <c r="L535" s="53"/>
      <c r="M535" s="54"/>
    </row>
    <row r="536" spans="1:13" x14ac:dyDescent="0.25">
      <c r="A536" s="52"/>
      <c r="B536" s="53"/>
      <c r="C536" s="53"/>
      <c r="D536" s="53"/>
      <c r="E536" s="9"/>
      <c r="F536" s="41"/>
      <c r="G536" s="41"/>
      <c r="H536" s="41"/>
      <c r="I536" s="41"/>
      <c r="J536" s="41"/>
      <c r="K536" s="41"/>
      <c r="L536" s="53"/>
      <c r="M536" s="54"/>
    </row>
    <row r="537" spans="1:13" x14ac:dyDescent="0.25">
      <c r="A537" s="52" t="s">
        <v>41</v>
      </c>
      <c r="B537" s="53"/>
      <c r="C537" s="53"/>
      <c r="D537" s="53"/>
      <c r="E537" s="9"/>
      <c r="F537" s="53"/>
      <c r="G537" s="53"/>
      <c r="H537" s="53"/>
      <c r="I537" s="53"/>
      <c r="J537" s="53"/>
      <c r="K537" s="53"/>
      <c r="L537" s="53"/>
      <c r="M537" s="54"/>
    </row>
    <row r="538" spans="1:13" x14ac:dyDescent="0.25">
      <c r="A538" s="52" t="s">
        <v>16</v>
      </c>
      <c r="B538" s="53"/>
      <c r="C538" s="53"/>
      <c r="D538" s="53"/>
      <c r="E538" s="9"/>
      <c r="F538" s="53"/>
      <c r="G538" s="53"/>
      <c r="H538" s="53"/>
      <c r="I538" s="53"/>
      <c r="J538" s="53"/>
      <c r="K538" s="53"/>
      <c r="L538" s="53"/>
      <c r="M538" s="54"/>
    </row>
    <row r="539" spans="1:13" x14ac:dyDescent="0.25">
      <c r="A539" s="52" t="s">
        <v>17</v>
      </c>
      <c r="B539" s="53"/>
      <c r="C539" s="53"/>
      <c r="D539" s="53"/>
      <c r="E539" s="9"/>
      <c r="F539" s="53"/>
      <c r="G539" s="53"/>
      <c r="H539" s="53"/>
      <c r="I539" s="53"/>
      <c r="J539" s="53"/>
      <c r="K539" s="53"/>
      <c r="L539" s="53"/>
      <c r="M539" s="54"/>
    </row>
    <row r="540" spans="1:13" x14ac:dyDescent="0.25">
      <c r="A540" s="52" t="s">
        <v>42</v>
      </c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4"/>
    </row>
    <row r="541" spans="1:13" x14ac:dyDescent="0.25">
      <c r="A541" s="55" t="s">
        <v>43</v>
      </c>
      <c r="B541" s="56"/>
      <c r="C541" s="56"/>
      <c r="D541" s="56"/>
      <c r="E541" s="4" t="s">
        <v>36</v>
      </c>
      <c r="F541" s="56" t="s">
        <v>44</v>
      </c>
      <c r="G541" s="56"/>
      <c r="H541" s="56" t="s">
        <v>45</v>
      </c>
      <c r="I541" s="56"/>
      <c r="J541" s="56" t="s">
        <v>46</v>
      </c>
      <c r="K541" s="56"/>
      <c r="L541" s="56" t="s">
        <v>40</v>
      </c>
      <c r="M541" s="57"/>
    </row>
    <row r="542" spans="1:13" x14ac:dyDescent="0.25">
      <c r="A542" s="52"/>
      <c r="B542" s="53"/>
      <c r="C542" s="53"/>
      <c r="D542" s="53"/>
      <c r="E542" s="9"/>
      <c r="F542" s="53"/>
      <c r="G542" s="53"/>
      <c r="H542" s="53"/>
      <c r="I542" s="53"/>
      <c r="J542" s="53"/>
      <c r="K542" s="53"/>
      <c r="L542" s="53"/>
      <c r="M542" s="54"/>
    </row>
    <row r="543" spans="1:13" x14ac:dyDescent="0.25">
      <c r="A543" s="52"/>
      <c r="B543" s="53"/>
      <c r="C543" s="53"/>
      <c r="D543" s="53"/>
      <c r="E543" s="9"/>
      <c r="F543" s="53"/>
      <c r="G543" s="53"/>
      <c r="H543" s="53"/>
      <c r="I543" s="53"/>
      <c r="J543" s="53"/>
      <c r="K543" s="53"/>
      <c r="L543" s="53"/>
      <c r="M543" s="54"/>
    </row>
    <row r="544" spans="1:13" x14ac:dyDescent="0.25">
      <c r="A544" s="52" t="s">
        <v>47</v>
      </c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4"/>
    </row>
    <row r="545" spans="1:25" x14ac:dyDescent="0.25">
      <c r="A545" s="55" t="s">
        <v>48</v>
      </c>
      <c r="B545" s="56"/>
      <c r="C545" s="56" t="s">
        <v>49</v>
      </c>
      <c r="D545" s="56"/>
      <c r="E545" s="56" t="s">
        <v>50</v>
      </c>
      <c r="F545" s="56"/>
      <c r="G545" s="56"/>
      <c r="H545" s="56" t="s">
        <v>51</v>
      </c>
      <c r="I545" s="56"/>
      <c r="J545" s="56" t="s">
        <v>45</v>
      </c>
      <c r="K545" s="56"/>
      <c r="L545" s="56" t="s">
        <v>46</v>
      </c>
      <c r="M545" s="57"/>
    </row>
    <row r="546" spans="1:25" x14ac:dyDescent="0.25">
      <c r="A546" s="40" t="s">
        <v>52</v>
      </c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2"/>
    </row>
    <row r="547" spans="1:25" ht="17.25" thickBot="1" x14ac:dyDescent="0.3">
      <c r="A547" s="40" t="s">
        <v>53</v>
      </c>
      <c r="B547" s="41"/>
      <c r="C547" s="41"/>
      <c r="D547" s="41"/>
      <c r="E547" s="41">
        <v>4</v>
      </c>
      <c r="F547" s="41"/>
      <c r="G547" s="41"/>
      <c r="H547" s="41"/>
      <c r="I547" s="41"/>
      <c r="J547" s="41"/>
      <c r="K547" s="41"/>
      <c r="L547" s="41"/>
      <c r="M547" s="42"/>
    </row>
    <row r="548" spans="1:25" ht="25.15" customHeight="1" thickBot="1" x14ac:dyDescent="0.3">
      <c r="A548" s="43" t="s">
        <v>59</v>
      </c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5"/>
    </row>
    <row r="549" spans="1:25" x14ac:dyDescent="0.25">
      <c r="A549" s="46" t="s">
        <v>60</v>
      </c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8"/>
    </row>
    <row r="550" spans="1:25" x14ac:dyDescent="0.25">
      <c r="A550" s="49" t="s">
        <v>61</v>
      </c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1"/>
    </row>
    <row r="551" spans="1:25" x14ac:dyDescent="0.25">
      <c r="A551" s="25" t="s">
        <v>62</v>
      </c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7"/>
    </row>
    <row r="552" spans="1:25" x14ac:dyDescent="0.25">
      <c r="A552" s="25" t="s">
        <v>63</v>
      </c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7"/>
    </row>
    <row r="553" spans="1:25" x14ac:dyDescent="0.25">
      <c r="A553" s="28" t="s">
        <v>64</v>
      </c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30"/>
    </row>
    <row r="554" spans="1:25" ht="17.25" thickBot="1" x14ac:dyDescent="0.3">
      <c r="A554" s="31" t="s">
        <v>65</v>
      </c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3"/>
    </row>
    <row r="555" spans="1:25" ht="17.25" thickBot="1" x14ac:dyDescent="0.3">
      <c r="A555" s="34" t="s">
        <v>54</v>
      </c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6"/>
    </row>
    <row r="556" spans="1:25" ht="17.25" thickBot="1" x14ac:dyDescent="0.3">
      <c r="A556" s="34" t="s">
        <v>55</v>
      </c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6"/>
    </row>
    <row r="557" spans="1:25" ht="17.25" thickBot="1" x14ac:dyDescent="0.3">
      <c r="A557" s="34" t="s">
        <v>76</v>
      </c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6"/>
    </row>
    <row r="558" spans="1:25" ht="17.25" thickBot="1" x14ac:dyDescent="0.3">
      <c r="A558" s="37" t="s">
        <v>66</v>
      </c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9"/>
    </row>
    <row r="559" spans="1:25" x14ac:dyDescent="0.25">
      <c r="A559" s="12" t="s">
        <v>68</v>
      </c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0"/>
      <c r="T559" s="10"/>
      <c r="U559" s="10"/>
      <c r="V559" s="10"/>
      <c r="W559" s="10"/>
      <c r="X559" s="10"/>
      <c r="Y559" s="10"/>
    </row>
    <row r="560" spans="1:25" x14ac:dyDescent="0.25">
      <c r="A560" s="14" t="s">
        <v>69</v>
      </c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0"/>
      <c r="T560" s="10"/>
      <c r="U560" s="10"/>
      <c r="V560" s="10"/>
      <c r="W560" s="10"/>
      <c r="X560" s="10"/>
      <c r="Y560" s="10"/>
    </row>
    <row r="561" spans="1:25" s="10" customFormat="1" ht="8.25" x14ac:dyDescent="0.25">
      <c r="A561" s="14" t="s">
        <v>70</v>
      </c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</row>
    <row r="562" spans="1:25" x14ac:dyDescent="0.25">
      <c r="A562" s="14" t="s">
        <v>71</v>
      </c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0"/>
      <c r="T562" s="10"/>
      <c r="U562" s="10"/>
      <c r="V562" s="10"/>
      <c r="W562" s="10"/>
      <c r="X562" s="10"/>
      <c r="Y562" s="10"/>
    </row>
    <row r="563" spans="1:25" x14ac:dyDescent="0.25">
      <c r="A563" s="14" t="s">
        <v>72</v>
      </c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0"/>
      <c r="T563" s="10"/>
      <c r="U563" s="10"/>
      <c r="V563" s="10"/>
      <c r="W563" s="10"/>
      <c r="X563" s="10"/>
      <c r="Y563" s="10"/>
    </row>
    <row r="564" spans="1:25" x14ac:dyDescent="0.25">
      <c r="A564" s="14" t="s">
        <v>73</v>
      </c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0"/>
      <c r="T564" s="10"/>
      <c r="U564" s="10"/>
      <c r="V564" s="10"/>
      <c r="W564" s="10"/>
      <c r="X564" s="10"/>
      <c r="Y564" s="10"/>
    </row>
    <row r="565" spans="1:25" ht="28.15" customHeight="1" x14ac:dyDescent="0.25">
      <c r="A565" s="89" t="s">
        <v>19</v>
      </c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</row>
    <row r="566" spans="1:25" x14ac:dyDescent="0.25">
      <c r="A566" s="2" t="s">
        <v>20</v>
      </c>
      <c r="B566" s="2">
        <f>B519+1</f>
        <v>13</v>
      </c>
    </row>
    <row r="567" spans="1:25" ht="17.25" thickBot="1" x14ac:dyDescent="0.3">
      <c r="A567" s="2" t="s">
        <v>21</v>
      </c>
      <c r="B567" s="2" t="s">
        <v>22</v>
      </c>
      <c r="C567" s="2" t="s">
        <v>23</v>
      </c>
      <c r="D567" s="2" t="s">
        <v>24</v>
      </c>
      <c r="F567" s="68" t="s">
        <v>25</v>
      </c>
      <c r="G567" s="68"/>
      <c r="H567" s="69">
        <f>H520+1</f>
        <v>45922</v>
      </c>
      <c r="I567" s="69"/>
      <c r="J567" s="69"/>
      <c r="K567" s="70">
        <f>H567</f>
        <v>45922</v>
      </c>
      <c r="L567" s="70"/>
      <c r="M567" s="70"/>
    </row>
    <row r="568" spans="1:25" ht="16.5" customHeight="1" x14ac:dyDescent="0.25">
      <c r="A568" s="71" t="s">
        <v>26</v>
      </c>
      <c r="B568" s="72"/>
      <c r="C568" s="73"/>
      <c r="D568" s="77" t="s">
        <v>78</v>
      </c>
      <c r="E568" s="78"/>
      <c r="F568" s="78"/>
      <c r="G568" s="79"/>
      <c r="H568" s="83" t="s">
        <v>27</v>
      </c>
      <c r="I568" s="83"/>
      <c r="J568" s="83"/>
      <c r="K568" s="84" t="s">
        <v>81</v>
      </c>
      <c r="L568" s="84"/>
      <c r="M568" s="85"/>
    </row>
    <row r="569" spans="1:25" ht="21" customHeight="1" x14ac:dyDescent="0.25">
      <c r="A569" s="74"/>
      <c r="B569" s="75"/>
      <c r="C569" s="76"/>
      <c r="D569" s="80"/>
      <c r="E569" s="81"/>
      <c r="F569" s="81"/>
      <c r="G569" s="82"/>
      <c r="H569" s="56"/>
      <c r="I569" s="56"/>
      <c r="J569" s="56"/>
      <c r="K569" s="86"/>
      <c r="L569" s="86"/>
      <c r="M569" s="87"/>
    </row>
    <row r="570" spans="1:25" x14ac:dyDescent="0.25">
      <c r="A570" s="6" t="s">
        <v>28</v>
      </c>
      <c r="B570" s="56" t="s">
        <v>82</v>
      </c>
      <c r="C570" s="56"/>
      <c r="D570" s="56" t="s">
        <v>29</v>
      </c>
      <c r="E570" s="56"/>
      <c r="F570" s="56"/>
      <c r="G570" s="7">
        <f>G523+1</f>
        <v>13</v>
      </c>
      <c r="H570" s="4" t="s">
        <v>30</v>
      </c>
      <c r="I570" s="88">
        <f>I523-1</f>
        <v>47</v>
      </c>
      <c r="J570" s="88"/>
      <c r="K570" s="56" t="s">
        <v>74</v>
      </c>
      <c r="L570" s="56"/>
      <c r="M570" s="8">
        <v>0</v>
      </c>
    </row>
    <row r="571" spans="1:25" x14ac:dyDescent="0.25">
      <c r="A571" s="55" t="s">
        <v>31</v>
      </c>
      <c r="B571" s="56"/>
      <c r="C571" s="56"/>
      <c r="D571" s="56" t="s">
        <v>83</v>
      </c>
      <c r="E571" s="56"/>
      <c r="F571" s="56"/>
      <c r="G571" s="56"/>
      <c r="H571" s="56" t="s">
        <v>32</v>
      </c>
      <c r="I571" s="56"/>
      <c r="J571" s="56"/>
      <c r="K571" s="64" t="s">
        <v>84</v>
      </c>
      <c r="L571" s="56"/>
      <c r="M571" s="57"/>
    </row>
    <row r="572" spans="1:25" x14ac:dyDescent="0.25">
      <c r="A572" s="55" t="s">
        <v>33</v>
      </c>
      <c r="B572" s="56"/>
      <c r="C572" s="56"/>
      <c r="D572" s="65">
        <v>2.8000000000000001E-2</v>
      </c>
      <c r="E572" s="65"/>
      <c r="F572" s="65"/>
      <c r="G572" s="65"/>
      <c r="H572" s="56" t="s">
        <v>18</v>
      </c>
      <c r="I572" s="56"/>
      <c r="J572" s="56"/>
      <c r="K572" s="66">
        <f>施工項目!AQ360</f>
        <v>3.6115686274509805E-2</v>
      </c>
      <c r="L572" s="66"/>
      <c r="M572" s="67"/>
    </row>
    <row r="573" spans="1:25" x14ac:dyDescent="0.25">
      <c r="A573" s="52" t="s">
        <v>34</v>
      </c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4"/>
    </row>
    <row r="574" spans="1:25" s="2" customFormat="1" x14ac:dyDescent="0.25">
      <c r="A574" s="60" t="s">
        <v>35</v>
      </c>
      <c r="B574" s="61"/>
      <c r="C574" s="61"/>
      <c r="D574" s="62"/>
      <c r="E574" s="11" t="s">
        <v>36</v>
      </c>
      <c r="F574" s="60" t="s">
        <v>37</v>
      </c>
      <c r="G574" s="62"/>
      <c r="H574" s="60" t="s">
        <v>38</v>
      </c>
      <c r="I574" s="62"/>
      <c r="J574" s="63" t="s">
        <v>39</v>
      </c>
      <c r="K574" s="63"/>
      <c r="L574" s="56" t="s">
        <v>40</v>
      </c>
      <c r="M574" s="57"/>
    </row>
    <row r="575" spans="1:25" x14ac:dyDescent="0.25">
      <c r="A575" s="52" t="s">
        <v>88</v>
      </c>
      <c r="B575" s="53"/>
      <c r="C575" s="53"/>
      <c r="D575" s="53"/>
      <c r="E575" s="4"/>
      <c r="F575" s="41"/>
      <c r="G575" s="41"/>
      <c r="H575" s="41"/>
      <c r="I575" s="41"/>
      <c r="J575" s="41"/>
      <c r="K575" s="41"/>
      <c r="L575" s="53"/>
      <c r="M575" s="54"/>
    </row>
    <row r="576" spans="1:25" x14ac:dyDescent="0.25">
      <c r="A576" s="52"/>
      <c r="B576" s="53"/>
      <c r="C576" s="53"/>
      <c r="D576" s="53"/>
      <c r="E576" s="4"/>
      <c r="F576" s="41"/>
      <c r="G576" s="41"/>
      <c r="H576" s="41"/>
      <c r="I576" s="41"/>
      <c r="J576" s="41"/>
      <c r="K576" s="41"/>
      <c r="L576" s="53"/>
      <c r="M576" s="54"/>
    </row>
    <row r="577" spans="1:13" x14ac:dyDescent="0.25">
      <c r="A577" s="52"/>
      <c r="B577" s="53"/>
      <c r="C577" s="53"/>
      <c r="D577" s="53"/>
      <c r="E577" s="4"/>
      <c r="F577" s="41"/>
      <c r="G577" s="41"/>
      <c r="H577" s="41"/>
      <c r="I577" s="41"/>
      <c r="J577" s="41"/>
      <c r="K577" s="41"/>
      <c r="L577" s="53"/>
      <c r="M577" s="54"/>
    </row>
    <row r="578" spans="1:13" x14ac:dyDescent="0.25">
      <c r="A578" s="52"/>
      <c r="B578" s="53"/>
      <c r="C578" s="53"/>
      <c r="D578" s="53"/>
      <c r="E578" s="4"/>
      <c r="F578" s="41"/>
      <c r="G578" s="41"/>
      <c r="H578" s="41"/>
      <c r="I578" s="41"/>
      <c r="J578" s="41"/>
      <c r="K578" s="41"/>
      <c r="L578" s="53"/>
      <c r="M578" s="54"/>
    </row>
    <row r="579" spans="1:13" x14ac:dyDescent="0.25">
      <c r="A579" s="52"/>
      <c r="B579" s="53"/>
      <c r="C579" s="53"/>
      <c r="D579" s="53"/>
      <c r="E579" s="4"/>
      <c r="F579" s="56"/>
      <c r="G579" s="56"/>
      <c r="H579" s="41"/>
      <c r="I579" s="41"/>
      <c r="J579" s="41"/>
      <c r="K579" s="41"/>
      <c r="L579" s="53"/>
      <c r="M579" s="54"/>
    </row>
    <row r="580" spans="1:13" x14ac:dyDescent="0.25">
      <c r="A580" s="52"/>
      <c r="B580" s="53"/>
      <c r="C580" s="53"/>
      <c r="D580" s="53"/>
      <c r="E580" s="4"/>
      <c r="F580" s="41"/>
      <c r="G580" s="41"/>
      <c r="H580" s="41"/>
      <c r="I580" s="41"/>
      <c r="J580" s="58"/>
      <c r="K580" s="59"/>
      <c r="L580" s="53"/>
      <c r="M580" s="54"/>
    </row>
    <row r="581" spans="1:13" x14ac:dyDescent="0.25">
      <c r="A581" s="52"/>
      <c r="B581" s="53"/>
      <c r="C581" s="53"/>
      <c r="D581" s="53"/>
      <c r="E581" s="4"/>
      <c r="F581" s="41"/>
      <c r="G581" s="41"/>
      <c r="H581" s="41"/>
      <c r="I581" s="41"/>
      <c r="J581" s="41"/>
      <c r="K581" s="41"/>
      <c r="L581" s="53"/>
      <c r="M581" s="54"/>
    </row>
    <row r="582" spans="1:13" x14ac:dyDescent="0.25">
      <c r="A582" s="52"/>
      <c r="B582" s="53"/>
      <c r="C582" s="53"/>
      <c r="D582" s="53"/>
      <c r="E582" s="9"/>
      <c r="F582" s="41"/>
      <c r="G582" s="41"/>
      <c r="H582" s="41"/>
      <c r="I582" s="41"/>
      <c r="J582" s="41"/>
      <c r="K582" s="41"/>
      <c r="L582" s="53"/>
      <c r="M582" s="54"/>
    </row>
    <row r="583" spans="1:13" x14ac:dyDescent="0.25">
      <c r="A583" s="52"/>
      <c r="B583" s="53"/>
      <c r="C583" s="53"/>
      <c r="D583" s="53"/>
      <c r="E583" s="9"/>
      <c r="F583" s="41"/>
      <c r="G583" s="41"/>
      <c r="H583" s="41"/>
      <c r="I583" s="41"/>
      <c r="J583" s="41"/>
      <c r="K583" s="41"/>
      <c r="L583" s="53"/>
      <c r="M583" s="54"/>
    </row>
    <row r="584" spans="1:13" x14ac:dyDescent="0.25">
      <c r="A584" s="52" t="s">
        <v>41</v>
      </c>
      <c r="B584" s="53"/>
      <c r="C584" s="53"/>
      <c r="D584" s="53"/>
      <c r="E584" s="9"/>
      <c r="F584" s="53"/>
      <c r="G584" s="53"/>
      <c r="H584" s="53"/>
      <c r="I584" s="53"/>
      <c r="J584" s="53"/>
      <c r="K584" s="53"/>
      <c r="L584" s="53"/>
      <c r="M584" s="54"/>
    </row>
    <row r="585" spans="1:13" x14ac:dyDescent="0.25">
      <c r="A585" s="52" t="s">
        <v>16</v>
      </c>
      <c r="B585" s="53"/>
      <c r="C585" s="53"/>
      <c r="D585" s="53"/>
      <c r="E585" s="9"/>
      <c r="F585" s="53"/>
      <c r="G585" s="53"/>
      <c r="H585" s="53"/>
      <c r="I585" s="53"/>
      <c r="J585" s="53"/>
      <c r="K585" s="53"/>
      <c r="L585" s="53"/>
      <c r="M585" s="54"/>
    </row>
    <row r="586" spans="1:13" x14ac:dyDescent="0.25">
      <c r="A586" s="52" t="s">
        <v>17</v>
      </c>
      <c r="B586" s="53"/>
      <c r="C586" s="53"/>
      <c r="D586" s="53"/>
      <c r="E586" s="9"/>
      <c r="F586" s="53"/>
      <c r="G586" s="53"/>
      <c r="H586" s="53"/>
      <c r="I586" s="53"/>
      <c r="J586" s="53"/>
      <c r="K586" s="53"/>
      <c r="L586" s="53"/>
      <c r="M586" s="54"/>
    </row>
    <row r="587" spans="1:13" x14ac:dyDescent="0.25">
      <c r="A587" s="52" t="s">
        <v>42</v>
      </c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4"/>
    </row>
    <row r="588" spans="1:13" x14ac:dyDescent="0.25">
      <c r="A588" s="55" t="s">
        <v>43</v>
      </c>
      <c r="B588" s="56"/>
      <c r="C588" s="56"/>
      <c r="D588" s="56"/>
      <c r="E588" s="4" t="s">
        <v>36</v>
      </c>
      <c r="F588" s="56" t="s">
        <v>44</v>
      </c>
      <c r="G588" s="56"/>
      <c r="H588" s="56" t="s">
        <v>45</v>
      </c>
      <c r="I588" s="56"/>
      <c r="J588" s="56" t="s">
        <v>46</v>
      </c>
      <c r="K588" s="56"/>
      <c r="L588" s="56" t="s">
        <v>40</v>
      </c>
      <c r="M588" s="57"/>
    </row>
    <row r="589" spans="1:13" x14ac:dyDescent="0.25">
      <c r="A589" s="52"/>
      <c r="B589" s="53"/>
      <c r="C589" s="53"/>
      <c r="D589" s="53"/>
      <c r="E589" s="9"/>
      <c r="F589" s="53"/>
      <c r="G589" s="53"/>
      <c r="H589" s="53"/>
      <c r="I589" s="53"/>
      <c r="J589" s="53"/>
      <c r="K589" s="53"/>
      <c r="L589" s="53"/>
      <c r="M589" s="54"/>
    </row>
    <row r="590" spans="1:13" x14ac:dyDescent="0.25">
      <c r="A590" s="52"/>
      <c r="B590" s="53"/>
      <c r="C590" s="53"/>
      <c r="D590" s="53"/>
      <c r="E590" s="9"/>
      <c r="F590" s="53"/>
      <c r="G590" s="53"/>
      <c r="H590" s="53"/>
      <c r="I590" s="53"/>
      <c r="J590" s="53"/>
      <c r="K590" s="53"/>
      <c r="L590" s="53"/>
      <c r="M590" s="54"/>
    </row>
    <row r="591" spans="1:13" x14ac:dyDescent="0.25">
      <c r="A591" s="52" t="s">
        <v>47</v>
      </c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4"/>
    </row>
    <row r="592" spans="1:13" x14ac:dyDescent="0.25">
      <c r="A592" s="55" t="s">
        <v>48</v>
      </c>
      <c r="B592" s="56"/>
      <c r="C592" s="56" t="s">
        <v>49</v>
      </c>
      <c r="D592" s="56"/>
      <c r="E592" s="56" t="s">
        <v>50</v>
      </c>
      <c r="F592" s="56"/>
      <c r="G592" s="56"/>
      <c r="H592" s="56" t="s">
        <v>51</v>
      </c>
      <c r="I592" s="56"/>
      <c r="J592" s="56" t="s">
        <v>45</v>
      </c>
      <c r="K592" s="56"/>
      <c r="L592" s="56" t="s">
        <v>46</v>
      </c>
      <c r="M592" s="57"/>
    </row>
    <row r="593" spans="1:25" x14ac:dyDescent="0.25">
      <c r="A593" s="40" t="s">
        <v>52</v>
      </c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2"/>
    </row>
    <row r="594" spans="1:25" ht="17.25" thickBot="1" x14ac:dyDescent="0.3">
      <c r="A594" s="40" t="s">
        <v>53</v>
      </c>
      <c r="B594" s="41"/>
      <c r="C594" s="41"/>
      <c r="D594" s="41"/>
      <c r="E594" s="41">
        <v>4</v>
      </c>
      <c r="F594" s="41"/>
      <c r="G594" s="41"/>
      <c r="H594" s="41"/>
      <c r="I594" s="41"/>
      <c r="J594" s="41"/>
      <c r="K594" s="41"/>
      <c r="L594" s="41"/>
      <c r="M594" s="42"/>
    </row>
    <row r="595" spans="1:25" ht="25.15" customHeight="1" thickBot="1" x14ac:dyDescent="0.3">
      <c r="A595" s="43" t="s">
        <v>59</v>
      </c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5"/>
    </row>
    <row r="596" spans="1:25" x14ac:dyDescent="0.25">
      <c r="A596" s="46" t="s">
        <v>60</v>
      </c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8"/>
    </row>
    <row r="597" spans="1:25" x14ac:dyDescent="0.25">
      <c r="A597" s="49" t="s">
        <v>61</v>
      </c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1"/>
    </row>
    <row r="598" spans="1:25" x14ac:dyDescent="0.25">
      <c r="A598" s="25" t="s">
        <v>62</v>
      </c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7"/>
    </row>
    <row r="599" spans="1:25" x14ac:dyDescent="0.25">
      <c r="A599" s="25" t="s">
        <v>63</v>
      </c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7"/>
    </row>
    <row r="600" spans="1:25" x14ac:dyDescent="0.25">
      <c r="A600" s="28" t="s">
        <v>64</v>
      </c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30"/>
    </row>
    <row r="601" spans="1:25" ht="17.25" thickBot="1" x14ac:dyDescent="0.3">
      <c r="A601" s="31" t="s">
        <v>65</v>
      </c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3"/>
    </row>
    <row r="602" spans="1:25" ht="17.25" thickBot="1" x14ac:dyDescent="0.3">
      <c r="A602" s="34" t="s">
        <v>54</v>
      </c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6"/>
    </row>
    <row r="603" spans="1:25" ht="17.25" thickBot="1" x14ac:dyDescent="0.3">
      <c r="A603" s="34" t="s">
        <v>55</v>
      </c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6"/>
    </row>
    <row r="604" spans="1:25" ht="17.25" thickBot="1" x14ac:dyDescent="0.3">
      <c r="A604" s="34" t="s">
        <v>76</v>
      </c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6"/>
    </row>
    <row r="605" spans="1:25" ht="17.25" thickBot="1" x14ac:dyDescent="0.3">
      <c r="A605" s="37" t="s">
        <v>66</v>
      </c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9"/>
    </row>
    <row r="606" spans="1:25" x14ac:dyDescent="0.25">
      <c r="A606" s="12" t="s">
        <v>68</v>
      </c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0"/>
      <c r="T606" s="10"/>
      <c r="U606" s="10"/>
      <c r="V606" s="10"/>
      <c r="W606" s="10"/>
      <c r="X606" s="10"/>
      <c r="Y606" s="10"/>
    </row>
    <row r="607" spans="1:25" x14ac:dyDescent="0.25">
      <c r="A607" s="14" t="s">
        <v>69</v>
      </c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0"/>
      <c r="T607" s="10"/>
      <c r="U607" s="10"/>
      <c r="V607" s="10"/>
      <c r="W607" s="10"/>
      <c r="X607" s="10"/>
      <c r="Y607" s="10"/>
    </row>
    <row r="608" spans="1:25" s="10" customFormat="1" ht="8.25" x14ac:dyDescent="0.25">
      <c r="A608" s="14" t="s">
        <v>70</v>
      </c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</row>
    <row r="609" spans="1:25" x14ac:dyDescent="0.25">
      <c r="A609" s="14" t="s">
        <v>71</v>
      </c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0"/>
      <c r="T609" s="10"/>
      <c r="U609" s="10"/>
      <c r="V609" s="10"/>
      <c r="W609" s="10"/>
      <c r="X609" s="10"/>
      <c r="Y609" s="10"/>
    </row>
    <row r="610" spans="1:25" x14ac:dyDescent="0.25">
      <c r="A610" s="14" t="s">
        <v>72</v>
      </c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0"/>
      <c r="T610" s="10"/>
      <c r="U610" s="10"/>
      <c r="V610" s="10"/>
      <c r="W610" s="10"/>
      <c r="X610" s="10"/>
      <c r="Y610" s="10"/>
    </row>
    <row r="611" spans="1:25" x14ac:dyDescent="0.25">
      <c r="A611" s="14" t="s">
        <v>73</v>
      </c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0"/>
      <c r="T611" s="10"/>
      <c r="U611" s="10"/>
      <c r="V611" s="10"/>
      <c r="W611" s="10"/>
      <c r="X611" s="10"/>
      <c r="Y611" s="10"/>
    </row>
    <row r="612" spans="1:25" ht="28.15" customHeight="1" x14ac:dyDescent="0.25">
      <c r="A612" s="89" t="s">
        <v>19</v>
      </c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</row>
    <row r="613" spans="1:25" x14ac:dyDescent="0.25">
      <c r="A613" s="2" t="s">
        <v>20</v>
      </c>
      <c r="B613" s="2">
        <f>B566+1</f>
        <v>14</v>
      </c>
    </row>
    <row r="614" spans="1:25" ht="17.25" thickBot="1" x14ac:dyDescent="0.3">
      <c r="A614" s="2" t="s">
        <v>21</v>
      </c>
      <c r="B614" s="2" t="s">
        <v>22</v>
      </c>
      <c r="C614" s="2" t="s">
        <v>23</v>
      </c>
      <c r="D614" s="2" t="s">
        <v>24</v>
      </c>
      <c r="F614" s="68" t="s">
        <v>25</v>
      </c>
      <c r="G614" s="68"/>
      <c r="H614" s="69">
        <f>H567+1</f>
        <v>45923</v>
      </c>
      <c r="I614" s="69"/>
      <c r="J614" s="69"/>
      <c r="K614" s="70">
        <f>H614</f>
        <v>45923</v>
      </c>
      <c r="L614" s="70"/>
      <c r="M614" s="70"/>
    </row>
    <row r="615" spans="1:25" ht="16.5" customHeight="1" x14ac:dyDescent="0.25">
      <c r="A615" s="71" t="s">
        <v>26</v>
      </c>
      <c r="B615" s="72"/>
      <c r="C615" s="73"/>
      <c r="D615" s="77" t="s">
        <v>78</v>
      </c>
      <c r="E615" s="78"/>
      <c r="F615" s="78"/>
      <c r="G615" s="79"/>
      <c r="H615" s="83" t="s">
        <v>27</v>
      </c>
      <c r="I615" s="83"/>
      <c r="J615" s="83"/>
      <c r="K615" s="84" t="s">
        <v>81</v>
      </c>
      <c r="L615" s="84"/>
      <c r="M615" s="85"/>
    </row>
    <row r="616" spans="1:25" ht="21" customHeight="1" x14ac:dyDescent="0.25">
      <c r="A616" s="74"/>
      <c r="B616" s="75"/>
      <c r="C616" s="76"/>
      <c r="D616" s="80"/>
      <c r="E616" s="81"/>
      <c r="F616" s="81"/>
      <c r="G616" s="82"/>
      <c r="H616" s="56"/>
      <c r="I616" s="56"/>
      <c r="J616" s="56"/>
      <c r="K616" s="86"/>
      <c r="L616" s="86"/>
      <c r="M616" s="87"/>
    </row>
    <row r="617" spans="1:25" x14ac:dyDescent="0.25">
      <c r="A617" s="6" t="s">
        <v>28</v>
      </c>
      <c r="B617" s="56" t="s">
        <v>82</v>
      </c>
      <c r="C617" s="56"/>
      <c r="D617" s="56" t="s">
        <v>29</v>
      </c>
      <c r="E617" s="56"/>
      <c r="F617" s="56"/>
      <c r="G617" s="7">
        <f>G570+1</f>
        <v>14</v>
      </c>
      <c r="H617" s="4" t="s">
        <v>30</v>
      </c>
      <c r="I617" s="88">
        <f>I570-1</f>
        <v>46</v>
      </c>
      <c r="J617" s="88"/>
      <c r="K617" s="56" t="s">
        <v>74</v>
      </c>
      <c r="L617" s="56"/>
      <c r="M617" s="8">
        <v>0</v>
      </c>
    </row>
    <row r="618" spans="1:25" x14ac:dyDescent="0.25">
      <c r="A618" s="55" t="s">
        <v>31</v>
      </c>
      <c r="B618" s="56"/>
      <c r="C618" s="56"/>
      <c r="D618" s="56" t="s">
        <v>83</v>
      </c>
      <c r="E618" s="56"/>
      <c r="F618" s="56"/>
      <c r="G618" s="56"/>
      <c r="H618" s="56" t="s">
        <v>32</v>
      </c>
      <c r="I618" s="56"/>
      <c r="J618" s="56"/>
      <c r="K618" s="64" t="s">
        <v>84</v>
      </c>
      <c r="L618" s="56"/>
      <c r="M618" s="57"/>
    </row>
    <row r="619" spans="1:25" x14ac:dyDescent="0.25">
      <c r="A619" s="55" t="s">
        <v>33</v>
      </c>
      <c r="B619" s="56"/>
      <c r="C619" s="56"/>
      <c r="D619" s="65">
        <v>3.2000000000000001E-2</v>
      </c>
      <c r="E619" s="65"/>
      <c r="F619" s="65"/>
      <c r="G619" s="65"/>
      <c r="H619" s="56" t="s">
        <v>18</v>
      </c>
      <c r="I619" s="56"/>
      <c r="J619" s="56"/>
      <c r="K619" s="66">
        <f>施工項目!AQ388</f>
        <v>5.9105882352941175E-2</v>
      </c>
      <c r="L619" s="66"/>
      <c r="M619" s="67"/>
    </row>
    <row r="620" spans="1:25" x14ac:dyDescent="0.25">
      <c r="A620" s="52" t="s">
        <v>34</v>
      </c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4"/>
    </row>
    <row r="621" spans="1:25" s="2" customFormat="1" x14ac:dyDescent="0.25">
      <c r="A621" s="60" t="s">
        <v>35</v>
      </c>
      <c r="B621" s="61"/>
      <c r="C621" s="61"/>
      <c r="D621" s="62"/>
      <c r="E621" s="11" t="s">
        <v>36</v>
      </c>
      <c r="F621" s="60" t="s">
        <v>37</v>
      </c>
      <c r="G621" s="62"/>
      <c r="H621" s="60" t="s">
        <v>38</v>
      </c>
      <c r="I621" s="62"/>
      <c r="J621" s="63" t="s">
        <v>39</v>
      </c>
      <c r="K621" s="63"/>
      <c r="L621" s="56" t="s">
        <v>40</v>
      </c>
      <c r="M621" s="57"/>
    </row>
    <row r="622" spans="1:25" x14ac:dyDescent="0.25">
      <c r="A622" s="52" t="s">
        <v>89</v>
      </c>
      <c r="B622" s="53"/>
      <c r="C622" s="53"/>
      <c r="D622" s="53"/>
      <c r="E622" s="4" t="s">
        <v>57</v>
      </c>
      <c r="F622" s="41">
        <v>1</v>
      </c>
      <c r="G622" s="41"/>
      <c r="H622" s="41">
        <v>0.2</v>
      </c>
      <c r="I622" s="41"/>
      <c r="J622" s="41">
        <v>0.2</v>
      </c>
      <c r="K622" s="41"/>
      <c r="L622" s="53"/>
      <c r="M622" s="54"/>
    </row>
    <row r="623" spans="1:25" x14ac:dyDescent="0.25">
      <c r="A623" s="52"/>
      <c r="B623" s="53"/>
      <c r="C623" s="53"/>
      <c r="D623" s="53"/>
      <c r="E623" s="4"/>
      <c r="F623" s="41"/>
      <c r="G623" s="41"/>
      <c r="H623" s="41"/>
      <c r="I623" s="41"/>
      <c r="J623" s="41"/>
      <c r="K623" s="41"/>
      <c r="L623" s="53"/>
      <c r="M623" s="54"/>
    </row>
    <row r="624" spans="1:25" x14ac:dyDescent="0.25">
      <c r="A624" s="52"/>
      <c r="B624" s="53"/>
      <c r="C624" s="53"/>
      <c r="D624" s="53"/>
      <c r="E624" s="4"/>
      <c r="F624" s="41"/>
      <c r="G624" s="41"/>
      <c r="H624" s="41"/>
      <c r="I624" s="41"/>
      <c r="J624" s="41"/>
      <c r="K624" s="41"/>
      <c r="L624" s="53"/>
      <c r="M624" s="54"/>
    </row>
    <row r="625" spans="1:13" x14ac:dyDescent="0.25">
      <c r="A625" s="52"/>
      <c r="B625" s="53"/>
      <c r="C625" s="53"/>
      <c r="D625" s="53"/>
      <c r="E625" s="4"/>
      <c r="F625" s="41"/>
      <c r="G625" s="41"/>
      <c r="H625" s="41"/>
      <c r="I625" s="41"/>
      <c r="J625" s="41"/>
      <c r="K625" s="41"/>
      <c r="L625" s="53"/>
      <c r="M625" s="54"/>
    </row>
    <row r="626" spans="1:13" x14ac:dyDescent="0.25">
      <c r="A626" s="52"/>
      <c r="B626" s="53"/>
      <c r="C626" s="53"/>
      <c r="D626" s="53"/>
      <c r="E626" s="4"/>
      <c r="F626" s="56"/>
      <c r="G626" s="56"/>
      <c r="H626" s="41"/>
      <c r="I626" s="41"/>
      <c r="J626" s="41"/>
      <c r="K626" s="41"/>
      <c r="L626" s="53"/>
      <c r="M626" s="54"/>
    </row>
    <row r="627" spans="1:13" x14ac:dyDescent="0.25">
      <c r="A627" s="52"/>
      <c r="B627" s="53"/>
      <c r="C627" s="53"/>
      <c r="D627" s="53"/>
      <c r="E627" s="4"/>
      <c r="F627" s="41"/>
      <c r="G627" s="41"/>
      <c r="H627" s="41"/>
      <c r="I627" s="41"/>
      <c r="J627" s="58"/>
      <c r="K627" s="59"/>
      <c r="L627" s="53"/>
      <c r="M627" s="54"/>
    </row>
    <row r="628" spans="1:13" x14ac:dyDescent="0.25">
      <c r="A628" s="52"/>
      <c r="B628" s="53"/>
      <c r="C628" s="53"/>
      <c r="D628" s="53"/>
      <c r="E628" s="4"/>
      <c r="F628" s="41"/>
      <c r="G628" s="41"/>
      <c r="H628" s="41"/>
      <c r="I628" s="41"/>
      <c r="J628" s="41"/>
      <c r="K628" s="41"/>
      <c r="L628" s="53"/>
      <c r="M628" s="54"/>
    </row>
    <row r="629" spans="1:13" x14ac:dyDescent="0.25">
      <c r="A629" s="52"/>
      <c r="B629" s="53"/>
      <c r="C629" s="53"/>
      <c r="D629" s="53"/>
      <c r="E629" s="9"/>
      <c r="F629" s="41"/>
      <c r="G629" s="41"/>
      <c r="H629" s="41"/>
      <c r="I629" s="41"/>
      <c r="J629" s="41"/>
      <c r="K629" s="41"/>
      <c r="L629" s="53"/>
      <c r="M629" s="54"/>
    </row>
    <row r="630" spans="1:13" x14ac:dyDescent="0.25">
      <c r="A630" s="52"/>
      <c r="B630" s="53"/>
      <c r="C630" s="53"/>
      <c r="D630" s="53"/>
      <c r="E630" s="9"/>
      <c r="F630" s="41"/>
      <c r="G630" s="41"/>
      <c r="H630" s="41"/>
      <c r="I630" s="41"/>
      <c r="J630" s="41"/>
      <c r="K630" s="41"/>
      <c r="L630" s="53"/>
      <c r="M630" s="54"/>
    </row>
    <row r="631" spans="1:13" x14ac:dyDescent="0.25">
      <c r="A631" s="52" t="s">
        <v>41</v>
      </c>
      <c r="B631" s="53"/>
      <c r="C631" s="53"/>
      <c r="D631" s="53"/>
      <c r="E631" s="9"/>
      <c r="F631" s="53"/>
      <c r="G631" s="53"/>
      <c r="H631" s="53"/>
      <c r="I631" s="53"/>
      <c r="J631" s="53"/>
      <c r="K631" s="53"/>
      <c r="L631" s="53"/>
      <c r="M631" s="54"/>
    </row>
    <row r="632" spans="1:13" x14ac:dyDescent="0.25">
      <c r="A632" s="52" t="s">
        <v>16</v>
      </c>
      <c r="B632" s="53"/>
      <c r="C632" s="53"/>
      <c r="D632" s="53"/>
      <c r="E632" s="9"/>
      <c r="F632" s="53"/>
      <c r="G632" s="53"/>
      <c r="H632" s="53"/>
      <c r="I632" s="53"/>
      <c r="J632" s="53"/>
      <c r="K632" s="53"/>
      <c r="L632" s="53"/>
      <c r="M632" s="54"/>
    </row>
    <row r="633" spans="1:13" x14ac:dyDescent="0.25">
      <c r="A633" s="52" t="s">
        <v>17</v>
      </c>
      <c r="B633" s="53"/>
      <c r="C633" s="53"/>
      <c r="D633" s="53"/>
      <c r="E633" s="9"/>
      <c r="F633" s="53"/>
      <c r="G633" s="53"/>
      <c r="H633" s="53"/>
      <c r="I633" s="53"/>
      <c r="J633" s="53"/>
      <c r="K633" s="53"/>
      <c r="L633" s="53"/>
      <c r="M633" s="54"/>
    </row>
    <row r="634" spans="1:13" x14ac:dyDescent="0.25">
      <c r="A634" s="52" t="s">
        <v>42</v>
      </c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4"/>
    </row>
    <row r="635" spans="1:13" x14ac:dyDescent="0.25">
      <c r="A635" s="55" t="s">
        <v>43</v>
      </c>
      <c r="B635" s="56"/>
      <c r="C635" s="56"/>
      <c r="D635" s="56"/>
      <c r="E635" s="4" t="s">
        <v>36</v>
      </c>
      <c r="F635" s="56" t="s">
        <v>44</v>
      </c>
      <c r="G635" s="56"/>
      <c r="H635" s="56" t="s">
        <v>45</v>
      </c>
      <c r="I635" s="56"/>
      <c r="J635" s="56" t="s">
        <v>46</v>
      </c>
      <c r="K635" s="56"/>
      <c r="L635" s="56" t="s">
        <v>40</v>
      </c>
      <c r="M635" s="57"/>
    </row>
    <row r="636" spans="1:13" x14ac:dyDescent="0.25">
      <c r="A636" s="52"/>
      <c r="B636" s="53"/>
      <c r="C636" s="53"/>
      <c r="D636" s="53"/>
      <c r="E636" s="9"/>
      <c r="F636" s="53"/>
      <c r="G636" s="53"/>
      <c r="H636" s="53"/>
      <c r="I636" s="53"/>
      <c r="J636" s="53"/>
      <c r="K636" s="53"/>
      <c r="L636" s="53"/>
      <c r="M636" s="54"/>
    </row>
    <row r="637" spans="1:13" x14ac:dyDescent="0.25">
      <c r="A637" s="52"/>
      <c r="B637" s="53"/>
      <c r="C637" s="53"/>
      <c r="D637" s="53"/>
      <c r="E637" s="9"/>
      <c r="F637" s="53"/>
      <c r="G637" s="53"/>
      <c r="H637" s="53"/>
      <c r="I637" s="53"/>
      <c r="J637" s="53"/>
      <c r="K637" s="53"/>
      <c r="L637" s="53"/>
      <c r="M637" s="54"/>
    </row>
    <row r="638" spans="1:13" x14ac:dyDescent="0.25">
      <c r="A638" s="52" t="s">
        <v>47</v>
      </c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4"/>
    </row>
    <row r="639" spans="1:13" x14ac:dyDescent="0.25">
      <c r="A639" s="55" t="s">
        <v>48</v>
      </c>
      <c r="B639" s="56"/>
      <c r="C639" s="56" t="s">
        <v>49</v>
      </c>
      <c r="D639" s="56"/>
      <c r="E639" s="56" t="s">
        <v>50</v>
      </c>
      <c r="F639" s="56"/>
      <c r="G639" s="56"/>
      <c r="H639" s="56" t="s">
        <v>51</v>
      </c>
      <c r="I639" s="56"/>
      <c r="J639" s="56" t="s">
        <v>45</v>
      </c>
      <c r="K639" s="56"/>
      <c r="L639" s="56" t="s">
        <v>46</v>
      </c>
      <c r="M639" s="57"/>
    </row>
    <row r="640" spans="1:13" x14ac:dyDescent="0.25">
      <c r="A640" s="40" t="s">
        <v>52</v>
      </c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2"/>
    </row>
    <row r="641" spans="1:25" ht="17.25" thickBot="1" x14ac:dyDescent="0.3">
      <c r="A641" s="40" t="s">
        <v>53</v>
      </c>
      <c r="B641" s="41"/>
      <c r="C641" s="41">
        <v>2</v>
      </c>
      <c r="D641" s="41"/>
      <c r="E641" s="41">
        <v>6</v>
      </c>
      <c r="F641" s="41"/>
      <c r="G641" s="41"/>
      <c r="H641" s="41"/>
      <c r="I641" s="41"/>
      <c r="J641" s="41"/>
      <c r="K641" s="41"/>
      <c r="L641" s="41"/>
      <c r="M641" s="42"/>
    </row>
    <row r="642" spans="1:25" ht="25.15" customHeight="1" thickBot="1" x14ac:dyDescent="0.3">
      <c r="A642" s="43" t="s">
        <v>59</v>
      </c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5"/>
    </row>
    <row r="643" spans="1:25" x14ac:dyDescent="0.25">
      <c r="A643" s="46" t="s">
        <v>60</v>
      </c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8"/>
    </row>
    <row r="644" spans="1:25" x14ac:dyDescent="0.25">
      <c r="A644" s="49" t="s">
        <v>61</v>
      </c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1"/>
    </row>
    <row r="645" spans="1:25" x14ac:dyDescent="0.25">
      <c r="A645" s="25" t="s">
        <v>62</v>
      </c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7"/>
    </row>
    <row r="646" spans="1:25" x14ac:dyDescent="0.25">
      <c r="A646" s="25" t="s">
        <v>63</v>
      </c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7"/>
    </row>
    <row r="647" spans="1:25" x14ac:dyDescent="0.25">
      <c r="A647" s="28" t="s">
        <v>64</v>
      </c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30"/>
    </row>
    <row r="648" spans="1:25" ht="17.25" thickBot="1" x14ac:dyDescent="0.3">
      <c r="A648" s="31" t="s">
        <v>65</v>
      </c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3"/>
    </row>
    <row r="649" spans="1:25" ht="17.25" thickBot="1" x14ac:dyDescent="0.3">
      <c r="A649" s="34" t="s">
        <v>54</v>
      </c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6"/>
    </row>
    <row r="650" spans="1:25" ht="17.25" thickBot="1" x14ac:dyDescent="0.3">
      <c r="A650" s="34" t="s">
        <v>55</v>
      </c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6"/>
    </row>
    <row r="651" spans="1:25" ht="17.25" thickBot="1" x14ac:dyDescent="0.3">
      <c r="A651" s="34" t="s">
        <v>76</v>
      </c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6"/>
    </row>
    <row r="652" spans="1:25" ht="17.25" thickBot="1" x14ac:dyDescent="0.3">
      <c r="A652" s="37" t="s">
        <v>66</v>
      </c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9"/>
    </row>
    <row r="653" spans="1:25" x14ac:dyDescent="0.25">
      <c r="A653" s="12" t="s">
        <v>68</v>
      </c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0"/>
      <c r="T653" s="10"/>
      <c r="U653" s="10"/>
      <c r="V653" s="10"/>
      <c r="W653" s="10"/>
      <c r="X653" s="10"/>
      <c r="Y653" s="10"/>
    </row>
    <row r="654" spans="1:25" x14ac:dyDescent="0.25">
      <c r="A654" s="14" t="s">
        <v>69</v>
      </c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0"/>
      <c r="T654" s="10"/>
      <c r="U654" s="10"/>
      <c r="V654" s="10"/>
      <c r="W654" s="10"/>
      <c r="X654" s="10"/>
      <c r="Y654" s="10"/>
    </row>
    <row r="655" spans="1:25" s="10" customFormat="1" ht="8.25" x14ac:dyDescent="0.25">
      <c r="A655" s="14" t="s">
        <v>70</v>
      </c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</row>
    <row r="656" spans="1:25" x14ac:dyDescent="0.25">
      <c r="A656" s="14" t="s">
        <v>71</v>
      </c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0"/>
      <c r="T656" s="10"/>
      <c r="U656" s="10"/>
      <c r="V656" s="10"/>
      <c r="W656" s="10"/>
      <c r="X656" s="10"/>
      <c r="Y656" s="10"/>
    </row>
    <row r="657" spans="1:25" x14ac:dyDescent="0.25">
      <c r="A657" s="14" t="s">
        <v>72</v>
      </c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0"/>
      <c r="T657" s="10"/>
      <c r="U657" s="10"/>
      <c r="V657" s="10"/>
      <c r="W657" s="10"/>
      <c r="X657" s="10"/>
      <c r="Y657" s="10"/>
    </row>
    <row r="658" spans="1:25" x14ac:dyDescent="0.25">
      <c r="A658" s="14" t="s">
        <v>73</v>
      </c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0"/>
      <c r="T658" s="10"/>
      <c r="U658" s="10"/>
      <c r="V658" s="10"/>
      <c r="W658" s="10"/>
      <c r="X658" s="10"/>
      <c r="Y658" s="10"/>
    </row>
    <row r="659" spans="1:25" ht="28.15" customHeight="1" x14ac:dyDescent="0.25">
      <c r="A659" s="89" t="s">
        <v>19</v>
      </c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</row>
    <row r="660" spans="1:25" x14ac:dyDescent="0.25">
      <c r="A660" s="2" t="s">
        <v>20</v>
      </c>
      <c r="B660" s="2">
        <f>B613+1</f>
        <v>15</v>
      </c>
    </row>
    <row r="661" spans="1:25" ht="17.25" thickBot="1" x14ac:dyDescent="0.3">
      <c r="A661" s="2" t="s">
        <v>21</v>
      </c>
      <c r="B661" s="2" t="s">
        <v>22</v>
      </c>
      <c r="C661" s="2" t="s">
        <v>23</v>
      </c>
      <c r="D661" s="2" t="s">
        <v>24</v>
      </c>
      <c r="F661" s="68" t="s">
        <v>25</v>
      </c>
      <c r="G661" s="68"/>
      <c r="H661" s="69">
        <f>H614+1</f>
        <v>45924</v>
      </c>
      <c r="I661" s="69"/>
      <c r="J661" s="69"/>
      <c r="K661" s="70">
        <f>H661</f>
        <v>45924</v>
      </c>
      <c r="L661" s="70"/>
      <c r="M661" s="70"/>
    </row>
    <row r="662" spans="1:25" ht="16.5" customHeight="1" x14ac:dyDescent="0.25">
      <c r="A662" s="71" t="s">
        <v>26</v>
      </c>
      <c r="B662" s="72"/>
      <c r="C662" s="73"/>
      <c r="D662" s="77" t="s">
        <v>78</v>
      </c>
      <c r="E662" s="78"/>
      <c r="F662" s="78"/>
      <c r="G662" s="79"/>
      <c r="H662" s="83" t="s">
        <v>27</v>
      </c>
      <c r="I662" s="83"/>
      <c r="J662" s="83"/>
      <c r="K662" s="84" t="s">
        <v>81</v>
      </c>
      <c r="L662" s="84"/>
      <c r="M662" s="85"/>
    </row>
    <row r="663" spans="1:25" ht="21" customHeight="1" x14ac:dyDescent="0.25">
      <c r="A663" s="74"/>
      <c r="B663" s="75"/>
      <c r="C663" s="76"/>
      <c r="D663" s="80"/>
      <c r="E663" s="81"/>
      <c r="F663" s="81"/>
      <c r="G663" s="82"/>
      <c r="H663" s="56"/>
      <c r="I663" s="56"/>
      <c r="J663" s="56"/>
      <c r="K663" s="86"/>
      <c r="L663" s="86"/>
      <c r="M663" s="87"/>
    </row>
    <row r="664" spans="1:25" x14ac:dyDescent="0.25">
      <c r="A664" s="6" t="s">
        <v>28</v>
      </c>
      <c r="B664" s="56" t="s">
        <v>82</v>
      </c>
      <c r="C664" s="56"/>
      <c r="D664" s="56" t="s">
        <v>29</v>
      </c>
      <c r="E664" s="56"/>
      <c r="F664" s="56"/>
      <c r="G664" s="7">
        <f>G617+1</f>
        <v>15</v>
      </c>
      <c r="H664" s="4" t="s">
        <v>30</v>
      </c>
      <c r="I664" s="88">
        <f>I617-1</f>
        <v>45</v>
      </c>
      <c r="J664" s="88"/>
      <c r="K664" s="56" t="s">
        <v>74</v>
      </c>
      <c r="L664" s="56"/>
      <c r="M664" s="8">
        <v>0</v>
      </c>
    </row>
    <row r="665" spans="1:25" x14ac:dyDescent="0.25">
      <c r="A665" s="55" t="s">
        <v>31</v>
      </c>
      <c r="B665" s="56"/>
      <c r="C665" s="56"/>
      <c r="D665" s="56" t="s">
        <v>83</v>
      </c>
      <c r="E665" s="56"/>
      <c r="F665" s="56"/>
      <c r="G665" s="56"/>
      <c r="H665" s="56" t="s">
        <v>32</v>
      </c>
      <c r="I665" s="56"/>
      <c r="J665" s="56"/>
      <c r="K665" s="64" t="s">
        <v>84</v>
      </c>
      <c r="L665" s="56"/>
      <c r="M665" s="57"/>
    </row>
    <row r="666" spans="1:25" x14ac:dyDescent="0.25">
      <c r="A666" s="55" t="s">
        <v>33</v>
      </c>
      <c r="B666" s="56"/>
      <c r="C666" s="56"/>
      <c r="D666" s="65">
        <v>0.05</v>
      </c>
      <c r="E666" s="65"/>
      <c r="F666" s="65"/>
      <c r="G666" s="65"/>
      <c r="H666" s="56" t="s">
        <v>18</v>
      </c>
      <c r="I666" s="56"/>
      <c r="J666" s="56"/>
      <c r="K666" s="66">
        <f>施工項目!AQ416</f>
        <v>8.2098039215686272E-2</v>
      </c>
      <c r="L666" s="66"/>
      <c r="M666" s="67"/>
    </row>
    <row r="667" spans="1:25" x14ac:dyDescent="0.25">
      <c r="A667" s="52" t="s">
        <v>34</v>
      </c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4"/>
    </row>
    <row r="668" spans="1:25" s="2" customFormat="1" x14ac:dyDescent="0.25">
      <c r="A668" s="60" t="s">
        <v>35</v>
      </c>
      <c r="B668" s="61"/>
      <c r="C668" s="61"/>
      <c r="D668" s="62"/>
      <c r="E668" s="11" t="s">
        <v>36</v>
      </c>
      <c r="F668" s="60" t="s">
        <v>37</v>
      </c>
      <c r="G668" s="62"/>
      <c r="H668" s="60" t="s">
        <v>38</v>
      </c>
      <c r="I668" s="62"/>
      <c r="J668" s="63" t="s">
        <v>39</v>
      </c>
      <c r="K668" s="63"/>
      <c r="L668" s="56" t="s">
        <v>40</v>
      </c>
      <c r="M668" s="57"/>
    </row>
    <row r="669" spans="1:25" x14ac:dyDescent="0.25">
      <c r="A669" s="52" t="s">
        <v>89</v>
      </c>
      <c r="B669" s="53"/>
      <c r="C669" s="53"/>
      <c r="D669" s="53"/>
      <c r="E669" s="4" t="s">
        <v>57</v>
      </c>
      <c r="F669" s="41">
        <v>1</v>
      </c>
      <c r="G669" s="41"/>
      <c r="H669" s="41">
        <v>0.2</v>
      </c>
      <c r="I669" s="41"/>
      <c r="J669" s="41">
        <v>0.4</v>
      </c>
      <c r="K669" s="41"/>
      <c r="L669" s="53"/>
      <c r="M669" s="54"/>
    </row>
    <row r="670" spans="1:25" x14ac:dyDescent="0.25">
      <c r="A670" s="52"/>
      <c r="B670" s="53"/>
      <c r="C670" s="53"/>
      <c r="D670" s="53"/>
      <c r="E670" s="4"/>
      <c r="F670" s="41"/>
      <c r="G670" s="41"/>
      <c r="H670" s="41"/>
      <c r="I670" s="41"/>
      <c r="J670" s="41"/>
      <c r="K670" s="41"/>
      <c r="L670" s="53"/>
      <c r="M670" s="54"/>
    </row>
    <row r="671" spans="1:25" x14ac:dyDescent="0.25">
      <c r="A671" s="52"/>
      <c r="B671" s="53"/>
      <c r="C671" s="53"/>
      <c r="D671" s="53"/>
      <c r="E671" s="4"/>
      <c r="F671" s="41"/>
      <c r="G671" s="41"/>
      <c r="H671" s="41"/>
      <c r="I671" s="41"/>
      <c r="J671" s="41"/>
      <c r="K671" s="41"/>
      <c r="L671" s="53"/>
      <c r="M671" s="54"/>
    </row>
    <row r="672" spans="1:25" x14ac:dyDescent="0.25">
      <c r="A672" s="52"/>
      <c r="B672" s="53"/>
      <c r="C672" s="53"/>
      <c r="D672" s="53"/>
      <c r="E672" s="4"/>
      <c r="F672" s="41"/>
      <c r="G672" s="41"/>
      <c r="H672" s="41"/>
      <c r="I672" s="41"/>
      <c r="J672" s="41"/>
      <c r="K672" s="41"/>
      <c r="L672" s="53"/>
      <c r="M672" s="54"/>
    </row>
    <row r="673" spans="1:13" x14ac:dyDescent="0.25">
      <c r="A673" s="52"/>
      <c r="B673" s="53"/>
      <c r="C673" s="53"/>
      <c r="D673" s="53"/>
      <c r="E673" s="4"/>
      <c r="F673" s="56"/>
      <c r="G673" s="56"/>
      <c r="H673" s="41"/>
      <c r="I673" s="41"/>
      <c r="J673" s="41"/>
      <c r="K673" s="41"/>
      <c r="L673" s="53"/>
      <c r="M673" s="54"/>
    </row>
    <row r="674" spans="1:13" x14ac:dyDescent="0.25">
      <c r="A674" s="52"/>
      <c r="B674" s="53"/>
      <c r="C674" s="53"/>
      <c r="D674" s="53"/>
      <c r="E674" s="4"/>
      <c r="F674" s="41"/>
      <c r="G674" s="41"/>
      <c r="H674" s="41"/>
      <c r="I674" s="41"/>
      <c r="J674" s="58"/>
      <c r="K674" s="59"/>
      <c r="L674" s="53"/>
      <c r="M674" s="54"/>
    </row>
    <row r="675" spans="1:13" x14ac:dyDescent="0.25">
      <c r="A675" s="52"/>
      <c r="B675" s="53"/>
      <c r="C675" s="53"/>
      <c r="D675" s="53"/>
      <c r="E675" s="4"/>
      <c r="F675" s="41"/>
      <c r="G675" s="41"/>
      <c r="H675" s="41"/>
      <c r="I675" s="41"/>
      <c r="J675" s="41"/>
      <c r="K675" s="41"/>
      <c r="L675" s="53"/>
      <c r="M675" s="54"/>
    </row>
    <row r="676" spans="1:13" x14ac:dyDescent="0.25">
      <c r="A676" s="52"/>
      <c r="B676" s="53"/>
      <c r="C676" s="53"/>
      <c r="D676" s="53"/>
      <c r="E676" s="9"/>
      <c r="F676" s="41"/>
      <c r="G676" s="41"/>
      <c r="H676" s="41"/>
      <c r="I676" s="41"/>
      <c r="J676" s="41"/>
      <c r="K676" s="41"/>
      <c r="L676" s="53"/>
      <c r="M676" s="54"/>
    </row>
    <row r="677" spans="1:13" x14ac:dyDescent="0.25">
      <c r="A677" s="52"/>
      <c r="B677" s="53"/>
      <c r="C677" s="53"/>
      <c r="D677" s="53"/>
      <c r="E677" s="9"/>
      <c r="F677" s="41"/>
      <c r="G677" s="41"/>
      <c r="H677" s="41"/>
      <c r="I677" s="41"/>
      <c r="J677" s="41"/>
      <c r="K677" s="41"/>
      <c r="L677" s="53"/>
      <c r="M677" s="54"/>
    </row>
    <row r="678" spans="1:13" x14ac:dyDescent="0.25">
      <c r="A678" s="52" t="s">
        <v>41</v>
      </c>
      <c r="B678" s="53"/>
      <c r="C678" s="53"/>
      <c r="D678" s="53"/>
      <c r="E678" s="9"/>
      <c r="F678" s="53"/>
      <c r="G678" s="53"/>
      <c r="H678" s="53"/>
      <c r="I678" s="53"/>
      <c r="J678" s="53"/>
      <c r="K678" s="53"/>
      <c r="L678" s="53"/>
      <c r="M678" s="54"/>
    </row>
    <row r="679" spans="1:13" x14ac:dyDescent="0.25">
      <c r="A679" s="52" t="s">
        <v>16</v>
      </c>
      <c r="B679" s="53"/>
      <c r="C679" s="53"/>
      <c r="D679" s="53"/>
      <c r="E679" s="9"/>
      <c r="F679" s="53"/>
      <c r="G679" s="53"/>
      <c r="H679" s="53"/>
      <c r="I679" s="53"/>
      <c r="J679" s="53"/>
      <c r="K679" s="53"/>
      <c r="L679" s="53"/>
      <c r="M679" s="54"/>
    </row>
    <row r="680" spans="1:13" x14ac:dyDescent="0.25">
      <c r="A680" s="52" t="s">
        <v>17</v>
      </c>
      <c r="B680" s="53"/>
      <c r="C680" s="53"/>
      <c r="D680" s="53"/>
      <c r="E680" s="9"/>
      <c r="F680" s="53"/>
      <c r="G680" s="53"/>
      <c r="H680" s="53"/>
      <c r="I680" s="53"/>
      <c r="J680" s="53"/>
      <c r="K680" s="53"/>
      <c r="L680" s="53"/>
      <c r="M680" s="54"/>
    </row>
    <row r="681" spans="1:13" x14ac:dyDescent="0.25">
      <c r="A681" s="52" t="s">
        <v>42</v>
      </c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4"/>
    </row>
    <row r="682" spans="1:13" x14ac:dyDescent="0.25">
      <c r="A682" s="55" t="s">
        <v>43</v>
      </c>
      <c r="B682" s="56"/>
      <c r="C682" s="56"/>
      <c r="D682" s="56"/>
      <c r="E682" s="4" t="s">
        <v>36</v>
      </c>
      <c r="F682" s="56" t="s">
        <v>44</v>
      </c>
      <c r="G682" s="56"/>
      <c r="H682" s="56" t="s">
        <v>45</v>
      </c>
      <c r="I682" s="56"/>
      <c r="J682" s="56" t="s">
        <v>46</v>
      </c>
      <c r="K682" s="56"/>
      <c r="L682" s="56" t="s">
        <v>40</v>
      </c>
      <c r="M682" s="57"/>
    </row>
    <row r="683" spans="1:13" x14ac:dyDescent="0.25">
      <c r="A683" s="52"/>
      <c r="B683" s="53"/>
      <c r="C683" s="53"/>
      <c r="D683" s="53"/>
      <c r="E683" s="9"/>
      <c r="F683" s="53"/>
      <c r="G683" s="53"/>
      <c r="H683" s="53"/>
      <c r="I683" s="53"/>
      <c r="J683" s="53"/>
      <c r="K683" s="53"/>
      <c r="L683" s="53"/>
      <c r="M683" s="54"/>
    </row>
    <row r="684" spans="1:13" x14ac:dyDescent="0.25">
      <c r="A684" s="52"/>
      <c r="B684" s="53"/>
      <c r="C684" s="53"/>
      <c r="D684" s="53"/>
      <c r="E684" s="9"/>
      <c r="F684" s="53"/>
      <c r="G684" s="53"/>
      <c r="H684" s="53"/>
      <c r="I684" s="53"/>
      <c r="J684" s="53"/>
      <c r="K684" s="53"/>
      <c r="L684" s="53"/>
      <c r="M684" s="54"/>
    </row>
    <row r="685" spans="1:13" x14ac:dyDescent="0.25">
      <c r="A685" s="52" t="s">
        <v>47</v>
      </c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4"/>
    </row>
    <row r="686" spans="1:13" x14ac:dyDescent="0.25">
      <c r="A686" s="55" t="s">
        <v>48</v>
      </c>
      <c r="B686" s="56"/>
      <c r="C686" s="56" t="s">
        <v>49</v>
      </c>
      <c r="D686" s="56"/>
      <c r="E686" s="56" t="s">
        <v>50</v>
      </c>
      <c r="F686" s="56"/>
      <c r="G686" s="56"/>
      <c r="H686" s="56" t="s">
        <v>51</v>
      </c>
      <c r="I686" s="56"/>
      <c r="J686" s="56" t="s">
        <v>45</v>
      </c>
      <c r="K686" s="56"/>
      <c r="L686" s="56" t="s">
        <v>46</v>
      </c>
      <c r="M686" s="57"/>
    </row>
    <row r="687" spans="1:13" x14ac:dyDescent="0.25">
      <c r="A687" s="40" t="s">
        <v>52</v>
      </c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2"/>
    </row>
    <row r="688" spans="1:13" ht="17.25" thickBot="1" x14ac:dyDescent="0.3">
      <c r="A688" s="40" t="s">
        <v>53</v>
      </c>
      <c r="B688" s="41"/>
      <c r="C688" s="41">
        <v>2</v>
      </c>
      <c r="D688" s="41"/>
      <c r="E688" s="41">
        <v>8</v>
      </c>
      <c r="F688" s="41"/>
      <c r="G688" s="41"/>
      <c r="H688" s="41"/>
      <c r="I688" s="41"/>
      <c r="J688" s="41"/>
      <c r="K688" s="41"/>
      <c r="L688" s="41"/>
      <c r="M688" s="42"/>
    </row>
    <row r="689" spans="1:25" ht="25.15" customHeight="1" thickBot="1" x14ac:dyDescent="0.3">
      <c r="A689" s="43" t="s">
        <v>59</v>
      </c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5"/>
    </row>
    <row r="690" spans="1:25" x14ac:dyDescent="0.25">
      <c r="A690" s="46" t="s">
        <v>60</v>
      </c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8"/>
    </row>
    <row r="691" spans="1:25" x14ac:dyDescent="0.25">
      <c r="A691" s="49" t="s">
        <v>61</v>
      </c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1"/>
    </row>
    <row r="692" spans="1:25" x14ac:dyDescent="0.25">
      <c r="A692" s="25" t="s">
        <v>62</v>
      </c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7"/>
    </row>
    <row r="693" spans="1:25" x14ac:dyDescent="0.25">
      <c r="A693" s="25" t="s">
        <v>63</v>
      </c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7"/>
    </row>
    <row r="694" spans="1:25" x14ac:dyDescent="0.25">
      <c r="A694" s="28" t="s">
        <v>64</v>
      </c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30"/>
    </row>
    <row r="695" spans="1:25" ht="17.25" thickBot="1" x14ac:dyDescent="0.3">
      <c r="A695" s="31" t="s">
        <v>65</v>
      </c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3"/>
    </row>
    <row r="696" spans="1:25" ht="17.25" thickBot="1" x14ac:dyDescent="0.3">
      <c r="A696" s="34" t="s">
        <v>54</v>
      </c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6"/>
    </row>
    <row r="697" spans="1:25" ht="17.25" thickBot="1" x14ac:dyDescent="0.3">
      <c r="A697" s="34" t="s">
        <v>55</v>
      </c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6"/>
    </row>
    <row r="698" spans="1:25" ht="17.25" thickBot="1" x14ac:dyDescent="0.3">
      <c r="A698" s="34" t="s">
        <v>76</v>
      </c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6"/>
    </row>
    <row r="699" spans="1:25" ht="17.25" thickBot="1" x14ac:dyDescent="0.3">
      <c r="A699" s="37" t="s">
        <v>66</v>
      </c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9"/>
    </row>
    <row r="700" spans="1:25" x14ac:dyDescent="0.25">
      <c r="A700" s="12" t="s">
        <v>68</v>
      </c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0"/>
      <c r="T700" s="10"/>
      <c r="U700" s="10"/>
      <c r="V700" s="10"/>
      <c r="W700" s="10"/>
      <c r="X700" s="10"/>
      <c r="Y700" s="10"/>
    </row>
    <row r="701" spans="1:25" x14ac:dyDescent="0.25">
      <c r="A701" s="14" t="s">
        <v>69</v>
      </c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0"/>
      <c r="T701" s="10"/>
      <c r="U701" s="10"/>
      <c r="V701" s="10"/>
      <c r="W701" s="10"/>
      <c r="X701" s="10"/>
      <c r="Y701" s="10"/>
    </row>
    <row r="702" spans="1:25" s="10" customFormat="1" ht="8.25" x14ac:dyDescent="0.25">
      <c r="A702" s="14" t="s">
        <v>70</v>
      </c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</row>
    <row r="703" spans="1:25" x14ac:dyDescent="0.25">
      <c r="A703" s="14" t="s">
        <v>71</v>
      </c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0"/>
      <c r="T703" s="10"/>
      <c r="U703" s="10"/>
      <c r="V703" s="10"/>
      <c r="W703" s="10"/>
      <c r="X703" s="10"/>
      <c r="Y703" s="10"/>
    </row>
    <row r="704" spans="1:25" x14ac:dyDescent="0.25">
      <c r="A704" s="14" t="s">
        <v>72</v>
      </c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0"/>
      <c r="T704" s="10"/>
      <c r="U704" s="10"/>
      <c r="V704" s="10"/>
      <c r="W704" s="10"/>
      <c r="X704" s="10"/>
      <c r="Y704" s="10"/>
    </row>
    <row r="705" spans="1:25" x14ac:dyDescent="0.25">
      <c r="A705" s="14" t="s">
        <v>73</v>
      </c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0"/>
      <c r="T705" s="10"/>
      <c r="U705" s="10"/>
      <c r="V705" s="10"/>
      <c r="W705" s="10"/>
      <c r="X705" s="10"/>
      <c r="Y705" s="10"/>
    </row>
    <row r="706" spans="1:25" ht="28.15" customHeight="1" x14ac:dyDescent="0.25">
      <c r="A706" s="89" t="s">
        <v>19</v>
      </c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</row>
    <row r="707" spans="1:25" x14ac:dyDescent="0.25">
      <c r="A707" s="2" t="s">
        <v>20</v>
      </c>
      <c r="B707" s="2">
        <f>B660+1</f>
        <v>16</v>
      </c>
    </row>
    <row r="708" spans="1:25" ht="17.25" thickBot="1" x14ac:dyDescent="0.3">
      <c r="A708" s="2" t="s">
        <v>21</v>
      </c>
      <c r="B708" s="2" t="s">
        <v>22</v>
      </c>
      <c r="C708" s="2" t="s">
        <v>23</v>
      </c>
      <c r="D708" s="2" t="s">
        <v>24</v>
      </c>
      <c r="F708" s="68" t="s">
        <v>25</v>
      </c>
      <c r="G708" s="68"/>
      <c r="H708" s="69">
        <f>H661+1</f>
        <v>45925</v>
      </c>
      <c r="I708" s="69"/>
      <c r="J708" s="69"/>
      <c r="K708" s="70">
        <f>H708</f>
        <v>45925</v>
      </c>
      <c r="L708" s="70"/>
      <c r="M708" s="70"/>
    </row>
    <row r="709" spans="1:25" ht="16.5" customHeight="1" x14ac:dyDescent="0.25">
      <c r="A709" s="71" t="s">
        <v>26</v>
      </c>
      <c r="B709" s="72"/>
      <c r="C709" s="73"/>
      <c r="D709" s="77" t="s">
        <v>78</v>
      </c>
      <c r="E709" s="78"/>
      <c r="F709" s="78"/>
      <c r="G709" s="79"/>
      <c r="H709" s="83" t="s">
        <v>27</v>
      </c>
      <c r="I709" s="83"/>
      <c r="J709" s="83"/>
      <c r="K709" s="84" t="s">
        <v>81</v>
      </c>
      <c r="L709" s="84"/>
      <c r="M709" s="85"/>
    </row>
    <row r="710" spans="1:25" ht="21" customHeight="1" x14ac:dyDescent="0.25">
      <c r="A710" s="74"/>
      <c r="B710" s="75"/>
      <c r="C710" s="76"/>
      <c r="D710" s="80"/>
      <c r="E710" s="81"/>
      <c r="F710" s="81"/>
      <c r="G710" s="82"/>
      <c r="H710" s="56"/>
      <c r="I710" s="56"/>
      <c r="J710" s="56"/>
      <c r="K710" s="86"/>
      <c r="L710" s="86"/>
      <c r="M710" s="87"/>
    </row>
    <row r="711" spans="1:25" x14ac:dyDescent="0.25">
      <c r="A711" s="6" t="s">
        <v>28</v>
      </c>
      <c r="B711" s="56" t="s">
        <v>82</v>
      </c>
      <c r="C711" s="56"/>
      <c r="D711" s="56" t="s">
        <v>29</v>
      </c>
      <c r="E711" s="56"/>
      <c r="F711" s="56"/>
      <c r="G711" s="7">
        <f>G664+1</f>
        <v>16</v>
      </c>
      <c r="H711" s="4" t="s">
        <v>30</v>
      </c>
      <c r="I711" s="88">
        <f>I664-1</f>
        <v>44</v>
      </c>
      <c r="J711" s="88"/>
      <c r="K711" s="56" t="s">
        <v>74</v>
      </c>
      <c r="L711" s="56"/>
      <c r="M711" s="8">
        <v>0</v>
      </c>
    </row>
    <row r="712" spans="1:25" x14ac:dyDescent="0.25">
      <c r="A712" s="55" t="s">
        <v>31</v>
      </c>
      <c r="B712" s="56"/>
      <c r="C712" s="56"/>
      <c r="D712" s="56" t="s">
        <v>83</v>
      </c>
      <c r="E712" s="56"/>
      <c r="F712" s="56"/>
      <c r="G712" s="56"/>
      <c r="H712" s="56" t="s">
        <v>32</v>
      </c>
      <c r="I712" s="56"/>
      <c r="J712" s="56"/>
      <c r="K712" s="64" t="s">
        <v>84</v>
      </c>
      <c r="L712" s="56"/>
      <c r="M712" s="57"/>
    </row>
    <row r="713" spans="1:25" x14ac:dyDescent="0.25">
      <c r="A713" s="55" t="s">
        <v>33</v>
      </c>
      <c r="B713" s="56"/>
      <c r="C713" s="56"/>
      <c r="D713" s="65">
        <v>0.08</v>
      </c>
      <c r="E713" s="65"/>
      <c r="F713" s="65"/>
      <c r="G713" s="65"/>
      <c r="H713" s="56" t="s">
        <v>18</v>
      </c>
      <c r="I713" s="56"/>
      <c r="J713" s="56"/>
      <c r="K713" s="66">
        <f>施工項目!AQ444</f>
        <v>0.10508823529411765</v>
      </c>
      <c r="L713" s="66"/>
      <c r="M713" s="67"/>
    </row>
    <row r="714" spans="1:25" x14ac:dyDescent="0.25">
      <c r="A714" s="52" t="s">
        <v>34</v>
      </c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4"/>
    </row>
    <row r="715" spans="1:25" s="2" customFormat="1" x14ac:dyDescent="0.25">
      <c r="A715" s="60" t="s">
        <v>35</v>
      </c>
      <c r="B715" s="61"/>
      <c r="C715" s="61"/>
      <c r="D715" s="62"/>
      <c r="E715" s="11" t="s">
        <v>36</v>
      </c>
      <c r="F715" s="60" t="s">
        <v>37</v>
      </c>
      <c r="G715" s="62"/>
      <c r="H715" s="60" t="s">
        <v>38</v>
      </c>
      <c r="I715" s="62"/>
      <c r="J715" s="63" t="s">
        <v>39</v>
      </c>
      <c r="K715" s="63"/>
      <c r="L715" s="56" t="s">
        <v>40</v>
      </c>
      <c r="M715" s="57"/>
    </row>
    <row r="716" spans="1:25" x14ac:dyDescent="0.25">
      <c r="A716" s="52" t="s">
        <v>89</v>
      </c>
      <c r="B716" s="53"/>
      <c r="C716" s="53"/>
      <c r="D716" s="53"/>
      <c r="E716" s="4" t="s">
        <v>57</v>
      </c>
      <c r="F716" s="41">
        <v>1</v>
      </c>
      <c r="G716" s="41"/>
      <c r="H716" s="41">
        <v>0.2</v>
      </c>
      <c r="I716" s="41"/>
      <c r="J716" s="41">
        <v>0.6</v>
      </c>
      <c r="K716" s="41"/>
      <c r="L716" s="53"/>
      <c r="M716" s="54"/>
    </row>
    <row r="717" spans="1:25" x14ac:dyDescent="0.25">
      <c r="A717" s="52"/>
      <c r="B717" s="53"/>
      <c r="C717" s="53"/>
      <c r="D717" s="53"/>
      <c r="E717" s="4"/>
      <c r="F717" s="41"/>
      <c r="G717" s="41"/>
      <c r="H717" s="41"/>
      <c r="I717" s="41"/>
      <c r="J717" s="41"/>
      <c r="K717" s="41"/>
      <c r="L717" s="53"/>
      <c r="M717" s="54"/>
    </row>
    <row r="718" spans="1:25" x14ac:dyDescent="0.25">
      <c r="A718" s="52"/>
      <c r="B718" s="53"/>
      <c r="C718" s="53"/>
      <c r="D718" s="53"/>
      <c r="E718" s="4"/>
      <c r="F718" s="41"/>
      <c r="G718" s="41"/>
      <c r="H718" s="41"/>
      <c r="I718" s="41"/>
      <c r="J718" s="41"/>
      <c r="K718" s="41"/>
      <c r="L718" s="53"/>
      <c r="M718" s="54"/>
    </row>
    <row r="719" spans="1:25" x14ac:dyDescent="0.25">
      <c r="A719" s="52"/>
      <c r="B719" s="53"/>
      <c r="C719" s="53"/>
      <c r="D719" s="53"/>
      <c r="E719" s="4"/>
      <c r="F719" s="41"/>
      <c r="G719" s="41"/>
      <c r="H719" s="41"/>
      <c r="I719" s="41"/>
      <c r="J719" s="41"/>
      <c r="K719" s="41"/>
      <c r="L719" s="53"/>
      <c r="M719" s="54"/>
    </row>
    <row r="720" spans="1:25" x14ac:dyDescent="0.25">
      <c r="A720" s="52"/>
      <c r="B720" s="53"/>
      <c r="C720" s="53"/>
      <c r="D720" s="53"/>
      <c r="E720" s="4"/>
      <c r="F720" s="56"/>
      <c r="G720" s="56"/>
      <c r="H720" s="41"/>
      <c r="I720" s="41"/>
      <c r="J720" s="41"/>
      <c r="K720" s="41"/>
      <c r="L720" s="53"/>
      <c r="M720" s="54"/>
    </row>
    <row r="721" spans="1:13" x14ac:dyDescent="0.25">
      <c r="A721" s="52"/>
      <c r="B721" s="53"/>
      <c r="C721" s="53"/>
      <c r="D721" s="53"/>
      <c r="E721" s="4"/>
      <c r="F721" s="41"/>
      <c r="G721" s="41"/>
      <c r="H721" s="41"/>
      <c r="I721" s="41"/>
      <c r="J721" s="58"/>
      <c r="K721" s="59"/>
      <c r="L721" s="53"/>
      <c r="M721" s="54"/>
    </row>
    <row r="722" spans="1:13" x14ac:dyDescent="0.25">
      <c r="A722" s="52"/>
      <c r="B722" s="53"/>
      <c r="C722" s="53"/>
      <c r="D722" s="53"/>
      <c r="E722" s="4"/>
      <c r="F722" s="41"/>
      <c r="G722" s="41"/>
      <c r="H722" s="41"/>
      <c r="I722" s="41"/>
      <c r="J722" s="41"/>
      <c r="K722" s="41"/>
      <c r="L722" s="53"/>
      <c r="M722" s="54"/>
    </row>
    <row r="723" spans="1:13" x14ac:dyDescent="0.25">
      <c r="A723" s="52"/>
      <c r="B723" s="53"/>
      <c r="C723" s="53"/>
      <c r="D723" s="53"/>
      <c r="E723" s="9"/>
      <c r="F723" s="41"/>
      <c r="G723" s="41"/>
      <c r="H723" s="41"/>
      <c r="I723" s="41"/>
      <c r="J723" s="41"/>
      <c r="K723" s="41"/>
      <c r="L723" s="53"/>
      <c r="M723" s="54"/>
    </row>
    <row r="724" spans="1:13" x14ac:dyDescent="0.25">
      <c r="A724" s="52"/>
      <c r="B724" s="53"/>
      <c r="C724" s="53"/>
      <c r="D724" s="53"/>
      <c r="E724" s="9"/>
      <c r="F724" s="41"/>
      <c r="G724" s="41"/>
      <c r="H724" s="41"/>
      <c r="I724" s="41"/>
      <c r="J724" s="41"/>
      <c r="K724" s="41"/>
      <c r="L724" s="53"/>
      <c r="M724" s="54"/>
    </row>
    <row r="725" spans="1:13" x14ac:dyDescent="0.25">
      <c r="A725" s="52" t="s">
        <v>41</v>
      </c>
      <c r="B725" s="53"/>
      <c r="C725" s="53"/>
      <c r="D725" s="53"/>
      <c r="E725" s="9"/>
      <c r="F725" s="53"/>
      <c r="G725" s="53"/>
      <c r="H725" s="53"/>
      <c r="I725" s="53"/>
      <c r="J725" s="53"/>
      <c r="K725" s="53"/>
      <c r="L725" s="53"/>
      <c r="M725" s="54"/>
    </row>
    <row r="726" spans="1:13" x14ac:dyDescent="0.25">
      <c r="A726" s="52" t="s">
        <v>16</v>
      </c>
      <c r="B726" s="53"/>
      <c r="C726" s="53"/>
      <c r="D726" s="53"/>
      <c r="E726" s="9"/>
      <c r="F726" s="53"/>
      <c r="G726" s="53"/>
      <c r="H726" s="53"/>
      <c r="I726" s="53"/>
      <c r="J726" s="53"/>
      <c r="K726" s="53"/>
      <c r="L726" s="53"/>
      <c r="M726" s="54"/>
    </row>
    <row r="727" spans="1:13" x14ac:dyDescent="0.25">
      <c r="A727" s="52" t="s">
        <v>17</v>
      </c>
      <c r="B727" s="53"/>
      <c r="C727" s="53"/>
      <c r="D727" s="53"/>
      <c r="E727" s="9"/>
      <c r="F727" s="53"/>
      <c r="G727" s="53"/>
      <c r="H727" s="53"/>
      <c r="I727" s="53"/>
      <c r="J727" s="53"/>
      <c r="K727" s="53"/>
      <c r="L727" s="53"/>
      <c r="M727" s="54"/>
    </row>
    <row r="728" spans="1:13" x14ac:dyDescent="0.25">
      <c r="A728" s="52" t="s">
        <v>42</v>
      </c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4"/>
    </row>
    <row r="729" spans="1:13" x14ac:dyDescent="0.25">
      <c r="A729" s="55" t="s">
        <v>43</v>
      </c>
      <c r="B729" s="56"/>
      <c r="C729" s="56"/>
      <c r="D729" s="56"/>
      <c r="E729" s="4" t="s">
        <v>36</v>
      </c>
      <c r="F729" s="56" t="s">
        <v>44</v>
      </c>
      <c r="G729" s="56"/>
      <c r="H729" s="56" t="s">
        <v>45</v>
      </c>
      <c r="I729" s="56"/>
      <c r="J729" s="56" t="s">
        <v>46</v>
      </c>
      <c r="K729" s="56"/>
      <c r="L729" s="56" t="s">
        <v>40</v>
      </c>
      <c r="M729" s="57"/>
    </row>
    <row r="730" spans="1:13" x14ac:dyDescent="0.25">
      <c r="A730" s="52"/>
      <c r="B730" s="53"/>
      <c r="C730" s="53"/>
      <c r="D730" s="53"/>
      <c r="E730" s="9"/>
      <c r="F730" s="53"/>
      <c r="G730" s="53"/>
      <c r="H730" s="53"/>
      <c r="I730" s="53"/>
      <c r="J730" s="53"/>
      <c r="K730" s="53"/>
      <c r="L730" s="53"/>
      <c r="M730" s="54"/>
    </row>
    <row r="731" spans="1:13" x14ac:dyDescent="0.25">
      <c r="A731" s="52"/>
      <c r="B731" s="53"/>
      <c r="C731" s="53"/>
      <c r="D731" s="53"/>
      <c r="E731" s="9"/>
      <c r="F731" s="53"/>
      <c r="G731" s="53"/>
      <c r="H731" s="53"/>
      <c r="I731" s="53"/>
      <c r="J731" s="53"/>
      <c r="K731" s="53"/>
      <c r="L731" s="53"/>
      <c r="M731" s="54"/>
    </row>
    <row r="732" spans="1:13" x14ac:dyDescent="0.25">
      <c r="A732" s="52" t="s">
        <v>47</v>
      </c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4"/>
    </row>
    <row r="733" spans="1:13" x14ac:dyDescent="0.25">
      <c r="A733" s="55" t="s">
        <v>48</v>
      </c>
      <c r="B733" s="56"/>
      <c r="C733" s="56" t="s">
        <v>49</v>
      </c>
      <c r="D733" s="56"/>
      <c r="E733" s="56" t="s">
        <v>50</v>
      </c>
      <c r="F733" s="56"/>
      <c r="G733" s="56"/>
      <c r="H733" s="56" t="s">
        <v>51</v>
      </c>
      <c r="I733" s="56"/>
      <c r="J733" s="56" t="s">
        <v>45</v>
      </c>
      <c r="K733" s="56"/>
      <c r="L733" s="56" t="s">
        <v>46</v>
      </c>
      <c r="M733" s="57"/>
    </row>
    <row r="734" spans="1:13" x14ac:dyDescent="0.25">
      <c r="A734" s="40" t="s">
        <v>52</v>
      </c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2"/>
    </row>
    <row r="735" spans="1:13" ht="17.25" thickBot="1" x14ac:dyDescent="0.3">
      <c r="A735" s="40" t="s">
        <v>53</v>
      </c>
      <c r="B735" s="41"/>
      <c r="C735" s="41">
        <v>2</v>
      </c>
      <c r="D735" s="41"/>
      <c r="E735" s="41">
        <v>10</v>
      </c>
      <c r="F735" s="41"/>
      <c r="G735" s="41"/>
      <c r="H735" s="41"/>
      <c r="I735" s="41"/>
      <c r="J735" s="41"/>
      <c r="K735" s="41"/>
      <c r="L735" s="41"/>
      <c r="M735" s="42"/>
    </row>
    <row r="736" spans="1:13" ht="25.15" customHeight="1" thickBot="1" x14ac:dyDescent="0.3">
      <c r="A736" s="43" t="s">
        <v>59</v>
      </c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5"/>
    </row>
    <row r="737" spans="1:25" x14ac:dyDescent="0.25">
      <c r="A737" s="46" t="s">
        <v>60</v>
      </c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8"/>
    </row>
    <row r="738" spans="1:25" x14ac:dyDescent="0.25">
      <c r="A738" s="49" t="s">
        <v>61</v>
      </c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1"/>
    </row>
    <row r="739" spans="1:25" x14ac:dyDescent="0.25">
      <c r="A739" s="25" t="s">
        <v>62</v>
      </c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7"/>
    </row>
    <row r="740" spans="1:25" x14ac:dyDescent="0.25">
      <c r="A740" s="25" t="s">
        <v>63</v>
      </c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7"/>
    </row>
    <row r="741" spans="1:25" x14ac:dyDescent="0.25">
      <c r="A741" s="28" t="s">
        <v>64</v>
      </c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30"/>
    </row>
    <row r="742" spans="1:25" ht="17.25" thickBot="1" x14ac:dyDescent="0.3">
      <c r="A742" s="31" t="s">
        <v>65</v>
      </c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3"/>
    </row>
    <row r="743" spans="1:25" ht="17.25" thickBot="1" x14ac:dyDescent="0.3">
      <c r="A743" s="34" t="s">
        <v>54</v>
      </c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6"/>
    </row>
    <row r="744" spans="1:25" ht="17.25" thickBot="1" x14ac:dyDescent="0.3">
      <c r="A744" s="34" t="s">
        <v>55</v>
      </c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6"/>
    </row>
    <row r="745" spans="1:25" ht="17.25" thickBot="1" x14ac:dyDescent="0.3">
      <c r="A745" s="34" t="s">
        <v>76</v>
      </c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6"/>
    </row>
    <row r="746" spans="1:25" ht="17.25" thickBot="1" x14ac:dyDescent="0.3">
      <c r="A746" s="37" t="s">
        <v>66</v>
      </c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9"/>
    </row>
    <row r="747" spans="1:25" x14ac:dyDescent="0.25">
      <c r="A747" s="12" t="s">
        <v>68</v>
      </c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0"/>
      <c r="T747" s="10"/>
      <c r="U747" s="10"/>
      <c r="V747" s="10"/>
      <c r="W747" s="10"/>
      <c r="X747" s="10"/>
      <c r="Y747" s="10"/>
    </row>
    <row r="748" spans="1:25" x14ac:dyDescent="0.25">
      <c r="A748" s="14" t="s">
        <v>69</v>
      </c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0"/>
      <c r="T748" s="10"/>
      <c r="U748" s="10"/>
      <c r="V748" s="10"/>
      <c r="W748" s="10"/>
      <c r="X748" s="10"/>
      <c r="Y748" s="10"/>
    </row>
    <row r="749" spans="1:25" s="10" customFormat="1" ht="8.25" x14ac:dyDescent="0.25">
      <c r="A749" s="14" t="s">
        <v>70</v>
      </c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</row>
    <row r="750" spans="1:25" x14ac:dyDescent="0.25">
      <c r="A750" s="14" t="s">
        <v>71</v>
      </c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0"/>
      <c r="T750" s="10"/>
      <c r="U750" s="10"/>
      <c r="V750" s="10"/>
      <c r="W750" s="10"/>
      <c r="X750" s="10"/>
      <c r="Y750" s="10"/>
    </row>
    <row r="751" spans="1:25" x14ac:dyDescent="0.25">
      <c r="A751" s="14" t="s">
        <v>72</v>
      </c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0"/>
      <c r="T751" s="10"/>
      <c r="U751" s="10"/>
      <c r="V751" s="10"/>
      <c r="W751" s="10"/>
      <c r="X751" s="10"/>
      <c r="Y751" s="10"/>
    </row>
    <row r="752" spans="1:25" x14ac:dyDescent="0.25">
      <c r="A752" s="14" t="s">
        <v>73</v>
      </c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0"/>
      <c r="T752" s="10"/>
      <c r="U752" s="10"/>
      <c r="V752" s="10"/>
      <c r="W752" s="10"/>
      <c r="X752" s="10"/>
      <c r="Y752" s="10"/>
    </row>
    <row r="753" spans="1:13" ht="28.15" customHeight="1" x14ac:dyDescent="0.25">
      <c r="A753" s="89" t="s">
        <v>19</v>
      </c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</row>
    <row r="754" spans="1:13" x14ac:dyDescent="0.25">
      <c r="A754" s="2" t="s">
        <v>20</v>
      </c>
      <c r="B754" s="2">
        <f>B707+1</f>
        <v>17</v>
      </c>
    </row>
    <row r="755" spans="1:13" ht="17.25" thickBot="1" x14ac:dyDescent="0.3">
      <c r="A755" s="2" t="s">
        <v>21</v>
      </c>
      <c r="B755" s="2" t="s">
        <v>22</v>
      </c>
      <c r="C755" s="2" t="s">
        <v>23</v>
      </c>
      <c r="D755" s="2" t="s">
        <v>24</v>
      </c>
      <c r="F755" s="68" t="s">
        <v>25</v>
      </c>
      <c r="G755" s="68"/>
      <c r="H755" s="69">
        <f>H708+1</f>
        <v>45926</v>
      </c>
      <c r="I755" s="69"/>
      <c r="J755" s="69"/>
      <c r="K755" s="70">
        <f>H755</f>
        <v>45926</v>
      </c>
      <c r="L755" s="70"/>
      <c r="M755" s="70"/>
    </row>
    <row r="756" spans="1:13" ht="16.5" customHeight="1" x14ac:dyDescent="0.25">
      <c r="A756" s="71" t="s">
        <v>26</v>
      </c>
      <c r="B756" s="72"/>
      <c r="C756" s="73"/>
      <c r="D756" s="77" t="s">
        <v>78</v>
      </c>
      <c r="E756" s="78"/>
      <c r="F756" s="78"/>
      <c r="G756" s="79"/>
      <c r="H756" s="83" t="s">
        <v>27</v>
      </c>
      <c r="I756" s="83"/>
      <c r="J756" s="83"/>
      <c r="K756" s="84" t="s">
        <v>81</v>
      </c>
      <c r="L756" s="84"/>
      <c r="M756" s="85"/>
    </row>
    <row r="757" spans="1:13" ht="21" customHeight="1" x14ac:dyDescent="0.25">
      <c r="A757" s="74"/>
      <c r="B757" s="75"/>
      <c r="C757" s="76"/>
      <c r="D757" s="80"/>
      <c r="E757" s="81"/>
      <c r="F757" s="81"/>
      <c r="G757" s="82"/>
      <c r="H757" s="56"/>
      <c r="I757" s="56"/>
      <c r="J757" s="56"/>
      <c r="K757" s="86"/>
      <c r="L757" s="86"/>
      <c r="M757" s="87"/>
    </row>
    <row r="758" spans="1:13" x14ac:dyDescent="0.25">
      <c r="A758" s="6" t="s">
        <v>28</v>
      </c>
      <c r="B758" s="56" t="s">
        <v>82</v>
      </c>
      <c r="C758" s="56"/>
      <c r="D758" s="56" t="s">
        <v>29</v>
      </c>
      <c r="E758" s="56"/>
      <c r="F758" s="56"/>
      <c r="G758" s="7">
        <f>G711+1</f>
        <v>17</v>
      </c>
      <c r="H758" s="4" t="s">
        <v>30</v>
      </c>
      <c r="I758" s="88">
        <f>I711-1</f>
        <v>43</v>
      </c>
      <c r="J758" s="88"/>
      <c r="K758" s="56" t="s">
        <v>74</v>
      </c>
      <c r="L758" s="56"/>
      <c r="M758" s="8">
        <v>0</v>
      </c>
    </row>
    <row r="759" spans="1:13" x14ac:dyDescent="0.25">
      <c r="A759" s="55" t="s">
        <v>31</v>
      </c>
      <c r="B759" s="56"/>
      <c r="C759" s="56"/>
      <c r="D759" s="56" t="s">
        <v>83</v>
      </c>
      <c r="E759" s="56"/>
      <c r="F759" s="56"/>
      <c r="G759" s="56"/>
      <c r="H759" s="56" t="s">
        <v>32</v>
      </c>
      <c r="I759" s="56"/>
      <c r="J759" s="56"/>
      <c r="K759" s="64" t="s">
        <v>84</v>
      </c>
      <c r="L759" s="56"/>
      <c r="M759" s="57"/>
    </row>
    <row r="760" spans="1:13" x14ac:dyDescent="0.25">
      <c r="A760" s="55" t="s">
        <v>33</v>
      </c>
      <c r="B760" s="56"/>
      <c r="C760" s="56"/>
      <c r="D760" s="65">
        <v>0.1</v>
      </c>
      <c r="E760" s="65"/>
      <c r="F760" s="65"/>
      <c r="G760" s="65"/>
      <c r="H760" s="56" t="s">
        <v>18</v>
      </c>
      <c r="I760" s="56"/>
      <c r="J760" s="56"/>
      <c r="K760" s="66">
        <f>施工項目!AQ472</f>
        <v>0.12807843137254901</v>
      </c>
      <c r="L760" s="66"/>
      <c r="M760" s="67"/>
    </row>
    <row r="761" spans="1:13" x14ac:dyDescent="0.25">
      <c r="A761" s="52" t="s">
        <v>34</v>
      </c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4"/>
    </row>
    <row r="762" spans="1:13" s="2" customFormat="1" x14ac:dyDescent="0.25">
      <c r="A762" s="60" t="s">
        <v>35</v>
      </c>
      <c r="B762" s="61"/>
      <c r="C762" s="61"/>
      <c r="D762" s="62"/>
      <c r="E762" s="11" t="s">
        <v>36</v>
      </c>
      <c r="F762" s="60" t="s">
        <v>37</v>
      </c>
      <c r="G762" s="62"/>
      <c r="H762" s="60" t="s">
        <v>38</v>
      </c>
      <c r="I762" s="62"/>
      <c r="J762" s="63" t="s">
        <v>39</v>
      </c>
      <c r="K762" s="63"/>
      <c r="L762" s="56" t="s">
        <v>40</v>
      </c>
      <c r="M762" s="57"/>
    </row>
    <row r="763" spans="1:13" x14ac:dyDescent="0.25">
      <c r="A763" s="52" t="s">
        <v>89</v>
      </c>
      <c r="B763" s="53"/>
      <c r="C763" s="53"/>
      <c r="D763" s="53"/>
      <c r="E763" s="4" t="s">
        <v>57</v>
      </c>
      <c r="F763" s="41">
        <v>1</v>
      </c>
      <c r="G763" s="41"/>
      <c r="H763" s="41">
        <v>0.2</v>
      </c>
      <c r="I763" s="41"/>
      <c r="J763" s="41">
        <v>0.8</v>
      </c>
      <c r="K763" s="41"/>
      <c r="L763" s="53"/>
      <c r="M763" s="54"/>
    </row>
    <row r="764" spans="1:13" x14ac:dyDescent="0.25">
      <c r="A764" s="52"/>
      <c r="B764" s="53"/>
      <c r="C764" s="53"/>
      <c r="D764" s="53"/>
      <c r="E764" s="4"/>
      <c r="F764" s="41"/>
      <c r="G764" s="41"/>
      <c r="H764" s="41"/>
      <c r="I764" s="41"/>
      <c r="J764" s="41"/>
      <c r="K764" s="41"/>
      <c r="L764" s="53"/>
      <c r="M764" s="54"/>
    </row>
    <row r="765" spans="1:13" x14ac:dyDescent="0.25">
      <c r="A765" s="52"/>
      <c r="B765" s="53"/>
      <c r="C765" s="53"/>
      <c r="D765" s="53"/>
      <c r="E765" s="4"/>
      <c r="F765" s="41"/>
      <c r="G765" s="41"/>
      <c r="H765" s="41"/>
      <c r="I765" s="41"/>
      <c r="J765" s="41"/>
      <c r="K765" s="41"/>
      <c r="L765" s="53"/>
      <c r="M765" s="54"/>
    </row>
    <row r="766" spans="1:13" x14ac:dyDescent="0.25">
      <c r="A766" s="52"/>
      <c r="B766" s="53"/>
      <c r="C766" s="53"/>
      <c r="D766" s="53"/>
      <c r="E766" s="4"/>
      <c r="F766" s="41"/>
      <c r="G766" s="41"/>
      <c r="H766" s="41"/>
      <c r="I766" s="41"/>
      <c r="J766" s="41"/>
      <c r="K766" s="41"/>
      <c r="L766" s="53"/>
      <c r="M766" s="54"/>
    </row>
    <row r="767" spans="1:13" x14ac:dyDescent="0.25">
      <c r="A767" s="52"/>
      <c r="B767" s="53"/>
      <c r="C767" s="53"/>
      <c r="D767" s="53"/>
      <c r="E767" s="4"/>
      <c r="F767" s="56"/>
      <c r="G767" s="56"/>
      <c r="H767" s="41"/>
      <c r="I767" s="41"/>
      <c r="J767" s="41"/>
      <c r="K767" s="41"/>
      <c r="L767" s="53"/>
      <c r="M767" s="54"/>
    </row>
    <row r="768" spans="1:13" x14ac:dyDescent="0.25">
      <c r="A768" s="52"/>
      <c r="B768" s="53"/>
      <c r="C768" s="53"/>
      <c r="D768" s="53"/>
      <c r="E768" s="4"/>
      <c r="F768" s="41"/>
      <c r="G768" s="41"/>
      <c r="H768" s="41"/>
      <c r="I768" s="41"/>
      <c r="J768" s="58"/>
      <c r="K768" s="59"/>
      <c r="L768" s="53"/>
      <c r="M768" s="54"/>
    </row>
    <row r="769" spans="1:13" x14ac:dyDescent="0.25">
      <c r="A769" s="52"/>
      <c r="B769" s="53"/>
      <c r="C769" s="53"/>
      <c r="D769" s="53"/>
      <c r="E769" s="4"/>
      <c r="F769" s="41"/>
      <c r="G769" s="41"/>
      <c r="H769" s="41"/>
      <c r="I769" s="41"/>
      <c r="J769" s="41"/>
      <c r="K769" s="41"/>
      <c r="L769" s="53"/>
      <c r="M769" s="54"/>
    </row>
    <row r="770" spans="1:13" x14ac:dyDescent="0.25">
      <c r="A770" s="52"/>
      <c r="B770" s="53"/>
      <c r="C770" s="53"/>
      <c r="D770" s="53"/>
      <c r="E770" s="9"/>
      <c r="F770" s="41"/>
      <c r="G770" s="41"/>
      <c r="H770" s="41"/>
      <c r="I770" s="41"/>
      <c r="J770" s="41"/>
      <c r="K770" s="41"/>
      <c r="L770" s="53"/>
      <c r="M770" s="54"/>
    </row>
    <row r="771" spans="1:13" x14ac:dyDescent="0.25">
      <c r="A771" s="52"/>
      <c r="B771" s="53"/>
      <c r="C771" s="53"/>
      <c r="D771" s="53"/>
      <c r="E771" s="9"/>
      <c r="F771" s="41"/>
      <c r="G771" s="41"/>
      <c r="H771" s="41"/>
      <c r="I771" s="41"/>
      <c r="J771" s="41"/>
      <c r="K771" s="41"/>
      <c r="L771" s="53"/>
      <c r="M771" s="54"/>
    </row>
    <row r="772" spans="1:13" x14ac:dyDescent="0.25">
      <c r="A772" s="52" t="s">
        <v>41</v>
      </c>
      <c r="B772" s="53"/>
      <c r="C772" s="53"/>
      <c r="D772" s="53"/>
      <c r="E772" s="9"/>
      <c r="F772" s="53"/>
      <c r="G772" s="53"/>
      <c r="H772" s="53"/>
      <c r="I772" s="53"/>
      <c r="J772" s="53"/>
      <c r="K772" s="53"/>
      <c r="L772" s="53"/>
      <c r="M772" s="54"/>
    </row>
    <row r="773" spans="1:13" x14ac:dyDescent="0.25">
      <c r="A773" s="52" t="s">
        <v>16</v>
      </c>
      <c r="B773" s="53"/>
      <c r="C773" s="53"/>
      <c r="D773" s="53"/>
      <c r="E773" s="9"/>
      <c r="F773" s="53"/>
      <c r="G773" s="53"/>
      <c r="H773" s="53"/>
      <c r="I773" s="53"/>
      <c r="J773" s="53"/>
      <c r="K773" s="53"/>
      <c r="L773" s="53"/>
      <c r="M773" s="54"/>
    </row>
    <row r="774" spans="1:13" x14ac:dyDescent="0.25">
      <c r="A774" s="52" t="s">
        <v>17</v>
      </c>
      <c r="B774" s="53"/>
      <c r="C774" s="53"/>
      <c r="D774" s="53"/>
      <c r="E774" s="9"/>
      <c r="F774" s="53"/>
      <c r="G774" s="53"/>
      <c r="H774" s="53"/>
      <c r="I774" s="53"/>
      <c r="J774" s="53"/>
      <c r="K774" s="53"/>
      <c r="L774" s="53"/>
      <c r="M774" s="54"/>
    </row>
    <row r="775" spans="1:13" x14ac:dyDescent="0.25">
      <c r="A775" s="52" t="s">
        <v>42</v>
      </c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4"/>
    </row>
    <row r="776" spans="1:13" x14ac:dyDescent="0.25">
      <c r="A776" s="55" t="s">
        <v>43</v>
      </c>
      <c r="B776" s="56"/>
      <c r="C776" s="56"/>
      <c r="D776" s="56"/>
      <c r="E776" s="4" t="s">
        <v>36</v>
      </c>
      <c r="F776" s="56" t="s">
        <v>44</v>
      </c>
      <c r="G776" s="56"/>
      <c r="H776" s="56" t="s">
        <v>45</v>
      </c>
      <c r="I776" s="56"/>
      <c r="J776" s="56" t="s">
        <v>46</v>
      </c>
      <c r="K776" s="56"/>
      <c r="L776" s="56" t="s">
        <v>40</v>
      </c>
      <c r="M776" s="57"/>
    </row>
    <row r="777" spans="1:13" x14ac:dyDescent="0.25">
      <c r="A777" s="52"/>
      <c r="B777" s="53"/>
      <c r="C777" s="53"/>
      <c r="D777" s="53"/>
      <c r="E777" s="9"/>
      <c r="F777" s="53"/>
      <c r="G777" s="53"/>
      <c r="H777" s="53"/>
      <c r="I777" s="53"/>
      <c r="J777" s="53"/>
      <c r="K777" s="53"/>
      <c r="L777" s="53"/>
      <c r="M777" s="54"/>
    </row>
    <row r="778" spans="1:13" x14ac:dyDescent="0.25">
      <c r="A778" s="52"/>
      <c r="B778" s="53"/>
      <c r="C778" s="53"/>
      <c r="D778" s="53"/>
      <c r="E778" s="9"/>
      <c r="F778" s="53"/>
      <c r="G778" s="53"/>
      <c r="H778" s="53"/>
      <c r="I778" s="53"/>
      <c r="J778" s="53"/>
      <c r="K778" s="53"/>
      <c r="L778" s="53"/>
      <c r="M778" s="54"/>
    </row>
    <row r="779" spans="1:13" x14ac:dyDescent="0.25">
      <c r="A779" s="52" t="s">
        <v>47</v>
      </c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4"/>
    </row>
    <row r="780" spans="1:13" x14ac:dyDescent="0.25">
      <c r="A780" s="55" t="s">
        <v>48</v>
      </c>
      <c r="B780" s="56"/>
      <c r="C780" s="56" t="s">
        <v>49</v>
      </c>
      <c r="D780" s="56"/>
      <c r="E780" s="56" t="s">
        <v>50</v>
      </c>
      <c r="F780" s="56"/>
      <c r="G780" s="56"/>
      <c r="H780" s="56" t="s">
        <v>51</v>
      </c>
      <c r="I780" s="56"/>
      <c r="J780" s="56" t="s">
        <v>45</v>
      </c>
      <c r="K780" s="56"/>
      <c r="L780" s="56" t="s">
        <v>46</v>
      </c>
      <c r="M780" s="57"/>
    </row>
    <row r="781" spans="1:13" x14ac:dyDescent="0.25">
      <c r="A781" s="40" t="s">
        <v>52</v>
      </c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2"/>
    </row>
    <row r="782" spans="1:13" ht="17.25" thickBot="1" x14ac:dyDescent="0.3">
      <c r="A782" s="40" t="s">
        <v>53</v>
      </c>
      <c r="B782" s="41"/>
      <c r="C782" s="41">
        <v>2</v>
      </c>
      <c r="D782" s="41"/>
      <c r="E782" s="41">
        <v>12</v>
      </c>
      <c r="F782" s="41"/>
      <c r="G782" s="41"/>
      <c r="H782" s="41"/>
      <c r="I782" s="41"/>
      <c r="J782" s="41"/>
      <c r="K782" s="41"/>
      <c r="L782" s="41"/>
      <c r="M782" s="42"/>
    </row>
    <row r="783" spans="1:13" ht="25.15" customHeight="1" thickBot="1" x14ac:dyDescent="0.3">
      <c r="A783" s="43" t="s">
        <v>59</v>
      </c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5"/>
    </row>
    <row r="784" spans="1:13" x14ac:dyDescent="0.25">
      <c r="A784" s="46" t="s">
        <v>60</v>
      </c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8"/>
    </row>
    <row r="785" spans="1:25" x14ac:dyDescent="0.25">
      <c r="A785" s="49" t="s">
        <v>61</v>
      </c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1"/>
    </row>
    <row r="786" spans="1:25" x14ac:dyDescent="0.25">
      <c r="A786" s="25" t="s">
        <v>62</v>
      </c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7"/>
    </row>
    <row r="787" spans="1:25" x14ac:dyDescent="0.25">
      <c r="A787" s="25" t="s">
        <v>63</v>
      </c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7"/>
    </row>
    <row r="788" spans="1:25" x14ac:dyDescent="0.25">
      <c r="A788" s="28" t="s">
        <v>64</v>
      </c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30"/>
    </row>
    <row r="789" spans="1:25" ht="17.25" thickBot="1" x14ac:dyDescent="0.3">
      <c r="A789" s="31" t="s">
        <v>65</v>
      </c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3"/>
    </row>
    <row r="790" spans="1:25" ht="17.25" thickBot="1" x14ac:dyDescent="0.3">
      <c r="A790" s="34" t="s">
        <v>54</v>
      </c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6"/>
    </row>
    <row r="791" spans="1:25" ht="17.25" thickBot="1" x14ac:dyDescent="0.3">
      <c r="A791" s="34" t="s">
        <v>55</v>
      </c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6"/>
    </row>
    <row r="792" spans="1:25" ht="17.25" thickBot="1" x14ac:dyDescent="0.3">
      <c r="A792" s="34" t="s">
        <v>76</v>
      </c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6"/>
    </row>
    <row r="793" spans="1:25" ht="17.25" thickBot="1" x14ac:dyDescent="0.3">
      <c r="A793" s="37" t="s">
        <v>66</v>
      </c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9"/>
    </row>
    <row r="794" spans="1:25" x14ac:dyDescent="0.25">
      <c r="A794" s="12" t="s">
        <v>68</v>
      </c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0"/>
      <c r="T794" s="10"/>
      <c r="U794" s="10"/>
      <c r="V794" s="10"/>
      <c r="W794" s="10"/>
      <c r="X794" s="10"/>
      <c r="Y794" s="10"/>
    </row>
    <row r="795" spans="1:25" x14ac:dyDescent="0.25">
      <c r="A795" s="14" t="s">
        <v>69</v>
      </c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0"/>
      <c r="T795" s="10"/>
      <c r="U795" s="10"/>
      <c r="V795" s="10"/>
      <c r="W795" s="10"/>
      <c r="X795" s="10"/>
      <c r="Y795" s="10"/>
    </row>
    <row r="796" spans="1:25" s="10" customFormat="1" ht="8.25" x14ac:dyDescent="0.25">
      <c r="A796" s="14" t="s">
        <v>70</v>
      </c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</row>
    <row r="797" spans="1:25" x14ac:dyDescent="0.25">
      <c r="A797" s="14" t="s">
        <v>71</v>
      </c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0"/>
      <c r="T797" s="10"/>
      <c r="U797" s="10"/>
      <c r="V797" s="10"/>
      <c r="W797" s="10"/>
      <c r="X797" s="10"/>
      <c r="Y797" s="10"/>
    </row>
    <row r="798" spans="1:25" x14ac:dyDescent="0.25">
      <c r="A798" s="14" t="s">
        <v>72</v>
      </c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0"/>
      <c r="T798" s="10"/>
      <c r="U798" s="10"/>
      <c r="V798" s="10"/>
      <c r="W798" s="10"/>
      <c r="X798" s="10"/>
      <c r="Y798" s="10"/>
    </row>
    <row r="799" spans="1:25" x14ac:dyDescent="0.25">
      <c r="A799" s="14" t="s">
        <v>73</v>
      </c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0"/>
      <c r="T799" s="10"/>
      <c r="U799" s="10"/>
      <c r="V799" s="10"/>
      <c r="W799" s="10"/>
      <c r="X799" s="10"/>
      <c r="Y799" s="10"/>
    </row>
    <row r="800" spans="1:25" ht="28.15" customHeight="1" x14ac:dyDescent="0.25">
      <c r="A800" s="89" t="s">
        <v>19</v>
      </c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</row>
    <row r="801" spans="1:13" x14ac:dyDescent="0.25">
      <c r="A801" s="2" t="s">
        <v>20</v>
      </c>
      <c r="B801" s="2">
        <f>B754+1</f>
        <v>18</v>
      </c>
    </row>
    <row r="802" spans="1:13" ht="17.25" thickBot="1" x14ac:dyDescent="0.3">
      <c r="A802" s="2" t="s">
        <v>21</v>
      </c>
      <c r="B802" s="2" t="s">
        <v>22</v>
      </c>
      <c r="C802" s="2" t="s">
        <v>23</v>
      </c>
      <c r="D802" s="2" t="s">
        <v>24</v>
      </c>
      <c r="F802" s="68" t="s">
        <v>25</v>
      </c>
      <c r="G802" s="68"/>
      <c r="H802" s="69">
        <f>H755+1</f>
        <v>45927</v>
      </c>
      <c r="I802" s="69"/>
      <c r="J802" s="69"/>
      <c r="K802" s="70">
        <f>H802</f>
        <v>45927</v>
      </c>
      <c r="L802" s="70"/>
      <c r="M802" s="70"/>
    </row>
    <row r="803" spans="1:13" ht="16.5" customHeight="1" x14ac:dyDescent="0.25">
      <c r="A803" s="71" t="s">
        <v>26</v>
      </c>
      <c r="B803" s="72"/>
      <c r="C803" s="73"/>
      <c r="D803" s="77" t="s">
        <v>78</v>
      </c>
      <c r="E803" s="78"/>
      <c r="F803" s="78"/>
      <c r="G803" s="79"/>
      <c r="H803" s="83" t="s">
        <v>27</v>
      </c>
      <c r="I803" s="83"/>
      <c r="J803" s="83"/>
      <c r="K803" s="84" t="s">
        <v>81</v>
      </c>
      <c r="L803" s="84"/>
      <c r="M803" s="85"/>
    </row>
    <row r="804" spans="1:13" ht="21" customHeight="1" x14ac:dyDescent="0.25">
      <c r="A804" s="74"/>
      <c r="B804" s="75"/>
      <c r="C804" s="76"/>
      <c r="D804" s="80"/>
      <c r="E804" s="81"/>
      <c r="F804" s="81"/>
      <c r="G804" s="82"/>
      <c r="H804" s="56"/>
      <c r="I804" s="56"/>
      <c r="J804" s="56"/>
      <c r="K804" s="86"/>
      <c r="L804" s="86"/>
      <c r="M804" s="87"/>
    </row>
    <row r="805" spans="1:13" x14ac:dyDescent="0.25">
      <c r="A805" s="6" t="s">
        <v>28</v>
      </c>
      <c r="B805" s="56" t="s">
        <v>82</v>
      </c>
      <c r="C805" s="56"/>
      <c r="D805" s="56" t="s">
        <v>29</v>
      </c>
      <c r="E805" s="56"/>
      <c r="F805" s="56"/>
      <c r="G805" s="7">
        <f>G758+1</f>
        <v>18</v>
      </c>
      <c r="H805" s="4" t="s">
        <v>30</v>
      </c>
      <c r="I805" s="88">
        <f>I758-1</f>
        <v>42</v>
      </c>
      <c r="J805" s="88"/>
      <c r="K805" s="56" t="s">
        <v>74</v>
      </c>
      <c r="L805" s="56"/>
      <c r="M805" s="8">
        <v>0</v>
      </c>
    </row>
    <row r="806" spans="1:13" x14ac:dyDescent="0.25">
      <c r="A806" s="55" t="s">
        <v>31</v>
      </c>
      <c r="B806" s="56"/>
      <c r="C806" s="56"/>
      <c r="D806" s="56" t="s">
        <v>83</v>
      </c>
      <c r="E806" s="56"/>
      <c r="F806" s="56"/>
      <c r="G806" s="56"/>
      <c r="H806" s="56" t="s">
        <v>32</v>
      </c>
      <c r="I806" s="56"/>
      <c r="J806" s="56"/>
      <c r="K806" s="64" t="s">
        <v>84</v>
      </c>
      <c r="L806" s="56"/>
      <c r="M806" s="57"/>
    </row>
    <row r="807" spans="1:13" x14ac:dyDescent="0.25">
      <c r="A807" s="55" t="s">
        <v>33</v>
      </c>
      <c r="B807" s="56"/>
      <c r="C807" s="56"/>
      <c r="D807" s="65">
        <v>0.12</v>
      </c>
      <c r="E807" s="65"/>
      <c r="F807" s="65"/>
      <c r="G807" s="65"/>
      <c r="H807" s="56" t="s">
        <v>18</v>
      </c>
      <c r="I807" s="56"/>
      <c r="J807" s="56"/>
      <c r="K807" s="66">
        <f>施工項目!AQ500</f>
        <v>0.1510686274509804</v>
      </c>
      <c r="L807" s="66"/>
      <c r="M807" s="67"/>
    </row>
    <row r="808" spans="1:13" x14ac:dyDescent="0.25">
      <c r="A808" s="52" t="s">
        <v>34</v>
      </c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4"/>
    </row>
    <row r="809" spans="1:13" s="2" customFormat="1" x14ac:dyDescent="0.25">
      <c r="A809" s="60" t="s">
        <v>35</v>
      </c>
      <c r="B809" s="61"/>
      <c r="C809" s="61"/>
      <c r="D809" s="62"/>
      <c r="E809" s="11" t="s">
        <v>36</v>
      </c>
      <c r="F809" s="60" t="s">
        <v>37</v>
      </c>
      <c r="G809" s="62"/>
      <c r="H809" s="60" t="s">
        <v>38</v>
      </c>
      <c r="I809" s="62"/>
      <c r="J809" s="63" t="s">
        <v>39</v>
      </c>
      <c r="K809" s="63"/>
      <c r="L809" s="56" t="s">
        <v>40</v>
      </c>
      <c r="M809" s="57"/>
    </row>
    <row r="810" spans="1:13" x14ac:dyDescent="0.25">
      <c r="A810" s="52" t="s">
        <v>90</v>
      </c>
      <c r="B810" s="53"/>
      <c r="C810" s="53"/>
      <c r="D810" s="53"/>
      <c r="E810" s="4" t="s">
        <v>57</v>
      </c>
      <c r="F810" s="41">
        <v>1</v>
      </c>
      <c r="G810" s="41"/>
      <c r="H810" s="41">
        <v>0.2</v>
      </c>
      <c r="I810" s="41"/>
      <c r="J810" s="41">
        <v>1</v>
      </c>
      <c r="K810" s="41"/>
      <c r="L810" s="53"/>
      <c r="M810" s="54"/>
    </row>
    <row r="811" spans="1:13" x14ac:dyDescent="0.25">
      <c r="A811" s="52"/>
      <c r="B811" s="53"/>
      <c r="C811" s="53"/>
      <c r="D811" s="53"/>
      <c r="E811" s="4"/>
      <c r="F811" s="41"/>
      <c r="G811" s="41"/>
      <c r="H811" s="41"/>
      <c r="I811" s="41"/>
      <c r="J811" s="41"/>
      <c r="K811" s="41"/>
      <c r="L811" s="53"/>
      <c r="M811" s="54"/>
    </row>
    <row r="812" spans="1:13" x14ac:dyDescent="0.25">
      <c r="A812" s="52"/>
      <c r="B812" s="53"/>
      <c r="C812" s="53"/>
      <c r="D812" s="53"/>
      <c r="E812" s="4"/>
      <c r="F812" s="41"/>
      <c r="G812" s="41"/>
      <c r="H812" s="41"/>
      <c r="I812" s="41"/>
      <c r="J812" s="41"/>
      <c r="K812" s="41"/>
      <c r="L812" s="53"/>
      <c r="M812" s="54"/>
    </row>
    <row r="813" spans="1:13" x14ac:dyDescent="0.25">
      <c r="A813" s="52"/>
      <c r="B813" s="53"/>
      <c r="C813" s="53"/>
      <c r="D813" s="53"/>
      <c r="E813" s="4"/>
      <c r="F813" s="41"/>
      <c r="G813" s="41"/>
      <c r="H813" s="41"/>
      <c r="I813" s="41"/>
      <c r="J813" s="41"/>
      <c r="K813" s="41"/>
      <c r="L813" s="53"/>
      <c r="M813" s="54"/>
    </row>
    <row r="814" spans="1:13" x14ac:dyDescent="0.25">
      <c r="A814" s="52"/>
      <c r="B814" s="53"/>
      <c r="C814" s="53"/>
      <c r="D814" s="53"/>
      <c r="E814" s="4"/>
      <c r="F814" s="56"/>
      <c r="G814" s="56"/>
      <c r="H814" s="41"/>
      <c r="I814" s="41"/>
      <c r="J814" s="41"/>
      <c r="K814" s="41"/>
      <c r="L814" s="53"/>
      <c r="M814" s="54"/>
    </row>
    <row r="815" spans="1:13" x14ac:dyDescent="0.25">
      <c r="A815" s="52"/>
      <c r="B815" s="53"/>
      <c r="C815" s="53"/>
      <c r="D815" s="53"/>
      <c r="E815" s="4"/>
      <c r="F815" s="41"/>
      <c r="G815" s="41"/>
      <c r="H815" s="41"/>
      <c r="I815" s="41"/>
      <c r="J815" s="58"/>
      <c r="K815" s="59"/>
      <c r="L815" s="53"/>
      <c r="M815" s="54"/>
    </row>
    <row r="816" spans="1:13" x14ac:dyDescent="0.25">
      <c r="A816" s="52"/>
      <c r="B816" s="53"/>
      <c r="C816" s="53"/>
      <c r="D816" s="53"/>
      <c r="E816" s="4"/>
      <c r="F816" s="41"/>
      <c r="G816" s="41"/>
      <c r="H816" s="41"/>
      <c r="I816" s="41"/>
      <c r="J816" s="41"/>
      <c r="K816" s="41"/>
      <c r="L816" s="53"/>
      <c r="M816" s="54"/>
    </row>
    <row r="817" spans="1:13" x14ac:dyDescent="0.25">
      <c r="A817" s="52"/>
      <c r="B817" s="53"/>
      <c r="C817" s="53"/>
      <c r="D817" s="53"/>
      <c r="E817" s="9"/>
      <c r="F817" s="41"/>
      <c r="G817" s="41"/>
      <c r="H817" s="41"/>
      <c r="I817" s="41"/>
      <c r="J817" s="41"/>
      <c r="K817" s="41"/>
      <c r="L817" s="53"/>
      <c r="M817" s="54"/>
    </row>
    <row r="818" spans="1:13" x14ac:dyDescent="0.25">
      <c r="A818" s="52"/>
      <c r="B818" s="53"/>
      <c r="C818" s="53"/>
      <c r="D818" s="53"/>
      <c r="E818" s="9"/>
      <c r="F818" s="41"/>
      <c r="G818" s="41"/>
      <c r="H818" s="41"/>
      <c r="I818" s="41"/>
      <c r="J818" s="41"/>
      <c r="K818" s="41"/>
      <c r="L818" s="53"/>
      <c r="M818" s="54"/>
    </row>
    <row r="819" spans="1:13" x14ac:dyDescent="0.25">
      <c r="A819" s="52" t="s">
        <v>41</v>
      </c>
      <c r="B819" s="53"/>
      <c r="C819" s="53"/>
      <c r="D819" s="53"/>
      <c r="E819" s="9"/>
      <c r="F819" s="53"/>
      <c r="G819" s="53"/>
      <c r="H819" s="53"/>
      <c r="I819" s="53"/>
      <c r="J819" s="53"/>
      <c r="K819" s="53"/>
      <c r="L819" s="53"/>
      <c r="M819" s="54"/>
    </row>
    <row r="820" spans="1:13" x14ac:dyDescent="0.25">
      <c r="A820" s="52" t="s">
        <v>16</v>
      </c>
      <c r="B820" s="53"/>
      <c r="C820" s="53"/>
      <c r="D820" s="53"/>
      <c r="E820" s="9"/>
      <c r="F820" s="53"/>
      <c r="G820" s="53"/>
      <c r="H820" s="53"/>
      <c r="I820" s="53"/>
      <c r="J820" s="53"/>
      <c r="K820" s="53"/>
      <c r="L820" s="53"/>
      <c r="M820" s="54"/>
    </row>
    <row r="821" spans="1:13" x14ac:dyDescent="0.25">
      <c r="A821" s="52" t="s">
        <v>17</v>
      </c>
      <c r="B821" s="53"/>
      <c r="C821" s="53"/>
      <c r="D821" s="53"/>
      <c r="E821" s="9"/>
      <c r="F821" s="53"/>
      <c r="G821" s="53"/>
      <c r="H821" s="53"/>
      <c r="I821" s="53"/>
      <c r="J821" s="53"/>
      <c r="K821" s="53"/>
      <c r="L821" s="53"/>
      <c r="M821" s="54"/>
    </row>
    <row r="822" spans="1:13" x14ac:dyDescent="0.25">
      <c r="A822" s="52" t="s">
        <v>42</v>
      </c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4"/>
    </row>
    <row r="823" spans="1:13" x14ac:dyDescent="0.25">
      <c r="A823" s="55" t="s">
        <v>43</v>
      </c>
      <c r="B823" s="56"/>
      <c r="C823" s="56"/>
      <c r="D823" s="56"/>
      <c r="E823" s="4" t="s">
        <v>36</v>
      </c>
      <c r="F823" s="56" t="s">
        <v>44</v>
      </c>
      <c r="G823" s="56"/>
      <c r="H823" s="56" t="s">
        <v>45</v>
      </c>
      <c r="I823" s="56"/>
      <c r="J823" s="56" t="s">
        <v>46</v>
      </c>
      <c r="K823" s="56"/>
      <c r="L823" s="56" t="s">
        <v>40</v>
      </c>
      <c r="M823" s="57"/>
    </row>
    <row r="824" spans="1:13" x14ac:dyDescent="0.25">
      <c r="A824" s="52"/>
      <c r="B824" s="53"/>
      <c r="C824" s="53"/>
      <c r="D824" s="53"/>
      <c r="E824" s="9"/>
      <c r="F824" s="53"/>
      <c r="G824" s="53"/>
      <c r="H824" s="53"/>
      <c r="I824" s="53"/>
      <c r="J824" s="53"/>
      <c r="K824" s="53"/>
      <c r="L824" s="53"/>
      <c r="M824" s="54"/>
    </row>
    <row r="825" spans="1:13" x14ac:dyDescent="0.25">
      <c r="A825" s="52"/>
      <c r="B825" s="53"/>
      <c r="C825" s="53"/>
      <c r="D825" s="53"/>
      <c r="E825" s="9"/>
      <c r="F825" s="53"/>
      <c r="G825" s="53"/>
      <c r="H825" s="53"/>
      <c r="I825" s="53"/>
      <c r="J825" s="53"/>
      <c r="K825" s="53"/>
      <c r="L825" s="53"/>
      <c r="M825" s="54"/>
    </row>
    <row r="826" spans="1:13" x14ac:dyDescent="0.25">
      <c r="A826" s="52" t="s">
        <v>47</v>
      </c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4"/>
    </row>
    <row r="827" spans="1:13" x14ac:dyDescent="0.25">
      <c r="A827" s="55" t="s">
        <v>48</v>
      </c>
      <c r="B827" s="56"/>
      <c r="C827" s="56" t="s">
        <v>49</v>
      </c>
      <c r="D827" s="56"/>
      <c r="E827" s="56" t="s">
        <v>50</v>
      </c>
      <c r="F827" s="56"/>
      <c r="G827" s="56"/>
      <c r="H827" s="56" t="s">
        <v>51</v>
      </c>
      <c r="I827" s="56"/>
      <c r="J827" s="56" t="s">
        <v>45</v>
      </c>
      <c r="K827" s="56"/>
      <c r="L827" s="56" t="s">
        <v>46</v>
      </c>
      <c r="M827" s="57"/>
    </row>
    <row r="828" spans="1:13" x14ac:dyDescent="0.25">
      <c r="A828" s="40" t="s">
        <v>52</v>
      </c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2"/>
    </row>
    <row r="829" spans="1:13" ht="17.25" thickBot="1" x14ac:dyDescent="0.3">
      <c r="A829" s="40" t="s">
        <v>53</v>
      </c>
      <c r="B829" s="41"/>
      <c r="C829" s="41">
        <v>2</v>
      </c>
      <c r="D829" s="41"/>
      <c r="E829" s="41">
        <v>14</v>
      </c>
      <c r="F829" s="41"/>
      <c r="G829" s="41"/>
      <c r="H829" s="41"/>
      <c r="I829" s="41"/>
      <c r="J829" s="41"/>
      <c r="K829" s="41"/>
      <c r="L829" s="41"/>
      <c r="M829" s="42"/>
    </row>
    <row r="830" spans="1:13" ht="25.15" customHeight="1" thickBot="1" x14ac:dyDescent="0.3">
      <c r="A830" s="43" t="s">
        <v>59</v>
      </c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5"/>
    </row>
    <row r="831" spans="1:13" x14ac:dyDescent="0.25">
      <c r="A831" s="46" t="s">
        <v>60</v>
      </c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8"/>
    </row>
    <row r="832" spans="1:13" x14ac:dyDescent="0.25">
      <c r="A832" s="49" t="s">
        <v>61</v>
      </c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1"/>
    </row>
    <row r="833" spans="1:25" x14ac:dyDescent="0.25">
      <c r="A833" s="25" t="s">
        <v>62</v>
      </c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7"/>
    </row>
    <row r="834" spans="1:25" x14ac:dyDescent="0.25">
      <c r="A834" s="25" t="s">
        <v>63</v>
      </c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7"/>
    </row>
    <row r="835" spans="1:25" x14ac:dyDescent="0.25">
      <c r="A835" s="28" t="s">
        <v>64</v>
      </c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30"/>
    </row>
    <row r="836" spans="1:25" ht="17.25" thickBot="1" x14ac:dyDescent="0.3">
      <c r="A836" s="31" t="s">
        <v>65</v>
      </c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3"/>
    </row>
    <row r="837" spans="1:25" ht="17.25" thickBot="1" x14ac:dyDescent="0.3">
      <c r="A837" s="34" t="s">
        <v>54</v>
      </c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6"/>
    </row>
    <row r="838" spans="1:25" ht="17.25" thickBot="1" x14ac:dyDescent="0.3">
      <c r="A838" s="34" t="s">
        <v>55</v>
      </c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6"/>
    </row>
    <row r="839" spans="1:25" ht="17.25" thickBot="1" x14ac:dyDescent="0.3">
      <c r="A839" s="34" t="s">
        <v>76</v>
      </c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6"/>
    </row>
    <row r="840" spans="1:25" ht="17.25" thickBot="1" x14ac:dyDescent="0.3">
      <c r="A840" s="37" t="s">
        <v>66</v>
      </c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9"/>
    </row>
    <row r="841" spans="1:25" x14ac:dyDescent="0.25">
      <c r="A841" s="12" t="s">
        <v>68</v>
      </c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0"/>
      <c r="T841" s="10"/>
      <c r="U841" s="10"/>
      <c r="V841" s="10"/>
      <c r="W841" s="10"/>
      <c r="X841" s="10"/>
      <c r="Y841" s="10"/>
    </row>
    <row r="842" spans="1:25" x14ac:dyDescent="0.25">
      <c r="A842" s="14" t="s">
        <v>69</v>
      </c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0"/>
      <c r="T842" s="10"/>
      <c r="U842" s="10"/>
      <c r="V842" s="10"/>
      <c r="W842" s="10"/>
      <c r="X842" s="10"/>
      <c r="Y842" s="10"/>
    </row>
    <row r="843" spans="1:25" s="10" customFormat="1" ht="8.25" x14ac:dyDescent="0.25">
      <c r="A843" s="14" t="s">
        <v>70</v>
      </c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</row>
    <row r="844" spans="1:25" x14ac:dyDescent="0.25">
      <c r="A844" s="14" t="s">
        <v>71</v>
      </c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0"/>
      <c r="T844" s="10"/>
      <c r="U844" s="10"/>
      <c r="V844" s="10"/>
      <c r="W844" s="10"/>
      <c r="X844" s="10"/>
      <c r="Y844" s="10"/>
    </row>
    <row r="845" spans="1:25" x14ac:dyDescent="0.25">
      <c r="A845" s="14" t="s">
        <v>72</v>
      </c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0"/>
      <c r="T845" s="10"/>
      <c r="U845" s="10"/>
      <c r="V845" s="10"/>
      <c r="W845" s="10"/>
      <c r="X845" s="10"/>
      <c r="Y845" s="10"/>
    </row>
    <row r="846" spans="1:25" x14ac:dyDescent="0.25">
      <c r="A846" s="14" t="s">
        <v>73</v>
      </c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0"/>
      <c r="T846" s="10"/>
      <c r="U846" s="10"/>
      <c r="V846" s="10"/>
      <c r="W846" s="10"/>
      <c r="X846" s="10"/>
      <c r="Y846" s="10"/>
    </row>
    <row r="847" spans="1:25" ht="28.15" customHeight="1" x14ac:dyDescent="0.25">
      <c r="A847" s="89" t="s">
        <v>19</v>
      </c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</row>
    <row r="848" spans="1:25" x14ac:dyDescent="0.25">
      <c r="A848" s="2" t="s">
        <v>20</v>
      </c>
      <c r="B848" s="2">
        <f>B801+1</f>
        <v>19</v>
      </c>
    </row>
    <row r="849" spans="1:13" ht="17.25" thickBot="1" x14ac:dyDescent="0.3">
      <c r="A849" s="2" t="s">
        <v>21</v>
      </c>
      <c r="B849" s="2" t="s">
        <v>22</v>
      </c>
      <c r="C849" s="2" t="s">
        <v>23</v>
      </c>
      <c r="D849" s="2" t="s">
        <v>24</v>
      </c>
      <c r="F849" s="68" t="s">
        <v>25</v>
      </c>
      <c r="G849" s="68"/>
      <c r="H849" s="69">
        <f>H802+1</f>
        <v>45928</v>
      </c>
      <c r="I849" s="69"/>
      <c r="J849" s="69"/>
      <c r="K849" s="70">
        <f>H849</f>
        <v>45928</v>
      </c>
      <c r="L849" s="70"/>
      <c r="M849" s="70"/>
    </row>
    <row r="850" spans="1:13" ht="16.5" customHeight="1" x14ac:dyDescent="0.25">
      <c r="A850" s="71" t="s">
        <v>26</v>
      </c>
      <c r="B850" s="72"/>
      <c r="C850" s="73"/>
      <c r="D850" s="77" t="s">
        <v>78</v>
      </c>
      <c r="E850" s="78"/>
      <c r="F850" s="78"/>
      <c r="G850" s="79"/>
      <c r="H850" s="83" t="s">
        <v>27</v>
      </c>
      <c r="I850" s="83"/>
      <c r="J850" s="83"/>
      <c r="K850" s="84" t="s">
        <v>81</v>
      </c>
      <c r="L850" s="84"/>
      <c r="M850" s="85"/>
    </row>
    <row r="851" spans="1:13" ht="21" customHeight="1" x14ac:dyDescent="0.25">
      <c r="A851" s="74"/>
      <c r="B851" s="75"/>
      <c r="C851" s="76"/>
      <c r="D851" s="80"/>
      <c r="E851" s="81"/>
      <c r="F851" s="81"/>
      <c r="G851" s="82"/>
      <c r="H851" s="56"/>
      <c r="I851" s="56"/>
      <c r="J851" s="56"/>
      <c r="K851" s="86"/>
      <c r="L851" s="86"/>
      <c r="M851" s="87"/>
    </row>
    <row r="852" spans="1:13" x14ac:dyDescent="0.25">
      <c r="A852" s="6" t="s">
        <v>28</v>
      </c>
      <c r="B852" s="56" t="s">
        <v>82</v>
      </c>
      <c r="C852" s="56"/>
      <c r="D852" s="56" t="s">
        <v>29</v>
      </c>
      <c r="E852" s="56"/>
      <c r="F852" s="56"/>
      <c r="G852" s="7">
        <f>G805+1</f>
        <v>19</v>
      </c>
      <c r="H852" s="4" t="s">
        <v>30</v>
      </c>
      <c r="I852" s="88">
        <f>I805-1</f>
        <v>41</v>
      </c>
      <c r="J852" s="88"/>
      <c r="K852" s="56" t="s">
        <v>74</v>
      </c>
      <c r="L852" s="56"/>
      <c r="M852" s="8">
        <v>0</v>
      </c>
    </row>
    <row r="853" spans="1:13" x14ac:dyDescent="0.25">
      <c r="A853" s="55" t="s">
        <v>31</v>
      </c>
      <c r="B853" s="56"/>
      <c r="C853" s="56"/>
      <c r="D853" s="56" t="s">
        <v>83</v>
      </c>
      <c r="E853" s="56"/>
      <c r="F853" s="56"/>
      <c r="G853" s="56"/>
      <c r="H853" s="56" t="s">
        <v>32</v>
      </c>
      <c r="I853" s="56"/>
      <c r="J853" s="56"/>
      <c r="K853" s="64" t="s">
        <v>84</v>
      </c>
      <c r="L853" s="56"/>
      <c r="M853" s="57"/>
    </row>
    <row r="854" spans="1:13" x14ac:dyDescent="0.25">
      <c r="A854" s="55" t="s">
        <v>33</v>
      </c>
      <c r="B854" s="56"/>
      <c r="C854" s="56"/>
      <c r="D854" s="65">
        <v>0.13</v>
      </c>
      <c r="E854" s="65"/>
      <c r="F854" s="65"/>
      <c r="G854" s="65"/>
      <c r="H854" s="56" t="s">
        <v>18</v>
      </c>
      <c r="I854" s="56"/>
      <c r="J854" s="56"/>
      <c r="K854" s="66">
        <f>施工項目!AQ528</f>
        <v>0.15334313725490195</v>
      </c>
      <c r="L854" s="66"/>
      <c r="M854" s="67"/>
    </row>
    <row r="855" spans="1:13" x14ac:dyDescent="0.25">
      <c r="A855" s="52" t="s">
        <v>34</v>
      </c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4"/>
    </row>
    <row r="856" spans="1:13" s="2" customFormat="1" x14ac:dyDescent="0.25">
      <c r="A856" s="60" t="s">
        <v>35</v>
      </c>
      <c r="B856" s="61"/>
      <c r="C856" s="61"/>
      <c r="D856" s="62"/>
      <c r="E856" s="11" t="s">
        <v>36</v>
      </c>
      <c r="F856" s="60" t="s">
        <v>37</v>
      </c>
      <c r="G856" s="62"/>
      <c r="H856" s="60" t="s">
        <v>38</v>
      </c>
      <c r="I856" s="62"/>
      <c r="J856" s="63" t="s">
        <v>39</v>
      </c>
      <c r="K856" s="63"/>
      <c r="L856" s="56" t="s">
        <v>40</v>
      </c>
      <c r="M856" s="57"/>
    </row>
    <row r="857" spans="1:13" x14ac:dyDescent="0.25">
      <c r="A857" s="52" t="s">
        <v>91</v>
      </c>
      <c r="B857" s="53"/>
      <c r="C857" s="53"/>
      <c r="D857" s="53"/>
      <c r="E857" s="4"/>
      <c r="F857" s="41"/>
      <c r="G857" s="41"/>
      <c r="H857" s="41"/>
      <c r="I857" s="41"/>
      <c r="J857" s="41"/>
      <c r="K857" s="41"/>
      <c r="L857" s="53"/>
      <c r="M857" s="54"/>
    </row>
    <row r="858" spans="1:13" x14ac:dyDescent="0.25">
      <c r="A858" s="52"/>
      <c r="B858" s="53"/>
      <c r="C858" s="53"/>
      <c r="D858" s="53"/>
      <c r="E858" s="4"/>
      <c r="F858" s="41"/>
      <c r="G858" s="41"/>
      <c r="H858" s="41"/>
      <c r="I858" s="41"/>
      <c r="J858" s="41"/>
      <c r="K858" s="41"/>
      <c r="L858" s="53"/>
      <c r="M858" s="54"/>
    </row>
    <row r="859" spans="1:13" x14ac:dyDescent="0.25">
      <c r="A859" s="52"/>
      <c r="B859" s="53"/>
      <c r="C859" s="53"/>
      <c r="D859" s="53"/>
      <c r="E859" s="4"/>
      <c r="F859" s="41"/>
      <c r="G859" s="41"/>
      <c r="H859" s="41"/>
      <c r="I859" s="41"/>
      <c r="J859" s="41"/>
      <c r="K859" s="41"/>
      <c r="L859" s="53"/>
      <c r="M859" s="54"/>
    </row>
    <row r="860" spans="1:13" x14ac:dyDescent="0.25">
      <c r="A860" s="52"/>
      <c r="B860" s="53"/>
      <c r="C860" s="53"/>
      <c r="D860" s="53"/>
      <c r="E860" s="4"/>
      <c r="F860" s="41"/>
      <c r="G860" s="41"/>
      <c r="H860" s="41"/>
      <c r="I860" s="41"/>
      <c r="J860" s="41"/>
      <c r="K860" s="41"/>
      <c r="L860" s="53"/>
      <c r="M860" s="54"/>
    </row>
    <row r="861" spans="1:13" x14ac:dyDescent="0.25">
      <c r="A861" s="52"/>
      <c r="B861" s="53"/>
      <c r="C861" s="53"/>
      <c r="D861" s="53"/>
      <c r="E861" s="4"/>
      <c r="F861" s="56"/>
      <c r="G861" s="56"/>
      <c r="H861" s="41"/>
      <c r="I861" s="41"/>
      <c r="J861" s="41"/>
      <c r="K861" s="41"/>
      <c r="L861" s="53"/>
      <c r="M861" s="54"/>
    </row>
    <row r="862" spans="1:13" x14ac:dyDescent="0.25">
      <c r="A862" s="52"/>
      <c r="B862" s="53"/>
      <c r="C862" s="53"/>
      <c r="D862" s="53"/>
      <c r="E862" s="4"/>
      <c r="F862" s="41"/>
      <c r="G862" s="41"/>
      <c r="H862" s="41"/>
      <c r="I862" s="41"/>
      <c r="J862" s="58"/>
      <c r="K862" s="59"/>
      <c r="L862" s="53"/>
      <c r="M862" s="54"/>
    </row>
    <row r="863" spans="1:13" x14ac:dyDescent="0.25">
      <c r="A863" s="52"/>
      <c r="B863" s="53"/>
      <c r="C863" s="53"/>
      <c r="D863" s="53"/>
      <c r="E863" s="4"/>
      <c r="F863" s="41"/>
      <c r="G863" s="41"/>
      <c r="H863" s="41"/>
      <c r="I863" s="41"/>
      <c r="J863" s="41"/>
      <c r="K863" s="41"/>
      <c r="L863" s="53"/>
      <c r="M863" s="54"/>
    </row>
    <row r="864" spans="1:13" x14ac:dyDescent="0.25">
      <c r="A864" s="52"/>
      <c r="B864" s="53"/>
      <c r="C864" s="53"/>
      <c r="D864" s="53"/>
      <c r="E864" s="9"/>
      <c r="F864" s="41"/>
      <c r="G864" s="41"/>
      <c r="H864" s="41"/>
      <c r="I864" s="41"/>
      <c r="J864" s="41"/>
      <c r="K864" s="41"/>
      <c r="L864" s="53"/>
      <c r="M864" s="54"/>
    </row>
    <row r="865" spans="1:13" x14ac:dyDescent="0.25">
      <c r="A865" s="52"/>
      <c r="B865" s="53"/>
      <c r="C865" s="53"/>
      <c r="D865" s="53"/>
      <c r="E865" s="9"/>
      <c r="F865" s="41"/>
      <c r="G865" s="41"/>
      <c r="H865" s="41"/>
      <c r="I865" s="41"/>
      <c r="J865" s="41"/>
      <c r="K865" s="41"/>
      <c r="L865" s="53"/>
      <c r="M865" s="54"/>
    </row>
    <row r="866" spans="1:13" x14ac:dyDescent="0.25">
      <c r="A866" s="52" t="s">
        <v>41</v>
      </c>
      <c r="B866" s="53"/>
      <c r="C866" s="53"/>
      <c r="D866" s="53"/>
      <c r="E866" s="9"/>
      <c r="F866" s="53"/>
      <c r="G866" s="53"/>
      <c r="H866" s="53"/>
      <c r="I866" s="53"/>
      <c r="J866" s="53"/>
      <c r="K866" s="53"/>
      <c r="L866" s="53"/>
      <c r="M866" s="54"/>
    </row>
    <row r="867" spans="1:13" x14ac:dyDescent="0.25">
      <c r="A867" s="52" t="s">
        <v>16</v>
      </c>
      <c r="B867" s="53"/>
      <c r="C867" s="53"/>
      <c r="D867" s="53"/>
      <c r="E867" s="9"/>
      <c r="F867" s="53"/>
      <c r="G867" s="53"/>
      <c r="H867" s="53"/>
      <c r="I867" s="53"/>
      <c r="J867" s="53"/>
      <c r="K867" s="53"/>
      <c r="L867" s="53"/>
      <c r="M867" s="54"/>
    </row>
    <row r="868" spans="1:13" x14ac:dyDescent="0.25">
      <c r="A868" s="52" t="s">
        <v>17</v>
      </c>
      <c r="B868" s="53"/>
      <c r="C868" s="53"/>
      <c r="D868" s="53"/>
      <c r="E868" s="9"/>
      <c r="F868" s="53"/>
      <c r="G868" s="53"/>
      <c r="H868" s="53"/>
      <c r="I868" s="53"/>
      <c r="J868" s="53"/>
      <c r="K868" s="53"/>
      <c r="L868" s="53"/>
      <c r="M868" s="54"/>
    </row>
    <row r="869" spans="1:13" x14ac:dyDescent="0.25">
      <c r="A869" s="52" t="s">
        <v>42</v>
      </c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4"/>
    </row>
    <row r="870" spans="1:13" x14ac:dyDescent="0.25">
      <c r="A870" s="55" t="s">
        <v>43</v>
      </c>
      <c r="B870" s="56"/>
      <c r="C870" s="56"/>
      <c r="D870" s="56"/>
      <c r="E870" s="4" t="s">
        <v>36</v>
      </c>
      <c r="F870" s="56" t="s">
        <v>44</v>
      </c>
      <c r="G870" s="56"/>
      <c r="H870" s="56" t="s">
        <v>45</v>
      </c>
      <c r="I870" s="56"/>
      <c r="J870" s="56" t="s">
        <v>46</v>
      </c>
      <c r="K870" s="56"/>
      <c r="L870" s="56" t="s">
        <v>40</v>
      </c>
      <c r="M870" s="57"/>
    </row>
    <row r="871" spans="1:13" x14ac:dyDescent="0.25">
      <c r="A871" s="52"/>
      <c r="B871" s="53"/>
      <c r="C871" s="53"/>
      <c r="D871" s="53"/>
      <c r="E871" s="9"/>
      <c r="F871" s="53"/>
      <c r="G871" s="53"/>
      <c r="H871" s="53"/>
      <c r="I871" s="53"/>
      <c r="J871" s="53"/>
      <c r="K871" s="53"/>
      <c r="L871" s="53"/>
      <c r="M871" s="54"/>
    </row>
    <row r="872" spans="1:13" x14ac:dyDescent="0.25">
      <c r="A872" s="52"/>
      <c r="B872" s="53"/>
      <c r="C872" s="53"/>
      <c r="D872" s="53"/>
      <c r="E872" s="9"/>
      <c r="F872" s="53"/>
      <c r="G872" s="53"/>
      <c r="H872" s="53"/>
      <c r="I872" s="53"/>
      <c r="J872" s="53"/>
      <c r="K872" s="53"/>
      <c r="L872" s="53"/>
      <c r="M872" s="54"/>
    </row>
    <row r="873" spans="1:13" x14ac:dyDescent="0.25">
      <c r="A873" s="52" t="s">
        <v>47</v>
      </c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4"/>
    </row>
    <row r="874" spans="1:13" x14ac:dyDescent="0.25">
      <c r="A874" s="55" t="s">
        <v>48</v>
      </c>
      <c r="B874" s="56"/>
      <c r="C874" s="56" t="s">
        <v>49</v>
      </c>
      <c r="D874" s="56"/>
      <c r="E874" s="56" t="s">
        <v>50</v>
      </c>
      <c r="F874" s="56"/>
      <c r="G874" s="56"/>
      <c r="H874" s="56" t="s">
        <v>51</v>
      </c>
      <c r="I874" s="56"/>
      <c r="J874" s="56" t="s">
        <v>45</v>
      </c>
      <c r="K874" s="56"/>
      <c r="L874" s="56" t="s">
        <v>46</v>
      </c>
      <c r="M874" s="57"/>
    </row>
    <row r="875" spans="1:13" x14ac:dyDescent="0.25">
      <c r="A875" s="40" t="s">
        <v>52</v>
      </c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2"/>
    </row>
    <row r="876" spans="1:13" ht="17.25" thickBot="1" x14ac:dyDescent="0.3">
      <c r="A876" s="40" t="s">
        <v>53</v>
      </c>
      <c r="B876" s="41"/>
      <c r="C876" s="41">
        <v>1</v>
      </c>
      <c r="D876" s="41"/>
      <c r="E876" s="41">
        <v>15</v>
      </c>
      <c r="F876" s="41"/>
      <c r="G876" s="41"/>
      <c r="H876" s="41"/>
      <c r="I876" s="41"/>
      <c r="J876" s="41"/>
      <c r="K876" s="41"/>
      <c r="L876" s="41"/>
      <c r="M876" s="42"/>
    </row>
    <row r="877" spans="1:13" ht="25.15" customHeight="1" thickBot="1" x14ac:dyDescent="0.3">
      <c r="A877" s="43" t="s">
        <v>59</v>
      </c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5"/>
    </row>
    <row r="878" spans="1:13" x14ac:dyDescent="0.25">
      <c r="A878" s="46" t="s">
        <v>60</v>
      </c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8"/>
    </row>
    <row r="879" spans="1:13" x14ac:dyDescent="0.25">
      <c r="A879" s="49" t="s">
        <v>61</v>
      </c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1"/>
    </row>
    <row r="880" spans="1:13" x14ac:dyDescent="0.25">
      <c r="A880" s="25" t="s">
        <v>62</v>
      </c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7"/>
    </row>
    <row r="881" spans="1:25" x14ac:dyDescent="0.25">
      <c r="A881" s="25" t="s">
        <v>63</v>
      </c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7"/>
    </row>
    <row r="882" spans="1:25" x14ac:dyDescent="0.25">
      <c r="A882" s="28" t="s">
        <v>64</v>
      </c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30"/>
    </row>
    <row r="883" spans="1:25" ht="17.25" thickBot="1" x14ac:dyDescent="0.3">
      <c r="A883" s="31" t="s">
        <v>65</v>
      </c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3"/>
    </row>
    <row r="884" spans="1:25" ht="17.25" thickBot="1" x14ac:dyDescent="0.3">
      <c r="A884" s="34" t="s">
        <v>54</v>
      </c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6"/>
    </row>
    <row r="885" spans="1:25" ht="17.25" thickBot="1" x14ac:dyDescent="0.3">
      <c r="A885" s="34" t="s">
        <v>55</v>
      </c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6"/>
    </row>
    <row r="886" spans="1:25" ht="17.25" thickBot="1" x14ac:dyDescent="0.3">
      <c r="A886" s="34" t="s">
        <v>76</v>
      </c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6"/>
    </row>
    <row r="887" spans="1:25" ht="17.25" thickBot="1" x14ac:dyDescent="0.3">
      <c r="A887" s="37" t="s">
        <v>66</v>
      </c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9"/>
    </row>
    <row r="888" spans="1:25" x14ac:dyDescent="0.25">
      <c r="A888" s="12" t="s">
        <v>68</v>
      </c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0"/>
      <c r="T888" s="10"/>
      <c r="U888" s="10"/>
      <c r="V888" s="10"/>
      <c r="W888" s="10"/>
      <c r="X888" s="10"/>
      <c r="Y888" s="10"/>
    </row>
    <row r="889" spans="1:25" x14ac:dyDescent="0.25">
      <c r="A889" s="14" t="s">
        <v>69</v>
      </c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0"/>
      <c r="T889" s="10"/>
      <c r="U889" s="10"/>
      <c r="V889" s="10"/>
      <c r="W889" s="10"/>
      <c r="X889" s="10"/>
      <c r="Y889" s="10"/>
    </row>
    <row r="890" spans="1:25" s="10" customFormat="1" ht="8.25" x14ac:dyDescent="0.25">
      <c r="A890" s="14" t="s">
        <v>70</v>
      </c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</row>
    <row r="891" spans="1:25" x14ac:dyDescent="0.25">
      <c r="A891" s="14" t="s">
        <v>71</v>
      </c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0"/>
      <c r="T891" s="10"/>
      <c r="U891" s="10"/>
      <c r="V891" s="10"/>
      <c r="W891" s="10"/>
      <c r="X891" s="10"/>
      <c r="Y891" s="10"/>
    </row>
    <row r="892" spans="1:25" x14ac:dyDescent="0.25">
      <c r="A892" s="14" t="s">
        <v>72</v>
      </c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0"/>
      <c r="T892" s="10"/>
      <c r="U892" s="10"/>
      <c r="V892" s="10"/>
      <c r="W892" s="10"/>
      <c r="X892" s="10"/>
      <c r="Y892" s="10"/>
    </row>
    <row r="893" spans="1:25" x14ac:dyDescent="0.25">
      <c r="A893" s="14" t="s">
        <v>73</v>
      </c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0"/>
      <c r="T893" s="10"/>
      <c r="U893" s="10"/>
      <c r="V893" s="10"/>
      <c r="W893" s="10"/>
      <c r="X893" s="10"/>
      <c r="Y893" s="10"/>
    </row>
    <row r="894" spans="1:25" ht="28.15" customHeight="1" x14ac:dyDescent="0.25">
      <c r="A894" s="89" t="s">
        <v>19</v>
      </c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</row>
    <row r="895" spans="1:25" x14ac:dyDescent="0.25">
      <c r="A895" s="2" t="s">
        <v>20</v>
      </c>
      <c r="B895" s="2">
        <f>B848+1</f>
        <v>20</v>
      </c>
    </row>
    <row r="896" spans="1:25" ht="17.25" thickBot="1" x14ac:dyDescent="0.3">
      <c r="A896" s="2" t="s">
        <v>21</v>
      </c>
      <c r="B896" s="2" t="s">
        <v>22</v>
      </c>
      <c r="C896" s="2" t="s">
        <v>23</v>
      </c>
      <c r="D896" s="2" t="s">
        <v>24</v>
      </c>
      <c r="F896" s="68" t="s">
        <v>25</v>
      </c>
      <c r="G896" s="68"/>
      <c r="H896" s="69">
        <f>H849+1</f>
        <v>45929</v>
      </c>
      <c r="I896" s="69"/>
      <c r="J896" s="69"/>
      <c r="K896" s="70">
        <f>H896</f>
        <v>45929</v>
      </c>
      <c r="L896" s="70"/>
      <c r="M896" s="70"/>
    </row>
    <row r="897" spans="1:13" ht="16.5" customHeight="1" x14ac:dyDescent="0.25">
      <c r="A897" s="71" t="s">
        <v>26</v>
      </c>
      <c r="B897" s="72"/>
      <c r="C897" s="73"/>
      <c r="D897" s="77" t="s">
        <v>78</v>
      </c>
      <c r="E897" s="78"/>
      <c r="F897" s="78"/>
      <c r="G897" s="79"/>
      <c r="H897" s="83" t="s">
        <v>27</v>
      </c>
      <c r="I897" s="83"/>
      <c r="J897" s="83"/>
      <c r="K897" s="84" t="s">
        <v>81</v>
      </c>
      <c r="L897" s="84"/>
      <c r="M897" s="85"/>
    </row>
    <row r="898" spans="1:13" ht="21" customHeight="1" x14ac:dyDescent="0.25">
      <c r="A898" s="74"/>
      <c r="B898" s="75"/>
      <c r="C898" s="76"/>
      <c r="D898" s="80"/>
      <c r="E898" s="81"/>
      <c r="F898" s="81"/>
      <c r="G898" s="82"/>
      <c r="H898" s="56"/>
      <c r="I898" s="56"/>
      <c r="J898" s="56"/>
      <c r="K898" s="86"/>
      <c r="L898" s="86"/>
      <c r="M898" s="87"/>
    </row>
    <row r="899" spans="1:13" x14ac:dyDescent="0.25">
      <c r="A899" s="6" t="s">
        <v>28</v>
      </c>
      <c r="B899" s="56" t="s">
        <v>82</v>
      </c>
      <c r="C899" s="56"/>
      <c r="D899" s="56" t="s">
        <v>29</v>
      </c>
      <c r="E899" s="56"/>
      <c r="F899" s="56"/>
      <c r="G899" s="7">
        <f>G852+1</f>
        <v>20</v>
      </c>
      <c r="H899" s="4" t="s">
        <v>30</v>
      </c>
      <c r="I899" s="88">
        <f>I852-1</f>
        <v>40</v>
      </c>
      <c r="J899" s="88"/>
      <c r="K899" s="56" t="s">
        <v>74</v>
      </c>
      <c r="L899" s="56"/>
      <c r="M899" s="8">
        <v>0</v>
      </c>
    </row>
    <row r="900" spans="1:13" x14ac:dyDescent="0.25">
      <c r="A900" s="55" t="s">
        <v>31</v>
      </c>
      <c r="B900" s="56"/>
      <c r="C900" s="56"/>
      <c r="D900" s="56" t="s">
        <v>83</v>
      </c>
      <c r="E900" s="56"/>
      <c r="F900" s="56"/>
      <c r="G900" s="56"/>
      <c r="H900" s="56" t="s">
        <v>32</v>
      </c>
      <c r="I900" s="56"/>
      <c r="J900" s="56"/>
      <c r="K900" s="64" t="s">
        <v>84</v>
      </c>
      <c r="L900" s="56"/>
      <c r="M900" s="57"/>
    </row>
    <row r="901" spans="1:13" x14ac:dyDescent="0.25">
      <c r="A901" s="55" t="s">
        <v>33</v>
      </c>
      <c r="B901" s="56"/>
      <c r="C901" s="56"/>
      <c r="D901" s="65">
        <v>0.14000000000000001</v>
      </c>
      <c r="E901" s="65"/>
      <c r="F901" s="65"/>
      <c r="G901" s="65"/>
      <c r="H901" s="56" t="s">
        <v>18</v>
      </c>
      <c r="I901" s="56"/>
      <c r="J901" s="56"/>
      <c r="K901" s="66">
        <f>施工項目!AQ556</f>
        <v>0.15562156862745097</v>
      </c>
      <c r="L901" s="66"/>
      <c r="M901" s="67"/>
    </row>
    <row r="902" spans="1:13" x14ac:dyDescent="0.25">
      <c r="A902" s="52" t="s">
        <v>34</v>
      </c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4"/>
    </row>
    <row r="903" spans="1:13" s="2" customFormat="1" x14ac:dyDescent="0.25">
      <c r="A903" s="60" t="s">
        <v>35</v>
      </c>
      <c r="B903" s="61"/>
      <c r="C903" s="61"/>
      <c r="D903" s="62"/>
      <c r="E903" s="11" t="s">
        <v>36</v>
      </c>
      <c r="F903" s="60" t="s">
        <v>37</v>
      </c>
      <c r="G903" s="62"/>
      <c r="H903" s="60" t="s">
        <v>38</v>
      </c>
      <c r="I903" s="62"/>
      <c r="J903" s="63" t="s">
        <v>39</v>
      </c>
      <c r="K903" s="63"/>
      <c r="L903" s="56" t="s">
        <v>40</v>
      </c>
      <c r="M903" s="57"/>
    </row>
    <row r="904" spans="1:13" x14ac:dyDescent="0.25">
      <c r="A904" s="52" t="s">
        <v>88</v>
      </c>
      <c r="B904" s="53"/>
      <c r="C904" s="53"/>
      <c r="D904" s="53"/>
      <c r="E904" s="4"/>
      <c r="F904" s="41"/>
      <c r="G904" s="41"/>
      <c r="H904" s="41"/>
      <c r="I904" s="41"/>
      <c r="J904" s="41"/>
      <c r="K904" s="41"/>
      <c r="L904" s="53"/>
      <c r="M904" s="54"/>
    </row>
    <row r="905" spans="1:13" x14ac:dyDescent="0.25">
      <c r="A905" s="52"/>
      <c r="B905" s="53"/>
      <c r="C905" s="53"/>
      <c r="D905" s="53"/>
      <c r="E905" s="4"/>
      <c r="F905" s="41"/>
      <c r="G905" s="41"/>
      <c r="H905" s="41"/>
      <c r="I905" s="41"/>
      <c r="J905" s="41"/>
      <c r="K905" s="41"/>
      <c r="L905" s="53"/>
      <c r="M905" s="54"/>
    </row>
    <row r="906" spans="1:13" x14ac:dyDescent="0.25">
      <c r="A906" s="52"/>
      <c r="B906" s="53"/>
      <c r="C906" s="53"/>
      <c r="D906" s="53"/>
      <c r="E906" s="4"/>
      <c r="F906" s="41"/>
      <c r="G906" s="41"/>
      <c r="H906" s="41"/>
      <c r="I906" s="41"/>
      <c r="J906" s="41"/>
      <c r="K906" s="41"/>
      <c r="L906" s="53"/>
      <c r="M906" s="54"/>
    </row>
    <row r="907" spans="1:13" x14ac:dyDescent="0.25">
      <c r="A907" s="52"/>
      <c r="B907" s="53"/>
      <c r="C907" s="53"/>
      <c r="D907" s="53"/>
      <c r="E907" s="4"/>
      <c r="F907" s="41"/>
      <c r="G907" s="41"/>
      <c r="H907" s="41"/>
      <c r="I907" s="41"/>
      <c r="J907" s="41"/>
      <c r="K907" s="41"/>
      <c r="L907" s="53"/>
      <c r="M907" s="54"/>
    </row>
    <row r="908" spans="1:13" x14ac:dyDescent="0.25">
      <c r="A908" s="52"/>
      <c r="B908" s="53"/>
      <c r="C908" s="53"/>
      <c r="D908" s="53"/>
      <c r="E908" s="4"/>
      <c r="F908" s="56"/>
      <c r="G908" s="56"/>
      <c r="H908" s="41"/>
      <c r="I908" s="41"/>
      <c r="J908" s="41"/>
      <c r="K908" s="41"/>
      <c r="L908" s="53"/>
      <c r="M908" s="54"/>
    </row>
    <row r="909" spans="1:13" x14ac:dyDescent="0.25">
      <c r="A909" s="52"/>
      <c r="B909" s="53"/>
      <c r="C909" s="53"/>
      <c r="D909" s="53"/>
      <c r="E909" s="4"/>
      <c r="F909" s="41"/>
      <c r="G909" s="41"/>
      <c r="H909" s="41"/>
      <c r="I909" s="41"/>
      <c r="J909" s="58"/>
      <c r="K909" s="59"/>
      <c r="L909" s="53"/>
      <c r="M909" s="54"/>
    </row>
    <row r="910" spans="1:13" x14ac:dyDescent="0.25">
      <c r="A910" s="52"/>
      <c r="B910" s="53"/>
      <c r="C910" s="53"/>
      <c r="D910" s="53"/>
      <c r="E910" s="4"/>
      <c r="F910" s="41"/>
      <c r="G910" s="41"/>
      <c r="H910" s="41"/>
      <c r="I910" s="41"/>
      <c r="J910" s="41"/>
      <c r="K910" s="41"/>
      <c r="L910" s="53"/>
      <c r="M910" s="54"/>
    </row>
    <row r="911" spans="1:13" x14ac:dyDescent="0.25">
      <c r="A911" s="52"/>
      <c r="B911" s="53"/>
      <c r="C911" s="53"/>
      <c r="D911" s="53"/>
      <c r="E911" s="9"/>
      <c r="F911" s="41"/>
      <c r="G911" s="41"/>
      <c r="H911" s="41"/>
      <c r="I911" s="41"/>
      <c r="J911" s="41"/>
      <c r="K911" s="41"/>
      <c r="L911" s="53"/>
      <c r="M911" s="54"/>
    </row>
    <row r="912" spans="1:13" x14ac:dyDescent="0.25">
      <c r="A912" s="52"/>
      <c r="B912" s="53"/>
      <c r="C912" s="53"/>
      <c r="D912" s="53"/>
      <c r="E912" s="9"/>
      <c r="F912" s="41"/>
      <c r="G912" s="41"/>
      <c r="H912" s="41"/>
      <c r="I912" s="41"/>
      <c r="J912" s="41"/>
      <c r="K912" s="41"/>
      <c r="L912" s="53"/>
      <c r="M912" s="54"/>
    </row>
    <row r="913" spans="1:13" x14ac:dyDescent="0.25">
      <c r="A913" s="52" t="s">
        <v>41</v>
      </c>
      <c r="B913" s="53"/>
      <c r="C913" s="53"/>
      <c r="D913" s="53"/>
      <c r="E913" s="9"/>
      <c r="F913" s="53"/>
      <c r="G913" s="53"/>
      <c r="H913" s="53"/>
      <c r="I913" s="53"/>
      <c r="J913" s="53"/>
      <c r="K913" s="53"/>
      <c r="L913" s="53"/>
      <c r="M913" s="54"/>
    </row>
    <row r="914" spans="1:13" x14ac:dyDescent="0.25">
      <c r="A914" s="52" t="s">
        <v>16</v>
      </c>
      <c r="B914" s="53"/>
      <c r="C914" s="53"/>
      <c r="D914" s="53"/>
      <c r="E914" s="9"/>
      <c r="F914" s="53"/>
      <c r="G914" s="53"/>
      <c r="H914" s="53"/>
      <c r="I914" s="53"/>
      <c r="J914" s="53"/>
      <c r="K914" s="53"/>
      <c r="L914" s="53"/>
      <c r="M914" s="54"/>
    </row>
    <row r="915" spans="1:13" x14ac:dyDescent="0.25">
      <c r="A915" s="52" t="s">
        <v>17</v>
      </c>
      <c r="B915" s="53"/>
      <c r="C915" s="53"/>
      <c r="D915" s="53"/>
      <c r="E915" s="9"/>
      <c r="F915" s="53"/>
      <c r="G915" s="53"/>
      <c r="H915" s="53"/>
      <c r="I915" s="53"/>
      <c r="J915" s="53"/>
      <c r="K915" s="53"/>
      <c r="L915" s="53"/>
      <c r="M915" s="54"/>
    </row>
    <row r="916" spans="1:13" x14ac:dyDescent="0.25">
      <c r="A916" s="52" t="s">
        <v>42</v>
      </c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4"/>
    </row>
    <row r="917" spans="1:13" x14ac:dyDescent="0.25">
      <c r="A917" s="55" t="s">
        <v>43</v>
      </c>
      <c r="B917" s="56"/>
      <c r="C917" s="56"/>
      <c r="D917" s="56"/>
      <c r="E917" s="4" t="s">
        <v>36</v>
      </c>
      <c r="F917" s="56" t="s">
        <v>44</v>
      </c>
      <c r="G917" s="56"/>
      <c r="H917" s="56" t="s">
        <v>45</v>
      </c>
      <c r="I917" s="56"/>
      <c r="J917" s="56" t="s">
        <v>46</v>
      </c>
      <c r="K917" s="56"/>
      <c r="L917" s="56" t="s">
        <v>40</v>
      </c>
      <c r="M917" s="57"/>
    </row>
    <row r="918" spans="1:13" x14ac:dyDescent="0.25">
      <c r="A918" s="52"/>
      <c r="B918" s="53"/>
      <c r="C918" s="53"/>
      <c r="D918" s="53"/>
      <c r="E918" s="9"/>
      <c r="F918" s="53"/>
      <c r="G918" s="53"/>
      <c r="H918" s="53"/>
      <c r="I918" s="53"/>
      <c r="J918" s="53"/>
      <c r="K918" s="53"/>
      <c r="L918" s="53"/>
      <c r="M918" s="54"/>
    </row>
    <row r="919" spans="1:13" x14ac:dyDescent="0.25">
      <c r="A919" s="52"/>
      <c r="B919" s="53"/>
      <c r="C919" s="53"/>
      <c r="D919" s="53"/>
      <c r="E919" s="9"/>
      <c r="F919" s="53"/>
      <c r="G919" s="53"/>
      <c r="H919" s="53"/>
      <c r="I919" s="53"/>
      <c r="J919" s="53"/>
      <c r="K919" s="53"/>
      <c r="L919" s="53"/>
      <c r="M919" s="54"/>
    </row>
    <row r="920" spans="1:13" x14ac:dyDescent="0.25">
      <c r="A920" s="52" t="s">
        <v>47</v>
      </c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4"/>
    </row>
    <row r="921" spans="1:13" x14ac:dyDescent="0.25">
      <c r="A921" s="55" t="s">
        <v>48</v>
      </c>
      <c r="B921" s="56"/>
      <c r="C921" s="56" t="s">
        <v>49</v>
      </c>
      <c r="D921" s="56"/>
      <c r="E921" s="56" t="s">
        <v>50</v>
      </c>
      <c r="F921" s="56"/>
      <c r="G921" s="56"/>
      <c r="H921" s="56" t="s">
        <v>51</v>
      </c>
      <c r="I921" s="56"/>
      <c r="J921" s="56" t="s">
        <v>45</v>
      </c>
      <c r="K921" s="56"/>
      <c r="L921" s="56" t="s">
        <v>46</v>
      </c>
      <c r="M921" s="57"/>
    </row>
    <row r="922" spans="1:13" x14ac:dyDescent="0.25">
      <c r="A922" s="40" t="s">
        <v>52</v>
      </c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2"/>
    </row>
    <row r="923" spans="1:13" ht="17.25" thickBot="1" x14ac:dyDescent="0.3">
      <c r="A923" s="40" t="s">
        <v>53</v>
      </c>
      <c r="B923" s="41"/>
      <c r="C923" s="41"/>
      <c r="D923" s="41"/>
      <c r="E923" s="41">
        <v>15</v>
      </c>
      <c r="F923" s="41"/>
      <c r="G923" s="41"/>
      <c r="H923" s="41"/>
      <c r="I923" s="41"/>
      <c r="J923" s="41"/>
      <c r="K923" s="41"/>
      <c r="L923" s="41"/>
      <c r="M923" s="42"/>
    </row>
    <row r="924" spans="1:13" ht="25.15" customHeight="1" thickBot="1" x14ac:dyDescent="0.3">
      <c r="A924" s="43" t="s">
        <v>59</v>
      </c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5"/>
    </row>
    <row r="925" spans="1:13" x14ac:dyDescent="0.25">
      <c r="A925" s="46" t="s">
        <v>60</v>
      </c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8"/>
    </row>
    <row r="926" spans="1:13" x14ac:dyDescent="0.25">
      <c r="A926" s="49" t="s">
        <v>61</v>
      </c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1"/>
    </row>
    <row r="927" spans="1:13" x14ac:dyDescent="0.25">
      <c r="A927" s="25" t="s">
        <v>62</v>
      </c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7"/>
    </row>
    <row r="928" spans="1:13" x14ac:dyDescent="0.25">
      <c r="A928" s="25" t="s">
        <v>63</v>
      </c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7"/>
    </row>
    <row r="929" spans="1:25" x14ac:dyDescent="0.25">
      <c r="A929" s="28" t="s">
        <v>64</v>
      </c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30"/>
    </row>
    <row r="930" spans="1:25" ht="17.25" thickBot="1" x14ac:dyDescent="0.3">
      <c r="A930" s="31" t="s">
        <v>65</v>
      </c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3"/>
    </row>
    <row r="931" spans="1:25" ht="17.25" thickBot="1" x14ac:dyDescent="0.3">
      <c r="A931" s="34" t="s">
        <v>54</v>
      </c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6"/>
    </row>
    <row r="932" spans="1:25" ht="17.25" thickBot="1" x14ac:dyDescent="0.3">
      <c r="A932" s="34" t="s">
        <v>55</v>
      </c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6"/>
    </row>
    <row r="933" spans="1:25" ht="17.25" thickBot="1" x14ac:dyDescent="0.3">
      <c r="A933" s="34" t="s">
        <v>76</v>
      </c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6"/>
    </row>
    <row r="934" spans="1:25" ht="17.25" thickBot="1" x14ac:dyDescent="0.3">
      <c r="A934" s="37" t="s">
        <v>66</v>
      </c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9"/>
    </row>
    <row r="935" spans="1:25" x14ac:dyDescent="0.25">
      <c r="A935" s="12" t="s">
        <v>68</v>
      </c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0"/>
      <c r="T935" s="10"/>
      <c r="U935" s="10"/>
      <c r="V935" s="10"/>
      <c r="W935" s="10"/>
      <c r="X935" s="10"/>
      <c r="Y935" s="10"/>
    </row>
    <row r="936" spans="1:25" x14ac:dyDescent="0.25">
      <c r="A936" s="14" t="s">
        <v>69</v>
      </c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0"/>
      <c r="T936" s="10"/>
      <c r="U936" s="10"/>
      <c r="V936" s="10"/>
      <c r="W936" s="10"/>
      <c r="X936" s="10"/>
      <c r="Y936" s="10"/>
    </row>
    <row r="937" spans="1:25" s="10" customFormat="1" ht="8.25" x14ac:dyDescent="0.25">
      <c r="A937" s="14" t="s">
        <v>70</v>
      </c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</row>
    <row r="938" spans="1:25" x14ac:dyDescent="0.25">
      <c r="A938" s="14" t="s">
        <v>71</v>
      </c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0"/>
      <c r="T938" s="10"/>
      <c r="U938" s="10"/>
      <c r="V938" s="10"/>
      <c r="W938" s="10"/>
      <c r="X938" s="10"/>
      <c r="Y938" s="10"/>
    </row>
    <row r="939" spans="1:25" x14ac:dyDescent="0.25">
      <c r="A939" s="14" t="s">
        <v>72</v>
      </c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0"/>
      <c r="T939" s="10"/>
      <c r="U939" s="10"/>
      <c r="V939" s="10"/>
      <c r="W939" s="10"/>
      <c r="X939" s="10"/>
      <c r="Y939" s="10"/>
    </row>
    <row r="940" spans="1:25" x14ac:dyDescent="0.25">
      <c r="A940" s="14" t="s">
        <v>73</v>
      </c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0"/>
      <c r="T940" s="10"/>
      <c r="U940" s="10"/>
      <c r="V940" s="10"/>
      <c r="W940" s="10"/>
      <c r="X940" s="10"/>
      <c r="Y940" s="10"/>
    </row>
    <row r="941" spans="1:25" ht="28.15" customHeight="1" x14ac:dyDescent="0.25">
      <c r="A941" s="89" t="s">
        <v>19</v>
      </c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</row>
    <row r="942" spans="1:25" x14ac:dyDescent="0.25">
      <c r="A942" s="2" t="s">
        <v>20</v>
      </c>
      <c r="B942" s="2">
        <f>B895+1</f>
        <v>21</v>
      </c>
    </row>
    <row r="943" spans="1:25" ht="17.25" thickBot="1" x14ac:dyDescent="0.3">
      <c r="A943" s="2" t="s">
        <v>21</v>
      </c>
      <c r="B943" s="2" t="s">
        <v>22</v>
      </c>
      <c r="C943" s="2" t="s">
        <v>23</v>
      </c>
      <c r="D943" s="2" t="s">
        <v>24</v>
      </c>
      <c r="F943" s="68" t="s">
        <v>25</v>
      </c>
      <c r="G943" s="68"/>
      <c r="H943" s="69">
        <f>H896+1</f>
        <v>45930</v>
      </c>
      <c r="I943" s="69"/>
      <c r="J943" s="69"/>
      <c r="K943" s="70">
        <f>H943</f>
        <v>45930</v>
      </c>
      <c r="L943" s="70"/>
      <c r="M943" s="70"/>
    </row>
    <row r="944" spans="1:25" ht="16.5" customHeight="1" x14ac:dyDescent="0.25">
      <c r="A944" s="71" t="s">
        <v>26</v>
      </c>
      <c r="B944" s="72"/>
      <c r="C944" s="73"/>
      <c r="D944" s="77" t="s">
        <v>78</v>
      </c>
      <c r="E944" s="78"/>
      <c r="F944" s="78"/>
      <c r="G944" s="79"/>
      <c r="H944" s="83" t="s">
        <v>27</v>
      </c>
      <c r="I944" s="83"/>
      <c r="J944" s="83"/>
      <c r="K944" s="84" t="s">
        <v>81</v>
      </c>
      <c r="L944" s="84"/>
      <c r="M944" s="85"/>
    </row>
    <row r="945" spans="1:13" ht="21" customHeight="1" x14ac:dyDescent="0.25">
      <c r="A945" s="74"/>
      <c r="B945" s="75"/>
      <c r="C945" s="76"/>
      <c r="D945" s="80"/>
      <c r="E945" s="81"/>
      <c r="F945" s="81"/>
      <c r="G945" s="82"/>
      <c r="H945" s="56"/>
      <c r="I945" s="56"/>
      <c r="J945" s="56"/>
      <c r="K945" s="86"/>
      <c r="L945" s="86"/>
      <c r="M945" s="87"/>
    </row>
    <row r="946" spans="1:13" x14ac:dyDescent="0.25">
      <c r="A946" s="6" t="s">
        <v>28</v>
      </c>
      <c r="B946" s="56" t="s">
        <v>82</v>
      </c>
      <c r="C946" s="56"/>
      <c r="D946" s="56" t="s">
        <v>29</v>
      </c>
      <c r="E946" s="56"/>
      <c r="F946" s="56"/>
      <c r="G946" s="7">
        <f>G899+1</f>
        <v>21</v>
      </c>
      <c r="H946" s="4" t="s">
        <v>30</v>
      </c>
      <c r="I946" s="88">
        <f>I899-1</f>
        <v>39</v>
      </c>
      <c r="J946" s="88"/>
      <c r="K946" s="56" t="s">
        <v>74</v>
      </c>
      <c r="L946" s="56"/>
      <c r="M946" s="8">
        <v>0</v>
      </c>
    </row>
    <row r="947" spans="1:13" x14ac:dyDescent="0.25">
      <c r="A947" s="55" t="s">
        <v>31</v>
      </c>
      <c r="B947" s="56"/>
      <c r="C947" s="56"/>
      <c r="D947" s="56" t="s">
        <v>83</v>
      </c>
      <c r="E947" s="56"/>
      <c r="F947" s="56"/>
      <c r="G947" s="56"/>
      <c r="H947" s="56" t="s">
        <v>32</v>
      </c>
      <c r="I947" s="56"/>
      <c r="J947" s="56"/>
      <c r="K947" s="64" t="s">
        <v>84</v>
      </c>
      <c r="L947" s="56"/>
      <c r="M947" s="57"/>
    </row>
    <row r="948" spans="1:13" x14ac:dyDescent="0.25">
      <c r="A948" s="55" t="s">
        <v>33</v>
      </c>
      <c r="B948" s="56"/>
      <c r="C948" s="56"/>
      <c r="D948" s="65">
        <v>0.15</v>
      </c>
      <c r="E948" s="65"/>
      <c r="F948" s="65"/>
      <c r="G948" s="65"/>
      <c r="H948" s="56" t="s">
        <v>18</v>
      </c>
      <c r="I948" s="56"/>
      <c r="J948" s="56"/>
      <c r="K948" s="66">
        <f>施工項目!AQ584</f>
        <v>0.15790000000000001</v>
      </c>
      <c r="L948" s="66"/>
      <c r="M948" s="67"/>
    </row>
    <row r="949" spans="1:13" x14ac:dyDescent="0.25">
      <c r="A949" s="52" t="s">
        <v>34</v>
      </c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4"/>
    </row>
    <row r="950" spans="1:13" s="2" customFormat="1" x14ac:dyDescent="0.25">
      <c r="A950" s="60" t="s">
        <v>35</v>
      </c>
      <c r="B950" s="61"/>
      <c r="C950" s="61"/>
      <c r="D950" s="62"/>
      <c r="E950" s="11" t="s">
        <v>36</v>
      </c>
      <c r="F950" s="60" t="s">
        <v>37</v>
      </c>
      <c r="G950" s="62"/>
      <c r="H950" s="60" t="s">
        <v>38</v>
      </c>
      <c r="I950" s="62"/>
      <c r="J950" s="63" t="s">
        <v>39</v>
      </c>
      <c r="K950" s="63"/>
      <c r="L950" s="56" t="s">
        <v>40</v>
      </c>
      <c r="M950" s="57"/>
    </row>
    <row r="951" spans="1:13" x14ac:dyDescent="0.25">
      <c r="A951" s="52" t="s">
        <v>88</v>
      </c>
      <c r="B951" s="53"/>
      <c r="C951" s="53"/>
      <c r="D951" s="53"/>
      <c r="E951" s="4"/>
      <c r="F951" s="41"/>
      <c r="G951" s="41"/>
      <c r="H951" s="41"/>
      <c r="I951" s="41"/>
      <c r="J951" s="41"/>
      <c r="K951" s="41"/>
      <c r="L951" s="53"/>
      <c r="M951" s="54"/>
    </row>
    <row r="952" spans="1:13" x14ac:dyDescent="0.25">
      <c r="A952" s="52"/>
      <c r="B952" s="53"/>
      <c r="C952" s="53"/>
      <c r="D952" s="53"/>
      <c r="E952" s="4"/>
      <c r="F952" s="41"/>
      <c r="G952" s="41"/>
      <c r="H952" s="41"/>
      <c r="I952" s="41"/>
      <c r="J952" s="41"/>
      <c r="K952" s="41"/>
      <c r="L952" s="53"/>
      <c r="M952" s="54"/>
    </row>
    <row r="953" spans="1:13" x14ac:dyDescent="0.25">
      <c r="A953" s="52"/>
      <c r="B953" s="53"/>
      <c r="C953" s="53"/>
      <c r="D953" s="53"/>
      <c r="E953" s="4"/>
      <c r="F953" s="41"/>
      <c r="G953" s="41"/>
      <c r="H953" s="41"/>
      <c r="I953" s="41"/>
      <c r="J953" s="41"/>
      <c r="K953" s="41"/>
      <c r="L953" s="53"/>
      <c r="M953" s="54"/>
    </row>
    <row r="954" spans="1:13" x14ac:dyDescent="0.25">
      <c r="A954" s="52"/>
      <c r="B954" s="53"/>
      <c r="C954" s="53"/>
      <c r="D954" s="53"/>
      <c r="E954" s="4"/>
      <c r="F954" s="41"/>
      <c r="G954" s="41"/>
      <c r="H954" s="41"/>
      <c r="I954" s="41"/>
      <c r="J954" s="41"/>
      <c r="K954" s="41"/>
      <c r="L954" s="53"/>
      <c r="M954" s="54"/>
    </row>
    <row r="955" spans="1:13" x14ac:dyDescent="0.25">
      <c r="A955" s="52"/>
      <c r="B955" s="53"/>
      <c r="C955" s="53"/>
      <c r="D955" s="53"/>
      <c r="E955" s="4"/>
      <c r="F955" s="56"/>
      <c r="G955" s="56"/>
      <c r="H955" s="41"/>
      <c r="I955" s="41"/>
      <c r="J955" s="41"/>
      <c r="K955" s="41"/>
      <c r="L955" s="53"/>
      <c r="M955" s="54"/>
    </row>
    <row r="956" spans="1:13" x14ac:dyDescent="0.25">
      <c r="A956" s="52"/>
      <c r="B956" s="53"/>
      <c r="C956" s="53"/>
      <c r="D956" s="53"/>
      <c r="E956" s="4"/>
      <c r="F956" s="41"/>
      <c r="G956" s="41"/>
      <c r="H956" s="41"/>
      <c r="I956" s="41"/>
      <c r="J956" s="58"/>
      <c r="K956" s="59"/>
      <c r="L956" s="53"/>
      <c r="M956" s="54"/>
    </row>
    <row r="957" spans="1:13" x14ac:dyDescent="0.25">
      <c r="A957" s="52"/>
      <c r="B957" s="53"/>
      <c r="C957" s="53"/>
      <c r="D957" s="53"/>
      <c r="E957" s="4"/>
      <c r="F957" s="41"/>
      <c r="G957" s="41"/>
      <c r="H957" s="41"/>
      <c r="I957" s="41"/>
      <c r="J957" s="41"/>
      <c r="K957" s="41"/>
      <c r="L957" s="53"/>
      <c r="M957" s="54"/>
    </row>
    <row r="958" spans="1:13" x14ac:dyDescent="0.25">
      <c r="A958" s="52"/>
      <c r="B958" s="53"/>
      <c r="C958" s="53"/>
      <c r="D958" s="53"/>
      <c r="E958" s="9"/>
      <c r="F958" s="41"/>
      <c r="G958" s="41"/>
      <c r="H958" s="41"/>
      <c r="I958" s="41"/>
      <c r="J958" s="41"/>
      <c r="K958" s="41"/>
      <c r="L958" s="53"/>
      <c r="M958" s="54"/>
    </row>
    <row r="959" spans="1:13" x14ac:dyDescent="0.25">
      <c r="A959" s="52"/>
      <c r="B959" s="53"/>
      <c r="C959" s="53"/>
      <c r="D959" s="53"/>
      <c r="E959" s="9"/>
      <c r="F959" s="41"/>
      <c r="G959" s="41"/>
      <c r="H959" s="41"/>
      <c r="I959" s="41"/>
      <c r="J959" s="41"/>
      <c r="K959" s="41"/>
      <c r="L959" s="53"/>
      <c r="M959" s="54"/>
    </row>
    <row r="960" spans="1:13" x14ac:dyDescent="0.25">
      <c r="A960" s="52" t="s">
        <v>41</v>
      </c>
      <c r="B960" s="53"/>
      <c r="C960" s="53"/>
      <c r="D960" s="53"/>
      <c r="E960" s="9"/>
      <c r="F960" s="53"/>
      <c r="G960" s="53"/>
      <c r="H960" s="53"/>
      <c r="I960" s="53"/>
      <c r="J960" s="53"/>
      <c r="K960" s="53"/>
      <c r="L960" s="53"/>
      <c r="M960" s="54"/>
    </row>
    <row r="961" spans="1:13" x14ac:dyDescent="0.25">
      <c r="A961" s="52" t="s">
        <v>16</v>
      </c>
      <c r="B961" s="53"/>
      <c r="C961" s="53"/>
      <c r="D961" s="53"/>
      <c r="E961" s="9"/>
      <c r="F961" s="53"/>
      <c r="G961" s="53"/>
      <c r="H961" s="53"/>
      <c r="I961" s="53"/>
      <c r="J961" s="53"/>
      <c r="K961" s="53"/>
      <c r="L961" s="53"/>
      <c r="M961" s="54"/>
    </row>
    <row r="962" spans="1:13" x14ac:dyDescent="0.25">
      <c r="A962" s="52" t="s">
        <v>17</v>
      </c>
      <c r="B962" s="53"/>
      <c r="C962" s="53"/>
      <c r="D962" s="53"/>
      <c r="E962" s="9"/>
      <c r="F962" s="53"/>
      <c r="G962" s="53"/>
      <c r="H962" s="53"/>
      <c r="I962" s="53"/>
      <c r="J962" s="53"/>
      <c r="K962" s="53"/>
      <c r="L962" s="53"/>
      <c r="M962" s="54"/>
    </row>
    <row r="963" spans="1:13" x14ac:dyDescent="0.25">
      <c r="A963" s="52" t="s">
        <v>42</v>
      </c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4"/>
    </row>
    <row r="964" spans="1:13" x14ac:dyDescent="0.25">
      <c r="A964" s="55" t="s">
        <v>43</v>
      </c>
      <c r="B964" s="56"/>
      <c r="C964" s="56"/>
      <c r="D964" s="56"/>
      <c r="E964" s="4" t="s">
        <v>36</v>
      </c>
      <c r="F964" s="56" t="s">
        <v>44</v>
      </c>
      <c r="G964" s="56"/>
      <c r="H964" s="56" t="s">
        <v>45</v>
      </c>
      <c r="I964" s="56"/>
      <c r="J964" s="56" t="s">
        <v>46</v>
      </c>
      <c r="K964" s="56"/>
      <c r="L964" s="56" t="s">
        <v>40</v>
      </c>
      <c r="M964" s="57"/>
    </row>
    <row r="965" spans="1:13" x14ac:dyDescent="0.25">
      <c r="A965" s="52"/>
      <c r="B965" s="53"/>
      <c r="C965" s="53"/>
      <c r="D965" s="53"/>
      <c r="E965" s="9"/>
      <c r="F965" s="53"/>
      <c r="G965" s="53"/>
      <c r="H965" s="53"/>
      <c r="I965" s="53"/>
      <c r="J965" s="53"/>
      <c r="K965" s="53"/>
      <c r="L965" s="53"/>
      <c r="M965" s="54"/>
    </row>
    <row r="966" spans="1:13" x14ac:dyDescent="0.25">
      <c r="A966" s="52"/>
      <c r="B966" s="53"/>
      <c r="C966" s="53"/>
      <c r="D966" s="53"/>
      <c r="E966" s="9"/>
      <c r="F966" s="53"/>
      <c r="G966" s="53"/>
      <c r="H966" s="53"/>
      <c r="I966" s="53"/>
      <c r="J966" s="53"/>
      <c r="K966" s="53"/>
      <c r="L966" s="53"/>
      <c r="M966" s="54"/>
    </row>
    <row r="967" spans="1:13" x14ac:dyDescent="0.25">
      <c r="A967" s="52" t="s">
        <v>47</v>
      </c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4"/>
    </row>
    <row r="968" spans="1:13" x14ac:dyDescent="0.25">
      <c r="A968" s="55" t="s">
        <v>48</v>
      </c>
      <c r="B968" s="56"/>
      <c r="C968" s="56" t="s">
        <v>49</v>
      </c>
      <c r="D968" s="56"/>
      <c r="E968" s="56" t="s">
        <v>50</v>
      </c>
      <c r="F968" s="56"/>
      <c r="G968" s="56"/>
      <c r="H968" s="56" t="s">
        <v>51</v>
      </c>
      <c r="I968" s="56"/>
      <c r="J968" s="56" t="s">
        <v>45</v>
      </c>
      <c r="K968" s="56"/>
      <c r="L968" s="56" t="s">
        <v>46</v>
      </c>
      <c r="M968" s="57"/>
    </row>
    <row r="969" spans="1:13" x14ac:dyDescent="0.25">
      <c r="A969" s="40" t="s">
        <v>52</v>
      </c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2"/>
    </row>
    <row r="970" spans="1:13" ht="17.25" thickBot="1" x14ac:dyDescent="0.3">
      <c r="A970" s="40" t="s">
        <v>53</v>
      </c>
      <c r="B970" s="41"/>
      <c r="C970" s="41"/>
      <c r="D970" s="41"/>
      <c r="E970" s="41">
        <v>15</v>
      </c>
      <c r="F970" s="41"/>
      <c r="G970" s="41"/>
      <c r="H970" s="41"/>
      <c r="I970" s="41"/>
      <c r="J970" s="41"/>
      <c r="K970" s="41"/>
      <c r="L970" s="41"/>
      <c r="M970" s="42"/>
    </row>
    <row r="971" spans="1:13" ht="25.15" customHeight="1" thickBot="1" x14ac:dyDescent="0.3">
      <c r="A971" s="43" t="s">
        <v>59</v>
      </c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5"/>
    </row>
    <row r="972" spans="1:13" x14ac:dyDescent="0.25">
      <c r="A972" s="46" t="s">
        <v>60</v>
      </c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8"/>
    </row>
    <row r="973" spans="1:13" x14ac:dyDescent="0.25">
      <c r="A973" s="49" t="s">
        <v>61</v>
      </c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1"/>
    </row>
    <row r="974" spans="1:13" x14ac:dyDescent="0.25">
      <c r="A974" s="25" t="s">
        <v>62</v>
      </c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7"/>
    </row>
    <row r="975" spans="1:13" x14ac:dyDescent="0.25">
      <c r="A975" s="25" t="s">
        <v>63</v>
      </c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7"/>
    </row>
    <row r="976" spans="1:13" x14ac:dyDescent="0.25">
      <c r="A976" s="28" t="s">
        <v>64</v>
      </c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30"/>
    </row>
    <row r="977" spans="1:25" ht="17.25" thickBot="1" x14ac:dyDescent="0.3">
      <c r="A977" s="31" t="s">
        <v>65</v>
      </c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3"/>
    </row>
    <row r="978" spans="1:25" ht="17.25" thickBot="1" x14ac:dyDescent="0.3">
      <c r="A978" s="34" t="s">
        <v>54</v>
      </c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6"/>
    </row>
    <row r="979" spans="1:25" ht="17.25" thickBot="1" x14ac:dyDescent="0.3">
      <c r="A979" s="34" t="s">
        <v>55</v>
      </c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6"/>
    </row>
    <row r="980" spans="1:25" ht="17.25" thickBot="1" x14ac:dyDescent="0.3">
      <c r="A980" s="34" t="s">
        <v>76</v>
      </c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6"/>
    </row>
    <row r="981" spans="1:25" ht="17.25" thickBot="1" x14ac:dyDescent="0.3">
      <c r="A981" s="37" t="s">
        <v>66</v>
      </c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9"/>
    </row>
    <row r="982" spans="1:25" x14ac:dyDescent="0.25">
      <c r="A982" s="12" t="s">
        <v>68</v>
      </c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0"/>
      <c r="T982" s="10"/>
      <c r="U982" s="10"/>
      <c r="V982" s="10"/>
      <c r="W982" s="10"/>
      <c r="X982" s="10"/>
      <c r="Y982" s="10"/>
    </row>
    <row r="983" spans="1:25" x14ac:dyDescent="0.25">
      <c r="A983" s="14" t="s">
        <v>69</v>
      </c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0"/>
      <c r="T983" s="10"/>
      <c r="U983" s="10"/>
      <c r="V983" s="10"/>
      <c r="W983" s="10"/>
      <c r="X983" s="10"/>
      <c r="Y983" s="10"/>
    </row>
    <row r="984" spans="1:25" s="10" customFormat="1" ht="8.25" x14ac:dyDescent="0.25">
      <c r="A984" s="14" t="s">
        <v>70</v>
      </c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</row>
    <row r="985" spans="1:25" x14ac:dyDescent="0.25">
      <c r="A985" s="14" t="s">
        <v>71</v>
      </c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0"/>
      <c r="T985" s="10"/>
      <c r="U985" s="10"/>
      <c r="V985" s="10"/>
      <c r="W985" s="10"/>
      <c r="X985" s="10"/>
      <c r="Y985" s="10"/>
    </row>
    <row r="986" spans="1:25" x14ac:dyDescent="0.25">
      <c r="A986" s="14" t="s">
        <v>72</v>
      </c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0"/>
      <c r="T986" s="10"/>
      <c r="U986" s="10"/>
      <c r="V986" s="10"/>
      <c r="W986" s="10"/>
      <c r="X986" s="10"/>
      <c r="Y986" s="10"/>
    </row>
    <row r="987" spans="1:25" x14ac:dyDescent="0.25">
      <c r="A987" s="14" t="s">
        <v>73</v>
      </c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0"/>
      <c r="T987" s="10"/>
      <c r="U987" s="10"/>
      <c r="V987" s="10"/>
      <c r="W987" s="10"/>
      <c r="X987" s="10"/>
      <c r="Y987" s="10"/>
    </row>
  </sheetData>
  <mergeCells count="2772">
    <mergeCell ref="A80:M80"/>
    <mergeCell ref="A81:M81"/>
    <mergeCell ref="A82:M82"/>
    <mergeCell ref="A83:M83"/>
    <mergeCell ref="A84:M84"/>
    <mergeCell ref="A85:M85"/>
    <mergeCell ref="A86:M86"/>
    <mergeCell ref="A87:M87"/>
    <mergeCell ref="A88:M88"/>
    <mergeCell ref="A73:D73"/>
    <mergeCell ref="F73:G73"/>
    <mergeCell ref="H73:I73"/>
    <mergeCell ref="J73:K73"/>
    <mergeCell ref="L73:M73"/>
    <mergeCell ref="A74:M74"/>
    <mergeCell ref="A75:B75"/>
    <mergeCell ref="C75:D75"/>
    <mergeCell ref="E75:G75"/>
    <mergeCell ref="H75:I75"/>
    <mergeCell ref="J75:K75"/>
    <mergeCell ref="L75:M75"/>
    <mergeCell ref="A76:B76"/>
    <mergeCell ref="C76:D76"/>
    <mergeCell ref="E76:G76"/>
    <mergeCell ref="H76:I76"/>
    <mergeCell ref="A77:B77"/>
    <mergeCell ref="C77:D77"/>
    <mergeCell ref="E77:G77"/>
    <mergeCell ref="H77:I77"/>
    <mergeCell ref="J77:K77"/>
    <mergeCell ref="L77:M77"/>
    <mergeCell ref="A78:M78"/>
    <mergeCell ref="A79:M79"/>
    <mergeCell ref="J76:K76"/>
    <mergeCell ref="L76:M76"/>
    <mergeCell ref="A68:D68"/>
    <mergeCell ref="F68:G68"/>
    <mergeCell ref="H68:I68"/>
    <mergeCell ref="J68:K68"/>
    <mergeCell ref="L68:M68"/>
    <mergeCell ref="A69:D69"/>
    <mergeCell ref="F69:G69"/>
    <mergeCell ref="H69:I69"/>
    <mergeCell ref="J69:K69"/>
    <mergeCell ref="L69:M69"/>
    <mergeCell ref="A70:M70"/>
    <mergeCell ref="A71:D71"/>
    <mergeCell ref="F71:G71"/>
    <mergeCell ref="H71:I71"/>
    <mergeCell ref="J71:K71"/>
    <mergeCell ref="L71:M71"/>
    <mergeCell ref="A72:D72"/>
    <mergeCell ref="F72:G72"/>
    <mergeCell ref="H72:I72"/>
    <mergeCell ref="J72:K72"/>
    <mergeCell ref="L72:M72"/>
    <mergeCell ref="A66:D66"/>
    <mergeCell ref="F66:G66"/>
    <mergeCell ref="H66:I66"/>
    <mergeCell ref="J66:K66"/>
    <mergeCell ref="L66:M66"/>
    <mergeCell ref="A67:D67"/>
    <mergeCell ref="F67:G67"/>
    <mergeCell ref="H67:I67"/>
    <mergeCell ref="J67:K67"/>
    <mergeCell ref="L67:M67"/>
    <mergeCell ref="A64:D64"/>
    <mergeCell ref="F64:G64"/>
    <mergeCell ref="H64:I64"/>
    <mergeCell ref="J64:K64"/>
    <mergeCell ref="L64:M64"/>
    <mergeCell ref="A65:D65"/>
    <mergeCell ref="F65:G65"/>
    <mergeCell ref="H65:I65"/>
    <mergeCell ref="J65:K65"/>
    <mergeCell ref="L65:M65"/>
    <mergeCell ref="A62:D62"/>
    <mergeCell ref="F62:G62"/>
    <mergeCell ref="H62:I62"/>
    <mergeCell ref="J62:K62"/>
    <mergeCell ref="L62:M62"/>
    <mergeCell ref="A63:D63"/>
    <mergeCell ref="F63:G63"/>
    <mergeCell ref="H63:I63"/>
    <mergeCell ref="J63:K63"/>
    <mergeCell ref="L63:M63"/>
    <mergeCell ref="A60:D60"/>
    <mergeCell ref="F60:G60"/>
    <mergeCell ref="H60:I60"/>
    <mergeCell ref="J60:K60"/>
    <mergeCell ref="L60:M60"/>
    <mergeCell ref="A61:D61"/>
    <mergeCell ref="F61:G61"/>
    <mergeCell ref="H61:I61"/>
    <mergeCell ref="J61:K61"/>
    <mergeCell ref="L61:M61"/>
    <mergeCell ref="B53:C53"/>
    <mergeCell ref="D53:F53"/>
    <mergeCell ref="I53:J53"/>
    <mergeCell ref="K53:L53"/>
    <mergeCell ref="A58:D58"/>
    <mergeCell ref="F58:G58"/>
    <mergeCell ref="H58:I58"/>
    <mergeCell ref="J58:K58"/>
    <mergeCell ref="L58:M58"/>
    <mergeCell ref="A59:D59"/>
    <mergeCell ref="F59:G59"/>
    <mergeCell ref="H59:I59"/>
    <mergeCell ref="J59:K59"/>
    <mergeCell ref="L59:M59"/>
    <mergeCell ref="A55:C55"/>
    <mergeCell ref="D55:G55"/>
    <mergeCell ref="H55:J55"/>
    <mergeCell ref="K55:M55"/>
    <mergeCell ref="A56:M56"/>
    <mergeCell ref="A57:D57"/>
    <mergeCell ref="F57:G57"/>
    <mergeCell ref="H57:I57"/>
    <mergeCell ref="J57:K57"/>
    <mergeCell ref="L57:M57"/>
    <mergeCell ref="A54:C54"/>
    <mergeCell ref="D54:G54"/>
    <mergeCell ref="H54:J54"/>
    <mergeCell ref="K54:M54"/>
    <mergeCell ref="J18:K18"/>
    <mergeCell ref="A24:D24"/>
    <mergeCell ref="F24:G24"/>
    <mergeCell ref="A21:D21"/>
    <mergeCell ref="F21:G21"/>
    <mergeCell ref="H21:I21"/>
    <mergeCell ref="J21:K21"/>
    <mergeCell ref="L21:M21"/>
    <mergeCell ref="A22:D22"/>
    <mergeCell ref="A25:D25"/>
    <mergeCell ref="F25:G25"/>
    <mergeCell ref="H25:I25"/>
    <mergeCell ref="J25:K25"/>
    <mergeCell ref="L25:M25"/>
    <mergeCell ref="H24:I24"/>
    <mergeCell ref="J24:K24"/>
    <mergeCell ref="L24:M24"/>
    <mergeCell ref="F22:G22"/>
    <mergeCell ref="H22:I22"/>
    <mergeCell ref="J22:K22"/>
    <mergeCell ref="A48:M48"/>
    <mergeCell ref="F50:G50"/>
    <mergeCell ref="H50:J50"/>
    <mergeCell ref="K50:M50"/>
    <mergeCell ref="A51:C52"/>
    <mergeCell ref="D51:G52"/>
    <mergeCell ref="H51:J52"/>
    <mergeCell ref="K51:M52"/>
    <mergeCell ref="J17:K17"/>
    <mergeCell ref="L17:M17"/>
    <mergeCell ref="A11:D11"/>
    <mergeCell ref="F11:G11"/>
    <mergeCell ref="H11:I11"/>
    <mergeCell ref="J11:K11"/>
    <mergeCell ref="L11:M11"/>
    <mergeCell ref="A12:D12"/>
    <mergeCell ref="F12:G12"/>
    <mergeCell ref="H12:I12"/>
    <mergeCell ref="A13:D13"/>
    <mergeCell ref="F13:G13"/>
    <mergeCell ref="H13:I13"/>
    <mergeCell ref="J13:K13"/>
    <mergeCell ref="L13:M13"/>
    <mergeCell ref="B6:C6"/>
    <mergeCell ref="D6:F6"/>
    <mergeCell ref="I6:J6"/>
    <mergeCell ref="K6:L6"/>
    <mergeCell ref="A7:C7"/>
    <mergeCell ref="D7:G7"/>
    <mergeCell ref="H7:J7"/>
    <mergeCell ref="K7:M7"/>
    <mergeCell ref="A14:D14"/>
    <mergeCell ref="F14:G14"/>
    <mergeCell ref="H14:I14"/>
    <mergeCell ref="J14:K14"/>
    <mergeCell ref="L14:M14"/>
    <mergeCell ref="H19:I19"/>
    <mergeCell ref="J19:K19"/>
    <mergeCell ref="L19:M19"/>
    <mergeCell ref="A20:D20"/>
    <mergeCell ref="F20:G20"/>
    <mergeCell ref="H20:I20"/>
    <mergeCell ref="H15:I15"/>
    <mergeCell ref="A1:M1"/>
    <mergeCell ref="F3:G3"/>
    <mergeCell ref="H3:J3"/>
    <mergeCell ref="K3:M3"/>
    <mergeCell ref="A4:C5"/>
    <mergeCell ref="D4:G5"/>
    <mergeCell ref="H4:J5"/>
    <mergeCell ref="K4:M5"/>
    <mergeCell ref="L18:M18"/>
    <mergeCell ref="A9:M9"/>
    <mergeCell ref="A10:D10"/>
    <mergeCell ref="F10:G10"/>
    <mergeCell ref="H10:I10"/>
    <mergeCell ref="J10:K10"/>
    <mergeCell ref="L10:M10"/>
    <mergeCell ref="A16:D16"/>
    <mergeCell ref="A8:C8"/>
    <mergeCell ref="D8:G8"/>
    <mergeCell ref="H8:J8"/>
    <mergeCell ref="K8:M8"/>
    <mergeCell ref="J12:K12"/>
    <mergeCell ref="L12:M12"/>
    <mergeCell ref="A15:D15"/>
    <mergeCell ref="F15:G15"/>
    <mergeCell ref="H17:I17"/>
    <mergeCell ref="A39:M39"/>
    <mergeCell ref="A40:M40"/>
    <mergeCell ref="A29:B29"/>
    <mergeCell ref="C29:D29"/>
    <mergeCell ref="E29:G29"/>
    <mergeCell ref="H29:I29"/>
    <mergeCell ref="J29:K29"/>
    <mergeCell ref="L29:M29"/>
    <mergeCell ref="A27:M27"/>
    <mergeCell ref="A28:B28"/>
    <mergeCell ref="C28:D28"/>
    <mergeCell ref="E28:G28"/>
    <mergeCell ref="H28:I28"/>
    <mergeCell ref="J28:K28"/>
    <mergeCell ref="L28:M28"/>
    <mergeCell ref="A23:M23"/>
    <mergeCell ref="J15:K15"/>
    <mergeCell ref="L15:M15"/>
    <mergeCell ref="F16:G16"/>
    <mergeCell ref="H16:I16"/>
    <mergeCell ref="J16:K16"/>
    <mergeCell ref="L16:M16"/>
    <mergeCell ref="A17:D17"/>
    <mergeCell ref="F17:G17"/>
    <mergeCell ref="J20:K20"/>
    <mergeCell ref="L20:M20"/>
    <mergeCell ref="A18:D18"/>
    <mergeCell ref="F18:G18"/>
    <mergeCell ref="H18:I18"/>
    <mergeCell ref="L22:M22"/>
    <mergeCell ref="A19:D19"/>
    <mergeCell ref="F19:G19"/>
    <mergeCell ref="A95:M95"/>
    <mergeCell ref="F97:G97"/>
    <mergeCell ref="H97:J97"/>
    <mergeCell ref="K97:M97"/>
    <mergeCell ref="A98:C99"/>
    <mergeCell ref="D98:G99"/>
    <mergeCell ref="H98:J99"/>
    <mergeCell ref="K98:M99"/>
    <mergeCell ref="B100:C100"/>
    <mergeCell ref="D100:F100"/>
    <mergeCell ref="I100:J100"/>
    <mergeCell ref="K100:L100"/>
    <mergeCell ref="A26:D26"/>
    <mergeCell ref="F26:G26"/>
    <mergeCell ref="H26:I26"/>
    <mergeCell ref="J26:K26"/>
    <mergeCell ref="L26:M26"/>
    <mergeCell ref="A41:M41"/>
    <mergeCell ref="A34:M34"/>
    <mergeCell ref="A35:M35"/>
    <mergeCell ref="A36:M36"/>
    <mergeCell ref="A37:M37"/>
    <mergeCell ref="A38:M38"/>
    <mergeCell ref="A30:B30"/>
    <mergeCell ref="C30:D30"/>
    <mergeCell ref="E30:G30"/>
    <mergeCell ref="H30:I30"/>
    <mergeCell ref="J30:K30"/>
    <mergeCell ref="L30:M30"/>
    <mergeCell ref="A31:M31"/>
    <mergeCell ref="A32:M32"/>
    <mergeCell ref="A33:M33"/>
    <mergeCell ref="A104:D104"/>
    <mergeCell ref="F104:G104"/>
    <mergeCell ref="H104:I104"/>
    <mergeCell ref="J104:K104"/>
    <mergeCell ref="L104:M104"/>
    <mergeCell ref="A105:D105"/>
    <mergeCell ref="F105:G105"/>
    <mergeCell ref="H105:I105"/>
    <mergeCell ref="J105:K105"/>
    <mergeCell ref="L105:M105"/>
    <mergeCell ref="A101:C101"/>
    <mergeCell ref="D101:G101"/>
    <mergeCell ref="H101:J101"/>
    <mergeCell ref="K101:M101"/>
    <mergeCell ref="A102:C102"/>
    <mergeCell ref="D102:G102"/>
    <mergeCell ref="H102:J102"/>
    <mergeCell ref="K102:M102"/>
    <mergeCell ref="A103:M103"/>
    <mergeCell ref="A108:D108"/>
    <mergeCell ref="F108:G108"/>
    <mergeCell ref="H108:I108"/>
    <mergeCell ref="J108:K108"/>
    <mergeCell ref="L108:M108"/>
    <mergeCell ref="A109:D109"/>
    <mergeCell ref="F109:G109"/>
    <mergeCell ref="H109:I109"/>
    <mergeCell ref="J109:K109"/>
    <mergeCell ref="L109:M109"/>
    <mergeCell ref="A106:D106"/>
    <mergeCell ref="F106:G106"/>
    <mergeCell ref="H106:I106"/>
    <mergeCell ref="J106:K106"/>
    <mergeCell ref="L106:M106"/>
    <mergeCell ref="A107:D107"/>
    <mergeCell ref="F107:G107"/>
    <mergeCell ref="H107:I107"/>
    <mergeCell ref="J107:K107"/>
    <mergeCell ref="L107:M107"/>
    <mergeCell ref="A112:D112"/>
    <mergeCell ref="F112:G112"/>
    <mergeCell ref="H112:I112"/>
    <mergeCell ref="J112:K112"/>
    <mergeCell ref="L112:M112"/>
    <mergeCell ref="A113:D113"/>
    <mergeCell ref="F113:G113"/>
    <mergeCell ref="H113:I113"/>
    <mergeCell ref="J113:K113"/>
    <mergeCell ref="L113:M113"/>
    <mergeCell ref="A110:D110"/>
    <mergeCell ref="F110:G110"/>
    <mergeCell ref="H110:I110"/>
    <mergeCell ref="J110:K110"/>
    <mergeCell ref="L110:M110"/>
    <mergeCell ref="A111:D111"/>
    <mergeCell ref="F111:G111"/>
    <mergeCell ref="H111:I111"/>
    <mergeCell ref="J111:K111"/>
    <mergeCell ref="L111:M111"/>
    <mergeCell ref="A116:D116"/>
    <mergeCell ref="F116:G116"/>
    <mergeCell ref="H116:I116"/>
    <mergeCell ref="J116:K116"/>
    <mergeCell ref="L116:M116"/>
    <mergeCell ref="A117:M117"/>
    <mergeCell ref="A118:D118"/>
    <mergeCell ref="F118:G118"/>
    <mergeCell ref="H118:I118"/>
    <mergeCell ref="J118:K118"/>
    <mergeCell ref="L118:M118"/>
    <mergeCell ref="A114:D114"/>
    <mergeCell ref="F114:G114"/>
    <mergeCell ref="H114:I114"/>
    <mergeCell ref="J114:K114"/>
    <mergeCell ref="L114:M114"/>
    <mergeCell ref="A115:D115"/>
    <mergeCell ref="F115:G115"/>
    <mergeCell ref="H115:I115"/>
    <mergeCell ref="J115:K115"/>
    <mergeCell ref="L115:M115"/>
    <mergeCell ref="A121:M121"/>
    <mergeCell ref="A122:B122"/>
    <mergeCell ref="C122:D122"/>
    <mergeCell ref="E122:G122"/>
    <mergeCell ref="H122:I122"/>
    <mergeCell ref="J122:K122"/>
    <mergeCell ref="L122:M122"/>
    <mergeCell ref="A123:B123"/>
    <mergeCell ref="C123:D123"/>
    <mergeCell ref="E123:G123"/>
    <mergeCell ref="H123:I123"/>
    <mergeCell ref="J123:K123"/>
    <mergeCell ref="L123:M123"/>
    <mergeCell ref="A119:D119"/>
    <mergeCell ref="F119:G119"/>
    <mergeCell ref="H119:I119"/>
    <mergeCell ref="J119:K119"/>
    <mergeCell ref="L119:M119"/>
    <mergeCell ref="A120:D120"/>
    <mergeCell ref="F120:G120"/>
    <mergeCell ref="H120:I120"/>
    <mergeCell ref="J120:K120"/>
    <mergeCell ref="L120:M120"/>
    <mergeCell ref="A128:M128"/>
    <mergeCell ref="A129:M129"/>
    <mergeCell ref="A130:M130"/>
    <mergeCell ref="A131:M131"/>
    <mergeCell ref="A132:M132"/>
    <mergeCell ref="A133:M133"/>
    <mergeCell ref="A134:M134"/>
    <mergeCell ref="A135:M135"/>
    <mergeCell ref="A142:M142"/>
    <mergeCell ref="A124:B124"/>
    <mergeCell ref="C124:D124"/>
    <mergeCell ref="E124:G124"/>
    <mergeCell ref="H124:I124"/>
    <mergeCell ref="J124:K124"/>
    <mergeCell ref="L124:M124"/>
    <mergeCell ref="A125:M125"/>
    <mergeCell ref="A126:M126"/>
    <mergeCell ref="A127:M127"/>
    <mergeCell ref="A148:C148"/>
    <mergeCell ref="D148:G148"/>
    <mergeCell ref="H148:J148"/>
    <mergeCell ref="K148:M148"/>
    <mergeCell ref="A149:C149"/>
    <mergeCell ref="D149:G149"/>
    <mergeCell ref="H149:J149"/>
    <mergeCell ref="K149:M149"/>
    <mergeCell ref="A150:M150"/>
    <mergeCell ref="F144:G144"/>
    <mergeCell ref="H144:J144"/>
    <mergeCell ref="K144:M144"/>
    <mergeCell ref="A145:C146"/>
    <mergeCell ref="D145:G146"/>
    <mergeCell ref="H145:J146"/>
    <mergeCell ref="K145:M146"/>
    <mergeCell ref="B147:C147"/>
    <mergeCell ref="D147:F147"/>
    <mergeCell ref="I147:J147"/>
    <mergeCell ref="K147:L147"/>
    <mergeCell ref="A153:D153"/>
    <mergeCell ref="F153:G153"/>
    <mergeCell ref="H153:I153"/>
    <mergeCell ref="J153:K153"/>
    <mergeCell ref="L153:M153"/>
    <mergeCell ref="A154:D154"/>
    <mergeCell ref="F154:G154"/>
    <mergeCell ref="H154:I154"/>
    <mergeCell ref="J154:K154"/>
    <mergeCell ref="L154:M154"/>
    <mergeCell ref="A151:D151"/>
    <mergeCell ref="F151:G151"/>
    <mergeCell ref="H151:I151"/>
    <mergeCell ref="J151:K151"/>
    <mergeCell ref="L151:M151"/>
    <mergeCell ref="A152:D152"/>
    <mergeCell ref="F152:G152"/>
    <mergeCell ref="H152:I152"/>
    <mergeCell ref="J152:K152"/>
    <mergeCell ref="L152:M152"/>
    <mergeCell ref="A157:D157"/>
    <mergeCell ref="F157:G157"/>
    <mergeCell ref="H157:I157"/>
    <mergeCell ref="J157:K157"/>
    <mergeCell ref="L157:M157"/>
    <mergeCell ref="A158:D158"/>
    <mergeCell ref="F158:G158"/>
    <mergeCell ref="H158:I158"/>
    <mergeCell ref="J158:K158"/>
    <mergeCell ref="L158:M158"/>
    <mergeCell ref="A155:D155"/>
    <mergeCell ref="F155:G155"/>
    <mergeCell ref="H155:I155"/>
    <mergeCell ref="J155:K155"/>
    <mergeCell ref="L155:M155"/>
    <mergeCell ref="A156:D156"/>
    <mergeCell ref="F156:G156"/>
    <mergeCell ref="H156:I156"/>
    <mergeCell ref="J156:K156"/>
    <mergeCell ref="L156:M156"/>
    <mergeCell ref="A161:D161"/>
    <mergeCell ref="F161:G161"/>
    <mergeCell ref="H161:I161"/>
    <mergeCell ref="J161:K161"/>
    <mergeCell ref="L161:M161"/>
    <mergeCell ref="A162:D162"/>
    <mergeCell ref="F162:G162"/>
    <mergeCell ref="H162:I162"/>
    <mergeCell ref="J162:K162"/>
    <mergeCell ref="L162:M162"/>
    <mergeCell ref="A159:D159"/>
    <mergeCell ref="F159:G159"/>
    <mergeCell ref="H159:I159"/>
    <mergeCell ref="J159:K159"/>
    <mergeCell ref="L159:M159"/>
    <mergeCell ref="A160:D160"/>
    <mergeCell ref="F160:G160"/>
    <mergeCell ref="H160:I160"/>
    <mergeCell ref="J160:K160"/>
    <mergeCell ref="L160:M160"/>
    <mergeCell ref="A166:D166"/>
    <mergeCell ref="F166:G166"/>
    <mergeCell ref="H166:I166"/>
    <mergeCell ref="J166:K166"/>
    <mergeCell ref="L166:M166"/>
    <mergeCell ref="A167:D167"/>
    <mergeCell ref="F167:G167"/>
    <mergeCell ref="H167:I167"/>
    <mergeCell ref="J167:K167"/>
    <mergeCell ref="L167:M167"/>
    <mergeCell ref="A163:D163"/>
    <mergeCell ref="F163:G163"/>
    <mergeCell ref="H163:I163"/>
    <mergeCell ref="J163:K163"/>
    <mergeCell ref="L163:M163"/>
    <mergeCell ref="A164:M164"/>
    <mergeCell ref="A165:D165"/>
    <mergeCell ref="F165:G165"/>
    <mergeCell ref="H165:I165"/>
    <mergeCell ref="J165:K165"/>
    <mergeCell ref="L165:M165"/>
    <mergeCell ref="A171:B171"/>
    <mergeCell ref="C171:D171"/>
    <mergeCell ref="E171:G171"/>
    <mergeCell ref="H171:I171"/>
    <mergeCell ref="J171:K171"/>
    <mergeCell ref="L171:M171"/>
    <mergeCell ref="A172:M172"/>
    <mergeCell ref="A173:M173"/>
    <mergeCell ref="A174:M174"/>
    <mergeCell ref="A168:M168"/>
    <mergeCell ref="A169:B169"/>
    <mergeCell ref="C169:D169"/>
    <mergeCell ref="E169:G169"/>
    <mergeCell ref="H169:I169"/>
    <mergeCell ref="J169:K169"/>
    <mergeCell ref="L169:M169"/>
    <mergeCell ref="A170:B170"/>
    <mergeCell ref="C170:D170"/>
    <mergeCell ref="E170:G170"/>
    <mergeCell ref="H170:I170"/>
    <mergeCell ref="J170:K170"/>
    <mergeCell ref="L170:M170"/>
    <mergeCell ref="F191:G191"/>
    <mergeCell ref="H191:J191"/>
    <mergeCell ref="K191:M191"/>
    <mergeCell ref="A192:C193"/>
    <mergeCell ref="D192:G193"/>
    <mergeCell ref="H192:J193"/>
    <mergeCell ref="K192:M193"/>
    <mergeCell ref="B194:C194"/>
    <mergeCell ref="D194:F194"/>
    <mergeCell ref="I194:J194"/>
    <mergeCell ref="K194:L194"/>
    <mergeCell ref="A175:M175"/>
    <mergeCell ref="A176:M176"/>
    <mergeCell ref="A177:M177"/>
    <mergeCell ref="A178:M178"/>
    <mergeCell ref="A179:M179"/>
    <mergeCell ref="A180:M180"/>
    <mergeCell ref="A181:M181"/>
    <mergeCell ref="A182:M182"/>
    <mergeCell ref="A189:M189"/>
    <mergeCell ref="A198:D198"/>
    <mergeCell ref="F198:G198"/>
    <mergeCell ref="H198:I198"/>
    <mergeCell ref="J198:K198"/>
    <mergeCell ref="L198:M198"/>
    <mergeCell ref="A199:D199"/>
    <mergeCell ref="F199:G199"/>
    <mergeCell ref="H199:I199"/>
    <mergeCell ref="J199:K199"/>
    <mergeCell ref="L199:M199"/>
    <mergeCell ref="A195:C195"/>
    <mergeCell ref="D195:G195"/>
    <mergeCell ref="H195:J195"/>
    <mergeCell ref="K195:M195"/>
    <mergeCell ref="A196:C196"/>
    <mergeCell ref="D196:G196"/>
    <mergeCell ref="H196:J196"/>
    <mergeCell ref="K196:M196"/>
    <mergeCell ref="A197:M197"/>
    <mergeCell ref="A202:D202"/>
    <mergeCell ref="F202:G202"/>
    <mergeCell ref="H202:I202"/>
    <mergeCell ref="J202:K202"/>
    <mergeCell ref="L202:M202"/>
    <mergeCell ref="A203:D203"/>
    <mergeCell ref="F203:G203"/>
    <mergeCell ref="H203:I203"/>
    <mergeCell ref="J203:K203"/>
    <mergeCell ref="L203:M203"/>
    <mergeCell ref="A200:D200"/>
    <mergeCell ref="F200:G200"/>
    <mergeCell ref="H200:I200"/>
    <mergeCell ref="J200:K200"/>
    <mergeCell ref="L200:M200"/>
    <mergeCell ref="A201:D201"/>
    <mergeCell ref="F201:G201"/>
    <mergeCell ref="H201:I201"/>
    <mergeCell ref="J201:K201"/>
    <mergeCell ref="L201:M201"/>
    <mergeCell ref="A206:D206"/>
    <mergeCell ref="F206:G206"/>
    <mergeCell ref="H206:I206"/>
    <mergeCell ref="J206:K206"/>
    <mergeCell ref="L206:M206"/>
    <mergeCell ref="A207:D207"/>
    <mergeCell ref="F207:G207"/>
    <mergeCell ref="H207:I207"/>
    <mergeCell ref="J207:K207"/>
    <mergeCell ref="L207:M207"/>
    <mergeCell ref="A204:D204"/>
    <mergeCell ref="F204:G204"/>
    <mergeCell ref="H204:I204"/>
    <mergeCell ref="J204:K204"/>
    <mergeCell ref="L204:M204"/>
    <mergeCell ref="A205:D205"/>
    <mergeCell ref="F205:G205"/>
    <mergeCell ref="H205:I205"/>
    <mergeCell ref="J205:K205"/>
    <mergeCell ref="L205:M205"/>
    <mergeCell ref="A210:D210"/>
    <mergeCell ref="F210:G210"/>
    <mergeCell ref="H210:I210"/>
    <mergeCell ref="J210:K210"/>
    <mergeCell ref="L210:M210"/>
    <mergeCell ref="A211:M211"/>
    <mergeCell ref="A212:D212"/>
    <mergeCell ref="F212:G212"/>
    <mergeCell ref="H212:I212"/>
    <mergeCell ref="J212:K212"/>
    <mergeCell ref="L212:M212"/>
    <mergeCell ref="A208:D208"/>
    <mergeCell ref="F208:G208"/>
    <mergeCell ref="H208:I208"/>
    <mergeCell ref="J208:K208"/>
    <mergeCell ref="L208:M208"/>
    <mergeCell ref="A209:D209"/>
    <mergeCell ref="F209:G209"/>
    <mergeCell ref="H209:I209"/>
    <mergeCell ref="J209:K209"/>
    <mergeCell ref="L209:M209"/>
    <mergeCell ref="A215:M215"/>
    <mergeCell ref="A216:B216"/>
    <mergeCell ref="C216:D216"/>
    <mergeCell ref="E216:G216"/>
    <mergeCell ref="H216:I216"/>
    <mergeCell ref="J216:K216"/>
    <mergeCell ref="L216:M216"/>
    <mergeCell ref="A217:B217"/>
    <mergeCell ref="C217:D217"/>
    <mergeCell ref="E217:G217"/>
    <mergeCell ref="H217:I217"/>
    <mergeCell ref="J217:K217"/>
    <mergeCell ref="L217:M217"/>
    <mergeCell ref="A213:D213"/>
    <mergeCell ref="F213:G213"/>
    <mergeCell ref="H213:I213"/>
    <mergeCell ref="J213:K213"/>
    <mergeCell ref="L213:M213"/>
    <mergeCell ref="A214:D214"/>
    <mergeCell ref="F214:G214"/>
    <mergeCell ref="H214:I214"/>
    <mergeCell ref="J214:K214"/>
    <mergeCell ref="L214:M214"/>
    <mergeCell ref="A222:M222"/>
    <mergeCell ref="A223:M223"/>
    <mergeCell ref="A224:M224"/>
    <mergeCell ref="A225:M225"/>
    <mergeCell ref="A226:M226"/>
    <mergeCell ref="A227:M227"/>
    <mergeCell ref="A228:M228"/>
    <mergeCell ref="A229:M229"/>
    <mergeCell ref="A236:M236"/>
    <mergeCell ref="A218:B218"/>
    <mergeCell ref="C218:D218"/>
    <mergeCell ref="E218:G218"/>
    <mergeCell ref="H218:I218"/>
    <mergeCell ref="J218:K218"/>
    <mergeCell ref="L218:M218"/>
    <mergeCell ref="A219:M219"/>
    <mergeCell ref="A220:M220"/>
    <mergeCell ref="A221:M221"/>
    <mergeCell ref="A242:C242"/>
    <mergeCell ref="D242:G242"/>
    <mergeCell ref="H242:J242"/>
    <mergeCell ref="K242:M242"/>
    <mergeCell ref="A243:C243"/>
    <mergeCell ref="D243:G243"/>
    <mergeCell ref="H243:J243"/>
    <mergeCell ref="K243:M243"/>
    <mergeCell ref="A244:M244"/>
    <mergeCell ref="F238:G238"/>
    <mergeCell ref="H238:J238"/>
    <mergeCell ref="K238:M238"/>
    <mergeCell ref="A239:C240"/>
    <mergeCell ref="D239:G240"/>
    <mergeCell ref="H239:J240"/>
    <mergeCell ref="K239:M240"/>
    <mergeCell ref="B241:C241"/>
    <mergeCell ref="D241:F241"/>
    <mergeCell ref="I241:J241"/>
    <mergeCell ref="K241:L241"/>
    <mergeCell ref="A247:D247"/>
    <mergeCell ref="F247:G247"/>
    <mergeCell ref="H247:I247"/>
    <mergeCell ref="J247:K247"/>
    <mergeCell ref="L247:M247"/>
    <mergeCell ref="A248:D248"/>
    <mergeCell ref="F248:G248"/>
    <mergeCell ref="H248:I248"/>
    <mergeCell ref="J248:K248"/>
    <mergeCell ref="L248:M248"/>
    <mergeCell ref="A245:D245"/>
    <mergeCell ref="F245:G245"/>
    <mergeCell ref="H245:I245"/>
    <mergeCell ref="J245:K245"/>
    <mergeCell ref="L245:M245"/>
    <mergeCell ref="A246:D246"/>
    <mergeCell ref="F246:G246"/>
    <mergeCell ref="H246:I246"/>
    <mergeCell ref="J246:K246"/>
    <mergeCell ref="L246:M246"/>
    <mergeCell ref="A251:D251"/>
    <mergeCell ref="F251:G251"/>
    <mergeCell ref="H251:I251"/>
    <mergeCell ref="J251:K251"/>
    <mergeCell ref="L251:M251"/>
    <mergeCell ref="A252:D252"/>
    <mergeCell ref="F252:G252"/>
    <mergeCell ref="H252:I252"/>
    <mergeCell ref="J252:K252"/>
    <mergeCell ref="L252:M252"/>
    <mergeCell ref="A249:D249"/>
    <mergeCell ref="F249:G249"/>
    <mergeCell ref="H249:I249"/>
    <mergeCell ref="J249:K249"/>
    <mergeCell ref="L249:M249"/>
    <mergeCell ref="A250:D250"/>
    <mergeCell ref="F250:G250"/>
    <mergeCell ref="H250:I250"/>
    <mergeCell ref="J250:K250"/>
    <mergeCell ref="L250:M250"/>
    <mergeCell ref="A255:D255"/>
    <mergeCell ref="F255:G255"/>
    <mergeCell ref="H255:I255"/>
    <mergeCell ref="J255:K255"/>
    <mergeCell ref="L255:M255"/>
    <mergeCell ref="A256:D256"/>
    <mergeCell ref="F256:G256"/>
    <mergeCell ref="H256:I256"/>
    <mergeCell ref="J256:K256"/>
    <mergeCell ref="L256:M256"/>
    <mergeCell ref="A253:D253"/>
    <mergeCell ref="F253:G253"/>
    <mergeCell ref="H253:I253"/>
    <mergeCell ref="J253:K253"/>
    <mergeCell ref="L253:M253"/>
    <mergeCell ref="A254:D254"/>
    <mergeCell ref="F254:G254"/>
    <mergeCell ref="H254:I254"/>
    <mergeCell ref="J254:K254"/>
    <mergeCell ref="L254:M254"/>
    <mergeCell ref="A260:D260"/>
    <mergeCell ref="F260:G260"/>
    <mergeCell ref="H260:I260"/>
    <mergeCell ref="J260:K260"/>
    <mergeCell ref="L260:M260"/>
    <mergeCell ref="A261:D261"/>
    <mergeCell ref="F261:G261"/>
    <mergeCell ref="H261:I261"/>
    <mergeCell ref="J261:K261"/>
    <mergeCell ref="L261:M261"/>
    <mergeCell ref="A257:D257"/>
    <mergeCell ref="F257:G257"/>
    <mergeCell ref="H257:I257"/>
    <mergeCell ref="J257:K257"/>
    <mergeCell ref="L257:M257"/>
    <mergeCell ref="A258:M258"/>
    <mergeCell ref="A259:D259"/>
    <mergeCell ref="F259:G259"/>
    <mergeCell ref="H259:I259"/>
    <mergeCell ref="J259:K259"/>
    <mergeCell ref="L259:M259"/>
    <mergeCell ref="A265:B265"/>
    <mergeCell ref="C265:D265"/>
    <mergeCell ref="E265:G265"/>
    <mergeCell ref="H265:I265"/>
    <mergeCell ref="J265:K265"/>
    <mergeCell ref="L265:M265"/>
    <mergeCell ref="A266:M266"/>
    <mergeCell ref="A267:M267"/>
    <mergeCell ref="A268:M268"/>
    <mergeCell ref="A262:M262"/>
    <mergeCell ref="A263:B263"/>
    <mergeCell ref="C263:D263"/>
    <mergeCell ref="E263:G263"/>
    <mergeCell ref="H263:I263"/>
    <mergeCell ref="J263:K263"/>
    <mergeCell ref="L263:M263"/>
    <mergeCell ref="A264:B264"/>
    <mergeCell ref="C264:D264"/>
    <mergeCell ref="E264:G264"/>
    <mergeCell ref="H264:I264"/>
    <mergeCell ref="J264:K264"/>
    <mergeCell ref="L264:M264"/>
    <mergeCell ref="F285:G285"/>
    <mergeCell ref="H285:J285"/>
    <mergeCell ref="K285:M285"/>
    <mergeCell ref="A286:C287"/>
    <mergeCell ref="D286:G287"/>
    <mergeCell ref="H286:J287"/>
    <mergeCell ref="K286:M287"/>
    <mergeCell ref="B288:C288"/>
    <mergeCell ref="D288:F288"/>
    <mergeCell ref="I288:J288"/>
    <mergeCell ref="K288:L288"/>
    <mergeCell ref="A269:M269"/>
    <mergeCell ref="A270:M270"/>
    <mergeCell ref="A271:M271"/>
    <mergeCell ref="A272:M272"/>
    <mergeCell ref="A273:M273"/>
    <mergeCell ref="A274:M274"/>
    <mergeCell ref="A275:M275"/>
    <mergeCell ref="A276:M276"/>
    <mergeCell ref="A283:M283"/>
    <mergeCell ref="A292:D292"/>
    <mergeCell ref="F292:G292"/>
    <mergeCell ref="H292:I292"/>
    <mergeCell ref="J292:K292"/>
    <mergeCell ref="L292:M292"/>
    <mergeCell ref="A293:D293"/>
    <mergeCell ref="F293:G293"/>
    <mergeCell ref="H293:I293"/>
    <mergeCell ref="J293:K293"/>
    <mergeCell ref="L293:M293"/>
    <mergeCell ref="A289:C289"/>
    <mergeCell ref="D289:G289"/>
    <mergeCell ref="H289:J289"/>
    <mergeCell ref="K289:M289"/>
    <mergeCell ref="A290:C290"/>
    <mergeCell ref="D290:G290"/>
    <mergeCell ref="H290:J290"/>
    <mergeCell ref="K290:M290"/>
    <mergeCell ref="A291:M291"/>
    <mergeCell ref="A296:D296"/>
    <mergeCell ref="F296:G296"/>
    <mergeCell ref="H296:I296"/>
    <mergeCell ref="J296:K296"/>
    <mergeCell ref="L296:M296"/>
    <mergeCell ref="A297:D297"/>
    <mergeCell ref="F297:G297"/>
    <mergeCell ref="H297:I297"/>
    <mergeCell ref="J297:K297"/>
    <mergeCell ref="L297:M297"/>
    <mergeCell ref="A294:D294"/>
    <mergeCell ref="F294:G294"/>
    <mergeCell ref="H294:I294"/>
    <mergeCell ref="J294:K294"/>
    <mergeCell ref="L294:M294"/>
    <mergeCell ref="A295:D295"/>
    <mergeCell ref="F295:G295"/>
    <mergeCell ref="H295:I295"/>
    <mergeCell ref="J295:K295"/>
    <mergeCell ref="L295:M295"/>
    <mergeCell ref="A300:D300"/>
    <mergeCell ref="F300:G300"/>
    <mergeCell ref="H300:I300"/>
    <mergeCell ref="J300:K300"/>
    <mergeCell ref="L300:M300"/>
    <mergeCell ref="A301:D301"/>
    <mergeCell ref="F301:G301"/>
    <mergeCell ref="H301:I301"/>
    <mergeCell ref="J301:K301"/>
    <mergeCell ref="L301:M301"/>
    <mergeCell ref="A298:D298"/>
    <mergeCell ref="F298:G298"/>
    <mergeCell ref="H298:I298"/>
    <mergeCell ref="J298:K298"/>
    <mergeCell ref="L298:M298"/>
    <mergeCell ref="A299:D299"/>
    <mergeCell ref="F299:G299"/>
    <mergeCell ref="H299:I299"/>
    <mergeCell ref="J299:K299"/>
    <mergeCell ref="L299:M299"/>
    <mergeCell ref="A304:D304"/>
    <mergeCell ref="F304:G304"/>
    <mergeCell ref="H304:I304"/>
    <mergeCell ref="J304:K304"/>
    <mergeCell ref="L304:M304"/>
    <mergeCell ref="A305:M305"/>
    <mergeCell ref="A306:D306"/>
    <mergeCell ref="F306:G306"/>
    <mergeCell ref="H306:I306"/>
    <mergeCell ref="J306:K306"/>
    <mergeCell ref="L306:M306"/>
    <mergeCell ref="A302:D302"/>
    <mergeCell ref="F302:G302"/>
    <mergeCell ref="H302:I302"/>
    <mergeCell ref="J302:K302"/>
    <mergeCell ref="L302:M302"/>
    <mergeCell ref="A303:D303"/>
    <mergeCell ref="F303:G303"/>
    <mergeCell ref="H303:I303"/>
    <mergeCell ref="J303:K303"/>
    <mergeCell ref="L303:M303"/>
    <mergeCell ref="A309:M309"/>
    <mergeCell ref="A310:B310"/>
    <mergeCell ref="C310:D310"/>
    <mergeCell ref="E310:G310"/>
    <mergeCell ref="H310:I310"/>
    <mergeCell ref="J310:K310"/>
    <mergeCell ref="L310:M310"/>
    <mergeCell ref="A311:B311"/>
    <mergeCell ref="C311:D311"/>
    <mergeCell ref="E311:G311"/>
    <mergeCell ref="H311:I311"/>
    <mergeCell ref="J311:K311"/>
    <mergeCell ref="L311:M311"/>
    <mergeCell ref="A307:D307"/>
    <mergeCell ref="F307:G307"/>
    <mergeCell ref="H307:I307"/>
    <mergeCell ref="J307:K307"/>
    <mergeCell ref="L307:M307"/>
    <mergeCell ref="A308:D308"/>
    <mergeCell ref="F308:G308"/>
    <mergeCell ref="H308:I308"/>
    <mergeCell ref="J308:K308"/>
    <mergeCell ref="L308:M308"/>
    <mergeCell ref="A316:M316"/>
    <mergeCell ref="A317:M317"/>
    <mergeCell ref="A318:M318"/>
    <mergeCell ref="A319:M319"/>
    <mergeCell ref="A320:M320"/>
    <mergeCell ref="A321:M321"/>
    <mergeCell ref="A322:M322"/>
    <mergeCell ref="A323:M323"/>
    <mergeCell ref="A330:M330"/>
    <mergeCell ref="A312:B312"/>
    <mergeCell ref="C312:D312"/>
    <mergeCell ref="E312:G312"/>
    <mergeCell ref="H312:I312"/>
    <mergeCell ref="J312:K312"/>
    <mergeCell ref="L312:M312"/>
    <mergeCell ref="A313:M313"/>
    <mergeCell ref="A314:M314"/>
    <mergeCell ref="A315:M315"/>
    <mergeCell ref="A336:C336"/>
    <mergeCell ref="D336:G336"/>
    <mergeCell ref="H336:J336"/>
    <mergeCell ref="K336:M336"/>
    <mergeCell ref="A337:C337"/>
    <mergeCell ref="D337:G337"/>
    <mergeCell ref="H337:J337"/>
    <mergeCell ref="K337:M337"/>
    <mergeCell ref="A338:M338"/>
    <mergeCell ref="F332:G332"/>
    <mergeCell ref="H332:J332"/>
    <mergeCell ref="K332:M332"/>
    <mergeCell ref="A333:C334"/>
    <mergeCell ref="D333:G334"/>
    <mergeCell ref="H333:J334"/>
    <mergeCell ref="K333:M334"/>
    <mergeCell ref="B335:C335"/>
    <mergeCell ref="D335:F335"/>
    <mergeCell ref="I335:J335"/>
    <mergeCell ref="K335:L335"/>
    <mergeCell ref="A341:D341"/>
    <mergeCell ref="F341:G341"/>
    <mergeCell ref="H341:I341"/>
    <mergeCell ref="J341:K341"/>
    <mergeCell ref="L341:M341"/>
    <mergeCell ref="A342:D342"/>
    <mergeCell ref="F342:G342"/>
    <mergeCell ref="H342:I342"/>
    <mergeCell ref="J342:K342"/>
    <mergeCell ref="L342:M342"/>
    <mergeCell ref="A339:D339"/>
    <mergeCell ref="F339:G339"/>
    <mergeCell ref="H339:I339"/>
    <mergeCell ref="J339:K339"/>
    <mergeCell ref="L339:M339"/>
    <mergeCell ref="A340:D340"/>
    <mergeCell ref="F340:G340"/>
    <mergeCell ref="H340:I340"/>
    <mergeCell ref="J340:K340"/>
    <mergeCell ref="L340:M340"/>
    <mergeCell ref="A345:D345"/>
    <mergeCell ref="F345:G345"/>
    <mergeCell ref="H345:I345"/>
    <mergeCell ref="J345:K345"/>
    <mergeCell ref="L345:M345"/>
    <mergeCell ref="A346:D346"/>
    <mergeCell ref="F346:G346"/>
    <mergeCell ref="H346:I346"/>
    <mergeCell ref="J346:K346"/>
    <mergeCell ref="L346:M346"/>
    <mergeCell ref="A343:D343"/>
    <mergeCell ref="F343:G343"/>
    <mergeCell ref="H343:I343"/>
    <mergeCell ref="J343:K343"/>
    <mergeCell ref="L343:M343"/>
    <mergeCell ref="A344:D344"/>
    <mergeCell ref="F344:G344"/>
    <mergeCell ref="H344:I344"/>
    <mergeCell ref="J344:K344"/>
    <mergeCell ref="L344:M344"/>
    <mergeCell ref="A349:D349"/>
    <mergeCell ref="F349:G349"/>
    <mergeCell ref="H349:I349"/>
    <mergeCell ref="J349:K349"/>
    <mergeCell ref="L349:M349"/>
    <mergeCell ref="A350:D350"/>
    <mergeCell ref="F350:G350"/>
    <mergeCell ref="H350:I350"/>
    <mergeCell ref="J350:K350"/>
    <mergeCell ref="L350:M350"/>
    <mergeCell ref="A347:D347"/>
    <mergeCell ref="F347:G347"/>
    <mergeCell ref="H347:I347"/>
    <mergeCell ref="J347:K347"/>
    <mergeCell ref="L347:M347"/>
    <mergeCell ref="A348:D348"/>
    <mergeCell ref="F348:G348"/>
    <mergeCell ref="H348:I348"/>
    <mergeCell ref="J348:K348"/>
    <mergeCell ref="L348:M348"/>
    <mergeCell ref="A354:D354"/>
    <mergeCell ref="F354:G354"/>
    <mergeCell ref="H354:I354"/>
    <mergeCell ref="J354:K354"/>
    <mergeCell ref="L354:M354"/>
    <mergeCell ref="A355:D355"/>
    <mergeCell ref="F355:G355"/>
    <mergeCell ref="H355:I355"/>
    <mergeCell ref="J355:K355"/>
    <mergeCell ref="L355:M355"/>
    <mergeCell ref="A351:D351"/>
    <mergeCell ref="F351:G351"/>
    <mergeCell ref="H351:I351"/>
    <mergeCell ref="J351:K351"/>
    <mergeCell ref="L351:M351"/>
    <mergeCell ref="A352:M352"/>
    <mergeCell ref="A353:D353"/>
    <mergeCell ref="F353:G353"/>
    <mergeCell ref="H353:I353"/>
    <mergeCell ref="J353:K353"/>
    <mergeCell ref="L353:M353"/>
    <mergeCell ref="A359:B359"/>
    <mergeCell ref="C359:D359"/>
    <mergeCell ref="E359:G359"/>
    <mergeCell ref="H359:I359"/>
    <mergeCell ref="J359:K359"/>
    <mergeCell ref="L359:M359"/>
    <mergeCell ref="A360:M360"/>
    <mergeCell ref="A361:M361"/>
    <mergeCell ref="A362:M362"/>
    <mergeCell ref="A356:M356"/>
    <mergeCell ref="A357:B357"/>
    <mergeCell ref="C357:D357"/>
    <mergeCell ref="E357:G357"/>
    <mergeCell ref="H357:I357"/>
    <mergeCell ref="J357:K357"/>
    <mergeCell ref="L357:M357"/>
    <mergeCell ref="A358:B358"/>
    <mergeCell ref="C358:D358"/>
    <mergeCell ref="E358:G358"/>
    <mergeCell ref="H358:I358"/>
    <mergeCell ref="J358:K358"/>
    <mergeCell ref="L358:M358"/>
    <mergeCell ref="F379:G379"/>
    <mergeCell ref="H379:J379"/>
    <mergeCell ref="K379:M379"/>
    <mergeCell ref="A380:C381"/>
    <mergeCell ref="D380:G381"/>
    <mergeCell ref="H380:J381"/>
    <mergeCell ref="K380:M381"/>
    <mergeCell ref="B382:C382"/>
    <mergeCell ref="D382:F382"/>
    <mergeCell ref="I382:J382"/>
    <mergeCell ref="K382:L382"/>
    <mergeCell ref="A363:M363"/>
    <mergeCell ref="A364:M364"/>
    <mergeCell ref="A365:M365"/>
    <mergeCell ref="A366:M366"/>
    <mergeCell ref="A367:M367"/>
    <mergeCell ref="A368:M368"/>
    <mergeCell ref="A369:M369"/>
    <mergeCell ref="A370:M370"/>
    <mergeCell ref="A377:M377"/>
    <mergeCell ref="A386:D386"/>
    <mergeCell ref="F386:G386"/>
    <mergeCell ref="H386:I386"/>
    <mergeCell ref="J386:K386"/>
    <mergeCell ref="L386:M386"/>
    <mergeCell ref="A387:D387"/>
    <mergeCell ref="F387:G387"/>
    <mergeCell ref="H387:I387"/>
    <mergeCell ref="J387:K387"/>
    <mergeCell ref="L387:M387"/>
    <mergeCell ref="A383:C383"/>
    <mergeCell ref="D383:G383"/>
    <mergeCell ref="H383:J383"/>
    <mergeCell ref="K383:M383"/>
    <mergeCell ref="A384:C384"/>
    <mergeCell ref="D384:G384"/>
    <mergeCell ref="H384:J384"/>
    <mergeCell ref="K384:M384"/>
    <mergeCell ref="A385:M385"/>
    <mergeCell ref="A390:D390"/>
    <mergeCell ref="F390:G390"/>
    <mergeCell ref="H390:I390"/>
    <mergeCell ref="J390:K390"/>
    <mergeCell ref="L390:M390"/>
    <mergeCell ref="A391:D391"/>
    <mergeCell ref="F391:G391"/>
    <mergeCell ref="H391:I391"/>
    <mergeCell ref="J391:K391"/>
    <mergeCell ref="L391:M391"/>
    <mergeCell ref="A388:D388"/>
    <mergeCell ref="F388:G388"/>
    <mergeCell ref="H388:I388"/>
    <mergeCell ref="J388:K388"/>
    <mergeCell ref="L388:M388"/>
    <mergeCell ref="A389:D389"/>
    <mergeCell ref="F389:G389"/>
    <mergeCell ref="H389:I389"/>
    <mergeCell ref="J389:K389"/>
    <mergeCell ref="L389:M389"/>
    <mergeCell ref="A394:D394"/>
    <mergeCell ref="F394:G394"/>
    <mergeCell ref="H394:I394"/>
    <mergeCell ref="J394:K394"/>
    <mergeCell ref="L394:M394"/>
    <mergeCell ref="A395:D395"/>
    <mergeCell ref="F395:G395"/>
    <mergeCell ref="H395:I395"/>
    <mergeCell ref="J395:K395"/>
    <mergeCell ref="L395:M395"/>
    <mergeCell ref="A392:D392"/>
    <mergeCell ref="F392:G392"/>
    <mergeCell ref="H392:I392"/>
    <mergeCell ref="J392:K392"/>
    <mergeCell ref="L392:M392"/>
    <mergeCell ref="A393:D393"/>
    <mergeCell ref="F393:G393"/>
    <mergeCell ref="H393:I393"/>
    <mergeCell ref="J393:K393"/>
    <mergeCell ref="L393:M393"/>
    <mergeCell ref="A398:D398"/>
    <mergeCell ref="F398:G398"/>
    <mergeCell ref="H398:I398"/>
    <mergeCell ref="J398:K398"/>
    <mergeCell ref="L398:M398"/>
    <mergeCell ref="A399:M399"/>
    <mergeCell ref="A400:D400"/>
    <mergeCell ref="F400:G400"/>
    <mergeCell ref="H400:I400"/>
    <mergeCell ref="J400:K400"/>
    <mergeCell ref="L400:M400"/>
    <mergeCell ref="A396:D396"/>
    <mergeCell ref="F396:G396"/>
    <mergeCell ref="H396:I396"/>
    <mergeCell ref="J396:K396"/>
    <mergeCell ref="L396:M396"/>
    <mergeCell ref="A397:D397"/>
    <mergeCell ref="F397:G397"/>
    <mergeCell ref="H397:I397"/>
    <mergeCell ref="J397:K397"/>
    <mergeCell ref="L397:M397"/>
    <mergeCell ref="A403:M403"/>
    <mergeCell ref="A404:B404"/>
    <mergeCell ref="C404:D404"/>
    <mergeCell ref="E404:G404"/>
    <mergeCell ref="H404:I404"/>
    <mergeCell ref="J404:K404"/>
    <mergeCell ref="L404:M404"/>
    <mergeCell ref="A405:B405"/>
    <mergeCell ref="C405:D405"/>
    <mergeCell ref="E405:G405"/>
    <mergeCell ref="H405:I405"/>
    <mergeCell ref="J405:K405"/>
    <mergeCell ref="L405:M405"/>
    <mergeCell ref="A401:D401"/>
    <mergeCell ref="F401:G401"/>
    <mergeCell ref="H401:I401"/>
    <mergeCell ref="J401:K401"/>
    <mergeCell ref="L401:M401"/>
    <mergeCell ref="A402:D402"/>
    <mergeCell ref="F402:G402"/>
    <mergeCell ref="H402:I402"/>
    <mergeCell ref="J402:K402"/>
    <mergeCell ref="L402:M402"/>
    <mergeCell ref="A410:M410"/>
    <mergeCell ref="A411:M411"/>
    <mergeCell ref="A412:M412"/>
    <mergeCell ref="A413:M413"/>
    <mergeCell ref="A414:M414"/>
    <mergeCell ref="A415:M415"/>
    <mergeCell ref="A416:M416"/>
    <mergeCell ref="A417:M417"/>
    <mergeCell ref="A424:M424"/>
    <mergeCell ref="A406:B406"/>
    <mergeCell ref="C406:D406"/>
    <mergeCell ref="E406:G406"/>
    <mergeCell ref="H406:I406"/>
    <mergeCell ref="J406:K406"/>
    <mergeCell ref="L406:M406"/>
    <mergeCell ref="A407:M407"/>
    <mergeCell ref="A408:M408"/>
    <mergeCell ref="A409:M409"/>
    <mergeCell ref="A430:C430"/>
    <mergeCell ref="D430:G430"/>
    <mergeCell ref="H430:J430"/>
    <mergeCell ref="K430:M430"/>
    <mergeCell ref="A431:C431"/>
    <mergeCell ref="D431:G431"/>
    <mergeCell ref="H431:J431"/>
    <mergeCell ref="K431:M431"/>
    <mergeCell ref="A432:M432"/>
    <mergeCell ref="F426:G426"/>
    <mergeCell ref="H426:J426"/>
    <mergeCell ref="K426:M426"/>
    <mergeCell ref="A427:C428"/>
    <mergeCell ref="D427:G428"/>
    <mergeCell ref="H427:J428"/>
    <mergeCell ref="K427:M428"/>
    <mergeCell ref="B429:C429"/>
    <mergeCell ref="D429:F429"/>
    <mergeCell ref="I429:J429"/>
    <mergeCell ref="K429:L429"/>
    <mergeCell ref="A435:D435"/>
    <mergeCell ref="F435:G435"/>
    <mergeCell ref="H435:I435"/>
    <mergeCell ref="J435:K435"/>
    <mergeCell ref="L435:M435"/>
    <mergeCell ref="A436:D436"/>
    <mergeCell ref="F436:G436"/>
    <mergeCell ref="H436:I436"/>
    <mergeCell ref="J436:K436"/>
    <mergeCell ref="L436:M436"/>
    <mergeCell ref="A433:D433"/>
    <mergeCell ref="F433:G433"/>
    <mergeCell ref="H433:I433"/>
    <mergeCell ref="J433:K433"/>
    <mergeCell ref="L433:M433"/>
    <mergeCell ref="A434:D434"/>
    <mergeCell ref="F434:G434"/>
    <mergeCell ref="H434:I434"/>
    <mergeCell ref="J434:K434"/>
    <mergeCell ref="L434:M434"/>
    <mergeCell ref="A439:D439"/>
    <mergeCell ref="F439:G439"/>
    <mergeCell ref="H439:I439"/>
    <mergeCell ref="J439:K439"/>
    <mergeCell ref="L439:M439"/>
    <mergeCell ref="A440:D440"/>
    <mergeCell ref="F440:G440"/>
    <mergeCell ref="H440:I440"/>
    <mergeCell ref="J440:K440"/>
    <mergeCell ref="L440:M440"/>
    <mergeCell ref="A437:D437"/>
    <mergeCell ref="F437:G437"/>
    <mergeCell ref="H437:I437"/>
    <mergeCell ref="J437:K437"/>
    <mergeCell ref="L437:M437"/>
    <mergeCell ref="A438:D438"/>
    <mergeCell ref="F438:G438"/>
    <mergeCell ref="H438:I438"/>
    <mergeCell ref="J438:K438"/>
    <mergeCell ref="L438:M438"/>
    <mergeCell ref="A443:D443"/>
    <mergeCell ref="F443:G443"/>
    <mergeCell ref="H443:I443"/>
    <mergeCell ref="J443:K443"/>
    <mergeCell ref="L443:M443"/>
    <mergeCell ref="A444:D444"/>
    <mergeCell ref="F444:G444"/>
    <mergeCell ref="H444:I444"/>
    <mergeCell ref="J444:K444"/>
    <mergeCell ref="L444:M444"/>
    <mergeCell ref="A441:D441"/>
    <mergeCell ref="F441:G441"/>
    <mergeCell ref="H441:I441"/>
    <mergeCell ref="J441:K441"/>
    <mergeCell ref="L441:M441"/>
    <mergeCell ref="A442:D442"/>
    <mergeCell ref="F442:G442"/>
    <mergeCell ref="H442:I442"/>
    <mergeCell ref="J442:K442"/>
    <mergeCell ref="L442:M442"/>
    <mergeCell ref="A448:D448"/>
    <mergeCell ref="F448:G448"/>
    <mergeCell ref="H448:I448"/>
    <mergeCell ref="J448:K448"/>
    <mergeCell ref="L448:M448"/>
    <mergeCell ref="A449:D449"/>
    <mergeCell ref="F449:G449"/>
    <mergeCell ref="H449:I449"/>
    <mergeCell ref="J449:K449"/>
    <mergeCell ref="L449:M449"/>
    <mergeCell ref="A445:D445"/>
    <mergeCell ref="F445:G445"/>
    <mergeCell ref="H445:I445"/>
    <mergeCell ref="J445:K445"/>
    <mergeCell ref="L445:M445"/>
    <mergeCell ref="A446:M446"/>
    <mergeCell ref="A447:D447"/>
    <mergeCell ref="F447:G447"/>
    <mergeCell ref="H447:I447"/>
    <mergeCell ref="J447:K447"/>
    <mergeCell ref="L447:M447"/>
    <mergeCell ref="A453:B453"/>
    <mergeCell ref="C453:D453"/>
    <mergeCell ref="E453:G453"/>
    <mergeCell ref="H453:I453"/>
    <mergeCell ref="J453:K453"/>
    <mergeCell ref="L453:M453"/>
    <mergeCell ref="A454:M454"/>
    <mergeCell ref="A455:M455"/>
    <mergeCell ref="A456:M456"/>
    <mergeCell ref="A450:M450"/>
    <mergeCell ref="A451:B451"/>
    <mergeCell ref="C451:D451"/>
    <mergeCell ref="E451:G451"/>
    <mergeCell ref="H451:I451"/>
    <mergeCell ref="J451:K451"/>
    <mergeCell ref="L451:M451"/>
    <mergeCell ref="A452:B452"/>
    <mergeCell ref="C452:D452"/>
    <mergeCell ref="E452:G452"/>
    <mergeCell ref="H452:I452"/>
    <mergeCell ref="J452:K452"/>
    <mergeCell ref="L452:M452"/>
    <mergeCell ref="F473:G473"/>
    <mergeCell ref="H473:J473"/>
    <mergeCell ref="K473:M473"/>
    <mergeCell ref="A474:C475"/>
    <mergeCell ref="D474:G475"/>
    <mergeCell ref="H474:J475"/>
    <mergeCell ref="K474:M475"/>
    <mergeCell ref="B476:C476"/>
    <mergeCell ref="D476:F476"/>
    <mergeCell ref="I476:J476"/>
    <mergeCell ref="K476:L476"/>
    <mergeCell ref="A457:M457"/>
    <mergeCell ref="A458:M458"/>
    <mergeCell ref="A459:M459"/>
    <mergeCell ref="A460:M460"/>
    <mergeCell ref="A461:M461"/>
    <mergeCell ref="A462:M462"/>
    <mergeCell ref="A463:M463"/>
    <mergeCell ref="A464:M464"/>
    <mergeCell ref="A471:M471"/>
    <mergeCell ref="A480:D480"/>
    <mergeCell ref="F480:G480"/>
    <mergeCell ref="H480:I480"/>
    <mergeCell ref="J480:K480"/>
    <mergeCell ref="L480:M480"/>
    <mergeCell ref="A481:D481"/>
    <mergeCell ref="F481:G481"/>
    <mergeCell ref="H481:I481"/>
    <mergeCell ref="J481:K481"/>
    <mergeCell ref="L481:M481"/>
    <mergeCell ref="A477:C477"/>
    <mergeCell ref="D477:G477"/>
    <mergeCell ref="H477:J477"/>
    <mergeCell ref="K477:M477"/>
    <mergeCell ref="A478:C478"/>
    <mergeCell ref="D478:G478"/>
    <mergeCell ref="H478:J478"/>
    <mergeCell ref="K478:M478"/>
    <mergeCell ref="A479:M479"/>
    <mergeCell ref="A484:D484"/>
    <mergeCell ref="F484:G484"/>
    <mergeCell ref="H484:I484"/>
    <mergeCell ref="J484:K484"/>
    <mergeCell ref="L484:M484"/>
    <mergeCell ref="A485:D485"/>
    <mergeCell ref="F485:G485"/>
    <mergeCell ref="H485:I485"/>
    <mergeCell ref="J485:K485"/>
    <mergeCell ref="L485:M485"/>
    <mergeCell ref="A482:D482"/>
    <mergeCell ref="F482:G482"/>
    <mergeCell ref="H482:I482"/>
    <mergeCell ref="J482:K482"/>
    <mergeCell ref="L482:M482"/>
    <mergeCell ref="A483:D483"/>
    <mergeCell ref="F483:G483"/>
    <mergeCell ref="H483:I483"/>
    <mergeCell ref="J483:K483"/>
    <mergeCell ref="L483:M483"/>
    <mergeCell ref="A488:D488"/>
    <mergeCell ref="F488:G488"/>
    <mergeCell ref="H488:I488"/>
    <mergeCell ref="J488:K488"/>
    <mergeCell ref="L488:M488"/>
    <mergeCell ref="A489:D489"/>
    <mergeCell ref="F489:G489"/>
    <mergeCell ref="H489:I489"/>
    <mergeCell ref="J489:K489"/>
    <mergeCell ref="L489:M489"/>
    <mergeCell ref="A486:D486"/>
    <mergeCell ref="F486:G486"/>
    <mergeCell ref="H486:I486"/>
    <mergeCell ref="J486:K486"/>
    <mergeCell ref="L486:M486"/>
    <mergeCell ref="A487:D487"/>
    <mergeCell ref="F487:G487"/>
    <mergeCell ref="H487:I487"/>
    <mergeCell ref="J487:K487"/>
    <mergeCell ref="L487:M487"/>
    <mergeCell ref="A492:D492"/>
    <mergeCell ref="F492:G492"/>
    <mergeCell ref="H492:I492"/>
    <mergeCell ref="J492:K492"/>
    <mergeCell ref="L492:M492"/>
    <mergeCell ref="A493:M493"/>
    <mergeCell ref="A494:D494"/>
    <mergeCell ref="F494:G494"/>
    <mergeCell ref="H494:I494"/>
    <mergeCell ref="J494:K494"/>
    <mergeCell ref="L494:M494"/>
    <mergeCell ref="A490:D490"/>
    <mergeCell ref="F490:G490"/>
    <mergeCell ref="H490:I490"/>
    <mergeCell ref="J490:K490"/>
    <mergeCell ref="L490:M490"/>
    <mergeCell ref="A491:D491"/>
    <mergeCell ref="F491:G491"/>
    <mergeCell ref="H491:I491"/>
    <mergeCell ref="J491:K491"/>
    <mergeCell ref="L491:M491"/>
    <mergeCell ref="A497:M497"/>
    <mergeCell ref="A498:B498"/>
    <mergeCell ref="C498:D498"/>
    <mergeCell ref="E498:G498"/>
    <mergeCell ref="H498:I498"/>
    <mergeCell ref="J498:K498"/>
    <mergeCell ref="L498:M498"/>
    <mergeCell ref="A499:B499"/>
    <mergeCell ref="C499:D499"/>
    <mergeCell ref="E499:G499"/>
    <mergeCell ref="H499:I499"/>
    <mergeCell ref="J499:K499"/>
    <mergeCell ref="L499:M499"/>
    <mergeCell ref="A495:D495"/>
    <mergeCell ref="F495:G495"/>
    <mergeCell ref="H495:I495"/>
    <mergeCell ref="J495:K495"/>
    <mergeCell ref="L495:M495"/>
    <mergeCell ref="A496:D496"/>
    <mergeCell ref="F496:G496"/>
    <mergeCell ref="H496:I496"/>
    <mergeCell ref="J496:K496"/>
    <mergeCell ref="L496:M496"/>
    <mergeCell ref="A504:M504"/>
    <mergeCell ref="A505:M505"/>
    <mergeCell ref="A506:M506"/>
    <mergeCell ref="A507:M507"/>
    <mergeCell ref="A508:M508"/>
    <mergeCell ref="A509:M509"/>
    <mergeCell ref="A510:M510"/>
    <mergeCell ref="A511:M511"/>
    <mergeCell ref="A518:M518"/>
    <mergeCell ref="A500:B500"/>
    <mergeCell ref="C500:D500"/>
    <mergeCell ref="E500:G500"/>
    <mergeCell ref="H500:I500"/>
    <mergeCell ref="J500:K500"/>
    <mergeCell ref="L500:M500"/>
    <mergeCell ref="A501:M501"/>
    <mergeCell ref="A502:M502"/>
    <mergeCell ref="A503:M503"/>
    <mergeCell ref="A524:C524"/>
    <mergeCell ref="D524:G524"/>
    <mergeCell ref="H524:J524"/>
    <mergeCell ref="K524:M524"/>
    <mergeCell ref="A525:C525"/>
    <mergeCell ref="D525:G525"/>
    <mergeCell ref="H525:J525"/>
    <mergeCell ref="K525:M525"/>
    <mergeCell ref="A526:M526"/>
    <mergeCell ref="F520:G520"/>
    <mergeCell ref="H520:J520"/>
    <mergeCell ref="K520:M520"/>
    <mergeCell ref="A521:C522"/>
    <mergeCell ref="D521:G522"/>
    <mergeCell ref="H521:J522"/>
    <mergeCell ref="K521:M522"/>
    <mergeCell ref="B523:C523"/>
    <mergeCell ref="D523:F523"/>
    <mergeCell ref="I523:J523"/>
    <mergeCell ref="K523:L523"/>
    <mergeCell ref="A529:D529"/>
    <mergeCell ref="F529:G529"/>
    <mergeCell ref="H529:I529"/>
    <mergeCell ref="J529:K529"/>
    <mergeCell ref="L529:M529"/>
    <mergeCell ref="A530:D530"/>
    <mergeCell ref="F530:G530"/>
    <mergeCell ref="H530:I530"/>
    <mergeCell ref="J530:K530"/>
    <mergeCell ref="L530:M530"/>
    <mergeCell ref="A527:D527"/>
    <mergeCell ref="F527:G527"/>
    <mergeCell ref="H527:I527"/>
    <mergeCell ref="J527:K527"/>
    <mergeCell ref="L527:M527"/>
    <mergeCell ref="A528:D528"/>
    <mergeCell ref="F528:G528"/>
    <mergeCell ref="H528:I528"/>
    <mergeCell ref="J528:K528"/>
    <mergeCell ref="L528:M528"/>
    <mergeCell ref="A533:D533"/>
    <mergeCell ref="F533:G533"/>
    <mergeCell ref="H533:I533"/>
    <mergeCell ref="J533:K533"/>
    <mergeCell ref="L533:M533"/>
    <mergeCell ref="A534:D534"/>
    <mergeCell ref="F534:G534"/>
    <mergeCell ref="H534:I534"/>
    <mergeCell ref="J534:K534"/>
    <mergeCell ref="L534:M534"/>
    <mergeCell ref="A531:D531"/>
    <mergeCell ref="F531:G531"/>
    <mergeCell ref="H531:I531"/>
    <mergeCell ref="J531:K531"/>
    <mergeCell ref="L531:M531"/>
    <mergeCell ref="A532:D532"/>
    <mergeCell ref="F532:G532"/>
    <mergeCell ref="H532:I532"/>
    <mergeCell ref="J532:K532"/>
    <mergeCell ref="L532:M532"/>
    <mergeCell ref="A537:D537"/>
    <mergeCell ref="F537:G537"/>
    <mergeCell ref="H537:I537"/>
    <mergeCell ref="J537:K537"/>
    <mergeCell ref="L537:M537"/>
    <mergeCell ref="A538:D538"/>
    <mergeCell ref="F538:G538"/>
    <mergeCell ref="H538:I538"/>
    <mergeCell ref="J538:K538"/>
    <mergeCell ref="L538:M538"/>
    <mergeCell ref="A535:D535"/>
    <mergeCell ref="F535:G535"/>
    <mergeCell ref="H535:I535"/>
    <mergeCell ref="J535:K535"/>
    <mergeCell ref="L535:M535"/>
    <mergeCell ref="A536:D536"/>
    <mergeCell ref="F536:G536"/>
    <mergeCell ref="H536:I536"/>
    <mergeCell ref="J536:K536"/>
    <mergeCell ref="L536:M536"/>
    <mergeCell ref="A542:D542"/>
    <mergeCell ref="F542:G542"/>
    <mergeCell ref="H542:I542"/>
    <mergeCell ref="J542:K542"/>
    <mergeCell ref="L542:M542"/>
    <mergeCell ref="A543:D543"/>
    <mergeCell ref="F543:G543"/>
    <mergeCell ref="H543:I543"/>
    <mergeCell ref="J543:K543"/>
    <mergeCell ref="L543:M543"/>
    <mergeCell ref="A539:D539"/>
    <mergeCell ref="F539:G539"/>
    <mergeCell ref="H539:I539"/>
    <mergeCell ref="J539:K539"/>
    <mergeCell ref="L539:M539"/>
    <mergeCell ref="A540:M540"/>
    <mergeCell ref="A541:D541"/>
    <mergeCell ref="F541:G541"/>
    <mergeCell ref="H541:I541"/>
    <mergeCell ref="J541:K541"/>
    <mergeCell ref="L541:M541"/>
    <mergeCell ref="A547:B547"/>
    <mergeCell ref="C547:D547"/>
    <mergeCell ref="E547:G547"/>
    <mergeCell ref="H547:I547"/>
    <mergeCell ref="J547:K547"/>
    <mergeCell ref="L547:M547"/>
    <mergeCell ref="A548:M548"/>
    <mergeCell ref="A549:M549"/>
    <mergeCell ref="A550:M550"/>
    <mergeCell ref="A544:M544"/>
    <mergeCell ref="A545:B545"/>
    <mergeCell ref="C545:D545"/>
    <mergeCell ref="E545:G545"/>
    <mergeCell ref="H545:I545"/>
    <mergeCell ref="J545:K545"/>
    <mergeCell ref="L545:M545"/>
    <mergeCell ref="A546:B546"/>
    <mergeCell ref="C546:D546"/>
    <mergeCell ref="E546:G546"/>
    <mergeCell ref="H546:I546"/>
    <mergeCell ref="J546:K546"/>
    <mergeCell ref="L546:M546"/>
    <mergeCell ref="F567:G567"/>
    <mergeCell ref="H567:J567"/>
    <mergeCell ref="K567:M567"/>
    <mergeCell ref="A568:C569"/>
    <mergeCell ref="D568:G569"/>
    <mergeCell ref="H568:J569"/>
    <mergeCell ref="K568:M569"/>
    <mergeCell ref="B570:C570"/>
    <mergeCell ref="D570:F570"/>
    <mergeCell ref="I570:J570"/>
    <mergeCell ref="K570:L570"/>
    <mergeCell ref="A551:M551"/>
    <mergeCell ref="A552:M552"/>
    <mergeCell ref="A553:M553"/>
    <mergeCell ref="A554:M554"/>
    <mergeCell ref="A555:M555"/>
    <mergeCell ref="A556:M556"/>
    <mergeCell ref="A557:M557"/>
    <mergeCell ref="A558:M558"/>
    <mergeCell ref="A565:M565"/>
    <mergeCell ref="A574:D574"/>
    <mergeCell ref="F574:G574"/>
    <mergeCell ref="H574:I574"/>
    <mergeCell ref="J574:K574"/>
    <mergeCell ref="L574:M574"/>
    <mergeCell ref="A575:D575"/>
    <mergeCell ref="F575:G575"/>
    <mergeCell ref="H575:I575"/>
    <mergeCell ref="J575:K575"/>
    <mergeCell ref="L575:M575"/>
    <mergeCell ref="A571:C571"/>
    <mergeCell ref="D571:G571"/>
    <mergeCell ref="H571:J571"/>
    <mergeCell ref="K571:M571"/>
    <mergeCell ref="A572:C572"/>
    <mergeCell ref="D572:G572"/>
    <mergeCell ref="H572:J572"/>
    <mergeCell ref="K572:M572"/>
    <mergeCell ref="A573:M573"/>
    <mergeCell ref="A578:D578"/>
    <mergeCell ref="F578:G578"/>
    <mergeCell ref="H578:I578"/>
    <mergeCell ref="J578:K578"/>
    <mergeCell ref="L578:M578"/>
    <mergeCell ref="A579:D579"/>
    <mergeCell ref="F579:G579"/>
    <mergeCell ref="H579:I579"/>
    <mergeCell ref="J579:K579"/>
    <mergeCell ref="L579:M579"/>
    <mergeCell ref="A576:D576"/>
    <mergeCell ref="F576:G576"/>
    <mergeCell ref="H576:I576"/>
    <mergeCell ref="J576:K576"/>
    <mergeCell ref="L576:M576"/>
    <mergeCell ref="A577:D577"/>
    <mergeCell ref="F577:G577"/>
    <mergeCell ref="H577:I577"/>
    <mergeCell ref="J577:K577"/>
    <mergeCell ref="L577:M577"/>
    <mergeCell ref="A582:D582"/>
    <mergeCell ref="F582:G582"/>
    <mergeCell ref="H582:I582"/>
    <mergeCell ref="J582:K582"/>
    <mergeCell ref="L582:M582"/>
    <mergeCell ref="A583:D583"/>
    <mergeCell ref="F583:G583"/>
    <mergeCell ref="H583:I583"/>
    <mergeCell ref="J583:K583"/>
    <mergeCell ref="L583:M583"/>
    <mergeCell ref="A580:D580"/>
    <mergeCell ref="F580:G580"/>
    <mergeCell ref="H580:I580"/>
    <mergeCell ref="J580:K580"/>
    <mergeCell ref="L580:M580"/>
    <mergeCell ref="A581:D581"/>
    <mergeCell ref="F581:G581"/>
    <mergeCell ref="H581:I581"/>
    <mergeCell ref="J581:K581"/>
    <mergeCell ref="L581:M581"/>
    <mergeCell ref="A586:D586"/>
    <mergeCell ref="F586:G586"/>
    <mergeCell ref="H586:I586"/>
    <mergeCell ref="J586:K586"/>
    <mergeCell ref="L586:M586"/>
    <mergeCell ref="A587:M587"/>
    <mergeCell ref="A588:D588"/>
    <mergeCell ref="F588:G588"/>
    <mergeCell ref="H588:I588"/>
    <mergeCell ref="J588:K588"/>
    <mergeCell ref="L588:M588"/>
    <mergeCell ref="A584:D584"/>
    <mergeCell ref="F584:G584"/>
    <mergeCell ref="H584:I584"/>
    <mergeCell ref="J584:K584"/>
    <mergeCell ref="L584:M584"/>
    <mergeCell ref="A585:D585"/>
    <mergeCell ref="F585:G585"/>
    <mergeCell ref="H585:I585"/>
    <mergeCell ref="J585:K585"/>
    <mergeCell ref="L585:M585"/>
    <mergeCell ref="A591:M591"/>
    <mergeCell ref="A592:B592"/>
    <mergeCell ref="C592:D592"/>
    <mergeCell ref="E592:G592"/>
    <mergeCell ref="H592:I592"/>
    <mergeCell ref="J592:K592"/>
    <mergeCell ref="L592:M592"/>
    <mergeCell ref="A593:B593"/>
    <mergeCell ref="C593:D593"/>
    <mergeCell ref="E593:G593"/>
    <mergeCell ref="H593:I593"/>
    <mergeCell ref="J593:K593"/>
    <mergeCell ref="L593:M593"/>
    <mergeCell ref="A589:D589"/>
    <mergeCell ref="F589:G589"/>
    <mergeCell ref="H589:I589"/>
    <mergeCell ref="J589:K589"/>
    <mergeCell ref="L589:M589"/>
    <mergeCell ref="A590:D590"/>
    <mergeCell ref="F590:G590"/>
    <mergeCell ref="H590:I590"/>
    <mergeCell ref="J590:K590"/>
    <mergeCell ref="L590:M590"/>
    <mergeCell ref="A598:M598"/>
    <mergeCell ref="A599:M599"/>
    <mergeCell ref="A600:M600"/>
    <mergeCell ref="A601:M601"/>
    <mergeCell ref="A602:M602"/>
    <mergeCell ref="A603:M603"/>
    <mergeCell ref="A604:M604"/>
    <mergeCell ref="A605:M605"/>
    <mergeCell ref="A612:M612"/>
    <mergeCell ref="A594:B594"/>
    <mergeCell ref="C594:D594"/>
    <mergeCell ref="E594:G594"/>
    <mergeCell ref="H594:I594"/>
    <mergeCell ref="J594:K594"/>
    <mergeCell ref="L594:M594"/>
    <mergeCell ref="A595:M595"/>
    <mergeCell ref="A596:M596"/>
    <mergeCell ref="A597:M597"/>
    <mergeCell ref="A618:C618"/>
    <mergeCell ref="D618:G618"/>
    <mergeCell ref="H618:J618"/>
    <mergeCell ref="K618:M618"/>
    <mergeCell ref="A619:C619"/>
    <mergeCell ref="D619:G619"/>
    <mergeCell ref="H619:J619"/>
    <mergeCell ref="K619:M619"/>
    <mergeCell ref="A620:M620"/>
    <mergeCell ref="F614:G614"/>
    <mergeCell ref="H614:J614"/>
    <mergeCell ref="K614:M614"/>
    <mergeCell ref="A615:C616"/>
    <mergeCell ref="D615:G616"/>
    <mergeCell ref="H615:J616"/>
    <mergeCell ref="K615:M616"/>
    <mergeCell ref="B617:C617"/>
    <mergeCell ref="D617:F617"/>
    <mergeCell ref="I617:J617"/>
    <mergeCell ref="K617:L617"/>
    <mergeCell ref="A623:D623"/>
    <mergeCell ref="F623:G623"/>
    <mergeCell ref="H623:I623"/>
    <mergeCell ref="J623:K623"/>
    <mergeCell ref="L623:M623"/>
    <mergeCell ref="A624:D624"/>
    <mergeCell ref="F624:G624"/>
    <mergeCell ref="H624:I624"/>
    <mergeCell ref="J624:K624"/>
    <mergeCell ref="L624:M624"/>
    <mergeCell ref="A621:D621"/>
    <mergeCell ref="F621:G621"/>
    <mergeCell ref="H621:I621"/>
    <mergeCell ref="J621:K621"/>
    <mergeCell ref="L621:M621"/>
    <mergeCell ref="A622:D622"/>
    <mergeCell ref="F622:G622"/>
    <mergeCell ref="H622:I622"/>
    <mergeCell ref="J622:K622"/>
    <mergeCell ref="L622:M622"/>
    <mergeCell ref="A627:D627"/>
    <mergeCell ref="F627:G627"/>
    <mergeCell ref="H627:I627"/>
    <mergeCell ref="J627:K627"/>
    <mergeCell ref="L627:M627"/>
    <mergeCell ref="A628:D628"/>
    <mergeCell ref="F628:G628"/>
    <mergeCell ref="H628:I628"/>
    <mergeCell ref="J628:K628"/>
    <mergeCell ref="L628:M628"/>
    <mergeCell ref="A625:D625"/>
    <mergeCell ref="F625:G625"/>
    <mergeCell ref="H625:I625"/>
    <mergeCell ref="J625:K625"/>
    <mergeCell ref="L625:M625"/>
    <mergeCell ref="A626:D626"/>
    <mergeCell ref="F626:G626"/>
    <mergeCell ref="H626:I626"/>
    <mergeCell ref="J626:K626"/>
    <mergeCell ref="L626:M626"/>
    <mergeCell ref="A631:D631"/>
    <mergeCell ref="F631:G631"/>
    <mergeCell ref="H631:I631"/>
    <mergeCell ref="J631:K631"/>
    <mergeCell ref="L631:M631"/>
    <mergeCell ref="A632:D632"/>
    <mergeCell ref="F632:G632"/>
    <mergeCell ref="H632:I632"/>
    <mergeCell ref="J632:K632"/>
    <mergeCell ref="L632:M632"/>
    <mergeCell ref="A629:D629"/>
    <mergeCell ref="F629:G629"/>
    <mergeCell ref="H629:I629"/>
    <mergeCell ref="J629:K629"/>
    <mergeCell ref="L629:M629"/>
    <mergeCell ref="A630:D630"/>
    <mergeCell ref="F630:G630"/>
    <mergeCell ref="H630:I630"/>
    <mergeCell ref="J630:K630"/>
    <mergeCell ref="L630:M630"/>
    <mergeCell ref="A636:D636"/>
    <mergeCell ref="F636:G636"/>
    <mergeCell ref="H636:I636"/>
    <mergeCell ref="J636:K636"/>
    <mergeCell ref="L636:M636"/>
    <mergeCell ref="A637:D637"/>
    <mergeCell ref="F637:G637"/>
    <mergeCell ref="H637:I637"/>
    <mergeCell ref="J637:K637"/>
    <mergeCell ref="L637:M637"/>
    <mergeCell ref="A633:D633"/>
    <mergeCell ref="F633:G633"/>
    <mergeCell ref="H633:I633"/>
    <mergeCell ref="J633:K633"/>
    <mergeCell ref="L633:M633"/>
    <mergeCell ref="A634:M634"/>
    <mergeCell ref="A635:D635"/>
    <mergeCell ref="F635:G635"/>
    <mergeCell ref="H635:I635"/>
    <mergeCell ref="J635:K635"/>
    <mergeCell ref="L635:M635"/>
    <mergeCell ref="A641:B641"/>
    <mergeCell ref="C641:D641"/>
    <mergeCell ref="E641:G641"/>
    <mergeCell ref="H641:I641"/>
    <mergeCell ref="J641:K641"/>
    <mergeCell ref="L641:M641"/>
    <mergeCell ref="A642:M642"/>
    <mergeCell ref="A643:M643"/>
    <mergeCell ref="A644:M644"/>
    <mergeCell ref="A638:M638"/>
    <mergeCell ref="A639:B639"/>
    <mergeCell ref="C639:D639"/>
    <mergeCell ref="E639:G639"/>
    <mergeCell ref="H639:I639"/>
    <mergeCell ref="J639:K639"/>
    <mergeCell ref="L639:M639"/>
    <mergeCell ref="A640:B640"/>
    <mergeCell ref="C640:D640"/>
    <mergeCell ref="E640:G640"/>
    <mergeCell ref="H640:I640"/>
    <mergeCell ref="J640:K640"/>
    <mergeCell ref="L640:M640"/>
    <mergeCell ref="F661:G661"/>
    <mergeCell ref="H661:J661"/>
    <mergeCell ref="K661:M661"/>
    <mergeCell ref="A662:C663"/>
    <mergeCell ref="D662:G663"/>
    <mergeCell ref="H662:J663"/>
    <mergeCell ref="K662:M663"/>
    <mergeCell ref="B664:C664"/>
    <mergeCell ref="D664:F664"/>
    <mergeCell ref="I664:J664"/>
    <mergeCell ref="K664:L664"/>
    <mergeCell ref="A645:M645"/>
    <mergeCell ref="A646:M646"/>
    <mergeCell ref="A647:M647"/>
    <mergeCell ref="A648:M648"/>
    <mergeCell ref="A649:M649"/>
    <mergeCell ref="A650:M650"/>
    <mergeCell ref="A651:M651"/>
    <mergeCell ref="A652:M652"/>
    <mergeCell ref="A659:M659"/>
    <mergeCell ref="A668:D668"/>
    <mergeCell ref="F668:G668"/>
    <mergeCell ref="H668:I668"/>
    <mergeCell ref="J668:K668"/>
    <mergeCell ref="L668:M668"/>
    <mergeCell ref="A669:D669"/>
    <mergeCell ref="F669:G669"/>
    <mergeCell ref="H669:I669"/>
    <mergeCell ref="J669:K669"/>
    <mergeCell ref="L669:M669"/>
    <mergeCell ref="A665:C665"/>
    <mergeCell ref="D665:G665"/>
    <mergeCell ref="H665:J665"/>
    <mergeCell ref="K665:M665"/>
    <mergeCell ref="A666:C666"/>
    <mergeCell ref="D666:G666"/>
    <mergeCell ref="H666:J666"/>
    <mergeCell ref="K666:M666"/>
    <mergeCell ref="A667:M667"/>
    <mergeCell ref="A672:D672"/>
    <mergeCell ref="F672:G672"/>
    <mergeCell ref="H672:I672"/>
    <mergeCell ref="J672:K672"/>
    <mergeCell ref="L672:M672"/>
    <mergeCell ref="A673:D673"/>
    <mergeCell ref="F673:G673"/>
    <mergeCell ref="H673:I673"/>
    <mergeCell ref="J673:K673"/>
    <mergeCell ref="L673:M673"/>
    <mergeCell ref="A670:D670"/>
    <mergeCell ref="F670:G670"/>
    <mergeCell ref="H670:I670"/>
    <mergeCell ref="J670:K670"/>
    <mergeCell ref="L670:M670"/>
    <mergeCell ref="A671:D671"/>
    <mergeCell ref="F671:G671"/>
    <mergeCell ref="H671:I671"/>
    <mergeCell ref="J671:K671"/>
    <mergeCell ref="L671:M671"/>
    <mergeCell ref="A676:D676"/>
    <mergeCell ref="F676:G676"/>
    <mergeCell ref="H676:I676"/>
    <mergeCell ref="J676:K676"/>
    <mergeCell ref="L676:M676"/>
    <mergeCell ref="A677:D677"/>
    <mergeCell ref="F677:G677"/>
    <mergeCell ref="H677:I677"/>
    <mergeCell ref="J677:K677"/>
    <mergeCell ref="L677:M677"/>
    <mergeCell ref="A674:D674"/>
    <mergeCell ref="F674:G674"/>
    <mergeCell ref="H674:I674"/>
    <mergeCell ref="J674:K674"/>
    <mergeCell ref="L674:M674"/>
    <mergeCell ref="A675:D675"/>
    <mergeCell ref="F675:G675"/>
    <mergeCell ref="H675:I675"/>
    <mergeCell ref="J675:K675"/>
    <mergeCell ref="L675:M675"/>
    <mergeCell ref="A680:D680"/>
    <mergeCell ref="F680:G680"/>
    <mergeCell ref="H680:I680"/>
    <mergeCell ref="J680:K680"/>
    <mergeCell ref="L680:M680"/>
    <mergeCell ref="A681:M681"/>
    <mergeCell ref="A682:D682"/>
    <mergeCell ref="F682:G682"/>
    <mergeCell ref="H682:I682"/>
    <mergeCell ref="J682:K682"/>
    <mergeCell ref="L682:M682"/>
    <mergeCell ref="A678:D678"/>
    <mergeCell ref="F678:G678"/>
    <mergeCell ref="H678:I678"/>
    <mergeCell ref="J678:K678"/>
    <mergeCell ref="L678:M678"/>
    <mergeCell ref="A679:D679"/>
    <mergeCell ref="F679:G679"/>
    <mergeCell ref="H679:I679"/>
    <mergeCell ref="J679:K679"/>
    <mergeCell ref="L679:M679"/>
    <mergeCell ref="A685:M685"/>
    <mergeCell ref="A686:B686"/>
    <mergeCell ref="C686:D686"/>
    <mergeCell ref="E686:G686"/>
    <mergeCell ref="H686:I686"/>
    <mergeCell ref="J686:K686"/>
    <mergeCell ref="L686:M686"/>
    <mergeCell ref="A687:B687"/>
    <mergeCell ref="C687:D687"/>
    <mergeCell ref="E687:G687"/>
    <mergeCell ref="H687:I687"/>
    <mergeCell ref="J687:K687"/>
    <mergeCell ref="L687:M687"/>
    <mergeCell ref="A683:D683"/>
    <mergeCell ref="F683:G683"/>
    <mergeCell ref="H683:I683"/>
    <mergeCell ref="J683:K683"/>
    <mergeCell ref="L683:M683"/>
    <mergeCell ref="A684:D684"/>
    <mergeCell ref="F684:G684"/>
    <mergeCell ref="H684:I684"/>
    <mergeCell ref="J684:K684"/>
    <mergeCell ref="L684:M684"/>
    <mergeCell ref="A692:M692"/>
    <mergeCell ref="A693:M693"/>
    <mergeCell ref="A694:M694"/>
    <mergeCell ref="A695:M695"/>
    <mergeCell ref="A696:M696"/>
    <mergeCell ref="A697:M697"/>
    <mergeCell ref="A698:M698"/>
    <mergeCell ref="A699:M699"/>
    <mergeCell ref="A706:M706"/>
    <mergeCell ref="A688:B688"/>
    <mergeCell ref="C688:D688"/>
    <mergeCell ref="E688:G688"/>
    <mergeCell ref="H688:I688"/>
    <mergeCell ref="J688:K688"/>
    <mergeCell ref="L688:M688"/>
    <mergeCell ref="A689:M689"/>
    <mergeCell ref="A690:M690"/>
    <mergeCell ref="A691:M691"/>
    <mergeCell ref="A712:C712"/>
    <mergeCell ref="D712:G712"/>
    <mergeCell ref="H712:J712"/>
    <mergeCell ref="K712:M712"/>
    <mergeCell ref="A713:C713"/>
    <mergeCell ref="D713:G713"/>
    <mergeCell ref="H713:J713"/>
    <mergeCell ref="K713:M713"/>
    <mergeCell ref="A714:M714"/>
    <mergeCell ref="F708:G708"/>
    <mergeCell ref="H708:J708"/>
    <mergeCell ref="K708:M708"/>
    <mergeCell ref="A709:C710"/>
    <mergeCell ref="D709:G710"/>
    <mergeCell ref="H709:J710"/>
    <mergeCell ref="K709:M710"/>
    <mergeCell ref="B711:C711"/>
    <mergeCell ref="D711:F711"/>
    <mergeCell ref="I711:J711"/>
    <mergeCell ref="K711:L711"/>
    <mergeCell ref="A717:D717"/>
    <mergeCell ref="F717:G717"/>
    <mergeCell ref="H717:I717"/>
    <mergeCell ref="J717:K717"/>
    <mergeCell ref="L717:M717"/>
    <mergeCell ref="A718:D718"/>
    <mergeCell ref="F718:G718"/>
    <mergeCell ref="H718:I718"/>
    <mergeCell ref="J718:K718"/>
    <mergeCell ref="L718:M718"/>
    <mergeCell ref="A715:D715"/>
    <mergeCell ref="F715:G715"/>
    <mergeCell ref="H715:I715"/>
    <mergeCell ref="J715:K715"/>
    <mergeCell ref="L715:M715"/>
    <mergeCell ref="A716:D716"/>
    <mergeCell ref="F716:G716"/>
    <mergeCell ref="H716:I716"/>
    <mergeCell ref="J716:K716"/>
    <mergeCell ref="L716:M716"/>
    <mergeCell ref="A721:D721"/>
    <mergeCell ref="F721:G721"/>
    <mergeCell ref="H721:I721"/>
    <mergeCell ref="J721:K721"/>
    <mergeCell ref="L721:M721"/>
    <mergeCell ref="A722:D722"/>
    <mergeCell ref="F722:G722"/>
    <mergeCell ref="H722:I722"/>
    <mergeCell ref="J722:K722"/>
    <mergeCell ref="L722:M722"/>
    <mergeCell ref="A719:D719"/>
    <mergeCell ref="F719:G719"/>
    <mergeCell ref="H719:I719"/>
    <mergeCell ref="J719:K719"/>
    <mergeCell ref="L719:M719"/>
    <mergeCell ref="A720:D720"/>
    <mergeCell ref="F720:G720"/>
    <mergeCell ref="H720:I720"/>
    <mergeCell ref="J720:K720"/>
    <mergeCell ref="L720:M720"/>
    <mergeCell ref="A725:D725"/>
    <mergeCell ref="F725:G725"/>
    <mergeCell ref="H725:I725"/>
    <mergeCell ref="J725:K725"/>
    <mergeCell ref="L725:M725"/>
    <mergeCell ref="A726:D726"/>
    <mergeCell ref="F726:G726"/>
    <mergeCell ref="H726:I726"/>
    <mergeCell ref="J726:K726"/>
    <mergeCell ref="L726:M726"/>
    <mergeCell ref="A723:D723"/>
    <mergeCell ref="F723:G723"/>
    <mergeCell ref="H723:I723"/>
    <mergeCell ref="J723:K723"/>
    <mergeCell ref="L723:M723"/>
    <mergeCell ref="A724:D724"/>
    <mergeCell ref="F724:G724"/>
    <mergeCell ref="H724:I724"/>
    <mergeCell ref="J724:K724"/>
    <mergeCell ref="L724:M724"/>
    <mergeCell ref="A730:D730"/>
    <mergeCell ref="F730:G730"/>
    <mergeCell ref="H730:I730"/>
    <mergeCell ref="J730:K730"/>
    <mergeCell ref="L730:M730"/>
    <mergeCell ref="A731:D731"/>
    <mergeCell ref="F731:G731"/>
    <mergeCell ref="H731:I731"/>
    <mergeCell ref="J731:K731"/>
    <mergeCell ref="L731:M731"/>
    <mergeCell ref="A727:D727"/>
    <mergeCell ref="F727:G727"/>
    <mergeCell ref="H727:I727"/>
    <mergeCell ref="J727:K727"/>
    <mergeCell ref="L727:M727"/>
    <mergeCell ref="A728:M728"/>
    <mergeCell ref="A729:D729"/>
    <mergeCell ref="F729:G729"/>
    <mergeCell ref="H729:I729"/>
    <mergeCell ref="J729:K729"/>
    <mergeCell ref="L729:M729"/>
    <mergeCell ref="A735:B735"/>
    <mergeCell ref="C735:D735"/>
    <mergeCell ref="E735:G735"/>
    <mergeCell ref="H735:I735"/>
    <mergeCell ref="J735:K735"/>
    <mergeCell ref="L735:M735"/>
    <mergeCell ref="A736:M736"/>
    <mergeCell ref="A737:M737"/>
    <mergeCell ref="A738:M738"/>
    <mergeCell ref="A732:M732"/>
    <mergeCell ref="A733:B733"/>
    <mergeCell ref="C733:D733"/>
    <mergeCell ref="E733:G733"/>
    <mergeCell ref="H733:I733"/>
    <mergeCell ref="J733:K733"/>
    <mergeCell ref="L733:M733"/>
    <mergeCell ref="A734:B734"/>
    <mergeCell ref="C734:D734"/>
    <mergeCell ref="E734:G734"/>
    <mergeCell ref="H734:I734"/>
    <mergeCell ref="J734:K734"/>
    <mergeCell ref="L734:M734"/>
    <mergeCell ref="F755:G755"/>
    <mergeCell ref="H755:J755"/>
    <mergeCell ref="K755:M755"/>
    <mergeCell ref="A756:C757"/>
    <mergeCell ref="D756:G757"/>
    <mergeCell ref="H756:J757"/>
    <mergeCell ref="K756:M757"/>
    <mergeCell ref="B758:C758"/>
    <mergeCell ref="D758:F758"/>
    <mergeCell ref="I758:J758"/>
    <mergeCell ref="K758:L758"/>
    <mergeCell ref="A739:M739"/>
    <mergeCell ref="A740:M740"/>
    <mergeCell ref="A741:M741"/>
    <mergeCell ref="A742:M742"/>
    <mergeCell ref="A743:M743"/>
    <mergeCell ref="A744:M744"/>
    <mergeCell ref="A745:M745"/>
    <mergeCell ref="A746:M746"/>
    <mergeCell ref="A753:M753"/>
    <mergeCell ref="A762:D762"/>
    <mergeCell ref="F762:G762"/>
    <mergeCell ref="H762:I762"/>
    <mergeCell ref="J762:K762"/>
    <mergeCell ref="L762:M762"/>
    <mergeCell ref="A763:D763"/>
    <mergeCell ref="F763:G763"/>
    <mergeCell ref="H763:I763"/>
    <mergeCell ref="J763:K763"/>
    <mergeCell ref="L763:M763"/>
    <mergeCell ref="A759:C759"/>
    <mergeCell ref="D759:G759"/>
    <mergeCell ref="H759:J759"/>
    <mergeCell ref="K759:M759"/>
    <mergeCell ref="A760:C760"/>
    <mergeCell ref="D760:G760"/>
    <mergeCell ref="H760:J760"/>
    <mergeCell ref="K760:M760"/>
    <mergeCell ref="A761:M761"/>
    <mergeCell ref="A766:D766"/>
    <mergeCell ref="F766:G766"/>
    <mergeCell ref="H766:I766"/>
    <mergeCell ref="J766:K766"/>
    <mergeCell ref="L766:M766"/>
    <mergeCell ref="A767:D767"/>
    <mergeCell ref="F767:G767"/>
    <mergeCell ref="H767:I767"/>
    <mergeCell ref="J767:K767"/>
    <mergeCell ref="L767:M767"/>
    <mergeCell ref="A764:D764"/>
    <mergeCell ref="F764:G764"/>
    <mergeCell ref="H764:I764"/>
    <mergeCell ref="J764:K764"/>
    <mergeCell ref="L764:M764"/>
    <mergeCell ref="A765:D765"/>
    <mergeCell ref="F765:G765"/>
    <mergeCell ref="H765:I765"/>
    <mergeCell ref="J765:K765"/>
    <mergeCell ref="L765:M765"/>
    <mergeCell ref="A770:D770"/>
    <mergeCell ref="F770:G770"/>
    <mergeCell ref="H770:I770"/>
    <mergeCell ref="J770:K770"/>
    <mergeCell ref="L770:M770"/>
    <mergeCell ref="A771:D771"/>
    <mergeCell ref="F771:G771"/>
    <mergeCell ref="H771:I771"/>
    <mergeCell ref="J771:K771"/>
    <mergeCell ref="L771:M771"/>
    <mergeCell ref="A768:D768"/>
    <mergeCell ref="F768:G768"/>
    <mergeCell ref="H768:I768"/>
    <mergeCell ref="J768:K768"/>
    <mergeCell ref="L768:M768"/>
    <mergeCell ref="A769:D769"/>
    <mergeCell ref="F769:G769"/>
    <mergeCell ref="H769:I769"/>
    <mergeCell ref="J769:K769"/>
    <mergeCell ref="L769:M769"/>
    <mergeCell ref="A774:D774"/>
    <mergeCell ref="F774:G774"/>
    <mergeCell ref="H774:I774"/>
    <mergeCell ref="J774:K774"/>
    <mergeCell ref="L774:M774"/>
    <mergeCell ref="A775:M775"/>
    <mergeCell ref="A776:D776"/>
    <mergeCell ref="F776:G776"/>
    <mergeCell ref="H776:I776"/>
    <mergeCell ref="J776:K776"/>
    <mergeCell ref="L776:M776"/>
    <mergeCell ref="A772:D772"/>
    <mergeCell ref="F772:G772"/>
    <mergeCell ref="H772:I772"/>
    <mergeCell ref="J772:K772"/>
    <mergeCell ref="L772:M772"/>
    <mergeCell ref="A773:D773"/>
    <mergeCell ref="F773:G773"/>
    <mergeCell ref="H773:I773"/>
    <mergeCell ref="J773:K773"/>
    <mergeCell ref="L773:M773"/>
    <mergeCell ref="A779:M779"/>
    <mergeCell ref="A780:B780"/>
    <mergeCell ref="C780:D780"/>
    <mergeCell ref="E780:G780"/>
    <mergeCell ref="H780:I780"/>
    <mergeCell ref="J780:K780"/>
    <mergeCell ref="L780:M780"/>
    <mergeCell ref="A781:B781"/>
    <mergeCell ref="C781:D781"/>
    <mergeCell ref="E781:G781"/>
    <mergeCell ref="H781:I781"/>
    <mergeCell ref="J781:K781"/>
    <mergeCell ref="L781:M781"/>
    <mergeCell ref="A777:D777"/>
    <mergeCell ref="F777:G777"/>
    <mergeCell ref="H777:I777"/>
    <mergeCell ref="J777:K777"/>
    <mergeCell ref="L777:M777"/>
    <mergeCell ref="A778:D778"/>
    <mergeCell ref="F778:G778"/>
    <mergeCell ref="H778:I778"/>
    <mergeCell ref="J778:K778"/>
    <mergeCell ref="L778:M778"/>
    <mergeCell ref="A786:M786"/>
    <mergeCell ref="A787:M787"/>
    <mergeCell ref="A788:M788"/>
    <mergeCell ref="A789:M789"/>
    <mergeCell ref="A790:M790"/>
    <mergeCell ref="A791:M791"/>
    <mergeCell ref="A792:M792"/>
    <mergeCell ref="A793:M793"/>
    <mergeCell ref="A800:M800"/>
    <mergeCell ref="A782:B782"/>
    <mergeCell ref="C782:D782"/>
    <mergeCell ref="E782:G782"/>
    <mergeCell ref="H782:I782"/>
    <mergeCell ref="J782:K782"/>
    <mergeCell ref="L782:M782"/>
    <mergeCell ref="A783:M783"/>
    <mergeCell ref="A784:M784"/>
    <mergeCell ref="A785:M785"/>
    <mergeCell ref="A806:C806"/>
    <mergeCell ref="D806:G806"/>
    <mergeCell ref="H806:J806"/>
    <mergeCell ref="K806:M806"/>
    <mergeCell ref="A807:C807"/>
    <mergeCell ref="D807:G807"/>
    <mergeCell ref="H807:J807"/>
    <mergeCell ref="K807:M807"/>
    <mergeCell ref="A808:M808"/>
    <mergeCell ref="F802:G802"/>
    <mergeCell ref="H802:J802"/>
    <mergeCell ref="K802:M802"/>
    <mergeCell ref="A803:C804"/>
    <mergeCell ref="D803:G804"/>
    <mergeCell ref="H803:J804"/>
    <mergeCell ref="K803:M804"/>
    <mergeCell ref="B805:C805"/>
    <mergeCell ref="D805:F805"/>
    <mergeCell ref="I805:J805"/>
    <mergeCell ref="K805:L805"/>
    <mergeCell ref="A811:D811"/>
    <mergeCell ref="F811:G811"/>
    <mergeCell ref="H811:I811"/>
    <mergeCell ref="J811:K811"/>
    <mergeCell ref="L811:M811"/>
    <mergeCell ref="A812:D812"/>
    <mergeCell ref="F812:G812"/>
    <mergeCell ref="H812:I812"/>
    <mergeCell ref="J812:K812"/>
    <mergeCell ref="L812:M812"/>
    <mergeCell ref="A809:D809"/>
    <mergeCell ref="F809:G809"/>
    <mergeCell ref="H809:I809"/>
    <mergeCell ref="J809:K809"/>
    <mergeCell ref="L809:M809"/>
    <mergeCell ref="A810:D810"/>
    <mergeCell ref="F810:G810"/>
    <mergeCell ref="H810:I810"/>
    <mergeCell ref="J810:K810"/>
    <mergeCell ref="L810:M810"/>
    <mergeCell ref="A815:D815"/>
    <mergeCell ref="F815:G815"/>
    <mergeCell ref="H815:I815"/>
    <mergeCell ref="J815:K815"/>
    <mergeCell ref="L815:M815"/>
    <mergeCell ref="A816:D816"/>
    <mergeCell ref="F816:G816"/>
    <mergeCell ref="H816:I816"/>
    <mergeCell ref="J816:K816"/>
    <mergeCell ref="L816:M816"/>
    <mergeCell ref="A813:D813"/>
    <mergeCell ref="F813:G813"/>
    <mergeCell ref="H813:I813"/>
    <mergeCell ref="J813:K813"/>
    <mergeCell ref="L813:M813"/>
    <mergeCell ref="A814:D814"/>
    <mergeCell ref="F814:G814"/>
    <mergeCell ref="H814:I814"/>
    <mergeCell ref="J814:K814"/>
    <mergeCell ref="L814:M814"/>
    <mergeCell ref="A819:D819"/>
    <mergeCell ref="F819:G819"/>
    <mergeCell ref="H819:I819"/>
    <mergeCell ref="J819:K819"/>
    <mergeCell ref="L819:M819"/>
    <mergeCell ref="A820:D820"/>
    <mergeCell ref="F820:G820"/>
    <mergeCell ref="H820:I820"/>
    <mergeCell ref="J820:K820"/>
    <mergeCell ref="L820:M820"/>
    <mergeCell ref="A817:D817"/>
    <mergeCell ref="F817:G817"/>
    <mergeCell ref="H817:I817"/>
    <mergeCell ref="J817:K817"/>
    <mergeCell ref="L817:M817"/>
    <mergeCell ref="A818:D818"/>
    <mergeCell ref="F818:G818"/>
    <mergeCell ref="H818:I818"/>
    <mergeCell ref="J818:K818"/>
    <mergeCell ref="L818:M818"/>
    <mergeCell ref="A824:D824"/>
    <mergeCell ref="F824:G824"/>
    <mergeCell ref="H824:I824"/>
    <mergeCell ref="J824:K824"/>
    <mergeCell ref="L824:M824"/>
    <mergeCell ref="A825:D825"/>
    <mergeCell ref="F825:G825"/>
    <mergeCell ref="H825:I825"/>
    <mergeCell ref="J825:K825"/>
    <mergeCell ref="L825:M825"/>
    <mergeCell ref="A821:D821"/>
    <mergeCell ref="F821:G821"/>
    <mergeCell ref="H821:I821"/>
    <mergeCell ref="J821:K821"/>
    <mergeCell ref="L821:M821"/>
    <mergeCell ref="A822:M822"/>
    <mergeCell ref="A823:D823"/>
    <mergeCell ref="F823:G823"/>
    <mergeCell ref="H823:I823"/>
    <mergeCell ref="J823:K823"/>
    <mergeCell ref="L823:M823"/>
    <mergeCell ref="A829:B829"/>
    <mergeCell ref="C829:D829"/>
    <mergeCell ref="E829:G829"/>
    <mergeCell ref="H829:I829"/>
    <mergeCell ref="J829:K829"/>
    <mergeCell ref="L829:M829"/>
    <mergeCell ref="A830:M830"/>
    <mergeCell ref="A831:M831"/>
    <mergeCell ref="A832:M832"/>
    <mergeCell ref="A826:M826"/>
    <mergeCell ref="A827:B827"/>
    <mergeCell ref="C827:D827"/>
    <mergeCell ref="E827:G827"/>
    <mergeCell ref="H827:I827"/>
    <mergeCell ref="J827:K827"/>
    <mergeCell ref="L827:M827"/>
    <mergeCell ref="A828:B828"/>
    <mergeCell ref="C828:D828"/>
    <mergeCell ref="E828:G828"/>
    <mergeCell ref="H828:I828"/>
    <mergeCell ref="J828:K828"/>
    <mergeCell ref="L828:M828"/>
    <mergeCell ref="F849:G849"/>
    <mergeCell ref="H849:J849"/>
    <mergeCell ref="K849:M849"/>
    <mergeCell ref="A850:C851"/>
    <mergeCell ref="D850:G851"/>
    <mergeCell ref="H850:J851"/>
    <mergeCell ref="K850:M851"/>
    <mergeCell ref="B852:C852"/>
    <mergeCell ref="D852:F852"/>
    <mergeCell ref="I852:J852"/>
    <mergeCell ref="K852:L852"/>
    <mergeCell ref="A833:M833"/>
    <mergeCell ref="A834:M834"/>
    <mergeCell ref="A835:M835"/>
    <mergeCell ref="A836:M836"/>
    <mergeCell ref="A837:M837"/>
    <mergeCell ref="A838:M838"/>
    <mergeCell ref="A839:M839"/>
    <mergeCell ref="A840:M840"/>
    <mergeCell ref="A847:M847"/>
    <mergeCell ref="A856:D856"/>
    <mergeCell ref="F856:G856"/>
    <mergeCell ref="H856:I856"/>
    <mergeCell ref="J856:K856"/>
    <mergeCell ref="L856:M856"/>
    <mergeCell ref="A857:D857"/>
    <mergeCell ref="F857:G857"/>
    <mergeCell ref="H857:I857"/>
    <mergeCell ref="J857:K857"/>
    <mergeCell ref="L857:M857"/>
    <mergeCell ref="A853:C853"/>
    <mergeCell ref="D853:G853"/>
    <mergeCell ref="H853:J853"/>
    <mergeCell ref="K853:M853"/>
    <mergeCell ref="A854:C854"/>
    <mergeCell ref="D854:G854"/>
    <mergeCell ref="H854:J854"/>
    <mergeCell ref="K854:M854"/>
    <mergeCell ref="A855:M855"/>
    <mergeCell ref="A860:D860"/>
    <mergeCell ref="F860:G860"/>
    <mergeCell ref="H860:I860"/>
    <mergeCell ref="J860:K860"/>
    <mergeCell ref="L860:M860"/>
    <mergeCell ref="A861:D861"/>
    <mergeCell ref="F861:G861"/>
    <mergeCell ref="H861:I861"/>
    <mergeCell ref="J861:K861"/>
    <mergeCell ref="L861:M861"/>
    <mergeCell ref="A858:D858"/>
    <mergeCell ref="F858:G858"/>
    <mergeCell ref="H858:I858"/>
    <mergeCell ref="J858:K858"/>
    <mergeCell ref="L858:M858"/>
    <mergeCell ref="A859:D859"/>
    <mergeCell ref="F859:G859"/>
    <mergeCell ref="H859:I859"/>
    <mergeCell ref="J859:K859"/>
    <mergeCell ref="L859:M859"/>
    <mergeCell ref="A864:D864"/>
    <mergeCell ref="F864:G864"/>
    <mergeCell ref="H864:I864"/>
    <mergeCell ref="J864:K864"/>
    <mergeCell ref="L864:M864"/>
    <mergeCell ref="A865:D865"/>
    <mergeCell ref="F865:G865"/>
    <mergeCell ref="H865:I865"/>
    <mergeCell ref="J865:K865"/>
    <mergeCell ref="L865:M865"/>
    <mergeCell ref="A862:D862"/>
    <mergeCell ref="F862:G862"/>
    <mergeCell ref="H862:I862"/>
    <mergeCell ref="J862:K862"/>
    <mergeCell ref="L862:M862"/>
    <mergeCell ref="A863:D863"/>
    <mergeCell ref="F863:G863"/>
    <mergeCell ref="H863:I863"/>
    <mergeCell ref="J863:K863"/>
    <mergeCell ref="L863:M863"/>
    <mergeCell ref="A868:D868"/>
    <mergeCell ref="F868:G868"/>
    <mergeCell ref="H868:I868"/>
    <mergeCell ref="J868:K868"/>
    <mergeCell ref="L868:M868"/>
    <mergeCell ref="A869:M869"/>
    <mergeCell ref="A870:D870"/>
    <mergeCell ref="F870:G870"/>
    <mergeCell ref="H870:I870"/>
    <mergeCell ref="J870:K870"/>
    <mergeCell ref="L870:M870"/>
    <mergeCell ref="A866:D866"/>
    <mergeCell ref="F866:G866"/>
    <mergeCell ref="H866:I866"/>
    <mergeCell ref="J866:K866"/>
    <mergeCell ref="L866:M866"/>
    <mergeCell ref="A867:D867"/>
    <mergeCell ref="F867:G867"/>
    <mergeCell ref="H867:I867"/>
    <mergeCell ref="J867:K867"/>
    <mergeCell ref="L867:M867"/>
    <mergeCell ref="A873:M873"/>
    <mergeCell ref="A874:B874"/>
    <mergeCell ref="C874:D874"/>
    <mergeCell ref="E874:G874"/>
    <mergeCell ref="H874:I874"/>
    <mergeCell ref="J874:K874"/>
    <mergeCell ref="L874:M874"/>
    <mergeCell ref="A875:B875"/>
    <mergeCell ref="C875:D875"/>
    <mergeCell ref="E875:G875"/>
    <mergeCell ref="H875:I875"/>
    <mergeCell ref="J875:K875"/>
    <mergeCell ref="L875:M875"/>
    <mergeCell ref="A871:D871"/>
    <mergeCell ref="F871:G871"/>
    <mergeCell ref="H871:I871"/>
    <mergeCell ref="J871:K871"/>
    <mergeCell ref="L871:M871"/>
    <mergeCell ref="A872:D872"/>
    <mergeCell ref="F872:G872"/>
    <mergeCell ref="H872:I872"/>
    <mergeCell ref="J872:K872"/>
    <mergeCell ref="L872:M872"/>
    <mergeCell ref="A880:M880"/>
    <mergeCell ref="A881:M881"/>
    <mergeCell ref="A882:M882"/>
    <mergeCell ref="A883:M883"/>
    <mergeCell ref="A884:M884"/>
    <mergeCell ref="A885:M885"/>
    <mergeCell ref="A886:M886"/>
    <mergeCell ref="A887:M887"/>
    <mergeCell ref="A894:M894"/>
    <mergeCell ref="A876:B876"/>
    <mergeCell ref="C876:D876"/>
    <mergeCell ref="E876:G876"/>
    <mergeCell ref="H876:I876"/>
    <mergeCell ref="J876:K876"/>
    <mergeCell ref="L876:M876"/>
    <mergeCell ref="A877:M877"/>
    <mergeCell ref="A878:M878"/>
    <mergeCell ref="A879:M879"/>
    <mergeCell ref="A900:C900"/>
    <mergeCell ref="D900:G900"/>
    <mergeCell ref="H900:J900"/>
    <mergeCell ref="K900:M900"/>
    <mergeCell ref="A901:C901"/>
    <mergeCell ref="D901:G901"/>
    <mergeCell ref="H901:J901"/>
    <mergeCell ref="K901:M901"/>
    <mergeCell ref="A902:M902"/>
    <mergeCell ref="F896:G896"/>
    <mergeCell ref="H896:J896"/>
    <mergeCell ref="K896:M896"/>
    <mergeCell ref="A897:C898"/>
    <mergeCell ref="D897:G898"/>
    <mergeCell ref="H897:J898"/>
    <mergeCell ref="K897:M898"/>
    <mergeCell ref="B899:C899"/>
    <mergeCell ref="D899:F899"/>
    <mergeCell ref="I899:J899"/>
    <mergeCell ref="K899:L899"/>
    <mergeCell ref="A905:D905"/>
    <mergeCell ref="F905:G905"/>
    <mergeCell ref="H905:I905"/>
    <mergeCell ref="J905:K905"/>
    <mergeCell ref="L905:M905"/>
    <mergeCell ref="A906:D906"/>
    <mergeCell ref="F906:G906"/>
    <mergeCell ref="H906:I906"/>
    <mergeCell ref="J906:K906"/>
    <mergeCell ref="L906:M906"/>
    <mergeCell ref="A903:D903"/>
    <mergeCell ref="F903:G903"/>
    <mergeCell ref="H903:I903"/>
    <mergeCell ref="J903:K903"/>
    <mergeCell ref="L903:M903"/>
    <mergeCell ref="A904:D904"/>
    <mergeCell ref="F904:G904"/>
    <mergeCell ref="H904:I904"/>
    <mergeCell ref="J904:K904"/>
    <mergeCell ref="L904:M904"/>
    <mergeCell ref="A909:D909"/>
    <mergeCell ref="F909:G909"/>
    <mergeCell ref="H909:I909"/>
    <mergeCell ref="J909:K909"/>
    <mergeCell ref="L909:M909"/>
    <mergeCell ref="A910:D910"/>
    <mergeCell ref="F910:G910"/>
    <mergeCell ref="H910:I910"/>
    <mergeCell ref="J910:K910"/>
    <mergeCell ref="L910:M910"/>
    <mergeCell ref="A907:D907"/>
    <mergeCell ref="F907:G907"/>
    <mergeCell ref="H907:I907"/>
    <mergeCell ref="J907:K907"/>
    <mergeCell ref="L907:M907"/>
    <mergeCell ref="A908:D908"/>
    <mergeCell ref="F908:G908"/>
    <mergeCell ref="H908:I908"/>
    <mergeCell ref="J908:K908"/>
    <mergeCell ref="L908:M908"/>
    <mergeCell ref="A913:D913"/>
    <mergeCell ref="F913:G913"/>
    <mergeCell ref="H913:I913"/>
    <mergeCell ref="J913:K913"/>
    <mergeCell ref="L913:M913"/>
    <mergeCell ref="A914:D914"/>
    <mergeCell ref="F914:G914"/>
    <mergeCell ref="H914:I914"/>
    <mergeCell ref="J914:K914"/>
    <mergeCell ref="L914:M914"/>
    <mergeCell ref="A911:D911"/>
    <mergeCell ref="F911:G911"/>
    <mergeCell ref="H911:I911"/>
    <mergeCell ref="J911:K911"/>
    <mergeCell ref="L911:M911"/>
    <mergeCell ref="A912:D912"/>
    <mergeCell ref="F912:G912"/>
    <mergeCell ref="H912:I912"/>
    <mergeCell ref="J912:K912"/>
    <mergeCell ref="L912:M912"/>
    <mergeCell ref="A918:D918"/>
    <mergeCell ref="F918:G918"/>
    <mergeCell ref="H918:I918"/>
    <mergeCell ref="J918:K918"/>
    <mergeCell ref="L918:M918"/>
    <mergeCell ref="A919:D919"/>
    <mergeCell ref="F919:G919"/>
    <mergeCell ref="H919:I919"/>
    <mergeCell ref="J919:K919"/>
    <mergeCell ref="L919:M919"/>
    <mergeCell ref="A915:D915"/>
    <mergeCell ref="F915:G915"/>
    <mergeCell ref="H915:I915"/>
    <mergeCell ref="J915:K915"/>
    <mergeCell ref="L915:M915"/>
    <mergeCell ref="A916:M916"/>
    <mergeCell ref="A917:D917"/>
    <mergeCell ref="F917:G917"/>
    <mergeCell ref="H917:I917"/>
    <mergeCell ref="J917:K917"/>
    <mergeCell ref="L917:M917"/>
    <mergeCell ref="A923:B923"/>
    <mergeCell ref="C923:D923"/>
    <mergeCell ref="E923:G923"/>
    <mergeCell ref="H923:I923"/>
    <mergeCell ref="J923:K923"/>
    <mergeCell ref="L923:M923"/>
    <mergeCell ref="A924:M924"/>
    <mergeCell ref="A925:M925"/>
    <mergeCell ref="A926:M926"/>
    <mergeCell ref="A920:M920"/>
    <mergeCell ref="A921:B921"/>
    <mergeCell ref="C921:D921"/>
    <mergeCell ref="E921:G921"/>
    <mergeCell ref="H921:I921"/>
    <mergeCell ref="J921:K921"/>
    <mergeCell ref="L921:M921"/>
    <mergeCell ref="A922:B922"/>
    <mergeCell ref="C922:D922"/>
    <mergeCell ref="E922:G922"/>
    <mergeCell ref="H922:I922"/>
    <mergeCell ref="J922:K922"/>
    <mergeCell ref="L922:M922"/>
    <mergeCell ref="F943:G943"/>
    <mergeCell ref="H943:J943"/>
    <mergeCell ref="K943:M943"/>
    <mergeCell ref="A944:C945"/>
    <mergeCell ref="D944:G945"/>
    <mergeCell ref="H944:J945"/>
    <mergeCell ref="K944:M945"/>
    <mergeCell ref="B946:C946"/>
    <mergeCell ref="D946:F946"/>
    <mergeCell ref="I946:J946"/>
    <mergeCell ref="K946:L946"/>
    <mergeCell ref="A927:M927"/>
    <mergeCell ref="A928:M928"/>
    <mergeCell ref="A929:M929"/>
    <mergeCell ref="A930:M930"/>
    <mergeCell ref="A931:M931"/>
    <mergeCell ref="A932:M932"/>
    <mergeCell ref="A933:M933"/>
    <mergeCell ref="A934:M934"/>
    <mergeCell ref="A941:M941"/>
    <mergeCell ref="A950:D950"/>
    <mergeCell ref="F950:G950"/>
    <mergeCell ref="H950:I950"/>
    <mergeCell ref="J950:K950"/>
    <mergeCell ref="L950:M950"/>
    <mergeCell ref="A951:D951"/>
    <mergeCell ref="F951:G951"/>
    <mergeCell ref="H951:I951"/>
    <mergeCell ref="J951:K951"/>
    <mergeCell ref="L951:M951"/>
    <mergeCell ref="A947:C947"/>
    <mergeCell ref="D947:G947"/>
    <mergeCell ref="H947:J947"/>
    <mergeCell ref="K947:M947"/>
    <mergeCell ref="A948:C948"/>
    <mergeCell ref="D948:G948"/>
    <mergeCell ref="H948:J948"/>
    <mergeCell ref="K948:M948"/>
    <mergeCell ref="A949:M949"/>
    <mergeCell ref="A954:D954"/>
    <mergeCell ref="F954:G954"/>
    <mergeCell ref="H954:I954"/>
    <mergeCell ref="J954:K954"/>
    <mergeCell ref="L954:M954"/>
    <mergeCell ref="A955:D955"/>
    <mergeCell ref="F955:G955"/>
    <mergeCell ref="H955:I955"/>
    <mergeCell ref="J955:K955"/>
    <mergeCell ref="L955:M955"/>
    <mergeCell ref="A952:D952"/>
    <mergeCell ref="F952:G952"/>
    <mergeCell ref="H952:I952"/>
    <mergeCell ref="J952:K952"/>
    <mergeCell ref="L952:M952"/>
    <mergeCell ref="A953:D953"/>
    <mergeCell ref="F953:G953"/>
    <mergeCell ref="H953:I953"/>
    <mergeCell ref="J953:K953"/>
    <mergeCell ref="L953:M953"/>
    <mergeCell ref="A958:D958"/>
    <mergeCell ref="F958:G958"/>
    <mergeCell ref="H958:I958"/>
    <mergeCell ref="J958:K958"/>
    <mergeCell ref="L958:M958"/>
    <mergeCell ref="A959:D959"/>
    <mergeCell ref="F959:G959"/>
    <mergeCell ref="H959:I959"/>
    <mergeCell ref="J959:K959"/>
    <mergeCell ref="L959:M959"/>
    <mergeCell ref="A956:D956"/>
    <mergeCell ref="F956:G956"/>
    <mergeCell ref="H956:I956"/>
    <mergeCell ref="J956:K956"/>
    <mergeCell ref="L956:M956"/>
    <mergeCell ref="A957:D957"/>
    <mergeCell ref="F957:G957"/>
    <mergeCell ref="H957:I957"/>
    <mergeCell ref="J957:K957"/>
    <mergeCell ref="L957:M957"/>
    <mergeCell ref="A962:D962"/>
    <mergeCell ref="F962:G962"/>
    <mergeCell ref="H962:I962"/>
    <mergeCell ref="J962:K962"/>
    <mergeCell ref="L962:M962"/>
    <mergeCell ref="A963:M963"/>
    <mergeCell ref="A964:D964"/>
    <mergeCell ref="F964:G964"/>
    <mergeCell ref="H964:I964"/>
    <mergeCell ref="J964:K964"/>
    <mergeCell ref="L964:M964"/>
    <mergeCell ref="A960:D960"/>
    <mergeCell ref="F960:G960"/>
    <mergeCell ref="H960:I960"/>
    <mergeCell ref="J960:K960"/>
    <mergeCell ref="L960:M960"/>
    <mergeCell ref="A961:D961"/>
    <mergeCell ref="F961:G961"/>
    <mergeCell ref="H961:I961"/>
    <mergeCell ref="J961:K961"/>
    <mergeCell ref="L961:M961"/>
    <mergeCell ref="A967:M967"/>
    <mergeCell ref="A968:B968"/>
    <mergeCell ref="C968:D968"/>
    <mergeCell ref="E968:G968"/>
    <mergeCell ref="H968:I968"/>
    <mergeCell ref="J968:K968"/>
    <mergeCell ref="L968:M968"/>
    <mergeCell ref="A969:B969"/>
    <mergeCell ref="C969:D969"/>
    <mergeCell ref="E969:G969"/>
    <mergeCell ref="H969:I969"/>
    <mergeCell ref="J969:K969"/>
    <mergeCell ref="L969:M969"/>
    <mergeCell ref="A965:D965"/>
    <mergeCell ref="F965:G965"/>
    <mergeCell ref="H965:I965"/>
    <mergeCell ref="J965:K965"/>
    <mergeCell ref="L965:M965"/>
    <mergeCell ref="A966:D966"/>
    <mergeCell ref="F966:G966"/>
    <mergeCell ref="H966:I966"/>
    <mergeCell ref="J966:K966"/>
    <mergeCell ref="L966:M966"/>
    <mergeCell ref="A974:M974"/>
    <mergeCell ref="A975:M975"/>
    <mergeCell ref="A976:M976"/>
    <mergeCell ref="A977:M977"/>
    <mergeCell ref="A978:M978"/>
    <mergeCell ref="A979:M979"/>
    <mergeCell ref="A980:M980"/>
    <mergeCell ref="A981:M981"/>
    <mergeCell ref="A970:B970"/>
    <mergeCell ref="C970:D970"/>
    <mergeCell ref="E970:G970"/>
    <mergeCell ref="H970:I970"/>
    <mergeCell ref="J970:K970"/>
    <mergeCell ref="L970:M970"/>
    <mergeCell ref="A971:M971"/>
    <mergeCell ref="A972:M972"/>
    <mergeCell ref="A973:M973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588"/>
  <sheetViews>
    <sheetView tabSelected="1" view="pageBreakPreview" topLeftCell="A225" zoomScale="96" zoomScaleNormal="80" zoomScaleSheetLayoutView="96" workbookViewId="0">
      <selection activeCell="E11" sqref="E11:T11"/>
    </sheetView>
  </sheetViews>
  <sheetFormatPr defaultColWidth="9" defaultRowHeight="16.5" x14ac:dyDescent="0.25"/>
  <cols>
    <col min="1" max="19" width="1.5" style="2" customWidth="1"/>
    <col min="20" max="20" width="10.875" style="2" customWidth="1"/>
    <col min="21" max="35" width="1.5" style="2" customWidth="1"/>
    <col min="36" max="36" width="3.5" style="2" customWidth="1"/>
    <col min="37" max="40" width="1.5" style="2" customWidth="1"/>
    <col min="41" max="41" width="2.875" style="2" customWidth="1"/>
    <col min="42" max="42" width="1.5" style="2" hidden="1" customWidth="1"/>
    <col min="43" max="47" width="1.5" style="2" customWidth="1"/>
    <col min="48" max="48" width="3.75" style="2" customWidth="1"/>
    <col min="49" max="59" width="1.5" style="2" customWidth="1"/>
    <col min="60" max="60" width="4.375" style="2" customWidth="1"/>
    <col min="61" max="61" width="14.125" style="2" bestFit="1" customWidth="1"/>
    <col min="62" max="63" width="9" style="2" hidden="1" customWidth="1"/>
    <col min="64" max="64" width="10.5" style="2" hidden="1" customWidth="1"/>
    <col min="65" max="69" width="9" style="2" hidden="1" customWidth="1"/>
    <col min="70" max="16384" width="9" style="2"/>
  </cols>
  <sheetData>
    <row r="1" spans="1:69" ht="27.75" x14ac:dyDescent="0.25">
      <c r="A1" s="182" t="s">
        <v>81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/>
      <c r="BF1" s="182"/>
      <c r="BG1" s="182"/>
      <c r="BH1" s="182"/>
    </row>
    <row r="2" spans="1:69" ht="27.75" x14ac:dyDescent="0.25">
      <c r="A2" s="183" t="s">
        <v>12</v>
      </c>
      <c r="B2" s="183"/>
      <c r="C2" s="183"/>
      <c r="D2" s="183"/>
      <c r="E2" s="183"/>
      <c r="F2" s="183"/>
      <c r="G2" s="183"/>
      <c r="H2" s="183"/>
      <c r="I2" s="183"/>
      <c r="J2" s="184" t="s">
        <v>85</v>
      </c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/>
      <c r="BD2" s="185"/>
      <c r="BE2" s="185"/>
      <c r="BF2" s="185"/>
      <c r="BG2" s="185"/>
      <c r="BH2" s="185"/>
      <c r="BI2" s="185"/>
      <c r="BJ2" s="185"/>
      <c r="BK2" s="185"/>
      <c r="BL2" s="185"/>
      <c r="BM2" s="185"/>
      <c r="BN2" s="185"/>
      <c r="BO2" s="185"/>
      <c r="BP2" s="185"/>
      <c r="BQ2" s="185"/>
    </row>
    <row r="3" spans="1:69" ht="17.25" thickBot="1" x14ac:dyDescent="0.3">
      <c r="A3" s="186" t="s">
        <v>10</v>
      </c>
      <c r="B3" s="186"/>
      <c r="C3" s="186"/>
      <c r="D3" s="186"/>
      <c r="E3" s="186"/>
      <c r="F3" s="186"/>
      <c r="G3" s="186"/>
      <c r="H3" s="186"/>
      <c r="I3" s="187" t="s">
        <v>78</v>
      </c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8" t="s">
        <v>9</v>
      </c>
      <c r="AP3" s="188"/>
      <c r="AQ3" s="188"/>
      <c r="AR3" s="188"/>
      <c r="AS3" s="188"/>
      <c r="AT3" s="188"/>
      <c r="AU3" s="188"/>
      <c r="AV3" s="188"/>
      <c r="AW3" s="189">
        <v>45910</v>
      </c>
      <c r="AX3" s="189"/>
      <c r="AY3" s="189"/>
      <c r="AZ3" s="189"/>
      <c r="BA3" s="189"/>
      <c r="BB3" s="189"/>
      <c r="BC3" s="189"/>
      <c r="BD3" s="189"/>
      <c r="BE3" s="189"/>
      <c r="BF3" s="189"/>
      <c r="BG3" s="189"/>
      <c r="BH3" s="189"/>
    </row>
    <row r="4" spans="1:69" ht="36" customHeight="1" x14ac:dyDescent="0.25">
      <c r="A4" s="180" t="s">
        <v>0</v>
      </c>
      <c r="B4" s="83"/>
      <c r="C4" s="83"/>
      <c r="D4" s="83"/>
      <c r="E4" s="83" t="s">
        <v>6</v>
      </c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 t="s">
        <v>7</v>
      </c>
      <c r="V4" s="83"/>
      <c r="W4" s="83"/>
      <c r="X4" s="83"/>
      <c r="Y4" s="181" t="s">
        <v>1</v>
      </c>
      <c r="Z4" s="181"/>
      <c r="AA4" s="181"/>
      <c r="AB4" s="181"/>
      <c r="AC4" s="181"/>
      <c r="AD4" s="181"/>
      <c r="AE4" s="83" t="s">
        <v>8</v>
      </c>
      <c r="AF4" s="83"/>
      <c r="AG4" s="83"/>
      <c r="AH4" s="83"/>
      <c r="AI4" s="83"/>
      <c r="AJ4" s="83"/>
      <c r="AK4" s="181" t="s">
        <v>2</v>
      </c>
      <c r="AL4" s="181"/>
      <c r="AM4" s="181"/>
      <c r="AN4" s="181"/>
      <c r="AO4" s="181"/>
      <c r="AP4" s="181"/>
      <c r="AQ4" s="84" t="s">
        <v>3</v>
      </c>
      <c r="AR4" s="84"/>
      <c r="AS4" s="84"/>
      <c r="AT4" s="84"/>
      <c r="AU4" s="84"/>
      <c r="AV4" s="84"/>
      <c r="AW4" s="181" t="s">
        <v>4</v>
      </c>
      <c r="AX4" s="181"/>
      <c r="AY4" s="181"/>
      <c r="AZ4" s="181"/>
      <c r="BA4" s="181"/>
      <c r="BB4" s="181"/>
      <c r="BC4" s="84" t="s">
        <v>5</v>
      </c>
      <c r="BD4" s="84"/>
      <c r="BE4" s="84"/>
      <c r="BF4" s="84"/>
      <c r="BG4" s="84"/>
      <c r="BH4" s="85"/>
      <c r="BI4" s="1"/>
    </row>
    <row r="5" spans="1:69" ht="21.95" customHeight="1" x14ac:dyDescent="0.25">
      <c r="A5" s="150" t="str">
        <f>'[1](標單)詳細價目表'!A2</f>
        <v>壹</v>
      </c>
      <c r="B5" s="151"/>
      <c r="C5" s="151"/>
      <c r="D5" s="152"/>
      <c r="E5" s="175" t="str">
        <f>'[1](標單)詳細價目表'!B2</f>
        <v>直接工程費</v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7"/>
      <c r="U5" s="117"/>
      <c r="V5" s="118"/>
      <c r="W5" s="118"/>
      <c r="X5" s="119"/>
      <c r="Y5" s="178"/>
      <c r="Z5" s="178"/>
      <c r="AA5" s="178"/>
      <c r="AB5" s="178"/>
      <c r="AC5" s="178"/>
      <c r="AD5" s="178"/>
      <c r="AE5" s="178"/>
      <c r="AF5" s="178"/>
      <c r="AG5" s="178"/>
      <c r="AH5" s="178"/>
      <c r="AI5" s="178"/>
      <c r="AJ5" s="178"/>
      <c r="AK5" s="178"/>
      <c r="AL5" s="178"/>
      <c r="AM5" s="178"/>
      <c r="AN5" s="178"/>
      <c r="AO5" s="178"/>
      <c r="AP5" s="178"/>
      <c r="AQ5" s="178"/>
      <c r="AR5" s="178"/>
      <c r="AS5" s="178"/>
      <c r="AT5" s="178"/>
      <c r="AU5" s="178"/>
      <c r="AV5" s="178"/>
      <c r="AW5" s="178"/>
      <c r="AX5" s="178"/>
      <c r="AY5" s="178"/>
      <c r="AZ5" s="178"/>
      <c r="BA5" s="178"/>
      <c r="BB5" s="178"/>
      <c r="BC5" s="178"/>
      <c r="BD5" s="178"/>
      <c r="BE5" s="178"/>
      <c r="BF5" s="178"/>
      <c r="BG5" s="178"/>
      <c r="BH5" s="179"/>
      <c r="BI5" s="3">
        <f t="shared" ref="BI5:BI13" si="0">Y5*AE5</f>
        <v>0</v>
      </c>
    </row>
    <row r="6" spans="1:69" s="19" customFormat="1" ht="21.95" customHeight="1" x14ac:dyDescent="0.25">
      <c r="A6" s="127">
        <v>1</v>
      </c>
      <c r="B6" s="128"/>
      <c r="C6" s="128"/>
      <c r="D6" s="129"/>
      <c r="E6" s="170" t="str">
        <f>'[1](標單)詳細價目表'!B3</f>
        <v>工程告示牌與職安衛告示牌(租用)</v>
      </c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2"/>
      <c r="U6" s="133" t="str">
        <f>'[1](標單)詳細價目表'!C3</f>
        <v>式</v>
      </c>
      <c r="V6" s="134"/>
      <c r="W6" s="134"/>
      <c r="X6" s="135"/>
      <c r="Y6" s="136">
        <v>1</v>
      </c>
      <c r="Z6" s="137">
        <v>1</v>
      </c>
      <c r="AA6" s="137">
        <v>1</v>
      </c>
      <c r="AB6" s="137">
        <v>1</v>
      </c>
      <c r="AC6" s="137">
        <v>1</v>
      </c>
      <c r="AD6" s="138">
        <v>1</v>
      </c>
      <c r="AE6" s="139">
        <f>'[1](標單)詳細價目表'!E3</f>
        <v>5000</v>
      </c>
      <c r="AF6" s="139"/>
      <c r="AG6" s="139"/>
      <c r="AH6" s="139"/>
      <c r="AI6" s="139"/>
      <c r="AJ6" s="139"/>
      <c r="AK6" s="173">
        <v>1</v>
      </c>
      <c r="AL6" s="173"/>
      <c r="AM6" s="173"/>
      <c r="AN6" s="173"/>
      <c r="AO6" s="173"/>
      <c r="AP6" s="173"/>
      <c r="AQ6" s="139">
        <f t="shared" ref="AQ6:AQ7" si="1">AK6*AE6</f>
        <v>5000</v>
      </c>
      <c r="AR6" s="139"/>
      <c r="AS6" s="139"/>
      <c r="AT6" s="139"/>
      <c r="AU6" s="139"/>
      <c r="AV6" s="139"/>
      <c r="AW6" s="173">
        <f t="shared" ref="AW6:AW7" si="2">AK6</f>
        <v>1</v>
      </c>
      <c r="AX6" s="173"/>
      <c r="AY6" s="173"/>
      <c r="AZ6" s="173"/>
      <c r="BA6" s="173"/>
      <c r="BB6" s="173"/>
      <c r="BC6" s="173">
        <f t="shared" ref="BC6:BC7" si="3">ROUND(AW6*AE6,0)</f>
        <v>5000</v>
      </c>
      <c r="BD6" s="173"/>
      <c r="BE6" s="173"/>
      <c r="BF6" s="173"/>
      <c r="BG6" s="173"/>
      <c r="BH6" s="174"/>
      <c r="BI6" s="18">
        <f t="shared" si="0"/>
        <v>5000</v>
      </c>
    </row>
    <row r="7" spans="1:69" s="19" customFormat="1" ht="21.95" customHeight="1" x14ac:dyDescent="0.25">
      <c r="A7" s="150">
        <f>'[1](標單)詳細價目表'!A4</f>
        <v>2</v>
      </c>
      <c r="B7" s="151"/>
      <c r="C7" s="151"/>
      <c r="D7" s="152"/>
      <c r="E7" s="175" t="str">
        <f>'[1](標單)詳細價目表'!B4</f>
        <v>三角錐與連桿(租用)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7"/>
      <c r="U7" s="117" t="str">
        <f>'[1](標單)詳細價目表'!C4</f>
        <v>M</v>
      </c>
      <c r="V7" s="118"/>
      <c r="W7" s="118"/>
      <c r="X7" s="119"/>
      <c r="Y7" s="156">
        <v>86</v>
      </c>
      <c r="Z7" s="157">
        <v>86</v>
      </c>
      <c r="AA7" s="157">
        <v>86</v>
      </c>
      <c r="AB7" s="157">
        <v>86</v>
      </c>
      <c r="AC7" s="157">
        <v>86</v>
      </c>
      <c r="AD7" s="158">
        <v>86</v>
      </c>
      <c r="AE7" s="159">
        <f>'[1](標單)詳細價目表'!E4</f>
        <v>60</v>
      </c>
      <c r="AF7" s="159"/>
      <c r="AG7" s="159"/>
      <c r="AH7" s="159"/>
      <c r="AI7" s="159"/>
      <c r="AJ7" s="159"/>
      <c r="AK7" s="167">
        <v>0</v>
      </c>
      <c r="AL7" s="167"/>
      <c r="AM7" s="167"/>
      <c r="AN7" s="167"/>
      <c r="AO7" s="167"/>
      <c r="AP7" s="167"/>
      <c r="AQ7" s="159">
        <f t="shared" si="1"/>
        <v>0</v>
      </c>
      <c r="AR7" s="159"/>
      <c r="AS7" s="159"/>
      <c r="AT7" s="159"/>
      <c r="AU7" s="159"/>
      <c r="AV7" s="159"/>
      <c r="AW7" s="167">
        <f t="shared" si="2"/>
        <v>0</v>
      </c>
      <c r="AX7" s="167"/>
      <c r="AY7" s="167"/>
      <c r="AZ7" s="167"/>
      <c r="BA7" s="167"/>
      <c r="BB7" s="167"/>
      <c r="BC7" s="167">
        <f t="shared" si="3"/>
        <v>0</v>
      </c>
      <c r="BD7" s="167"/>
      <c r="BE7" s="167"/>
      <c r="BF7" s="167"/>
      <c r="BG7" s="167"/>
      <c r="BH7" s="168"/>
      <c r="BI7" s="18">
        <f t="shared" si="0"/>
        <v>5160</v>
      </c>
    </row>
    <row r="8" spans="1:69" s="19" customFormat="1" ht="33" customHeight="1" x14ac:dyDescent="0.25">
      <c r="A8" s="150">
        <f>'[1](標單)詳細價目表'!A5</f>
        <v>3</v>
      </c>
      <c r="B8" s="151"/>
      <c r="C8" s="151"/>
      <c r="D8" s="152"/>
      <c r="E8" s="175" t="str">
        <f>'[1](標單)詳細價目表'!B5</f>
        <v>施工動線開闢及損害復原；測量與放樣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7"/>
      <c r="U8" s="117" t="str">
        <f>'[1](標單)詳細價目表'!C5</f>
        <v>式</v>
      </c>
      <c r="V8" s="118"/>
      <c r="W8" s="118"/>
      <c r="X8" s="119"/>
      <c r="Y8" s="156">
        <v>1</v>
      </c>
      <c r="Z8" s="157">
        <v>1</v>
      </c>
      <c r="AA8" s="157">
        <v>1</v>
      </c>
      <c r="AB8" s="157">
        <v>1</v>
      </c>
      <c r="AC8" s="157">
        <v>1</v>
      </c>
      <c r="AD8" s="158">
        <v>1</v>
      </c>
      <c r="AE8" s="159">
        <f>'[1](標單)詳細價目表'!E5</f>
        <v>4000</v>
      </c>
      <c r="AF8" s="159"/>
      <c r="AG8" s="159"/>
      <c r="AH8" s="159"/>
      <c r="AI8" s="159"/>
      <c r="AJ8" s="159"/>
      <c r="AK8" s="167">
        <v>0</v>
      </c>
      <c r="AL8" s="167"/>
      <c r="AM8" s="167"/>
      <c r="AN8" s="167"/>
      <c r="AO8" s="167"/>
      <c r="AP8" s="167"/>
      <c r="AQ8" s="159">
        <f>AK8*AE8</f>
        <v>0</v>
      </c>
      <c r="AR8" s="159"/>
      <c r="AS8" s="159"/>
      <c r="AT8" s="159"/>
      <c r="AU8" s="159"/>
      <c r="AV8" s="159"/>
      <c r="AW8" s="167">
        <f>AK8</f>
        <v>0</v>
      </c>
      <c r="AX8" s="167"/>
      <c r="AY8" s="167"/>
      <c r="AZ8" s="167"/>
      <c r="BA8" s="167"/>
      <c r="BB8" s="167"/>
      <c r="BC8" s="167">
        <f>ROUND(AW8*AE8,0)</f>
        <v>0</v>
      </c>
      <c r="BD8" s="167"/>
      <c r="BE8" s="167"/>
      <c r="BF8" s="167"/>
      <c r="BG8" s="167"/>
      <c r="BH8" s="168"/>
      <c r="BI8" s="18">
        <f t="shared" si="0"/>
        <v>4000</v>
      </c>
    </row>
    <row r="9" spans="1:69" ht="54" customHeight="1" x14ac:dyDescent="0.25">
      <c r="A9" s="150">
        <f>'[1](標單)詳細價目表'!A6</f>
        <v>4</v>
      </c>
      <c r="B9" s="151"/>
      <c r="C9" s="151"/>
      <c r="D9" s="152"/>
      <c r="E9" s="175" t="str">
        <f>'[1](標單)詳細價目表'!B6</f>
        <v>切割打除清運校舍與教室出入口地坪以及司令台階梯平台(含合法清運證明)</v>
      </c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7"/>
      <c r="U9" s="117" t="str">
        <f>'[1](標單)詳細價目表'!C6</f>
        <v>式</v>
      </c>
      <c r="V9" s="118"/>
      <c r="W9" s="118"/>
      <c r="X9" s="119"/>
      <c r="Y9" s="156">
        <v>1</v>
      </c>
      <c r="Z9" s="157">
        <v>1</v>
      </c>
      <c r="AA9" s="157">
        <v>1</v>
      </c>
      <c r="AB9" s="157">
        <v>1</v>
      </c>
      <c r="AC9" s="157">
        <v>1</v>
      </c>
      <c r="AD9" s="158">
        <v>1</v>
      </c>
      <c r="AE9" s="159">
        <f>'[1](標單)詳細價目表'!E6</f>
        <v>52817</v>
      </c>
      <c r="AF9" s="159"/>
      <c r="AG9" s="159"/>
      <c r="AH9" s="159"/>
      <c r="AI9" s="159"/>
      <c r="AJ9" s="159"/>
      <c r="AK9" s="167">
        <v>0</v>
      </c>
      <c r="AL9" s="167"/>
      <c r="AM9" s="167"/>
      <c r="AN9" s="167"/>
      <c r="AO9" s="167"/>
      <c r="AP9" s="167"/>
      <c r="AQ9" s="159">
        <f t="shared" ref="AQ9:AQ16" si="4">AK9*AE9</f>
        <v>0</v>
      </c>
      <c r="AR9" s="159"/>
      <c r="AS9" s="159"/>
      <c r="AT9" s="159"/>
      <c r="AU9" s="159"/>
      <c r="AV9" s="159"/>
      <c r="AW9" s="167">
        <f t="shared" ref="AW9:AW16" si="5">AK9</f>
        <v>0</v>
      </c>
      <c r="AX9" s="167"/>
      <c r="AY9" s="167"/>
      <c r="AZ9" s="167"/>
      <c r="BA9" s="167"/>
      <c r="BB9" s="167"/>
      <c r="BC9" s="167">
        <f t="shared" ref="BC9:BC16" si="6">ROUND(AW9*AE9,0)</f>
        <v>0</v>
      </c>
      <c r="BD9" s="167"/>
      <c r="BE9" s="167"/>
      <c r="BF9" s="167"/>
      <c r="BG9" s="167"/>
      <c r="BH9" s="168"/>
      <c r="BI9" s="16">
        <f t="shared" si="0"/>
        <v>52817</v>
      </c>
    </row>
    <row r="10" spans="1:69" ht="20.25" customHeight="1" x14ac:dyDescent="0.25">
      <c r="A10" s="150">
        <f>'[1](標單)詳細價目表'!A7</f>
        <v>5</v>
      </c>
      <c r="B10" s="151"/>
      <c r="C10" s="151"/>
      <c r="D10" s="152"/>
      <c r="E10" s="153" t="str">
        <f>'[1](標單)詳細價目表'!B7</f>
        <v>校舍出入口施做斜坡順平高差</v>
      </c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5"/>
      <c r="U10" s="117" t="str">
        <f>'[1](標單)詳細價目表'!C7</f>
        <v>M2</v>
      </c>
      <c r="V10" s="118"/>
      <c r="W10" s="118"/>
      <c r="X10" s="119"/>
      <c r="Y10" s="160">
        <v>15</v>
      </c>
      <c r="Z10" s="161">
        <v>15</v>
      </c>
      <c r="AA10" s="161">
        <v>15</v>
      </c>
      <c r="AB10" s="161">
        <v>15</v>
      </c>
      <c r="AC10" s="161">
        <v>15</v>
      </c>
      <c r="AD10" s="162">
        <v>15</v>
      </c>
      <c r="AE10" s="169">
        <f>'[1](標單)詳細價目表'!E7</f>
        <v>600</v>
      </c>
      <c r="AF10" s="169"/>
      <c r="AG10" s="169"/>
      <c r="AH10" s="169"/>
      <c r="AI10" s="169"/>
      <c r="AJ10" s="169"/>
      <c r="AK10" s="167">
        <v>0</v>
      </c>
      <c r="AL10" s="167"/>
      <c r="AM10" s="167"/>
      <c r="AN10" s="167"/>
      <c r="AO10" s="167"/>
      <c r="AP10" s="167"/>
      <c r="AQ10" s="159">
        <f t="shared" si="4"/>
        <v>0</v>
      </c>
      <c r="AR10" s="159"/>
      <c r="AS10" s="159"/>
      <c r="AT10" s="159"/>
      <c r="AU10" s="159"/>
      <c r="AV10" s="159"/>
      <c r="AW10" s="167">
        <f t="shared" si="5"/>
        <v>0</v>
      </c>
      <c r="AX10" s="167"/>
      <c r="AY10" s="167"/>
      <c r="AZ10" s="167"/>
      <c r="BA10" s="167"/>
      <c r="BB10" s="167"/>
      <c r="BC10" s="167">
        <f t="shared" si="6"/>
        <v>0</v>
      </c>
      <c r="BD10" s="167"/>
      <c r="BE10" s="167"/>
      <c r="BF10" s="167"/>
      <c r="BG10" s="167"/>
      <c r="BH10" s="168"/>
      <c r="BI10" s="3">
        <f t="shared" si="0"/>
        <v>9000</v>
      </c>
    </row>
    <row r="11" spans="1:69" ht="50.25" customHeight="1" x14ac:dyDescent="0.25">
      <c r="A11" s="150">
        <f>'[1](標單)詳細價目表'!A8</f>
        <v>6</v>
      </c>
      <c r="B11" s="151"/>
      <c r="C11" s="151"/>
      <c r="D11" s="152"/>
      <c r="E11" s="153" t="str">
        <f>'[1](標單)詳細價目表'!B8</f>
        <v>開挖整地，新設無障礙RC坡道，牆面與地坪粉刷整平(連工帶料，責任施工)</v>
      </c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5"/>
      <c r="U11" s="117" t="str">
        <f>'[1](標單)詳細價目表'!C8</f>
        <v>式</v>
      </c>
      <c r="V11" s="118"/>
      <c r="W11" s="118"/>
      <c r="X11" s="119"/>
      <c r="Y11" s="160">
        <v>1</v>
      </c>
      <c r="Z11" s="161">
        <v>1</v>
      </c>
      <c r="AA11" s="161">
        <v>1</v>
      </c>
      <c r="AB11" s="161">
        <v>1</v>
      </c>
      <c r="AC11" s="161">
        <v>1</v>
      </c>
      <c r="AD11" s="162">
        <v>1</v>
      </c>
      <c r="AE11" s="159">
        <f>'[1](標單)詳細價目表'!E8</f>
        <v>153000</v>
      </c>
      <c r="AF11" s="159"/>
      <c r="AG11" s="159"/>
      <c r="AH11" s="159"/>
      <c r="AI11" s="159"/>
      <c r="AJ11" s="159"/>
      <c r="AK11" s="167">
        <v>0</v>
      </c>
      <c r="AL11" s="167"/>
      <c r="AM11" s="167"/>
      <c r="AN11" s="167"/>
      <c r="AO11" s="167"/>
      <c r="AP11" s="167"/>
      <c r="AQ11" s="159">
        <f t="shared" si="4"/>
        <v>0</v>
      </c>
      <c r="AR11" s="159"/>
      <c r="AS11" s="159"/>
      <c r="AT11" s="159"/>
      <c r="AU11" s="159"/>
      <c r="AV11" s="159"/>
      <c r="AW11" s="167">
        <f t="shared" si="5"/>
        <v>0</v>
      </c>
      <c r="AX11" s="167"/>
      <c r="AY11" s="167"/>
      <c r="AZ11" s="167"/>
      <c r="BA11" s="167"/>
      <c r="BB11" s="167"/>
      <c r="BC11" s="167">
        <f t="shared" si="6"/>
        <v>0</v>
      </c>
      <c r="BD11" s="167"/>
      <c r="BE11" s="167"/>
      <c r="BF11" s="167"/>
      <c r="BG11" s="167"/>
      <c r="BH11" s="168"/>
      <c r="BI11" s="3">
        <f t="shared" si="0"/>
        <v>153000</v>
      </c>
    </row>
    <row r="12" spans="1:69" ht="32.450000000000003" customHeight="1" x14ac:dyDescent="0.25">
      <c r="A12" s="150">
        <f>'[1](標單)詳細價目表'!A9</f>
        <v>7</v>
      </c>
      <c r="B12" s="151"/>
      <c r="C12" s="151"/>
      <c r="D12" s="152"/>
      <c r="E12" s="153" t="str">
        <f>'[1](標單)詳細價目表'!B9</f>
        <v>施做抿石子(1~2分AK石，抿石子專用泥)</v>
      </c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5"/>
      <c r="U12" s="117" t="str">
        <f>'[1](標單)詳細價目表'!C9</f>
        <v>M2</v>
      </c>
      <c r="V12" s="118"/>
      <c r="W12" s="118"/>
      <c r="X12" s="119"/>
      <c r="Y12" s="160">
        <v>38</v>
      </c>
      <c r="Z12" s="161">
        <v>38</v>
      </c>
      <c r="AA12" s="161">
        <v>38</v>
      </c>
      <c r="AB12" s="161">
        <v>38</v>
      </c>
      <c r="AC12" s="161">
        <v>38</v>
      </c>
      <c r="AD12" s="162">
        <v>38</v>
      </c>
      <c r="AE12" s="159">
        <f>'[1](標單)詳細價目表'!E9</f>
        <v>1460</v>
      </c>
      <c r="AF12" s="159"/>
      <c r="AG12" s="159"/>
      <c r="AH12" s="159"/>
      <c r="AI12" s="159"/>
      <c r="AJ12" s="159"/>
      <c r="AK12" s="167">
        <v>0</v>
      </c>
      <c r="AL12" s="167"/>
      <c r="AM12" s="167"/>
      <c r="AN12" s="167"/>
      <c r="AO12" s="167"/>
      <c r="AP12" s="167"/>
      <c r="AQ12" s="159">
        <f t="shared" si="4"/>
        <v>0</v>
      </c>
      <c r="AR12" s="159"/>
      <c r="AS12" s="159"/>
      <c r="AT12" s="159"/>
      <c r="AU12" s="159"/>
      <c r="AV12" s="159"/>
      <c r="AW12" s="167">
        <f t="shared" si="5"/>
        <v>0</v>
      </c>
      <c r="AX12" s="167"/>
      <c r="AY12" s="167"/>
      <c r="AZ12" s="167"/>
      <c r="BA12" s="167"/>
      <c r="BB12" s="167"/>
      <c r="BC12" s="167">
        <f t="shared" si="6"/>
        <v>0</v>
      </c>
      <c r="BD12" s="167"/>
      <c r="BE12" s="167"/>
      <c r="BF12" s="167"/>
      <c r="BG12" s="167"/>
      <c r="BH12" s="168"/>
      <c r="BI12" s="3">
        <f t="shared" si="0"/>
        <v>55480</v>
      </c>
    </row>
    <row r="13" spans="1:69" ht="21" customHeight="1" x14ac:dyDescent="0.25">
      <c r="A13" s="150">
        <f>'[1](標單)詳細價目表'!A10</f>
        <v>8</v>
      </c>
      <c r="B13" s="151"/>
      <c r="C13" s="151"/>
      <c r="D13" s="152"/>
      <c r="E13" s="153" t="str">
        <f>'[1](標單)詳細價目表'!B10</f>
        <v>無障礙坡道地坪拉毛</v>
      </c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5"/>
      <c r="U13" s="117" t="str">
        <f>'[1](標單)詳細價目表'!C10</f>
        <v>M2</v>
      </c>
      <c r="V13" s="118"/>
      <c r="W13" s="118"/>
      <c r="X13" s="119"/>
      <c r="Y13" s="160">
        <v>33</v>
      </c>
      <c r="Z13" s="161">
        <v>33</v>
      </c>
      <c r="AA13" s="161">
        <v>33</v>
      </c>
      <c r="AB13" s="161">
        <v>33</v>
      </c>
      <c r="AC13" s="161">
        <v>33</v>
      </c>
      <c r="AD13" s="162">
        <v>33</v>
      </c>
      <c r="AE13" s="159">
        <f>'[1](標單)詳細價目表'!E10</f>
        <v>100</v>
      </c>
      <c r="AF13" s="159"/>
      <c r="AG13" s="159"/>
      <c r="AH13" s="159"/>
      <c r="AI13" s="159"/>
      <c r="AJ13" s="159"/>
      <c r="AK13" s="167"/>
      <c r="AL13" s="167"/>
      <c r="AM13" s="167"/>
      <c r="AN13" s="167"/>
      <c r="AO13" s="167"/>
      <c r="AP13" s="167"/>
      <c r="AQ13" s="159"/>
      <c r="AR13" s="159"/>
      <c r="AS13" s="159"/>
      <c r="AT13" s="159"/>
      <c r="AU13" s="159"/>
      <c r="AV13" s="159"/>
      <c r="AW13" s="167"/>
      <c r="AX13" s="167"/>
      <c r="AY13" s="167"/>
      <c r="AZ13" s="167"/>
      <c r="BA13" s="167"/>
      <c r="BB13" s="167"/>
      <c r="BC13" s="167"/>
      <c r="BD13" s="167"/>
      <c r="BE13" s="167"/>
      <c r="BF13" s="167"/>
      <c r="BG13" s="167"/>
      <c r="BH13" s="168"/>
      <c r="BI13" s="3">
        <f t="shared" si="0"/>
        <v>3300</v>
      </c>
    </row>
    <row r="14" spans="1:69" s="19" customFormat="1" ht="34.5" customHeight="1" x14ac:dyDescent="0.25">
      <c r="A14" s="127">
        <f>'[1](標單)詳細價目表'!A11</f>
        <v>9</v>
      </c>
      <c r="B14" s="128"/>
      <c r="C14" s="128"/>
      <c r="D14" s="129"/>
      <c r="E14" s="130" t="str">
        <f>'[1](標單)詳細價目表'!B11</f>
        <v>司令台既有樓梯面清潔，刷止滑漆(一底二度)</v>
      </c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2"/>
      <c r="U14" s="133" t="str">
        <f>'[1](標單)詳細價目表'!C11</f>
        <v>式</v>
      </c>
      <c r="V14" s="134"/>
      <c r="W14" s="134"/>
      <c r="X14" s="135"/>
      <c r="Y14" s="160">
        <v>1</v>
      </c>
      <c r="Z14" s="161">
        <v>1</v>
      </c>
      <c r="AA14" s="161">
        <v>1</v>
      </c>
      <c r="AB14" s="161">
        <v>1</v>
      </c>
      <c r="AC14" s="161">
        <v>1</v>
      </c>
      <c r="AD14" s="162">
        <v>1</v>
      </c>
      <c r="AE14" s="159">
        <f>'[1](標單)詳細價目表'!E11</f>
        <v>3000</v>
      </c>
      <c r="AF14" s="159"/>
      <c r="AG14" s="159"/>
      <c r="AH14" s="159"/>
      <c r="AI14" s="159"/>
      <c r="AJ14" s="159"/>
      <c r="AK14" s="167">
        <v>0</v>
      </c>
      <c r="AL14" s="167"/>
      <c r="AM14" s="167"/>
      <c r="AN14" s="167"/>
      <c r="AO14" s="167"/>
      <c r="AP14" s="167"/>
      <c r="AQ14" s="159">
        <f t="shared" si="4"/>
        <v>0</v>
      </c>
      <c r="AR14" s="159"/>
      <c r="AS14" s="159"/>
      <c r="AT14" s="159"/>
      <c r="AU14" s="159"/>
      <c r="AV14" s="159"/>
      <c r="AW14" s="167">
        <f t="shared" si="5"/>
        <v>0</v>
      </c>
      <c r="AX14" s="167"/>
      <c r="AY14" s="167"/>
      <c r="AZ14" s="167"/>
      <c r="BA14" s="167"/>
      <c r="BB14" s="167"/>
      <c r="BC14" s="167">
        <f t="shared" si="6"/>
        <v>0</v>
      </c>
      <c r="BD14" s="167"/>
      <c r="BE14" s="167"/>
      <c r="BF14" s="167"/>
      <c r="BG14" s="167"/>
      <c r="BH14" s="168"/>
      <c r="BI14" s="18">
        <f t="shared" ref="BI14:BI19" si="7">Y14*AE14</f>
        <v>3000</v>
      </c>
    </row>
    <row r="15" spans="1:69" ht="35.25" customHeight="1" x14ac:dyDescent="0.25">
      <c r="A15" s="150">
        <f>'[1](標單)詳細價目表'!A12</f>
        <v>10</v>
      </c>
      <c r="B15" s="151"/>
      <c r="C15" s="151"/>
      <c r="D15" s="152"/>
      <c r="E15" s="153" t="str">
        <f>'[1](標單)詳細價目表'!B12</f>
        <v>校舍、教室及司令台坡道出入口配置無線押扣與插電式緊急求救鈴</v>
      </c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5"/>
      <c r="U15" s="117" t="str">
        <f>'[1](標單)詳細價目表'!C12</f>
        <v>組</v>
      </c>
      <c r="V15" s="118"/>
      <c r="W15" s="118"/>
      <c r="X15" s="119"/>
      <c r="Y15" s="160">
        <v>8</v>
      </c>
      <c r="Z15" s="161">
        <v>8</v>
      </c>
      <c r="AA15" s="161">
        <v>8</v>
      </c>
      <c r="AB15" s="161">
        <v>8</v>
      </c>
      <c r="AC15" s="161">
        <v>8</v>
      </c>
      <c r="AD15" s="162">
        <v>8</v>
      </c>
      <c r="AE15" s="159">
        <f>'[1](標單)詳細價目表'!E12</f>
        <v>700</v>
      </c>
      <c r="AF15" s="159"/>
      <c r="AG15" s="159"/>
      <c r="AH15" s="159"/>
      <c r="AI15" s="159"/>
      <c r="AJ15" s="159"/>
      <c r="AK15" s="167">
        <v>0</v>
      </c>
      <c r="AL15" s="167"/>
      <c r="AM15" s="167"/>
      <c r="AN15" s="167"/>
      <c r="AO15" s="167"/>
      <c r="AP15" s="167"/>
      <c r="AQ15" s="159">
        <f t="shared" si="4"/>
        <v>0</v>
      </c>
      <c r="AR15" s="159"/>
      <c r="AS15" s="159"/>
      <c r="AT15" s="159"/>
      <c r="AU15" s="159"/>
      <c r="AV15" s="159"/>
      <c r="AW15" s="167">
        <f t="shared" si="5"/>
        <v>0</v>
      </c>
      <c r="AX15" s="167"/>
      <c r="AY15" s="167"/>
      <c r="AZ15" s="167"/>
      <c r="BA15" s="167"/>
      <c r="BB15" s="167"/>
      <c r="BC15" s="167">
        <f t="shared" si="6"/>
        <v>0</v>
      </c>
      <c r="BD15" s="167"/>
      <c r="BE15" s="167"/>
      <c r="BF15" s="167"/>
      <c r="BG15" s="167"/>
      <c r="BH15" s="168"/>
      <c r="BI15" s="3">
        <f t="shared" si="7"/>
        <v>5600</v>
      </c>
    </row>
    <row r="16" spans="1:69" ht="36.75" customHeight="1" x14ac:dyDescent="0.25">
      <c r="A16" s="150">
        <f>'[1](標單)詳細價目表'!A13</f>
        <v>11</v>
      </c>
      <c r="B16" s="151"/>
      <c r="C16" s="151"/>
      <c r="D16" s="152"/>
      <c r="E16" s="153" t="str">
        <f>'[1](標單)詳細價目表'!B13</f>
        <v>司令台周圍及無障礙坡道安裝不鏽鋼扶手(連工帶料)</v>
      </c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5"/>
      <c r="U16" s="117" t="str">
        <f>'[1](標單)詳細價目表'!C13</f>
        <v>M</v>
      </c>
      <c r="V16" s="118"/>
      <c r="W16" s="118"/>
      <c r="X16" s="119"/>
      <c r="Y16" s="156">
        <v>48</v>
      </c>
      <c r="Z16" s="157">
        <v>48</v>
      </c>
      <c r="AA16" s="157">
        <v>48</v>
      </c>
      <c r="AB16" s="157">
        <v>48</v>
      </c>
      <c r="AC16" s="157">
        <v>48</v>
      </c>
      <c r="AD16" s="158">
        <v>48</v>
      </c>
      <c r="AE16" s="159">
        <f>'[1](標單)詳細價目表'!E13</f>
        <v>3000</v>
      </c>
      <c r="AF16" s="159"/>
      <c r="AG16" s="159"/>
      <c r="AH16" s="159"/>
      <c r="AI16" s="159"/>
      <c r="AJ16" s="159"/>
      <c r="AK16" s="160">
        <v>0</v>
      </c>
      <c r="AL16" s="161"/>
      <c r="AM16" s="161"/>
      <c r="AN16" s="161"/>
      <c r="AO16" s="161"/>
      <c r="AP16" s="162"/>
      <c r="AQ16" s="163">
        <f t="shared" si="4"/>
        <v>0</v>
      </c>
      <c r="AR16" s="164"/>
      <c r="AS16" s="164"/>
      <c r="AT16" s="164"/>
      <c r="AU16" s="164"/>
      <c r="AV16" s="165"/>
      <c r="AW16" s="160">
        <f t="shared" si="5"/>
        <v>0</v>
      </c>
      <c r="AX16" s="161"/>
      <c r="AY16" s="161"/>
      <c r="AZ16" s="161"/>
      <c r="BA16" s="161"/>
      <c r="BB16" s="162"/>
      <c r="BC16" s="160">
        <f t="shared" si="6"/>
        <v>0</v>
      </c>
      <c r="BD16" s="161"/>
      <c r="BE16" s="161"/>
      <c r="BF16" s="161"/>
      <c r="BG16" s="161"/>
      <c r="BH16" s="166"/>
      <c r="BI16" s="3">
        <f t="shared" si="7"/>
        <v>144000</v>
      </c>
    </row>
    <row r="17" spans="1:69" s="19" customFormat="1" ht="35.25" customHeight="1" x14ac:dyDescent="0.25">
      <c r="A17" s="127" t="str">
        <f>'[1](標單)詳細價目表'!A15</f>
        <v>貳</v>
      </c>
      <c r="B17" s="128"/>
      <c r="C17" s="128"/>
      <c r="D17" s="129"/>
      <c r="E17" s="130" t="str">
        <f>'[1](標單)詳細價目表'!B15</f>
        <v>職業安全衛生管理費與施工環境保護與清潔（壹*2%）</v>
      </c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2"/>
      <c r="U17" s="133" t="str">
        <f>'[1](標單)詳細價目表'!C15</f>
        <v>式</v>
      </c>
      <c r="V17" s="134"/>
      <c r="W17" s="134"/>
      <c r="X17" s="135"/>
      <c r="Y17" s="136">
        <f>'[1](標單)詳細價目表'!D15</f>
        <v>1</v>
      </c>
      <c r="Z17" s="137"/>
      <c r="AA17" s="137"/>
      <c r="AB17" s="137"/>
      <c r="AC17" s="137"/>
      <c r="AD17" s="138"/>
      <c r="AE17" s="139">
        <f>'[1](標單)詳細價目表'!E15</f>
        <v>8807</v>
      </c>
      <c r="AF17" s="139"/>
      <c r="AG17" s="139"/>
      <c r="AH17" s="139"/>
      <c r="AI17" s="139"/>
      <c r="AJ17" s="139"/>
      <c r="AK17" s="140">
        <v>1.7000000000000001E-2</v>
      </c>
      <c r="AL17" s="141"/>
      <c r="AM17" s="141"/>
      <c r="AN17" s="141"/>
      <c r="AO17" s="141"/>
      <c r="AP17" s="142"/>
      <c r="AQ17" s="143">
        <f t="shared" ref="AQ17:AQ21" si="8">AK17*AE17</f>
        <v>149.71900000000002</v>
      </c>
      <c r="AR17" s="144"/>
      <c r="AS17" s="144"/>
      <c r="AT17" s="144"/>
      <c r="AU17" s="144"/>
      <c r="AV17" s="145"/>
      <c r="AW17" s="140">
        <f>AK17</f>
        <v>1.7000000000000001E-2</v>
      </c>
      <c r="AX17" s="141"/>
      <c r="AY17" s="141"/>
      <c r="AZ17" s="141"/>
      <c r="BA17" s="141"/>
      <c r="BB17" s="142"/>
      <c r="BC17" s="136">
        <f>ROUND(AW17*AE17,0)</f>
        <v>150</v>
      </c>
      <c r="BD17" s="137"/>
      <c r="BE17" s="137"/>
      <c r="BF17" s="137"/>
      <c r="BG17" s="137"/>
      <c r="BH17" s="146"/>
      <c r="BI17" s="18">
        <f t="shared" si="7"/>
        <v>8807</v>
      </c>
    </row>
    <row r="18" spans="1:69" s="19" customFormat="1" ht="21.95" customHeight="1" x14ac:dyDescent="0.25">
      <c r="A18" s="127" t="str">
        <f>'[1](標單)詳細價目表'!A16</f>
        <v>參</v>
      </c>
      <c r="B18" s="128"/>
      <c r="C18" s="128"/>
      <c r="D18" s="129"/>
      <c r="E18" s="130" t="str">
        <f>'[1](標單)詳細價目表'!B16</f>
        <v>公共工程品質管制作業費（壹*1%）</v>
      </c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2"/>
      <c r="U18" s="133" t="str">
        <f>'[1](標單)詳細價目表'!C16</f>
        <v>式</v>
      </c>
      <c r="V18" s="134"/>
      <c r="W18" s="134"/>
      <c r="X18" s="135"/>
      <c r="Y18" s="147">
        <f>'[1](標單)詳細價目表'!D16</f>
        <v>1</v>
      </c>
      <c r="Z18" s="148"/>
      <c r="AA18" s="148"/>
      <c r="AB18" s="148"/>
      <c r="AC18" s="148"/>
      <c r="AD18" s="149"/>
      <c r="AE18" s="139">
        <f>'[1](標單)詳細價目表'!E16</f>
        <v>4404</v>
      </c>
      <c r="AF18" s="139"/>
      <c r="AG18" s="139"/>
      <c r="AH18" s="139"/>
      <c r="AI18" s="139"/>
      <c r="AJ18" s="139"/>
      <c r="AK18" s="140">
        <v>1.7000000000000001E-2</v>
      </c>
      <c r="AL18" s="141"/>
      <c r="AM18" s="141"/>
      <c r="AN18" s="141"/>
      <c r="AO18" s="141"/>
      <c r="AP18" s="142"/>
      <c r="AQ18" s="143">
        <f t="shared" si="8"/>
        <v>74.868000000000009</v>
      </c>
      <c r="AR18" s="144"/>
      <c r="AS18" s="144"/>
      <c r="AT18" s="144"/>
      <c r="AU18" s="144"/>
      <c r="AV18" s="145"/>
      <c r="AW18" s="140">
        <f t="shared" ref="AW18:AW21" si="9">AK18</f>
        <v>1.7000000000000001E-2</v>
      </c>
      <c r="AX18" s="141"/>
      <c r="AY18" s="141"/>
      <c r="AZ18" s="141"/>
      <c r="BA18" s="141"/>
      <c r="BB18" s="142"/>
      <c r="BC18" s="136">
        <f t="shared" ref="BC18:BC21" si="10">ROUND(AW18*AE18,0)</f>
        <v>75</v>
      </c>
      <c r="BD18" s="137"/>
      <c r="BE18" s="137"/>
      <c r="BF18" s="137"/>
      <c r="BG18" s="137"/>
      <c r="BH18" s="146"/>
      <c r="BI18" s="18">
        <f t="shared" si="7"/>
        <v>4404</v>
      </c>
    </row>
    <row r="19" spans="1:69" s="19" customFormat="1" ht="21.95" customHeight="1" x14ac:dyDescent="0.25">
      <c r="A19" s="127" t="str">
        <f>'[1](標單)詳細價目表'!A17</f>
        <v>肆</v>
      </c>
      <c r="B19" s="128"/>
      <c r="C19" s="128"/>
      <c r="D19" s="129"/>
      <c r="E19" s="130" t="str">
        <f>'[1](標單)詳細價目表'!B17</f>
        <v>包商管理及利潤費（約壹*7%）</v>
      </c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2"/>
      <c r="U19" s="133" t="str">
        <f>'[1](標單)詳細價目表'!C17</f>
        <v>式</v>
      </c>
      <c r="V19" s="134"/>
      <c r="W19" s="134"/>
      <c r="X19" s="135"/>
      <c r="Y19" s="147">
        <f>'[1](標單)詳細價目表'!D17</f>
        <v>1</v>
      </c>
      <c r="Z19" s="148"/>
      <c r="AA19" s="148"/>
      <c r="AB19" s="148"/>
      <c r="AC19" s="148"/>
      <c r="AD19" s="149"/>
      <c r="AE19" s="139">
        <f>'[1](標單)詳細價目表'!E17</f>
        <v>30825</v>
      </c>
      <c r="AF19" s="139"/>
      <c r="AG19" s="139"/>
      <c r="AH19" s="139"/>
      <c r="AI19" s="139"/>
      <c r="AJ19" s="139"/>
      <c r="AK19" s="140">
        <v>1.7000000000000001E-2</v>
      </c>
      <c r="AL19" s="141"/>
      <c r="AM19" s="141"/>
      <c r="AN19" s="141"/>
      <c r="AO19" s="141"/>
      <c r="AP19" s="142"/>
      <c r="AQ19" s="143">
        <f t="shared" si="8"/>
        <v>524.02500000000009</v>
      </c>
      <c r="AR19" s="144"/>
      <c r="AS19" s="144"/>
      <c r="AT19" s="144"/>
      <c r="AU19" s="144"/>
      <c r="AV19" s="145"/>
      <c r="AW19" s="140">
        <f t="shared" si="9"/>
        <v>1.7000000000000001E-2</v>
      </c>
      <c r="AX19" s="141"/>
      <c r="AY19" s="141"/>
      <c r="AZ19" s="141"/>
      <c r="BA19" s="141"/>
      <c r="BB19" s="142"/>
      <c r="BC19" s="136">
        <f t="shared" si="10"/>
        <v>524</v>
      </c>
      <c r="BD19" s="137"/>
      <c r="BE19" s="137"/>
      <c r="BF19" s="137"/>
      <c r="BG19" s="137"/>
      <c r="BH19" s="146"/>
      <c r="BI19" s="18">
        <f t="shared" si="7"/>
        <v>30825</v>
      </c>
    </row>
    <row r="20" spans="1:69" s="19" customFormat="1" ht="21.95" customHeight="1" x14ac:dyDescent="0.25">
      <c r="A20" s="127" t="str">
        <f>'[1](標單)詳細價目表'!A18</f>
        <v>伍</v>
      </c>
      <c r="B20" s="128"/>
      <c r="C20" s="128"/>
      <c r="D20" s="129"/>
      <c r="E20" s="130" t="str">
        <f>'[1](標單)詳細價目表'!B18</f>
        <v>營造綜合保險費</v>
      </c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2"/>
      <c r="U20" s="133" t="str">
        <f>'[1](標單)詳細價目表'!C18</f>
        <v>式</v>
      </c>
      <c r="V20" s="134"/>
      <c r="W20" s="134"/>
      <c r="X20" s="135"/>
      <c r="Y20" s="136">
        <f>'[1](標單)詳細價目表'!D18</f>
        <v>1</v>
      </c>
      <c r="Z20" s="137"/>
      <c r="AA20" s="137"/>
      <c r="AB20" s="137"/>
      <c r="AC20" s="137"/>
      <c r="AD20" s="138"/>
      <c r="AE20" s="139">
        <f>'[1](標單)詳細價目表'!E18</f>
        <v>1321</v>
      </c>
      <c r="AF20" s="139"/>
      <c r="AG20" s="139"/>
      <c r="AH20" s="139"/>
      <c r="AI20" s="139"/>
      <c r="AJ20" s="139"/>
      <c r="AK20" s="136">
        <v>1</v>
      </c>
      <c r="AL20" s="137"/>
      <c r="AM20" s="137"/>
      <c r="AN20" s="137"/>
      <c r="AO20" s="137"/>
      <c r="AP20" s="138"/>
      <c r="AQ20" s="143">
        <f t="shared" si="8"/>
        <v>1321</v>
      </c>
      <c r="AR20" s="144"/>
      <c r="AS20" s="144"/>
      <c r="AT20" s="144"/>
      <c r="AU20" s="144"/>
      <c r="AV20" s="145"/>
      <c r="AW20" s="136">
        <f t="shared" si="9"/>
        <v>1</v>
      </c>
      <c r="AX20" s="137"/>
      <c r="AY20" s="137"/>
      <c r="AZ20" s="137"/>
      <c r="BA20" s="137"/>
      <c r="BB20" s="138"/>
      <c r="BC20" s="136">
        <f t="shared" si="10"/>
        <v>1321</v>
      </c>
      <c r="BD20" s="137"/>
      <c r="BE20" s="137"/>
      <c r="BF20" s="137"/>
      <c r="BG20" s="137"/>
      <c r="BH20" s="146"/>
      <c r="BI20" s="18">
        <f t="shared" ref="BI20:BI21" si="11">Y20*AE20</f>
        <v>1321</v>
      </c>
    </row>
    <row r="21" spans="1:69" s="19" customFormat="1" ht="21.95" customHeight="1" x14ac:dyDescent="0.25">
      <c r="A21" s="127" t="str">
        <f>'[1](標單)詳細價目表'!A19</f>
        <v>陸</v>
      </c>
      <c r="B21" s="128"/>
      <c r="C21" s="128"/>
      <c r="D21" s="129"/>
      <c r="E21" s="130" t="str">
        <f>'[1](標單)詳細價目表'!B19</f>
        <v>營業稅（(壹~伍)*5％）</v>
      </c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2"/>
      <c r="U21" s="133" t="str">
        <f>'[1](標單)詳細價目表'!C19</f>
        <v>式</v>
      </c>
      <c r="V21" s="134"/>
      <c r="W21" s="134"/>
      <c r="X21" s="135"/>
      <c r="Y21" s="136">
        <f>'[1](標單)詳細價目表'!D19</f>
        <v>1</v>
      </c>
      <c r="Z21" s="137"/>
      <c r="AA21" s="137"/>
      <c r="AB21" s="137"/>
      <c r="AC21" s="137"/>
      <c r="AD21" s="138"/>
      <c r="AE21" s="139">
        <f>'[1](標單)詳細價目表'!E19</f>
        <v>24286</v>
      </c>
      <c r="AF21" s="139"/>
      <c r="AG21" s="139"/>
      <c r="AH21" s="139"/>
      <c r="AI21" s="139"/>
      <c r="AJ21" s="139"/>
      <c r="AK21" s="140">
        <v>1.7000000000000001E-2</v>
      </c>
      <c r="AL21" s="141"/>
      <c r="AM21" s="141"/>
      <c r="AN21" s="141"/>
      <c r="AO21" s="141"/>
      <c r="AP21" s="142"/>
      <c r="AQ21" s="143">
        <f t="shared" si="8"/>
        <v>412.86200000000002</v>
      </c>
      <c r="AR21" s="144"/>
      <c r="AS21" s="144"/>
      <c r="AT21" s="144"/>
      <c r="AU21" s="144"/>
      <c r="AV21" s="145"/>
      <c r="AW21" s="140">
        <f t="shared" si="9"/>
        <v>1.7000000000000001E-2</v>
      </c>
      <c r="AX21" s="141"/>
      <c r="AY21" s="141"/>
      <c r="AZ21" s="141"/>
      <c r="BA21" s="141"/>
      <c r="BB21" s="142"/>
      <c r="BC21" s="136">
        <f t="shared" si="10"/>
        <v>413</v>
      </c>
      <c r="BD21" s="137"/>
      <c r="BE21" s="137"/>
      <c r="BF21" s="137"/>
      <c r="BG21" s="137"/>
      <c r="BH21" s="146"/>
      <c r="BI21" s="18">
        <f t="shared" si="11"/>
        <v>24286</v>
      </c>
    </row>
    <row r="22" spans="1:69" ht="21.95" customHeight="1" x14ac:dyDescent="0.25">
      <c r="A22" s="111"/>
      <c r="B22" s="112"/>
      <c r="C22" s="112"/>
      <c r="D22" s="113"/>
      <c r="E22" s="114" t="s">
        <v>75</v>
      </c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6"/>
      <c r="U22" s="117"/>
      <c r="V22" s="118"/>
      <c r="W22" s="118"/>
      <c r="X22" s="119"/>
      <c r="Y22" s="120"/>
      <c r="Z22" s="121"/>
      <c r="AA22" s="121"/>
      <c r="AB22" s="121"/>
      <c r="AC22" s="121"/>
      <c r="AD22" s="122"/>
      <c r="AE22" s="123"/>
      <c r="AF22" s="124"/>
      <c r="AG22" s="124"/>
      <c r="AH22" s="124"/>
      <c r="AI22" s="124"/>
      <c r="AJ22" s="125"/>
      <c r="AK22" s="120"/>
      <c r="AL22" s="121"/>
      <c r="AM22" s="121"/>
      <c r="AN22" s="121"/>
      <c r="AO22" s="121"/>
      <c r="AP22" s="122"/>
      <c r="AQ22" s="123">
        <f>SUM(AQ8:AQ21)</f>
        <v>2482.4740000000002</v>
      </c>
      <c r="AR22" s="124"/>
      <c r="AS22" s="124"/>
      <c r="AT22" s="124"/>
      <c r="AU22" s="124"/>
      <c r="AV22" s="125"/>
      <c r="AW22" s="120"/>
      <c r="AX22" s="121"/>
      <c r="AY22" s="121"/>
      <c r="AZ22" s="121"/>
      <c r="BA22" s="121"/>
      <c r="BB22" s="122"/>
      <c r="BC22" s="120">
        <f>SUM(BC8:BC21)</f>
        <v>2483</v>
      </c>
      <c r="BD22" s="121"/>
      <c r="BE22" s="121"/>
      <c r="BF22" s="121"/>
      <c r="BG22" s="121"/>
      <c r="BH22" s="126"/>
      <c r="BI22" s="17">
        <f>SUM(BI6:BI21)</f>
        <v>510000</v>
      </c>
    </row>
    <row r="23" spans="1:69" ht="21.95" customHeight="1" x14ac:dyDescent="0.25">
      <c r="A23" s="101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3"/>
      <c r="AK23" s="104"/>
      <c r="AL23" s="105"/>
      <c r="AM23" s="105"/>
      <c r="AN23" s="105"/>
      <c r="AO23" s="105"/>
      <c r="AP23" s="106"/>
      <c r="AQ23" s="107"/>
      <c r="AR23" s="108"/>
      <c r="AS23" s="108"/>
      <c r="AT23" s="108"/>
      <c r="AU23" s="108"/>
      <c r="AV23" s="109"/>
      <c r="AW23" s="104"/>
      <c r="AX23" s="105"/>
      <c r="AY23" s="105"/>
      <c r="AZ23" s="105"/>
      <c r="BA23" s="105"/>
      <c r="BB23" s="106"/>
      <c r="BC23" s="104"/>
      <c r="BD23" s="105"/>
      <c r="BE23" s="105"/>
      <c r="BF23" s="105"/>
      <c r="BG23" s="105"/>
      <c r="BH23" s="110"/>
      <c r="BI23" s="15">
        <f>Y23*AE23</f>
        <v>0</v>
      </c>
    </row>
    <row r="24" spans="1:69" ht="21.95" customHeight="1" x14ac:dyDescent="0.25">
      <c r="A24" s="101" t="s">
        <v>11</v>
      </c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3"/>
      <c r="AK24" s="104"/>
      <c r="AL24" s="105"/>
      <c r="AM24" s="105"/>
      <c r="AN24" s="105"/>
      <c r="AO24" s="105"/>
      <c r="AP24" s="106"/>
      <c r="AQ24" s="107">
        <f>BC22/BI22</f>
        <v>4.8686274509803923E-3</v>
      </c>
      <c r="AR24" s="108"/>
      <c r="AS24" s="108"/>
      <c r="AT24" s="108"/>
      <c r="AU24" s="108"/>
      <c r="AV24" s="109"/>
      <c r="AW24" s="104"/>
      <c r="AX24" s="105"/>
      <c r="AY24" s="105"/>
      <c r="AZ24" s="105"/>
      <c r="BA24" s="105"/>
      <c r="BB24" s="106"/>
      <c r="BC24" s="104"/>
      <c r="BD24" s="105"/>
      <c r="BE24" s="105"/>
      <c r="BF24" s="105"/>
      <c r="BG24" s="105"/>
      <c r="BH24" s="110"/>
      <c r="BI24" s="15">
        <f>AQ24</f>
        <v>4.8686274509803923E-3</v>
      </c>
    </row>
    <row r="25" spans="1:69" ht="18.75" customHeight="1" x14ac:dyDescent="0.25">
      <c r="A25" s="90" t="s">
        <v>15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2"/>
      <c r="AE25" s="93" t="s">
        <v>14</v>
      </c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4"/>
    </row>
    <row r="26" spans="1:69" x14ac:dyDescent="0.25">
      <c r="A26" s="95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96"/>
      <c r="BH26" s="99"/>
    </row>
    <row r="27" spans="1:69" x14ac:dyDescent="0.25">
      <c r="A27" s="95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/>
      <c r="BG27" s="96"/>
      <c r="BH27" s="99"/>
    </row>
    <row r="28" spans="1:69" ht="17.25" thickBot="1" x14ac:dyDescent="0.3">
      <c r="A28" s="97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100"/>
    </row>
    <row r="29" spans="1:69" ht="27.75" x14ac:dyDescent="0.25">
      <c r="A29" s="182" t="s">
        <v>81</v>
      </c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182"/>
      <c r="AR29" s="182"/>
      <c r="AS29" s="182"/>
      <c r="AT29" s="182"/>
      <c r="AU29" s="182"/>
      <c r="AV29" s="182"/>
      <c r="AW29" s="182"/>
      <c r="AX29" s="182"/>
      <c r="AY29" s="182"/>
      <c r="AZ29" s="182"/>
      <c r="BA29" s="182"/>
      <c r="BB29" s="182"/>
      <c r="BC29" s="182"/>
      <c r="BD29" s="182"/>
      <c r="BE29" s="182"/>
      <c r="BF29" s="182"/>
      <c r="BG29" s="182"/>
      <c r="BH29" s="182"/>
    </row>
    <row r="30" spans="1:69" ht="27.75" x14ac:dyDescent="0.25">
      <c r="A30" s="183" t="s">
        <v>12</v>
      </c>
      <c r="B30" s="183"/>
      <c r="C30" s="183"/>
      <c r="D30" s="183"/>
      <c r="E30" s="183"/>
      <c r="F30" s="183"/>
      <c r="G30" s="183"/>
      <c r="H30" s="183"/>
      <c r="I30" s="183"/>
      <c r="J30" s="184" t="s">
        <v>85</v>
      </c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5"/>
      <c r="AU30" s="185"/>
      <c r="AV30" s="185"/>
      <c r="AW30" s="185"/>
      <c r="AX30" s="185"/>
      <c r="AY30" s="185"/>
      <c r="AZ30" s="185"/>
      <c r="BA30" s="185"/>
      <c r="BB30" s="185"/>
      <c r="BC30" s="185"/>
      <c r="BD30" s="185"/>
      <c r="BE30" s="185"/>
      <c r="BF30" s="185"/>
      <c r="BG30" s="185"/>
      <c r="BH30" s="185"/>
      <c r="BI30" s="185"/>
      <c r="BJ30" s="185"/>
      <c r="BK30" s="185"/>
      <c r="BL30" s="185"/>
      <c r="BM30" s="185"/>
      <c r="BN30" s="185"/>
      <c r="BO30" s="185"/>
      <c r="BP30" s="185"/>
      <c r="BQ30" s="185"/>
    </row>
    <row r="31" spans="1:69" ht="17.25" thickBot="1" x14ac:dyDescent="0.3">
      <c r="A31" s="186" t="s">
        <v>10</v>
      </c>
      <c r="B31" s="186"/>
      <c r="C31" s="186"/>
      <c r="D31" s="186"/>
      <c r="E31" s="186"/>
      <c r="F31" s="186"/>
      <c r="G31" s="186"/>
      <c r="H31" s="186"/>
      <c r="I31" s="187" t="s">
        <v>78</v>
      </c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  <c r="AA31" s="187"/>
      <c r="AB31" s="187"/>
      <c r="AC31" s="187"/>
      <c r="AD31" s="187"/>
      <c r="AE31" s="187"/>
      <c r="AF31" s="187"/>
      <c r="AG31" s="187"/>
      <c r="AH31" s="187"/>
      <c r="AI31" s="187"/>
      <c r="AJ31" s="187"/>
      <c r="AK31" s="187"/>
      <c r="AL31" s="187"/>
      <c r="AM31" s="187"/>
      <c r="AN31" s="187"/>
      <c r="AO31" s="188" t="s">
        <v>9</v>
      </c>
      <c r="AP31" s="188"/>
      <c r="AQ31" s="188"/>
      <c r="AR31" s="188"/>
      <c r="AS31" s="188"/>
      <c r="AT31" s="188"/>
      <c r="AU31" s="188"/>
      <c r="AV31" s="188"/>
      <c r="AW31" s="189">
        <f>AW3+1</f>
        <v>45911</v>
      </c>
      <c r="AX31" s="189"/>
      <c r="AY31" s="189"/>
      <c r="AZ31" s="189"/>
      <c r="BA31" s="189"/>
      <c r="BB31" s="189"/>
      <c r="BC31" s="189"/>
      <c r="BD31" s="189"/>
      <c r="BE31" s="189"/>
      <c r="BF31" s="189"/>
      <c r="BG31" s="189"/>
      <c r="BH31" s="189"/>
    </row>
    <row r="32" spans="1:69" ht="36" customHeight="1" x14ac:dyDescent="0.25">
      <c r="A32" s="180" t="s">
        <v>0</v>
      </c>
      <c r="B32" s="83"/>
      <c r="C32" s="83"/>
      <c r="D32" s="83"/>
      <c r="E32" s="83" t="s">
        <v>6</v>
      </c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 t="s">
        <v>7</v>
      </c>
      <c r="V32" s="83"/>
      <c r="W32" s="83"/>
      <c r="X32" s="83"/>
      <c r="Y32" s="181" t="s">
        <v>1</v>
      </c>
      <c r="Z32" s="181"/>
      <c r="AA32" s="181"/>
      <c r="AB32" s="181"/>
      <c r="AC32" s="181"/>
      <c r="AD32" s="181"/>
      <c r="AE32" s="83" t="s">
        <v>8</v>
      </c>
      <c r="AF32" s="83"/>
      <c r="AG32" s="83"/>
      <c r="AH32" s="83"/>
      <c r="AI32" s="83"/>
      <c r="AJ32" s="83"/>
      <c r="AK32" s="181" t="s">
        <v>2</v>
      </c>
      <c r="AL32" s="181"/>
      <c r="AM32" s="181"/>
      <c r="AN32" s="181"/>
      <c r="AO32" s="181"/>
      <c r="AP32" s="181"/>
      <c r="AQ32" s="84" t="s">
        <v>3</v>
      </c>
      <c r="AR32" s="84"/>
      <c r="AS32" s="84"/>
      <c r="AT32" s="84"/>
      <c r="AU32" s="84"/>
      <c r="AV32" s="84"/>
      <c r="AW32" s="181" t="s">
        <v>4</v>
      </c>
      <c r="AX32" s="181"/>
      <c r="AY32" s="181"/>
      <c r="AZ32" s="181"/>
      <c r="BA32" s="181"/>
      <c r="BB32" s="181"/>
      <c r="BC32" s="84" t="s">
        <v>5</v>
      </c>
      <c r="BD32" s="84"/>
      <c r="BE32" s="84"/>
      <c r="BF32" s="84"/>
      <c r="BG32" s="84"/>
      <c r="BH32" s="85"/>
      <c r="BI32" s="1"/>
    </row>
    <row r="33" spans="1:61" ht="21.95" customHeight="1" x14ac:dyDescent="0.25">
      <c r="A33" s="150" t="str">
        <f t="shared" ref="A33:E33" si="12">A5</f>
        <v>壹</v>
      </c>
      <c r="B33" s="151"/>
      <c r="C33" s="151"/>
      <c r="D33" s="152"/>
      <c r="E33" s="175" t="str">
        <f t="shared" si="12"/>
        <v>直接工程費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7"/>
      <c r="U33" s="117"/>
      <c r="V33" s="118"/>
      <c r="W33" s="118"/>
      <c r="X33" s="119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78"/>
      <c r="AU33" s="178"/>
      <c r="AV33" s="178"/>
      <c r="AW33" s="178"/>
      <c r="AX33" s="178"/>
      <c r="AY33" s="178"/>
      <c r="AZ33" s="178"/>
      <c r="BA33" s="178"/>
      <c r="BB33" s="178"/>
      <c r="BC33" s="178"/>
      <c r="BD33" s="178"/>
      <c r="BE33" s="178"/>
      <c r="BF33" s="178"/>
      <c r="BG33" s="178"/>
      <c r="BH33" s="179"/>
      <c r="BI33" s="3">
        <f t="shared" ref="BI33:BI49" si="13">Y33*AE33</f>
        <v>0</v>
      </c>
    </row>
    <row r="34" spans="1:61" s="19" customFormat="1" ht="21.95" customHeight="1" x14ac:dyDescent="0.25">
      <c r="A34" s="127">
        <f t="shared" ref="A34:E34" si="14">A6</f>
        <v>1</v>
      </c>
      <c r="B34" s="128"/>
      <c r="C34" s="128"/>
      <c r="D34" s="129"/>
      <c r="E34" s="170" t="str">
        <f t="shared" si="14"/>
        <v>工程告示牌與職安衛告示牌(租用)</v>
      </c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2"/>
      <c r="U34" s="133" t="str">
        <f t="shared" ref="U34:AE34" si="15">U6</f>
        <v>式</v>
      </c>
      <c r="V34" s="134"/>
      <c r="W34" s="134"/>
      <c r="X34" s="135"/>
      <c r="Y34" s="136">
        <f t="shared" si="15"/>
        <v>1</v>
      </c>
      <c r="Z34" s="137"/>
      <c r="AA34" s="137"/>
      <c r="AB34" s="137"/>
      <c r="AC34" s="137"/>
      <c r="AD34" s="138"/>
      <c r="AE34" s="139">
        <f t="shared" si="15"/>
        <v>5000</v>
      </c>
      <c r="AF34" s="139"/>
      <c r="AG34" s="139"/>
      <c r="AH34" s="139"/>
      <c r="AI34" s="139"/>
      <c r="AJ34" s="139"/>
      <c r="AK34" s="173">
        <v>0</v>
      </c>
      <c r="AL34" s="173"/>
      <c r="AM34" s="173"/>
      <c r="AN34" s="173"/>
      <c r="AO34" s="173"/>
      <c r="AP34" s="173"/>
      <c r="AQ34" s="139">
        <f t="shared" ref="AQ34:AQ35" si="16">AK34*AE34</f>
        <v>0</v>
      </c>
      <c r="AR34" s="139"/>
      <c r="AS34" s="139"/>
      <c r="AT34" s="139"/>
      <c r="AU34" s="139"/>
      <c r="AV34" s="139"/>
      <c r="AW34" s="173">
        <f t="shared" ref="AW34:AW44" si="17">AW6+AK34</f>
        <v>1</v>
      </c>
      <c r="AX34" s="173"/>
      <c r="AY34" s="173"/>
      <c r="AZ34" s="173"/>
      <c r="BA34" s="173"/>
      <c r="BB34" s="173"/>
      <c r="BC34" s="173">
        <f t="shared" ref="BC34:BC35" si="18">ROUND(AW34*AE34,0)</f>
        <v>5000</v>
      </c>
      <c r="BD34" s="173"/>
      <c r="BE34" s="173"/>
      <c r="BF34" s="173"/>
      <c r="BG34" s="173"/>
      <c r="BH34" s="174"/>
      <c r="BI34" s="18">
        <f t="shared" si="13"/>
        <v>5000</v>
      </c>
    </row>
    <row r="35" spans="1:61" s="19" customFormat="1" ht="21.95" customHeight="1" x14ac:dyDescent="0.25">
      <c r="A35" s="127">
        <f t="shared" ref="A35:E35" si="19">A7</f>
        <v>2</v>
      </c>
      <c r="B35" s="128"/>
      <c r="C35" s="128"/>
      <c r="D35" s="129"/>
      <c r="E35" s="170" t="str">
        <f t="shared" si="19"/>
        <v>三角錐與連桿(租用)</v>
      </c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2"/>
      <c r="U35" s="133" t="str">
        <f t="shared" ref="U35:AE35" si="20">U7</f>
        <v>M</v>
      </c>
      <c r="V35" s="134"/>
      <c r="W35" s="134"/>
      <c r="X35" s="135"/>
      <c r="Y35" s="147">
        <f t="shared" si="20"/>
        <v>86</v>
      </c>
      <c r="Z35" s="148"/>
      <c r="AA35" s="148"/>
      <c r="AB35" s="148"/>
      <c r="AC35" s="148"/>
      <c r="AD35" s="149"/>
      <c r="AE35" s="139">
        <f t="shared" si="20"/>
        <v>60</v>
      </c>
      <c r="AF35" s="139"/>
      <c r="AG35" s="139"/>
      <c r="AH35" s="139"/>
      <c r="AI35" s="139"/>
      <c r="AJ35" s="139"/>
      <c r="AK35" s="173">
        <v>86</v>
      </c>
      <c r="AL35" s="173"/>
      <c r="AM35" s="173"/>
      <c r="AN35" s="173"/>
      <c r="AO35" s="173"/>
      <c r="AP35" s="173"/>
      <c r="AQ35" s="139">
        <f t="shared" si="16"/>
        <v>5160</v>
      </c>
      <c r="AR35" s="139"/>
      <c r="AS35" s="139"/>
      <c r="AT35" s="139"/>
      <c r="AU35" s="139"/>
      <c r="AV35" s="139"/>
      <c r="AW35" s="173">
        <f t="shared" si="17"/>
        <v>86</v>
      </c>
      <c r="AX35" s="173"/>
      <c r="AY35" s="173"/>
      <c r="AZ35" s="173"/>
      <c r="BA35" s="173"/>
      <c r="BB35" s="173"/>
      <c r="BC35" s="173">
        <f t="shared" si="18"/>
        <v>5160</v>
      </c>
      <c r="BD35" s="173"/>
      <c r="BE35" s="173"/>
      <c r="BF35" s="173"/>
      <c r="BG35" s="173"/>
      <c r="BH35" s="174"/>
      <c r="BI35" s="18">
        <f t="shared" si="13"/>
        <v>5160</v>
      </c>
    </row>
    <row r="36" spans="1:61" s="19" customFormat="1" ht="33" customHeight="1" x14ac:dyDescent="0.25">
      <c r="A36" s="150">
        <f t="shared" ref="A36:E36" si="21">A8</f>
        <v>3</v>
      </c>
      <c r="B36" s="151"/>
      <c r="C36" s="151"/>
      <c r="D36" s="152"/>
      <c r="E36" s="175" t="str">
        <f t="shared" si="21"/>
        <v>施工動線開闢及損害復原；測量與放樣</v>
      </c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7"/>
      <c r="U36" s="117" t="str">
        <f t="shared" ref="U36:AE36" si="22">U8</f>
        <v>式</v>
      </c>
      <c r="V36" s="118"/>
      <c r="W36" s="118"/>
      <c r="X36" s="119"/>
      <c r="Y36" s="156">
        <f t="shared" si="22"/>
        <v>1</v>
      </c>
      <c r="Z36" s="157"/>
      <c r="AA36" s="157"/>
      <c r="AB36" s="157"/>
      <c r="AC36" s="157"/>
      <c r="AD36" s="158"/>
      <c r="AE36" s="159">
        <f t="shared" si="22"/>
        <v>4000</v>
      </c>
      <c r="AF36" s="159"/>
      <c r="AG36" s="159"/>
      <c r="AH36" s="159"/>
      <c r="AI36" s="159"/>
      <c r="AJ36" s="159"/>
      <c r="AK36" s="167">
        <v>0.5</v>
      </c>
      <c r="AL36" s="167"/>
      <c r="AM36" s="167"/>
      <c r="AN36" s="167"/>
      <c r="AO36" s="167"/>
      <c r="AP36" s="167"/>
      <c r="AQ36" s="159">
        <f>AK36*AE36</f>
        <v>2000</v>
      </c>
      <c r="AR36" s="159"/>
      <c r="AS36" s="159"/>
      <c r="AT36" s="159"/>
      <c r="AU36" s="159"/>
      <c r="AV36" s="159"/>
      <c r="AW36" s="167">
        <f t="shared" si="17"/>
        <v>0.5</v>
      </c>
      <c r="AX36" s="167"/>
      <c r="AY36" s="167"/>
      <c r="AZ36" s="167"/>
      <c r="BA36" s="167"/>
      <c r="BB36" s="167"/>
      <c r="BC36" s="167">
        <f>ROUND(AW36*AE36,0)</f>
        <v>2000</v>
      </c>
      <c r="BD36" s="167"/>
      <c r="BE36" s="167"/>
      <c r="BF36" s="167"/>
      <c r="BG36" s="167"/>
      <c r="BH36" s="168"/>
      <c r="BI36" s="18">
        <f t="shared" si="13"/>
        <v>4000</v>
      </c>
    </row>
    <row r="37" spans="1:61" ht="54" customHeight="1" x14ac:dyDescent="0.25">
      <c r="A37" s="150">
        <f t="shared" ref="A37:E37" si="23">A9</f>
        <v>4</v>
      </c>
      <c r="B37" s="151"/>
      <c r="C37" s="151"/>
      <c r="D37" s="152"/>
      <c r="E37" s="175" t="str">
        <f t="shared" si="23"/>
        <v>切割打除清運校舍與教室出入口地坪以及司令台階梯平台(含合法清運證明)</v>
      </c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7"/>
      <c r="U37" s="117" t="str">
        <f t="shared" ref="U37:AE37" si="24">U9</f>
        <v>式</v>
      </c>
      <c r="V37" s="118"/>
      <c r="W37" s="118"/>
      <c r="X37" s="119"/>
      <c r="Y37" s="156">
        <f t="shared" si="24"/>
        <v>1</v>
      </c>
      <c r="Z37" s="157"/>
      <c r="AA37" s="157"/>
      <c r="AB37" s="157"/>
      <c r="AC37" s="157"/>
      <c r="AD37" s="158"/>
      <c r="AE37" s="159">
        <f t="shared" si="24"/>
        <v>52817</v>
      </c>
      <c r="AF37" s="159"/>
      <c r="AG37" s="159"/>
      <c r="AH37" s="159"/>
      <c r="AI37" s="159"/>
      <c r="AJ37" s="159"/>
      <c r="AK37" s="167">
        <v>0</v>
      </c>
      <c r="AL37" s="167"/>
      <c r="AM37" s="167"/>
      <c r="AN37" s="167"/>
      <c r="AO37" s="167"/>
      <c r="AP37" s="167"/>
      <c r="AQ37" s="159">
        <f t="shared" ref="AQ37:AQ40" si="25">AK37*AE37</f>
        <v>0</v>
      </c>
      <c r="AR37" s="159"/>
      <c r="AS37" s="159"/>
      <c r="AT37" s="159"/>
      <c r="AU37" s="159"/>
      <c r="AV37" s="159"/>
      <c r="AW37" s="167">
        <f t="shared" si="17"/>
        <v>0</v>
      </c>
      <c r="AX37" s="167"/>
      <c r="AY37" s="167"/>
      <c r="AZ37" s="167"/>
      <c r="BA37" s="167"/>
      <c r="BB37" s="167"/>
      <c r="BC37" s="167">
        <f t="shared" ref="BC37:BC40" si="26">ROUND(AW37*AE37,0)</f>
        <v>0</v>
      </c>
      <c r="BD37" s="167"/>
      <c r="BE37" s="167"/>
      <c r="BF37" s="167"/>
      <c r="BG37" s="167"/>
      <c r="BH37" s="168"/>
      <c r="BI37" s="16">
        <f t="shared" si="13"/>
        <v>52817</v>
      </c>
    </row>
    <row r="38" spans="1:61" ht="20.25" customHeight="1" x14ac:dyDescent="0.25">
      <c r="A38" s="150">
        <f t="shared" ref="A38:E38" si="27">A10</f>
        <v>5</v>
      </c>
      <c r="B38" s="151"/>
      <c r="C38" s="151"/>
      <c r="D38" s="152"/>
      <c r="E38" s="153" t="str">
        <f t="shared" si="27"/>
        <v>校舍出入口施做斜坡順平高差</v>
      </c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5"/>
      <c r="U38" s="117" t="str">
        <f t="shared" ref="U38:AE38" si="28">U10</f>
        <v>M2</v>
      </c>
      <c r="V38" s="118"/>
      <c r="W38" s="118"/>
      <c r="X38" s="119"/>
      <c r="Y38" s="160">
        <f t="shared" si="28"/>
        <v>15</v>
      </c>
      <c r="Z38" s="161"/>
      <c r="AA38" s="161"/>
      <c r="AB38" s="161"/>
      <c r="AC38" s="161"/>
      <c r="AD38" s="162"/>
      <c r="AE38" s="169">
        <f t="shared" si="28"/>
        <v>600</v>
      </c>
      <c r="AF38" s="169"/>
      <c r="AG38" s="169"/>
      <c r="AH38" s="169"/>
      <c r="AI38" s="169"/>
      <c r="AJ38" s="169"/>
      <c r="AK38" s="167">
        <v>0</v>
      </c>
      <c r="AL38" s="167"/>
      <c r="AM38" s="167"/>
      <c r="AN38" s="167"/>
      <c r="AO38" s="167"/>
      <c r="AP38" s="167"/>
      <c r="AQ38" s="159">
        <f t="shared" si="25"/>
        <v>0</v>
      </c>
      <c r="AR38" s="159"/>
      <c r="AS38" s="159"/>
      <c r="AT38" s="159"/>
      <c r="AU38" s="159"/>
      <c r="AV38" s="159"/>
      <c r="AW38" s="167">
        <f t="shared" si="17"/>
        <v>0</v>
      </c>
      <c r="AX38" s="167"/>
      <c r="AY38" s="167"/>
      <c r="AZ38" s="167"/>
      <c r="BA38" s="167"/>
      <c r="BB38" s="167"/>
      <c r="BC38" s="167">
        <f t="shared" si="26"/>
        <v>0</v>
      </c>
      <c r="BD38" s="167"/>
      <c r="BE38" s="167"/>
      <c r="BF38" s="167"/>
      <c r="BG38" s="167"/>
      <c r="BH38" s="168"/>
      <c r="BI38" s="3">
        <f t="shared" si="13"/>
        <v>9000</v>
      </c>
    </row>
    <row r="39" spans="1:61" ht="50.25" customHeight="1" x14ac:dyDescent="0.25">
      <c r="A39" s="150">
        <f t="shared" ref="A39:E39" si="29">A11</f>
        <v>6</v>
      </c>
      <c r="B39" s="151"/>
      <c r="C39" s="151"/>
      <c r="D39" s="152"/>
      <c r="E39" s="153" t="str">
        <f t="shared" si="29"/>
        <v>開挖整地，新設無障礙RC坡道，牆面與地坪粉刷整平(連工帶料，責任施工)</v>
      </c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5"/>
      <c r="U39" s="117" t="str">
        <f t="shared" ref="U39:AE39" si="30">U11</f>
        <v>式</v>
      </c>
      <c r="V39" s="118"/>
      <c r="W39" s="118"/>
      <c r="X39" s="119"/>
      <c r="Y39" s="160">
        <f t="shared" si="30"/>
        <v>1</v>
      </c>
      <c r="Z39" s="161"/>
      <c r="AA39" s="161"/>
      <c r="AB39" s="161"/>
      <c r="AC39" s="161"/>
      <c r="AD39" s="162"/>
      <c r="AE39" s="159">
        <f t="shared" si="30"/>
        <v>153000</v>
      </c>
      <c r="AF39" s="159"/>
      <c r="AG39" s="159"/>
      <c r="AH39" s="159"/>
      <c r="AI39" s="159"/>
      <c r="AJ39" s="159"/>
      <c r="AK39" s="167">
        <v>0</v>
      </c>
      <c r="AL39" s="167"/>
      <c r="AM39" s="167"/>
      <c r="AN39" s="167"/>
      <c r="AO39" s="167"/>
      <c r="AP39" s="167"/>
      <c r="AQ39" s="159">
        <f t="shared" si="25"/>
        <v>0</v>
      </c>
      <c r="AR39" s="159"/>
      <c r="AS39" s="159"/>
      <c r="AT39" s="159"/>
      <c r="AU39" s="159"/>
      <c r="AV39" s="159"/>
      <c r="AW39" s="167">
        <f t="shared" si="17"/>
        <v>0</v>
      </c>
      <c r="AX39" s="167"/>
      <c r="AY39" s="167"/>
      <c r="AZ39" s="167"/>
      <c r="BA39" s="167"/>
      <c r="BB39" s="167"/>
      <c r="BC39" s="167">
        <f t="shared" si="26"/>
        <v>0</v>
      </c>
      <c r="BD39" s="167"/>
      <c r="BE39" s="167"/>
      <c r="BF39" s="167"/>
      <c r="BG39" s="167"/>
      <c r="BH39" s="168"/>
      <c r="BI39" s="3">
        <f t="shared" si="13"/>
        <v>153000</v>
      </c>
    </row>
    <row r="40" spans="1:61" ht="32.450000000000003" customHeight="1" x14ac:dyDescent="0.25">
      <c r="A40" s="150">
        <f t="shared" ref="A40:E40" si="31">A12</f>
        <v>7</v>
      </c>
      <c r="B40" s="151"/>
      <c r="C40" s="151"/>
      <c r="D40" s="152"/>
      <c r="E40" s="153" t="str">
        <f t="shared" si="31"/>
        <v>施做抿石子(1~2分AK石，抿石子專用泥)</v>
      </c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5"/>
      <c r="U40" s="117" t="str">
        <f t="shared" ref="U40:AE40" si="32">U12</f>
        <v>M2</v>
      </c>
      <c r="V40" s="118"/>
      <c r="W40" s="118"/>
      <c r="X40" s="119"/>
      <c r="Y40" s="160">
        <f t="shared" si="32"/>
        <v>38</v>
      </c>
      <c r="Z40" s="161"/>
      <c r="AA40" s="161"/>
      <c r="AB40" s="161"/>
      <c r="AC40" s="161"/>
      <c r="AD40" s="162"/>
      <c r="AE40" s="159">
        <f t="shared" si="32"/>
        <v>1460</v>
      </c>
      <c r="AF40" s="159"/>
      <c r="AG40" s="159"/>
      <c r="AH40" s="159"/>
      <c r="AI40" s="159"/>
      <c r="AJ40" s="159"/>
      <c r="AK40" s="167">
        <v>0</v>
      </c>
      <c r="AL40" s="167"/>
      <c r="AM40" s="167"/>
      <c r="AN40" s="167"/>
      <c r="AO40" s="167"/>
      <c r="AP40" s="167"/>
      <c r="AQ40" s="159">
        <f t="shared" si="25"/>
        <v>0</v>
      </c>
      <c r="AR40" s="159"/>
      <c r="AS40" s="159"/>
      <c r="AT40" s="159"/>
      <c r="AU40" s="159"/>
      <c r="AV40" s="159"/>
      <c r="AW40" s="167">
        <f t="shared" si="17"/>
        <v>0</v>
      </c>
      <c r="AX40" s="167"/>
      <c r="AY40" s="167"/>
      <c r="AZ40" s="167"/>
      <c r="BA40" s="167"/>
      <c r="BB40" s="167"/>
      <c r="BC40" s="167">
        <f t="shared" si="26"/>
        <v>0</v>
      </c>
      <c r="BD40" s="167"/>
      <c r="BE40" s="167"/>
      <c r="BF40" s="167"/>
      <c r="BG40" s="167"/>
      <c r="BH40" s="168"/>
      <c r="BI40" s="3">
        <f t="shared" si="13"/>
        <v>55480</v>
      </c>
    </row>
    <row r="41" spans="1:61" ht="21" customHeight="1" x14ac:dyDescent="0.25">
      <c r="A41" s="150">
        <f t="shared" ref="A41:E41" si="33">A13</f>
        <v>8</v>
      </c>
      <c r="B41" s="151"/>
      <c r="C41" s="151"/>
      <c r="D41" s="152"/>
      <c r="E41" s="153" t="str">
        <f t="shared" si="33"/>
        <v>無障礙坡道地坪拉毛</v>
      </c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5"/>
      <c r="U41" s="117" t="str">
        <f t="shared" ref="U41:AE41" si="34">U13</f>
        <v>M2</v>
      </c>
      <c r="V41" s="118"/>
      <c r="W41" s="118"/>
      <c r="X41" s="119"/>
      <c r="Y41" s="160">
        <f t="shared" si="34"/>
        <v>33</v>
      </c>
      <c r="Z41" s="161"/>
      <c r="AA41" s="161"/>
      <c r="AB41" s="161"/>
      <c r="AC41" s="161"/>
      <c r="AD41" s="162"/>
      <c r="AE41" s="159">
        <f t="shared" si="34"/>
        <v>100</v>
      </c>
      <c r="AF41" s="159"/>
      <c r="AG41" s="159"/>
      <c r="AH41" s="159"/>
      <c r="AI41" s="159"/>
      <c r="AJ41" s="159"/>
      <c r="AK41" s="167"/>
      <c r="AL41" s="167"/>
      <c r="AM41" s="167"/>
      <c r="AN41" s="167"/>
      <c r="AO41" s="167"/>
      <c r="AP41" s="167"/>
      <c r="AQ41" s="159"/>
      <c r="AR41" s="159"/>
      <c r="AS41" s="159"/>
      <c r="AT41" s="159"/>
      <c r="AU41" s="159"/>
      <c r="AV41" s="159"/>
      <c r="AW41" s="167">
        <f t="shared" si="17"/>
        <v>0</v>
      </c>
      <c r="AX41" s="167"/>
      <c r="AY41" s="167"/>
      <c r="AZ41" s="167"/>
      <c r="BA41" s="167"/>
      <c r="BB41" s="167"/>
      <c r="BC41" s="167"/>
      <c r="BD41" s="167"/>
      <c r="BE41" s="167"/>
      <c r="BF41" s="167"/>
      <c r="BG41" s="167"/>
      <c r="BH41" s="168"/>
      <c r="BI41" s="3">
        <f t="shared" si="13"/>
        <v>3300</v>
      </c>
    </row>
    <row r="42" spans="1:61" s="19" customFormat="1" ht="34.5" customHeight="1" x14ac:dyDescent="0.25">
      <c r="A42" s="127">
        <f t="shared" ref="A42:E42" si="35">A14</f>
        <v>9</v>
      </c>
      <c r="B42" s="128"/>
      <c r="C42" s="128"/>
      <c r="D42" s="129"/>
      <c r="E42" s="153" t="str">
        <f t="shared" si="35"/>
        <v>司令台既有樓梯面清潔，刷止滑漆(一底二度)</v>
      </c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5"/>
      <c r="U42" s="133" t="str">
        <f t="shared" ref="U42:AE42" si="36">U14</f>
        <v>式</v>
      </c>
      <c r="V42" s="134"/>
      <c r="W42" s="134"/>
      <c r="X42" s="135"/>
      <c r="Y42" s="160">
        <f t="shared" si="36"/>
        <v>1</v>
      </c>
      <c r="Z42" s="161"/>
      <c r="AA42" s="161"/>
      <c r="AB42" s="161"/>
      <c r="AC42" s="161"/>
      <c r="AD42" s="162"/>
      <c r="AE42" s="159">
        <f t="shared" si="36"/>
        <v>3000</v>
      </c>
      <c r="AF42" s="159"/>
      <c r="AG42" s="159"/>
      <c r="AH42" s="159"/>
      <c r="AI42" s="159"/>
      <c r="AJ42" s="159"/>
      <c r="AK42" s="167">
        <v>0</v>
      </c>
      <c r="AL42" s="167"/>
      <c r="AM42" s="167"/>
      <c r="AN42" s="167"/>
      <c r="AO42" s="167"/>
      <c r="AP42" s="167"/>
      <c r="AQ42" s="159">
        <f t="shared" ref="AQ42:AQ49" si="37">AK42*AE42</f>
        <v>0</v>
      </c>
      <c r="AR42" s="159"/>
      <c r="AS42" s="159"/>
      <c r="AT42" s="159"/>
      <c r="AU42" s="159"/>
      <c r="AV42" s="159"/>
      <c r="AW42" s="167">
        <f t="shared" si="17"/>
        <v>0</v>
      </c>
      <c r="AX42" s="167"/>
      <c r="AY42" s="167"/>
      <c r="AZ42" s="167"/>
      <c r="BA42" s="167"/>
      <c r="BB42" s="167"/>
      <c r="BC42" s="167">
        <f t="shared" ref="BC42:BC44" si="38">ROUND(AW42*AE42,0)</f>
        <v>0</v>
      </c>
      <c r="BD42" s="167"/>
      <c r="BE42" s="167"/>
      <c r="BF42" s="167"/>
      <c r="BG42" s="167"/>
      <c r="BH42" s="168"/>
      <c r="BI42" s="18">
        <f t="shared" si="13"/>
        <v>3000</v>
      </c>
    </row>
    <row r="43" spans="1:61" ht="35.25" customHeight="1" x14ac:dyDescent="0.25">
      <c r="A43" s="150">
        <f t="shared" ref="A43:E43" si="39">A15</f>
        <v>10</v>
      </c>
      <c r="B43" s="151"/>
      <c r="C43" s="151"/>
      <c r="D43" s="152"/>
      <c r="E43" s="153" t="str">
        <f t="shared" si="39"/>
        <v>校舍、教室及司令台坡道出入口配置無線押扣與插電式緊急求救鈴</v>
      </c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5"/>
      <c r="U43" s="117" t="str">
        <f t="shared" ref="U43:AE43" si="40">U15</f>
        <v>組</v>
      </c>
      <c r="V43" s="118"/>
      <c r="W43" s="118"/>
      <c r="X43" s="119"/>
      <c r="Y43" s="160">
        <f t="shared" si="40"/>
        <v>8</v>
      </c>
      <c r="Z43" s="161"/>
      <c r="AA43" s="161"/>
      <c r="AB43" s="161"/>
      <c r="AC43" s="161"/>
      <c r="AD43" s="162"/>
      <c r="AE43" s="159">
        <f t="shared" si="40"/>
        <v>700</v>
      </c>
      <c r="AF43" s="159"/>
      <c r="AG43" s="159"/>
      <c r="AH43" s="159"/>
      <c r="AI43" s="159"/>
      <c r="AJ43" s="159"/>
      <c r="AK43" s="167">
        <v>0</v>
      </c>
      <c r="AL43" s="167"/>
      <c r="AM43" s="167"/>
      <c r="AN43" s="167"/>
      <c r="AO43" s="167"/>
      <c r="AP43" s="167"/>
      <c r="AQ43" s="159">
        <f t="shared" si="37"/>
        <v>0</v>
      </c>
      <c r="AR43" s="159"/>
      <c r="AS43" s="159"/>
      <c r="AT43" s="159"/>
      <c r="AU43" s="159"/>
      <c r="AV43" s="159"/>
      <c r="AW43" s="167">
        <f t="shared" si="17"/>
        <v>0</v>
      </c>
      <c r="AX43" s="167"/>
      <c r="AY43" s="167"/>
      <c r="AZ43" s="167"/>
      <c r="BA43" s="167"/>
      <c r="BB43" s="167"/>
      <c r="BC43" s="167">
        <f t="shared" si="38"/>
        <v>0</v>
      </c>
      <c r="BD43" s="167"/>
      <c r="BE43" s="167"/>
      <c r="BF43" s="167"/>
      <c r="BG43" s="167"/>
      <c r="BH43" s="168"/>
      <c r="BI43" s="3">
        <f t="shared" si="13"/>
        <v>5600</v>
      </c>
    </row>
    <row r="44" spans="1:61" ht="36.75" customHeight="1" x14ac:dyDescent="0.25">
      <c r="A44" s="150">
        <f t="shared" ref="A44:E44" si="41">A16</f>
        <v>11</v>
      </c>
      <c r="B44" s="151"/>
      <c r="C44" s="151"/>
      <c r="D44" s="152"/>
      <c r="E44" s="153" t="str">
        <f t="shared" si="41"/>
        <v>司令台周圍及無障礙坡道安裝不鏽鋼扶手(連工帶料)</v>
      </c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5"/>
      <c r="U44" s="117" t="str">
        <f t="shared" ref="U44:AE44" si="42">U16</f>
        <v>M</v>
      </c>
      <c r="V44" s="118"/>
      <c r="W44" s="118"/>
      <c r="X44" s="119"/>
      <c r="Y44" s="156">
        <f t="shared" si="42"/>
        <v>48</v>
      </c>
      <c r="Z44" s="157"/>
      <c r="AA44" s="157"/>
      <c r="AB44" s="157"/>
      <c r="AC44" s="157"/>
      <c r="AD44" s="158"/>
      <c r="AE44" s="159">
        <f t="shared" si="42"/>
        <v>3000</v>
      </c>
      <c r="AF44" s="159"/>
      <c r="AG44" s="159"/>
      <c r="AH44" s="159"/>
      <c r="AI44" s="159"/>
      <c r="AJ44" s="159"/>
      <c r="AK44" s="160">
        <v>0</v>
      </c>
      <c r="AL44" s="161"/>
      <c r="AM44" s="161"/>
      <c r="AN44" s="161"/>
      <c r="AO44" s="161"/>
      <c r="AP44" s="162"/>
      <c r="AQ44" s="163">
        <f t="shared" si="37"/>
        <v>0</v>
      </c>
      <c r="AR44" s="164"/>
      <c r="AS44" s="164"/>
      <c r="AT44" s="164"/>
      <c r="AU44" s="164"/>
      <c r="AV44" s="165"/>
      <c r="AW44" s="160">
        <f t="shared" si="17"/>
        <v>0</v>
      </c>
      <c r="AX44" s="161"/>
      <c r="AY44" s="161"/>
      <c r="AZ44" s="161"/>
      <c r="BA44" s="161"/>
      <c r="BB44" s="162"/>
      <c r="BC44" s="160">
        <f t="shared" si="38"/>
        <v>0</v>
      </c>
      <c r="BD44" s="161"/>
      <c r="BE44" s="161"/>
      <c r="BF44" s="161"/>
      <c r="BG44" s="161"/>
      <c r="BH44" s="166"/>
      <c r="BI44" s="3">
        <f t="shared" si="13"/>
        <v>144000</v>
      </c>
    </row>
    <row r="45" spans="1:61" s="19" customFormat="1" ht="35.25" customHeight="1" x14ac:dyDescent="0.25">
      <c r="A45" s="127" t="str">
        <f t="shared" ref="A45:E45" si="43">A17</f>
        <v>貳</v>
      </c>
      <c r="B45" s="128"/>
      <c r="C45" s="128"/>
      <c r="D45" s="129"/>
      <c r="E45" s="130" t="str">
        <f t="shared" si="43"/>
        <v>職業安全衛生管理費與施工環境保護與清潔（壹*2%）</v>
      </c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2"/>
      <c r="U45" s="133" t="str">
        <f t="shared" ref="U45:AE45" si="44">U17</f>
        <v>式</v>
      </c>
      <c r="V45" s="134"/>
      <c r="W45" s="134"/>
      <c r="X45" s="135"/>
      <c r="Y45" s="136">
        <f t="shared" si="44"/>
        <v>1</v>
      </c>
      <c r="Z45" s="137"/>
      <c r="AA45" s="137"/>
      <c r="AB45" s="137"/>
      <c r="AC45" s="137"/>
      <c r="AD45" s="138"/>
      <c r="AE45" s="139">
        <f t="shared" si="44"/>
        <v>8807</v>
      </c>
      <c r="AF45" s="139"/>
      <c r="AG45" s="139"/>
      <c r="AH45" s="139"/>
      <c r="AI45" s="139"/>
      <c r="AJ45" s="139"/>
      <c r="AK45" s="140">
        <v>1.7000000000000001E-2</v>
      </c>
      <c r="AL45" s="141"/>
      <c r="AM45" s="141"/>
      <c r="AN45" s="141"/>
      <c r="AO45" s="141"/>
      <c r="AP45" s="142"/>
      <c r="AQ45" s="143">
        <f t="shared" si="37"/>
        <v>149.71900000000002</v>
      </c>
      <c r="AR45" s="144"/>
      <c r="AS45" s="144"/>
      <c r="AT45" s="144"/>
      <c r="AU45" s="144"/>
      <c r="AV45" s="145"/>
      <c r="AW45" s="140">
        <f>AW17+AK45</f>
        <v>3.4000000000000002E-2</v>
      </c>
      <c r="AX45" s="141"/>
      <c r="AY45" s="141"/>
      <c r="AZ45" s="141"/>
      <c r="BA45" s="141"/>
      <c r="BB45" s="142"/>
      <c r="BC45" s="136">
        <f>ROUND(AW45*AE45,0)</f>
        <v>299</v>
      </c>
      <c r="BD45" s="137"/>
      <c r="BE45" s="137"/>
      <c r="BF45" s="137"/>
      <c r="BG45" s="137"/>
      <c r="BH45" s="146"/>
      <c r="BI45" s="18">
        <f t="shared" si="13"/>
        <v>8807</v>
      </c>
    </row>
    <row r="46" spans="1:61" s="19" customFormat="1" ht="21.95" customHeight="1" x14ac:dyDescent="0.25">
      <c r="A46" s="127" t="str">
        <f t="shared" ref="A46:E46" si="45">A18</f>
        <v>參</v>
      </c>
      <c r="B46" s="128"/>
      <c r="C46" s="128"/>
      <c r="D46" s="129"/>
      <c r="E46" s="130" t="str">
        <f t="shared" si="45"/>
        <v>公共工程品質管制作業費（壹*1%）</v>
      </c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2"/>
      <c r="U46" s="133" t="str">
        <f t="shared" ref="U46:AE46" si="46">U18</f>
        <v>式</v>
      </c>
      <c r="V46" s="134"/>
      <c r="W46" s="134"/>
      <c r="X46" s="135"/>
      <c r="Y46" s="147">
        <f t="shared" si="46"/>
        <v>1</v>
      </c>
      <c r="Z46" s="148"/>
      <c r="AA46" s="148"/>
      <c r="AB46" s="148"/>
      <c r="AC46" s="148"/>
      <c r="AD46" s="149"/>
      <c r="AE46" s="139">
        <f t="shared" si="46"/>
        <v>4404</v>
      </c>
      <c r="AF46" s="139"/>
      <c r="AG46" s="139"/>
      <c r="AH46" s="139"/>
      <c r="AI46" s="139"/>
      <c r="AJ46" s="139"/>
      <c r="AK46" s="140">
        <v>1.7000000000000001E-2</v>
      </c>
      <c r="AL46" s="141"/>
      <c r="AM46" s="141"/>
      <c r="AN46" s="141"/>
      <c r="AO46" s="141"/>
      <c r="AP46" s="142"/>
      <c r="AQ46" s="143">
        <f t="shared" si="37"/>
        <v>74.868000000000009</v>
      </c>
      <c r="AR46" s="144"/>
      <c r="AS46" s="144"/>
      <c r="AT46" s="144"/>
      <c r="AU46" s="144"/>
      <c r="AV46" s="145"/>
      <c r="AW46" s="140">
        <f t="shared" ref="AW46:AW49" si="47">AW18+AK46</f>
        <v>3.4000000000000002E-2</v>
      </c>
      <c r="AX46" s="141"/>
      <c r="AY46" s="141"/>
      <c r="AZ46" s="141"/>
      <c r="BA46" s="141"/>
      <c r="BB46" s="142"/>
      <c r="BC46" s="136">
        <f t="shared" ref="BC46:BC49" si="48">ROUND(AW46*AE46,0)</f>
        <v>150</v>
      </c>
      <c r="BD46" s="137"/>
      <c r="BE46" s="137"/>
      <c r="BF46" s="137"/>
      <c r="BG46" s="137"/>
      <c r="BH46" s="146"/>
      <c r="BI46" s="18">
        <f t="shared" si="13"/>
        <v>4404</v>
      </c>
    </row>
    <row r="47" spans="1:61" s="19" customFormat="1" ht="21.95" customHeight="1" x14ac:dyDescent="0.25">
      <c r="A47" s="127" t="str">
        <f t="shared" ref="A47:E47" si="49">A19</f>
        <v>肆</v>
      </c>
      <c r="B47" s="128"/>
      <c r="C47" s="128"/>
      <c r="D47" s="129"/>
      <c r="E47" s="130" t="str">
        <f t="shared" si="49"/>
        <v>包商管理及利潤費（約壹*7%）</v>
      </c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2"/>
      <c r="U47" s="133" t="str">
        <f t="shared" ref="U47:AE47" si="50">U19</f>
        <v>式</v>
      </c>
      <c r="V47" s="134"/>
      <c r="W47" s="134"/>
      <c r="X47" s="135"/>
      <c r="Y47" s="147">
        <f t="shared" si="50"/>
        <v>1</v>
      </c>
      <c r="Z47" s="148"/>
      <c r="AA47" s="148"/>
      <c r="AB47" s="148"/>
      <c r="AC47" s="148"/>
      <c r="AD47" s="149"/>
      <c r="AE47" s="139">
        <f t="shared" si="50"/>
        <v>30825</v>
      </c>
      <c r="AF47" s="139"/>
      <c r="AG47" s="139"/>
      <c r="AH47" s="139"/>
      <c r="AI47" s="139"/>
      <c r="AJ47" s="139"/>
      <c r="AK47" s="140">
        <v>1.7000000000000001E-2</v>
      </c>
      <c r="AL47" s="141"/>
      <c r="AM47" s="141"/>
      <c r="AN47" s="141"/>
      <c r="AO47" s="141"/>
      <c r="AP47" s="142"/>
      <c r="AQ47" s="143">
        <f t="shared" si="37"/>
        <v>524.02500000000009</v>
      </c>
      <c r="AR47" s="144"/>
      <c r="AS47" s="144"/>
      <c r="AT47" s="144"/>
      <c r="AU47" s="144"/>
      <c r="AV47" s="145"/>
      <c r="AW47" s="140">
        <f t="shared" si="47"/>
        <v>3.4000000000000002E-2</v>
      </c>
      <c r="AX47" s="141"/>
      <c r="AY47" s="141"/>
      <c r="AZ47" s="141"/>
      <c r="BA47" s="141"/>
      <c r="BB47" s="142"/>
      <c r="BC47" s="136">
        <f t="shared" si="48"/>
        <v>1048</v>
      </c>
      <c r="BD47" s="137"/>
      <c r="BE47" s="137"/>
      <c r="BF47" s="137"/>
      <c r="BG47" s="137"/>
      <c r="BH47" s="146"/>
      <c r="BI47" s="18">
        <f t="shared" si="13"/>
        <v>30825</v>
      </c>
    </row>
    <row r="48" spans="1:61" s="19" customFormat="1" ht="21.95" customHeight="1" x14ac:dyDescent="0.25">
      <c r="A48" s="127" t="str">
        <f t="shared" ref="A48:E48" si="51">A20</f>
        <v>伍</v>
      </c>
      <c r="B48" s="128"/>
      <c r="C48" s="128"/>
      <c r="D48" s="129"/>
      <c r="E48" s="130" t="str">
        <f t="shared" si="51"/>
        <v>營造綜合保險費</v>
      </c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2"/>
      <c r="U48" s="133" t="str">
        <f t="shared" ref="U48:AE48" si="52">U20</f>
        <v>式</v>
      </c>
      <c r="V48" s="134"/>
      <c r="W48" s="134"/>
      <c r="X48" s="135"/>
      <c r="Y48" s="136">
        <f t="shared" si="52"/>
        <v>1</v>
      </c>
      <c r="Z48" s="137"/>
      <c r="AA48" s="137"/>
      <c r="AB48" s="137"/>
      <c r="AC48" s="137"/>
      <c r="AD48" s="138"/>
      <c r="AE48" s="139">
        <f t="shared" si="52"/>
        <v>1321</v>
      </c>
      <c r="AF48" s="139"/>
      <c r="AG48" s="139"/>
      <c r="AH48" s="139"/>
      <c r="AI48" s="139"/>
      <c r="AJ48" s="139"/>
      <c r="AK48" s="136">
        <v>0</v>
      </c>
      <c r="AL48" s="137"/>
      <c r="AM48" s="137"/>
      <c r="AN48" s="137"/>
      <c r="AO48" s="137"/>
      <c r="AP48" s="138"/>
      <c r="AQ48" s="143">
        <f t="shared" si="37"/>
        <v>0</v>
      </c>
      <c r="AR48" s="144"/>
      <c r="AS48" s="144"/>
      <c r="AT48" s="144"/>
      <c r="AU48" s="144"/>
      <c r="AV48" s="145"/>
      <c r="AW48" s="136">
        <f t="shared" si="47"/>
        <v>1</v>
      </c>
      <c r="AX48" s="137"/>
      <c r="AY48" s="137"/>
      <c r="AZ48" s="137"/>
      <c r="BA48" s="137"/>
      <c r="BB48" s="138"/>
      <c r="BC48" s="136">
        <f t="shared" si="48"/>
        <v>1321</v>
      </c>
      <c r="BD48" s="137"/>
      <c r="BE48" s="137"/>
      <c r="BF48" s="137"/>
      <c r="BG48" s="137"/>
      <c r="BH48" s="146"/>
      <c r="BI48" s="18">
        <f t="shared" si="13"/>
        <v>1321</v>
      </c>
    </row>
    <row r="49" spans="1:69" s="19" customFormat="1" ht="21.95" customHeight="1" x14ac:dyDescent="0.25">
      <c r="A49" s="127" t="str">
        <f t="shared" ref="A49:E49" si="53">A21</f>
        <v>陸</v>
      </c>
      <c r="B49" s="128"/>
      <c r="C49" s="128"/>
      <c r="D49" s="129"/>
      <c r="E49" s="130" t="str">
        <f t="shared" si="53"/>
        <v>營業稅（(壹~伍)*5％）</v>
      </c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2"/>
      <c r="U49" s="133" t="str">
        <f t="shared" ref="U49:AE49" si="54">U21</f>
        <v>式</v>
      </c>
      <c r="V49" s="134"/>
      <c r="W49" s="134"/>
      <c r="X49" s="135"/>
      <c r="Y49" s="136">
        <f t="shared" si="54"/>
        <v>1</v>
      </c>
      <c r="Z49" s="137"/>
      <c r="AA49" s="137"/>
      <c r="AB49" s="137"/>
      <c r="AC49" s="137"/>
      <c r="AD49" s="138"/>
      <c r="AE49" s="139">
        <f t="shared" si="54"/>
        <v>24286</v>
      </c>
      <c r="AF49" s="139"/>
      <c r="AG49" s="139"/>
      <c r="AH49" s="139"/>
      <c r="AI49" s="139"/>
      <c r="AJ49" s="139"/>
      <c r="AK49" s="140">
        <v>1.7000000000000001E-2</v>
      </c>
      <c r="AL49" s="141"/>
      <c r="AM49" s="141"/>
      <c r="AN49" s="141"/>
      <c r="AO49" s="141"/>
      <c r="AP49" s="142"/>
      <c r="AQ49" s="143">
        <f t="shared" si="37"/>
        <v>412.86200000000002</v>
      </c>
      <c r="AR49" s="144"/>
      <c r="AS49" s="144"/>
      <c r="AT49" s="144"/>
      <c r="AU49" s="144"/>
      <c r="AV49" s="145"/>
      <c r="AW49" s="140">
        <f t="shared" si="47"/>
        <v>3.4000000000000002E-2</v>
      </c>
      <c r="AX49" s="141"/>
      <c r="AY49" s="141"/>
      <c r="AZ49" s="141"/>
      <c r="BA49" s="141"/>
      <c r="BB49" s="142"/>
      <c r="BC49" s="136">
        <f t="shared" si="48"/>
        <v>826</v>
      </c>
      <c r="BD49" s="137"/>
      <c r="BE49" s="137"/>
      <c r="BF49" s="137"/>
      <c r="BG49" s="137"/>
      <c r="BH49" s="146"/>
      <c r="BI49" s="18">
        <f t="shared" si="13"/>
        <v>24286</v>
      </c>
    </row>
    <row r="50" spans="1:69" ht="21.95" customHeight="1" x14ac:dyDescent="0.25">
      <c r="A50" s="111"/>
      <c r="B50" s="112"/>
      <c r="C50" s="112"/>
      <c r="D50" s="113"/>
      <c r="E50" s="114" t="s">
        <v>75</v>
      </c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6"/>
      <c r="U50" s="117"/>
      <c r="V50" s="118"/>
      <c r="W50" s="118"/>
      <c r="X50" s="119"/>
      <c r="Y50" s="120"/>
      <c r="Z50" s="121"/>
      <c r="AA50" s="121"/>
      <c r="AB50" s="121"/>
      <c r="AC50" s="121"/>
      <c r="AD50" s="122"/>
      <c r="AE50" s="123"/>
      <c r="AF50" s="124"/>
      <c r="AG50" s="124"/>
      <c r="AH50" s="124"/>
      <c r="AI50" s="124"/>
      <c r="AJ50" s="125"/>
      <c r="AK50" s="120"/>
      <c r="AL50" s="121"/>
      <c r="AM50" s="121"/>
      <c r="AN50" s="121"/>
      <c r="AO50" s="121"/>
      <c r="AP50" s="122"/>
      <c r="AQ50" s="123">
        <f>SUM(AQ36:AQ49)</f>
        <v>3161.4740000000002</v>
      </c>
      <c r="AR50" s="124"/>
      <c r="AS50" s="124"/>
      <c r="AT50" s="124"/>
      <c r="AU50" s="124"/>
      <c r="AV50" s="125"/>
      <c r="AW50" s="120"/>
      <c r="AX50" s="121"/>
      <c r="AY50" s="121"/>
      <c r="AZ50" s="121"/>
      <c r="BA50" s="121"/>
      <c r="BB50" s="122"/>
      <c r="BC50" s="120">
        <f>SUM(BC36:BC49)</f>
        <v>5644</v>
      </c>
      <c r="BD50" s="121"/>
      <c r="BE50" s="121"/>
      <c r="BF50" s="121"/>
      <c r="BG50" s="121"/>
      <c r="BH50" s="126"/>
      <c r="BI50" s="17">
        <f>SUM(BI34:BI49)</f>
        <v>510000</v>
      </c>
    </row>
    <row r="51" spans="1:69" ht="21.95" customHeight="1" x14ac:dyDescent="0.25">
      <c r="A51" s="101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3"/>
      <c r="AK51" s="104"/>
      <c r="AL51" s="105"/>
      <c r="AM51" s="105"/>
      <c r="AN51" s="105"/>
      <c r="AO51" s="105"/>
      <c r="AP51" s="106"/>
      <c r="AQ51" s="107"/>
      <c r="AR51" s="108"/>
      <c r="AS51" s="108"/>
      <c r="AT51" s="108"/>
      <c r="AU51" s="108"/>
      <c r="AV51" s="109"/>
      <c r="AW51" s="104"/>
      <c r="AX51" s="105"/>
      <c r="AY51" s="105"/>
      <c r="AZ51" s="105"/>
      <c r="BA51" s="105"/>
      <c r="BB51" s="106"/>
      <c r="BC51" s="104"/>
      <c r="BD51" s="105"/>
      <c r="BE51" s="105"/>
      <c r="BF51" s="105"/>
      <c r="BG51" s="105"/>
      <c r="BH51" s="110"/>
      <c r="BI51" s="15">
        <f>Y51*AE51</f>
        <v>0</v>
      </c>
    </row>
    <row r="52" spans="1:69" ht="21.95" customHeight="1" x14ac:dyDescent="0.25">
      <c r="A52" s="101" t="s">
        <v>11</v>
      </c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3"/>
      <c r="AK52" s="104"/>
      <c r="AL52" s="105"/>
      <c r="AM52" s="105"/>
      <c r="AN52" s="105"/>
      <c r="AO52" s="105"/>
      <c r="AP52" s="106"/>
      <c r="AQ52" s="107">
        <f>BC50/BI50</f>
        <v>1.1066666666666667E-2</v>
      </c>
      <c r="AR52" s="108"/>
      <c r="AS52" s="108"/>
      <c r="AT52" s="108"/>
      <c r="AU52" s="108"/>
      <c r="AV52" s="109"/>
      <c r="AW52" s="104"/>
      <c r="AX52" s="105"/>
      <c r="AY52" s="105"/>
      <c r="AZ52" s="105"/>
      <c r="BA52" s="105"/>
      <c r="BB52" s="106"/>
      <c r="BC52" s="104"/>
      <c r="BD52" s="105"/>
      <c r="BE52" s="105"/>
      <c r="BF52" s="105"/>
      <c r="BG52" s="105"/>
      <c r="BH52" s="110"/>
      <c r="BI52" s="15">
        <f>AQ52</f>
        <v>1.1066666666666667E-2</v>
      </c>
    </row>
    <row r="53" spans="1:69" ht="18.75" customHeight="1" x14ac:dyDescent="0.25">
      <c r="A53" s="90" t="s">
        <v>15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2"/>
      <c r="AE53" s="93" t="s">
        <v>14</v>
      </c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4"/>
    </row>
    <row r="54" spans="1:69" x14ac:dyDescent="0.25">
      <c r="A54" s="95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  <c r="BH54" s="99"/>
    </row>
    <row r="55" spans="1:69" x14ac:dyDescent="0.25">
      <c r="A55" s="95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  <c r="BH55" s="99"/>
    </row>
    <row r="56" spans="1:69" ht="17.25" thickBot="1" x14ac:dyDescent="0.3">
      <c r="A56" s="97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100"/>
    </row>
    <row r="57" spans="1:69" ht="27.75" x14ac:dyDescent="0.25">
      <c r="A57" s="182" t="s">
        <v>81</v>
      </c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182"/>
      <c r="AR57" s="182"/>
      <c r="AS57" s="182"/>
      <c r="AT57" s="182"/>
      <c r="AU57" s="182"/>
      <c r="AV57" s="182"/>
      <c r="AW57" s="182"/>
      <c r="AX57" s="182"/>
      <c r="AY57" s="182"/>
      <c r="AZ57" s="182"/>
      <c r="BA57" s="182"/>
      <c r="BB57" s="182"/>
      <c r="BC57" s="182"/>
      <c r="BD57" s="182"/>
      <c r="BE57" s="182"/>
      <c r="BF57" s="182"/>
      <c r="BG57" s="182"/>
      <c r="BH57" s="182"/>
    </row>
    <row r="58" spans="1:69" ht="27.75" x14ac:dyDescent="0.25">
      <c r="A58" s="183" t="s">
        <v>12</v>
      </c>
      <c r="B58" s="183"/>
      <c r="C58" s="183"/>
      <c r="D58" s="183"/>
      <c r="E58" s="183"/>
      <c r="F58" s="183"/>
      <c r="G58" s="183"/>
      <c r="H58" s="183"/>
      <c r="I58" s="183"/>
      <c r="J58" s="184" t="s">
        <v>85</v>
      </c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185"/>
      <c r="AL58" s="185"/>
      <c r="AM58" s="185"/>
      <c r="AN58" s="185"/>
      <c r="AO58" s="185"/>
      <c r="AP58" s="185"/>
      <c r="AQ58" s="185"/>
      <c r="AR58" s="185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85"/>
      <c r="BG58" s="185"/>
      <c r="BH58" s="185"/>
      <c r="BI58" s="185"/>
      <c r="BJ58" s="185"/>
      <c r="BK58" s="185"/>
      <c r="BL58" s="185"/>
      <c r="BM58" s="185"/>
      <c r="BN58" s="185"/>
      <c r="BO58" s="185"/>
      <c r="BP58" s="185"/>
      <c r="BQ58" s="185"/>
    </row>
    <row r="59" spans="1:69" ht="17.25" thickBot="1" x14ac:dyDescent="0.3">
      <c r="A59" s="186" t="s">
        <v>10</v>
      </c>
      <c r="B59" s="186"/>
      <c r="C59" s="186"/>
      <c r="D59" s="186"/>
      <c r="E59" s="186"/>
      <c r="F59" s="186"/>
      <c r="G59" s="186"/>
      <c r="H59" s="186"/>
      <c r="I59" s="187" t="s">
        <v>78</v>
      </c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  <c r="AG59" s="187"/>
      <c r="AH59" s="187"/>
      <c r="AI59" s="187"/>
      <c r="AJ59" s="187"/>
      <c r="AK59" s="187"/>
      <c r="AL59" s="187"/>
      <c r="AM59" s="187"/>
      <c r="AN59" s="187"/>
      <c r="AO59" s="188" t="s">
        <v>9</v>
      </c>
      <c r="AP59" s="188"/>
      <c r="AQ59" s="188"/>
      <c r="AR59" s="188"/>
      <c r="AS59" s="188"/>
      <c r="AT59" s="188"/>
      <c r="AU59" s="188"/>
      <c r="AV59" s="188"/>
      <c r="AW59" s="189">
        <f>AW31+1</f>
        <v>45912</v>
      </c>
      <c r="AX59" s="189"/>
      <c r="AY59" s="189"/>
      <c r="AZ59" s="189"/>
      <c r="BA59" s="189"/>
      <c r="BB59" s="189"/>
      <c r="BC59" s="189"/>
      <c r="BD59" s="189"/>
      <c r="BE59" s="189"/>
      <c r="BF59" s="189"/>
      <c r="BG59" s="189"/>
      <c r="BH59" s="189"/>
    </row>
    <row r="60" spans="1:69" ht="36" customHeight="1" x14ac:dyDescent="0.25">
      <c r="A60" s="180" t="s">
        <v>0</v>
      </c>
      <c r="B60" s="83"/>
      <c r="C60" s="83"/>
      <c r="D60" s="83"/>
      <c r="E60" s="83" t="s">
        <v>6</v>
      </c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 t="s">
        <v>7</v>
      </c>
      <c r="V60" s="83"/>
      <c r="W60" s="83"/>
      <c r="X60" s="83"/>
      <c r="Y60" s="181" t="s">
        <v>1</v>
      </c>
      <c r="Z60" s="181"/>
      <c r="AA60" s="181"/>
      <c r="AB60" s="181"/>
      <c r="AC60" s="181"/>
      <c r="AD60" s="181"/>
      <c r="AE60" s="83" t="s">
        <v>8</v>
      </c>
      <c r="AF60" s="83"/>
      <c r="AG60" s="83"/>
      <c r="AH60" s="83"/>
      <c r="AI60" s="83"/>
      <c r="AJ60" s="83"/>
      <c r="AK60" s="181" t="s">
        <v>2</v>
      </c>
      <c r="AL60" s="181"/>
      <c r="AM60" s="181"/>
      <c r="AN60" s="181"/>
      <c r="AO60" s="181"/>
      <c r="AP60" s="181"/>
      <c r="AQ60" s="84" t="s">
        <v>3</v>
      </c>
      <c r="AR60" s="84"/>
      <c r="AS60" s="84"/>
      <c r="AT60" s="84"/>
      <c r="AU60" s="84"/>
      <c r="AV60" s="84"/>
      <c r="AW60" s="181" t="s">
        <v>4</v>
      </c>
      <c r="AX60" s="181"/>
      <c r="AY60" s="181"/>
      <c r="AZ60" s="181"/>
      <c r="BA60" s="181"/>
      <c r="BB60" s="181"/>
      <c r="BC60" s="84" t="s">
        <v>5</v>
      </c>
      <c r="BD60" s="84"/>
      <c r="BE60" s="84"/>
      <c r="BF60" s="84"/>
      <c r="BG60" s="84"/>
      <c r="BH60" s="85"/>
      <c r="BI60" s="1"/>
    </row>
    <row r="61" spans="1:69" ht="21.95" customHeight="1" x14ac:dyDescent="0.25">
      <c r="A61" s="150" t="str">
        <f t="shared" ref="A61" si="55">A33</f>
        <v>壹</v>
      </c>
      <c r="B61" s="151"/>
      <c r="C61" s="151"/>
      <c r="D61" s="152"/>
      <c r="E61" s="175" t="str">
        <f t="shared" ref="E61" si="56">E33</f>
        <v>直接工程費</v>
      </c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7"/>
      <c r="U61" s="117"/>
      <c r="V61" s="118"/>
      <c r="W61" s="118"/>
      <c r="X61" s="119"/>
      <c r="Y61" s="178"/>
      <c r="Z61" s="178"/>
      <c r="AA61" s="178"/>
      <c r="AB61" s="178"/>
      <c r="AC61" s="178"/>
      <c r="AD61" s="178"/>
      <c r="AE61" s="178"/>
      <c r="AF61" s="178"/>
      <c r="AG61" s="178"/>
      <c r="AH61" s="178"/>
      <c r="AI61" s="178"/>
      <c r="AJ61" s="178"/>
      <c r="AK61" s="178"/>
      <c r="AL61" s="178"/>
      <c r="AM61" s="178"/>
      <c r="AN61" s="178"/>
      <c r="AO61" s="178"/>
      <c r="AP61" s="178"/>
      <c r="AQ61" s="178"/>
      <c r="AR61" s="178"/>
      <c r="AS61" s="178"/>
      <c r="AT61" s="178"/>
      <c r="AU61" s="178"/>
      <c r="AV61" s="178"/>
      <c r="AW61" s="178"/>
      <c r="AX61" s="178"/>
      <c r="AY61" s="178"/>
      <c r="AZ61" s="178"/>
      <c r="BA61" s="178"/>
      <c r="BB61" s="178"/>
      <c r="BC61" s="178"/>
      <c r="BD61" s="178"/>
      <c r="BE61" s="178"/>
      <c r="BF61" s="178"/>
      <c r="BG61" s="178"/>
      <c r="BH61" s="179"/>
      <c r="BI61" s="3">
        <f t="shared" ref="BI61:BI77" si="57">Y61*AE61</f>
        <v>0</v>
      </c>
    </row>
    <row r="62" spans="1:69" s="19" customFormat="1" ht="21.95" customHeight="1" x14ac:dyDescent="0.25">
      <c r="A62" s="127">
        <f t="shared" ref="A62" si="58">A34</f>
        <v>1</v>
      </c>
      <c r="B62" s="128"/>
      <c r="C62" s="128"/>
      <c r="D62" s="129"/>
      <c r="E62" s="170" t="str">
        <f t="shared" ref="E62" si="59">E34</f>
        <v>工程告示牌與職安衛告示牌(租用)</v>
      </c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2"/>
      <c r="U62" s="133" t="str">
        <f t="shared" ref="U62" si="60">U34</f>
        <v>式</v>
      </c>
      <c r="V62" s="134"/>
      <c r="W62" s="134"/>
      <c r="X62" s="135"/>
      <c r="Y62" s="136">
        <f t="shared" ref="Y62" si="61">Y34</f>
        <v>1</v>
      </c>
      <c r="Z62" s="137"/>
      <c r="AA62" s="137"/>
      <c r="AB62" s="137"/>
      <c r="AC62" s="137"/>
      <c r="AD62" s="138"/>
      <c r="AE62" s="139">
        <f t="shared" ref="AE62" si="62">AE34</f>
        <v>5000</v>
      </c>
      <c r="AF62" s="139"/>
      <c r="AG62" s="139"/>
      <c r="AH62" s="139"/>
      <c r="AI62" s="139"/>
      <c r="AJ62" s="139"/>
      <c r="AK62" s="173">
        <v>0</v>
      </c>
      <c r="AL62" s="173"/>
      <c r="AM62" s="173"/>
      <c r="AN62" s="173"/>
      <c r="AO62" s="173"/>
      <c r="AP62" s="173"/>
      <c r="AQ62" s="139">
        <f t="shared" ref="AQ62:AQ63" si="63">AK62*AE62</f>
        <v>0</v>
      </c>
      <c r="AR62" s="139"/>
      <c r="AS62" s="139"/>
      <c r="AT62" s="139"/>
      <c r="AU62" s="139"/>
      <c r="AV62" s="139"/>
      <c r="AW62" s="173">
        <f t="shared" ref="AW62:AW72" si="64">AW34+AK62</f>
        <v>1</v>
      </c>
      <c r="AX62" s="173"/>
      <c r="AY62" s="173"/>
      <c r="AZ62" s="173"/>
      <c r="BA62" s="173"/>
      <c r="BB62" s="173"/>
      <c r="BC62" s="173">
        <f t="shared" ref="BC62:BC63" si="65">ROUND(AW62*AE62,0)</f>
        <v>5000</v>
      </c>
      <c r="BD62" s="173"/>
      <c r="BE62" s="173"/>
      <c r="BF62" s="173"/>
      <c r="BG62" s="173"/>
      <c r="BH62" s="174"/>
      <c r="BI62" s="18">
        <f t="shared" si="57"/>
        <v>5000</v>
      </c>
    </row>
    <row r="63" spans="1:69" s="19" customFormat="1" ht="21.95" customHeight="1" x14ac:dyDescent="0.25">
      <c r="A63" s="127">
        <f t="shared" ref="A63" si="66">A35</f>
        <v>2</v>
      </c>
      <c r="B63" s="128"/>
      <c r="C63" s="128"/>
      <c r="D63" s="129"/>
      <c r="E63" s="170" t="str">
        <f t="shared" ref="E63" si="67">E35</f>
        <v>三角錐與連桿(租用)</v>
      </c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2"/>
      <c r="U63" s="133" t="str">
        <f t="shared" ref="U63" si="68">U35</f>
        <v>M</v>
      </c>
      <c r="V63" s="134"/>
      <c r="W63" s="134"/>
      <c r="X63" s="135"/>
      <c r="Y63" s="147">
        <f t="shared" ref="Y63" si="69">Y35</f>
        <v>86</v>
      </c>
      <c r="Z63" s="148"/>
      <c r="AA63" s="148"/>
      <c r="AB63" s="148"/>
      <c r="AC63" s="148"/>
      <c r="AD63" s="149"/>
      <c r="AE63" s="139">
        <f t="shared" ref="AE63" si="70">AE35</f>
        <v>60</v>
      </c>
      <c r="AF63" s="139"/>
      <c r="AG63" s="139"/>
      <c r="AH63" s="139"/>
      <c r="AI63" s="139"/>
      <c r="AJ63" s="139"/>
      <c r="AK63" s="173">
        <v>0</v>
      </c>
      <c r="AL63" s="173"/>
      <c r="AM63" s="173"/>
      <c r="AN63" s="173"/>
      <c r="AO63" s="173"/>
      <c r="AP63" s="173"/>
      <c r="AQ63" s="139">
        <f t="shared" si="63"/>
        <v>0</v>
      </c>
      <c r="AR63" s="139"/>
      <c r="AS63" s="139"/>
      <c r="AT63" s="139"/>
      <c r="AU63" s="139"/>
      <c r="AV63" s="139"/>
      <c r="AW63" s="173">
        <f t="shared" si="64"/>
        <v>86</v>
      </c>
      <c r="AX63" s="173"/>
      <c r="AY63" s="173"/>
      <c r="AZ63" s="173"/>
      <c r="BA63" s="173"/>
      <c r="BB63" s="173"/>
      <c r="BC63" s="173">
        <f t="shared" si="65"/>
        <v>5160</v>
      </c>
      <c r="BD63" s="173"/>
      <c r="BE63" s="173"/>
      <c r="BF63" s="173"/>
      <c r="BG63" s="173"/>
      <c r="BH63" s="174"/>
      <c r="BI63" s="18">
        <f t="shared" si="57"/>
        <v>5160</v>
      </c>
    </row>
    <row r="64" spans="1:69" s="19" customFormat="1" ht="33" customHeight="1" x14ac:dyDescent="0.25">
      <c r="A64" s="150">
        <f t="shared" ref="A64" si="71">A36</f>
        <v>3</v>
      </c>
      <c r="B64" s="151"/>
      <c r="C64" s="151"/>
      <c r="D64" s="152"/>
      <c r="E64" s="175" t="str">
        <f t="shared" ref="E64" si="72">E36</f>
        <v>施工動線開闢及損害復原；測量與放樣</v>
      </c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7"/>
      <c r="U64" s="117" t="str">
        <f t="shared" ref="U64" si="73">U36</f>
        <v>式</v>
      </c>
      <c r="V64" s="118"/>
      <c r="W64" s="118"/>
      <c r="X64" s="119"/>
      <c r="Y64" s="156">
        <f t="shared" ref="Y64" si="74">Y36</f>
        <v>1</v>
      </c>
      <c r="Z64" s="157"/>
      <c r="AA64" s="157"/>
      <c r="AB64" s="157"/>
      <c r="AC64" s="157"/>
      <c r="AD64" s="158"/>
      <c r="AE64" s="159">
        <f t="shared" ref="AE64" si="75">AE36</f>
        <v>4000</v>
      </c>
      <c r="AF64" s="159"/>
      <c r="AG64" s="159"/>
      <c r="AH64" s="159"/>
      <c r="AI64" s="159"/>
      <c r="AJ64" s="159"/>
      <c r="AK64" s="167">
        <v>0</v>
      </c>
      <c r="AL64" s="167"/>
      <c r="AM64" s="167"/>
      <c r="AN64" s="167"/>
      <c r="AO64" s="167"/>
      <c r="AP64" s="167"/>
      <c r="AQ64" s="159">
        <f>AK64*AE64</f>
        <v>0</v>
      </c>
      <c r="AR64" s="159"/>
      <c r="AS64" s="159"/>
      <c r="AT64" s="159"/>
      <c r="AU64" s="159"/>
      <c r="AV64" s="159"/>
      <c r="AW64" s="167">
        <f t="shared" si="64"/>
        <v>0.5</v>
      </c>
      <c r="AX64" s="167"/>
      <c r="AY64" s="167"/>
      <c r="AZ64" s="167"/>
      <c r="BA64" s="167"/>
      <c r="BB64" s="167"/>
      <c r="BC64" s="167">
        <f>ROUND(AW64*AE64,0)</f>
        <v>2000</v>
      </c>
      <c r="BD64" s="167"/>
      <c r="BE64" s="167"/>
      <c r="BF64" s="167"/>
      <c r="BG64" s="167"/>
      <c r="BH64" s="168"/>
      <c r="BI64" s="18">
        <f t="shared" si="57"/>
        <v>4000</v>
      </c>
    </row>
    <row r="65" spans="1:61" ht="54" customHeight="1" x14ac:dyDescent="0.25">
      <c r="A65" s="150">
        <f t="shared" ref="A65" si="76">A37</f>
        <v>4</v>
      </c>
      <c r="B65" s="151"/>
      <c r="C65" s="151"/>
      <c r="D65" s="152"/>
      <c r="E65" s="175" t="str">
        <f t="shared" ref="E65" si="77">E37</f>
        <v>切割打除清運校舍與教室出入口地坪以及司令台階梯平台(含合法清運證明)</v>
      </c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7"/>
      <c r="U65" s="117" t="str">
        <f t="shared" ref="U65" si="78">U37</f>
        <v>式</v>
      </c>
      <c r="V65" s="118"/>
      <c r="W65" s="118"/>
      <c r="X65" s="119"/>
      <c r="Y65" s="156">
        <f t="shared" ref="Y65" si="79">Y37</f>
        <v>1</v>
      </c>
      <c r="Z65" s="157"/>
      <c r="AA65" s="157"/>
      <c r="AB65" s="157"/>
      <c r="AC65" s="157"/>
      <c r="AD65" s="158"/>
      <c r="AE65" s="159">
        <f t="shared" ref="AE65" si="80">AE37</f>
        <v>52817</v>
      </c>
      <c r="AF65" s="159"/>
      <c r="AG65" s="159"/>
      <c r="AH65" s="159"/>
      <c r="AI65" s="159"/>
      <c r="AJ65" s="159"/>
      <c r="AK65" s="167">
        <v>0</v>
      </c>
      <c r="AL65" s="167"/>
      <c r="AM65" s="167"/>
      <c r="AN65" s="167"/>
      <c r="AO65" s="167"/>
      <c r="AP65" s="167"/>
      <c r="AQ65" s="159">
        <f t="shared" ref="AQ65:AQ68" si="81">AK65*AE65</f>
        <v>0</v>
      </c>
      <c r="AR65" s="159"/>
      <c r="AS65" s="159"/>
      <c r="AT65" s="159"/>
      <c r="AU65" s="159"/>
      <c r="AV65" s="159"/>
      <c r="AW65" s="167">
        <f t="shared" si="64"/>
        <v>0</v>
      </c>
      <c r="AX65" s="167"/>
      <c r="AY65" s="167"/>
      <c r="AZ65" s="167"/>
      <c r="BA65" s="167"/>
      <c r="BB65" s="167"/>
      <c r="BC65" s="167">
        <f t="shared" ref="BC65:BC68" si="82">ROUND(AW65*AE65,0)</f>
        <v>0</v>
      </c>
      <c r="BD65" s="167"/>
      <c r="BE65" s="167"/>
      <c r="BF65" s="167"/>
      <c r="BG65" s="167"/>
      <c r="BH65" s="168"/>
      <c r="BI65" s="16">
        <f t="shared" si="57"/>
        <v>52817</v>
      </c>
    </row>
    <row r="66" spans="1:61" ht="20.25" customHeight="1" x14ac:dyDescent="0.25">
      <c r="A66" s="150">
        <f t="shared" ref="A66" si="83">A38</f>
        <v>5</v>
      </c>
      <c r="B66" s="151"/>
      <c r="C66" s="151"/>
      <c r="D66" s="152"/>
      <c r="E66" s="153" t="str">
        <f t="shared" ref="E66" si="84">E38</f>
        <v>校舍出入口施做斜坡順平高差</v>
      </c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5"/>
      <c r="U66" s="117" t="str">
        <f t="shared" ref="U66" si="85">U38</f>
        <v>M2</v>
      </c>
      <c r="V66" s="118"/>
      <c r="W66" s="118"/>
      <c r="X66" s="119"/>
      <c r="Y66" s="160">
        <f t="shared" ref="Y66" si="86">Y38</f>
        <v>15</v>
      </c>
      <c r="Z66" s="161"/>
      <c r="AA66" s="161"/>
      <c r="AB66" s="161"/>
      <c r="AC66" s="161"/>
      <c r="AD66" s="162"/>
      <c r="AE66" s="169">
        <f t="shared" ref="AE66" si="87">AE38</f>
        <v>600</v>
      </c>
      <c r="AF66" s="169"/>
      <c r="AG66" s="169"/>
      <c r="AH66" s="169"/>
      <c r="AI66" s="169"/>
      <c r="AJ66" s="169"/>
      <c r="AK66" s="167">
        <v>0</v>
      </c>
      <c r="AL66" s="167"/>
      <c r="AM66" s="167"/>
      <c r="AN66" s="167"/>
      <c r="AO66" s="167"/>
      <c r="AP66" s="167"/>
      <c r="AQ66" s="159">
        <f t="shared" si="81"/>
        <v>0</v>
      </c>
      <c r="AR66" s="159"/>
      <c r="AS66" s="159"/>
      <c r="AT66" s="159"/>
      <c r="AU66" s="159"/>
      <c r="AV66" s="159"/>
      <c r="AW66" s="167">
        <f t="shared" si="64"/>
        <v>0</v>
      </c>
      <c r="AX66" s="167"/>
      <c r="AY66" s="167"/>
      <c r="AZ66" s="167"/>
      <c r="BA66" s="167"/>
      <c r="BB66" s="167"/>
      <c r="BC66" s="167">
        <f t="shared" si="82"/>
        <v>0</v>
      </c>
      <c r="BD66" s="167"/>
      <c r="BE66" s="167"/>
      <c r="BF66" s="167"/>
      <c r="BG66" s="167"/>
      <c r="BH66" s="168"/>
      <c r="BI66" s="3">
        <f t="shared" si="57"/>
        <v>9000</v>
      </c>
    </row>
    <row r="67" spans="1:61" ht="50.25" customHeight="1" x14ac:dyDescent="0.25">
      <c r="A67" s="150">
        <f t="shared" ref="A67" si="88">A39</f>
        <v>6</v>
      </c>
      <c r="B67" s="151"/>
      <c r="C67" s="151"/>
      <c r="D67" s="152"/>
      <c r="E67" s="153" t="str">
        <f t="shared" ref="E67" si="89">E39</f>
        <v>開挖整地，新設無障礙RC坡道，牆面與地坪粉刷整平(連工帶料，責任施工)</v>
      </c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5"/>
      <c r="U67" s="117" t="str">
        <f t="shared" ref="U67" si="90">U39</f>
        <v>式</v>
      </c>
      <c r="V67" s="118"/>
      <c r="W67" s="118"/>
      <c r="X67" s="119"/>
      <c r="Y67" s="160">
        <f t="shared" ref="Y67" si="91">Y39</f>
        <v>1</v>
      </c>
      <c r="Z67" s="161"/>
      <c r="AA67" s="161"/>
      <c r="AB67" s="161"/>
      <c r="AC67" s="161"/>
      <c r="AD67" s="162"/>
      <c r="AE67" s="159">
        <f t="shared" ref="AE67" si="92">AE39</f>
        <v>153000</v>
      </c>
      <c r="AF67" s="159"/>
      <c r="AG67" s="159"/>
      <c r="AH67" s="159"/>
      <c r="AI67" s="159"/>
      <c r="AJ67" s="159"/>
      <c r="AK67" s="167">
        <v>0</v>
      </c>
      <c r="AL67" s="167"/>
      <c r="AM67" s="167"/>
      <c r="AN67" s="167"/>
      <c r="AO67" s="167"/>
      <c r="AP67" s="167"/>
      <c r="AQ67" s="159">
        <f t="shared" si="81"/>
        <v>0</v>
      </c>
      <c r="AR67" s="159"/>
      <c r="AS67" s="159"/>
      <c r="AT67" s="159"/>
      <c r="AU67" s="159"/>
      <c r="AV67" s="159"/>
      <c r="AW67" s="167">
        <f t="shared" si="64"/>
        <v>0</v>
      </c>
      <c r="AX67" s="167"/>
      <c r="AY67" s="167"/>
      <c r="AZ67" s="167"/>
      <c r="BA67" s="167"/>
      <c r="BB67" s="167"/>
      <c r="BC67" s="167">
        <f t="shared" si="82"/>
        <v>0</v>
      </c>
      <c r="BD67" s="167"/>
      <c r="BE67" s="167"/>
      <c r="BF67" s="167"/>
      <c r="BG67" s="167"/>
      <c r="BH67" s="168"/>
      <c r="BI67" s="3">
        <f t="shared" si="57"/>
        <v>153000</v>
      </c>
    </row>
    <row r="68" spans="1:61" ht="32.450000000000003" customHeight="1" x14ac:dyDescent="0.25">
      <c r="A68" s="150">
        <f t="shared" ref="A68" si="93">A40</f>
        <v>7</v>
      </c>
      <c r="B68" s="151"/>
      <c r="C68" s="151"/>
      <c r="D68" s="152"/>
      <c r="E68" s="153" t="str">
        <f t="shared" ref="E68" si="94">E40</f>
        <v>施做抿石子(1~2分AK石，抿石子專用泥)</v>
      </c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5"/>
      <c r="U68" s="117" t="str">
        <f t="shared" ref="U68" si="95">U40</f>
        <v>M2</v>
      </c>
      <c r="V68" s="118"/>
      <c r="W68" s="118"/>
      <c r="X68" s="119"/>
      <c r="Y68" s="160">
        <f t="shared" ref="Y68" si="96">Y40</f>
        <v>38</v>
      </c>
      <c r="Z68" s="161"/>
      <c r="AA68" s="161"/>
      <c r="AB68" s="161"/>
      <c r="AC68" s="161"/>
      <c r="AD68" s="162"/>
      <c r="AE68" s="159">
        <f t="shared" ref="AE68" si="97">AE40</f>
        <v>1460</v>
      </c>
      <c r="AF68" s="159"/>
      <c r="AG68" s="159"/>
      <c r="AH68" s="159"/>
      <c r="AI68" s="159"/>
      <c r="AJ68" s="159"/>
      <c r="AK68" s="167">
        <v>0</v>
      </c>
      <c r="AL68" s="167"/>
      <c r="AM68" s="167"/>
      <c r="AN68" s="167"/>
      <c r="AO68" s="167"/>
      <c r="AP68" s="167"/>
      <c r="AQ68" s="159">
        <f t="shared" si="81"/>
        <v>0</v>
      </c>
      <c r="AR68" s="159"/>
      <c r="AS68" s="159"/>
      <c r="AT68" s="159"/>
      <c r="AU68" s="159"/>
      <c r="AV68" s="159"/>
      <c r="AW68" s="167">
        <f t="shared" si="64"/>
        <v>0</v>
      </c>
      <c r="AX68" s="167"/>
      <c r="AY68" s="167"/>
      <c r="AZ68" s="167"/>
      <c r="BA68" s="167"/>
      <c r="BB68" s="167"/>
      <c r="BC68" s="167">
        <f t="shared" si="82"/>
        <v>0</v>
      </c>
      <c r="BD68" s="167"/>
      <c r="BE68" s="167"/>
      <c r="BF68" s="167"/>
      <c r="BG68" s="167"/>
      <c r="BH68" s="168"/>
      <c r="BI68" s="3">
        <f t="shared" si="57"/>
        <v>55480</v>
      </c>
    </row>
    <row r="69" spans="1:61" ht="21" customHeight="1" x14ac:dyDescent="0.25">
      <c r="A69" s="150">
        <f t="shared" ref="A69" si="98">A41</f>
        <v>8</v>
      </c>
      <c r="B69" s="151"/>
      <c r="C69" s="151"/>
      <c r="D69" s="152"/>
      <c r="E69" s="153" t="str">
        <f t="shared" ref="E69" si="99">E41</f>
        <v>無障礙坡道地坪拉毛</v>
      </c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5"/>
      <c r="U69" s="117" t="str">
        <f t="shared" ref="U69" si="100">U41</f>
        <v>M2</v>
      </c>
      <c r="V69" s="118"/>
      <c r="W69" s="118"/>
      <c r="X69" s="119"/>
      <c r="Y69" s="160">
        <f t="shared" ref="Y69" si="101">Y41</f>
        <v>33</v>
      </c>
      <c r="Z69" s="161"/>
      <c r="AA69" s="161"/>
      <c r="AB69" s="161"/>
      <c r="AC69" s="161"/>
      <c r="AD69" s="162"/>
      <c r="AE69" s="159">
        <f t="shared" ref="AE69" si="102">AE41</f>
        <v>100</v>
      </c>
      <c r="AF69" s="159"/>
      <c r="AG69" s="159"/>
      <c r="AH69" s="159"/>
      <c r="AI69" s="159"/>
      <c r="AJ69" s="159"/>
      <c r="AK69" s="167"/>
      <c r="AL69" s="167"/>
      <c r="AM69" s="167"/>
      <c r="AN69" s="167"/>
      <c r="AO69" s="167"/>
      <c r="AP69" s="167"/>
      <c r="AQ69" s="159"/>
      <c r="AR69" s="159"/>
      <c r="AS69" s="159"/>
      <c r="AT69" s="159"/>
      <c r="AU69" s="159"/>
      <c r="AV69" s="159"/>
      <c r="AW69" s="167">
        <f t="shared" si="64"/>
        <v>0</v>
      </c>
      <c r="AX69" s="167"/>
      <c r="AY69" s="167"/>
      <c r="AZ69" s="167"/>
      <c r="BA69" s="167"/>
      <c r="BB69" s="167"/>
      <c r="BC69" s="167"/>
      <c r="BD69" s="167"/>
      <c r="BE69" s="167"/>
      <c r="BF69" s="167"/>
      <c r="BG69" s="167"/>
      <c r="BH69" s="168"/>
      <c r="BI69" s="3">
        <f t="shared" si="57"/>
        <v>3300</v>
      </c>
    </row>
    <row r="70" spans="1:61" s="19" customFormat="1" ht="34.5" customHeight="1" x14ac:dyDescent="0.25">
      <c r="A70" s="127">
        <f t="shared" ref="A70" si="103">A42</f>
        <v>9</v>
      </c>
      <c r="B70" s="128"/>
      <c r="C70" s="128"/>
      <c r="D70" s="129"/>
      <c r="E70" s="153" t="str">
        <f t="shared" ref="E70" si="104">E42</f>
        <v>司令台既有樓梯面清潔，刷止滑漆(一底二度)</v>
      </c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5"/>
      <c r="U70" s="133" t="str">
        <f t="shared" ref="U70" si="105">U42</f>
        <v>式</v>
      </c>
      <c r="V70" s="134"/>
      <c r="W70" s="134"/>
      <c r="X70" s="135"/>
      <c r="Y70" s="160">
        <f t="shared" ref="Y70" si="106">Y42</f>
        <v>1</v>
      </c>
      <c r="Z70" s="161"/>
      <c r="AA70" s="161"/>
      <c r="AB70" s="161"/>
      <c r="AC70" s="161"/>
      <c r="AD70" s="162"/>
      <c r="AE70" s="159">
        <f t="shared" ref="AE70" si="107">AE42</f>
        <v>3000</v>
      </c>
      <c r="AF70" s="159"/>
      <c r="AG70" s="159"/>
      <c r="AH70" s="159"/>
      <c r="AI70" s="159"/>
      <c r="AJ70" s="159"/>
      <c r="AK70" s="167">
        <v>0</v>
      </c>
      <c r="AL70" s="167"/>
      <c r="AM70" s="167"/>
      <c r="AN70" s="167"/>
      <c r="AO70" s="167"/>
      <c r="AP70" s="167"/>
      <c r="AQ70" s="159">
        <f t="shared" ref="AQ70:AQ77" si="108">AK70*AE70</f>
        <v>0</v>
      </c>
      <c r="AR70" s="159"/>
      <c r="AS70" s="159"/>
      <c r="AT70" s="159"/>
      <c r="AU70" s="159"/>
      <c r="AV70" s="159"/>
      <c r="AW70" s="167">
        <f t="shared" si="64"/>
        <v>0</v>
      </c>
      <c r="AX70" s="167"/>
      <c r="AY70" s="167"/>
      <c r="AZ70" s="167"/>
      <c r="BA70" s="167"/>
      <c r="BB70" s="167"/>
      <c r="BC70" s="167">
        <f t="shared" ref="BC70:BC72" si="109">ROUND(AW70*AE70,0)</f>
        <v>0</v>
      </c>
      <c r="BD70" s="167"/>
      <c r="BE70" s="167"/>
      <c r="BF70" s="167"/>
      <c r="BG70" s="167"/>
      <c r="BH70" s="168"/>
      <c r="BI70" s="18">
        <f t="shared" si="57"/>
        <v>3000</v>
      </c>
    </row>
    <row r="71" spans="1:61" ht="35.25" customHeight="1" x14ac:dyDescent="0.25">
      <c r="A71" s="150">
        <f t="shared" ref="A71" si="110">A43</f>
        <v>10</v>
      </c>
      <c r="B71" s="151"/>
      <c r="C71" s="151"/>
      <c r="D71" s="152"/>
      <c r="E71" s="153" t="str">
        <f t="shared" ref="E71" si="111">E43</f>
        <v>校舍、教室及司令台坡道出入口配置無線押扣與插電式緊急求救鈴</v>
      </c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5"/>
      <c r="U71" s="117" t="str">
        <f t="shared" ref="U71" si="112">U43</f>
        <v>組</v>
      </c>
      <c r="V71" s="118"/>
      <c r="W71" s="118"/>
      <c r="X71" s="119"/>
      <c r="Y71" s="160">
        <f t="shared" ref="Y71" si="113">Y43</f>
        <v>8</v>
      </c>
      <c r="Z71" s="161"/>
      <c r="AA71" s="161"/>
      <c r="AB71" s="161"/>
      <c r="AC71" s="161"/>
      <c r="AD71" s="162"/>
      <c r="AE71" s="159">
        <f t="shared" ref="AE71" si="114">AE43</f>
        <v>700</v>
      </c>
      <c r="AF71" s="159"/>
      <c r="AG71" s="159"/>
      <c r="AH71" s="159"/>
      <c r="AI71" s="159"/>
      <c r="AJ71" s="159"/>
      <c r="AK71" s="167">
        <v>0</v>
      </c>
      <c r="AL71" s="167"/>
      <c r="AM71" s="167"/>
      <c r="AN71" s="167"/>
      <c r="AO71" s="167"/>
      <c r="AP71" s="167"/>
      <c r="AQ71" s="159">
        <f t="shared" si="108"/>
        <v>0</v>
      </c>
      <c r="AR71" s="159"/>
      <c r="AS71" s="159"/>
      <c r="AT71" s="159"/>
      <c r="AU71" s="159"/>
      <c r="AV71" s="159"/>
      <c r="AW71" s="167">
        <f t="shared" si="64"/>
        <v>0</v>
      </c>
      <c r="AX71" s="167"/>
      <c r="AY71" s="167"/>
      <c r="AZ71" s="167"/>
      <c r="BA71" s="167"/>
      <c r="BB71" s="167"/>
      <c r="BC71" s="167">
        <f t="shared" si="109"/>
        <v>0</v>
      </c>
      <c r="BD71" s="167"/>
      <c r="BE71" s="167"/>
      <c r="BF71" s="167"/>
      <c r="BG71" s="167"/>
      <c r="BH71" s="168"/>
      <c r="BI71" s="3">
        <f t="shared" si="57"/>
        <v>5600</v>
      </c>
    </row>
    <row r="72" spans="1:61" ht="36.75" customHeight="1" x14ac:dyDescent="0.25">
      <c r="A72" s="150">
        <f t="shared" ref="A72" si="115">A44</f>
        <v>11</v>
      </c>
      <c r="B72" s="151"/>
      <c r="C72" s="151"/>
      <c r="D72" s="152"/>
      <c r="E72" s="153" t="str">
        <f t="shared" ref="E72" si="116">E44</f>
        <v>司令台周圍及無障礙坡道安裝不鏽鋼扶手(連工帶料)</v>
      </c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5"/>
      <c r="U72" s="117" t="str">
        <f t="shared" ref="U72" si="117">U44</f>
        <v>M</v>
      </c>
      <c r="V72" s="118"/>
      <c r="W72" s="118"/>
      <c r="X72" s="119"/>
      <c r="Y72" s="156">
        <f t="shared" ref="Y72" si="118">Y44</f>
        <v>48</v>
      </c>
      <c r="Z72" s="157"/>
      <c r="AA72" s="157"/>
      <c r="AB72" s="157"/>
      <c r="AC72" s="157"/>
      <c r="AD72" s="158"/>
      <c r="AE72" s="159">
        <f t="shared" ref="AE72" si="119">AE44</f>
        <v>3000</v>
      </c>
      <c r="AF72" s="159"/>
      <c r="AG72" s="159"/>
      <c r="AH72" s="159"/>
      <c r="AI72" s="159"/>
      <c r="AJ72" s="159"/>
      <c r="AK72" s="160">
        <v>0</v>
      </c>
      <c r="AL72" s="161"/>
      <c r="AM72" s="161"/>
      <c r="AN72" s="161"/>
      <c r="AO72" s="161"/>
      <c r="AP72" s="162"/>
      <c r="AQ72" s="163">
        <f t="shared" si="108"/>
        <v>0</v>
      </c>
      <c r="AR72" s="164"/>
      <c r="AS72" s="164"/>
      <c r="AT72" s="164"/>
      <c r="AU72" s="164"/>
      <c r="AV72" s="165"/>
      <c r="AW72" s="160">
        <f t="shared" si="64"/>
        <v>0</v>
      </c>
      <c r="AX72" s="161"/>
      <c r="AY72" s="161"/>
      <c r="AZ72" s="161"/>
      <c r="BA72" s="161"/>
      <c r="BB72" s="162"/>
      <c r="BC72" s="160">
        <f t="shared" si="109"/>
        <v>0</v>
      </c>
      <c r="BD72" s="161"/>
      <c r="BE72" s="161"/>
      <c r="BF72" s="161"/>
      <c r="BG72" s="161"/>
      <c r="BH72" s="166"/>
      <c r="BI72" s="3">
        <f t="shared" si="57"/>
        <v>144000</v>
      </c>
    </row>
    <row r="73" spans="1:61" s="19" customFormat="1" ht="35.25" customHeight="1" x14ac:dyDescent="0.25">
      <c r="A73" s="127" t="str">
        <f t="shared" ref="A73" si="120">A45</f>
        <v>貳</v>
      </c>
      <c r="B73" s="128"/>
      <c r="C73" s="128"/>
      <c r="D73" s="129"/>
      <c r="E73" s="130" t="str">
        <f t="shared" ref="E73" si="121">E45</f>
        <v>職業安全衛生管理費與施工環境保護與清潔（壹*2%）</v>
      </c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2"/>
      <c r="U73" s="133" t="str">
        <f t="shared" ref="U73" si="122">U45</f>
        <v>式</v>
      </c>
      <c r="V73" s="134"/>
      <c r="W73" s="134"/>
      <c r="X73" s="135"/>
      <c r="Y73" s="136">
        <f t="shared" ref="Y73" si="123">Y45</f>
        <v>1</v>
      </c>
      <c r="Z73" s="137"/>
      <c r="AA73" s="137"/>
      <c r="AB73" s="137"/>
      <c r="AC73" s="137"/>
      <c r="AD73" s="138"/>
      <c r="AE73" s="139">
        <f t="shared" ref="AE73" si="124">AE45</f>
        <v>8807</v>
      </c>
      <c r="AF73" s="139"/>
      <c r="AG73" s="139"/>
      <c r="AH73" s="139"/>
      <c r="AI73" s="139"/>
      <c r="AJ73" s="139"/>
      <c r="AK73" s="140">
        <v>1.7000000000000001E-2</v>
      </c>
      <c r="AL73" s="141"/>
      <c r="AM73" s="141"/>
      <c r="AN73" s="141"/>
      <c r="AO73" s="141"/>
      <c r="AP73" s="142"/>
      <c r="AQ73" s="143">
        <f t="shared" si="108"/>
        <v>149.71900000000002</v>
      </c>
      <c r="AR73" s="144"/>
      <c r="AS73" s="144"/>
      <c r="AT73" s="144"/>
      <c r="AU73" s="144"/>
      <c r="AV73" s="145"/>
      <c r="AW73" s="140">
        <f>AW45+AK73</f>
        <v>5.1000000000000004E-2</v>
      </c>
      <c r="AX73" s="141"/>
      <c r="AY73" s="141"/>
      <c r="AZ73" s="141"/>
      <c r="BA73" s="141"/>
      <c r="BB73" s="142"/>
      <c r="BC73" s="136">
        <f>ROUND(AW73*AE73,0)</f>
        <v>449</v>
      </c>
      <c r="BD73" s="137"/>
      <c r="BE73" s="137"/>
      <c r="BF73" s="137"/>
      <c r="BG73" s="137"/>
      <c r="BH73" s="146"/>
      <c r="BI73" s="18">
        <f t="shared" si="57"/>
        <v>8807</v>
      </c>
    </row>
    <row r="74" spans="1:61" s="19" customFormat="1" ht="21.95" customHeight="1" x14ac:dyDescent="0.25">
      <c r="A74" s="127" t="str">
        <f t="shared" ref="A74" si="125">A46</f>
        <v>參</v>
      </c>
      <c r="B74" s="128"/>
      <c r="C74" s="128"/>
      <c r="D74" s="129"/>
      <c r="E74" s="130" t="str">
        <f t="shared" ref="E74" si="126">E46</f>
        <v>公共工程品質管制作業費（壹*1%）</v>
      </c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2"/>
      <c r="U74" s="133" t="str">
        <f t="shared" ref="U74" si="127">U46</f>
        <v>式</v>
      </c>
      <c r="V74" s="134"/>
      <c r="W74" s="134"/>
      <c r="X74" s="135"/>
      <c r="Y74" s="147">
        <f t="shared" ref="Y74" si="128">Y46</f>
        <v>1</v>
      </c>
      <c r="Z74" s="148"/>
      <c r="AA74" s="148"/>
      <c r="AB74" s="148"/>
      <c r="AC74" s="148"/>
      <c r="AD74" s="149"/>
      <c r="AE74" s="139">
        <f t="shared" ref="AE74" si="129">AE46</f>
        <v>4404</v>
      </c>
      <c r="AF74" s="139"/>
      <c r="AG74" s="139"/>
      <c r="AH74" s="139"/>
      <c r="AI74" s="139"/>
      <c r="AJ74" s="139"/>
      <c r="AK74" s="140">
        <v>1.7000000000000001E-2</v>
      </c>
      <c r="AL74" s="141"/>
      <c r="AM74" s="141"/>
      <c r="AN74" s="141"/>
      <c r="AO74" s="141"/>
      <c r="AP74" s="142"/>
      <c r="AQ74" s="143">
        <f t="shared" si="108"/>
        <v>74.868000000000009</v>
      </c>
      <c r="AR74" s="144"/>
      <c r="AS74" s="144"/>
      <c r="AT74" s="144"/>
      <c r="AU74" s="144"/>
      <c r="AV74" s="145"/>
      <c r="AW74" s="140">
        <f t="shared" ref="AW74:AW77" si="130">AW46+AK74</f>
        <v>5.1000000000000004E-2</v>
      </c>
      <c r="AX74" s="141"/>
      <c r="AY74" s="141"/>
      <c r="AZ74" s="141"/>
      <c r="BA74" s="141"/>
      <c r="BB74" s="142"/>
      <c r="BC74" s="136">
        <f t="shared" ref="BC74:BC77" si="131">ROUND(AW74*AE74,0)</f>
        <v>225</v>
      </c>
      <c r="BD74" s="137"/>
      <c r="BE74" s="137"/>
      <c r="BF74" s="137"/>
      <c r="BG74" s="137"/>
      <c r="BH74" s="146"/>
      <c r="BI74" s="18">
        <f t="shared" si="57"/>
        <v>4404</v>
      </c>
    </row>
    <row r="75" spans="1:61" s="19" customFormat="1" ht="21.95" customHeight="1" x14ac:dyDescent="0.25">
      <c r="A75" s="127" t="str">
        <f t="shared" ref="A75" si="132">A47</f>
        <v>肆</v>
      </c>
      <c r="B75" s="128"/>
      <c r="C75" s="128"/>
      <c r="D75" s="129"/>
      <c r="E75" s="130" t="str">
        <f t="shared" ref="E75" si="133">E47</f>
        <v>包商管理及利潤費（約壹*7%）</v>
      </c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2"/>
      <c r="U75" s="133" t="str">
        <f t="shared" ref="U75" si="134">U47</f>
        <v>式</v>
      </c>
      <c r="V75" s="134"/>
      <c r="W75" s="134"/>
      <c r="X75" s="135"/>
      <c r="Y75" s="147">
        <f t="shared" ref="Y75" si="135">Y47</f>
        <v>1</v>
      </c>
      <c r="Z75" s="148"/>
      <c r="AA75" s="148"/>
      <c r="AB75" s="148"/>
      <c r="AC75" s="148"/>
      <c r="AD75" s="149"/>
      <c r="AE75" s="139">
        <f t="shared" ref="AE75" si="136">AE47</f>
        <v>30825</v>
      </c>
      <c r="AF75" s="139"/>
      <c r="AG75" s="139"/>
      <c r="AH75" s="139"/>
      <c r="AI75" s="139"/>
      <c r="AJ75" s="139"/>
      <c r="AK75" s="140">
        <v>1.7000000000000001E-2</v>
      </c>
      <c r="AL75" s="141"/>
      <c r="AM75" s="141"/>
      <c r="AN75" s="141"/>
      <c r="AO75" s="141"/>
      <c r="AP75" s="142"/>
      <c r="AQ75" s="143">
        <f t="shared" si="108"/>
        <v>524.02500000000009</v>
      </c>
      <c r="AR75" s="144"/>
      <c r="AS75" s="144"/>
      <c r="AT75" s="144"/>
      <c r="AU75" s="144"/>
      <c r="AV75" s="145"/>
      <c r="AW75" s="140">
        <f t="shared" si="130"/>
        <v>5.1000000000000004E-2</v>
      </c>
      <c r="AX75" s="141"/>
      <c r="AY75" s="141"/>
      <c r="AZ75" s="141"/>
      <c r="BA75" s="141"/>
      <c r="BB75" s="142"/>
      <c r="BC75" s="136">
        <f t="shared" si="131"/>
        <v>1572</v>
      </c>
      <c r="BD75" s="137"/>
      <c r="BE75" s="137"/>
      <c r="BF75" s="137"/>
      <c r="BG75" s="137"/>
      <c r="BH75" s="146"/>
      <c r="BI75" s="18">
        <f t="shared" si="57"/>
        <v>30825</v>
      </c>
    </row>
    <row r="76" spans="1:61" s="19" customFormat="1" ht="21.95" customHeight="1" x14ac:dyDescent="0.25">
      <c r="A76" s="127" t="str">
        <f t="shared" ref="A76" si="137">A48</f>
        <v>伍</v>
      </c>
      <c r="B76" s="128"/>
      <c r="C76" s="128"/>
      <c r="D76" s="129"/>
      <c r="E76" s="130" t="str">
        <f t="shared" ref="E76" si="138">E48</f>
        <v>營造綜合保險費</v>
      </c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2"/>
      <c r="U76" s="133" t="str">
        <f t="shared" ref="U76" si="139">U48</f>
        <v>式</v>
      </c>
      <c r="V76" s="134"/>
      <c r="W76" s="134"/>
      <c r="X76" s="135"/>
      <c r="Y76" s="136">
        <f t="shared" ref="Y76" si="140">Y48</f>
        <v>1</v>
      </c>
      <c r="Z76" s="137"/>
      <c r="AA76" s="137"/>
      <c r="AB76" s="137"/>
      <c r="AC76" s="137"/>
      <c r="AD76" s="138"/>
      <c r="AE76" s="139">
        <f t="shared" ref="AE76" si="141">AE48</f>
        <v>1321</v>
      </c>
      <c r="AF76" s="139"/>
      <c r="AG76" s="139"/>
      <c r="AH76" s="139"/>
      <c r="AI76" s="139"/>
      <c r="AJ76" s="139"/>
      <c r="AK76" s="136">
        <v>0</v>
      </c>
      <c r="AL76" s="137"/>
      <c r="AM76" s="137"/>
      <c r="AN76" s="137"/>
      <c r="AO76" s="137"/>
      <c r="AP76" s="138"/>
      <c r="AQ76" s="143">
        <f t="shared" si="108"/>
        <v>0</v>
      </c>
      <c r="AR76" s="144"/>
      <c r="AS76" s="144"/>
      <c r="AT76" s="144"/>
      <c r="AU76" s="144"/>
      <c r="AV76" s="145"/>
      <c r="AW76" s="136">
        <f t="shared" si="130"/>
        <v>1</v>
      </c>
      <c r="AX76" s="137"/>
      <c r="AY76" s="137"/>
      <c r="AZ76" s="137"/>
      <c r="BA76" s="137"/>
      <c r="BB76" s="138"/>
      <c r="BC76" s="136">
        <f t="shared" si="131"/>
        <v>1321</v>
      </c>
      <c r="BD76" s="137"/>
      <c r="BE76" s="137"/>
      <c r="BF76" s="137"/>
      <c r="BG76" s="137"/>
      <c r="BH76" s="146"/>
      <c r="BI76" s="18">
        <f t="shared" si="57"/>
        <v>1321</v>
      </c>
    </row>
    <row r="77" spans="1:61" s="19" customFormat="1" ht="21.95" customHeight="1" x14ac:dyDescent="0.25">
      <c r="A77" s="127" t="str">
        <f t="shared" ref="A77" si="142">A49</f>
        <v>陸</v>
      </c>
      <c r="B77" s="128"/>
      <c r="C77" s="128"/>
      <c r="D77" s="129"/>
      <c r="E77" s="130" t="str">
        <f t="shared" ref="E77" si="143">E49</f>
        <v>營業稅（(壹~伍)*5％）</v>
      </c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2"/>
      <c r="U77" s="133" t="str">
        <f t="shared" ref="U77" si="144">U49</f>
        <v>式</v>
      </c>
      <c r="V77" s="134"/>
      <c r="W77" s="134"/>
      <c r="X77" s="135"/>
      <c r="Y77" s="136">
        <f t="shared" ref="Y77" si="145">Y49</f>
        <v>1</v>
      </c>
      <c r="Z77" s="137"/>
      <c r="AA77" s="137"/>
      <c r="AB77" s="137"/>
      <c r="AC77" s="137"/>
      <c r="AD77" s="138"/>
      <c r="AE77" s="139">
        <f t="shared" ref="AE77" si="146">AE49</f>
        <v>24286</v>
      </c>
      <c r="AF77" s="139"/>
      <c r="AG77" s="139"/>
      <c r="AH77" s="139"/>
      <c r="AI77" s="139"/>
      <c r="AJ77" s="139"/>
      <c r="AK77" s="140">
        <v>1.7000000000000001E-2</v>
      </c>
      <c r="AL77" s="141"/>
      <c r="AM77" s="141"/>
      <c r="AN77" s="141"/>
      <c r="AO77" s="141"/>
      <c r="AP77" s="142"/>
      <c r="AQ77" s="143">
        <f t="shared" si="108"/>
        <v>412.86200000000002</v>
      </c>
      <c r="AR77" s="144"/>
      <c r="AS77" s="144"/>
      <c r="AT77" s="144"/>
      <c r="AU77" s="144"/>
      <c r="AV77" s="145"/>
      <c r="AW77" s="140">
        <f t="shared" si="130"/>
        <v>5.1000000000000004E-2</v>
      </c>
      <c r="AX77" s="141"/>
      <c r="AY77" s="141"/>
      <c r="AZ77" s="141"/>
      <c r="BA77" s="141"/>
      <c r="BB77" s="142"/>
      <c r="BC77" s="136">
        <f t="shared" si="131"/>
        <v>1239</v>
      </c>
      <c r="BD77" s="137"/>
      <c r="BE77" s="137"/>
      <c r="BF77" s="137"/>
      <c r="BG77" s="137"/>
      <c r="BH77" s="146"/>
      <c r="BI77" s="18">
        <f t="shared" si="57"/>
        <v>24286</v>
      </c>
    </row>
    <row r="78" spans="1:61" ht="21.95" customHeight="1" x14ac:dyDescent="0.25">
      <c r="A78" s="111"/>
      <c r="B78" s="112"/>
      <c r="C78" s="112"/>
      <c r="D78" s="113"/>
      <c r="E78" s="114" t="s">
        <v>75</v>
      </c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6"/>
      <c r="U78" s="117"/>
      <c r="V78" s="118"/>
      <c r="W78" s="118"/>
      <c r="X78" s="119"/>
      <c r="Y78" s="120"/>
      <c r="Z78" s="121"/>
      <c r="AA78" s="121"/>
      <c r="AB78" s="121"/>
      <c r="AC78" s="121"/>
      <c r="AD78" s="122"/>
      <c r="AE78" s="123"/>
      <c r="AF78" s="124"/>
      <c r="AG78" s="124"/>
      <c r="AH78" s="124"/>
      <c r="AI78" s="124"/>
      <c r="AJ78" s="125"/>
      <c r="AK78" s="120"/>
      <c r="AL78" s="121"/>
      <c r="AM78" s="121"/>
      <c r="AN78" s="121"/>
      <c r="AO78" s="121"/>
      <c r="AP78" s="122"/>
      <c r="AQ78" s="123">
        <f>SUM(AQ64:AQ77)</f>
        <v>1161.4740000000002</v>
      </c>
      <c r="AR78" s="124"/>
      <c r="AS78" s="124"/>
      <c r="AT78" s="124"/>
      <c r="AU78" s="124"/>
      <c r="AV78" s="125"/>
      <c r="AW78" s="120"/>
      <c r="AX78" s="121"/>
      <c r="AY78" s="121"/>
      <c r="AZ78" s="121"/>
      <c r="BA78" s="121"/>
      <c r="BB78" s="122"/>
      <c r="BC78" s="120">
        <f>SUM(BC64:BC77)</f>
        <v>6806</v>
      </c>
      <c r="BD78" s="121"/>
      <c r="BE78" s="121"/>
      <c r="BF78" s="121"/>
      <c r="BG78" s="121"/>
      <c r="BH78" s="126"/>
      <c r="BI78" s="17">
        <f>SUM(BI62:BI77)</f>
        <v>510000</v>
      </c>
    </row>
    <row r="79" spans="1:61" ht="21.95" customHeight="1" x14ac:dyDescent="0.25">
      <c r="A79" s="101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3"/>
      <c r="AK79" s="104"/>
      <c r="AL79" s="105"/>
      <c r="AM79" s="105"/>
      <c r="AN79" s="105"/>
      <c r="AO79" s="105"/>
      <c r="AP79" s="106"/>
      <c r="AQ79" s="107"/>
      <c r="AR79" s="108"/>
      <c r="AS79" s="108"/>
      <c r="AT79" s="108"/>
      <c r="AU79" s="108"/>
      <c r="AV79" s="109"/>
      <c r="AW79" s="104"/>
      <c r="AX79" s="105"/>
      <c r="AY79" s="105"/>
      <c r="AZ79" s="105"/>
      <c r="BA79" s="105"/>
      <c r="BB79" s="106"/>
      <c r="BC79" s="104"/>
      <c r="BD79" s="105"/>
      <c r="BE79" s="105"/>
      <c r="BF79" s="105"/>
      <c r="BG79" s="105"/>
      <c r="BH79" s="110"/>
      <c r="BI79" s="15">
        <f>Y79*AE79</f>
        <v>0</v>
      </c>
    </row>
    <row r="80" spans="1:61" ht="21.95" customHeight="1" x14ac:dyDescent="0.25">
      <c r="A80" s="101" t="s">
        <v>11</v>
      </c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3"/>
      <c r="AK80" s="104"/>
      <c r="AL80" s="105"/>
      <c r="AM80" s="105"/>
      <c r="AN80" s="105"/>
      <c r="AO80" s="105"/>
      <c r="AP80" s="106"/>
      <c r="AQ80" s="107">
        <f>BC78/BI78</f>
        <v>1.3345098039215686E-2</v>
      </c>
      <c r="AR80" s="108"/>
      <c r="AS80" s="108"/>
      <c r="AT80" s="108"/>
      <c r="AU80" s="108"/>
      <c r="AV80" s="109"/>
      <c r="AW80" s="104"/>
      <c r="AX80" s="105"/>
      <c r="AY80" s="105"/>
      <c r="AZ80" s="105"/>
      <c r="BA80" s="105"/>
      <c r="BB80" s="106"/>
      <c r="BC80" s="104"/>
      <c r="BD80" s="105"/>
      <c r="BE80" s="105"/>
      <c r="BF80" s="105"/>
      <c r="BG80" s="105"/>
      <c r="BH80" s="110"/>
      <c r="BI80" s="15">
        <f>AQ80</f>
        <v>1.3345098039215686E-2</v>
      </c>
    </row>
    <row r="81" spans="1:69" ht="18.75" customHeight="1" x14ac:dyDescent="0.25">
      <c r="A81" s="90" t="s">
        <v>15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2"/>
      <c r="AE81" s="93" t="s">
        <v>14</v>
      </c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  <c r="BH81" s="94"/>
    </row>
    <row r="82" spans="1:69" x14ac:dyDescent="0.25">
      <c r="A82" s="95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 s="96"/>
      <c r="AJ82" s="96"/>
      <c r="AK82" s="96"/>
      <c r="AL82" s="96"/>
      <c r="AM82" s="96"/>
      <c r="AN82" s="96"/>
      <c r="AO82" s="96"/>
      <c r="AP82" s="96"/>
      <c r="AQ82" s="96"/>
      <c r="AR82" s="96"/>
      <c r="AS82" s="96"/>
      <c r="AT82" s="96"/>
      <c r="AU82" s="96"/>
      <c r="AV82" s="96"/>
      <c r="AW82" s="96"/>
      <c r="AX82" s="96"/>
      <c r="AY82" s="96"/>
      <c r="AZ82" s="96"/>
      <c r="BA82" s="96"/>
      <c r="BB82" s="96"/>
      <c r="BC82" s="96"/>
      <c r="BD82" s="96"/>
      <c r="BE82" s="96"/>
      <c r="BF82" s="96"/>
      <c r="BG82" s="96"/>
      <c r="BH82" s="99"/>
    </row>
    <row r="83" spans="1:69" x14ac:dyDescent="0.25">
      <c r="A83" s="95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J83" s="96"/>
      <c r="AK83" s="96"/>
      <c r="AL83" s="96"/>
      <c r="AM83" s="96"/>
      <c r="AN83" s="96"/>
      <c r="AO83" s="96"/>
      <c r="AP83" s="96"/>
      <c r="AQ83" s="96"/>
      <c r="AR83" s="96"/>
      <c r="AS83" s="96"/>
      <c r="AT83" s="96"/>
      <c r="AU83" s="96"/>
      <c r="AV83" s="96"/>
      <c r="AW83" s="96"/>
      <c r="AX83" s="96"/>
      <c r="AY83" s="96"/>
      <c r="AZ83" s="96"/>
      <c r="BA83" s="96"/>
      <c r="BB83" s="96"/>
      <c r="BC83" s="96"/>
      <c r="BD83" s="96"/>
      <c r="BE83" s="96"/>
      <c r="BF83" s="96"/>
      <c r="BG83" s="96"/>
      <c r="BH83" s="99"/>
    </row>
    <row r="84" spans="1:69" ht="17.25" thickBot="1" x14ac:dyDescent="0.3">
      <c r="A84" s="97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  <c r="AM84" s="98"/>
      <c r="AN84" s="98"/>
      <c r="AO84" s="98"/>
      <c r="AP84" s="98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100"/>
    </row>
    <row r="85" spans="1:69" ht="27.75" x14ac:dyDescent="0.25">
      <c r="A85" s="182" t="s">
        <v>81</v>
      </c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182"/>
      <c r="AE85" s="182"/>
      <c r="AF85" s="182"/>
      <c r="AG85" s="182"/>
      <c r="AH85" s="182"/>
      <c r="AI85" s="182"/>
      <c r="AJ85" s="182"/>
      <c r="AK85" s="182"/>
      <c r="AL85" s="182"/>
      <c r="AM85" s="182"/>
      <c r="AN85" s="182"/>
      <c r="AO85" s="182"/>
      <c r="AP85" s="182"/>
      <c r="AQ85" s="182"/>
      <c r="AR85" s="182"/>
      <c r="AS85" s="182"/>
      <c r="AT85" s="182"/>
      <c r="AU85" s="182"/>
      <c r="AV85" s="182"/>
      <c r="AW85" s="182"/>
      <c r="AX85" s="182"/>
      <c r="AY85" s="182"/>
      <c r="AZ85" s="182"/>
      <c r="BA85" s="182"/>
      <c r="BB85" s="182"/>
      <c r="BC85" s="182"/>
      <c r="BD85" s="182"/>
      <c r="BE85" s="182"/>
      <c r="BF85" s="182"/>
      <c r="BG85" s="182"/>
      <c r="BH85" s="182"/>
    </row>
    <row r="86" spans="1:69" ht="27.75" x14ac:dyDescent="0.25">
      <c r="A86" s="183" t="s">
        <v>12</v>
      </c>
      <c r="B86" s="183"/>
      <c r="C86" s="183"/>
      <c r="D86" s="183"/>
      <c r="E86" s="183"/>
      <c r="F86" s="183"/>
      <c r="G86" s="183"/>
      <c r="H86" s="183"/>
      <c r="I86" s="183"/>
      <c r="J86" s="184" t="s">
        <v>85</v>
      </c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185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185"/>
      <c r="AT86" s="185"/>
      <c r="AU86" s="185"/>
      <c r="AV86" s="185"/>
      <c r="AW86" s="185"/>
      <c r="AX86" s="185"/>
      <c r="AY86" s="185"/>
      <c r="AZ86" s="185"/>
      <c r="BA86" s="185"/>
      <c r="BB86" s="185"/>
      <c r="BC86" s="185"/>
      <c r="BD86" s="185"/>
      <c r="BE86" s="185"/>
      <c r="BF86" s="185"/>
      <c r="BG86" s="185"/>
      <c r="BH86" s="185"/>
      <c r="BI86" s="185"/>
      <c r="BJ86" s="185"/>
      <c r="BK86" s="185"/>
      <c r="BL86" s="185"/>
      <c r="BM86" s="185"/>
      <c r="BN86" s="185"/>
      <c r="BO86" s="185"/>
      <c r="BP86" s="185"/>
      <c r="BQ86" s="185"/>
    </row>
    <row r="87" spans="1:69" ht="17.25" thickBot="1" x14ac:dyDescent="0.3">
      <c r="A87" s="186" t="s">
        <v>10</v>
      </c>
      <c r="B87" s="186"/>
      <c r="C87" s="186"/>
      <c r="D87" s="186"/>
      <c r="E87" s="186"/>
      <c r="F87" s="186"/>
      <c r="G87" s="186"/>
      <c r="H87" s="186"/>
      <c r="I87" s="187" t="s">
        <v>78</v>
      </c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87"/>
      <c r="AB87" s="187"/>
      <c r="AC87" s="187"/>
      <c r="AD87" s="187"/>
      <c r="AE87" s="187"/>
      <c r="AF87" s="187"/>
      <c r="AG87" s="187"/>
      <c r="AH87" s="187"/>
      <c r="AI87" s="187"/>
      <c r="AJ87" s="187"/>
      <c r="AK87" s="187"/>
      <c r="AL87" s="187"/>
      <c r="AM87" s="187"/>
      <c r="AN87" s="187"/>
      <c r="AO87" s="188" t="s">
        <v>9</v>
      </c>
      <c r="AP87" s="188"/>
      <c r="AQ87" s="188"/>
      <c r="AR87" s="188"/>
      <c r="AS87" s="188"/>
      <c r="AT87" s="188"/>
      <c r="AU87" s="188"/>
      <c r="AV87" s="188"/>
      <c r="AW87" s="189">
        <f>AW59+1</f>
        <v>45913</v>
      </c>
      <c r="AX87" s="189"/>
      <c r="AY87" s="189"/>
      <c r="AZ87" s="189"/>
      <c r="BA87" s="189"/>
      <c r="BB87" s="189"/>
      <c r="BC87" s="189"/>
      <c r="BD87" s="189"/>
      <c r="BE87" s="189"/>
      <c r="BF87" s="189"/>
      <c r="BG87" s="189"/>
      <c r="BH87" s="189"/>
    </row>
    <row r="88" spans="1:69" ht="36" customHeight="1" x14ac:dyDescent="0.25">
      <c r="A88" s="180" t="s">
        <v>0</v>
      </c>
      <c r="B88" s="83"/>
      <c r="C88" s="83"/>
      <c r="D88" s="83"/>
      <c r="E88" s="83" t="s">
        <v>6</v>
      </c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 t="s">
        <v>7</v>
      </c>
      <c r="V88" s="83"/>
      <c r="W88" s="83"/>
      <c r="X88" s="83"/>
      <c r="Y88" s="181" t="s">
        <v>1</v>
      </c>
      <c r="Z88" s="181"/>
      <c r="AA88" s="181"/>
      <c r="AB88" s="181"/>
      <c r="AC88" s="181"/>
      <c r="AD88" s="181"/>
      <c r="AE88" s="83" t="s">
        <v>8</v>
      </c>
      <c r="AF88" s="83"/>
      <c r="AG88" s="83"/>
      <c r="AH88" s="83"/>
      <c r="AI88" s="83"/>
      <c r="AJ88" s="83"/>
      <c r="AK88" s="181" t="s">
        <v>2</v>
      </c>
      <c r="AL88" s="181"/>
      <c r="AM88" s="181"/>
      <c r="AN88" s="181"/>
      <c r="AO88" s="181"/>
      <c r="AP88" s="181"/>
      <c r="AQ88" s="84" t="s">
        <v>3</v>
      </c>
      <c r="AR88" s="84"/>
      <c r="AS88" s="84"/>
      <c r="AT88" s="84"/>
      <c r="AU88" s="84"/>
      <c r="AV88" s="84"/>
      <c r="AW88" s="181" t="s">
        <v>4</v>
      </c>
      <c r="AX88" s="181"/>
      <c r="AY88" s="181"/>
      <c r="AZ88" s="181"/>
      <c r="BA88" s="181"/>
      <c r="BB88" s="181"/>
      <c r="BC88" s="84" t="s">
        <v>5</v>
      </c>
      <c r="BD88" s="84"/>
      <c r="BE88" s="84"/>
      <c r="BF88" s="84"/>
      <c r="BG88" s="84"/>
      <c r="BH88" s="85"/>
      <c r="BI88" s="1"/>
    </row>
    <row r="89" spans="1:69" ht="21.95" customHeight="1" x14ac:dyDescent="0.25">
      <c r="A89" s="150" t="str">
        <f t="shared" ref="A89" si="147">A61</f>
        <v>壹</v>
      </c>
      <c r="B89" s="151"/>
      <c r="C89" s="151"/>
      <c r="D89" s="152"/>
      <c r="E89" s="175" t="str">
        <f t="shared" ref="E89" si="148">E61</f>
        <v>直接工程費</v>
      </c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7"/>
      <c r="U89" s="117"/>
      <c r="V89" s="118"/>
      <c r="W89" s="118"/>
      <c r="X89" s="119"/>
      <c r="Y89" s="178"/>
      <c r="Z89" s="178"/>
      <c r="AA89" s="178"/>
      <c r="AB89" s="178"/>
      <c r="AC89" s="178"/>
      <c r="AD89" s="178"/>
      <c r="AE89" s="178"/>
      <c r="AF89" s="178"/>
      <c r="AG89" s="178"/>
      <c r="AH89" s="178"/>
      <c r="AI89" s="178"/>
      <c r="AJ89" s="178"/>
      <c r="AK89" s="178"/>
      <c r="AL89" s="178"/>
      <c r="AM89" s="178"/>
      <c r="AN89" s="178"/>
      <c r="AO89" s="178"/>
      <c r="AP89" s="178"/>
      <c r="AQ89" s="178"/>
      <c r="AR89" s="178"/>
      <c r="AS89" s="178"/>
      <c r="AT89" s="178"/>
      <c r="AU89" s="178"/>
      <c r="AV89" s="178"/>
      <c r="AW89" s="178"/>
      <c r="AX89" s="178"/>
      <c r="AY89" s="178"/>
      <c r="AZ89" s="178"/>
      <c r="BA89" s="178"/>
      <c r="BB89" s="178"/>
      <c r="BC89" s="178"/>
      <c r="BD89" s="178"/>
      <c r="BE89" s="178"/>
      <c r="BF89" s="178"/>
      <c r="BG89" s="178"/>
      <c r="BH89" s="179"/>
      <c r="BI89" s="3">
        <f t="shared" ref="BI89:BI105" si="149">Y89*AE89</f>
        <v>0</v>
      </c>
    </row>
    <row r="90" spans="1:69" s="19" customFormat="1" ht="21.95" customHeight="1" x14ac:dyDescent="0.25">
      <c r="A90" s="127">
        <f t="shared" ref="A90" si="150">A62</f>
        <v>1</v>
      </c>
      <c r="B90" s="128"/>
      <c r="C90" s="128"/>
      <c r="D90" s="129"/>
      <c r="E90" s="170" t="str">
        <f t="shared" ref="E90" si="151">E62</f>
        <v>工程告示牌與職安衛告示牌(租用)</v>
      </c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2"/>
      <c r="U90" s="133" t="str">
        <f t="shared" ref="U90" si="152">U62</f>
        <v>式</v>
      </c>
      <c r="V90" s="134"/>
      <c r="W90" s="134"/>
      <c r="X90" s="135"/>
      <c r="Y90" s="136">
        <f t="shared" ref="Y90" si="153">Y62</f>
        <v>1</v>
      </c>
      <c r="Z90" s="137"/>
      <c r="AA90" s="137"/>
      <c r="AB90" s="137"/>
      <c r="AC90" s="137"/>
      <c r="AD90" s="138"/>
      <c r="AE90" s="139">
        <f t="shared" ref="AE90" si="154">AE62</f>
        <v>5000</v>
      </c>
      <c r="AF90" s="139"/>
      <c r="AG90" s="139"/>
      <c r="AH90" s="139"/>
      <c r="AI90" s="139"/>
      <c r="AJ90" s="139"/>
      <c r="AK90" s="173">
        <v>0</v>
      </c>
      <c r="AL90" s="173"/>
      <c r="AM90" s="173"/>
      <c r="AN90" s="173"/>
      <c r="AO90" s="173"/>
      <c r="AP90" s="173"/>
      <c r="AQ90" s="139">
        <f t="shared" ref="AQ90:AQ91" si="155">AK90*AE90</f>
        <v>0</v>
      </c>
      <c r="AR90" s="139"/>
      <c r="AS90" s="139"/>
      <c r="AT90" s="139"/>
      <c r="AU90" s="139"/>
      <c r="AV90" s="139"/>
      <c r="AW90" s="173">
        <f t="shared" ref="AW90:AW100" si="156">AW62+AK90</f>
        <v>1</v>
      </c>
      <c r="AX90" s="173"/>
      <c r="AY90" s="173"/>
      <c r="AZ90" s="173"/>
      <c r="BA90" s="173"/>
      <c r="BB90" s="173"/>
      <c r="BC90" s="173">
        <f t="shared" ref="BC90:BC91" si="157">ROUND(AW90*AE90,0)</f>
        <v>5000</v>
      </c>
      <c r="BD90" s="173"/>
      <c r="BE90" s="173"/>
      <c r="BF90" s="173"/>
      <c r="BG90" s="173"/>
      <c r="BH90" s="174"/>
      <c r="BI90" s="18">
        <f t="shared" si="149"/>
        <v>5000</v>
      </c>
    </row>
    <row r="91" spans="1:69" s="19" customFormat="1" ht="21.95" customHeight="1" x14ac:dyDescent="0.25">
      <c r="A91" s="127">
        <f t="shared" ref="A91" si="158">A63</f>
        <v>2</v>
      </c>
      <c r="B91" s="128"/>
      <c r="C91" s="128"/>
      <c r="D91" s="129"/>
      <c r="E91" s="170" t="str">
        <f t="shared" ref="E91" si="159">E63</f>
        <v>三角錐與連桿(租用)</v>
      </c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2"/>
      <c r="U91" s="133" t="str">
        <f t="shared" ref="U91" si="160">U63</f>
        <v>M</v>
      </c>
      <c r="V91" s="134"/>
      <c r="W91" s="134"/>
      <c r="X91" s="135"/>
      <c r="Y91" s="147">
        <f t="shared" ref="Y91" si="161">Y63</f>
        <v>86</v>
      </c>
      <c r="Z91" s="148"/>
      <c r="AA91" s="148"/>
      <c r="AB91" s="148"/>
      <c r="AC91" s="148"/>
      <c r="AD91" s="149"/>
      <c r="AE91" s="139">
        <f t="shared" ref="AE91" si="162">AE63</f>
        <v>60</v>
      </c>
      <c r="AF91" s="139"/>
      <c r="AG91" s="139"/>
      <c r="AH91" s="139"/>
      <c r="AI91" s="139"/>
      <c r="AJ91" s="139"/>
      <c r="AK91" s="173">
        <v>0</v>
      </c>
      <c r="AL91" s="173"/>
      <c r="AM91" s="173"/>
      <c r="AN91" s="173"/>
      <c r="AO91" s="173"/>
      <c r="AP91" s="173"/>
      <c r="AQ91" s="139">
        <f t="shared" si="155"/>
        <v>0</v>
      </c>
      <c r="AR91" s="139"/>
      <c r="AS91" s="139"/>
      <c r="AT91" s="139"/>
      <c r="AU91" s="139"/>
      <c r="AV91" s="139"/>
      <c r="AW91" s="173">
        <f t="shared" si="156"/>
        <v>86</v>
      </c>
      <c r="AX91" s="173"/>
      <c r="AY91" s="173"/>
      <c r="AZ91" s="173"/>
      <c r="BA91" s="173"/>
      <c r="BB91" s="173"/>
      <c r="BC91" s="173">
        <f t="shared" si="157"/>
        <v>5160</v>
      </c>
      <c r="BD91" s="173"/>
      <c r="BE91" s="173"/>
      <c r="BF91" s="173"/>
      <c r="BG91" s="173"/>
      <c r="BH91" s="174"/>
      <c r="BI91" s="18">
        <f t="shared" si="149"/>
        <v>5160</v>
      </c>
    </row>
    <row r="92" spans="1:69" s="19" customFormat="1" ht="33" customHeight="1" x14ac:dyDescent="0.25">
      <c r="A92" s="150">
        <f t="shared" ref="A92" si="163">A64</f>
        <v>3</v>
      </c>
      <c r="B92" s="151"/>
      <c r="C92" s="151"/>
      <c r="D92" s="152"/>
      <c r="E92" s="175" t="str">
        <f t="shared" ref="E92" si="164">E64</f>
        <v>施工動線開闢及損害復原；測量與放樣</v>
      </c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7"/>
      <c r="U92" s="117" t="str">
        <f t="shared" ref="U92" si="165">U64</f>
        <v>式</v>
      </c>
      <c r="V92" s="118"/>
      <c r="W92" s="118"/>
      <c r="X92" s="119"/>
      <c r="Y92" s="156">
        <f t="shared" ref="Y92" si="166">Y64</f>
        <v>1</v>
      </c>
      <c r="Z92" s="157"/>
      <c r="AA92" s="157"/>
      <c r="AB92" s="157"/>
      <c r="AC92" s="157"/>
      <c r="AD92" s="158"/>
      <c r="AE92" s="159">
        <f t="shared" ref="AE92" si="167">AE64</f>
        <v>4000</v>
      </c>
      <c r="AF92" s="159"/>
      <c r="AG92" s="159"/>
      <c r="AH92" s="159"/>
      <c r="AI92" s="159"/>
      <c r="AJ92" s="159"/>
      <c r="AK92" s="167">
        <v>0</v>
      </c>
      <c r="AL92" s="167"/>
      <c r="AM92" s="167"/>
      <c r="AN92" s="167"/>
      <c r="AO92" s="167"/>
      <c r="AP92" s="167"/>
      <c r="AQ92" s="159">
        <f>AK92*AE92</f>
        <v>0</v>
      </c>
      <c r="AR92" s="159"/>
      <c r="AS92" s="159"/>
      <c r="AT92" s="159"/>
      <c r="AU92" s="159"/>
      <c r="AV92" s="159"/>
      <c r="AW92" s="167">
        <f t="shared" si="156"/>
        <v>0.5</v>
      </c>
      <c r="AX92" s="167"/>
      <c r="AY92" s="167"/>
      <c r="AZ92" s="167"/>
      <c r="BA92" s="167"/>
      <c r="BB92" s="167"/>
      <c r="BC92" s="167">
        <f>ROUND(AW92*AE92,0)</f>
        <v>2000</v>
      </c>
      <c r="BD92" s="167"/>
      <c r="BE92" s="167"/>
      <c r="BF92" s="167"/>
      <c r="BG92" s="167"/>
      <c r="BH92" s="168"/>
      <c r="BI92" s="18">
        <f t="shared" si="149"/>
        <v>4000</v>
      </c>
    </row>
    <row r="93" spans="1:69" ht="54" customHeight="1" x14ac:dyDescent="0.25">
      <c r="A93" s="150">
        <f t="shared" ref="A93" si="168">A65</f>
        <v>4</v>
      </c>
      <c r="B93" s="151"/>
      <c r="C93" s="151"/>
      <c r="D93" s="152"/>
      <c r="E93" s="175" t="str">
        <f t="shared" ref="E93" si="169">E65</f>
        <v>切割打除清運校舍與教室出入口地坪以及司令台階梯平台(含合法清運證明)</v>
      </c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7"/>
      <c r="U93" s="117" t="str">
        <f t="shared" ref="U93" si="170">U65</f>
        <v>式</v>
      </c>
      <c r="V93" s="118"/>
      <c r="W93" s="118"/>
      <c r="X93" s="119"/>
      <c r="Y93" s="156">
        <f t="shared" ref="Y93" si="171">Y65</f>
        <v>1</v>
      </c>
      <c r="Z93" s="157"/>
      <c r="AA93" s="157"/>
      <c r="AB93" s="157"/>
      <c r="AC93" s="157"/>
      <c r="AD93" s="158"/>
      <c r="AE93" s="159">
        <f t="shared" ref="AE93" si="172">AE65</f>
        <v>52817</v>
      </c>
      <c r="AF93" s="159"/>
      <c r="AG93" s="159"/>
      <c r="AH93" s="159"/>
      <c r="AI93" s="159"/>
      <c r="AJ93" s="159"/>
      <c r="AK93" s="167">
        <v>0</v>
      </c>
      <c r="AL93" s="167"/>
      <c r="AM93" s="167"/>
      <c r="AN93" s="167"/>
      <c r="AO93" s="167"/>
      <c r="AP93" s="167"/>
      <c r="AQ93" s="159">
        <f t="shared" ref="AQ93:AQ96" si="173">AK93*AE93</f>
        <v>0</v>
      </c>
      <c r="AR93" s="159"/>
      <c r="AS93" s="159"/>
      <c r="AT93" s="159"/>
      <c r="AU93" s="159"/>
      <c r="AV93" s="159"/>
      <c r="AW93" s="167">
        <f t="shared" si="156"/>
        <v>0</v>
      </c>
      <c r="AX93" s="167"/>
      <c r="AY93" s="167"/>
      <c r="AZ93" s="167"/>
      <c r="BA93" s="167"/>
      <c r="BB93" s="167"/>
      <c r="BC93" s="167">
        <f t="shared" ref="BC93:BC96" si="174">ROUND(AW93*AE93,0)</f>
        <v>0</v>
      </c>
      <c r="BD93" s="167"/>
      <c r="BE93" s="167"/>
      <c r="BF93" s="167"/>
      <c r="BG93" s="167"/>
      <c r="BH93" s="168"/>
      <c r="BI93" s="16">
        <f t="shared" si="149"/>
        <v>52817</v>
      </c>
    </row>
    <row r="94" spans="1:69" ht="20.25" customHeight="1" x14ac:dyDescent="0.25">
      <c r="A94" s="150">
        <f t="shared" ref="A94" si="175">A66</f>
        <v>5</v>
      </c>
      <c r="B94" s="151"/>
      <c r="C94" s="151"/>
      <c r="D94" s="152"/>
      <c r="E94" s="153" t="str">
        <f t="shared" ref="E94" si="176">E66</f>
        <v>校舍出入口施做斜坡順平高差</v>
      </c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5"/>
      <c r="U94" s="117" t="str">
        <f t="shared" ref="U94" si="177">U66</f>
        <v>M2</v>
      </c>
      <c r="V94" s="118"/>
      <c r="W94" s="118"/>
      <c r="X94" s="119"/>
      <c r="Y94" s="160">
        <f t="shared" ref="Y94" si="178">Y66</f>
        <v>15</v>
      </c>
      <c r="Z94" s="161"/>
      <c r="AA94" s="161"/>
      <c r="AB94" s="161"/>
      <c r="AC94" s="161"/>
      <c r="AD94" s="162"/>
      <c r="AE94" s="169">
        <f t="shared" ref="AE94" si="179">AE66</f>
        <v>600</v>
      </c>
      <c r="AF94" s="169"/>
      <c r="AG94" s="169"/>
      <c r="AH94" s="169"/>
      <c r="AI94" s="169"/>
      <c r="AJ94" s="169"/>
      <c r="AK94" s="167">
        <v>0</v>
      </c>
      <c r="AL94" s="167"/>
      <c r="AM94" s="167"/>
      <c r="AN94" s="167"/>
      <c r="AO94" s="167"/>
      <c r="AP94" s="167"/>
      <c r="AQ94" s="159">
        <f t="shared" si="173"/>
        <v>0</v>
      </c>
      <c r="AR94" s="159"/>
      <c r="AS94" s="159"/>
      <c r="AT94" s="159"/>
      <c r="AU94" s="159"/>
      <c r="AV94" s="159"/>
      <c r="AW94" s="167">
        <f t="shared" si="156"/>
        <v>0</v>
      </c>
      <c r="AX94" s="167"/>
      <c r="AY94" s="167"/>
      <c r="AZ94" s="167"/>
      <c r="BA94" s="167"/>
      <c r="BB94" s="167"/>
      <c r="BC94" s="167">
        <f t="shared" si="174"/>
        <v>0</v>
      </c>
      <c r="BD94" s="167"/>
      <c r="BE94" s="167"/>
      <c r="BF94" s="167"/>
      <c r="BG94" s="167"/>
      <c r="BH94" s="168"/>
      <c r="BI94" s="3">
        <f t="shared" si="149"/>
        <v>9000</v>
      </c>
    </row>
    <row r="95" spans="1:69" ht="50.25" customHeight="1" x14ac:dyDescent="0.25">
      <c r="A95" s="150">
        <f t="shared" ref="A95" si="180">A67</f>
        <v>6</v>
      </c>
      <c r="B95" s="151"/>
      <c r="C95" s="151"/>
      <c r="D95" s="152"/>
      <c r="E95" s="153" t="str">
        <f t="shared" ref="E95" si="181">E67</f>
        <v>開挖整地，新設無障礙RC坡道，牆面與地坪粉刷整平(連工帶料，責任施工)</v>
      </c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5"/>
      <c r="U95" s="117" t="str">
        <f t="shared" ref="U95" si="182">U67</f>
        <v>式</v>
      </c>
      <c r="V95" s="118"/>
      <c r="W95" s="118"/>
      <c r="X95" s="119"/>
      <c r="Y95" s="160">
        <f t="shared" ref="Y95" si="183">Y67</f>
        <v>1</v>
      </c>
      <c r="Z95" s="161"/>
      <c r="AA95" s="161"/>
      <c r="AB95" s="161"/>
      <c r="AC95" s="161"/>
      <c r="AD95" s="162"/>
      <c r="AE95" s="159">
        <f t="shared" ref="AE95" si="184">AE67</f>
        <v>153000</v>
      </c>
      <c r="AF95" s="159"/>
      <c r="AG95" s="159"/>
      <c r="AH95" s="159"/>
      <c r="AI95" s="159"/>
      <c r="AJ95" s="159"/>
      <c r="AK95" s="167">
        <v>0</v>
      </c>
      <c r="AL95" s="167"/>
      <c r="AM95" s="167"/>
      <c r="AN95" s="167"/>
      <c r="AO95" s="167"/>
      <c r="AP95" s="167"/>
      <c r="AQ95" s="159">
        <f t="shared" si="173"/>
        <v>0</v>
      </c>
      <c r="AR95" s="159"/>
      <c r="AS95" s="159"/>
      <c r="AT95" s="159"/>
      <c r="AU95" s="159"/>
      <c r="AV95" s="159"/>
      <c r="AW95" s="167">
        <f t="shared" si="156"/>
        <v>0</v>
      </c>
      <c r="AX95" s="167"/>
      <c r="AY95" s="167"/>
      <c r="AZ95" s="167"/>
      <c r="BA95" s="167"/>
      <c r="BB95" s="167"/>
      <c r="BC95" s="167">
        <f t="shared" si="174"/>
        <v>0</v>
      </c>
      <c r="BD95" s="167"/>
      <c r="BE95" s="167"/>
      <c r="BF95" s="167"/>
      <c r="BG95" s="167"/>
      <c r="BH95" s="168"/>
      <c r="BI95" s="3">
        <f t="shared" si="149"/>
        <v>153000</v>
      </c>
    </row>
    <row r="96" spans="1:69" ht="32.450000000000003" customHeight="1" x14ac:dyDescent="0.25">
      <c r="A96" s="150">
        <f t="shared" ref="A96" si="185">A68</f>
        <v>7</v>
      </c>
      <c r="B96" s="151"/>
      <c r="C96" s="151"/>
      <c r="D96" s="152"/>
      <c r="E96" s="153" t="str">
        <f t="shared" ref="E96" si="186">E68</f>
        <v>施做抿石子(1~2分AK石，抿石子專用泥)</v>
      </c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5"/>
      <c r="U96" s="117" t="str">
        <f t="shared" ref="U96" si="187">U68</f>
        <v>M2</v>
      </c>
      <c r="V96" s="118"/>
      <c r="W96" s="118"/>
      <c r="X96" s="119"/>
      <c r="Y96" s="160">
        <f t="shared" ref="Y96" si="188">Y68</f>
        <v>38</v>
      </c>
      <c r="Z96" s="161"/>
      <c r="AA96" s="161"/>
      <c r="AB96" s="161"/>
      <c r="AC96" s="161"/>
      <c r="AD96" s="162"/>
      <c r="AE96" s="159">
        <f t="shared" ref="AE96" si="189">AE68</f>
        <v>1460</v>
      </c>
      <c r="AF96" s="159"/>
      <c r="AG96" s="159"/>
      <c r="AH96" s="159"/>
      <c r="AI96" s="159"/>
      <c r="AJ96" s="159"/>
      <c r="AK96" s="167">
        <v>0</v>
      </c>
      <c r="AL96" s="167"/>
      <c r="AM96" s="167"/>
      <c r="AN96" s="167"/>
      <c r="AO96" s="167"/>
      <c r="AP96" s="167"/>
      <c r="AQ96" s="159">
        <f t="shared" si="173"/>
        <v>0</v>
      </c>
      <c r="AR96" s="159"/>
      <c r="AS96" s="159"/>
      <c r="AT96" s="159"/>
      <c r="AU96" s="159"/>
      <c r="AV96" s="159"/>
      <c r="AW96" s="167">
        <f t="shared" si="156"/>
        <v>0</v>
      </c>
      <c r="AX96" s="167"/>
      <c r="AY96" s="167"/>
      <c r="AZ96" s="167"/>
      <c r="BA96" s="167"/>
      <c r="BB96" s="167"/>
      <c r="BC96" s="167">
        <f t="shared" si="174"/>
        <v>0</v>
      </c>
      <c r="BD96" s="167"/>
      <c r="BE96" s="167"/>
      <c r="BF96" s="167"/>
      <c r="BG96" s="167"/>
      <c r="BH96" s="168"/>
      <c r="BI96" s="3">
        <f t="shared" si="149"/>
        <v>55480</v>
      </c>
    </row>
    <row r="97" spans="1:61" ht="21" customHeight="1" x14ac:dyDescent="0.25">
      <c r="A97" s="150">
        <f t="shared" ref="A97" si="190">A69</f>
        <v>8</v>
      </c>
      <c r="B97" s="151"/>
      <c r="C97" s="151"/>
      <c r="D97" s="152"/>
      <c r="E97" s="153" t="str">
        <f t="shared" ref="E97" si="191">E69</f>
        <v>無障礙坡道地坪拉毛</v>
      </c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5"/>
      <c r="U97" s="117" t="str">
        <f t="shared" ref="U97" si="192">U69</f>
        <v>M2</v>
      </c>
      <c r="V97" s="118"/>
      <c r="W97" s="118"/>
      <c r="X97" s="119"/>
      <c r="Y97" s="160">
        <f t="shared" ref="Y97" si="193">Y69</f>
        <v>33</v>
      </c>
      <c r="Z97" s="161"/>
      <c r="AA97" s="161"/>
      <c r="AB97" s="161"/>
      <c r="AC97" s="161"/>
      <c r="AD97" s="162"/>
      <c r="AE97" s="159">
        <f t="shared" ref="AE97" si="194">AE69</f>
        <v>100</v>
      </c>
      <c r="AF97" s="159"/>
      <c r="AG97" s="159"/>
      <c r="AH97" s="159"/>
      <c r="AI97" s="159"/>
      <c r="AJ97" s="159"/>
      <c r="AK97" s="167"/>
      <c r="AL97" s="167"/>
      <c r="AM97" s="167"/>
      <c r="AN97" s="167"/>
      <c r="AO97" s="167"/>
      <c r="AP97" s="167"/>
      <c r="AQ97" s="159"/>
      <c r="AR97" s="159"/>
      <c r="AS97" s="159"/>
      <c r="AT97" s="159"/>
      <c r="AU97" s="159"/>
      <c r="AV97" s="159"/>
      <c r="AW97" s="167">
        <f t="shared" si="156"/>
        <v>0</v>
      </c>
      <c r="AX97" s="167"/>
      <c r="AY97" s="167"/>
      <c r="AZ97" s="167"/>
      <c r="BA97" s="167"/>
      <c r="BB97" s="167"/>
      <c r="BC97" s="167"/>
      <c r="BD97" s="167"/>
      <c r="BE97" s="167"/>
      <c r="BF97" s="167"/>
      <c r="BG97" s="167"/>
      <c r="BH97" s="168"/>
      <c r="BI97" s="3">
        <f t="shared" si="149"/>
        <v>3300</v>
      </c>
    </row>
    <row r="98" spans="1:61" s="19" customFormat="1" ht="34.5" customHeight="1" x14ac:dyDescent="0.25">
      <c r="A98" s="127">
        <f t="shared" ref="A98" si="195">A70</f>
        <v>9</v>
      </c>
      <c r="B98" s="128"/>
      <c r="C98" s="128"/>
      <c r="D98" s="129"/>
      <c r="E98" s="153" t="str">
        <f t="shared" ref="E98" si="196">E70</f>
        <v>司令台既有樓梯面清潔，刷止滑漆(一底二度)</v>
      </c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5"/>
      <c r="U98" s="133" t="str">
        <f t="shared" ref="U98" si="197">U70</f>
        <v>式</v>
      </c>
      <c r="V98" s="134"/>
      <c r="W98" s="134"/>
      <c r="X98" s="135"/>
      <c r="Y98" s="160">
        <f t="shared" ref="Y98" si="198">Y70</f>
        <v>1</v>
      </c>
      <c r="Z98" s="161"/>
      <c r="AA98" s="161"/>
      <c r="AB98" s="161"/>
      <c r="AC98" s="161"/>
      <c r="AD98" s="162"/>
      <c r="AE98" s="159">
        <f t="shared" ref="AE98" si="199">AE70</f>
        <v>3000</v>
      </c>
      <c r="AF98" s="159"/>
      <c r="AG98" s="159"/>
      <c r="AH98" s="159"/>
      <c r="AI98" s="159"/>
      <c r="AJ98" s="159"/>
      <c r="AK98" s="167">
        <v>0</v>
      </c>
      <c r="AL98" s="167"/>
      <c r="AM98" s="167"/>
      <c r="AN98" s="167"/>
      <c r="AO98" s="167"/>
      <c r="AP98" s="167"/>
      <c r="AQ98" s="159">
        <f t="shared" ref="AQ98:AQ105" si="200">AK98*AE98</f>
        <v>0</v>
      </c>
      <c r="AR98" s="159"/>
      <c r="AS98" s="159"/>
      <c r="AT98" s="159"/>
      <c r="AU98" s="159"/>
      <c r="AV98" s="159"/>
      <c r="AW98" s="167">
        <f t="shared" si="156"/>
        <v>0</v>
      </c>
      <c r="AX98" s="167"/>
      <c r="AY98" s="167"/>
      <c r="AZ98" s="167"/>
      <c r="BA98" s="167"/>
      <c r="BB98" s="167"/>
      <c r="BC98" s="167">
        <f t="shared" ref="BC98:BC100" si="201">ROUND(AW98*AE98,0)</f>
        <v>0</v>
      </c>
      <c r="BD98" s="167"/>
      <c r="BE98" s="167"/>
      <c r="BF98" s="167"/>
      <c r="BG98" s="167"/>
      <c r="BH98" s="168"/>
      <c r="BI98" s="18">
        <f t="shared" si="149"/>
        <v>3000</v>
      </c>
    </row>
    <row r="99" spans="1:61" ht="35.25" customHeight="1" x14ac:dyDescent="0.25">
      <c r="A99" s="150">
        <f t="shared" ref="A99" si="202">A71</f>
        <v>10</v>
      </c>
      <c r="B99" s="151"/>
      <c r="C99" s="151"/>
      <c r="D99" s="152"/>
      <c r="E99" s="153" t="str">
        <f t="shared" ref="E99" si="203">E71</f>
        <v>校舍、教室及司令台坡道出入口配置無線押扣與插電式緊急求救鈴</v>
      </c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5"/>
      <c r="U99" s="117" t="str">
        <f t="shared" ref="U99" si="204">U71</f>
        <v>組</v>
      </c>
      <c r="V99" s="118"/>
      <c r="W99" s="118"/>
      <c r="X99" s="119"/>
      <c r="Y99" s="160">
        <f t="shared" ref="Y99" si="205">Y71</f>
        <v>8</v>
      </c>
      <c r="Z99" s="161"/>
      <c r="AA99" s="161"/>
      <c r="AB99" s="161"/>
      <c r="AC99" s="161"/>
      <c r="AD99" s="162"/>
      <c r="AE99" s="159">
        <f t="shared" ref="AE99" si="206">AE71</f>
        <v>700</v>
      </c>
      <c r="AF99" s="159"/>
      <c r="AG99" s="159"/>
      <c r="AH99" s="159"/>
      <c r="AI99" s="159"/>
      <c r="AJ99" s="159"/>
      <c r="AK99" s="167">
        <v>0</v>
      </c>
      <c r="AL99" s="167"/>
      <c r="AM99" s="167"/>
      <c r="AN99" s="167"/>
      <c r="AO99" s="167"/>
      <c r="AP99" s="167"/>
      <c r="AQ99" s="159">
        <f t="shared" si="200"/>
        <v>0</v>
      </c>
      <c r="AR99" s="159"/>
      <c r="AS99" s="159"/>
      <c r="AT99" s="159"/>
      <c r="AU99" s="159"/>
      <c r="AV99" s="159"/>
      <c r="AW99" s="167">
        <f t="shared" si="156"/>
        <v>0</v>
      </c>
      <c r="AX99" s="167"/>
      <c r="AY99" s="167"/>
      <c r="AZ99" s="167"/>
      <c r="BA99" s="167"/>
      <c r="BB99" s="167"/>
      <c r="BC99" s="167">
        <f t="shared" si="201"/>
        <v>0</v>
      </c>
      <c r="BD99" s="167"/>
      <c r="BE99" s="167"/>
      <c r="BF99" s="167"/>
      <c r="BG99" s="167"/>
      <c r="BH99" s="168"/>
      <c r="BI99" s="3">
        <f t="shared" si="149"/>
        <v>5600</v>
      </c>
    </row>
    <row r="100" spans="1:61" ht="36.75" customHeight="1" x14ac:dyDescent="0.25">
      <c r="A100" s="150">
        <f t="shared" ref="A100" si="207">A72</f>
        <v>11</v>
      </c>
      <c r="B100" s="151"/>
      <c r="C100" s="151"/>
      <c r="D100" s="152"/>
      <c r="E100" s="153" t="str">
        <f t="shared" ref="E100" si="208">E72</f>
        <v>司令台周圍及無障礙坡道安裝不鏽鋼扶手(連工帶料)</v>
      </c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5"/>
      <c r="U100" s="117" t="str">
        <f t="shared" ref="U100" si="209">U72</f>
        <v>M</v>
      </c>
      <c r="V100" s="118"/>
      <c r="W100" s="118"/>
      <c r="X100" s="119"/>
      <c r="Y100" s="156">
        <f t="shared" ref="Y100" si="210">Y72</f>
        <v>48</v>
      </c>
      <c r="Z100" s="157"/>
      <c r="AA100" s="157"/>
      <c r="AB100" s="157"/>
      <c r="AC100" s="157"/>
      <c r="AD100" s="158"/>
      <c r="AE100" s="159">
        <f t="shared" ref="AE100" si="211">AE72</f>
        <v>3000</v>
      </c>
      <c r="AF100" s="159"/>
      <c r="AG100" s="159"/>
      <c r="AH100" s="159"/>
      <c r="AI100" s="159"/>
      <c r="AJ100" s="159"/>
      <c r="AK100" s="160">
        <v>0</v>
      </c>
      <c r="AL100" s="161"/>
      <c r="AM100" s="161"/>
      <c r="AN100" s="161"/>
      <c r="AO100" s="161"/>
      <c r="AP100" s="162"/>
      <c r="AQ100" s="163">
        <f t="shared" si="200"/>
        <v>0</v>
      </c>
      <c r="AR100" s="164"/>
      <c r="AS100" s="164"/>
      <c r="AT100" s="164"/>
      <c r="AU100" s="164"/>
      <c r="AV100" s="165"/>
      <c r="AW100" s="160">
        <f t="shared" si="156"/>
        <v>0</v>
      </c>
      <c r="AX100" s="161"/>
      <c r="AY100" s="161"/>
      <c r="AZ100" s="161"/>
      <c r="BA100" s="161"/>
      <c r="BB100" s="162"/>
      <c r="BC100" s="160">
        <f t="shared" si="201"/>
        <v>0</v>
      </c>
      <c r="BD100" s="161"/>
      <c r="BE100" s="161"/>
      <c r="BF100" s="161"/>
      <c r="BG100" s="161"/>
      <c r="BH100" s="166"/>
      <c r="BI100" s="3">
        <f t="shared" si="149"/>
        <v>144000</v>
      </c>
    </row>
    <row r="101" spans="1:61" s="19" customFormat="1" ht="35.25" customHeight="1" x14ac:dyDescent="0.25">
      <c r="A101" s="127" t="str">
        <f t="shared" ref="A101" si="212">A73</f>
        <v>貳</v>
      </c>
      <c r="B101" s="128"/>
      <c r="C101" s="128"/>
      <c r="D101" s="129"/>
      <c r="E101" s="130" t="str">
        <f t="shared" ref="E101" si="213">E73</f>
        <v>職業安全衛生管理費與施工環境保護與清潔（壹*2%）</v>
      </c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2"/>
      <c r="U101" s="133" t="str">
        <f t="shared" ref="U101" si="214">U73</f>
        <v>式</v>
      </c>
      <c r="V101" s="134"/>
      <c r="W101" s="134"/>
      <c r="X101" s="135"/>
      <c r="Y101" s="136">
        <f t="shared" ref="Y101" si="215">Y73</f>
        <v>1</v>
      </c>
      <c r="Z101" s="137"/>
      <c r="AA101" s="137"/>
      <c r="AB101" s="137"/>
      <c r="AC101" s="137"/>
      <c r="AD101" s="138"/>
      <c r="AE101" s="139">
        <f t="shared" ref="AE101" si="216">AE73</f>
        <v>8807</v>
      </c>
      <c r="AF101" s="139"/>
      <c r="AG101" s="139"/>
      <c r="AH101" s="139"/>
      <c r="AI101" s="139"/>
      <c r="AJ101" s="139"/>
      <c r="AK101" s="140">
        <v>1.7000000000000001E-2</v>
      </c>
      <c r="AL101" s="141"/>
      <c r="AM101" s="141"/>
      <c r="AN101" s="141"/>
      <c r="AO101" s="141"/>
      <c r="AP101" s="142"/>
      <c r="AQ101" s="143">
        <f t="shared" si="200"/>
        <v>149.71900000000002</v>
      </c>
      <c r="AR101" s="144"/>
      <c r="AS101" s="144"/>
      <c r="AT101" s="144"/>
      <c r="AU101" s="144"/>
      <c r="AV101" s="145"/>
      <c r="AW101" s="140">
        <f>AW73+AK101</f>
        <v>6.8000000000000005E-2</v>
      </c>
      <c r="AX101" s="141"/>
      <c r="AY101" s="141"/>
      <c r="AZ101" s="141"/>
      <c r="BA101" s="141"/>
      <c r="BB101" s="142"/>
      <c r="BC101" s="136">
        <f>ROUND(AW101*AE101,0)</f>
        <v>599</v>
      </c>
      <c r="BD101" s="137"/>
      <c r="BE101" s="137"/>
      <c r="BF101" s="137"/>
      <c r="BG101" s="137"/>
      <c r="BH101" s="146"/>
      <c r="BI101" s="18">
        <f t="shared" si="149"/>
        <v>8807</v>
      </c>
    </row>
    <row r="102" spans="1:61" s="19" customFormat="1" ht="21.95" customHeight="1" x14ac:dyDescent="0.25">
      <c r="A102" s="127" t="str">
        <f t="shared" ref="A102" si="217">A74</f>
        <v>參</v>
      </c>
      <c r="B102" s="128"/>
      <c r="C102" s="128"/>
      <c r="D102" s="129"/>
      <c r="E102" s="130" t="str">
        <f t="shared" ref="E102" si="218">E74</f>
        <v>公共工程品質管制作業費（壹*1%）</v>
      </c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2"/>
      <c r="U102" s="133" t="str">
        <f t="shared" ref="U102" si="219">U74</f>
        <v>式</v>
      </c>
      <c r="V102" s="134"/>
      <c r="W102" s="134"/>
      <c r="X102" s="135"/>
      <c r="Y102" s="147">
        <f t="shared" ref="Y102" si="220">Y74</f>
        <v>1</v>
      </c>
      <c r="Z102" s="148"/>
      <c r="AA102" s="148"/>
      <c r="AB102" s="148"/>
      <c r="AC102" s="148"/>
      <c r="AD102" s="149"/>
      <c r="AE102" s="139">
        <f t="shared" ref="AE102" si="221">AE74</f>
        <v>4404</v>
      </c>
      <c r="AF102" s="139"/>
      <c r="AG102" s="139"/>
      <c r="AH102" s="139"/>
      <c r="AI102" s="139"/>
      <c r="AJ102" s="139"/>
      <c r="AK102" s="140">
        <v>1.7000000000000001E-2</v>
      </c>
      <c r="AL102" s="141"/>
      <c r="AM102" s="141"/>
      <c r="AN102" s="141"/>
      <c r="AO102" s="141"/>
      <c r="AP102" s="142"/>
      <c r="AQ102" s="143">
        <f t="shared" si="200"/>
        <v>74.868000000000009</v>
      </c>
      <c r="AR102" s="144"/>
      <c r="AS102" s="144"/>
      <c r="AT102" s="144"/>
      <c r="AU102" s="144"/>
      <c r="AV102" s="145"/>
      <c r="AW102" s="140">
        <f t="shared" ref="AW102:AW105" si="222">AW74+AK102</f>
        <v>6.8000000000000005E-2</v>
      </c>
      <c r="AX102" s="141"/>
      <c r="AY102" s="141"/>
      <c r="AZ102" s="141"/>
      <c r="BA102" s="141"/>
      <c r="BB102" s="142"/>
      <c r="BC102" s="136">
        <f t="shared" ref="BC102:BC105" si="223">ROUND(AW102*AE102,0)</f>
        <v>299</v>
      </c>
      <c r="BD102" s="137"/>
      <c r="BE102" s="137"/>
      <c r="BF102" s="137"/>
      <c r="BG102" s="137"/>
      <c r="BH102" s="146"/>
      <c r="BI102" s="18">
        <f t="shared" si="149"/>
        <v>4404</v>
      </c>
    </row>
    <row r="103" spans="1:61" s="19" customFormat="1" ht="21.95" customHeight="1" x14ac:dyDescent="0.25">
      <c r="A103" s="127" t="str">
        <f t="shared" ref="A103" si="224">A75</f>
        <v>肆</v>
      </c>
      <c r="B103" s="128"/>
      <c r="C103" s="128"/>
      <c r="D103" s="129"/>
      <c r="E103" s="130" t="str">
        <f t="shared" ref="E103" si="225">E75</f>
        <v>包商管理及利潤費（約壹*7%）</v>
      </c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2"/>
      <c r="U103" s="133" t="str">
        <f t="shared" ref="U103" si="226">U75</f>
        <v>式</v>
      </c>
      <c r="V103" s="134"/>
      <c r="W103" s="134"/>
      <c r="X103" s="135"/>
      <c r="Y103" s="147">
        <f t="shared" ref="Y103" si="227">Y75</f>
        <v>1</v>
      </c>
      <c r="Z103" s="148"/>
      <c r="AA103" s="148"/>
      <c r="AB103" s="148"/>
      <c r="AC103" s="148"/>
      <c r="AD103" s="149"/>
      <c r="AE103" s="139">
        <f t="shared" ref="AE103" si="228">AE75</f>
        <v>30825</v>
      </c>
      <c r="AF103" s="139"/>
      <c r="AG103" s="139"/>
      <c r="AH103" s="139"/>
      <c r="AI103" s="139"/>
      <c r="AJ103" s="139"/>
      <c r="AK103" s="140">
        <v>1.7000000000000001E-2</v>
      </c>
      <c r="AL103" s="141"/>
      <c r="AM103" s="141"/>
      <c r="AN103" s="141"/>
      <c r="AO103" s="141"/>
      <c r="AP103" s="142"/>
      <c r="AQ103" s="143">
        <f t="shared" si="200"/>
        <v>524.02500000000009</v>
      </c>
      <c r="AR103" s="144"/>
      <c r="AS103" s="144"/>
      <c r="AT103" s="144"/>
      <c r="AU103" s="144"/>
      <c r="AV103" s="145"/>
      <c r="AW103" s="140">
        <f t="shared" si="222"/>
        <v>6.8000000000000005E-2</v>
      </c>
      <c r="AX103" s="141"/>
      <c r="AY103" s="141"/>
      <c r="AZ103" s="141"/>
      <c r="BA103" s="141"/>
      <c r="BB103" s="142"/>
      <c r="BC103" s="136">
        <f t="shared" si="223"/>
        <v>2096</v>
      </c>
      <c r="BD103" s="137"/>
      <c r="BE103" s="137"/>
      <c r="BF103" s="137"/>
      <c r="BG103" s="137"/>
      <c r="BH103" s="146"/>
      <c r="BI103" s="18">
        <f t="shared" si="149"/>
        <v>30825</v>
      </c>
    </row>
    <row r="104" spans="1:61" s="19" customFormat="1" ht="21.95" customHeight="1" x14ac:dyDescent="0.25">
      <c r="A104" s="127" t="str">
        <f t="shared" ref="A104" si="229">A76</f>
        <v>伍</v>
      </c>
      <c r="B104" s="128"/>
      <c r="C104" s="128"/>
      <c r="D104" s="129"/>
      <c r="E104" s="130" t="str">
        <f t="shared" ref="E104" si="230">E76</f>
        <v>營造綜合保險費</v>
      </c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2"/>
      <c r="U104" s="133" t="str">
        <f t="shared" ref="U104" si="231">U76</f>
        <v>式</v>
      </c>
      <c r="V104" s="134"/>
      <c r="W104" s="134"/>
      <c r="X104" s="135"/>
      <c r="Y104" s="136">
        <f t="shared" ref="Y104" si="232">Y76</f>
        <v>1</v>
      </c>
      <c r="Z104" s="137"/>
      <c r="AA104" s="137"/>
      <c r="AB104" s="137"/>
      <c r="AC104" s="137"/>
      <c r="AD104" s="138"/>
      <c r="AE104" s="139">
        <f t="shared" ref="AE104" si="233">AE76</f>
        <v>1321</v>
      </c>
      <c r="AF104" s="139"/>
      <c r="AG104" s="139"/>
      <c r="AH104" s="139"/>
      <c r="AI104" s="139"/>
      <c r="AJ104" s="139"/>
      <c r="AK104" s="136">
        <v>0</v>
      </c>
      <c r="AL104" s="137"/>
      <c r="AM104" s="137"/>
      <c r="AN104" s="137"/>
      <c r="AO104" s="137"/>
      <c r="AP104" s="138"/>
      <c r="AQ104" s="143">
        <f t="shared" si="200"/>
        <v>0</v>
      </c>
      <c r="AR104" s="144"/>
      <c r="AS104" s="144"/>
      <c r="AT104" s="144"/>
      <c r="AU104" s="144"/>
      <c r="AV104" s="145"/>
      <c r="AW104" s="136">
        <f t="shared" si="222"/>
        <v>1</v>
      </c>
      <c r="AX104" s="137"/>
      <c r="AY104" s="137"/>
      <c r="AZ104" s="137"/>
      <c r="BA104" s="137"/>
      <c r="BB104" s="138"/>
      <c r="BC104" s="136">
        <f t="shared" si="223"/>
        <v>1321</v>
      </c>
      <c r="BD104" s="137"/>
      <c r="BE104" s="137"/>
      <c r="BF104" s="137"/>
      <c r="BG104" s="137"/>
      <c r="BH104" s="146"/>
      <c r="BI104" s="18">
        <f t="shared" si="149"/>
        <v>1321</v>
      </c>
    </row>
    <row r="105" spans="1:61" s="19" customFormat="1" ht="21.95" customHeight="1" x14ac:dyDescent="0.25">
      <c r="A105" s="127" t="str">
        <f t="shared" ref="A105" si="234">A77</f>
        <v>陸</v>
      </c>
      <c r="B105" s="128"/>
      <c r="C105" s="128"/>
      <c r="D105" s="129"/>
      <c r="E105" s="130" t="str">
        <f t="shared" ref="E105" si="235">E77</f>
        <v>營業稅（(壹~伍)*5％）</v>
      </c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2"/>
      <c r="U105" s="133" t="str">
        <f t="shared" ref="U105" si="236">U77</f>
        <v>式</v>
      </c>
      <c r="V105" s="134"/>
      <c r="W105" s="134"/>
      <c r="X105" s="135"/>
      <c r="Y105" s="136">
        <f t="shared" ref="Y105" si="237">Y77</f>
        <v>1</v>
      </c>
      <c r="Z105" s="137"/>
      <c r="AA105" s="137"/>
      <c r="AB105" s="137"/>
      <c r="AC105" s="137"/>
      <c r="AD105" s="138"/>
      <c r="AE105" s="139">
        <f t="shared" ref="AE105" si="238">AE77</f>
        <v>24286</v>
      </c>
      <c r="AF105" s="139"/>
      <c r="AG105" s="139"/>
      <c r="AH105" s="139"/>
      <c r="AI105" s="139"/>
      <c r="AJ105" s="139"/>
      <c r="AK105" s="140">
        <v>1.7000000000000001E-2</v>
      </c>
      <c r="AL105" s="141"/>
      <c r="AM105" s="141"/>
      <c r="AN105" s="141"/>
      <c r="AO105" s="141"/>
      <c r="AP105" s="142"/>
      <c r="AQ105" s="143">
        <f t="shared" si="200"/>
        <v>412.86200000000002</v>
      </c>
      <c r="AR105" s="144"/>
      <c r="AS105" s="144"/>
      <c r="AT105" s="144"/>
      <c r="AU105" s="144"/>
      <c r="AV105" s="145"/>
      <c r="AW105" s="140">
        <f t="shared" si="222"/>
        <v>6.8000000000000005E-2</v>
      </c>
      <c r="AX105" s="141"/>
      <c r="AY105" s="141"/>
      <c r="AZ105" s="141"/>
      <c r="BA105" s="141"/>
      <c r="BB105" s="142"/>
      <c r="BC105" s="136">
        <f t="shared" si="223"/>
        <v>1651</v>
      </c>
      <c r="BD105" s="137"/>
      <c r="BE105" s="137"/>
      <c r="BF105" s="137"/>
      <c r="BG105" s="137"/>
      <c r="BH105" s="146"/>
      <c r="BI105" s="18">
        <f t="shared" si="149"/>
        <v>24286</v>
      </c>
    </row>
    <row r="106" spans="1:61" ht="21.95" customHeight="1" x14ac:dyDescent="0.25">
      <c r="A106" s="111"/>
      <c r="B106" s="112"/>
      <c r="C106" s="112"/>
      <c r="D106" s="113"/>
      <c r="E106" s="114" t="s">
        <v>75</v>
      </c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6"/>
      <c r="U106" s="117"/>
      <c r="V106" s="118"/>
      <c r="W106" s="118"/>
      <c r="X106" s="119"/>
      <c r="Y106" s="120"/>
      <c r="Z106" s="121"/>
      <c r="AA106" s="121"/>
      <c r="AB106" s="121"/>
      <c r="AC106" s="121"/>
      <c r="AD106" s="122"/>
      <c r="AE106" s="123"/>
      <c r="AF106" s="124"/>
      <c r="AG106" s="124"/>
      <c r="AH106" s="124"/>
      <c r="AI106" s="124"/>
      <c r="AJ106" s="125"/>
      <c r="AK106" s="120"/>
      <c r="AL106" s="121"/>
      <c r="AM106" s="121"/>
      <c r="AN106" s="121"/>
      <c r="AO106" s="121"/>
      <c r="AP106" s="122"/>
      <c r="AQ106" s="123">
        <f>SUM(AQ92:AQ105)</f>
        <v>1161.4740000000002</v>
      </c>
      <c r="AR106" s="124"/>
      <c r="AS106" s="124"/>
      <c r="AT106" s="124"/>
      <c r="AU106" s="124"/>
      <c r="AV106" s="125"/>
      <c r="AW106" s="120"/>
      <c r="AX106" s="121"/>
      <c r="AY106" s="121"/>
      <c r="AZ106" s="121"/>
      <c r="BA106" s="121"/>
      <c r="BB106" s="122"/>
      <c r="BC106" s="120">
        <f>SUM(BC92:BC105)</f>
        <v>7966</v>
      </c>
      <c r="BD106" s="121"/>
      <c r="BE106" s="121"/>
      <c r="BF106" s="121"/>
      <c r="BG106" s="121"/>
      <c r="BH106" s="126"/>
      <c r="BI106" s="17">
        <f>SUM(BI90:BI105)</f>
        <v>510000</v>
      </c>
    </row>
    <row r="107" spans="1:61" ht="21.95" customHeight="1" x14ac:dyDescent="0.25">
      <c r="A107" s="101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02"/>
      <c r="AJ107" s="103"/>
      <c r="AK107" s="104"/>
      <c r="AL107" s="105"/>
      <c r="AM107" s="105"/>
      <c r="AN107" s="105"/>
      <c r="AO107" s="105"/>
      <c r="AP107" s="106"/>
      <c r="AQ107" s="107"/>
      <c r="AR107" s="108"/>
      <c r="AS107" s="108"/>
      <c r="AT107" s="108"/>
      <c r="AU107" s="108"/>
      <c r="AV107" s="109"/>
      <c r="AW107" s="104"/>
      <c r="AX107" s="105"/>
      <c r="AY107" s="105"/>
      <c r="AZ107" s="105"/>
      <c r="BA107" s="105"/>
      <c r="BB107" s="106"/>
      <c r="BC107" s="104"/>
      <c r="BD107" s="105"/>
      <c r="BE107" s="105"/>
      <c r="BF107" s="105"/>
      <c r="BG107" s="105"/>
      <c r="BH107" s="110"/>
      <c r="BI107" s="15">
        <f>Y107*AE107</f>
        <v>0</v>
      </c>
    </row>
    <row r="108" spans="1:61" ht="21.95" customHeight="1" x14ac:dyDescent="0.25">
      <c r="A108" s="101" t="s">
        <v>11</v>
      </c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  <c r="AH108" s="102"/>
      <c r="AI108" s="102"/>
      <c r="AJ108" s="103"/>
      <c r="AK108" s="104"/>
      <c r="AL108" s="105"/>
      <c r="AM108" s="105"/>
      <c r="AN108" s="105"/>
      <c r="AO108" s="105"/>
      <c r="AP108" s="106"/>
      <c r="AQ108" s="107">
        <f>BC106/BI106</f>
        <v>1.5619607843137255E-2</v>
      </c>
      <c r="AR108" s="108"/>
      <c r="AS108" s="108"/>
      <c r="AT108" s="108"/>
      <c r="AU108" s="108"/>
      <c r="AV108" s="109"/>
      <c r="AW108" s="104"/>
      <c r="AX108" s="105"/>
      <c r="AY108" s="105"/>
      <c r="AZ108" s="105"/>
      <c r="BA108" s="105"/>
      <c r="BB108" s="106"/>
      <c r="BC108" s="104"/>
      <c r="BD108" s="105"/>
      <c r="BE108" s="105"/>
      <c r="BF108" s="105"/>
      <c r="BG108" s="105"/>
      <c r="BH108" s="110"/>
      <c r="BI108" s="15">
        <f>AQ108</f>
        <v>1.5619607843137255E-2</v>
      </c>
    </row>
    <row r="109" spans="1:61" ht="18.75" customHeight="1" x14ac:dyDescent="0.25">
      <c r="A109" s="90" t="s">
        <v>15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2"/>
      <c r="AE109" s="93" t="s">
        <v>14</v>
      </c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/>
      <c r="BH109" s="94"/>
    </row>
    <row r="110" spans="1:61" x14ac:dyDescent="0.25">
      <c r="A110" s="95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96"/>
      <c r="AN110" s="96"/>
      <c r="AO110" s="96"/>
      <c r="AP110" s="96"/>
      <c r="AQ110" s="96"/>
      <c r="AR110" s="96"/>
      <c r="AS110" s="96"/>
      <c r="AT110" s="96"/>
      <c r="AU110" s="96"/>
      <c r="AV110" s="96"/>
      <c r="AW110" s="96"/>
      <c r="AX110" s="96"/>
      <c r="AY110" s="96"/>
      <c r="AZ110" s="96"/>
      <c r="BA110" s="96"/>
      <c r="BB110" s="96"/>
      <c r="BC110" s="96"/>
      <c r="BD110" s="96"/>
      <c r="BE110" s="96"/>
      <c r="BF110" s="96"/>
      <c r="BG110" s="96"/>
      <c r="BH110" s="99"/>
    </row>
    <row r="111" spans="1:61" x14ac:dyDescent="0.25">
      <c r="A111" s="95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P111" s="96"/>
      <c r="AQ111" s="96"/>
      <c r="AR111" s="96"/>
      <c r="AS111" s="96"/>
      <c r="AT111" s="96"/>
      <c r="AU111" s="96"/>
      <c r="AV111" s="96"/>
      <c r="AW111" s="96"/>
      <c r="AX111" s="96"/>
      <c r="AY111" s="96"/>
      <c r="AZ111" s="96"/>
      <c r="BA111" s="96"/>
      <c r="BB111" s="96"/>
      <c r="BC111" s="96"/>
      <c r="BD111" s="96"/>
      <c r="BE111" s="96"/>
      <c r="BF111" s="96"/>
      <c r="BG111" s="96"/>
      <c r="BH111" s="99"/>
    </row>
    <row r="112" spans="1:61" ht="17.25" thickBot="1" x14ac:dyDescent="0.3">
      <c r="A112" s="97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  <c r="AH112" s="98"/>
      <c r="AI112" s="98"/>
      <c r="AJ112" s="98"/>
      <c r="AK112" s="98"/>
      <c r="AL112" s="98"/>
      <c r="AM112" s="98"/>
      <c r="AN112" s="98"/>
      <c r="AO112" s="98"/>
      <c r="AP112" s="98"/>
      <c r="AQ112" s="98"/>
      <c r="AR112" s="98"/>
      <c r="AS112" s="98"/>
      <c r="AT112" s="98"/>
      <c r="AU112" s="98"/>
      <c r="AV112" s="98"/>
      <c r="AW112" s="98"/>
      <c r="AX112" s="98"/>
      <c r="AY112" s="98"/>
      <c r="AZ112" s="98"/>
      <c r="BA112" s="98"/>
      <c r="BB112" s="98"/>
      <c r="BC112" s="98"/>
      <c r="BD112" s="98"/>
      <c r="BE112" s="98"/>
      <c r="BF112" s="98"/>
      <c r="BG112" s="98"/>
      <c r="BH112" s="100"/>
    </row>
    <row r="113" spans="1:69" ht="27.75" x14ac:dyDescent="0.25">
      <c r="A113" s="182" t="s">
        <v>81</v>
      </c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  <c r="AC113" s="182"/>
      <c r="AD113" s="182"/>
      <c r="AE113" s="182"/>
      <c r="AF113" s="182"/>
      <c r="AG113" s="182"/>
      <c r="AH113" s="182"/>
      <c r="AI113" s="182"/>
      <c r="AJ113" s="182"/>
      <c r="AK113" s="182"/>
      <c r="AL113" s="182"/>
      <c r="AM113" s="182"/>
      <c r="AN113" s="182"/>
      <c r="AO113" s="182"/>
      <c r="AP113" s="182"/>
      <c r="AQ113" s="182"/>
      <c r="AR113" s="182"/>
      <c r="AS113" s="182"/>
      <c r="AT113" s="182"/>
      <c r="AU113" s="182"/>
      <c r="AV113" s="182"/>
      <c r="AW113" s="182"/>
      <c r="AX113" s="182"/>
      <c r="AY113" s="182"/>
      <c r="AZ113" s="182"/>
      <c r="BA113" s="182"/>
      <c r="BB113" s="182"/>
      <c r="BC113" s="182"/>
      <c r="BD113" s="182"/>
      <c r="BE113" s="182"/>
      <c r="BF113" s="182"/>
      <c r="BG113" s="182"/>
      <c r="BH113" s="182"/>
    </row>
    <row r="114" spans="1:69" ht="27.75" x14ac:dyDescent="0.25">
      <c r="A114" s="183" t="s">
        <v>12</v>
      </c>
      <c r="B114" s="183"/>
      <c r="C114" s="183"/>
      <c r="D114" s="183"/>
      <c r="E114" s="183"/>
      <c r="F114" s="183"/>
      <c r="G114" s="183"/>
      <c r="H114" s="183"/>
      <c r="I114" s="183"/>
      <c r="J114" s="184" t="s">
        <v>85</v>
      </c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185"/>
      <c r="AF114" s="185"/>
      <c r="AG114" s="185"/>
      <c r="AH114" s="185"/>
      <c r="AI114" s="185"/>
      <c r="AJ114" s="185"/>
      <c r="AK114" s="185"/>
      <c r="AL114" s="185"/>
      <c r="AM114" s="185"/>
      <c r="AN114" s="185"/>
      <c r="AO114" s="185"/>
      <c r="AP114" s="185"/>
      <c r="AQ114" s="185"/>
      <c r="AR114" s="185"/>
      <c r="AS114" s="185"/>
      <c r="AT114" s="185"/>
      <c r="AU114" s="185"/>
      <c r="AV114" s="185"/>
      <c r="AW114" s="185"/>
      <c r="AX114" s="185"/>
      <c r="AY114" s="185"/>
      <c r="AZ114" s="185"/>
      <c r="BA114" s="185"/>
      <c r="BB114" s="185"/>
      <c r="BC114" s="185"/>
      <c r="BD114" s="185"/>
      <c r="BE114" s="185"/>
      <c r="BF114" s="185"/>
      <c r="BG114" s="185"/>
      <c r="BH114" s="185"/>
      <c r="BI114" s="185"/>
      <c r="BJ114" s="185"/>
      <c r="BK114" s="185"/>
      <c r="BL114" s="185"/>
      <c r="BM114" s="185"/>
      <c r="BN114" s="185"/>
      <c r="BO114" s="185"/>
      <c r="BP114" s="185"/>
      <c r="BQ114" s="185"/>
    </row>
    <row r="115" spans="1:69" ht="17.25" thickBot="1" x14ac:dyDescent="0.3">
      <c r="A115" s="186" t="s">
        <v>10</v>
      </c>
      <c r="B115" s="186"/>
      <c r="C115" s="186"/>
      <c r="D115" s="186"/>
      <c r="E115" s="186"/>
      <c r="F115" s="186"/>
      <c r="G115" s="186"/>
      <c r="H115" s="186"/>
      <c r="I115" s="187" t="s">
        <v>78</v>
      </c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87"/>
      <c r="AB115" s="187"/>
      <c r="AC115" s="187"/>
      <c r="AD115" s="187"/>
      <c r="AE115" s="187"/>
      <c r="AF115" s="187"/>
      <c r="AG115" s="187"/>
      <c r="AH115" s="187"/>
      <c r="AI115" s="187"/>
      <c r="AJ115" s="187"/>
      <c r="AK115" s="187"/>
      <c r="AL115" s="187"/>
      <c r="AM115" s="187"/>
      <c r="AN115" s="187"/>
      <c r="AO115" s="188" t="s">
        <v>9</v>
      </c>
      <c r="AP115" s="188"/>
      <c r="AQ115" s="188"/>
      <c r="AR115" s="188"/>
      <c r="AS115" s="188"/>
      <c r="AT115" s="188"/>
      <c r="AU115" s="188"/>
      <c r="AV115" s="188"/>
      <c r="AW115" s="189">
        <f>AW87+1</f>
        <v>45914</v>
      </c>
      <c r="AX115" s="189"/>
      <c r="AY115" s="189"/>
      <c r="AZ115" s="189"/>
      <c r="BA115" s="189"/>
      <c r="BB115" s="189"/>
      <c r="BC115" s="189"/>
      <c r="BD115" s="189"/>
      <c r="BE115" s="189"/>
      <c r="BF115" s="189"/>
      <c r="BG115" s="189"/>
      <c r="BH115" s="189"/>
    </row>
    <row r="116" spans="1:69" ht="36" customHeight="1" x14ac:dyDescent="0.25">
      <c r="A116" s="180" t="s">
        <v>0</v>
      </c>
      <c r="B116" s="83"/>
      <c r="C116" s="83"/>
      <c r="D116" s="83"/>
      <c r="E116" s="83" t="s">
        <v>6</v>
      </c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 t="s">
        <v>7</v>
      </c>
      <c r="V116" s="83"/>
      <c r="W116" s="83"/>
      <c r="X116" s="83"/>
      <c r="Y116" s="181" t="s">
        <v>1</v>
      </c>
      <c r="Z116" s="181"/>
      <c r="AA116" s="181"/>
      <c r="AB116" s="181"/>
      <c r="AC116" s="181"/>
      <c r="AD116" s="181"/>
      <c r="AE116" s="83" t="s">
        <v>8</v>
      </c>
      <c r="AF116" s="83"/>
      <c r="AG116" s="83"/>
      <c r="AH116" s="83"/>
      <c r="AI116" s="83"/>
      <c r="AJ116" s="83"/>
      <c r="AK116" s="181" t="s">
        <v>2</v>
      </c>
      <c r="AL116" s="181"/>
      <c r="AM116" s="181"/>
      <c r="AN116" s="181"/>
      <c r="AO116" s="181"/>
      <c r="AP116" s="181"/>
      <c r="AQ116" s="84" t="s">
        <v>3</v>
      </c>
      <c r="AR116" s="84"/>
      <c r="AS116" s="84"/>
      <c r="AT116" s="84"/>
      <c r="AU116" s="84"/>
      <c r="AV116" s="84"/>
      <c r="AW116" s="181" t="s">
        <v>4</v>
      </c>
      <c r="AX116" s="181"/>
      <c r="AY116" s="181"/>
      <c r="AZ116" s="181"/>
      <c r="BA116" s="181"/>
      <c r="BB116" s="181"/>
      <c r="BC116" s="84" t="s">
        <v>5</v>
      </c>
      <c r="BD116" s="84"/>
      <c r="BE116" s="84"/>
      <c r="BF116" s="84"/>
      <c r="BG116" s="84"/>
      <c r="BH116" s="85"/>
      <c r="BI116" s="1"/>
    </row>
    <row r="117" spans="1:69" ht="21.95" customHeight="1" x14ac:dyDescent="0.25">
      <c r="A117" s="150" t="str">
        <f t="shared" ref="A117" si="239">A89</f>
        <v>壹</v>
      </c>
      <c r="B117" s="151"/>
      <c r="C117" s="151"/>
      <c r="D117" s="152"/>
      <c r="E117" s="175" t="str">
        <f t="shared" ref="E117" si="240">E89</f>
        <v>直接工程費</v>
      </c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7"/>
      <c r="U117" s="117"/>
      <c r="V117" s="118"/>
      <c r="W117" s="118"/>
      <c r="X117" s="119"/>
      <c r="Y117" s="178"/>
      <c r="Z117" s="178"/>
      <c r="AA117" s="178"/>
      <c r="AB117" s="178"/>
      <c r="AC117" s="178"/>
      <c r="AD117" s="178"/>
      <c r="AE117" s="178"/>
      <c r="AF117" s="178"/>
      <c r="AG117" s="178"/>
      <c r="AH117" s="178"/>
      <c r="AI117" s="178"/>
      <c r="AJ117" s="178"/>
      <c r="AK117" s="178"/>
      <c r="AL117" s="178"/>
      <c r="AM117" s="178"/>
      <c r="AN117" s="178"/>
      <c r="AO117" s="178"/>
      <c r="AP117" s="178"/>
      <c r="AQ117" s="178"/>
      <c r="AR117" s="178"/>
      <c r="AS117" s="178"/>
      <c r="AT117" s="178"/>
      <c r="AU117" s="178"/>
      <c r="AV117" s="178"/>
      <c r="AW117" s="178"/>
      <c r="AX117" s="178"/>
      <c r="AY117" s="178"/>
      <c r="AZ117" s="178"/>
      <c r="BA117" s="178"/>
      <c r="BB117" s="178"/>
      <c r="BC117" s="178"/>
      <c r="BD117" s="178"/>
      <c r="BE117" s="178"/>
      <c r="BF117" s="178"/>
      <c r="BG117" s="178"/>
      <c r="BH117" s="179"/>
      <c r="BI117" s="3">
        <f t="shared" ref="BI117:BI133" si="241">Y117*AE117</f>
        <v>0</v>
      </c>
    </row>
    <row r="118" spans="1:69" s="19" customFormat="1" ht="21.95" customHeight="1" x14ac:dyDescent="0.25">
      <c r="A118" s="127">
        <f t="shared" ref="A118" si="242">A90</f>
        <v>1</v>
      </c>
      <c r="B118" s="128"/>
      <c r="C118" s="128"/>
      <c r="D118" s="129"/>
      <c r="E118" s="170" t="str">
        <f t="shared" ref="E118" si="243">E90</f>
        <v>工程告示牌與職安衛告示牌(租用)</v>
      </c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2"/>
      <c r="U118" s="133" t="str">
        <f t="shared" ref="U118" si="244">U90</f>
        <v>式</v>
      </c>
      <c r="V118" s="134"/>
      <c r="W118" s="134"/>
      <c r="X118" s="135"/>
      <c r="Y118" s="136">
        <f t="shared" ref="Y118" si="245">Y90</f>
        <v>1</v>
      </c>
      <c r="Z118" s="137"/>
      <c r="AA118" s="137"/>
      <c r="AB118" s="137"/>
      <c r="AC118" s="137"/>
      <c r="AD118" s="138"/>
      <c r="AE118" s="139">
        <f t="shared" ref="AE118" si="246">AE90</f>
        <v>5000</v>
      </c>
      <c r="AF118" s="139"/>
      <c r="AG118" s="139"/>
      <c r="AH118" s="139"/>
      <c r="AI118" s="139"/>
      <c r="AJ118" s="139"/>
      <c r="AK118" s="173">
        <v>0</v>
      </c>
      <c r="AL118" s="173"/>
      <c r="AM118" s="173"/>
      <c r="AN118" s="173"/>
      <c r="AO118" s="173"/>
      <c r="AP118" s="173"/>
      <c r="AQ118" s="139">
        <f t="shared" ref="AQ118:AQ119" si="247">AK118*AE118</f>
        <v>0</v>
      </c>
      <c r="AR118" s="139"/>
      <c r="AS118" s="139"/>
      <c r="AT118" s="139"/>
      <c r="AU118" s="139"/>
      <c r="AV118" s="139"/>
      <c r="AW118" s="173">
        <f t="shared" ref="AW118:AW128" si="248">AW90+AK118</f>
        <v>1</v>
      </c>
      <c r="AX118" s="173"/>
      <c r="AY118" s="173"/>
      <c r="AZ118" s="173"/>
      <c r="BA118" s="173"/>
      <c r="BB118" s="173"/>
      <c r="BC118" s="173">
        <f t="shared" ref="BC118:BC119" si="249">ROUND(AW118*AE118,0)</f>
        <v>5000</v>
      </c>
      <c r="BD118" s="173"/>
      <c r="BE118" s="173"/>
      <c r="BF118" s="173"/>
      <c r="BG118" s="173"/>
      <c r="BH118" s="174"/>
      <c r="BI118" s="18">
        <f t="shared" si="241"/>
        <v>5000</v>
      </c>
    </row>
    <row r="119" spans="1:69" s="19" customFormat="1" ht="21.95" customHeight="1" x14ac:dyDescent="0.25">
      <c r="A119" s="127">
        <f t="shared" ref="A119" si="250">A91</f>
        <v>2</v>
      </c>
      <c r="B119" s="128"/>
      <c r="C119" s="128"/>
      <c r="D119" s="129"/>
      <c r="E119" s="170" t="str">
        <f t="shared" ref="E119" si="251">E91</f>
        <v>三角錐與連桿(租用)</v>
      </c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2"/>
      <c r="U119" s="133" t="str">
        <f t="shared" ref="U119" si="252">U91</f>
        <v>M</v>
      </c>
      <c r="V119" s="134"/>
      <c r="W119" s="134"/>
      <c r="X119" s="135"/>
      <c r="Y119" s="147">
        <f t="shared" ref="Y119" si="253">Y91</f>
        <v>86</v>
      </c>
      <c r="Z119" s="148"/>
      <c r="AA119" s="148"/>
      <c r="AB119" s="148"/>
      <c r="AC119" s="148"/>
      <c r="AD119" s="149"/>
      <c r="AE119" s="139">
        <f t="shared" ref="AE119" si="254">AE91</f>
        <v>60</v>
      </c>
      <c r="AF119" s="139"/>
      <c r="AG119" s="139"/>
      <c r="AH119" s="139"/>
      <c r="AI119" s="139"/>
      <c r="AJ119" s="139"/>
      <c r="AK119" s="173">
        <v>0</v>
      </c>
      <c r="AL119" s="173"/>
      <c r="AM119" s="173"/>
      <c r="AN119" s="173"/>
      <c r="AO119" s="173"/>
      <c r="AP119" s="173"/>
      <c r="AQ119" s="139">
        <f t="shared" si="247"/>
        <v>0</v>
      </c>
      <c r="AR119" s="139"/>
      <c r="AS119" s="139"/>
      <c r="AT119" s="139"/>
      <c r="AU119" s="139"/>
      <c r="AV119" s="139"/>
      <c r="AW119" s="173">
        <f t="shared" si="248"/>
        <v>86</v>
      </c>
      <c r="AX119" s="173"/>
      <c r="AY119" s="173"/>
      <c r="AZ119" s="173"/>
      <c r="BA119" s="173"/>
      <c r="BB119" s="173"/>
      <c r="BC119" s="173">
        <f t="shared" si="249"/>
        <v>5160</v>
      </c>
      <c r="BD119" s="173"/>
      <c r="BE119" s="173"/>
      <c r="BF119" s="173"/>
      <c r="BG119" s="173"/>
      <c r="BH119" s="174"/>
      <c r="BI119" s="18">
        <f t="shared" si="241"/>
        <v>5160</v>
      </c>
    </row>
    <row r="120" spans="1:69" s="19" customFormat="1" ht="33" customHeight="1" x14ac:dyDescent="0.25">
      <c r="A120" s="150">
        <f t="shared" ref="A120" si="255">A92</f>
        <v>3</v>
      </c>
      <c r="B120" s="151"/>
      <c r="C120" s="151"/>
      <c r="D120" s="152"/>
      <c r="E120" s="175" t="str">
        <f t="shared" ref="E120" si="256">E92</f>
        <v>施工動線開闢及損害復原；測量與放樣</v>
      </c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7"/>
      <c r="U120" s="117" t="str">
        <f t="shared" ref="U120" si="257">U92</f>
        <v>式</v>
      </c>
      <c r="V120" s="118"/>
      <c r="W120" s="118"/>
      <c r="X120" s="119"/>
      <c r="Y120" s="156">
        <f t="shared" ref="Y120" si="258">Y92</f>
        <v>1</v>
      </c>
      <c r="Z120" s="157"/>
      <c r="AA120" s="157"/>
      <c r="AB120" s="157"/>
      <c r="AC120" s="157"/>
      <c r="AD120" s="158"/>
      <c r="AE120" s="159">
        <f t="shared" ref="AE120" si="259">AE92</f>
        <v>4000</v>
      </c>
      <c r="AF120" s="159"/>
      <c r="AG120" s="159"/>
      <c r="AH120" s="159"/>
      <c r="AI120" s="159"/>
      <c r="AJ120" s="159"/>
      <c r="AK120" s="167">
        <v>0</v>
      </c>
      <c r="AL120" s="167"/>
      <c r="AM120" s="167"/>
      <c r="AN120" s="167"/>
      <c r="AO120" s="167"/>
      <c r="AP120" s="167"/>
      <c r="AQ120" s="159">
        <f>AK120*AE120</f>
        <v>0</v>
      </c>
      <c r="AR120" s="159"/>
      <c r="AS120" s="159"/>
      <c r="AT120" s="159"/>
      <c r="AU120" s="159"/>
      <c r="AV120" s="159"/>
      <c r="AW120" s="167">
        <f t="shared" si="248"/>
        <v>0.5</v>
      </c>
      <c r="AX120" s="167"/>
      <c r="AY120" s="167"/>
      <c r="AZ120" s="167"/>
      <c r="BA120" s="167"/>
      <c r="BB120" s="167"/>
      <c r="BC120" s="167">
        <f>ROUND(AW120*AE120,0)</f>
        <v>2000</v>
      </c>
      <c r="BD120" s="167"/>
      <c r="BE120" s="167"/>
      <c r="BF120" s="167"/>
      <c r="BG120" s="167"/>
      <c r="BH120" s="168"/>
      <c r="BI120" s="18">
        <f t="shared" si="241"/>
        <v>4000</v>
      </c>
    </row>
    <row r="121" spans="1:69" ht="54" customHeight="1" x14ac:dyDescent="0.25">
      <c r="A121" s="150">
        <f t="shared" ref="A121" si="260">A93</f>
        <v>4</v>
      </c>
      <c r="B121" s="151"/>
      <c r="C121" s="151"/>
      <c r="D121" s="152"/>
      <c r="E121" s="175" t="str">
        <f t="shared" ref="E121" si="261">E93</f>
        <v>切割打除清運校舍與教室出入口地坪以及司令台階梯平台(含合法清運證明)</v>
      </c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7"/>
      <c r="U121" s="117" t="str">
        <f t="shared" ref="U121" si="262">U93</f>
        <v>式</v>
      </c>
      <c r="V121" s="118"/>
      <c r="W121" s="118"/>
      <c r="X121" s="119"/>
      <c r="Y121" s="156">
        <f t="shared" ref="Y121" si="263">Y93</f>
        <v>1</v>
      </c>
      <c r="Z121" s="157"/>
      <c r="AA121" s="157"/>
      <c r="AB121" s="157"/>
      <c r="AC121" s="157"/>
      <c r="AD121" s="158"/>
      <c r="AE121" s="159">
        <f t="shared" ref="AE121" si="264">AE93</f>
        <v>52817</v>
      </c>
      <c r="AF121" s="159"/>
      <c r="AG121" s="159"/>
      <c r="AH121" s="159"/>
      <c r="AI121" s="159"/>
      <c r="AJ121" s="159"/>
      <c r="AK121" s="167">
        <v>0</v>
      </c>
      <c r="AL121" s="167"/>
      <c r="AM121" s="167"/>
      <c r="AN121" s="167"/>
      <c r="AO121" s="167"/>
      <c r="AP121" s="167"/>
      <c r="AQ121" s="159">
        <f t="shared" ref="AQ121:AQ124" si="265">AK121*AE121</f>
        <v>0</v>
      </c>
      <c r="AR121" s="159"/>
      <c r="AS121" s="159"/>
      <c r="AT121" s="159"/>
      <c r="AU121" s="159"/>
      <c r="AV121" s="159"/>
      <c r="AW121" s="167">
        <f t="shared" si="248"/>
        <v>0</v>
      </c>
      <c r="AX121" s="167"/>
      <c r="AY121" s="167"/>
      <c r="AZ121" s="167"/>
      <c r="BA121" s="167"/>
      <c r="BB121" s="167"/>
      <c r="BC121" s="167">
        <f t="shared" ref="BC121:BC124" si="266">ROUND(AW121*AE121,0)</f>
        <v>0</v>
      </c>
      <c r="BD121" s="167"/>
      <c r="BE121" s="167"/>
      <c r="BF121" s="167"/>
      <c r="BG121" s="167"/>
      <c r="BH121" s="168"/>
      <c r="BI121" s="16">
        <f t="shared" si="241"/>
        <v>52817</v>
      </c>
    </row>
    <row r="122" spans="1:69" ht="20.25" customHeight="1" x14ac:dyDescent="0.25">
      <c r="A122" s="150">
        <f t="shared" ref="A122" si="267">A94</f>
        <v>5</v>
      </c>
      <c r="B122" s="151"/>
      <c r="C122" s="151"/>
      <c r="D122" s="152"/>
      <c r="E122" s="153" t="str">
        <f t="shared" ref="E122" si="268">E94</f>
        <v>校舍出入口施做斜坡順平高差</v>
      </c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5"/>
      <c r="U122" s="117" t="str">
        <f t="shared" ref="U122" si="269">U94</f>
        <v>M2</v>
      </c>
      <c r="V122" s="118"/>
      <c r="W122" s="118"/>
      <c r="X122" s="119"/>
      <c r="Y122" s="160">
        <f t="shared" ref="Y122" si="270">Y94</f>
        <v>15</v>
      </c>
      <c r="Z122" s="161"/>
      <c r="AA122" s="161"/>
      <c r="AB122" s="161"/>
      <c r="AC122" s="161"/>
      <c r="AD122" s="162"/>
      <c r="AE122" s="169">
        <f t="shared" ref="AE122" si="271">AE94</f>
        <v>600</v>
      </c>
      <c r="AF122" s="169"/>
      <c r="AG122" s="169"/>
      <c r="AH122" s="169"/>
      <c r="AI122" s="169"/>
      <c r="AJ122" s="169"/>
      <c r="AK122" s="167">
        <v>0</v>
      </c>
      <c r="AL122" s="167"/>
      <c r="AM122" s="167"/>
      <c r="AN122" s="167"/>
      <c r="AO122" s="167"/>
      <c r="AP122" s="167"/>
      <c r="AQ122" s="159">
        <f t="shared" si="265"/>
        <v>0</v>
      </c>
      <c r="AR122" s="159"/>
      <c r="AS122" s="159"/>
      <c r="AT122" s="159"/>
      <c r="AU122" s="159"/>
      <c r="AV122" s="159"/>
      <c r="AW122" s="167">
        <f t="shared" si="248"/>
        <v>0</v>
      </c>
      <c r="AX122" s="167"/>
      <c r="AY122" s="167"/>
      <c r="AZ122" s="167"/>
      <c r="BA122" s="167"/>
      <c r="BB122" s="167"/>
      <c r="BC122" s="167">
        <f t="shared" si="266"/>
        <v>0</v>
      </c>
      <c r="BD122" s="167"/>
      <c r="BE122" s="167"/>
      <c r="BF122" s="167"/>
      <c r="BG122" s="167"/>
      <c r="BH122" s="168"/>
      <c r="BI122" s="3">
        <f t="shared" si="241"/>
        <v>9000</v>
      </c>
    </row>
    <row r="123" spans="1:69" ht="50.25" customHeight="1" x14ac:dyDescent="0.25">
      <c r="A123" s="150">
        <f t="shared" ref="A123" si="272">A95</f>
        <v>6</v>
      </c>
      <c r="B123" s="151"/>
      <c r="C123" s="151"/>
      <c r="D123" s="152"/>
      <c r="E123" s="153" t="str">
        <f t="shared" ref="E123" si="273">E95</f>
        <v>開挖整地，新設無障礙RC坡道，牆面與地坪粉刷整平(連工帶料，責任施工)</v>
      </c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5"/>
      <c r="U123" s="117" t="str">
        <f t="shared" ref="U123" si="274">U95</f>
        <v>式</v>
      </c>
      <c r="V123" s="118"/>
      <c r="W123" s="118"/>
      <c r="X123" s="119"/>
      <c r="Y123" s="160">
        <f t="shared" ref="Y123" si="275">Y95</f>
        <v>1</v>
      </c>
      <c r="Z123" s="161"/>
      <c r="AA123" s="161"/>
      <c r="AB123" s="161"/>
      <c r="AC123" s="161"/>
      <c r="AD123" s="162"/>
      <c r="AE123" s="159">
        <f t="shared" ref="AE123" si="276">AE95</f>
        <v>153000</v>
      </c>
      <c r="AF123" s="159"/>
      <c r="AG123" s="159"/>
      <c r="AH123" s="159"/>
      <c r="AI123" s="159"/>
      <c r="AJ123" s="159"/>
      <c r="AK123" s="167">
        <v>0</v>
      </c>
      <c r="AL123" s="167"/>
      <c r="AM123" s="167"/>
      <c r="AN123" s="167"/>
      <c r="AO123" s="167"/>
      <c r="AP123" s="167"/>
      <c r="AQ123" s="159">
        <f t="shared" si="265"/>
        <v>0</v>
      </c>
      <c r="AR123" s="159"/>
      <c r="AS123" s="159"/>
      <c r="AT123" s="159"/>
      <c r="AU123" s="159"/>
      <c r="AV123" s="159"/>
      <c r="AW123" s="167">
        <f t="shared" si="248"/>
        <v>0</v>
      </c>
      <c r="AX123" s="167"/>
      <c r="AY123" s="167"/>
      <c r="AZ123" s="167"/>
      <c r="BA123" s="167"/>
      <c r="BB123" s="167"/>
      <c r="BC123" s="167">
        <f t="shared" si="266"/>
        <v>0</v>
      </c>
      <c r="BD123" s="167"/>
      <c r="BE123" s="167"/>
      <c r="BF123" s="167"/>
      <c r="BG123" s="167"/>
      <c r="BH123" s="168"/>
      <c r="BI123" s="3">
        <f t="shared" si="241"/>
        <v>153000</v>
      </c>
    </row>
    <row r="124" spans="1:69" ht="32.450000000000003" customHeight="1" x14ac:dyDescent="0.25">
      <c r="A124" s="150">
        <f t="shared" ref="A124" si="277">A96</f>
        <v>7</v>
      </c>
      <c r="B124" s="151"/>
      <c r="C124" s="151"/>
      <c r="D124" s="152"/>
      <c r="E124" s="153" t="str">
        <f t="shared" ref="E124" si="278">E96</f>
        <v>施做抿石子(1~2分AK石，抿石子專用泥)</v>
      </c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5"/>
      <c r="U124" s="117" t="str">
        <f t="shared" ref="U124" si="279">U96</f>
        <v>M2</v>
      </c>
      <c r="V124" s="118"/>
      <c r="W124" s="118"/>
      <c r="X124" s="119"/>
      <c r="Y124" s="160">
        <f t="shared" ref="Y124" si="280">Y96</f>
        <v>38</v>
      </c>
      <c r="Z124" s="161"/>
      <c r="AA124" s="161"/>
      <c r="AB124" s="161"/>
      <c r="AC124" s="161"/>
      <c r="AD124" s="162"/>
      <c r="AE124" s="159">
        <f t="shared" ref="AE124" si="281">AE96</f>
        <v>1460</v>
      </c>
      <c r="AF124" s="159"/>
      <c r="AG124" s="159"/>
      <c r="AH124" s="159"/>
      <c r="AI124" s="159"/>
      <c r="AJ124" s="159"/>
      <c r="AK124" s="167">
        <v>0</v>
      </c>
      <c r="AL124" s="167"/>
      <c r="AM124" s="167"/>
      <c r="AN124" s="167"/>
      <c r="AO124" s="167"/>
      <c r="AP124" s="167"/>
      <c r="AQ124" s="159">
        <f t="shared" si="265"/>
        <v>0</v>
      </c>
      <c r="AR124" s="159"/>
      <c r="AS124" s="159"/>
      <c r="AT124" s="159"/>
      <c r="AU124" s="159"/>
      <c r="AV124" s="159"/>
      <c r="AW124" s="167">
        <f t="shared" si="248"/>
        <v>0</v>
      </c>
      <c r="AX124" s="167"/>
      <c r="AY124" s="167"/>
      <c r="AZ124" s="167"/>
      <c r="BA124" s="167"/>
      <c r="BB124" s="167"/>
      <c r="BC124" s="167">
        <f t="shared" si="266"/>
        <v>0</v>
      </c>
      <c r="BD124" s="167"/>
      <c r="BE124" s="167"/>
      <c r="BF124" s="167"/>
      <c r="BG124" s="167"/>
      <c r="BH124" s="168"/>
      <c r="BI124" s="3">
        <f t="shared" si="241"/>
        <v>55480</v>
      </c>
    </row>
    <row r="125" spans="1:69" ht="21" customHeight="1" x14ac:dyDescent="0.25">
      <c r="A125" s="150">
        <f t="shared" ref="A125" si="282">A97</f>
        <v>8</v>
      </c>
      <c r="B125" s="151"/>
      <c r="C125" s="151"/>
      <c r="D125" s="152"/>
      <c r="E125" s="153" t="str">
        <f t="shared" ref="E125" si="283">E97</f>
        <v>無障礙坡道地坪拉毛</v>
      </c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5"/>
      <c r="U125" s="117" t="str">
        <f t="shared" ref="U125" si="284">U97</f>
        <v>M2</v>
      </c>
      <c r="V125" s="118"/>
      <c r="W125" s="118"/>
      <c r="X125" s="119"/>
      <c r="Y125" s="160">
        <f t="shared" ref="Y125" si="285">Y97</f>
        <v>33</v>
      </c>
      <c r="Z125" s="161"/>
      <c r="AA125" s="161"/>
      <c r="AB125" s="161"/>
      <c r="AC125" s="161"/>
      <c r="AD125" s="162"/>
      <c r="AE125" s="159">
        <f t="shared" ref="AE125" si="286">AE97</f>
        <v>100</v>
      </c>
      <c r="AF125" s="159"/>
      <c r="AG125" s="159"/>
      <c r="AH125" s="159"/>
      <c r="AI125" s="159"/>
      <c r="AJ125" s="159"/>
      <c r="AK125" s="167"/>
      <c r="AL125" s="167"/>
      <c r="AM125" s="167"/>
      <c r="AN125" s="167"/>
      <c r="AO125" s="167"/>
      <c r="AP125" s="167"/>
      <c r="AQ125" s="159"/>
      <c r="AR125" s="159"/>
      <c r="AS125" s="159"/>
      <c r="AT125" s="159"/>
      <c r="AU125" s="159"/>
      <c r="AV125" s="159"/>
      <c r="AW125" s="167">
        <f t="shared" si="248"/>
        <v>0</v>
      </c>
      <c r="AX125" s="167"/>
      <c r="AY125" s="167"/>
      <c r="AZ125" s="167"/>
      <c r="BA125" s="167"/>
      <c r="BB125" s="167"/>
      <c r="BC125" s="167"/>
      <c r="BD125" s="167"/>
      <c r="BE125" s="167"/>
      <c r="BF125" s="167"/>
      <c r="BG125" s="167"/>
      <c r="BH125" s="168"/>
      <c r="BI125" s="3">
        <f t="shared" si="241"/>
        <v>3300</v>
      </c>
    </row>
    <row r="126" spans="1:69" s="19" customFormat="1" ht="34.5" customHeight="1" x14ac:dyDescent="0.25">
      <c r="A126" s="127">
        <f t="shared" ref="A126" si="287">A98</f>
        <v>9</v>
      </c>
      <c r="B126" s="128"/>
      <c r="C126" s="128"/>
      <c r="D126" s="129"/>
      <c r="E126" s="153" t="str">
        <f t="shared" ref="E126" si="288">E98</f>
        <v>司令台既有樓梯面清潔，刷止滑漆(一底二度)</v>
      </c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5"/>
      <c r="U126" s="133" t="str">
        <f t="shared" ref="U126" si="289">U98</f>
        <v>式</v>
      </c>
      <c r="V126" s="134"/>
      <c r="W126" s="134"/>
      <c r="X126" s="135"/>
      <c r="Y126" s="160">
        <f t="shared" ref="Y126" si="290">Y98</f>
        <v>1</v>
      </c>
      <c r="Z126" s="161"/>
      <c r="AA126" s="161"/>
      <c r="AB126" s="161"/>
      <c r="AC126" s="161"/>
      <c r="AD126" s="162"/>
      <c r="AE126" s="159">
        <f t="shared" ref="AE126" si="291">AE98</f>
        <v>3000</v>
      </c>
      <c r="AF126" s="159"/>
      <c r="AG126" s="159"/>
      <c r="AH126" s="159"/>
      <c r="AI126" s="159"/>
      <c r="AJ126" s="159"/>
      <c r="AK126" s="167">
        <v>0</v>
      </c>
      <c r="AL126" s="167"/>
      <c r="AM126" s="167"/>
      <c r="AN126" s="167"/>
      <c r="AO126" s="167"/>
      <c r="AP126" s="167"/>
      <c r="AQ126" s="159">
        <f t="shared" ref="AQ126:AQ133" si="292">AK126*AE126</f>
        <v>0</v>
      </c>
      <c r="AR126" s="159"/>
      <c r="AS126" s="159"/>
      <c r="AT126" s="159"/>
      <c r="AU126" s="159"/>
      <c r="AV126" s="159"/>
      <c r="AW126" s="167">
        <f t="shared" si="248"/>
        <v>0</v>
      </c>
      <c r="AX126" s="167"/>
      <c r="AY126" s="167"/>
      <c r="AZ126" s="167"/>
      <c r="BA126" s="167"/>
      <c r="BB126" s="167"/>
      <c r="BC126" s="167">
        <f t="shared" ref="BC126:BC128" si="293">ROUND(AW126*AE126,0)</f>
        <v>0</v>
      </c>
      <c r="BD126" s="167"/>
      <c r="BE126" s="167"/>
      <c r="BF126" s="167"/>
      <c r="BG126" s="167"/>
      <c r="BH126" s="168"/>
      <c r="BI126" s="18">
        <f t="shared" si="241"/>
        <v>3000</v>
      </c>
    </row>
    <row r="127" spans="1:69" ht="35.25" customHeight="1" x14ac:dyDescent="0.25">
      <c r="A127" s="150">
        <f t="shared" ref="A127" si="294">A99</f>
        <v>10</v>
      </c>
      <c r="B127" s="151"/>
      <c r="C127" s="151"/>
      <c r="D127" s="152"/>
      <c r="E127" s="153" t="str">
        <f t="shared" ref="E127" si="295">E99</f>
        <v>校舍、教室及司令台坡道出入口配置無線押扣與插電式緊急求救鈴</v>
      </c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5"/>
      <c r="U127" s="117" t="str">
        <f t="shared" ref="U127" si="296">U99</f>
        <v>組</v>
      </c>
      <c r="V127" s="118"/>
      <c r="W127" s="118"/>
      <c r="X127" s="119"/>
      <c r="Y127" s="160">
        <f t="shared" ref="Y127" si="297">Y99</f>
        <v>8</v>
      </c>
      <c r="Z127" s="161"/>
      <c r="AA127" s="161"/>
      <c r="AB127" s="161"/>
      <c r="AC127" s="161"/>
      <c r="AD127" s="162"/>
      <c r="AE127" s="159">
        <f t="shared" ref="AE127" si="298">AE99</f>
        <v>700</v>
      </c>
      <c r="AF127" s="159"/>
      <c r="AG127" s="159"/>
      <c r="AH127" s="159"/>
      <c r="AI127" s="159"/>
      <c r="AJ127" s="159"/>
      <c r="AK127" s="167">
        <v>0</v>
      </c>
      <c r="AL127" s="167"/>
      <c r="AM127" s="167"/>
      <c r="AN127" s="167"/>
      <c r="AO127" s="167"/>
      <c r="AP127" s="167"/>
      <c r="AQ127" s="159">
        <f t="shared" si="292"/>
        <v>0</v>
      </c>
      <c r="AR127" s="159"/>
      <c r="AS127" s="159"/>
      <c r="AT127" s="159"/>
      <c r="AU127" s="159"/>
      <c r="AV127" s="159"/>
      <c r="AW127" s="167">
        <f t="shared" si="248"/>
        <v>0</v>
      </c>
      <c r="AX127" s="167"/>
      <c r="AY127" s="167"/>
      <c r="AZ127" s="167"/>
      <c r="BA127" s="167"/>
      <c r="BB127" s="167"/>
      <c r="BC127" s="167">
        <f t="shared" si="293"/>
        <v>0</v>
      </c>
      <c r="BD127" s="167"/>
      <c r="BE127" s="167"/>
      <c r="BF127" s="167"/>
      <c r="BG127" s="167"/>
      <c r="BH127" s="168"/>
      <c r="BI127" s="3">
        <f t="shared" si="241"/>
        <v>5600</v>
      </c>
    </row>
    <row r="128" spans="1:69" ht="36.75" customHeight="1" x14ac:dyDescent="0.25">
      <c r="A128" s="150">
        <f t="shared" ref="A128" si="299">A100</f>
        <v>11</v>
      </c>
      <c r="B128" s="151"/>
      <c r="C128" s="151"/>
      <c r="D128" s="152"/>
      <c r="E128" s="153" t="str">
        <f t="shared" ref="E128" si="300">E100</f>
        <v>司令台周圍及無障礙坡道安裝不鏽鋼扶手(連工帶料)</v>
      </c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5"/>
      <c r="U128" s="117" t="str">
        <f t="shared" ref="U128" si="301">U100</f>
        <v>M</v>
      </c>
      <c r="V128" s="118"/>
      <c r="W128" s="118"/>
      <c r="X128" s="119"/>
      <c r="Y128" s="156">
        <f t="shared" ref="Y128" si="302">Y100</f>
        <v>48</v>
      </c>
      <c r="Z128" s="157"/>
      <c r="AA128" s="157"/>
      <c r="AB128" s="157"/>
      <c r="AC128" s="157"/>
      <c r="AD128" s="158"/>
      <c r="AE128" s="159">
        <f t="shared" ref="AE128" si="303">AE100</f>
        <v>3000</v>
      </c>
      <c r="AF128" s="159"/>
      <c r="AG128" s="159"/>
      <c r="AH128" s="159"/>
      <c r="AI128" s="159"/>
      <c r="AJ128" s="159"/>
      <c r="AK128" s="160">
        <v>0</v>
      </c>
      <c r="AL128" s="161"/>
      <c r="AM128" s="161"/>
      <c r="AN128" s="161"/>
      <c r="AO128" s="161"/>
      <c r="AP128" s="162"/>
      <c r="AQ128" s="163">
        <f t="shared" si="292"/>
        <v>0</v>
      </c>
      <c r="AR128" s="164"/>
      <c r="AS128" s="164"/>
      <c r="AT128" s="164"/>
      <c r="AU128" s="164"/>
      <c r="AV128" s="165"/>
      <c r="AW128" s="160">
        <f t="shared" si="248"/>
        <v>0</v>
      </c>
      <c r="AX128" s="161"/>
      <c r="AY128" s="161"/>
      <c r="AZ128" s="161"/>
      <c r="BA128" s="161"/>
      <c r="BB128" s="162"/>
      <c r="BC128" s="160">
        <f t="shared" si="293"/>
        <v>0</v>
      </c>
      <c r="BD128" s="161"/>
      <c r="BE128" s="161"/>
      <c r="BF128" s="161"/>
      <c r="BG128" s="161"/>
      <c r="BH128" s="166"/>
      <c r="BI128" s="3">
        <f t="shared" si="241"/>
        <v>144000</v>
      </c>
    </row>
    <row r="129" spans="1:69" s="19" customFormat="1" ht="35.25" customHeight="1" x14ac:dyDescent="0.25">
      <c r="A129" s="127" t="str">
        <f t="shared" ref="A129" si="304">A101</f>
        <v>貳</v>
      </c>
      <c r="B129" s="128"/>
      <c r="C129" s="128"/>
      <c r="D129" s="129"/>
      <c r="E129" s="130" t="str">
        <f t="shared" ref="E129" si="305">E101</f>
        <v>職業安全衛生管理費與施工環境保護與清潔（壹*2%）</v>
      </c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2"/>
      <c r="U129" s="133" t="str">
        <f t="shared" ref="U129" si="306">U101</f>
        <v>式</v>
      </c>
      <c r="V129" s="134"/>
      <c r="W129" s="134"/>
      <c r="X129" s="135"/>
      <c r="Y129" s="136">
        <f t="shared" ref="Y129" si="307">Y101</f>
        <v>1</v>
      </c>
      <c r="Z129" s="137"/>
      <c r="AA129" s="137"/>
      <c r="AB129" s="137"/>
      <c r="AC129" s="137"/>
      <c r="AD129" s="138"/>
      <c r="AE129" s="139">
        <f t="shared" ref="AE129" si="308">AE101</f>
        <v>8807</v>
      </c>
      <c r="AF129" s="139"/>
      <c r="AG129" s="139"/>
      <c r="AH129" s="139"/>
      <c r="AI129" s="139"/>
      <c r="AJ129" s="139"/>
      <c r="AK129" s="140">
        <v>1.7000000000000001E-2</v>
      </c>
      <c r="AL129" s="141"/>
      <c r="AM129" s="141"/>
      <c r="AN129" s="141"/>
      <c r="AO129" s="141"/>
      <c r="AP129" s="142"/>
      <c r="AQ129" s="143">
        <f t="shared" si="292"/>
        <v>149.71900000000002</v>
      </c>
      <c r="AR129" s="144"/>
      <c r="AS129" s="144"/>
      <c r="AT129" s="144"/>
      <c r="AU129" s="144"/>
      <c r="AV129" s="145"/>
      <c r="AW129" s="140">
        <f>AW101+AK129</f>
        <v>8.5000000000000006E-2</v>
      </c>
      <c r="AX129" s="141"/>
      <c r="AY129" s="141"/>
      <c r="AZ129" s="141"/>
      <c r="BA129" s="141"/>
      <c r="BB129" s="142"/>
      <c r="BC129" s="136">
        <f>ROUND(AW129*AE129,0)</f>
        <v>749</v>
      </c>
      <c r="BD129" s="137"/>
      <c r="BE129" s="137"/>
      <c r="BF129" s="137"/>
      <c r="BG129" s="137"/>
      <c r="BH129" s="146"/>
      <c r="BI129" s="18">
        <f t="shared" si="241"/>
        <v>8807</v>
      </c>
    </row>
    <row r="130" spans="1:69" s="19" customFormat="1" ht="21.95" customHeight="1" x14ac:dyDescent="0.25">
      <c r="A130" s="127" t="str">
        <f t="shared" ref="A130" si="309">A102</f>
        <v>參</v>
      </c>
      <c r="B130" s="128"/>
      <c r="C130" s="128"/>
      <c r="D130" s="129"/>
      <c r="E130" s="130" t="str">
        <f t="shared" ref="E130" si="310">E102</f>
        <v>公共工程品質管制作業費（壹*1%）</v>
      </c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2"/>
      <c r="U130" s="133" t="str">
        <f t="shared" ref="U130" si="311">U102</f>
        <v>式</v>
      </c>
      <c r="V130" s="134"/>
      <c r="W130" s="134"/>
      <c r="X130" s="135"/>
      <c r="Y130" s="147">
        <f t="shared" ref="Y130" si="312">Y102</f>
        <v>1</v>
      </c>
      <c r="Z130" s="148"/>
      <c r="AA130" s="148"/>
      <c r="AB130" s="148"/>
      <c r="AC130" s="148"/>
      <c r="AD130" s="149"/>
      <c r="AE130" s="139">
        <f t="shared" ref="AE130" si="313">AE102</f>
        <v>4404</v>
      </c>
      <c r="AF130" s="139"/>
      <c r="AG130" s="139"/>
      <c r="AH130" s="139"/>
      <c r="AI130" s="139"/>
      <c r="AJ130" s="139"/>
      <c r="AK130" s="140">
        <v>1.7000000000000001E-2</v>
      </c>
      <c r="AL130" s="141"/>
      <c r="AM130" s="141"/>
      <c r="AN130" s="141"/>
      <c r="AO130" s="141"/>
      <c r="AP130" s="142"/>
      <c r="AQ130" s="143">
        <f t="shared" si="292"/>
        <v>74.868000000000009</v>
      </c>
      <c r="AR130" s="144"/>
      <c r="AS130" s="144"/>
      <c r="AT130" s="144"/>
      <c r="AU130" s="144"/>
      <c r="AV130" s="145"/>
      <c r="AW130" s="140">
        <f t="shared" ref="AW130:AW133" si="314">AW102+AK130</f>
        <v>8.5000000000000006E-2</v>
      </c>
      <c r="AX130" s="141"/>
      <c r="AY130" s="141"/>
      <c r="AZ130" s="141"/>
      <c r="BA130" s="141"/>
      <c r="BB130" s="142"/>
      <c r="BC130" s="136">
        <f t="shared" ref="BC130:BC133" si="315">ROUND(AW130*AE130,0)</f>
        <v>374</v>
      </c>
      <c r="BD130" s="137"/>
      <c r="BE130" s="137"/>
      <c r="BF130" s="137"/>
      <c r="BG130" s="137"/>
      <c r="BH130" s="146"/>
      <c r="BI130" s="18">
        <f t="shared" si="241"/>
        <v>4404</v>
      </c>
    </row>
    <row r="131" spans="1:69" s="19" customFormat="1" ht="21.95" customHeight="1" x14ac:dyDescent="0.25">
      <c r="A131" s="127" t="str">
        <f t="shared" ref="A131" si="316">A103</f>
        <v>肆</v>
      </c>
      <c r="B131" s="128"/>
      <c r="C131" s="128"/>
      <c r="D131" s="129"/>
      <c r="E131" s="130" t="str">
        <f t="shared" ref="E131" si="317">E103</f>
        <v>包商管理及利潤費（約壹*7%）</v>
      </c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2"/>
      <c r="U131" s="133" t="str">
        <f t="shared" ref="U131" si="318">U103</f>
        <v>式</v>
      </c>
      <c r="V131" s="134"/>
      <c r="W131" s="134"/>
      <c r="X131" s="135"/>
      <c r="Y131" s="147">
        <f t="shared" ref="Y131" si="319">Y103</f>
        <v>1</v>
      </c>
      <c r="Z131" s="148"/>
      <c r="AA131" s="148"/>
      <c r="AB131" s="148"/>
      <c r="AC131" s="148"/>
      <c r="AD131" s="149"/>
      <c r="AE131" s="139">
        <f t="shared" ref="AE131" si="320">AE103</f>
        <v>30825</v>
      </c>
      <c r="AF131" s="139"/>
      <c r="AG131" s="139"/>
      <c r="AH131" s="139"/>
      <c r="AI131" s="139"/>
      <c r="AJ131" s="139"/>
      <c r="AK131" s="140">
        <v>1.7000000000000001E-2</v>
      </c>
      <c r="AL131" s="141"/>
      <c r="AM131" s="141"/>
      <c r="AN131" s="141"/>
      <c r="AO131" s="141"/>
      <c r="AP131" s="142"/>
      <c r="AQ131" s="143">
        <f t="shared" si="292"/>
        <v>524.02500000000009</v>
      </c>
      <c r="AR131" s="144"/>
      <c r="AS131" s="144"/>
      <c r="AT131" s="144"/>
      <c r="AU131" s="144"/>
      <c r="AV131" s="145"/>
      <c r="AW131" s="140">
        <f t="shared" si="314"/>
        <v>8.5000000000000006E-2</v>
      </c>
      <c r="AX131" s="141"/>
      <c r="AY131" s="141"/>
      <c r="AZ131" s="141"/>
      <c r="BA131" s="141"/>
      <c r="BB131" s="142"/>
      <c r="BC131" s="136">
        <f t="shared" si="315"/>
        <v>2620</v>
      </c>
      <c r="BD131" s="137"/>
      <c r="BE131" s="137"/>
      <c r="BF131" s="137"/>
      <c r="BG131" s="137"/>
      <c r="BH131" s="146"/>
      <c r="BI131" s="18">
        <f t="shared" si="241"/>
        <v>30825</v>
      </c>
    </row>
    <row r="132" spans="1:69" s="19" customFormat="1" ht="21.95" customHeight="1" x14ac:dyDescent="0.25">
      <c r="A132" s="127" t="str">
        <f t="shared" ref="A132" si="321">A104</f>
        <v>伍</v>
      </c>
      <c r="B132" s="128"/>
      <c r="C132" s="128"/>
      <c r="D132" s="129"/>
      <c r="E132" s="130" t="str">
        <f t="shared" ref="E132" si="322">E104</f>
        <v>營造綜合保險費</v>
      </c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2"/>
      <c r="U132" s="133" t="str">
        <f t="shared" ref="U132" si="323">U104</f>
        <v>式</v>
      </c>
      <c r="V132" s="134"/>
      <c r="W132" s="134"/>
      <c r="X132" s="135"/>
      <c r="Y132" s="136">
        <f t="shared" ref="Y132" si="324">Y104</f>
        <v>1</v>
      </c>
      <c r="Z132" s="137"/>
      <c r="AA132" s="137"/>
      <c r="AB132" s="137"/>
      <c r="AC132" s="137"/>
      <c r="AD132" s="138"/>
      <c r="AE132" s="139">
        <f t="shared" ref="AE132" si="325">AE104</f>
        <v>1321</v>
      </c>
      <c r="AF132" s="139"/>
      <c r="AG132" s="139"/>
      <c r="AH132" s="139"/>
      <c r="AI132" s="139"/>
      <c r="AJ132" s="139"/>
      <c r="AK132" s="136">
        <v>0</v>
      </c>
      <c r="AL132" s="137"/>
      <c r="AM132" s="137"/>
      <c r="AN132" s="137"/>
      <c r="AO132" s="137"/>
      <c r="AP132" s="138"/>
      <c r="AQ132" s="143">
        <f t="shared" si="292"/>
        <v>0</v>
      </c>
      <c r="AR132" s="144"/>
      <c r="AS132" s="144"/>
      <c r="AT132" s="144"/>
      <c r="AU132" s="144"/>
      <c r="AV132" s="145"/>
      <c r="AW132" s="136">
        <f t="shared" si="314"/>
        <v>1</v>
      </c>
      <c r="AX132" s="137"/>
      <c r="AY132" s="137"/>
      <c r="AZ132" s="137"/>
      <c r="BA132" s="137"/>
      <c r="BB132" s="138"/>
      <c r="BC132" s="136">
        <f t="shared" si="315"/>
        <v>1321</v>
      </c>
      <c r="BD132" s="137"/>
      <c r="BE132" s="137"/>
      <c r="BF132" s="137"/>
      <c r="BG132" s="137"/>
      <c r="BH132" s="146"/>
      <c r="BI132" s="18">
        <f t="shared" si="241"/>
        <v>1321</v>
      </c>
    </row>
    <row r="133" spans="1:69" s="19" customFormat="1" ht="21.95" customHeight="1" x14ac:dyDescent="0.25">
      <c r="A133" s="127" t="str">
        <f t="shared" ref="A133" si="326">A105</f>
        <v>陸</v>
      </c>
      <c r="B133" s="128"/>
      <c r="C133" s="128"/>
      <c r="D133" s="129"/>
      <c r="E133" s="130" t="str">
        <f t="shared" ref="E133" si="327">E105</f>
        <v>營業稅（(壹~伍)*5％）</v>
      </c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2"/>
      <c r="U133" s="133" t="str">
        <f t="shared" ref="U133" si="328">U105</f>
        <v>式</v>
      </c>
      <c r="V133" s="134"/>
      <c r="W133" s="134"/>
      <c r="X133" s="135"/>
      <c r="Y133" s="136">
        <f t="shared" ref="Y133" si="329">Y105</f>
        <v>1</v>
      </c>
      <c r="Z133" s="137"/>
      <c r="AA133" s="137"/>
      <c r="AB133" s="137"/>
      <c r="AC133" s="137"/>
      <c r="AD133" s="138"/>
      <c r="AE133" s="139">
        <f t="shared" ref="AE133" si="330">AE105</f>
        <v>24286</v>
      </c>
      <c r="AF133" s="139"/>
      <c r="AG133" s="139"/>
      <c r="AH133" s="139"/>
      <c r="AI133" s="139"/>
      <c r="AJ133" s="139"/>
      <c r="AK133" s="140">
        <v>1.7000000000000001E-2</v>
      </c>
      <c r="AL133" s="141"/>
      <c r="AM133" s="141"/>
      <c r="AN133" s="141"/>
      <c r="AO133" s="141"/>
      <c r="AP133" s="142"/>
      <c r="AQ133" s="143">
        <f t="shared" si="292"/>
        <v>412.86200000000002</v>
      </c>
      <c r="AR133" s="144"/>
      <c r="AS133" s="144"/>
      <c r="AT133" s="144"/>
      <c r="AU133" s="144"/>
      <c r="AV133" s="145"/>
      <c r="AW133" s="140">
        <f t="shared" si="314"/>
        <v>8.5000000000000006E-2</v>
      </c>
      <c r="AX133" s="141"/>
      <c r="AY133" s="141"/>
      <c r="AZ133" s="141"/>
      <c r="BA133" s="141"/>
      <c r="BB133" s="142"/>
      <c r="BC133" s="136">
        <f t="shared" si="315"/>
        <v>2064</v>
      </c>
      <c r="BD133" s="137"/>
      <c r="BE133" s="137"/>
      <c r="BF133" s="137"/>
      <c r="BG133" s="137"/>
      <c r="BH133" s="146"/>
      <c r="BI133" s="18">
        <f t="shared" si="241"/>
        <v>24286</v>
      </c>
    </row>
    <row r="134" spans="1:69" ht="21.95" customHeight="1" x14ac:dyDescent="0.25">
      <c r="A134" s="111"/>
      <c r="B134" s="112"/>
      <c r="C134" s="112"/>
      <c r="D134" s="113"/>
      <c r="E134" s="114" t="s">
        <v>75</v>
      </c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6"/>
      <c r="U134" s="117"/>
      <c r="V134" s="118"/>
      <c r="W134" s="118"/>
      <c r="X134" s="119"/>
      <c r="Y134" s="120"/>
      <c r="Z134" s="121"/>
      <c r="AA134" s="121"/>
      <c r="AB134" s="121"/>
      <c r="AC134" s="121"/>
      <c r="AD134" s="122"/>
      <c r="AE134" s="123"/>
      <c r="AF134" s="124"/>
      <c r="AG134" s="124"/>
      <c r="AH134" s="124"/>
      <c r="AI134" s="124"/>
      <c r="AJ134" s="125"/>
      <c r="AK134" s="120"/>
      <c r="AL134" s="121"/>
      <c r="AM134" s="121"/>
      <c r="AN134" s="121"/>
      <c r="AO134" s="121"/>
      <c r="AP134" s="122"/>
      <c r="AQ134" s="123">
        <f>SUM(AQ120:AQ133)</f>
        <v>1161.4740000000002</v>
      </c>
      <c r="AR134" s="124"/>
      <c r="AS134" s="124"/>
      <c r="AT134" s="124"/>
      <c r="AU134" s="124"/>
      <c r="AV134" s="125"/>
      <c r="AW134" s="120"/>
      <c r="AX134" s="121"/>
      <c r="AY134" s="121"/>
      <c r="AZ134" s="121"/>
      <c r="BA134" s="121"/>
      <c r="BB134" s="122"/>
      <c r="BC134" s="120">
        <f>SUM(BC120:BC133)</f>
        <v>9128</v>
      </c>
      <c r="BD134" s="121"/>
      <c r="BE134" s="121"/>
      <c r="BF134" s="121"/>
      <c r="BG134" s="121"/>
      <c r="BH134" s="126"/>
      <c r="BI134" s="17">
        <f>SUM(BI118:BI133)</f>
        <v>510000</v>
      </c>
    </row>
    <row r="135" spans="1:69" ht="21.95" customHeight="1" x14ac:dyDescent="0.25">
      <c r="A135" s="101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  <c r="AH135" s="102"/>
      <c r="AI135" s="102"/>
      <c r="AJ135" s="103"/>
      <c r="AK135" s="104"/>
      <c r="AL135" s="105"/>
      <c r="AM135" s="105"/>
      <c r="AN135" s="105"/>
      <c r="AO135" s="105"/>
      <c r="AP135" s="106"/>
      <c r="AQ135" s="107"/>
      <c r="AR135" s="108"/>
      <c r="AS135" s="108"/>
      <c r="AT135" s="108"/>
      <c r="AU135" s="108"/>
      <c r="AV135" s="109"/>
      <c r="AW135" s="104"/>
      <c r="AX135" s="105"/>
      <c r="AY135" s="105"/>
      <c r="AZ135" s="105"/>
      <c r="BA135" s="105"/>
      <c r="BB135" s="106"/>
      <c r="BC135" s="104"/>
      <c r="BD135" s="105"/>
      <c r="BE135" s="105"/>
      <c r="BF135" s="105"/>
      <c r="BG135" s="105"/>
      <c r="BH135" s="110"/>
      <c r="BI135" s="15">
        <f>Y135*AE135</f>
        <v>0</v>
      </c>
    </row>
    <row r="136" spans="1:69" ht="21.95" customHeight="1" x14ac:dyDescent="0.25">
      <c r="A136" s="101" t="s">
        <v>11</v>
      </c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  <c r="AH136" s="102"/>
      <c r="AI136" s="102"/>
      <c r="AJ136" s="103"/>
      <c r="AK136" s="104"/>
      <c r="AL136" s="105"/>
      <c r="AM136" s="105"/>
      <c r="AN136" s="105"/>
      <c r="AO136" s="105"/>
      <c r="AP136" s="106"/>
      <c r="AQ136" s="107">
        <f>BC134/BI134</f>
        <v>1.7898039215686275E-2</v>
      </c>
      <c r="AR136" s="108"/>
      <c r="AS136" s="108"/>
      <c r="AT136" s="108"/>
      <c r="AU136" s="108"/>
      <c r="AV136" s="109"/>
      <c r="AW136" s="104"/>
      <c r="AX136" s="105"/>
      <c r="AY136" s="105"/>
      <c r="AZ136" s="105"/>
      <c r="BA136" s="105"/>
      <c r="BB136" s="106"/>
      <c r="BC136" s="104"/>
      <c r="BD136" s="105"/>
      <c r="BE136" s="105"/>
      <c r="BF136" s="105"/>
      <c r="BG136" s="105"/>
      <c r="BH136" s="110"/>
      <c r="BI136" s="15">
        <f>AQ136</f>
        <v>1.7898039215686275E-2</v>
      </c>
    </row>
    <row r="137" spans="1:69" ht="18.75" customHeight="1" x14ac:dyDescent="0.25">
      <c r="A137" s="90" t="s">
        <v>15</v>
      </c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2"/>
      <c r="AE137" s="93" t="s">
        <v>14</v>
      </c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  <c r="AW137" s="91"/>
      <c r="AX137" s="91"/>
      <c r="AY137" s="91"/>
      <c r="AZ137" s="91"/>
      <c r="BA137" s="91"/>
      <c r="BB137" s="91"/>
      <c r="BC137" s="91"/>
      <c r="BD137" s="91"/>
      <c r="BE137" s="91"/>
      <c r="BF137" s="91"/>
      <c r="BG137" s="91"/>
      <c r="BH137" s="94"/>
    </row>
    <row r="138" spans="1:69" x14ac:dyDescent="0.25">
      <c r="A138" s="95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  <c r="AH138" s="96"/>
      <c r="AI138" s="96"/>
      <c r="AJ138" s="96"/>
      <c r="AK138" s="96"/>
      <c r="AL138" s="96"/>
      <c r="AM138" s="96"/>
      <c r="AN138" s="96"/>
      <c r="AO138" s="96"/>
      <c r="AP138" s="96"/>
      <c r="AQ138" s="96"/>
      <c r="AR138" s="96"/>
      <c r="AS138" s="96"/>
      <c r="AT138" s="96"/>
      <c r="AU138" s="96"/>
      <c r="AV138" s="96"/>
      <c r="AW138" s="96"/>
      <c r="AX138" s="96"/>
      <c r="AY138" s="96"/>
      <c r="AZ138" s="96"/>
      <c r="BA138" s="96"/>
      <c r="BB138" s="96"/>
      <c r="BC138" s="96"/>
      <c r="BD138" s="96"/>
      <c r="BE138" s="96"/>
      <c r="BF138" s="96"/>
      <c r="BG138" s="96"/>
      <c r="BH138" s="99"/>
    </row>
    <row r="139" spans="1:69" x14ac:dyDescent="0.25">
      <c r="A139" s="95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H139" s="96"/>
      <c r="AI139" s="96"/>
      <c r="AJ139" s="96"/>
      <c r="AK139" s="96"/>
      <c r="AL139" s="96"/>
      <c r="AM139" s="96"/>
      <c r="AN139" s="96"/>
      <c r="AO139" s="96"/>
      <c r="AP139" s="96"/>
      <c r="AQ139" s="96"/>
      <c r="AR139" s="96"/>
      <c r="AS139" s="96"/>
      <c r="AT139" s="96"/>
      <c r="AU139" s="96"/>
      <c r="AV139" s="96"/>
      <c r="AW139" s="96"/>
      <c r="AX139" s="96"/>
      <c r="AY139" s="96"/>
      <c r="AZ139" s="96"/>
      <c r="BA139" s="96"/>
      <c r="BB139" s="96"/>
      <c r="BC139" s="96"/>
      <c r="BD139" s="96"/>
      <c r="BE139" s="96"/>
      <c r="BF139" s="96"/>
      <c r="BG139" s="96"/>
      <c r="BH139" s="99"/>
    </row>
    <row r="140" spans="1:69" ht="17.25" thickBot="1" x14ac:dyDescent="0.3">
      <c r="A140" s="97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8"/>
      <c r="AK140" s="98"/>
      <c r="AL140" s="98"/>
      <c r="AM140" s="98"/>
      <c r="AN140" s="98"/>
      <c r="AO140" s="98"/>
      <c r="AP140" s="98"/>
      <c r="AQ140" s="98"/>
      <c r="AR140" s="98"/>
      <c r="AS140" s="98"/>
      <c r="AT140" s="98"/>
      <c r="AU140" s="98"/>
      <c r="AV140" s="98"/>
      <c r="AW140" s="98"/>
      <c r="AX140" s="98"/>
      <c r="AY140" s="98"/>
      <c r="AZ140" s="98"/>
      <c r="BA140" s="98"/>
      <c r="BB140" s="98"/>
      <c r="BC140" s="98"/>
      <c r="BD140" s="98"/>
      <c r="BE140" s="98"/>
      <c r="BF140" s="98"/>
      <c r="BG140" s="98"/>
      <c r="BH140" s="100"/>
    </row>
    <row r="141" spans="1:69" ht="27.75" x14ac:dyDescent="0.25">
      <c r="A141" s="182" t="s">
        <v>81</v>
      </c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  <c r="AA141" s="182"/>
      <c r="AB141" s="182"/>
      <c r="AC141" s="182"/>
      <c r="AD141" s="182"/>
      <c r="AE141" s="182"/>
      <c r="AF141" s="182"/>
      <c r="AG141" s="182"/>
      <c r="AH141" s="182"/>
      <c r="AI141" s="182"/>
      <c r="AJ141" s="182"/>
      <c r="AK141" s="182"/>
      <c r="AL141" s="182"/>
      <c r="AM141" s="182"/>
      <c r="AN141" s="182"/>
      <c r="AO141" s="182"/>
      <c r="AP141" s="182"/>
      <c r="AQ141" s="182"/>
      <c r="AR141" s="182"/>
      <c r="AS141" s="182"/>
      <c r="AT141" s="182"/>
      <c r="AU141" s="182"/>
      <c r="AV141" s="182"/>
      <c r="AW141" s="182"/>
      <c r="AX141" s="182"/>
      <c r="AY141" s="182"/>
      <c r="AZ141" s="182"/>
      <c r="BA141" s="182"/>
      <c r="BB141" s="182"/>
      <c r="BC141" s="182"/>
      <c r="BD141" s="182"/>
      <c r="BE141" s="182"/>
      <c r="BF141" s="182"/>
      <c r="BG141" s="182"/>
      <c r="BH141" s="182"/>
    </row>
    <row r="142" spans="1:69" ht="27.75" x14ac:dyDescent="0.25">
      <c r="A142" s="183" t="s">
        <v>12</v>
      </c>
      <c r="B142" s="183"/>
      <c r="C142" s="183"/>
      <c r="D142" s="183"/>
      <c r="E142" s="183"/>
      <c r="F142" s="183"/>
      <c r="G142" s="183"/>
      <c r="H142" s="183"/>
      <c r="I142" s="183"/>
      <c r="J142" s="184" t="s">
        <v>85</v>
      </c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185"/>
      <c r="AF142" s="185"/>
      <c r="AG142" s="185"/>
      <c r="AH142" s="185"/>
      <c r="AI142" s="185"/>
      <c r="AJ142" s="185"/>
      <c r="AK142" s="185"/>
      <c r="AL142" s="185"/>
      <c r="AM142" s="185"/>
      <c r="AN142" s="185"/>
      <c r="AO142" s="185"/>
      <c r="AP142" s="185"/>
      <c r="AQ142" s="185"/>
      <c r="AR142" s="185"/>
      <c r="AS142" s="185"/>
      <c r="AT142" s="185"/>
      <c r="AU142" s="185"/>
      <c r="AV142" s="185"/>
      <c r="AW142" s="185"/>
      <c r="AX142" s="185"/>
      <c r="AY142" s="185"/>
      <c r="AZ142" s="185"/>
      <c r="BA142" s="185"/>
      <c r="BB142" s="185"/>
      <c r="BC142" s="185"/>
      <c r="BD142" s="185"/>
      <c r="BE142" s="185"/>
      <c r="BF142" s="185"/>
      <c r="BG142" s="185"/>
      <c r="BH142" s="185"/>
      <c r="BI142" s="185"/>
      <c r="BJ142" s="185"/>
      <c r="BK142" s="185"/>
      <c r="BL142" s="185"/>
      <c r="BM142" s="185"/>
      <c r="BN142" s="185"/>
      <c r="BO142" s="185"/>
      <c r="BP142" s="185"/>
      <c r="BQ142" s="185"/>
    </row>
    <row r="143" spans="1:69" ht="17.25" thickBot="1" x14ac:dyDescent="0.3">
      <c r="A143" s="186" t="s">
        <v>10</v>
      </c>
      <c r="B143" s="186"/>
      <c r="C143" s="186"/>
      <c r="D143" s="186"/>
      <c r="E143" s="186"/>
      <c r="F143" s="186"/>
      <c r="G143" s="186"/>
      <c r="H143" s="186"/>
      <c r="I143" s="187" t="s">
        <v>78</v>
      </c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  <c r="AA143" s="187"/>
      <c r="AB143" s="187"/>
      <c r="AC143" s="187"/>
      <c r="AD143" s="187"/>
      <c r="AE143" s="187"/>
      <c r="AF143" s="187"/>
      <c r="AG143" s="187"/>
      <c r="AH143" s="187"/>
      <c r="AI143" s="187"/>
      <c r="AJ143" s="187"/>
      <c r="AK143" s="187"/>
      <c r="AL143" s="187"/>
      <c r="AM143" s="187"/>
      <c r="AN143" s="187"/>
      <c r="AO143" s="188" t="s">
        <v>9</v>
      </c>
      <c r="AP143" s="188"/>
      <c r="AQ143" s="188"/>
      <c r="AR143" s="188"/>
      <c r="AS143" s="188"/>
      <c r="AT143" s="188"/>
      <c r="AU143" s="188"/>
      <c r="AV143" s="188"/>
      <c r="AW143" s="189">
        <f>AW115+1</f>
        <v>45915</v>
      </c>
      <c r="AX143" s="189"/>
      <c r="AY143" s="189"/>
      <c r="AZ143" s="189"/>
      <c r="BA143" s="189"/>
      <c r="BB143" s="189"/>
      <c r="BC143" s="189"/>
      <c r="BD143" s="189"/>
      <c r="BE143" s="189"/>
      <c r="BF143" s="189"/>
      <c r="BG143" s="189"/>
      <c r="BH143" s="189"/>
    </row>
    <row r="144" spans="1:69" ht="36" customHeight="1" x14ac:dyDescent="0.25">
      <c r="A144" s="180" t="s">
        <v>0</v>
      </c>
      <c r="B144" s="83"/>
      <c r="C144" s="83"/>
      <c r="D144" s="83"/>
      <c r="E144" s="83" t="s">
        <v>6</v>
      </c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 t="s">
        <v>7</v>
      </c>
      <c r="V144" s="83"/>
      <c r="W144" s="83"/>
      <c r="X144" s="83"/>
      <c r="Y144" s="181" t="s">
        <v>1</v>
      </c>
      <c r="Z144" s="181"/>
      <c r="AA144" s="181"/>
      <c r="AB144" s="181"/>
      <c r="AC144" s="181"/>
      <c r="AD144" s="181"/>
      <c r="AE144" s="83" t="s">
        <v>8</v>
      </c>
      <c r="AF144" s="83"/>
      <c r="AG144" s="83"/>
      <c r="AH144" s="83"/>
      <c r="AI144" s="83"/>
      <c r="AJ144" s="83"/>
      <c r="AK144" s="181" t="s">
        <v>2</v>
      </c>
      <c r="AL144" s="181"/>
      <c r="AM144" s="181"/>
      <c r="AN144" s="181"/>
      <c r="AO144" s="181"/>
      <c r="AP144" s="181"/>
      <c r="AQ144" s="84" t="s">
        <v>3</v>
      </c>
      <c r="AR144" s="84"/>
      <c r="AS144" s="84"/>
      <c r="AT144" s="84"/>
      <c r="AU144" s="84"/>
      <c r="AV144" s="84"/>
      <c r="AW144" s="181" t="s">
        <v>4</v>
      </c>
      <c r="AX144" s="181"/>
      <c r="AY144" s="181"/>
      <c r="AZ144" s="181"/>
      <c r="BA144" s="181"/>
      <c r="BB144" s="181"/>
      <c r="BC144" s="84" t="s">
        <v>5</v>
      </c>
      <c r="BD144" s="84"/>
      <c r="BE144" s="84"/>
      <c r="BF144" s="84"/>
      <c r="BG144" s="84"/>
      <c r="BH144" s="85"/>
      <c r="BI144" s="1"/>
    </row>
    <row r="145" spans="1:61" ht="21.95" customHeight="1" x14ac:dyDescent="0.25">
      <c r="A145" s="150" t="str">
        <f t="shared" ref="A145" si="331">A117</f>
        <v>壹</v>
      </c>
      <c r="B145" s="151"/>
      <c r="C145" s="151"/>
      <c r="D145" s="152"/>
      <c r="E145" s="175" t="str">
        <f t="shared" ref="E145" si="332">E117</f>
        <v>直接工程費</v>
      </c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7"/>
      <c r="U145" s="117"/>
      <c r="V145" s="118"/>
      <c r="W145" s="118"/>
      <c r="X145" s="119"/>
      <c r="Y145" s="178"/>
      <c r="Z145" s="178"/>
      <c r="AA145" s="178"/>
      <c r="AB145" s="178"/>
      <c r="AC145" s="178"/>
      <c r="AD145" s="178"/>
      <c r="AE145" s="178"/>
      <c r="AF145" s="178"/>
      <c r="AG145" s="178"/>
      <c r="AH145" s="178"/>
      <c r="AI145" s="178"/>
      <c r="AJ145" s="178"/>
      <c r="AK145" s="178"/>
      <c r="AL145" s="178"/>
      <c r="AM145" s="178"/>
      <c r="AN145" s="178"/>
      <c r="AO145" s="178"/>
      <c r="AP145" s="178"/>
      <c r="AQ145" s="178"/>
      <c r="AR145" s="178"/>
      <c r="AS145" s="178"/>
      <c r="AT145" s="178"/>
      <c r="AU145" s="178"/>
      <c r="AV145" s="178"/>
      <c r="AW145" s="178"/>
      <c r="AX145" s="178"/>
      <c r="AY145" s="178"/>
      <c r="AZ145" s="178"/>
      <c r="BA145" s="178"/>
      <c r="BB145" s="178"/>
      <c r="BC145" s="178"/>
      <c r="BD145" s="178"/>
      <c r="BE145" s="178"/>
      <c r="BF145" s="178"/>
      <c r="BG145" s="178"/>
      <c r="BH145" s="179"/>
      <c r="BI145" s="3">
        <f t="shared" ref="BI145:BI161" si="333">Y145*AE145</f>
        <v>0</v>
      </c>
    </row>
    <row r="146" spans="1:61" s="19" customFormat="1" ht="21.95" customHeight="1" x14ac:dyDescent="0.25">
      <c r="A146" s="127">
        <f t="shared" ref="A146" si="334">A118</f>
        <v>1</v>
      </c>
      <c r="B146" s="128"/>
      <c r="C146" s="128"/>
      <c r="D146" s="129"/>
      <c r="E146" s="170" t="str">
        <f t="shared" ref="E146" si="335">E118</f>
        <v>工程告示牌與職安衛告示牌(租用)</v>
      </c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2"/>
      <c r="U146" s="133" t="str">
        <f t="shared" ref="U146" si="336">U118</f>
        <v>式</v>
      </c>
      <c r="V146" s="134"/>
      <c r="W146" s="134"/>
      <c r="X146" s="135"/>
      <c r="Y146" s="136">
        <f t="shared" ref="Y146" si="337">Y118</f>
        <v>1</v>
      </c>
      <c r="Z146" s="137"/>
      <c r="AA146" s="137"/>
      <c r="AB146" s="137"/>
      <c r="AC146" s="137"/>
      <c r="AD146" s="138"/>
      <c r="AE146" s="139">
        <f t="shared" ref="AE146" si="338">AE118</f>
        <v>5000</v>
      </c>
      <c r="AF146" s="139"/>
      <c r="AG146" s="139"/>
      <c r="AH146" s="139"/>
      <c r="AI146" s="139"/>
      <c r="AJ146" s="139"/>
      <c r="AK146" s="173">
        <v>0</v>
      </c>
      <c r="AL146" s="173"/>
      <c r="AM146" s="173"/>
      <c r="AN146" s="173"/>
      <c r="AO146" s="173"/>
      <c r="AP146" s="173"/>
      <c r="AQ146" s="139">
        <f t="shared" ref="AQ146:AQ147" si="339">AK146*AE146</f>
        <v>0</v>
      </c>
      <c r="AR146" s="139"/>
      <c r="AS146" s="139"/>
      <c r="AT146" s="139"/>
      <c r="AU146" s="139"/>
      <c r="AV146" s="139"/>
      <c r="AW146" s="173">
        <f t="shared" ref="AW146:AW156" si="340">AW118+AK146</f>
        <v>1</v>
      </c>
      <c r="AX146" s="173"/>
      <c r="AY146" s="173"/>
      <c r="AZ146" s="173"/>
      <c r="BA146" s="173"/>
      <c r="BB146" s="173"/>
      <c r="BC146" s="173">
        <f t="shared" ref="BC146:BC147" si="341">ROUND(AW146*AE146,0)</f>
        <v>5000</v>
      </c>
      <c r="BD146" s="173"/>
      <c r="BE146" s="173"/>
      <c r="BF146" s="173"/>
      <c r="BG146" s="173"/>
      <c r="BH146" s="174"/>
      <c r="BI146" s="18">
        <f t="shared" si="333"/>
        <v>5000</v>
      </c>
    </row>
    <row r="147" spans="1:61" s="19" customFormat="1" ht="21.95" customHeight="1" x14ac:dyDescent="0.25">
      <c r="A147" s="127">
        <f t="shared" ref="A147" si="342">A119</f>
        <v>2</v>
      </c>
      <c r="B147" s="128"/>
      <c r="C147" s="128"/>
      <c r="D147" s="129"/>
      <c r="E147" s="170" t="str">
        <f t="shared" ref="E147" si="343">E119</f>
        <v>三角錐與連桿(租用)</v>
      </c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2"/>
      <c r="U147" s="133" t="str">
        <f t="shared" ref="U147" si="344">U119</f>
        <v>M</v>
      </c>
      <c r="V147" s="134"/>
      <c r="W147" s="134"/>
      <c r="X147" s="135"/>
      <c r="Y147" s="147">
        <f t="shared" ref="Y147" si="345">Y119</f>
        <v>86</v>
      </c>
      <c r="Z147" s="148"/>
      <c r="AA147" s="148"/>
      <c r="AB147" s="148"/>
      <c r="AC147" s="148"/>
      <c r="AD147" s="149"/>
      <c r="AE147" s="139">
        <f t="shared" ref="AE147" si="346">AE119</f>
        <v>60</v>
      </c>
      <c r="AF147" s="139"/>
      <c r="AG147" s="139"/>
      <c r="AH147" s="139"/>
      <c r="AI147" s="139"/>
      <c r="AJ147" s="139"/>
      <c r="AK147" s="173">
        <v>0</v>
      </c>
      <c r="AL147" s="173"/>
      <c r="AM147" s="173"/>
      <c r="AN147" s="173"/>
      <c r="AO147" s="173"/>
      <c r="AP147" s="173"/>
      <c r="AQ147" s="139">
        <f t="shared" si="339"/>
        <v>0</v>
      </c>
      <c r="AR147" s="139"/>
      <c r="AS147" s="139"/>
      <c r="AT147" s="139"/>
      <c r="AU147" s="139"/>
      <c r="AV147" s="139"/>
      <c r="AW147" s="173">
        <f t="shared" si="340"/>
        <v>86</v>
      </c>
      <c r="AX147" s="173"/>
      <c r="AY147" s="173"/>
      <c r="AZ147" s="173"/>
      <c r="BA147" s="173"/>
      <c r="BB147" s="173"/>
      <c r="BC147" s="173">
        <f t="shared" si="341"/>
        <v>5160</v>
      </c>
      <c r="BD147" s="173"/>
      <c r="BE147" s="173"/>
      <c r="BF147" s="173"/>
      <c r="BG147" s="173"/>
      <c r="BH147" s="174"/>
      <c r="BI147" s="18">
        <f t="shared" si="333"/>
        <v>5160</v>
      </c>
    </row>
    <row r="148" spans="1:61" s="19" customFormat="1" ht="33" customHeight="1" x14ac:dyDescent="0.25">
      <c r="A148" s="150">
        <f t="shared" ref="A148" si="347">A120</f>
        <v>3</v>
      </c>
      <c r="B148" s="151"/>
      <c r="C148" s="151"/>
      <c r="D148" s="152"/>
      <c r="E148" s="175" t="str">
        <f t="shared" ref="E148" si="348">E120</f>
        <v>施工動線開闢及損害復原；測量與放樣</v>
      </c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7"/>
      <c r="U148" s="117" t="str">
        <f t="shared" ref="U148" si="349">U120</f>
        <v>式</v>
      </c>
      <c r="V148" s="118"/>
      <c r="W148" s="118"/>
      <c r="X148" s="119"/>
      <c r="Y148" s="156">
        <f t="shared" ref="Y148" si="350">Y120</f>
        <v>1</v>
      </c>
      <c r="Z148" s="157"/>
      <c r="AA148" s="157"/>
      <c r="AB148" s="157"/>
      <c r="AC148" s="157"/>
      <c r="AD148" s="158"/>
      <c r="AE148" s="159">
        <f t="shared" ref="AE148" si="351">AE120</f>
        <v>4000</v>
      </c>
      <c r="AF148" s="159"/>
      <c r="AG148" s="159"/>
      <c r="AH148" s="159"/>
      <c r="AI148" s="159"/>
      <c r="AJ148" s="159"/>
      <c r="AK148" s="167">
        <v>0</v>
      </c>
      <c r="AL148" s="167"/>
      <c r="AM148" s="167"/>
      <c r="AN148" s="167"/>
      <c r="AO148" s="167"/>
      <c r="AP148" s="167"/>
      <c r="AQ148" s="159">
        <f>AK148*AE148</f>
        <v>0</v>
      </c>
      <c r="AR148" s="159"/>
      <c r="AS148" s="159"/>
      <c r="AT148" s="159"/>
      <c r="AU148" s="159"/>
      <c r="AV148" s="159"/>
      <c r="AW148" s="167">
        <f t="shared" si="340"/>
        <v>0.5</v>
      </c>
      <c r="AX148" s="167"/>
      <c r="AY148" s="167"/>
      <c r="AZ148" s="167"/>
      <c r="BA148" s="167"/>
      <c r="BB148" s="167"/>
      <c r="BC148" s="167">
        <f>ROUND(AW148*AE148,0)</f>
        <v>2000</v>
      </c>
      <c r="BD148" s="167"/>
      <c r="BE148" s="167"/>
      <c r="BF148" s="167"/>
      <c r="BG148" s="167"/>
      <c r="BH148" s="168"/>
      <c r="BI148" s="18">
        <f t="shared" si="333"/>
        <v>4000</v>
      </c>
    </row>
    <row r="149" spans="1:61" ht="54" customHeight="1" x14ac:dyDescent="0.25">
      <c r="A149" s="150">
        <f t="shared" ref="A149" si="352">A121</f>
        <v>4</v>
      </c>
      <c r="B149" s="151"/>
      <c r="C149" s="151"/>
      <c r="D149" s="152"/>
      <c r="E149" s="175" t="str">
        <f t="shared" ref="E149" si="353">E121</f>
        <v>切割打除清運校舍與教室出入口地坪以及司令台階梯平台(含合法清運證明)</v>
      </c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7"/>
      <c r="U149" s="117" t="str">
        <f t="shared" ref="U149" si="354">U121</f>
        <v>式</v>
      </c>
      <c r="V149" s="118"/>
      <c r="W149" s="118"/>
      <c r="X149" s="119"/>
      <c r="Y149" s="156">
        <f t="shared" ref="Y149" si="355">Y121</f>
        <v>1</v>
      </c>
      <c r="Z149" s="157"/>
      <c r="AA149" s="157"/>
      <c r="AB149" s="157"/>
      <c r="AC149" s="157"/>
      <c r="AD149" s="158"/>
      <c r="AE149" s="159">
        <f t="shared" ref="AE149" si="356">AE121</f>
        <v>52817</v>
      </c>
      <c r="AF149" s="159"/>
      <c r="AG149" s="159"/>
      <c r="AH149" s="159"/>
      <c r="AI149" s="159"/>
      <c r="AJ149" s="159"/>
      <c r="AK149" s="167">
        <v>0</v>
      </c>
      <c r="AL149" s="167"/>
      <c r="AM149" s="167"/>
      <c r="AN149" s="167"/>
      <c r="AO149" s="167"/>
      <c r="AP149" s="167"/>
      <c r="AQ149" s="159">
        <f t="shared" ref="AQ149:AQ152" si="357">AK149*AE149</f>
        <v>0</v>
      </c>
      <c r="AR149" s="159"/>
      <c r="AS149" s="159"/>
      <c r="AT149" s="159"/>
      <c r="AU149" s="159"/>
      <c r="AV149" s="159"/>
      <c r="AW149" s="167">
        <f t="shared" si="340"/>
        <v>0</v>
      </c>
      <c r="AX149" s="167"/>
      <c r="AY149" s="167"/>
      <c r="AZ149" s="167"/>
      <c r="BA149" s="167"/>
      <c r="BB149" s="167"/>
      <c r="BC149" s="167">
        <f t="shared" ref="BC149:BC152" si="358">ROUND(AW149*AE149,0)</f>
        <v>0</v>
      </c>
      <c r="BD149" s="167"/>
      <c r="BE149" s="167"/>
      <c r="BF149" s="167"/>
      <c r="BG149" s="167"/>
      <c r="BH149" s="168"/>
      <c r="BI149" s="16">
        <f t="shared" si="333"/>
        <v>52817</v>
      </c>
    </row>
    <row r="150" spans="1:61" ht="20.25" customHeight="1" x14ac:dyDescent="0.25">
      <c r="A150" s="150">
        <f t="shared" ref="A150" si="359">A122</f>
        <v>5</v>
      </c>
      <c r="B150" s="151"/>
      <c r="C150" s="151"/>
      <c r="D150" s="152"/>
      <c r="E150" s="153" t="str">
        <f t="shared" ref="E150" si="360">E122</f>
        <v>校舍出入口施做斜坡順平高差</v>
      </c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5"/>
      <c r="U150" s="117" t="str">
        <f t="shared" ref="U150" si="361">U122</f>
        <v>M2</v>
      </c>
      <c r="V150" s="118"/>
      <c r="W150" s="118"/>
      <c r="X150" s="119"/>
      <c r="Y150" s="160">
        <f t="shared" ref="Y150" si="362">Y122</f>
        <v>15</v>
      </c>
      <c r="Z150" s="161"/>
      <c r="AA150" s="161"/>
      <c r="AB150" s="161"/>
      <c r="AC150" s="161"/>
      <c r="AD150" s="162"/>
      <c r="AE150" s="169">
        <f t="shared" ref="AE150" si="363">AE122</f>
        <v>600</v>
      </c>
      <c r="AF150" s="169"/>
      <c r="AG150" s="169"/>
      <c r="AH150" s="169"/>
      <c r="AI150" s="169"/>
      <c r="AJ150" s="169"/>
      <c r="AK150" s="167">
        <v>0</v>
      </c>
      <c r="AL150" s="167"/>
      <c r="AM150" s="167"/>
      <c r="AN150" s="167"/>
      <c r="AO150" s="167"/>
      <c r="AP150" s="167"/>
      <c r="AQ150" s="159">
        <f t="shared" si="357"/>
        <v>0</v>
      </c>
      <c r="AR150" s="159"/>
      <c r="AS150" s="159"/>
      <c r="AT150" s="159"/>
      <c r="AU150" s="159"/>
      <c r="AV150" s="159"/>
      <c r="AW150" s="167">
        <f t="shared" si="340"/>
        <v>0</v>
      </c>
      <c r="AX150" s="167"/>
      <c r="AY150" s="167"/>
      <c r="AZ150" s="167"/>
      <c r="BA150" s="167"/>
      <c r="BB150" s="167"/>
      <c r="BC150" s="167">
        <f t="shared" si="358"/>
        <v>0</v>
      </c>
      <c r="BD150" s="167"/>
      <c r="BE150" s="167"/>
      <c r="BF150" s="167"/>
      <c r="BG150" s="167"/>
      <c r="BH150" s="168"/>
      <c r="BI150" s="3">
        <f t="shared" si="333"/>
        <v>9000</v>
      </c>
    </row>
    <row r="151" spans="1:61" ht="50.25" customHeight="1" x14ac:dyDescent="0.25">
      <c r="A151" s="150">
        <f t="shared" ref="A151" si="364">A123</f>
        <v>6</v>
      </c>
      <c r="B151" s="151"/>
      <c r="C151" s="151"/>
      <c r="D151" s="152"/>
      <c r="E151" s="153" t="str">
        <f t="shared" ref="E151" si="365">E123</f>
        <v>開挖整地，新設無障礙RC坡道，牆面與地坪粉刷整平(連工帶料，責任施工)</v>
      </c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5"/>
      <c r="U151" s="117" t="str">
        <f t="shared" ref="U151" si="366">U123</f>
        <v>式</v>
      </c>
      <c r="V151" s="118"/>
      <c r="W151" s="118"/>
      <c r="X151" s="119"/>
      <c r="Y151" s="160">
        <f t="shared" ref="Y151" si="367">Y123</f>
        <v>1</v>
      </c>
      <c r="Z151" s="161"/>
      <c r="AA151" s="161"/>
      <c r="AB151" s="161"/>
      <c r="AC151" s="161"/>
      <c r="AD151" s="162"/>
      <c r="AE151" s="159">
        <f t="shared" ref="AE151" si="368">AE123</f>
        <v>153000</v>
      </c>
      <c r="AF151" s="159"/>
      <c r="AG151" s="159"/>
      <c r="AH151" s="159"/>
      <c r="AI151" s="159"/>
      <c r="AJ151" s="159"/>
      <c r="AK151" s="167">
        <v>0</v>
      </c>
      <c r="AL151" s="167"/>
      <c r="AM151" s="167"/>
      <c r="AN151" s="167"/>
      <c r="AO151" s="167"/>
      <c r="AP151" s="167"/>
      <c r="AQ151" s="159">
        <f t="shared" si="357"/>
        <v>0</v>
      </c>
      <c r="AR151" s="159"/>
      <c r="AS151" s="159"/>
      <c r="AT151" s="159"/>
      <c r="AU151" s="159"/>
      <c r="AV151" s="159"/>
      <c r="AW151" s="167">
        <f t="shared" si="340"/>
        <v>0</v>
      </c>
      <c r="AX151" s="167"/>
      <c r="AY151" s="167"/>
      <c r="AZ151" s="167"/>
      <c r="BA151" s="167"/>
      <c r="BB151" s="167"/>
      <c r="BC151" s="167">
        <f t="shared" si="358"/>
        <v>0</v>
      </c>
      <c r="BD151" s="167"/>
      <c r="BE151" s="167"/>
      <c r="BF151" s="167"/>
      <c r="BG151" s="167"/>
      <c r="BH151" s="168"/>
      <c r="BI151" s="3">
        <f t="shared" si="333"/>
        <v>153000</v>
      </c>
    </row>
    <row r="152" spans="1:61" ht="32.450000000000003" customHeight="1" x14ac:dyDescent="0.25">
      <c r="A152" s="150">
        <f t="shared" ref="A152" si="369">A124</f>
        <v>7</v>
      </c>
      <c r="B152" s="151"/>
      <c r="C152" s="151"/>
      <c r="D152" s="152"/>
      <c r="E152" s="153" t="str">
        <f t="shared" ref="E152" si="370">E124</f>
        <v>施做抿石子(1~2分AK石，抿石子專用泥)</v>
      </c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5"/>
      <c r="U152" s="117" t="str">
        <f t="shared" ref="U152" si="371">U124</f>
        <v>M2</v>
      </c>
      <c r="V152" s="118"/>
      <c r="W152" s="118"/>
      <c r="X152" s="119"/>
      <c r="Y152" s="160">
        <f t="shared" ref="Y152" si="372">Y124</f>
        <v>38</v>
      </c>
      <c r="Z152" s="161"/>
      <c r="AA152" s="161"/>
      <c r="AB152" s="161"/>
      <c r="AC152" s="161"/>
      <c r="AD152" s="162"/>
      <c r="AE152" s="159">
        <f t="shared" ref="AE152" si="373">AE124</f>
        <v>1460</v>
      </c>
      <c r="AF152" s="159"/>
      <c r="AG152" s="159"/>
      <c r="AH152" s="159"/>
      <c r="AI152" s="159"/>
      <c r="AJ152" s="159"/>
      <c r="AK152" s="167">
        <v>0</v>
      </c>
      <c r="AL152" s="167"/>
      <c r="AM152" s="167"/>
      <c r="AN152" s="167"/>
      <c r="AO152" s="167"/>
      <c r="AP152" s="167"/>
      <c r="AQ152" s="159">
        <f t="shared" si="357"/>
        <v>0</v>
      </c>
      <c r="AR152" s="159"/>
      <c r="AS152" s="159"/>
      <c r="AT152" s="159"/>
      <c r="AU152" s="159"/>
      <c r="AV152" s="159"/>
      <c r="AW152" s="167">
        <f t="shared" si="340"/>
        <v>0</v>
      </c>
      <c r="AX152" s="167"/>
      <c r="AY152" s="167"/>
      <c r="AZ152" s="167"/>
      <c r="BA152" s="167"/>
      <c r="BB152" s="167"/>
      <c r="BC152" s="167">
        <f t="shared" si="358"/>
        <v>0</v>
      </c>
      <c r="BD152" s="167"/>
      <c r="BE152" s="167"/>
      <c r="BF152" s="167"/>
      <c r="BG152" s="167"/>
      <c r="BH152" s="168"/>
      <c r="BI152" s="3">
        <f t="shared" si="333"/>
        <v>55480</v>
      </c>
    </row>
    <row r="153" spans="1:61" ht="21" customHeight="1" x14ac:dyDescent="0.25">
      <c r="A153" s="150">
        <f t="shared" ref="A153" si="374">A125</f>
        <v>8</v>
      </c>
      <c r="B153" s="151"/>
      <c r="C153" s="151"/>
      <c r="D153" s="152"/>
      <c r="E153" s="153" t="str">
        <f t="shared" ref="E153" si="375">E125</f>
        <v>無障礙坡道地坪拉毛</v>
      </c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5"/>
      <c r="U153" s="117" t="str">
        <f t="shared" ref="U153" si="376">U125</f>
        <v>M2</v>
      </c>
      <c r="V153" s="118"/>
      <c r="W153" s="118"/>
      <c r="X153" s="119"/>
      <c r="Y153" s="160">
        <f t="shared" ref="Y153" si="377">Y125</f>
        <v>33</v>
      </c>
      <c r="Z153" s="161"/>
      <c r="AA153" s="161"/>
      <c r="AB153" s="161"/>
      <c r="AC153" s="161"/>
      <c r="AD153" s="162"/>
      <c r="AE153" s="159">
        <f t="shared" ref="AE153" si="378">AE125</f>
        <v>100</v>
      </c>
      <c r="AF153" s="159"/>
      <c r="AG153" s="159"/>
      <c r="AH153" s="159"/>
      <c r="AI153" s="159"/>
      <c r="AJ153" s="159"/>
      <c r="AK153" s="167"/>
      <c r="AL153" s="167"/>
      <c r="AM153" s="167"/>
      <c r="AN153" s="167"/>
      <c r="AO153" s="167"/>
      <c r="AP153" s="167"/>
      <c r="AQ153" s="159"/>
      <c r="AR153" s="159"/>
      <c r="AS153" s="159"/>
      <c r="AT153" s="159"/>
      <c r="AU153" s="159"/>
      <c r="AV153" s="159"/>
      <c r="AW153" s="167">
        <f t="shared" si="340"/>
        <v>0</v>
      </c>
      <c r="AX153" s="167"/>
      <c r="AY153" s="167"/>
      <c r="AZ153" s="167"/>
      <c r="BA153" s="167"/>
      <c r="BB153" s="167"/>
      <c r="BC153" s="167"/>
      <c r="BD153" s="167"/>
      <c r="BE153" s="167"/>
      <c r="BF153" s="167"/>
      <c r="BG153" s="167"/>
      <c r="BH153" s="168"/>
      <c r="BI153" s="3">
        <f t="shared" si="333"/>
        <v>3300</v>
      </c>
    </row>
    <row r="154" spans="1:61" s="19" customFormat="1" ht="34.5" customHeight="1" x14ac:dyDescent="0.25">
      <c r="A154" s="127">
        <f t="shared" ref="A154" si="379">A126</f>
        <v>9</v>
      </c>
      <c r="B154" s="128"/>
      <c r="C154" s="128"/>
      <c r="D154" s="129"/>
      <c r="E154" s="153" t="str">
        <f t="shared" ref="E154" si="380">E126</f>
        <v>司令台既有樓梯面清潔，刷止滑漆(一底二度)</v>
      </c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5"/>
      <c r="U154" s="133" t="str">
        <f t="shared" ref="U154" si="381">U126</f>
        <v>式</v>
      </c>
      <c r="V154" s="134"/>
      <c r="W154" s="134"/>
      <c r="X154" s="135"/>
      <c r="Y154" s="160">
        <f t="shared" ref="Y154" si="382">Y126</f>
        <v>1</v>
      </c>
      <c r="Z154" s="161"/>
      <c r="AA154" s="161"/>
      <c r="AB154" s="161"/>
      <c r="AC154" s="161"/>
      <c r="AD154" s="162"/>
      <c r="AE154" s="159">
        <f t="shared" ref="AE154" si="383">AE126</f>
        <v>3000</v>
      </c>
      <c r="AF154" s="159"/>
      <c r="AG154" s="159"/>
      <c r="AH154" s="159"/>
      <c r="AI154" s="159"/>
      <c r="AJ154" s="159"/>
      <c r="AK154" s="167">
        <v>0</v>
      </c>
      <c r="AL154" s="167"/>
      <c r="AM154" s="167"/>
      <c r="AN154" s="167"/>
      <c r="AO154" s="167"/>
      <c r="AP154" s="167"/>
      <c r="AQ154" s="159">
        <f t="shared" ref="AQ154:AQ161" si="384">AK154*AE154</f>
        <v>0</v>
      </c>
      <c r="AR154" s="159"/>
      <c r="AS154" s="159"/>
      <c r="AT154" s="159"/>
      <c r="AU154" s="159"/>
      <c r="AV154" s="159"/>
      <c r="AW154" s="167">
        <f t="shared" si="340"/>
        <v>0</v>
      </c>
      <c r="AX154" s="167"/>
      <c r="AY154" s="167"/>
      <c r="AZ154" s="167"/>
      <c r="BA154" s="167"/>
      <c r="BB154" s="167"/>
      <c r="BC154" s="167">
        <f t="shared" ref="BC154:BC156" si="385">ROUND(AW154*AE154,0)</f>
        <v>0</v>
      </c>
      <c r="BD154" s="167"/>
      <c r="BE154" s="167"/>
      <c r="BF154" s="167"/>
      <c r="BG154" s="167"/>
      <c r="BH154" s="168"/>
      <c r="BI154" s="18">
        <f t="shared" si="333"/>
        <v>3000</v>
      </c>
    </row>
    <row r="155" spans="1:61" ht="35.25" customHeight="1" x14ac:dyDescent="0.25">
      <c r="A155" s="150">
        <f t="shared" ref="A155" si="386">A127</f>
        <v>10</v>
      </c>
      <c r="B155" s="151"/>
      <c r="C155" s="151"/>
      <c r="D155" s="152"/>
      <c r="E155" s="153" t="str">
        <f t="shared" ref="E155" si="387">E127</f>
        <v>校舍、教室及司令台坡道出入口配置無線押扣與插電式緊急求救鈴</v>
      </c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5"/>
      <c r="U155" s="117" t="str">
        <f t="shared" ref="U155" si="388">U127</f>
        <v>組</v>
      </c>
      <c r="V155" s="118"/>
      <c r="W155" s="118"/>
      <c r="X155" s="119"/>
      <c r="Y155" s="160">
        <f t="shared" ref="Y155" si="389">Y127</f>
        <v>8</v>
      </c>
      <c r="Z155" s="161"/>
      <c r="AA155" s="161"/>
      <c r="AB155" s="161"/>
      <c r="AC155" s="161"/>
      <c r="AD155" s="162"/>
      <c r="AE155" s="159">
        <f t="shared" ref="AE155" si="390">AE127</f>
        <v>700</v>
      </c>
      <c r="AF155" s="159"/>
      <c r="AG155" s="159"/>
      <c r="AH155" s="159"/>
      <c r="AI155" s="159"/>
      <c r="AJ155" s="159"/>
      <c r="AK155" s="167">
        <v>0</v>
      </c>
      <c r="AL155" s="167"/>
      <c r="AM155" s="167"/>
      <c r="AN155" s="167"/>
      <c r="AO155" s="167"/>
      <c r="AP155" s="167"/>
      <c r="AQ155" s="159">
        <f t="shared" si="384"/>
        <v>0</v>
      </c>
      <c r="AR155" s="159"/>
      <c r="AS155" s="159"/>
      <c r="AT155" s="159"/>
      <c r="AU155" s="159"/>
      <c r="AV155" s="159"/>
      <c r="AW155" s="167">
        <f t="shared" si="340"/>
        <v>0</v>
      </c>
      <c r="AX155" s="167"/>
      <c r="AY155" s="167"/>
      <c r="AZ155" s="167"/>
      <c r="BA155" s="167"/>
      <c r="BB155" s="167"/>
      <c r="BC155" s="167">
        <f t="shared" si="385"/>
        <v>0</v>
      </c>
      <c r="BD155" s="167"/>
      <c r="BE155" s="167"/>
      <c r="BF155" s="167"/>
      <c r="BG155" s="167"/>
      <c r="BH155" s="168"/>
      <c r="BI155" s="3">
        <f t="shared" si="333"/>
        <v>5600</v>
      </c>
    </row>
    <row r="156" spans="1:61" ht="36.75" customHeight="1" x14ac:dyDescent="0.25">
      <c r="A156" s="150">
        <f t="shared" ref="A156" si="391">A128</f>
        <v>11</v>
      </c>
      <c r="B156" s="151"/>
      <c r="C156" s="151"/>
      <c r="D156" s="152"/>
      <c r="E156" s="153" t="str">
        <f t="shared" ref="E156" si="392">E128</f>
        <v>司令台周圍及無障礙坡道安裝不鏽鋼扶手(連工帶料)</v>
      </c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5"/>
      <c r="U156" s="117" t="str">
        <f t="shared" ref="U156" si="393">U128</f>
        <v>M</v>
      </c>
      <c r="V156" s="118"/>
      <c r="W156" s="118"/>
      <c r="X156" s="119"/>
      <c r="Y156" s="156">
        <f t="shared" ref="Y156" si="394">Y128</f>
        <v>48</v>
      </c>
      <c r="Z156" s="157"/>
      <c r="AA156" s="157"/>
      <c r="AB156" s="157"/>
      <c r="AC156" s="157"/>
      <c r="AD156" s="158"/>
      <c r="AE156" s="159">
        <f t="shared" ref="AE156" si="395">AE128</f>
        <v>3000</v>
      </c>
      <c r="AF156" s="159"/>
      <c r="AG156" s="159"/>
      <c r="AH156" s="159"/>
      <c r="AI156" s="159"/>
      <c r="AJ156" s="159"/>
      <c r="AK156" s="160">
        <v>0</v>
      </c>
      <c r="AL156" s="161"/>
      <c r="AM156" s="161"/>
      <c r="AN156" s="161"/>
      <c r="AO156" s="161"/>
      <c r="AP156" s="162"/>
      <c r="AQ156" s="163">
        <f t="shared" si="384"/>
        <v>0</v>
      </c>
      <c r="AR156" s="164"/>
      <c r="AS156" s="164"/>
      <c r="AT156" s="164"/>
      <c r="AU156" s="164"/>
      <c r="AV156" s="165"/>
      <c r="AW156" s="160">
        <f t="shared" si="340"/>
        <v>0</v>
      </c>
      <c r="AX156" s="161"/>
      <c r="AY156" s="161"/>
      <c r="AZ156" s="161"/>
      <c r="BA156" s="161"/>
      <c r="BB156" s="162"/>
      <c r="BC156" s="160">
        <f t="shared" si="385"/>
        <v>0</v>
      </c>
      <c r="BD156" s="161"/>
      <c r="BE156" s="161"/>
      <c r="BF156" s="161"/>
      <c r="BG156" s="161"/>
      <c r="BH156" s="166"/>
      <c r="BI156" s="3">
        <f t="shared" si="333"/>
        <v>144000</v>
      </c>
    </row>
    <row r="157" spans="1:61" s="19" customFormat="1" ht="35.25" customHeight="1" x14ac:dyDescent="0.25">
      <c r="A157" s="127" t="str">
        <f t="shared" ref="A157" si="396">A129</f>
        <v>貳</v>
      </c>
      <c r="B157" s="128"/>
      <c r="C157" s="128"/>
      <c r="D157" s="129"/>
      <c r="E157" s="130" t="str">
        <f t="shared" ref="E157" si="397">E129</f>
        <v>職業安全衛生管理費與施工環境保護與清潔（壹*2%）</v>
      </c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2"/>
      <c r="U157" s="133" t="str">
        <f t="shared" ref="U157" si="398">U129</f>
        <v>式</v>
      </c>
      <c r="V157" s="134"/>
      <c r="W157" s="134"/>
      <c r="X157" s="135"/>
      <c r="Y157" s="136">
        <f t="shared" ref="Y157" si="399">Y129</f>
        <v>1</v>
      </c>
      <c r="Z157" s="137"/>
      <c r="AA157" s="137"/>
      <c r="AB157" s="137"/>
      <c r="AC157" s="137"/>
      <c r="AD157" s="138"/>
      <c r="AE157" s="139">
        <f t="shared" ref="AE157" si="400">AE129</f>
        <v>8807</v>
      </c>
      <c r="AF157" s="139"/>
      <c r="AG157" s="139"/>
      <c r="AH157" s="139"/>
      <c r="AI157" s="139"/>
      <c r="AJ157" s="139"/>
      <c r="AK157" s="140">
        <v>1.7000000000000001E-2</v>
      </c>
      <c r="AL157" s="141"/>
      <c r="AM157" s="141"/>
      <c r="AN157" s="141"/>
      <c r="AO157" s="141"/>
      <c r="AP157" s="142"/>
      <c r="AQ157" s="143">
        <f t="shared" si="384"/>
        <v>149.71900000000002</v>
      </c>
      <c r="AR157" s="144"/>
      <c r="AS157" s="144"/>
      <c r="AT157" s="144"/>
      <c r="AU157" s="144"/>
      <c r="AV157" s="145"/>
      <c r="AW157" s="140">
        <f>AW129+AK157</f>
        <v>0.10200000000000001</v>
      </c>
      <c r="AX157" s="141"/>
      <c r="AY157" s="141"/>
      <c r="AZ157" s="141"/>
      <c r="BA157" s="141"/>
      <c r="BB157" s="142"/>
      <c r="BC157" s="136">
        <f>ROUND(AW157*AE157,0)</f>
        <v>898</v>
      </c>
      <c r="BD157" s="137"/>
      <c r="BE157" s="137"/>
      <c r="BF157" s="137"/>
      <c r="BG157" s="137"/>
      <c r="BH157" s="146"/>
      <c r="BI157" s="18">
        <f t="shared" si="333"/>
        <v>8807</v>
      </c>
    </row>
    <row r="158" spans="1:61" s="19" customFormat="1" ht="21.95" customHeight="1" x14ac:dyDescent="0.25">
      <c r="A158" s="127" t="str">
        <f t="shared" ref="A158" si="401">A130</f>
        <v>參</v>
      </c>
      <c r="B158" s="128"/>
      <c r="C158" s="128"/>
      <c r="D158" s="129"/>
      <c r="E158" s="130" t="str">
        <f t="shared" ref="E158" si="402">E130</f>
        <v>公共工程品質管制作業費（壹*1%）</v>
      </c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2"/>
      <c r="U158" s="133" t="str">
        <f t="shared" ref="U158" si="403">U130</f>
        <v>式</v>
      </c>
      <c r="V158" s="134"/>
      <c r="W158" s="134"/>
      <c r="X158" s="135"/>
      <c r="Y158" s="147">
        <f t="shared" ref="Y158" si="404">Y130</f>
        <v>1</v>
      </c>
      <c r="Z158" s="148"/>
      <c r="AA158" s="148"/>
      <c r="AB158" s="148"/>
      <c r="AC158" s="148"/>
      <c r="AD158" s="149"/>
      <c r="AE158" s="139">
        <f t="shared" ref="AE158" si="405">AE130</f>
        <v>4404</v>
      </c>
      <c r="AF158" s="139"/>
      <c r="AG158" s="139"/>
      <c r="AH158" s="139"/>
      <c r="AI158" s="139"/>
      <c r="AJ158" s="139"/>
      <c r="AK158" s="140">
        <v>1.7000000000000001E-2</v>
      </c>
      <c r="AL158" s="141"/>
      <c r="AM158" s="141"/>
      <c r="AN158" s="141"/>
      <c r="AO158" s="141"/>
      <c r="AP158" s="142"/>
      <c r="AQ158" s="143">
        <f t="shared" si="384"/>
        <v>74.868000000000009</v>
      </c>
      <c r="AR158" s="144"/>
      <c r="AS158" s="144"/>
      <c r="AT158" s="144"/>
      <c r="AU158" s="144"/>
      <c r="AV158" s="145"/>
      <c r="AW158" s="140">
        <f t="shared" ref="AW158:AW161" si="406">AW130+AK158</f>
        <v>0.10200000000000001</v>
      </c>
      <c r="AX158" s="141"/>
      <c r="AY158" s="141"/>
      <c r="AZ158" s="141"/>
      <c r="BA158" s="141"/>
      <c r="BB158" s="142"/>
      <c r="BC158" s="136">
        <f t="shared" ref="BC158:BC161" si="407">ROUND(AW158*AE158,0)</f>
        <v>449</v>
      </c>
      <c r="BD158" s="137"/>
      <c r="BE158" s="137"/>
      <c r="BF158" s="137"/>
      <c r="BG158" s="137"/>
      <c r="BH158" s="146"/>
      <c r="BI158" s="18">
        <f t="shared" si="333"/>
        <v>4404</v>
      </c>
    </row>
    <row r="159" spans="1:61" s="19" customFormat="1" ht="21.95" customHeight="1" x14ac:dyDescent="0.25">
      <c r="A159" s="127" t="str">
        <f t="shared" ref="A159" si="408">A131</f>
        <v>肆</v>
      </c>
      <c r="B159" s="128"/>
      <c r="C159" s="128"/>
      <c r="D159" s="129"/>
      <c r="E159" s="130" t="str">
        <f t="shared" ref="E159" si="409">E131</f>
        <v>包商管理及利潤費（約壹*7%）</v>
      </c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2"/>
      <c r="U159" s="133" t="str">
        <f t="shared" ref="U159" si="410">U131</f>
        <v>式</v>
      </c>
      <c r="V159" s="134"/>
      <c r="W159" s="134"/>
      <c r="X159" s="135"/>
      <c r="Y159" s="147">
        <f t="shared" ref="Y159" si="411">Y131</f>
        <v>1</v>
      </c>
      <c r="Z159" s="148"/>
      <c r="AA159" s="148"/>
      <c r="AB159" s="148"/>
      <c r="AC159" s="148"/>
      <c r="AD159" s="149"/>
      <c r="AE159" s="139">
        <f t="shared" ref="AE159" si="412">AE131</f>
        <v>30825</v>
      </c>
      <c r="AF159" s="139"/>
      <c r="AG159" s="139"/>
      <c r="AH159" s="139"/>
      <c r="AI159" s="139"/>
      <c r="AJ159" s="139"/>
      <c r="AK159" s="140">
        <v>1.7000000000000001E-2</v>
      </c>
      <c r="AL159" s="141"/>
      <c r="AM159" s="141"/>
      <c r="AN159" s="141"/>
      <c r="AO159" s="141"/>
      <c r="AP159" s="142"/>
      <c r="AQ159" s="143">
        <f t="shared" si="384"/>
        <v>524.02500000000009</v>
      </c>
      <c r="AR159" s="144"/>
      <c r="AS159" s="144"/>
      <c r="AT159" s="144"/>
      <c r="AU159" s="144"/>
      <c r="AV159" s="145"/>
      <c r="AW159" s="140">
        <f t="shared" si="406"/>
        <v>0.10200000000000001</v>
      </c>
      <c r="AX159" s="141"/>
      <c r="AY159" s="141"/>
      <c r="AZ159" s="141"/>
      <c r="BA159" s="141"/>
      <c r="BB159" s="142"/>
      <c r="BC159" s="136">
        <f t="shared" si="407"/>
        <v>3144</v>
      </c>
      <c r="BD159" s="137"/>
      <c r="BE159" s="137"/>
      <c r="BF159" s="137"/>
      <c r="BG159" s="137"/>
      <c r="BH159" s="146"/>
      <c r="BI159" s="18">
        <f t="shared" si="333"/>
        <v>30825</v>
      </c>
    </row>
    <row r="160" spans="1:61" s="19" customFormat="1" ht="21.95" customHeight="1" x14ac:dyDescent="0.25">
      <c r="A160" s="127" t="str">
        <f t="shared" ref="A160" si="413">A132</f>
        <v>伍</v>
      </c>
      <c r="B160" s="128"/>
      <c r="C160" s="128"/>
      <c r="D160" s="129"/>
      <c r="E160" s="130" t="str">
        <f t="shared" ref="E160" si="414">E132</f>
        <v>營造綜合保險費</v>
      </c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2"/>
      <c r="U160" s="133" t="str">
        <f t="shared" ref="U160" si="415">U132</f>
        <v>式</v>
      </c>
      <c r="V160" s="134"/>
      <c r="W160" s="134"/>
      <c r="X160" s="135"/>
      <c r="Y160" s="136">
        <f t="shared" ref="Y160" si="416">Y132</f>
        <v>1</v>
      </c>
      <c r="Z160" s="137"/>
      <c r="AA160" s="137"/>
      <c r="AB160" s="137"/>
      <c r="AC160" s="137"/>
      <c r="AD160" s="138"/>
      <c r="AE160" s="139">
        <f t="shared" ref="AE160" si="417">AE132</f>
        <v>1321</v>
      </c>
      <c r="AF160" s="139"/>
      <c r="AG160" s="139"/>
      <c r="AH160" s="139"/>
      <c r="AI160" s="139"/>
      <c r="AJ160" s="139"/>
      <c r="AK160" s="136">
        <v>0</v>
      </c>
      <c r="AL160" s="137"/>
      <c r="AM160" s="137"/>
      <c r="AN160" s="137"/>
      <c r="AO160" s="137"/>
      <c r="AP160" s="138"/>
      <c r="AQ160" s="143">
        <f t="shared" si="384"/>
        <v>0</v>
      </c>
      <c r="AR160" s="144"/>
      <c r="AS160" s="144"/>
      <c r="AT160" s="144"/>
      <c r="AU160" s="144"/>
      <c r="AV160" s="145"/>
      <c r="AW160" s="136">
        <f t="shared" si="406"/>
        <v>1</v>
      </c>
      <c r="AX160" s="137"/>
      <c r="AY160" s="137"/>
      <c r="AZ160" s="137"/>
      <c r="BA160" s="137"/>
      <c r="BB160" s="138"/>
      <c r="BC160" s="136">
        <f t="shared" si="407"/>
        <v>1321</v>
      </c>
      <c r="BD160" s="137"/>
      <c r="BE160" s="137"/>
      <c r="BF160" s="137"/>
      <c r="BG160" s="137"/>
      <c r="BH160" s="146"/>
      <c r="BI160" s="18">
        <f t="shared" si="333"/>
        <v>1321</v>
      </c>
    </row>
    <row r="161" spans="1:69" s="19" customFormat="1" ht="21.95" customHeight="1" x14ac:dyDescent="0.25">
      <c r="A161" s="127" t="str">
        <f t="shared" ref="A161" si="418">A133</f>
        <v>陸</v>
      </c>
      <c r="B161" s="128"/>
      <c r="C161" s="128"/>
      <c r="D161" s="129"/>
      <c r="E161" s="130" t="str">
        <f t="shared" ref="E161" si="419">E133</f>
        <v>營業稅（(壹~伍)*5％）</v>
      </c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2"/>
      <c r="U161" s="133" t="str">
        <f t="shared" ref="U161" si="420">U133</f>
        <v>式</v>
      </c>
      <c r="V161" s="134"/>
      <c r="W161" s="134"/>
      <c r="X161" s="135"/>
      <c r="Y161" s="136">
        <f t="shared" ref="Y161" si="421">Y133</f>
        <v>1</v>
      </c>
      <c r="Z161" s="137"/>
      <c r="AA161" s="137"/>
      <c r="AB161" s="137"/>
      <c r="AC161" s="137"/>
      <c r="AD161" s="138"/>
      <c r="AE161" s="139">
        <f t="shared" ref="AE161" si="422">AE133</f>
        <v>24286</v>
      </c>
      <c r="AF161" s="139"/>
      <c r="AG161" s="139"/>
      <c r="AH161" s="139"/>
      <c r="AI161" s="139"/>
      <c r="AJ161" s="139"/>
      <c r="AK161" s="140">
        <v>1.7000000000000001E-2</v>
      </c>
      <c r="AL161" s="141"/>
      <c r="AM161" s="141"/>
      <c r="AN161" s="141"/>
      <c r="AO161" s="141"/>
      <c r="AP161" s="142"/>
      <c r="AQ161" s="143">
        <f t="shared" si="384"/>
        <v>412.86200000000002</v>
      </c>
      <c r="AR161" s="144"/>
      <c r="AS161" s="144"/>
      <c r="AT161" s="144"/>
      <c r="AU161" s="144"/>
      <c r="AV161" s="145"/>
      <c r="AW161" s="140">
        <f t="shared" si="406"/>
        <v>0.10200000000000001</v>
      </c>
      <c r="AX161" s="141"/>
      <c r="AY161" s="141"/>
      <c r="AZ161" s="141"/>
      <c r="BA161" s="141"/>
      <c r="BB161" s="142"/>
      <c r="BC161" s="136">
        <f t="shared" si="407"/>
        <v>2477</v>
      </c>
      <c r="BD161" s="137"/>
      <c r="BE161" s="137"/>
      <c r="BF161" s="137"/>
      <c r="BG161" s="137"/>
      <c r="BH161" s="146"/>
      <c r="BI161" s="18">
        <f t="shared" si="333"/>
        <v>24286</v>
      </c>
    </row>
    <row r="162" spans="1:69" ht="21.95" customHeight="1" x14ac:dyDescent="0.25">
      <c r="A162" s="111"/>
      <c r="B162" s="112"/>
      <c r="C162" s="112"/>
      <c r="D162" s="113"/>
      <c r="E162" s="114" t="s">
        <v>75</v>
      </c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6"/>
      <c r="U162" s="117"/>
      <c r="V162" s="118"/>
      <c r="W162" s="118"/>
      <c r="X162" s="119"/>
      <c r="Y162" s="120"/>
      <c r="Z162" s="121"/>
      <c r="AA162" s="121"/>
      <c r="AB162" s="121"/>
      <c r="AC162" s="121"/>
      <c r="AD162" s="122"/>
      <c r="AE162" s="123"/>
      <c r="AF162" s="124"/>
      <c r="AG162" s="124"/>
      <c r="AH162" s="124"/>
      <c r="AI162" s="124"/>
      <c r="AJ162" s="125"/>
      <c r="AK162" s="120"/>
      <c r="AL162" s="121"/>
      <c r="AM162" s="121"/>
      <c r="AN162" s="121"/>
      <c r="AO162" s="121"/>
      <c r="AP162" s="122"/>
      <c r="AQ162" s="123">
        <f>SUM(AQ148:AQ161)</f>
        <v>1161.4740000000002</v>
      </c>
      <c r="AR162" s="124"/>
      <c r="AS162" s="124"/>
      <c r="AT162" s="124"/>
      <c r="AU162" s="124"/>
      <c r="AV162" s="125"/>
      <c r="AW162" s="120"/>
      <c r="AX162" s="121"/>
      <c r="AY162" s="121"/>
      <c r="AZ162" s="121"/>
      <c r="BA162" s="121"/>
      <c r="BB162" s="122"/>
      <c r="BC162" s="120">
        <f>SUM(BC148:BC161)</f>
        <v>10289</v>
      </c>
      <c r="BD162" s="121"/>
      <c r="BE162" s="121"/>
      <c r="BF162" s="121"/>
      <c r="BG162" s="121"/>
      <c r="BH162" s="126"/>
      <c r="BI162" s="17">
        <f>SUM(BI146:BI161)</f>
        <v>510000</v>
      </c>
    </row>
    <row r="163" spans="1:69" ht="21.95" customHeight="1" x14ac:dyDescent="0.25">
      <c r="A163" s="101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3"/>
      <c r="AK163" s="104"/>
      <c r="AL163" s="105"/>
      <c r="AM163" s="105"/>
      <c r="AN163" s="105"/>
      <c r="AO163" s="105"/>
      <c r="AP163" s="106"/>
      <c r="AQ163" s="107"/>
      <c r="AR163" s="108"/>
      <c r="AS163" s="108"/>
      <c r="AT163" s="108"/>
      <c r="AU163" s="108"/>
      <c r="AV163" s="109"/>
      <c r="AW163" s="104"/>
      <c r="AX163" s="105"/>
      <c r="AY163" s="105"/>
      <c r="AZ163" s="105"/>
      <c r="BA163" s="105"/>
      <c r="BB163" s="106"/>
      <c r="BC163" s="104"/>
      <c r="BD163" s="105"/>
      <c r="BE163" s="105"/>
      <c r="BF163" s="105"/>
      <c r="BG163" s="105"/>
      <c r="BH163" s="110"/>
      <c r="BI163" s="15">
        <f>Y163*AE163</f>
        <v>0</v>
      </c>
    </row>
    <row r="164" spans="1:69" ht="21.95" customHeight="1" x14ac:dyDescent="0.25">
      <c r="A164" s="101" t="s">
        <v>11</v>
      </c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3"/>
      <c r="AK164" s="104"/>
      <c r="AL164" s="105"/>
      <c r="AM164" s="105"/>
      <c r="AN164" s="105"/>
      <c r="AO164" s="105"/>
      <c r="AP164" s="106"/>
      <c r="AQ164" s="107">
        <f>BC162/BI162</f>
        <v>2.0174509803921568E-2</v>
      </c>
      <c r="AR164" s="108"/>
      <c r="AS164" s="108"/>
      <c r="AT164" s="108"/>
      <c r="AU164" s="108"/>
      <c r="AV164" s="109"/>
      <c r="AW164" s="104"/>
      <c r="AX164" s="105"/>
      <c r="AY164" s="105"/>
      <c r="AZ164" s="105"/>
      <c r="BA164" s="105"/>
      <c r="BB164" s="106"/>
      <c r="BC164" s="104"/>
      <c r="BD164" s="105"/>
      <c r="BE164" s="105"/>
      <c r="BF164" s="105"/>
      <c r="BG164" s="105"/>
      <c r="BH164" s="110"/>
      <c r="BI164" s="15">
        <f>AQ164</f>
        <v>2.0174509803921568E-2</v>
      </c>
    </row>
    <row r="165" spans="1:69" ht="18.75" customHeight="1" x14ac:dyDescent="0.25">
      <c r="A165" s="90" t="s">
        <v>15</v>
      </c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2"/>
      <c r="AE165" s="93" t="s">
        <v>14</v>
      </c>
      <c r="AF165" s="91"/>
      <c r="AG165" s="91"/>
      <c r="AH165" s="91"/>
      <c r="AI165" s="91"/>
      <c r="AJ165" s="91"/>
      <c r="AK165" s="91"/>
      <c r="AL165" s="91"/>
      <c r="AM165" s="91"/>
      <c r="AN165" s="91"/>
      <c r="AO165" s="91"/>
      <c r="AP165" s="91"/>
      <c r="AQ165" s="91"/>
      <c r="AR165" s="91"/>
      <c r="AS165" s="91"/>
      <c r="AT165" s="91"/>
      <c r="AU165" s="91"/>
      <c r="AV165" s="91"/>
      <c r="AW165" s="91"/>
      <c r="AX165" s="91"/>
      <c r="AY165" s="91"/>
      <c r="AZ165" s="91"/>
      <c r="BA165" s="91"/>
      <c r="BB165" s="91"/>
      <c r="BC165" s="91"/>
      <c r="BD165" s="91"/>
      <c r="BE165" s="91"/>
      <c r="BF165" s="91"/>
      <c r="BG165" s="91"/>
      <c r="BH165" s="94"/>
    </row>
    <row r="166" spans="1:69" x14ac:dyDescent="0.25">
      <c r="A166" s="95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  <c r="AD166" s="96"/>
      <c r="AE166" s="96"/>
      <c r="AF166" s="96"/>
      <c r="AG166" s="96"/>
      <c r="AH166" s="96"/>
      <c r="AI166" s="96"/>
      <c r="AJ166" s="96"/>
      <c r="AK166" s="96"/>
      <c r="AL166" s="96"/>
      <c r="AM166" s="96"/>
      <c r="AN166" s="96"/>
      <c r="AO166" s="96"/>
      <c r="AP166" s="96"/>
      <c r="AQ166" s="96"/>
      <c r="AR166" s="96"/>
      <c r="AS166" s="96"/>
      <c r="AT166" s="96"/>
      <c r="AU166" s="96"/>
      <c r="AV166" s="96"/>
      <c r="AW166" s="96"/>
      <c r="AX166" s="96"/>
      <c r="AY166" s="96"/>
      <c r="AZ166" s="96"/>
      <c r="BA166" s="96"/>
      <c r="BB166" s="96"/>
      <c r="BC166" s="96"/>
      <c r="BD166" s="96"/>
      <c r="BE166" s="96"/>
      <c r="BF166" s="96"/>
      <c r="BG166" s="96"/>
      <c r="BH166" s="99"/>
    </row>
    <row r="167" spans="1:69" x14ac:dyDescent="0.25">
      <c r="A167" s="95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  <c r="AD167" s="96"/>
      <c r="AE167" s="96"/>
      <c r="AF167" s="96"/>
      <c r="AG167" s="96"/>
      <c r="AH167" s="96"/>
      <c r="AI167" s="96"/>
      <c r="AJ167" s="96"/>
      <c r="AK167" s="96"/>
      <c r="AL167" s="96"/>
      <c r="AM167" s="96"/>
      <c r="AN167" s="96"/>
      <c r="AO167" s="96"/>
      <c r="AP167" s="96"/>
      <c r="AQ167" s="96"/>
      <c r="AR167" s="96"/>
      <c r="AS167" s="96"/>
      <c r="AT167" s="96"/>
      <c r="AU167" s="96"/>
      <c r="AV167" s="96"/>
      <c r="AW167" s="96"/>
      <c r="AX167" s="96"/>
      <c r="AY167" s="96"/>
      <c r="AZ167" s="96"/>
      <c r="BA167" s="96"/>
      <c r="BB167" s="96"/>
      <c r="BC167" s="96"/>
      <c r="BD167" s="96"/>
      <c r="BE167" s="96"/>
      <c r="BF167" s="96"/>
      <c r="BG167" s="96"/>
      <c r="BH167" s="99"/>
    </row>
    <row r="168" spans="1:69" ht="17.25" thickBot="1" x14ac:dyDescent="0.3">
      <c r="A168" s="97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8"/>
      <c r="AK168" s="98"/>
      <c r="AL168" s="98"/>
      <c r="AM168" s="98"/>
      <c r="AN168" s="98"/>
      <c r="AO168" s="98"/>
      <c r="AP168" s="98"/>
      <c r="AQ168" s="98"/>
      <c r="AR168" s="98"/>
      <c r="AS168" s="98"/>
      <c r="AT168" s="98"/>
      <c r="AU168" s="98"/>
      <c r="AV168" s="98"/>
      <c r="AW168" s="98"/>
      <c r="AX168" s="98"/>
      <c r="AY168" s="98"/>
      <c r="AZ168" s="98"/>
      <c r="BA168" s="98"/>
      <c r="BB168" s="98"/>
      <c r="BC168" s="98"/>
      <c r="BD168" s="98"/>
      <c r="BE168" s="98"/>
      <c r="BF168" s="98"/>
      <c r="BG168" s="98"/>
      <c r="BH168" s="100"/>
    </row>
    <row r="169" spans="1:69" ht="27.75" x14ac:dyDescent="0.25">
      <c r="A169" s="182" t="s">
        <v>81</v>
      </c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  <c r="AA169" s="182"/>
      <c r="AB169" s="182"/>
      <c r="AC169" s="182"/>
      <c r="AD169" s="182"/>
      <c r="AE169" s="182"/>
      <c r="AF169" s="182"/>
      <c r="AG169" s="182"/>
      <c r="AH169" s="182"/>
      <c r="AI169" s="182"/>
      <c r="AJ169" s="182"/>
      <c r="AK169" s="182"/>
      <c r="AL169" s="182"/>
      <c r="AM169" s="182"/>
      <c r="AN169" s="182"/>
      <c r="AO169" s="182"/>
      <c r="AP169" s="182"/>
      <c r="AQ169" s="182"/>
      <c r="AR169" s="182"/>
      <c r="AS169" s="182"/>
      <c r="AT169" s="182"/>
      <c r="AU169" s="182"/>
      <c r="AV169" s="182"/>
      <c r="AW169" s="182"/>
      <c r="AX169" s="182"/>
      <c r="AY169" s="182"/>
      <c r="AZ169" s="182"/>
      <c r="BA169" s="182"/>
      <c r="BB169" s="182"/>
      <c r="BC169" s="182"/>
      <c r="BD169" s="182"/>
      <c r="BE169" s="182"/>
      <c r="BF169" s="182"/>
      <c r="BG169" s="182"/>
      <c r="BH169" s="182"/>
    </row>
    <row r="170" spans="1:69" ht="27.75" x14ac:dyDescent="0.25">
      <c r="A170" s="183" t="s">
        <v>12</v>
      </c>
      <c r="B170" s="183"/>
      <c r="C170" s="183"/>
      <c r="D170" s="183"/>
      <c r="E170" s="183"/>
      <c r="F170" s="183"/>
      <c r="G170" s="183"/>
      <c r="H170" s="183"/>
      <c r="I170" s="183"/>
      <c r="J170" s="184" t="s">
        <v>85</v>
      </c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185"/>
      <c r="AF170" s="185"/>
      <c r="AG170" s="185"/>
      <c r="AH170" s="185"/>
      <c r="AI170" s="185"/>
      <c r="AJ170" s="185"/>
      <c r="AK170" s="185"/>
      <c r="AL170" s="185"/>
      <c r="AM170" s="185"/>
      <c r="AN170" s="185"/>
      <c r="AO170" s="185"/>
      <c r="AP170" s="185"/>
      <c r="AQ170" s="185"/>
      <c r="AR170" s="185"/>
      <c r="AS170" s="185"/>
      <c r="AT170" s="185"/>
      <c r="AU170" s="185"/>
      <c r="AV170" s="185"/>
      <c r="AW170" s="185"/>
      <c r="AX170" s="185"/>
      <c r="AY170" s="185"/>
      <c r="AZ170" s="185"/>
      <c r="BA170" s="185"/>
      <c r="BB170" s="185"/>
      <c r="BC170" s="185"/>
      <c r="BD170" s="185"/>
      <c r="BE170" s="185"/>
      <c r="BF170" s="185"/>
      <c r="BG170" s="185"/>
      <c r="BH170" s="185"/>
      <c r="BI170" s="185"/>
      <c r="BJ170" s="185"/>
      <c r="BK170" s="185"/>
      <c r="BL170" s="185"/>
      <c r="BM170" s="185"/>
      <c r="BN170" s="185"/>
      <c r="BO170" s="185"/>
      <c r="BP170" s="185"/>
      <c r="BQ170" s="185"/>
    </row>
    <row r="171" spans="1:69" ht="17.25" thickBot="1" x14ac:dyDescent="0.3">
      <c r="A171" s="186" t="s">
        <v>10</v>
      </c>
      <c r="B171" s="186"/>
      <c r="C171" s="186"/>
      <c r="D171" s="186"/>
      <c r="E171" s="186"/>
      <c r="F171" s="186"/>
      <c r="G171" s="186"/>
      <c r="H171" s="186"/>
      <c r="I171" s="187" t="s">
        <v>78</v>
      </c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  <c r="AA171" s="187"/>
      <c r="AB171" s="187"/>
      <c r="AC171" s="187"/>
      <c r="AD171" s="187"/>
      <c r="AE171" s="187"/>
      <c r="AF171" s="187"/>
      <c r="AG171" s="187"/>
      <c r="AH171" s="187"/>
      <c r="AI171" s="187"/>
      <c r="AJ171" s="187"/>
      <c r="AK171" s="187"/>
      <c r="AL171" s="187"/>
      <c r="AM171" s="187"/>
      <c r="AN171" s="187"/>
      <c r="AO171" s="188" t="s">
        <v>9</v>
      </c>
      <c r="AP171" s="188"/>
      <c r="AQ171" s="188"/>
      <c r="AR171" s="188"/>
      <c r="AS171" s="188"/>
      <c r="AT171" s="188"/>
      <c r="AU171" s="188"/>
      <c r="AV171" s="188"/>
      <c r="AW171" s="189">
        <f>AW143+1</f>
        <v>45916</v>
      </c>
      <c r="AX171" s="189"/>
      <c r="AY171" s="189"/>
      <c r="AZ171" s="189"/>
      <c r="BA171" s="189"/>
      <c r="BB171" s="189"/>
      <c r="BC171" s="189"/>
      <c r="BD171" s="189"/>
      <c r="BE171" s="189"/>
      <c r="BF171" s="189"/>
      <c r="BG171" s="189"/>
      <c r="BH171" s="189"/>
    </row>
    <row r="172" spans="1:69" ht="36" customHeight="1" x14ac:dyDescent="0.25">
      <c r="A172" s="180" t="s">
        <v>0</v>
      </c>
      <c r="B172" s="83"/>
      <c r="C172" s="83"/>
      <c r="D172" s="83"/>
      <c r="E172" s="83" t="s">
        <v>6</v>
      </c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 t="s">
        <v>7</v>
      </c>
      <c r="V172" s="83"/>
      <c r="W172" s="83"/>
      <c r="X172" s="83"/>
      <c r="Y172" s="181" t="s">
        <v>1</v>
      </c>
      <c r="Z172" s="181"/>
      <c r="AA172" s="181"/>
      <c r="AB172" s="181"/>
      <c r="AC172" s="181"/>
      <c r="AD172" s="181"/>
      <c r="AE172" s="83" t="s">
        <v>8</v>
      </c>
      <c r="AF172" s="83"/>
      <c r="AG172" s="83"/>
      <c r="AH172" s="83"/>
      <c r="AI172" s="83"/>
      <c r="AJ172" s="83"/>
      <c r="AK172" s="181" t="s">
        <v>2</v>
      </c>
      <c r="AL172" s="181"/>
      <c r="AM172" s="181"/>
      <c r="AN172" s="181"/>
      <c r="AO172" s="181"/>
      <c r="AP172" s="181"/>
      <c r="AQ172" s="84" t="s">
        <v>3</v>
      </c>
      <c r="AR172" s="84"/>
      <c r="AS172" s="84"/>
      <c r="AT172" s="84"/>
      <c r="AU172" s="84"/>
      <c r="AV172" s="84"/>
      <c r="AW172" s="181" t="s">
        <v>4</v>
      </c>
      <c r="AX172" s="181"/>
      <c r="AY172" s="181"/>
      <c r="AZ172" s="181"/>
      <c r="BA172" s="181"/>
      <c r="BB172" s="181"/>
      <c r="BC172" s="84" t="s">
        <v>5</v>
      </c>
      <c r="BD172" s="84"/>
      <c r="BE172" s="84"/>
      <c r="BF172" s="84"/>
      <c r="BG172" s="84"/>
      <c r="BH172" s="85"/>
      <c r="BI172" s="1"/>
    </row>
    <row r="173" spans="1:69" ht="21.95" customHeight="1" x14ac:dyDescent="0.25">
      <c r="A173" s="150" t="str">
        <f t="shared" ref="A173" si="423">A145</f>
        <v>壹</v>
      </c>
      <c r="B173" s="151"/>
      <c r="C173" s="151"/>
      <c r="D173" s="152"/>
      <c r="E173" s="175" t="str">
        <f t="shared" ref="E173" si="424">E145</f>
        <v>直接工程費</v>
      </c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7"/>
      <c r="U173" s="117"/>
      <c r="V173" s="118"/>
      <c r="W173" s="118"/>
      <c r="X173" s="119"/>
      <c r="Y173" s="178"/>
      <c r="Z173" s="178"/>
      <c r="AA173" s="178"/>
      <c r="AB173" s="178"/>
      <c r="AC173" s="178"/>
      <c r="AD173" s="178"/>
      <c r="AE173" s="178"/>
      <c r="AF173" s="178"/>
      <c r="AG173" s="178"/>
      <c r="AH173" s="178"/>
      <c r="AI173" s="178"/>
      <c r="AJ173" s="178"/>
      <c r="AK173" s="178"/>
      <c r="AL173" s="178"/>
      <c r="AM173" s="178"/>
      <c r="AN173" s="178"/>
      <c r="AO173" s="178"/>
      <c r="AP173" s="178"/>
      <c r="AQ173" s="178"/>
      <c r="AR173" s="178"/>
      <c r="AS173" s="178"/>
      <c r="AT173" s="178"/>
      <c r="AU173" s="178"/>
      <c r="AV173" s="178"/>
      <c r="AW173" s="178"/>
      <c r="AX173" s="178"/>
      <c r="AY173" s="178"/>
      <c r="AZ173" s="178"/>
      <c r="BA173" s="178"/>
      <c r="BB173" s="178"/>
      <c r="BC173" s="178"/>
      <c r="BD173" s="178"/>
      <c r="BE173" s="178"/>
      <c r="BF173" s="178"/>
      <c r="BG173" s="178"/>
      <c r="BH173" s="179"/>
      <c r="BI173" s="3">
        <f t="shared" ref="BI173:BI189" si="425">Y173*AE173</f>
        <v>0</v>
      </c>
    </row>
    <row r="174" spans="1:69" s="19" customFormat="1" ht="21.95" customHeight="1" x14ac:dyDescent="0.25">
      <c r="A174" s="127">
        <f t="shared" ref="A174" si="426">A146</f>
        <v>1</v>
      </c>
      <c r="B174" s="128"/>
      <c r="C174" s="128"/>
      <c r="D174" s="129"/>
      <c r="E174" s="170" t="str">
        <f t="shared" ref="E174" si="427">E146</f>
        <v>工程告示牌與職安衛告示牌(租用)</v>
      </c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2"/>
      <c r="U174" s="133" t="str">
        <f t="shared" ref="U174" si="428">U146</f>
        <v>式</v>
      </c>
      <c r="V174" s="134"/>
      <c r="W174" s="134"/>
      <c r="X174" s="135"/>
      <c r="Y174" s="136">
        <f t="shared" ref="Y174" si="429">Y146</f>
        <v>1</v>
      </c>
      <c r="Z174" s="137"/>
      <c r="AA174" s="137"/>
      <c r="AB174" s="137"/>
      <c r="AC174" s="137"/>
      <c r="AD174" s="138"/>
      <c r="AE174" s="139">
        <f t="shared" ref="AE174" si="430">AE146</f>
        <v>5000</v>
      </c>
      <c r="AF174" s="139"/>
      <c r="AG174" s="139"/>
      <c r="AH174" s="139"/>
      <c r="AI174" s="139"/>
      <c r="AJ174" s="139"/>
      <c r="AK174" s="173">
        <v>0</v>
      </c>
      <c r="AL174" s="173"/>
      <c r="AM174" s="173"/>
      <c r="AN174" s="173"/>
      <c r="AO174" s="173"/>
      <c r="AP174" s="173"/>
      <c r="AQ174" s="139">
        <f t="shared" ref="AQ174:AQ175" si="431">AK174*AE174</f>
        <v>0</v>
      </c>
      <c r="AR174" s="139"/>
      <c r="AS174" s="139"/>
      <c r="AT174" s="139"/>
      <c r="AU174" s="139"/>
      <c r="AV174" s="139"/>
      <c r="AW174" s="173">
        <f t="shared" ref="AW174:AW184" si="432">AW146+AK174</f>
        <v>1</v>
      </c>
      <c r="AX174" s="173"/>
      <c r="AY174" s="173"/>
      <c r="AZ174" s="173"/>
      <c r="BA174" s="173"/>
      <c r="BB174" s="173"/>
      <c r="BC174" s="173">
        <f t="shared" ref="BC174:BC175" si="433">ROUND(AW174*AE174,0)</f>
        <v>5000</v>
      </c>
      <c r="BD174" s="173"/>
      <c r="BE174" s="173"/>
      <c r="BF174" s="173"/>
      <c r="BG174" s="173"/>
      <c r="BH174" s="174"/>
      <c r="BI174" s="18">
        <f t="shared" si="425"/>
        <v>5000</v>
      </c>
    </row>
    <row r="175" spans="1:69" s="19" customFormat="1" ht="21.95" customHeight="1" x14ac:dyDescent="0.25">
      <c r="A175" s="127">
        <f t="shared" ref="A175" si="434">A147</f>
        <v>2</v>
      </c>
      <c r="B175" s="128"/>
      <c r="C175" s="128"/>
      <c r="D175" s="129"/>
      <c r="E175" s="170" t="str">
        <f t="shared" ref="E175" si="435">E147</f>
        <v>三角錐與連桿(租用)</v>
      </c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2"/>
      <c r="U175" s="133" t="str">
        <f t="shared" ref="U175" si="436">U147</f>
        <v>M</v>
      </c>
      <c r="V175" s="134"/>
      <c r="W175" s="134"/>
      <c r="X175" s="135"/>
      <c r="Y175" s="147">
        <f t="shared" ref="Y175" si="437">Y147</f>
        <v>86</v>
      </c>
      <c r="Z175" s="148"/>
      <c r="AA175" s="148"/>
      <c r="AB175" s="148"/>
      <c r="AC175" s="148"/>
      <c r="AD175" s="149"/>
      <c r="AE175" s="139">
        <f t="shared" ref="AE175" si="438">AE147</f>
        <v>60</v>
      </c>
      <c r="AF175" s="139"/>
      <c r="AG175" s="139"/>
      <c r="AH175" s="139"/>
      <c r="AI175" s="139"/>
      <c r="AJ175" s="139"/>
      <c r="AK175" s="173">
        <v>0</v>
      </c>
      <c r="AL175" s="173"/>
      <c r="AM175" s="173"/>
      <c r="AN175" s="173"/>
      <c r="AO175" s="173"/>
      <c r="AP175" s="173"/>
      <c r="AQ175" s="139">
        <f t="shared" si="431"/>
        <v>0</v>
      </c>
      <c r="AR175" s="139"/>
      <c r="AS175" s="139"/>
      <c r="AT175" s="139"/>
      <c r="AU175" s="139"/>
      <c r="AV175" s="139"/>
      <c r="AW175" s="173">
        <f t="shared" si="432"/>
        <v>86</v>
      </c>
      <c r="AX175" s="173"/>
      <c r="AY175" s="173"/>
      <c r="AZ175" s="173"/>
      <c r="BA175" s="173"/>
      <c r="BB175" s="173"/>
      <c r="BC175" s="173">
        <f t="shared" si="433"/>
        <v>5160</v>
      </c>
      <c r="BD175" s="173"/>
      <c r="BE175" s="173"/>
      <c r="BF175" s="173"/>
      <c r="BG175" s="173"/>
      <c r="BH175" s="174"/>
      <c r="BI175" s="18">
        <f t="shared" si="425"/>
        <v>5160</v>
      </c>
    </row>
    <row r="176" spans="1:69" s="19" customFormat="1" ht="33" customHeight="1" x14ac:dyDescent="0.25">
      <c r="A176" s="150">
        <f t="shared" ref="A176" si="439">A148</f>
        <v>3</v>
      </c>
      <c r="B176" s="151"/>
      <c r="C176" s="151"/>
      <c r="D176" s="152"/>
      <c r="E176" s="175" t="str">
        <f t="shared" ref="E176" si="440">E148</f>
        <v>施工動線開闢及損害復原；測量與放樣</v>
      </c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7"/>
      <c r="U176" s="117" t="str">
        <f t="shared" ref="U176" si="441">U148</f>
        <v>式</v>
      </c>
      <c r="V176" s="118"/>
      <c r="W176" s="118"/>
      <c r="X176" s="119"/>
      <c r="Y176" s="156">
        <f t="shared" ref="Y176" si="442">Y148</f>
        <v>1</v>
      </c>
      <c r="Z176" s="157"/>
      <c r="AA176" s="157"/>
      <c r="AB176" s="157"/>
      <c r="AC176" s="157"/>
      <c r="AD176" s="158"/>
      <c r="AE176" s="159">
        <f t="shared" ref="AE176" si="443">AE148</f>
        <v>4000</v>
      </c>
      <c r="AF176" s="159"/>
      <c r="AG176" s="159"/>
      <c r="AH176" s="159"/>
      <c r="AI176" s="159"/>
      <c r="AJ176" s="159"/>
      <c r="AK176" s="167">
        <v>0</v>
      </c>
      <c r="AL176" s="167"/>
      <c r="AM176" s="167"/>
      <c r="AN176" s="167"/>
      <c r="AO176" s="167"/>
      <c r="AP176" s="167"/>
      <c r="AQ176" s="159">
        <f>AK176*AE176</f>
        <v>0</v>
      </c>
      <c r="AR176" s="159"/>
      <c r="AS176" s="159"/>
      <c r="AT176" s="159"/>
      <c r="AU176" s="159"/>
      <c r="AV176" s="159"/>
      <c r="AW176" s="167">
        <f t="shared" si="432"/>
        <v>0.5</v>
      </c>
      <c r="AX176" s="167"/>
      <c r="AY176" s="167"/>
      <c r="AZ176" s="167"/>
      <c r="BA176" s="167"/>
      <c r="BB176" s="167"/>
      <c r="BC176" s="167">
        <f>ROUND(AW176*AE176,0)</f>
        <v>2000</v>
      </c>
      <c r="BD176" s="167"/>
      <c r="BE176" s="167"/>
      <c r="BF176" s="167"/>
      <c r="BG176" s="167"/>
      <c r="BH176" s="168"/>
      <c r="BI176" s="18">
        <f t="shared" si="425"/>
        <v>4000</v>
      </c>
    </row>
    <row r="177" spans="1:61" ht="54" customHeight="1" x14ac:dyDescent="0.25">
      <c r="A177" s="150">
        <f t="shared" ref="A177" si="444">A149</f>
        <v>4</v>
      </c>
      <c r="B177" s="151"/>
      <c r="C177" s="151"/>
      <c r="D177" s="152"/>
      <c r="E177" s="175" t="str">
        <f t="shared" ref="E177" si="445">E149</f>
        <v>切割打除清運校舍與教室出入口地坪以及司令台階梯平台(含合法清運證明)</v>
      </c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7"/>
      <c r="U177" s="117" t="str">
        <f t="shared" ref="U177" si="446">U149</f>
        <v>式</v>
      </c>
      <c r="V177" s="118"/>
      <c r="W177" s="118"/>
      <c r="X177" s="119"/>
      <c r="Y177" s="156">
        <f t="shared" ref="Y177" si="447">Y149</f>
        <v>1</v>
      </c>
      <c r="Z177" s="157"/>
      <c r="AA177" s="157"/>
      <c r="AB177" s="157"/>
      <c r="AC177" s="157"/>
      <c r="AD177" s="158"/>
      <c r="AE177" s="159">
        <f t="shared" ref="AE177" si="448">AE149</f>
        <v>52817</v>
      </c>
      <c r="AF177" s="159"/>
      <c r="AG177" s="159"/>
      <c r="AH177" s="159"/>
      <c r="AI177" s="159"/>
      <c r="AJ177" s="159"/>
      <c r="AK177" s="167">
        <v>0</v>
      </c>
      <c r="AL177" s="167"/>
      <c r="AM177" s="167"/>
      <c r="AN177" s="167"/>
      <c r="AO177" s="167"/>
      <c r="AP177" s="167"/>
      <c r="AQ177" s="159">
        <f t="shared" ref="AQ177:AQ180" si="449">AK177*AE177</f>
        <v>0</v>
      </c>
      <c r="AR177" s="159"/>
      <c r="AS177" s="159"/>
      <c r="AT177" s="159"/>
      <c r="AU177" s="159"/>
      <c r="AV177" s="159"/>
      <c r="AW177" s="167">
        <f t="shared" si="432"/>
        <v>0</v>
      </c>
      <c r="AX177" s="167"/>
      <c r="AY177" s="167"/>
      <c r="AZ177" s="167"/>
      <c r="BA177" s="167"/>
      <c r="BB177" s="167"/>
      <c r="BC177" s="167">
        <f t="shared" ref="BC177:BC180" si="450">ROUND(AW177*AE177,0)</f>
        <v>0</v>
      </c>
      <c r="BD177" s="167"/>
      <c r="BE177" s="167"/>
      <c r="BF177" s="167"/>
      <c r="BG177" s="167"/>
      <c r="BH177" s="168"/>
      <c r="BI177" s="16">
        <f t="shared" si="425"/>
        <v>52817</v>
      </c>
    </row>
    <row r="178" spans="1:61" ht="20.25" customHeight="1" x14ac:dyDescent="0.25">
      <c r="A178" s="150">
        <f t="shared" ref="A178" si="451">A150</f>
        <v>5</v>
      </c>
      <c r="B178" s="151"/>
      <c r="C178" s="151"/>
      <c r="D178" s="152"/>
      <c r="E178" s="153" t="str">
        <f t="shared" ref="E178" si="452">E150</f>
        <v>校舍出入口施做斜坡順平高差</v>
      </c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5"/>
      <c r="U178" s="117" t="str">
        <f t="shared" ref="U178" si="453">U150</f>
        <v>M2</v>
      </c>
      <c r="V178" s="118"/>
      <c r="W178" s="118"/>
      <c r="X178" s="119"/>
      <c r="Y178" s="160">
        <f t="shared" ref="Y178" si="454">Y150</f>
        <v>15</v>
      </c>
      <c r="Z178" s="161"/>
      <c r="AA178" s="161"/>
      <c r="AB178" s="161"/>
      <c r="AC178" s="161"/>
      <c r="AD178" s="162"/>
      <c r="AE178" s="169">
        <f t="shared" ref="AE178" si="455">AE150</f>
        <v>600</v>
      </c>
      <c r="AF178" s="169"/>
      <c r="AG178" s="169"/>
      <c r="AH178" s="169"/>
      <c r="AI178" s="169"/>
      <c r="AJ178" s="169"/>
      <c r="AK178" s="167">
        <v>0</v>
      </c>
      <c r="AL178" s="167"/>
      <c r="AM178" s="167"/>
      <c r="AN178" s="167"/>
      <c r="AO178" s="167"/>
      <c r="AP178" s="167"/>
      <c r="AQ178" s="159">
        <f t="shared" si="449"/>
        <v>0</v>
      </c>
      <c r="AR178" s="159"/>
      <c r="AS178" s="159"/>
      <c r="AT178" s="159"/>
      <c r="AU178" s="159"/>
      <c r="AV178" s="159"/>
      <c r="AW178" s="167">
        <f t="shared" si="432"/>
        <v>0</v>
      </c>
      <c r="AX178" s="167"/>
      <c r="AY178" s="167"/>
      <c r="AZ178" s="167"/>
      <c r="BA178" s="167"/>
      <c r="BB178" s="167"/>
      <c r="BC178" s="167">
        <f t="shared" si="450"/>
        <v>0</v>
      </c>
      <c r="BD178" s="167"/>
      <c r="BE178" s="167"/>
      <c r="BF178" s="167"/>
      <c r="BG178" s="167"/>
      <c r="BH178" s="168"/>
      <c r="BI178" s="3">
        <f t="shared" si="425"/>
        <v>9000</v>
      </c>
    </row>
    <row r="179" spans="1:61" ht="50.25" customHeight="1" x14ac:dyDescent="0.25">
      <c r="A179" s="150">
        <f t="shared" ref="A179" si="456">A151</f>
        <v>6</v>
      </c>
      <c r="B179" s="151"/>
      <c r="C179" s="151"/>
      <c r="D179" s="152"/>
      <c r="E179" s="153" t="str">
        <f t="shared" ref="E179" si="457">E151</f>
        <v>開挖整地，新設無障礙RC坡道，牆面與地坪粉刷整平(連工帶料，責任施工)</v>
      </c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5"/>
      <c r="U179" s="117" t="str">
        <f t="shared" ref="U179" si="458">U151</f>
        <v>式</v>
      </c>
      <c r="V179" s="118"/>
      <c r="W179" s="118"/>
      <c r="X179" s="119"/>
      <c r="Y179" s="160">
        <f t="shared" ref="Y179" si="459">Y151</f>
        <v>1</v>
      </c>
      <c r="Z179" s="161"/>
      <c r="AA179" s="161"/>
      <c r="AB179" s="161"/>
      <c r="AC179" s="161"/>
      <c r="AD179" s="162"/>
      <c r="AE179" s="159">
        <f t="shared" ref="AE179" si="460">AE151</f>
        <v>153000</v>
      </c>
      <c r="AF179" s="159"/>
      <c r="AG179" s="159"/>
      <c r="AH179" s="159"/>
      <c r="AI179" s="159"/>
      <c r="AJ179" s="159"/>
      <c r="AK179" s="167">
        <v>0</v>
      </c>
      <c r="AL179" s="167"/>
      <c r="AM179" s="167"/>
      <c r="AN179" s="167"/>
      <c r="AO179" s="167"/>
      <c r="AP179" s="167"/>
      <c r="AQ179" s="159">
        <f t="shared" si="449"/>
        <v>0</v>
      </c>
      <c r="AR179" s="159"/>
      <c r="AS179" s="159"/>
      <c r="AT179" s="159"/>
      <c r="AU179" s="159"/>
      <c r="AV179" s="159"/>
      <c r="AW179" s="167">
        <f t="shared" si="432"/>
        <v>0</v>
      </c>
      <c r="AX179" s="167"/>
      <c r="AY179" s="167"/>
      <c r="AZ179" s="167"/>
      <c r="BA179" s="167"/>
      <c r="BB179" s="167"/>
      <c r="BC179" s="167">
        <f t="shared" si="450"/>
        <v>0</v>
      </c>
      <c r="BD179" s="167"/>
      <c r="BE179" s="167"/>
      <c r="BF179" s="167"/>
      <c r="BG179" s="167"/>
      <c r="BH179" s="168"/>
      <c r="BI179" s="3">
        <f t="shared" si="425"/>
        <v>153000</v>
      </c>
    </row>
    <row r="180" spans="1:61" ht="32.450000000000003" customHeight="1" x14ac:dyDescent="0.25">
      <c r="A180" s="150">
        <f t="shared" ref="A180" si="461">A152</f>
        <v>7</v>
      </c>
      <c r="B180" s="151"/>
      <c r="C180" s="151"/>
      <c r="D180" s="152"/>
      <c r="E180" s="153" t="str">
        <f t="shared" ref="E180" si="462">E152</f>
        <v>施做抿石子(1~2分AK石，抿石子專用泥)</v>
      </c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5"/>
      <c r="U180" s="117" t="str">
        <f t="shared" ref="U180" si="463">U152</f>
        <v>M2</v>
      </c>
      <c r="V180" s="118"/>
      <c r="W180" s="118"/>
      <c r="X180" s="119"/>
      <c r="Y180" s="160">
        <f t="shared" ref="Y180" si="464">Y152</f>
        <v>38</v>
      </c>
      <c r="Z180" s="161"/>
      <c r="AA180" s="161"/>
      <c r="AB180" s="161"/>
      <c r="AC180" s="161"/>
      <c r="AD180" s="162"/>
      <c r="AE180" s="159">
        <f t="shared" ref="AE180" si="465">AE152</f>
        <v>1460</v>
      </c>
      <c r="AF180" s="159"/>
      <c r="AG180" s="159"/>
      <c r="AH180" s="159"/>
      <c r="AI180" s="159"/>
      <c r="AJ180" s="159"/>
      <c r="AK180" s="167">
        <v>0</v>
      </c>
      <c r="AL180" s="167"/>
      <c r="AM180" s="167"/>
      <c r="AN180" s="167"/>
      <c r="AO180" s="167"/>
      <c r="AP180" s="167"/>
      <c r="AQ180" s="159">
        <f t="shared" si="449"/>
        <v>0</v>
      </c>
      <c r="AR180" s="159"/>
      <c r="AS180" s="159"/>
      <c r="AT180" s="159"/>
      <c r="AU180" s="159"/>
      <c r="AV180" s="159"/>
      <c r="AW180" s="167">
        <f t="shared" si="432"/>
        <v>0</v>
      </c>
      <c r="AX180" s="167"/>
      <c r="AY180" s="167"/>
      <c r="AZ180" s="167"/>
      <c r="BA180" s="167"/>
      <c r="BB180" s="167"/>
      <c r="BC180" s="167">
        <f t="shared" si="450"/>
        <v>0</v>
      </c>
      <c r="BD180" s="167"/>
      <c r="BE180" s="167"/>
      <c r="BF180" s="167"/>
      <c r="BG180" s="167"/>
      <c r="BH180" s="168"/>
      <c r="BI180" s="3">
        <f t="shared" si="425"/>
        <v>55480</v>
      </c>
    </row>
    <row r="181" spans="1:61" ht="21" customHeight="1" x14ac:dyDescent="0.25">
      <c r="A181" s="150">
        <f t="shared" ref="A181" si="466">A153</f>
        <v>8</v>
      </c>
      <c r="B181" s="151"/>
      <c r="C181" s="151"/>
      <c r="D181" s="152"/>
      <c r="E181" s="153" t="str">
        <f t="shared" ref="E181" si="467">E153</f>
        <v>無障礙坡道地坪拉毛</v>
      </c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5"/>
      <c r="U181" s="117" t="str">
        <f t="shared" ref="U181" si="468">U153</f>
        <v>M2</v>
      </c>
      <c r="V181" s="118"/>
      <c r="W181" s="118"/>
      <c r="X181" s="119"/>
      <c r="Y181" s="160">
        <f t="shared" ref="Y181" si="469">Y153</f>
        <v>33</v>
      </c>
      <c r="Z181" s="161"/>
      <c r="AA181" s="161"/>
      <c r="AB181" s="161"/>
      <c r="AC181" s="161"/>
      <c r="AD181" s="162"/>
      <c r="AE181" s="159">
        <f t="shared" ref="AE181" si="470">AE153</f>
        <v>100</v>
      </c>
      <c r="AF181" s="159"/>
      <c r="AG181" s="159"/>
      <c r="AH181" s="159"/>
      <c r="AI181" s="159"/>
      <c r="AJ181" s="159"/>
      <c r="AK181" s="167"/>
      <c r="AL181" s="167"/>
      <c r="AM181" s="167"/>
      <c r="AN181" s="167"/>
      <c r="AO181" s="167"/>
      <c r="AP181" s="167"/>
      <c r="AQ181" s="159"/>
      <c r="AR181" s="159"/>
      <c r="AS181" s="159"/>
      <c r="AT181" s="159"/>
      <c r="AU181" s="159"/>
      <c r="AV181" s="159"/>
      <c r="AW181" s="167">
        <f t="shared" si="432"/>
        <v>0</v>
      </c>
      <c r="AX181" s="167"/>
      <c r="AY181" s="167"/>
      <c r="AZ181" s="167"/>
      <c r="BA181" s="167"/>
      <c r="BB181" s="167"/>
      <c r="BC181" s="167"/>
      <c r="BD181" s="167"/>
      <c r="BE181" s="167"/>
      <c r="BF181" s="167"/>
      <c r="BG181" s="167"/>
      <c r="BH181" s="168"/>
      <c r="BI181" s="3">
        <f t="shared" si="425"/>
        <v>3300</v>
      </c>
    </row>
    <row r="182" spans="1:61" s="19" customFormat="1" ht="34.5" customHeight="1" x14ac:dyDescent="0.25">
      <c r="A182" s="127">
        <f t="shared" ref="A182" si="471">A154</f>
        <v>9</v>
      </c>
      <c r="B182" s="128"/>
      <c r="C182" s="128"/>
      <c r="D182" s="129"/>
      <c r="E182" s="153" t="str">
        <f t="shared" ref="E182" si="472">E154</f>
        <v>司令台既有樓梯面清潔，刷止滑漆(一底二度)</v>
      </c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5"/>
      <c r="U182" s="133" t="str">
        <f t="shared" ref="U182" si="473">U154</f>
        <v>式</v>
      </c>
      <c r="V182" s="134"/>
      <c r="W182" s="134"/>
      <c r="X182" s="135"/>
      <c r="Y182" s="160">
        <f t="shared" ref="Y182" si="474">Y154</f>
        <v>1</v>
      </c>
      <c r="Z182" s="161"/>
      <c r="AA182" s="161"/>
      <c r="AB182" s="161"/>
      <c r="AC182" s="161"/>
      <c r="AD182" s="162"/>
      <c r="AE182" s="159">
        <f t="shared" ref="AE182" si="475">AE154</f>
        <v>3000</v>
      </c>
      <c r="AF182" s="159"/>
      <c r="AG182" s="159"/>
      <c r="AH182" s="159"/>
      <c r="AI182" s="159"/>
      <c r="AJ182" s="159"/>
      <c r="AK182" s="167">
        <v>0</v>
      </c>
      <c r="AL182" s="167"/>
      <c r="AM182" s="167"/>
      <c r="AN182" s="167"/>
      <c r="AO182" s="167"/>
      <c r="AP182" s="167"/>
      <c r="AQ182" s="159">
        <f t="shared" ref="AQ182:AQ189" si="476">AK182*AE182</f>
        <v>0</v>
      </c>
      <c r="AR182" s="159"/>
      <c r="AS182" s="159"/>
      <c r="AT182" s="159"/>
      <c r="AU182" s="159"/>
      <c r="AV182" s="159"/>
      <c r="AW182" s="167">
        <f t="shared" si="432"/>
        <v>0</v>
      </c>
      <c r="AX182" s="167"/>
      <c r="AY182" s="167"/>
      <c r="AZ182" s="167"/>
      <c r="BA182" s="167"/>
      <c r="BB182" s="167"/>
      <c r="BC182" s="167">
        <f t="shared" ref="BC182:BC184" si="477">ROUND(AW182*AE182,0)</f>
        <v>0</v>
      </c>
      <c r="BD182" s="167"/>
      <c r="BE182" s="167"/>
      <c r="BF182" s="167"/>
      <c r="BG182" s="167"/>
      <c r="BH182" s="168"/>
      <c r="BI182" s="18">
        <f t="shared" si="425"/>
        <v>3000</v>
      </c>
    </row>
    <row r="183" spans="1:61" ht="35.25" customHeight="1" x14ac:dyDescent="0.25">
      <c r="A183" s="150">
        <f t="shared" ref="A183" si="478">A155</f>
        <v>10</v>
      </c>
      <c r="B183" s="151"/>
      <c r="C183" s="151"/>
      <c r="D183" s="152"/>
      <c r="E183" s="153" t="str">
        <f t="shared" ref="E183" si="479">E155</f>
        <v>校舍、教室及司令台坡道出入口配置無線押扣與插電式緊急求救鈴</v>
      </c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5"/>
      <c r="U183" s="117" t="str">
        <f t="shared" ref="U183" si="480">U155</f>
        <v>組</v>
      </c>
      <c r="V183" s="118"/>
      <c r="W183" s="118"/>
      <c r="X183" s="119"/>
      <c r="Y183" s="160">
        <f t="shared" ref="Y183" si="481">Y155</f>
        <v>8</v>
      </c>
      <c r="Z183" s="161"/>
      <c r="AA183" s="161"/>
      <c r="AB183" s="161"/>
      <c r="AC183" s="161"/>
      <c r="AD183" s="162"/>
      <c r="AE183" s="159">
        <f t="shared" ref="AE183" si="482">AE155</f>
        <v>700</v>
      </c>
      <c r="AF183" s="159"/>
      <c r="AG183" s="159"/>
      <c r="AH183" s="159"/>
      <c r="AI183" s="159"/>
      <c r="AJ183" s="159"/>
      <c r="AK183" s="167">
        <v>0</v>
      </c>
      <c r="AL183" s="167"/>
      <c r="AM183" s="167"/>
      <c r="AN183" s="167"/>
      <c r="AO183" s="167"/>
      <c r="AP183" s="167"/>
      <c r="AQ183" s="159">
        <f t="shared" si="476"/>
        <v>0</v>
      </c>
      <c r="AR183" s="159"/>
      <c r="AS183" s="159"/>
      <c r="AT183" s="159"/>
      <c r="AU183" s="159"/>
      <c r="AV183" s="159"/>
      <c r="AW183" s="167">
        <f t="shared" si="432"/>
        <v>0</v>
      </c>
      <c r="AX183" s="167"/>
      <c r="AY183" s="167"/>
      <c r="AZ183" s="167"/>
      <c r="BA183" s="167"/>
      <c r="BB183" s="167"/>
      <c r="BC183" s="167">
        <f t="shared" si="477"/>
        <v>0</v>
      </c>
      <c r="BD183" s="167"/>
      <c r="BE183" s="167"/>
      <c r="BF183" s="167"/>
      <c r="BG183" s="167"/>
      <c r="BH183" s="168"/>
      <c r="BI183" s="3">
        <f t="shared" si="425"/>
        <v>5600</v>
      </c>
    </row>
    <row r="184" spans="1:61" ht="36.75" customHeight="1" x14ac:dyDescent="0.25">
      <c r="A184" s="150">
        <f t="shared" ref="A184" si="483">A156</f>
        <v>11</v>
      </c>
      <c r="B184" s="151"/>
      <c r="C184" s="151"/>
      <c r="D184" s="152"/>
      <c r="E184" s="153" t="str">
        <f t="shared" ref="E184" si="484">E156</f>
        <v>司令台周圍及無障礙坡道安裝不鏽鋼扶手(連工帶料)</v>
      </c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5"/>
      <c r="U184" s="117" t="str">
        <f t="shared" ref="U184" si="485">U156</f>
        <v>M</v>
      </c>
      <c r="V184" s="118"/>
      <c r="W184" s="118"/>
      <c r="X184" s="119"/>
      <c r="Y184" s="156">
        <f t="shared" ref="Y184" si="486">Y156</f>
        <v>48</v>
      </c>
      <c r="Z184" s="157"/>
      <c r="AA184" s="157"/>
      <c r="AB184" s="157"/>
      <c r="AC184" s="157"/>
      <c r="AD184" s="158"/>
      <c r="AE184" s="159">
        <f t="shared" ref="AE184" si="487">AE156</f>
        <v>3000</v>
      </c>
      <c r="AF184" s="159"/>
      <c r="AG184" s="159"/>
      <c r="AH184" s="159"/>
      <c r="AI184" s="159"/>
      <c r="AJ184" s="159"/>
      <c r="AK184" s="160">
        <v>0</v>
      </c>
      <c r="AL184" s="161"/>
      <c r="AM184" s="161"/>
      <c r="AN184" s="161"/>
      <c r="AO184" s="161"/>
      <c r="AP184" s="162"/>
      <c r="AQ184" s="163">
        <f t="shared" si="476"/>
        <v>0</v>
      </c>
      <c r="AR184" s="164"/>
      <c r="AS184" s="164"/>
      <c r="AT184" s="164"/>
      <c r="AU184" s="164"/>
      <c r="AV184" s="165"/>
      <c r="AW184" s="160">
        <f t="shared" si="432"/>
        <v>0</v>
      </c>
      <c r="AX184" s="161"/>
      <c r="AY184" s="161"/>
      <c r="AZ184" s="161"/>
      <c r="BA184" s="161"/>
      <c r="BB184" s="162"/>
      <c r="BC184" s="160">
        <f t="shared" si="477"/>
        <v>0</v>
      </c>
      <c r="BD184" s="161"/>
      <c r="BE184" s="161"/>
      <c r="BF184" s="161"/>
      <c r="BG184" s="161"/>
      <c r="BH184" s="166"/>
      <c r="BI184" s="3">
        <f t="shared" si="425"/>
        <v>144000</v>
      </c>
    </row>
    <row r="185" spans="1:61" s="19" customFormat="1" ht="35.25" customHeight="1" x14ac:dyDescent="0.25">
      <c r="A185" s="127" t="str">
        <f t="shared" ref="A185" si="488">A157</f>
        <v>貳</v>
      </c>
      <c r="B185" s="128"/>
      <c r="C185" s="128"/>
      <c r="D185" s="129"/>
      <c r="E185" s="130" t="str">
        <f t="shared" ref="E185" si="489">E157</f>
        <v>職業安全衛生管理費與施工環境保護與清潔（壹*2%）</v>
      </c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2"/>
      <c r="U185" s="133" t="str">
        <f t="shared" ref="U185" si="490">U157</f>
        <v>式</v>
      </c>
      <c r="V185" s="134"/>
      <c r="W185" s="134"/>
      <c r="X185" s="135"/>
      <c r="Y185" s="136">
        <f t="shared" ref="Y185" si="491">Y157</f>
        <v>1</v>
      </c>
      <c r="Z185" s="137"/>
      <c r="AA185" s="137"/>
      <c r="AB185" s="137"/>
      <c r="AC185" s="137"/>
      <c r="AD185" s="138"/>
      <c r="AE185" s="139">
        <f t="shared" ref="AE185" si="492">AE157</f>
        <v>8807</v>
      </c>
      <c r="AF185" s="139"/>
      <c r="AG185" s="139"/>
      <c r="AH185" s="139"/>
      <c r="AI185" s="139"/>
      <c r="AJ185" s="139"/>
      <c r="AK185" s="140">
        <v>1.7000000000000001E-2</v>
      </c>
      <c r="AL185" s="141"/>
      <c r="AM185" s="141"/>
      <c r="AN185" s="141"/>
      <c r="AO185" s="141"/>
      <c r="AP185" s="142"/>
      <c r="AQ185" s="143">
        <f t="shared" si="476"/>
        <v>149.71900000000002</v>
      </c>
      <c r="AR185" s="144"/>
      <c r="AS185" s="144"/>
      <c r="AT185" s="144"/>
      <c r="AU185" s="144"/>
      <c r="AV185" s="145"/>
      <c r="AW185" s="140">
        <f>AW157+AK185</f>
        <v>0.11900000000000001</v>
      </c>
      <c r="AX185" s="141"/>
      <c r="AY185" s="141"/>
      <c r="AZ185" s="141"/>
      <c r="BA185" s="141"/>
      <c r="BB185" s="142"/>
      <c r="BC185" s="136">
        <f>ROUND(AW185*AE185,0)</f>
        <v>1048</v>
      </c>
      <c r="BD185" s="137"/>
      <c r="BE185" s="137"/>
      <c r="BF185" s="137"/>
      <c r="BG185" s="137"/>
      <c r="BH185" s="146"/>
      <c r="BI185" s="18">
        <f t="shared" si="425"/>
        <v>8807</v>
      </c>
    </row>
    <row r="186" spans="1:61" s="19" customFormat="1" ht="21.95" customHeight="1" x14ac:dyDescent="0.25">
      <c r="A186" s="127" t="str">
        <f t="shared" ref="A186" si="493">A158</f>
        <v>參</v>
      </c>
      <c r="B186" s="128"/>
      <c r="C186" s="128"/>
      <c r="D186" s="129"/>
      <c r="E186" s="130" t="str">
        <f t="shared" ref="E186" si="494">E158</f>
        <v>公共工程品質管制作業費（壹*1%）</v>
      </c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2"/>
      <c r="U186" s="133" t="str">
        <f t="shared" ref="U186" si="495">U158</f>
        <v>式</v>
      </c>
      <c r="V186" s="134"/>
      <c r="W186" s="134"/>
      <c r="X186" s="135"/>
      <c r="Y186" s="147">
        <f t="shared" ref="Y186" si="496">Y158</f>
        <v>1</v>
      </c>
      <c r="Z186" s="148"/>
      <c r="AA186" s="148"/>
      <c r="AB186" s="148"/>
      <c r="AC186" s="148"/>
      <c r="AD186" s="149"/>
      <c r="AE186" s="139">
        <f t="shared" ref="AE186" si="497">AE158</f>
        <v>4404</v>
      </c>
      <c r="AF186" s="139"/>
      <c r="AG186" s="139"/>
      <c r="AH186" s="139"/>
      <c r="AI186" s="139"/>
      <c r="AJ186" s="139"/>
      <c r="AK186" s="140">
        <v>1.7000000000000001E-2</v>
      </c>
      <c r="AL186" s="141"/>
      <c r="AM186" s="141"/>
      <c r="AN186" s="141"/>
      <c r="AO186" s="141"/>
      <c r="AP186" s="142"/>
      <c r="AQ186" s="143">
        <f t="shared" si="476"/>
        <v>74.868000000000009</v>
      </c>
      <c r="AR186" s="144"/>
      <c r="AS186" s="144"/>
      <c r="AT186" s="144"/>
      <c r="AU186" s="144"/>
      <c r="AV186" s="145"/>
      <c r="AW186" s="140">
        <f t="shared" ref="AW186:AW189" si="498">AW158+AK186</f>
        <v>0.11900000000000001</v>
      </c>
      <c r="AX186" s="141"/>
      <c r="AY186" s="141"/>
      <c r="AZ186" s="141"/>
      <c r="BA186" s="141"/>
      <c r="BB186" s="142"/>
      <c r="BC186" s="136">
        <f t="shared" ref="BC186:BC189" si="499">ROUND(AW186*AE186,0)</f>
        <v>524</v>
      </c>
      <c r="BD186" s="137"/>
      <c r="BE186" s="137"/>
      <c r="BF186" s="137"/>
      <c r="BG186" s="137"/>
      <c r="BH186" s="146"/>
      <c r="BI186" s="18">
        <f t="shared" si="425"/>
        <v>4404</v>
      </c>
    </row>
    <row r="187" spans="1:61" s="19" customFormat="1" ht="21.95" customHeight="1" x14ac:dyDescent="0.25">
      <c r="A187" s="127" t="str">
        <f t="shared" ref="A187" si="500">A159</f>
        <v>肆</v>
      </c>
      <c r="B187" s="128"/>
      <c r="C187" s="128"/>
      <c r="D187" s="129"/>
      <c r="E187" s="130" t="str">
        <f t="shared" ref="E187" si="501">E159</f>
        <v>包商管理及利潤費（約壹*7%）</v>
      </c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2"/>
      <c r="U187" s="133" t="str">
        <f t="shared" ref="U187" si="502">U159</f>
        <v>式</v>
      </c>
      <c r="V187" s="134"/>
      <c r="W187" s="134"/>
      <c r="X187" s="135"/>
      <c r="Y187" s="147">
        <f t="shared" ref="Y187" si="503">Y159</f>
        <v>1</v>
      </c>
      <c r="Z187" s="148"/>
      <c r="AA187" s="148"/>
      <c r="AB187" s="148"/>
      <c r="AC187" s="148"/>
      <c r="AD187" s="149"/>
      <c r="AE187" s="139">
        <f t="shared" ref="AE187" si="504">AE159</f>
        <v>30825</v>
      </c>
      <c r="AF187" s="139"/>
      <c r="AG187" s="139"/>
      <c r="AH187" s="139"/>
      <c r="AI187" s="139"/>
      <c r="AJ187" s="139"/>
      <c r="AK187" s="140">
        <v>1.7000000000000001E-2</v>
      </c>
      <c r="AL187" s="141"/>
      <c r="AM187" s="141"/>
      <c r="AN187" s="141"/>
      <c r="AO187" s="141"/>
      <c r="AP187" s="142"/>
      <c r="AQ187" s="143">
        <f t="shared" si="476"/>
        <v>524.02500000000009</v>
      </c>
      <c r="AR187" s="144"/>
      <c r="AS187" s="144"/>
      <c r="AT187" s="144"/>
      <c r="AU187" s="144"/>
      <c r="AV187" s="145"/>
      <c r="AW187" s="140">
        <f t="shared" si="498"/>
        <v>0.11900000000000001</v>
      </c>
      <c r="AX187" s="141"/>
      <c r="AY187" s="141"/>
      <c r="AZ187" s="141"/>
      <c r="BA187" s="141"/>
      <c r="BB187" s="142"/>
      <c r="BC187" s="136">
        <f t="shared" si="499"/>
        <v>3668</v>
      </c>
      <c r="BD187" s="137"/>
      <c r="BE187" s="137"/>
      <c r="BF187" s="137"/>
      <c r="BG187" s="137"/>
      <c r="BH187" s="146"/>
      <c r="BI187" s="18">
        <f t="shared" si="425"/>
        <v>30825</v>
      </c>
    </row>
    <row r="188" spans="1:61" s="19" customFormat="1" ht="21.95" customHeight="1" x14ac:dyDescent="0.25">
      <c r="A188" s="127" t="str">
        <f t="shared" ref="A188" si="505">A160</f>
        <v>伍</v>
      </c>
      <c r="B188" s="128"/>
      <c r="C188" s="128"/>
      <c r="D188" s="129"/>
      <c r="E188" s="130" t="str">
        <f t="shared" ref="E188" si="506">E160</f>
        <v>營造綜合保險費</v>
      </c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2"/>
      <c r="U188" s="133" t="str">
        <f t="shared" ref="U188" si="507">U160</f>
        <v>式</v>
      </c>
      <c r="V188" s="134"/>
      <c r="W188" s="134"/>
      <c r="X188" s="135"/>
      <c r="Y188" s="136">
        <f t="shared" ref="Y188" si="508">Y160</f>
        <v>1</v>
      </c>
      <c r="Z188" s="137"/>
      <c r="AA188" s="137"/>
      <c r="AB188" s="137"/>
      <c r="AC188" s="137"/>
      <c r="AD188" s="138"/>
      <c r="AE188" s="139">
        <f t="shared" ref="AE188" si="509">AE160</f>
        <v>1321</v>
      </c>
      <c r="AF188" s="139"/>
      <c r="AG188" s="139"/>
      <c r="AH188" s="139"/>
      <c r="AI188" s="139"/>
      <c r="AJ188" s="139"/>
      <c r="AK188" s="136">
        <v>0</v>
      </c>
      <c r="AL188" s="137"/>
      <c r="AM188" s="137"/>
      <c r="AN188" s="137"/>
      <c r="AO188" s="137"/>
      <c r="AP188" s="138"/>
      <c r="AQ188" s="143">
        <f t="shared" si="476"/>
        <v>0</v>
      </c>
      <c r="AR188" s="144"/>
      <c r="AS188" s="144"/>
      <c r="AT188" s="144"/>
      <c r="AU188" s="144"/>
      <c r="AV188" s="145"/>
      <c r="AW188" s="136">
        <f t="shared" si="498"/>
        <v>1</v>
      </c>
      <c r="AX188" s="137"/>
      <c r="AY188" s="137"/>
      <c r="AZ188" s="137"/>
      <c r="BA188" s="137"/>
      <c r="BB188" s="138"/>
      <c r="BC188" s="136">
        <f t="shared" si="499"/>
        <v>1321</v>
      </c>
      <c r="BD188" s="137"/>
      <c r="BE188" s="137"/>
      <c r="BF188" s="137"/>
      <c r="BG188" s="137"/>
      <c r="BH188" s="146"/>
      <c r="BI188" s="18">
        <f t="shared" si="425"/>
        <v>1321</v>
      </c>
    </row>
    <row r="189" spans="1:61" s="19" customFormat="1" ht="21.95" customHeight="1" x14ac:dyDescent="0.25">
      <c r="A189" s="127" t="str">
        <f t="shared" ref="A189" si="510">A161</f>
        <v>陸</v>
      </c>
      <c r="B189" s="128"/>
      <c r="C189" s="128"/>
      <c r="D189" s="129"/>
      <c r="E189" s="130" t="str">
        <f t="shared" ref="E189" si="511">E161</f>
        <v>營業稅（(壹~伍)*5％）</v>
      </c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2"/>
      <c r="U189" s="133" t="str">
        <f t="shared" ref="U189" si="512">U161</f>
        <v>式</v>
      </c>
      <c r="V189" s="134"/>
      <c r="W189" s="134"/>
      <c r="X189" s="135"/>
      <c r="Y189" s="136">
        <f t="shared" ref="Y189" si="513">Y161</f>
        <v>1</v>
      </c>
      <c r="Z189" s="137"/>
      <c r="AA189" s="137"/>
      <c r="AB189" s="137"/>
      <c r="AC189" s="137"/>
      <c r="AD189" s="138"/>
      <c r="AE189" s="139">
        <f t="shared" ref="AE189" si="514">AE161</f>
        <v>24286</v>
      </c>
      <c r="AF189" s="139"/>
      <c r="AG189" s="139"/>
      <c r="AH189" s="139"/>
      <c r="AI189" s="139"/>
      <c r="AJ189" s="139"/>
      <c r="AK189" s="140">
        <v>1.7000000000000001E-2</v>
      </c>
      <c r="AL189" s="141"/>
      <c r="AM189" s="141"/>
      <c r="AN189" s="141"/>
      <c r="AO189" s="141"/>
      <c r="AP189" s="142"/>
      <c r="AQ189" s="143">
        <f t="shared" si="476"/>
        <v>412.86200000000002</v>
      </c>
      <c r="AR189" s="144"/>
      <c r="AS189" s="144"/>
      <c r="AT189" s="144"/>
      <c r="AU189" s="144"/>
      <c r="AV189" s="145"/>
      <c r="AW189" s="140">
        <f t="shared" si="498"/>
        <v>0.11900000000000001</v>
      </c>
      <c r="AX189" s="141"/>
      <c r="AY189" s="141"/>
      <c r="AZ189" s="141"/>
      <c r="BA189" s="141"/>
      <c r="BB189" s="142"/>
      <c r="BC189" s="136">
        <f t="shared" si="499"/>
        <v>2890</v>
      </c>
      <c r="BD189" s="137"/>
      <c r="BE189" s="137"/>
      <c r="BF189" s="137"/>
      <c r="BG189" s="137"/>
      <c r="BH189" s="146"/>
      <c r="BI189" s="18">
        <f t="shared" si="425"/>
        <v>24286</v>
      </c>
    </row>
    <row r="190" spans="1:61" ht="21.95" customHeight="1" x14ac:dyDescent="0.25">
      <c r="A190" s="111"/>
      <c r="B190" s="112"/>
      <c r="C190" s="112"/>
      <c r="D190" s="113"/>
      <c r="E190" s="114" t="s">
        <v>75</v>
      </c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6"/>
      <c r="U190" s="117"/>
      <c r="V190" s="118"/>
      <c r="W190" s="118"/>
      <c r="X190" s="119"/>
      <c r="Y190" s="120"/>
      <c r="Z190" s="121"/>
      <c r="AA190" s="121"/>
      <c r="AB190" s="121"/>
      <c r="AC190" s="121"/>
      <c r="AD190" s="122"/>
      <c r="AE190" s="123"/>
      <c r="AF190" s="124"/>
      <c r="AG190" s="124"/>
      <c r="AH190" s="124"/>
      <c r="AI190" s="124"/>
      <c r="AJ190" s="125"/>
      <c r="AK190" s="120"/>
      <c r="AL190" s="121"/>
      <c r="AM190" s="121"/>
      <c r="AN190" s="121"/>
      <c r="AO190" s="121"/>
      <c r="AP190" s="122"/>
      <c r="AQ190" s="123">
        <f>SUM(AQ176:AQ189)</f>
        <v>1161.4740000000002</v>
      </c>
      <c r="AR190" s="124"/>
      <c r="AS190" s="124"/>
      <c r="AT190" s="124"/>
      <c r="AU190" s="124"/>
      <c r="AV190" s="125"/>
      <c r="AW190" s="120"/>
      <c r="AX190" s="121"/>
      <c r="AY190" s="121"/>
      <c r="AZ190" s="121"/>
      <c r="BA190" s="121"/>
      <c r="BB190" s="122"/>
      <c r="BC190" s="120">
        <f>SUM(BC176:BC189)</f>
        <v>11451</v>
      </c>
      <c r="BD190" s="121"/>
      <c r="BE190" s="121"/>
      <c r="BF190" s="121"/>
      <c r="BG190" s="121"/>
      <c r="BH190" s="126"/>
      <c r="BI190" s="17">
        <f>SUM(BI174:BI189)</f>
        <v>510000</v>
      </c>
    </row>
    <row r="191" spans="1:61" ht="21.95" customHeight="1" x14ac:dyDescent="0.25">
      <c r="A191" s="101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2"/>
      <c r="AH191" s="102"/>
      <c r="AI191" s="102"/>
      <c r="AJ191" s="103"/>
      <c r="AK191" s="104"/>
      <c r="AL191" s="105"/>
      <c r="AM191" s="105"/>
      <c r="AN191" s="105"/>
      <c r="AO191" s="105"/>
      <c r="AP191" s="106"/>
      <c r="AQ191" s="107"/>
      <c r="AR191" s="108"/>
      <c r="AS191" s="108"/>
      <c r="AT191" s="108"/>
      <c r="AU191" s="108"/>
      <c r="AV191" s="109"/>
      <c r="AW191" s="104"/>
      <c r="AX191" s="105"/>
      <c r="AY191" s="105"/>
      <c r="AZ191" s="105"/>
      <c r="BA191" s="105"/>
      <c r="BB191" s="106"/>
      <c r="BC191" s="104"/>
      <c r="BD191" s="105"/>
      <c r="BE191" s="105"/>
      <c r="BF191" s="105"/>
      <c r="BG191" s="105"/>
      <c r="BH191" s="110"/>
      <c r="BI191" s="15">
        <f>Y191*AE191</f>
        <v>0</v>
      </c>
    </row>
    <row r="192" spans="1:61" ht="21.95" customHeight="1" x14ac:dyDescent="0.25">
      <c r="A192" s="101" t="s">
        <v>11</v>
      </c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2"/>
      <c r="AH192" s="102"/>
      <c r="AI192" s="102"/>
      <c r="AJ192" s="103"/>
      <c r="AK192" s="104"/>
      <c r="AL192" s="105"/>
      <c r="AM192" s="105"/>
      <c r="AN192" s="105"/>
      <c r="AO192" s="105"/>
      <c r="AP192" s="106"/>
      <c r="AQ192" s="107">
        <f>BC190/BI190</f>
        <v>2.2452941176470589E-2</v>
      </c>
      <c r="AR192" s="108"/>
      <c r="AS192" s="108"/>
      <c r="AT192" s="108"/>
      <c r="AU192" s="108"/>
      <c r="AV192" s="109"/>
      <c r="AW192" s="104"/>
      <c r="AX192" s="105"/>
      <c r="AY192" s="105"/>
      <c r="AZ192" s="105"/>
      <c r="BA192" s="105"/>
      <c r="BB192" s="106"/>
      <c r="BC192" s="104"/>
      <c r="BD192" s="105"/>
      <c r="BE192" s="105"/>
      <c r="BF192" s="105"/>
      <c r="BG192" s="105"/>
      <c r="BH192" s="110"/>
      <c r="BI192" s="15">
        <f>AQ192</f>
        <v>2.2452941176470589E-2</v>
      </c>
    </row>
    <row r="193" spans="1:69" ht="18.75" customHeight="1" x14ac:dyDescent="0.25">
      <c r="A193" s="90" t="s">
        <v>15</v>
      </c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2"/>
      <c r="AE193" s="93" t="s">
        <v>14</v>
      </c>
      <c r="AF193" s="91"/>
      <c r="AG193" s="91"/>
      <c r="AH193" s="91"/>
      <c r="AI193" s="91"/>
      <c r="AJ193" s="91"/>
      <c r="AK193" s="91"/>
      <c r="AL193" s="91"/>
      <c r="AM193" s="91"/>
      <c r="AN193" s="91"/>
      <c r="AO193" s="91"/>
      <c r="AP193" s="91"/>
      <c r="AQ193" s="91"/>
      <c r="AR193" s="91"/>
      <c r="AS193" s="91"/>
      <c r="AT193" s="91"/>
      <c r="AU193" s="91"/>
      <c r="AV193" s="91"/>
      <c r="AW193" s="91"/>
      <c r="AX193" s="91"/>
      <c r="AY193" s="91"/>
      <c r="AZ193" s="91"/>
      <c r="BA193" s="91"/>
      <c r="BB193" s="91"/>
      <c r="BC193" s="91"/>
      <c r="BD193" s="91"/>
      <c r="BE193" s="91"/>
      <c r="BF193" s="91"/>
      <c r="BG193" s="91"/>
      <c r="BH193" s="94"/>
    </row>
    <row r="194" spans="1:69" x14ac:dyDescent="0.25">
      <c r="A194" s="95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  <c r="AF194" s="96"/>
      <c r="AG194" s="96"/>
      <c r="AH194" s="96"/>
      <c r="AI194" s="96"/>
      <c r="AJ194" s="96"/>
      <c r="AK194" s="96"/>
      <c r="AL194" s="96"/>
      <c r="AM194" s="96"/>
      <c r="AN194" s="96"/>
      <c r="AO194" s="96"/>
      <c r="AP194" s="96"/>
      <c r="AQ194" s="96"/>
      <c r="AR194" s="96"/>
      <c r="AS194" s="96"/>
      <c r="AT194" s="96"/>
      <c r="AU194" s="96"/>
      <c r="AV194" s="96"/>
      <c r="AW194" s="96"/>
      <c r="AX194" s="96"/>
      <c r="AY194" s="96"/>
      <c r="AZ194" s="96"/>
      <c r="BA194" s="96"/>
      <c r="BB194" s="96"/>
      <c r="BC194" s="96"/>
      <c r="BD194" s="96"/>
      <c r="BE194" s="96"/>
      <c r="BF194" s="96"/>
      <c r="BG194" s="96"/>
      <c r="BH194" s="99"/>
    </row>
    <row r="195" spans="1:69" x14ac:dyDescent="0.25">
      <c r="A195" s="95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  <c r="AG195" s="96"/>
      <c r="AH195" s="96"/>
      <c r="AI195" s="96"/>
      <c r="AJ195" s="96"/>
      <c r="AK195" s="96"/>
      <c r="AL195" s="96"/>
      <c r="AM195" s="96"/>
      <c r="AN195" s="96"/>
      <c r="AO195" s="96"/>
      <c r="AP195" s="96"/>
      <c r="AQ195" s="96"/>
      <c r="AR195" s="96"/>
      <c r="AS195" s="96"/>
      <c r="AT195" s="96"/>
      <c r="AU195" s="96"/>
      <c r="AV195" s="96"/>
      <c r="AW195" s="96"/>
      <c r="AX195" s="96"/>
      <c r="AY195" s="96"/>
      <c r="AZ195" s="96"/>
      <c r="BA195" s="96"/>
      <c r="BB195" s="96"/>
      <c r="BC195" s="96"/>
      <c r="BD195" s="96"/>
      <c r="BE195" s="96"/>
      <c r="BF195" s="96"/>
      <c r="BG195" s="96"/>
      <c r="BH195" s="99"/>
    </row>
    <row r="196" spans="1:69" ht="17.25" thickBot="1" x14ac:dyDescent="0.3">
      <c r="A196" s="97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  <c r="AF196" s="98"/>
      <c r="AG196" s="98"/>
      <c r="AH196" s="98"/>
      <c r="AI196" s="98"/>
      <c r="AJ196" s="98"/>
      <c r="AK196" s="98"/>
      <c r="AL196" s="98"/>
      <c r="AM196" s="98"/>
      <c r="AN196" s="98"/>
      <c r="AO196" s="98"/>
      <c r="AP196" s="98"/>
      <c r="AQ196" s="98"/>
      <c r="AR196" s="98"/>
      <c r="AS196" s="98"/>
      <c r="AT196" s="98"/>
      <c r="AU196" s="98"/>
      <c r="AV196" s="98"/>
      <c r="AW196" s="98"/>
      <c r="AX196" s="98"/>
      <c r="AY196" s="98"/>
      <c r="AZ196" s="98"/>
      <c r="BA196" s="98"/>
      <c r="BB196" s="98"/>
      <c r="BC196" s="98"/>
      <c r="BD196" s="98"/>
      <c r="BE196" s="98"/>
      <c r="BF196" s="98"/>
      <c r="BG196" s="98"/>
      <c r="BH196" s="100"/>
    </row>
    <row r="197" spans="1:69" ht="27.75" x14ac:dyDescent="0.25">
      <c r="A197" s="182" t="s">
        <v>81</v>
      </c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  <c r="AA197" s="182"/>
      <c r="AB197" s="182"/>
      <c r="AC197" s="182"/>
      <c r="AD197" s="182"/>
      <c r="AE197" s="182"/>
      <c r="AF197" s="182"/>
      <c r="AG197" s="182"/>
      <c r="AH197" s="182"/>
      <c r="AI197" s="182"/>
      <c r="AJ197" s="182"/>
      <c r="AK197" s="182"/>
      <c r="AL197" s="182"/>
      <c r="AM197" s="182"/>
      <c r="AN197" s="182"/>
      <c r="AO197" s="182"/>
      <c r="AP197" s="182"/>
      <c r="AQ197" s="182"/>
      <c r="AR197" s="182"/>
      <c r="AS197" s="182"/>
      <c r="AT197" s="182"/>
      <c r="AU197" s="182"/>
      <c r="AV197" s="182"/>
      <c r="AW197" s="182"/>
      <c r="AX197" s="182"/>
      <c r="AY197" s="182"/>
      <c r="AZ197" s="182"/>
      <c r="BA197" s="182"/>
      <c r="BB197" s="182"/>
      <c r="BC197" s="182"/>
      <c r="BD197" s="182"/>
      <c r="BE197" s="182"/>
      <c r="BF197" s="182"/>
      <c r="BG197" s="182"/>
      <c r="BH197" s="182"/>
    </row>
    <row r="198" spans="1:69" ht="27.75" x14ac:dyDescent="0.25">
      <c r="A198" s="183" t="s">
        <v>12</v>
      </c>
      <c r="B198" s="183"/>
      <c r="C198" s="183"/>
      <c r="D198" s="183"/>
      <c r="E198" s="183"/>
      <c r="F198" s="183"/>
      <c r="G198" s="183"/>
      <c r="H198" s="183"/>
      <c r="I198" s="183"/>
      <c r="J198" s="184" t="s">
        <v>85</v>
      </c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185"/>
      <c r="AF198" s="185"/>
      <c r="AG198" s="185"/>
      <c r="AH198" s="185"/>
      <c r="AI198" s="185"/>
      <c r="AJ198" s="185"/>
      <c r="AK198" s="185"/>
      <c r="AL198" s="185"/>
      <c r="AM198" s="185"/>
      <c r="AN198" s="185"/>
      <c r="AO198" s="185"/>
      <c r="AP198" s="185"/>
      <c r="AQ198" s="185"/>
      <c r="AR198" s="185"/>
      <c r="AS198" s="185"/>
      <c r="AT198" s="185"/>
      <c r="AU198" s="185"/>
      <c r="AV198" s="185"/>
      <c r="AW198" s="185"/>
      <c r="AX198" s="185"/>
      <c r="AY198" s="185"/>
      <c r="AZ198" s="185"/>
      <c r="BA198" s="185"/>
      <c r="BB198" s="185"/>
      <c r="BC198" s="185"/>
      <c r="BD198" s="185"/>
      <c r="BE198" s="185"/>
      <c r="BF198" s="185"/>
      <c r="BG198" s="185"/>
      <c r="BH198" s="185"/>
      <c r="BI198" s="185"/>
      <c r="BJ198" s="185"/>
      <c r="BK198" s="185"/>
      <c r="BL198" s="185"/>
      <c r="BM198" s="185"/>
      <c r="BN198" s="185"/>
      <c r="BO198" s="185"/>
      <c r="BP198" s="185"/>
      <c r="BQ198" s="185"/>
    </row>
    <row r="199" spans="1:69" ht="17.25" thickBot="1" x14ac:dyDescent="0.3">
      <c r="A199" s="186" t="s">
        <v>10</v>
      </c>
      <c r="B199" s="186"/>
      <c r="C199" s="186"/>
      <c r="D199" s="186"/>
      <c r="E199" s="186"/>
      <c r="F199" s="186"/>
      <c r="G199" s="186"/>
      <c r="H199" s="186"/>
      <c r="I199" s="187" t="s">
        <v>78</v>
      </c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  <c r="AA199" s="187"/>
      <c r="AB199" s="187"/>
      <c r="AC199" s="187"/>
      <c r="AD199" s="187"/>
      <c r="AE199" s="187"/>
      <c r="AF199" s="187"/>
      <c r="AG199" s="187"/>
      <c r="AH199" s="187"/>
      <c r="AI199" s="187"/>
      <c r="AJ199" s="187"/>
      <c r="AK199" s="187"/>
      <c r="AL199" s="187"/>
      <c r="AM199" s="187"/>
      <c r="AN199" s="187"/>
      <c r="AO199" s="188" t="s">
        <v>9</v>
      </c>
      <c r="AP199" s="188"/>
      <c r="AQ199" s="188"/>
      <c r="AR199" s="188"/>
      <c r="AS199" s="188"/>
      <c r="AT199" s="188"/>
      <c r="AU199" s="188"/>
      <c r="AV199" s="188"/>
      <c r="AW199" s="189">
        <f>AW171+1</f>
        <v>45917</v>
      </c>
      <c r="AX199" s="189"/>
      <c r="AY199" s="189"/>
      <c r="AZ199" s="189"/>
      <c r="BA199" s="189"/>
      <c r="BB199" s="189"/>
      <c r="BC199" s="189"/>
      <c r="BD199" s="189"/>
      <c r="BE199" s="189"/>
      <c r="BF199" s="189"/>
      <c r="BG199" s="189"/>
      <c r="BH199" s="189"/>
    </row>
    <row r="200" spans="1:69" ht="36" customHeight="1" x14ac:dyDescent="0.25">
      <c r="A200" s="180" t="s">
        <v>0</v>
      </c>
      <c r="B200" s="83"/>
      <c r="C200" s="83"/>
      <c r="D200" s="83"/>
      <c r="E200" s="83" t="s">
        <v>6</v>
      </c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 t="s">
        <v>7</v>
      </c>
      <c r="V200" s="83"/>
      <c r="W200" s="83"/>
      <c r="X200" s="83"/>
      <c r="Y200" s="181" t="s">
        <v>1</v>
      </c>
      <c r="Z200" s="181"/>
      <c r="AA200" s="181"/>
      <c r="AB200" s="181"/>
      <c r="AC200" s="181"/>
      <c r="AD200" s="181"/>
      <c r="AE200" s="83" t="s">
        <v>8</v>
      </c>
      <c r="AF200" s="83"/>
      <c r="AG200" s="83"/>
      <c r="AH200" s="83"/>
      <c r="AI200" s="83"/>
      <c r="AJ200" s="83"/>
      <c r="AK200" s="181" t="s">
        <v>2</v>
      </c>
      <c r="AL200" s="181"/>
      <c r="AM200" s="181"/>
      <c r="AN200" s="181"/>
      <c r="AO200" s="181"/>
      <c r="AP200" s="181"/>
      <c r="AQ200" s="84" t="s">
        <v>3</v>
      </c>
      <c r="AR200" s="84"/>
      <c r="AS200" s="84"/>
      <c r="AT200" s="84"/>
      <c r="AU200" s="84"/>
      <c r="AV200" s="84"/>
      <c r="AW200" s="181" t="s">
        <v>4</v>
      </c>
      <c r="AX200" s="181"/>
      <c r="AY200" s="181"/>
      <c r="AZ200" s="181"/>
      <c r="BA200" s="181"/>
      <c r="BB200" s="181"/>
      <c r="BC200" s="84" t="s">
        <v>5</v>
      </c>
      <c r="BD200" s="84"/>
      <c r="BE200" s="84"/>
      <c r="BF200" s="84"/>
      <c r="BG200" s="84"/>
      <c r="BH200" s="85"/>
      <c r="BI200" s="1"/>
    </row>
    <row r="201" spans="1:69" ht="21.95" customHeight="1" x14ac:dyDescent="0.25">
      <c r="A201" s="150" t="str">
        <f t="shared" ref="A201" si="515">A173</f>
        <v>壹</v>
      </c>
      <c r="B201" s="151"/>
      <c r="C201" s="151"/>
      <c r="D201" s="152"/>
      <c r="E201" s="175" t="str">
        <f t="shared" ref="E201" si="516">E173</f>
        <v>直接工程費</v>
      </c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7"/>
      <c r="U201" s="117"/>
      <c r="V201" s="118"/>
      <c r="W201" s="118"/>
      <c r="X201" s="119"/>
      <c r="Y201" s="178"/>
      <c r="Z201" s="178"/>
      <c r="AA201" s="178"/>
      <c r="AB201" s="178"/>
      <c r="AC201" s="178"/>
      <c r="AD201" s="178"/>
      <c r="AE201" s="178"/>
      <c r="AF201" s="178"/>
      <c r="AG201" s="178"/>
      <c r="AH201" s="178"/>
      <c r="AI201" s="178"/>
      <c r="AJ201" s="178"/>
      <c r="AK201" s="178"/>
      <c r="AL201" s="178"/>
      <c r="AM201" s="178"/>
      <c r="AN201" s="178"/>
      <c r="AO201" s="178"/>
      <c r="AP201" s="178"/>
      <c r="AQ201" s="178"/>
      <c r="AR201" s="178"/>
      <c r="AS201" s="178"/>
      <c r="AT201" s="178"/>
      <c r="AU201" s="178"/>
      <c r="AV201" s="178"/>
      <c r="AW201" s="178"/>
      <c r="AX201" s="178"/>
      <c r="AY201" s="178"/>
      <c r="AZ201" s="178"/>
      <c r="BA201" s="178"/>
      <c r="BB201" s="178"/>
      <c r="BC201" s="178"/>
      <c r="BD201" s="178"/>
      <c r="BE201" s="178"/>
      <c r="BF201" s="178"/>
      <c r="BG201" s="178"/>
      <c r="BH201" s="179"/>
      <c r="BI201" s="3">
        <f t="shared" ref="BI201:BI217" si="517">Y201*AE201</f>
        <v>0</v>
      </c>
    </row>
    <row r="202" spans="1:69" s="19" customFormat="1" ht="21.95" customHeight="1" x14ac:dyDescent="0.25">
      <c r="A202" s="127">
        <f t="shared" ref="A202" si="518">A174</f>
        <v>1</v>
      </c>
      <c r="B202" s="128"/>
      <c r="C202" s="128"/>
      <c r="D202" s="129"/>
      <c r="E202" s="170" t="str">
        <f t="shared" ref="E202" si="519">E174</f>
        <v>工程告示牌與職安衛告示牌(租用)</v>
      </c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2"/>
      <c r="U202" s="133" t="str">
        <f t="shared" ref="U202" si="520">U174</f>
        <v>式</v>
      </c>
      <c r="V202" s="134"/>
      <c r="W202" s="134"/>
      <c r="X202" s="135"/>
      <c r="Y202" s="136">
        <f t="shared" ref="Y202" si="521">Y174</f>
        <v>1</v>
      </c>
      <c r="Z202" s="137"/>
      <c r="AA202" s="137"/>
      <c r="AB202" s="137"/>
      <c r="AC202" s="137"/>
      <c r="AD202" s="138"/>
      <c r="AE202" s="139">
        <f t="shared" ref="AE202" si="522">AE174</f>
        <v>5000</v>
      </c>
      <c r="AF202" s="139"/>
      <c r="AG202" s="139"/>
      <c r="AH202" s="139"/>
      <c r="AI202" s="139"/>
      <c r="AJ202" s="139"/>
      <c r="AK202" s="173">
        <v>0</v>
      </c>
      <c r="AL202" s="173"/>
      <c r="AM202" s="173"/>
      <c r="AN202" s="173"/>
      <c r="AO202" s="173"/>
      <c r="AP202" s="173"/>
      <c r="AQ202" s="139">
        <f t="shared" ref="AQ202:AQ203" si="523">AK202*AE202</f>
        <v>0</v>
      </c>
      <c r="AR202" s="139"/>
      <c r="AS202" s="139"/>
      <c r="AT202" s="139"/>
      <c r="AU202" s="139"/>
      <c r="AV202" s="139"/>
      <c r="AW202" s="173">
        <f t="shared" ref="AW202:AW212" si="524">AW174+AK202</f>
        <v>1</v>
      </c>
      <c r="AX202" s="173"/>
      <c r="AY202" s="173"/>
      <c r="AZ202" s="173"/>
      <c r="BA202" s="173"/>
      <c r="BB202" s="173"/>
      <c r="BC202" s="173">
        <f t="shared" ref="BC202:BC203" si="525">ROUND(AW202*AE202,0)</f>
        <v>5000</v>
      </c>
      <c r="BD202" s="173"/>
      <c r="BE202" s="173"/>
      <c r="BF202" s="173"/>
      <c r="BG202" s="173"/>
      <c r="BH202" s="174"/>
      <c r="BI202" s="18">
        <f t="shared" si="517"/>
        <v>5000</v>
      </c>
    </row>
    <row r="203" spans="1:69" s="19" customFormat="1" ht="21.95" customHeight="1" x14ac:dyDescent="0.25">
      <c r="A203" s="127">
        <f t="shared" ref="A203" si="526">A175</f>
        <v>2</v>
      </c>
      <c r="B203" s="128"/>
      <c r="C203" s="128"/>
      <c r="D203" s="129"/>
      <c r="E203" s="170" t="str">
        <f t="shared" ref="E203" si="527">E175</f>
        <v>三角錐與連桿(租用)</v>
      </c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2"/>
      <c r="U203" s="133" t="str">
        <f t="shared" ref="U203" si="528">U175</f>
        <v>M</v>
      </c>
      <c r="V203" s="134"/>
      <c r="W203" s="134"/>
      <c r="X203" s="135"/>
      <c r="Y203" s="147">
        <f t="shared" ref="Y203" si="529">Y175</f>
        <v>86</v>
      </c>
      <c r="Z203" s="148"/>
      <c r="AA203" s="148"/>
      <c r="AB203" s="148"/>
      <c r="AC203" s="148"/>
      <c r="AD203" s="149"/>
      <c r="AE203" s="139">
        <f t="shared" ref="AE203" si="530">AE175</f>
        <v>60</v>
      </c>
      <c r="AF203" s="139"/>
      <c r="AG203" s="139"/>
      <c r="AH203" s="139"/>
      <c r="AI203" s="139"/>
      <c r="AJ203" s="139"/>
      <c r="AK203" s="173">
        <v>0</v>
      </c>
      <c r="AL203" s="173"/>
      <c r="AM203" s="173"/>
      <c r="AN203" s="173"/>
      <c r="AO203" s="173"/>
      <c r="AP203" s="173"/>
      <c r="AQ203" s="139">
        <f t="shared" si="523"/>
        <v>0</v>
      </c>
      <c r="AR203" s="139"/>
      <c r="AS203" s="139"/>
      <c r="AT203" s="139"/>
      <c r="AU203" s="139"/>
      <c r="AV203" s="139"/>
      <c r="AW203" s="173">
        <f t="shared" si="524"/>
        <v>86</v>
      </c>
      <c r="AX203" s="173"/>
      <c r="AY203" s="173"/>
      <c r="AZ203" s="173"/>
      <c r="BA203" s="173"/>
      <c r="BB203" s="173"/>
      <c r="BC203" s="173">
        <f t="shared" si="525"/>
        <v>5160</v>
      </c>
      <c r="BD203" s="173"/>
      <c r="BE203" s="173"/>
      <c r="BF203" s="173"/>
      <c r="BG203" s="173"/>
      <c r="BH203" s="174"/>
      <c r="BI203" s="18">
        <f t="shared" si="517"/>
        <v>5160</v>
      </c>
    </row>
    <row r="204" spans="1:69" s="19" customFormat="1" ht="33" customHeight="1" x14ac:dyDescent="0.25">
      <c r="A204" s="150">
        <f t="shared" ref="A204" si="531">A176</f>
        <v>3</v>
      </c>
      <c r="B204" s="151"/>
      <c r="C204" s="151"/>
      <c r="D204" s="152"/>
      <c r="E204" s="175" t="str">
        <f t="shared" ref="E204" si="532">E176</f>
        <v>施工動線開闢及損害復原；測量與放樣</v>
      </c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7"/>
      <c r="U204" s="117" t="str">
        <f t="shared" ref="U204" si="533">U176</f>
        <v>式</v>
      </c>
      <c r="V204" s="118"/>
      <c r="W204" s="118"/>
      <c r="X204" s="119"/>
      <c r="Y204" s="156">
        <f t="shared" ref="Y204" si="534">Y176</f>
        <v>1</v>
      </c>
      <c r="Z204" s="157"/>
      <c r="AA204" s="157"/>
      <c r="AB204" s="157"/>
      <c r="AC204" s="157"/>
      <c r="AD204" s="158"/>
      <c r="AE204" s="159">
        <f t="shared" ref="AE204" si="535">AE176</f>
        <v>4000</v>
      </c>
      <c r="AF204" s="159"/>
      <c r="AG204" s="159"/>
      <c r="AH204" s="159"/>
      <c r="AI204" s="159"/>
      <c r="AJ204" s="159"/>
      <c r="AK204" s="167">
        <v>0</v>
      </c>
      <c r="AL204" s="167"/>
      <c r="AM204" s="167"/>
      <c r="AN204" s="167"/>
      <c r="AO204" s="167"/>
      <c r="AP204" s="167"/>
      <c r="AQ204" s="159">
        <f>AK204*AE204</f>
        <v>0</v>
      </c>
      <c r="AR204" s="159"/>
      <c r="AS204" s="159"/>
      <c r="AT204" s="159"/>
      <c r="AU204" s="159"/>
      <c r="AV204" s="159"/>
      <c r="AW204" s="167">
        <f t="shared" si="524"/>
        <v>0.5</v>
      </c>
      <c r="AX204" s="167"/>
      <c r="AY204" s="167"/>
      <c r="AZ204" s="167"/>
      <c r="BA204" s="167"/>
      <c r="BB204" s="167"/>
      <c r="BC204" s="167">
        <f>ROUND(AW204*AE204,0)</f>
        <v>2000</v>
      </c>
      <c r="BD204" s="167"/>
      <c r="BE204" s="167"/>
      <c r="BF204" s="167"/>
      <c r="BG204" s="167"/>
      <c r="BH204" s="168"/>
      <c r="BI204" s="18">
        <f t="shared" si="517"/>
        <v>4000</v>
      </c>
    </row>
    <row r="205" spans="1:69" ht="54" customHeight="1" x14ac:dyDescent="0.25">
      <c r="A205" s="150">
        <f t="shared" ref="A205" si="536">A177</f>
        <v>4</v>
      </c>
      <c r="B205" s="151"/>
      <c r="C205" s="151"/>
      <c r="D205" s="152"/>
      <c r="E205" s="175" t="str">
        <f t="shared" ref="E205" si="537">E177</f>
        <v>切割打除清運校舍與教室出入口地坪以及司令台階梯平台(含合法清運證明)</v>
      </c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7"/>
      <c r="U205" s="117" t="str">
        <f t="shared" ref="U205" si="538">U177</f>
        <v>式</v>
      </c>
      <c r="V205" s="118"/>
      <c r="W205" s="118"/>
      <c r="X205" s="119"/>
      <c r="Y205" s="156">
        <f t="shared" ref="Y205" si="539">Y177</f>
        <v>1</v>
      </c>
      <c r="Z205" s="157"/>
      <c r="AA205" s="157"/>
      <c r="AB205" s="157"/>
      <c r="AC205" s="157"/>
      <c r="AD205" s="158"/>
      <c r="AE205" s="159">
        <f t="shared" ref="AE205" si="540">AE177</f>
        <v>52817</v>
      </c>
      <c r="AF205" s="159"/>
      <c r="AG205" s="159"/>
      <c r="AH205" s="159"/>
      <c r="AI205" s="159"/>
      <c r="AJ205" s="159"/>
      <c r="AK205" s="167">
        <v>0</v>
      </c>
      <c r="AL205" s="167"/>
      <c r="AM205" s="167"/>
      <c r="AN205" s="167"/>
      <c r="AO205" s="167"/>
      <c r="AP205" s="167"/>
      <c r="AQ205" s="159">
        <f t="shared" ref="AQ205:AQ208" si="541">AK205*AE205</f>
        <v>0</v>
      </c>
      <c r="AR205" s="159"/>
      <c r="AS205" s="159"/>
      <c r="AT205" s="159"/>
      <c r="AU205" s="159"/>
      <c r="AV205" s="159"/>
      <c r="AW205" s="167">
        <f t="shared" si="524"/>
        <v>0</v>
      </c>
      <c r="AX205" s="167"/>
      <c r="AY205" s="167"/>
      <c r="AZ205" s="167"/>
      <c r="BA205" s="167"/>
      <c r="BB205" s="167"/>
      <c r="BC205" s="167">
        <f t="shared" ref="BC205:BC208" si="542">ROUND(AW205*AE205,0)</f>
        <v>0</v>
      </c>
      <c r="BD205" s="167"/>
      <c r="BE205" s="167"/>
      <c r="BF205" s="167"/>
      <c r="BG205" s="167"/>
      <c r="BH205" s="168"/>
      <c r="BI205" s="16">
        <f t="shared" si="517"/>
        <v>52817</v>
      </c>
    </row>
    <row r="206" spans="1:69" ht="20.25" customHeight="1" x14ac:dyDescent="0.25">
      <c r="A206" s="150">
        <f t="shared" ref="A206" si="543">A178</f>
        <v>5</v>
      </c>
      <c r="B206" s="151"/>
      <c r="C206" s="151"/>
      <c r="D206" s="152"/>
      <c r="E206" s="153" t="str">
        <f t="shared" ref="E206" si="544">E178</f>
        <v>校舍出入口施做斜坡順平高差</v>
      </c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5"/>
      <c r="U206" s="117" t="str">
        <f t="shared" ref="U206" si="545">U178</f>
        <v>M2</v>
      </c>
      <c r="V206" s="118"/>
      <c r="W206" s="118"/>
      <c r="X206" s="119"/>
      <c r="Y206" s="160">
        <f t="shared" ref="Y206" si="546">Y178</f>
        <v>15</v>
      </c>
      <c r="Z206" s="161"/>
      <c r="AA206" s="161"/>
      <c r="AB206" s="161"/>
      <c r="AC206" s="161"/>
      <c r="AD206" s="162"/>
      <c r="AE206" s="169">
        <f t="shared" ref="AE206" si="547">AE178</f>
        <v>600</v>
      </c>
      <c r="AF206" s="169"/>
      <c r="AG206" s="169"/>
      <c r="AH206" s="169"/>
      <c r="AI206" s="169"/>
      <c r="AJ206" s="169"/>
      <c r="AK206" s="167">
        <v>0</v>
      </c>
      <c r="AL206" s="167"/>
      <c r="AM206" s="167"/>
      <c r="AN206" s="167"/>
      <c r="AO206" s="167"/>
      <c r="AP206" s="167"/>
      <c r="AQ206" s="159">
        <f t="shared" si="541"/>
        <v>0</v>
      </c>
      <c r="AR206" s="159"/>
      <c r="AS206" s="159"/>
      <c r="AT206" s="159"/>
      <c r="AU206" s="159"/>
      <c r="AV206" s="159"/>
      <c r="AW206" s="167">
        <f t="shared" si="524"/>
        <v>0</v>
      </c>
      <c r="AX206" s="167"/>
      <c r="AY206" s="167"/>
      <c r="AZ206" s="167"/>
      <c r="BA206" s="167"/>
      <c r="BB206" s="167"/>
      <c r="BC206" s="167">
        <f t="shared" si="542"/>
        <v>0</v>
      </c>
      <c r="BD206" s="167"/>
      <c r="BE206" s="167"/>
      <c r="BF206" s="167"/>
      <c r="BG206" s="167"/>
      <c r="BH206" s="168"/>
      <c r="BI206" s="3">
        <f t="shared" si="517"/>
        <v>9000</v>
      </c>
    </row>
    <row r="207" spans="1:69" ht="50.25" customHeight="1" x14ac:dyDescent="0.25">
      <c r="A207" s="150">
        <f t="shared" ref="A207" si="548">A179</f>
        <v>6</v>
      </c>
      <c r="B207" s="151"/>
      <c r="C207" s="151"/>
      <c r="D207" s="152"/>
      <c r="E207" s="153" t="str">
        <f t="shared" ref="E207" si="549">E179</f>
        <v>開挖整地，新設無障礙RC坡道，牆面與地坪粉刷整平(連工帶料，責任施工)</v>
      </c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5"/>
      <c r="U207" s="117" t="str">
        <f t="shared" ref="U207" si="550">U179</f>
        <v>式</v>
      </c>
      <c r="V207" s="118"/>
      <c r="W207" s="118"/>
      <c r="X207" s="119"/>
      <c r="Y207" s="160">
        <f t="shared" ref="Y207" si="551">Y179</f>
        <v>1</v>
      </c>
      <c r="Z207" s="161"/>
      <c r="AA207" s="161"/>
      <c r="AB207" s="161"/>
      <c r="AC207" s="161"/>
      <c r="AD207" s="162"/>
      <c r="AE207" s="159">
        <f t="shared" ref="AE207" si="552">AE179</f>
        <v>153000</v>
      </c>
      <c r="AF207" s="159"/>
      <c r="AG207" s="159"/>
      <c r="AH207" s="159"/>
      <c r="AI207" s="159"/>
      <c r="AJ207" s="159"/>
      <c r="AK207" s="167">
        <v>0</v>
      </c>
      <c r="AL207" s="167"/>
      <c r="AM207" s="167"/>
      <c r="AN207" s="167"/>
      <c r="AO207" s="167"/>
      <c r="AP207" s="167"/>
      <c r="AQ207" s="159">
        <f t="shared" si="541"/>
        <v>0</v>
      </c>
      <c r="AR207" s="159"/>
      <c r="AS207" s="159"/>
      <c r="AT207" s="159"/>
      <c r="AU207" s="159"/>
      <c r="AV207" s="159"/>
      <c r="AW207" s="167">
        <f t="shared" si="524"/>
        <v>0</v>
      </c>
      <c r="AX207" s="167"/>
      <c r="AY207" s="167"/>
      <c r="AZ207" s="167"/>
      <c r="BA207" s="167"/>
      <c r="BB207" s="167"/>
      <c r="BC207" s="167">
        <f t="shared" si="542"/>
        <v>0</v>
      </c>
      <c r="BD207" s="167"/>
      <c r="BE207" s="167"/>
      <c r="BF207" s="167"/>
      <c r="BG207" s="167"/>
      <c r="BH207" s="168"/>
      <c r="BI207" s="3">
        <f t="shared" si="517"/>
        <v>153000</v>
      </c>
    </row>
    <row r="208" spans="1:69" ht="32.450000000000003" customHeight="1" x14ac:dyDescent="0.25">
      <c r="A208" s="150">
        <f t="shared" ref="A208" si="553">A180</f>
        <v>7</v>
      </c>
      <c r="B208" s="151"/>
      <c r="C208" s="151"/>
      <c r="D208" s="152"/>
      <c r="E208" s="153" t="str">
        <f t="shared" ref="E208" si="554">E180</f>
        <v>施做抿石子(1~2分AK石，抿石子專用泥)</v>
      </c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5"/>
      <c r="U208" s="117" t="str">
        <f t="shared" ref="U208" si="555">U180</f>
        <v>M2</v>
      </c>
      <c r="V208" s="118"/>
      <c r="W208" s="118"/>
      <c r="X208" s="119"/>
      <c r="Y208" s="160">
        <f t="shared" ref="Y208" si="556">Y180</f>
        <v>38</v>
      </c>
      <c r="Z208" s="161"/>
      <c r="AA208" s="161"/>
      <c r="AB208" s="161"/>
      <c r="AC208" s="161"/>
      <c r="AD208" s="162"/>
      <c r="AE208" s="159">
        <f t="shared" ref="AE208" si="557">AE180</f>
        <v>1460</v>
      </c>
      <c r="AF208" s="159"/>
      <c r="AG208" s="159"/>
      <c r="AH208" s="159"/>
      <c r="AI208" s="159"/>
      <c r="AJ208" s="159"/>
      <c r="AK208" s="167">
        <v>0</v>
      </c>
      <c r="AL208" s="167"/>
      <c r="AM208" s="167"/>
      <c r="AN208" s="167"/>
      <c r="AO208" s="167"/>
      <c r="AP208" s="167"/>
      <c r="AQ208" s="159">
        <f t="shared" si="541"/>
        <v>0</v>
      </c>
      <c r="AR208" s="159"/>
      <c r="AS208" s="159"/>
      <c r="AT208" s="159"/>
      <c r="AU208" s="159"/>
      <c r="AV208" s="159"/>
      <c r="AW208" s="167">
        <f t="shared" si="524"/>
        <v>0</v>
      </c>
      <c r="AX208" s="167"/>
      <c r="AY208" s="167"/>
      <c r="AZ208" s="167"/>
      <c r="BA208" s="167"/>
      <c r="BB208" s="167"/>
      <c r="BC208" s="167">
        <f t="shared" si="542"/>
        <v>0</v>
      </c>
      <c r="BD208" s="167"/>
      <c r="BE208" s="167"/>
      <c r="BF208" s="167"/>
      <c r="BG208" s="167"/>
      <c r="BH208" s="168"/>
      <c r="BI208" s="3">
        <f t="shared" si="517"/>
        <v>55480</v>
      </c>
    </row>
    <row r="209" spans="1:61" ht="21" customHeight="1" x14ac:dyDescent="0.25">
      <c r="A209" s="150">
        <f t="shared" ref="A209" si="558">A181</f>
        <v>8</v>
      </c>
      <c r="B209" s="151"/>
      <c r="C209" s="151"/>
      <c r="D209" s="152"/>
      <c r="E209" s="153" t="str">
        <f t="shared" ref="E209" si="559">E181</f>
        <v>無障礙坡道地坪拉毛</v>
      </c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5"/>
      <c r="U209" s="117" t="str">
        <f t="shared" ref="U209" si="560">U181</f>
        <v>M2</v>
      </c>
      <c r="V209" s="118"/>
      <c r="W209" s="118"/>
      <c r="X209" s="119"/>
      <c r="Y209" s="160">
        <f t="shared" ref="Y209" si="561">Y181</f>
        <v>33</v>
      </c>
      <c r="Z209" s="161"/>
      <c r="AA209" s="161"/>
      <c r="AB209" s="161"/>
      <c r="AC209" s="161"/>
      <c r="AD209" s="162"/>
      <c r="AE209" s="159">
        <f t="shared" ref="AE209" si="562">AE181</f>
        <v>100</v>
      </c>
      <c r="AF209" s="159"/>
      <c r="AG209" s="159"/>
      <c r="AH209" s="159"/>
      <c r="AI209" s="159"/>
      <c r="AJ209" s="159"/>
      <c r="AK209" s="167"/>
      <c r="AL209" s="167"/>
      <c r="AM209" s="167"/>
      <c r="AN209" s="167"/>
      <c r="AO209" s="167"/>
      <c r="AP209" s="167"/>
      <c r="AQ209" s="159"/>
      <c r="AR209" s="159"/>
      <c r="AS209" s="159"/>
      <c r="AT209" s="159"/>
      <c r="AU209" s="159"/>
      <c r="AV209" s="159"/>
      <c r="AW209" s="167">
        <f t="shared" si="524"/>
        <v>0</v>
      </c>
      <c r="AX209" s="167"/>
      <c r="AY209" s="167"/>
      <c r="AZ209" s="167"/>
      <c r="BA209" s="167"/>
      <c r="BB209" s="167"/>
      <c r="BC209" s="167"/>
      <c r="BD209" s="167"/>
      <c r="BE209" s="167"/>
      <c r="BF209" s="167"/>
      <c r="BG209" s="167"/>
      <c r="BH209" s="168"/>
      <c r="BI209" s="3">
        <f t="shared" si="517"/>
        <v>3300</v>
      </c>
    </row>
    <row r="210" spans="1:61" s="19" customFormat="1" ht="34.5" customHeight="1" x14ac:dyDescent="0.25">
      <c r="A210" s="127">
        <f t="shared" ref="A210" si="563">A182</f>
        <v>9</v>
      </c>
      <c r="B210" s="128"/>
      <c r="C210" s="128"/>
      <c r="D210" s="129"/>
      <c r="E210" s="153" t="str">
        <f t="shared" ref="E210" si="564">E182</f>
        <v>司令台既有樓梯面清潔，刷止滑漆(一底二度)</v>
      </c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5"/>
      <c r="U210" s="133" t="str">
        <f t="shared" ref="U210" si="565">U182</f>
        <v>式</v>
      </c>
      <c r="V210" s="134"/>
      <c r="W210" s="134"/>
      <c r="X210" s="135"/>
      <c r="Y210" s="160">
        <f t="shared" ref="Y210" si="566">Y182</f>
        <v>1</v>
      </c>
      <c r="Z210" s="161"/>
      <c r="AA210" s="161"/>
      <c r="AB210" s="161"/>
      <c r="AC210" s="161"/>
      <c r="AD210" s="162"/>
      <c r="AE210" s="159">
        <f t="shared" ref="AE210" si="567">AE182</f>
        <v>3000</v>
      </c>
      <c r="AF210" s="159"/>
      <c r="AG210" s="159"/>
      <c r="AH210" s="159"/>
      <c r="AI210" s="159"/>
      <c r="AJ210" s="159"/>
      <c r="AK210" s="167">
        <v>0</v>
      </c>
      <c r="AL210" s="167"/>
      <c r="AM210" s="167"/>
      <c r="AN210" s="167"/>
      <c r="AO210" s="167"/>
      <c r="AP210" s="167"/>
      <c r="AQ210" s="159">
        <f t="shared" ref="AQ210:AQ217" si="568">AK210*AE210</f>
        <v>0</v>
      </c>
      <c r="AR210" s="159"/>
      <c r="AS210" s="159"/>
      <c r="AT210" s="159"/>
      <c r="AU210" s="159"/>
      <c r="AV210" s="159"/>
      <c r="AW210" s="167">
        <f t="shared" si="524"/>
        <v>0</v>
      </c>
      <c r="AX210" s="167"/>
      <c r="AY210" s="167"/>
      <c r="AZ210" s="167"/>
      <c r="BA210" s="167"/>
      <c r="BB210" s="167"/>
      <c r="BC210" s="167">
        <f t="shared" ref="BC210:BC212" si="569">ROUND(AW210*AE210,0)</f>
        <v>0</v>
      </c>
      <c r="BD210" s="167"/>
      <c r="BE210" s="167"/>
      <c r="BF210" s="167"/>
      <c r="BG210" s="167"/>
      <c r="BH210" s="168"/>
      <c r="BI210" s="18">
        <f t="shared" si="517"/>
        <v>3000</v>
      </c>
    </row>
    <row r="211" spans="1:61" ht="35.25" customHeight="1" x14ac:dyDescent="0.25">
      <c r="A211" s="150">
        <f t="shared" ref="A211" si="570">A183</f>
        <v>10</v>
      </c>
      <c r="B211" s="151"/>
      <c r="C211" s="151"/>
      <c r="D211" s="152"/>
      <c r="E211" s="153" t="str">
        <f t="shared" ref="E211" si="571">E183</f>
        <v>校舍、教室及司令台坡道出入口配置無線押扣與插電式緊急求救鈴</v>
      </c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5"/>
      <c r="U211" s="117" t="str">
        <f t="shared" ref="U211" si="572">U183</f>
        <v>組</v>
      </c>
      <c r="V211" s="118"/>
      <c r="W211" s="118"/>
      <c r="X211" s="119"/>
      <c r="Y211" s="160">
        <f t="shared" ref="Y211" si="573">Y183</f>
        <v>8</v>
      </c>
      <c r="Z211" s="161"/>
      <c r="AA211" s="161"/>
      <c r="AB211" s="161"/>
      <c r="AC211" s="161"/>
      <c r="AD211" s="162"/>
      <c r="AE211" s="159">
        <f t="shared" ref="AE211" si="574">AE183</f>
        <v>700</v>
      </c>
      <c r="AF211" s="159"/>
      <c r="AG211" s="159"/>
      <c r="AH211" s="159"/>
      <c r="AI211" s="159"/>
      <c r="AJ211" s="159"/>
      <c r="AK211" s="167">
        <v>0</v>
      </c>
      <c r="AL211" s="167"/>
      <c r="AM211" s="167"/>
      <c r="AN211" s="167"/>
      <c r="AO211" s="167"/>
      <c r="AP211" s="167"/>
      <c r="AQ211" s="159">
        <f t="shared" si="568"/>
        <v>0</v>
      </c>
      <c r="AR211" s="159"/>
      <c r="AS211" s="159"/>
      <c r="AT211" s="159"/>
      <c r="AU211" s="159"/>
      <c r="AV211" s="159"/>
      <c r="AW211" s="167">
        <f t="shared" si="524"/>
        <v>0</v>
      </c>
      <c r="AX211" s="167"/>
      <c r="AY211" s="167"/>
      <c r="AZ211" s="167"/>
      <c r="BA211" s="167"/>
      <c r="BB211" s="167"/>
      <c r="BC211" s="167">
        <f t="shared" si="569"/>
        <v>0</v>
      </c>
      <c r="BD211" s="167"/>
      <c r="BE211" s="167"/>
      <c r="BF211" s="167"/>
      <c r="BG211" s="167"/>
      <c r="BH211" s="168"/>
      <c r="BI211" s="3">
        <f t="shared" si="517"/>
        <v>5600</v>
      </c>
    </row>
    <row r="212" spans="1:61" ht="36.75" customHeight="1" x14ac:dyDescent="0.25">
      <c r="A212" s="150">
        <f t="shared" ref="A212" si="575">A184</f>
        <v>11</v>
      </c>
      <c r="B212" s="151"/>
      <c r="C212" s="151"/>
      <c r="D212" s="152"/>
      <c r="E212" s="153" t="str">
        <f t="shared" ref="E212" si="576">E184</f>
        <v>司令台周圍及無障礙坡道安裝不鏽鋼扶手(連工帶料)</v>
      </c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5"/>
      <c r="U212" s="117" t="str">
        <f t="shared" ref="U212" si="577">U184</f>
        <v>M</v>
      </c>
      <c r="V212" s="118"/>
      <c r="W212" s="118"/>
      <c r="X212" s="119"/>
      <c r="Y212" s="156">
        <f t="shared" ref="Y212" si="578">Y184</f>
        <v>48</v>
      </c>
      <c r="Z212" s="157"/>
      <c r="AA212" s="157"/>
      <c r="AB212" s="157"/>
      <c r="AC212" s="157"/>
      <c r="AD212" s="158"/>
      <c r="AE212" s="159">
        <f t="shared" ref="AE212" si="579">AE184</f>
        <v>3000</v>
      </c>
      <c r="AF212" s="159"/>
      <c r="AG212" s="159"/>
      <c r="AH212" s="159"/>
      <c r="AI212" s="159"/>
      <c r="AJ212" s="159"/>
      <c r="AK212" s="160">
        <v>0</v>
      </c>
      <c r="AL212" s="161"/>
      <c r="AM212" s="161"/>
      <c r="AN212" s="161"/>
      <c r="AO212" s="161"/>
      <c r="AP212" s="162"/>
      <c r="AQ212" s="163">
        <f t="shared" si="568"/>
        <v>0</v>
      </c>
      <c r="AR212" s="164"/>
      <c r="AS212" s="164"/>
      <c r="AT212" s="164"/>
      <c r="AU212" s="164"/>
      <c r="AV212" s="165"/>
      <c r="AW212" s="160">
        <f t="shared" si="524"/>
        <v>0</v>
      </c>
      <c r="AX212" s="161"/>
      <c r="AY212" s="161"/>
      <c r="AZ212" s="161"/>
      <c r="BA212" s="161"/>
      <c r="BB212" s="162"/>
      <c r="BC212" s="160">
        <f t="shared" si="569"/>
        <v>0</v>
      </c>
      <c r="BD212" s="161"/>
      <c r="BE212" s="161"/>
      <c r="BF212" s="161"/>
      <c r="BG212" s="161"/>
      <c r="BH212" s="166"/>
      <c r="BI212" s="3">
        <f t="shared" si="517"/>
        <v>144000</v>
      </c>
    </row>
    <row r="213" spans="1:61" s="19" customFormat="1" ht="35.25" customHeight="1" x14ac:dyDescent="0.25">
      <c r="A213" s="127" t="str">
        <f t="shared" ref="A213" si="580">A185</f>
        <v>貳</v>
      </c>
      <c r="B213" s="128"/>
      <c r="C213" s="128"/>
      <c r="D213" s="129"/>
      <c r="E213" s="130" t="str">
        <f t="shared" ref="E213" si="581">E185</f>
        <v>職業安全衛生管理費與施工環境保護與清潔（壹*2%）</v>
      </c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2"/>
      <c r="U213" s="133" t="str">
        <f t="shared" ref="U213" si="582">U185</f>
        <v>式</v>
      </c>
      <c r="V213" s="134"/>
      <c r="W213" s="134"/>
      <c r="X213" s="135"/>
      <c r="Y213" s="136">
        <f t="shared" ref="Y213" si="583">Y185</f>
        <v>1</v>
      </c>
      <c r="Z213" s="137"/>
      <c r="AA213" s="137"/>
      <c r="AB213" s="137"/>
      <c r="AC213" s="137"/>
      <c r="AD213" s="138"/>
      <c r="AE213" s="139">
        <f t="shared" ref="AE213" si="584">AE185</f>
        <v>8807</v>
      </c>
      <c r="AF213" s="139"/>
      <c r="AG213" s="139"/>
      <c r="AH213" s="139"/>
      <c r="AI213" s="139"/>
      <c r="AJ213" s="139"/>
      <c r="AK213" s="140">
        <v>1.7000000000000001E-2</v>
      </c>
      <c r="AL213" s="141"/>
      <c r="AM213" s="141"/>
      <c r="AN213" s="141"/>
      <c r="AO213" s="141"/>
      <c r="AP213" s="142"/>
      <c r="AQ213" s="143">
        <f t="shared" si="568"/>
        <v>149.71900000000002</v>
      </c>
      <c r="AR213" s="144"/>
      <c r="AS213" s="144"/>
      <c r="AT213" s="144"/>
      <c r="AU213" s="144"/>
      <c r="AV213" s="145"/>
      <c r="AW213" s="140">
        <f>AW185+AK213</f>
        <v>0.13600000000000001</v>
      </c>
      <c r="AX213" s="141"/>
      <c r="AY213" s="141"/>
      <c r="AZ213" s="141"/>
      <c r="BA213" s="141"/>
      <c r="BB213" s="142"/>
      <c r="BC213" s="136">
        <f>ROUND(AW213*AE213,0)</f>
        <v>1198</v>
      </c>
      <c r="BD213" s="137"/>
      <c r="BE213" s="137"/>
      <c r="BF213" s="137"/>
      <c r="BG213" s="137"/>
      <c r="BH213" s="146"/>
      <c r="BI213" s="18">
        <f t="shared" si="517"/>
        <v>8807</v>
      </c>
    </row>
    <row r="214" spans="1:61" s="19" customFormat="1" ht="21.95" customHeight="1" x14ac:dyDescent="0.25">
      <c r="A214" s="127" t="str">
        <f t="shared" ref="A214" si="585">A186</f>
        <v>參</v>
      </c>
      <c r="B214" s="128"/>
      <c r="C214" s="128"/>
      <c r="D214" s="129"/>
      <c r="E214" s="130" t="str">
        <f t="shared" ref="E214" si="586">E186</f>
        <v>公共工程品質管制作業費（壹*1%）</v>
      </c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2"/>
      <c r="U214" s="133" t="str">
        <f t="shared" ref="U214" si="587">U186</f>
        <v>式</v>
      </c>
      <c r="V214" s="134"/>
      <c r="W214" s="134"/>
      <c r="X214" s="135"/>
      <c r="Y214" s="147">
        <f t="shared" ref="Y214" si="588">Y186</f>
        <v>1</v>
      </c>
      <c r="Z214" s="148"/>
      <c r="AA214" s="148"/>
      <c r="AB214" s="148"/>
      <c r="AC214" s="148"/>
      <c r="AD214" s="149"/>
      <c r="AE214" s="139">
        <f t="shared" ref="AE214" si="589">AE186</f>
        <v>4404</v>
      </c>
      <c r="AF214" s="139"/>
      <c r="AG214" s="139"/>
      <c r="AH214" s="139"/>
      <c r="AI214" s="139"/>
      <c r="AJ214" s="139"/>
      <c r="AK214" s="140">
        <v>1.7000000000000001E-2</v>
      </c>
      <c r="AL214" s="141"/>
      <c r="AM214" s="141"/>
      <c r="AN214" s="141"/>
      <c r="AO214" s="141"/>
      <c r="AP214" s="142"/>
      <c r="AQ214" s="143">
        <f t="shared" si="568"/>
        <v>74.868000000000009</v>
      </c>
      <c r="AR214" s="144"/>
      <c r="AS214" s="144"/>
      <c r="AT214" s="144"/>
      <c r="AU214" s="144"/>
      <c r="AV214" s="145"/>
      <c r="AW214" s="140">
        <f t="shared" ref="AW214:AW217" si="590">AW186+AK214</f>
        <v>0.13600000000000001</v>
      </c>
      <c r="AX214" s="141"/>
      <c r="AY214" s="141"/>
      <c r="AZ214" s="141"/>
      <c r="BA214" s="141"/>
      <c r="BB214" s="142"/>
      <c r="BC214" s="136">
        <f t="shared" ref="BC214:BC217" si="591">ROUND(AW214*AE214,0)</f>
        <v>599</v>
      </c>
      <c r="BD214" s="137"/>
      <c r="BE214" s="137"/>
      <c r="BF214" s="137"/>
      <c r="BG214" s="137"/>
      <c r="BH214" s="146"/>
      <c r="BI214" s="18">
        <f t="shared" si="517"/>
        <v>4404</v>
      </c>
    </row>
    <row r="215" spans="1:61" s="19" customFormat="1" ht="21.95" customHeight="1" x14ac:dyDescent="0.25">
      <c r="A215" s="127" t="str">
        <f t="shared" ref="A215" si="592">A187</f>
        <v>肆</v>
      </c>
      <c r="B215" s="128"/>
      <c r="C215" s="128"/>
      <c r="D215" s="129"/>
      <c r="E215" s="130" t="str">
        <f t="shared" ref="E215" si="593">E187</f>
        <v>包商管理及利潤費（約壹*7%）</v>
      </c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2"/>
      <c r="U215" s="133" t="str">
        <f t="shared" ref="U215" si="594">U187</f>
        <v>式</v>
      </c>
      <c r="V215" s="134"/>
      <c r="W215" s="134"/>
      <c r="X215" s="135"/>
      <c r="Y215" s="147">
        <f t="shared" ref="Y215" si="595">Y187</f>
        <v>1</v>
      </c>
      <c r="Z215" s="148"/>
      <c r="AA215" s="148"/>
      <c r="AB215" s="148"/>
      <c r="AC215" s="148"/>
      <c r="AD215" s="149"/>
      <c r="AE215" s="139">
        <f t="shared" ref="AE215" si="596">AE187</f>
        <v>30825</v>
      </c>
      <c r="AF215" s="139"/>
      <c r="AG215" s="139"/>
      <c r="AH215" s="139"/>
      <c r="AI215" s="139"/>
      <c r="AJ215" s="139"/>
      <c r="AK215" s="140">
        <v>1.7000000000000001E-2</v>
      </c>
      <c r="AL215" s="141"/>
      <c r="AM215" s="141"/>
      <c r="AN215" s="141"/>
      <c r="AO215" s="141"/>
      <c r="AP215" s="142"/>
      <c r="AQ215" s="143">
        <f t="shared" si="568"/>
        <v>524.02500000000009</v>
      </c>
      <c r="AR215" s="144"/>
      <c r="AS215" s="144"/>
      <c r="AT215" s="144"/>
      <c r="AU215" s="144"/>
      <c r="AV215" s="145"/>
      <c r="AW215" s="140">
        <f t="shared" si="590"/>
        <v>0.13600000000000001</v>
      </c>
      <c r="AX215" s="141"/>
      <c r="AY215" s="141"/>
      <c r="AZ215" s="141"/>
      <c r="BA215" s="141"/>
      <c r="BB215" s="142"/>
      <c r="BC215" s="136">
        <f t="shared" si="591"/>
        <v>4192</v>
      </c>
      <c r="BD215" s="137"/>
      <c r="BE215" s="137"/>
      <c r="BF215" s="137"/>
      <c r="BG215" s="137"/>
      <c r="BH215" s="146"/>
      <c r="BI215" s="18">
        <f t="shared" si="517"/>
        <v>30825</v>
      </c>
    </row>
    <row r="216" spans="1:61" s="19" customFormat="1" ht="21.95" customHeight="1" x14ac:dyDescent="0.25">
      <c r="A216" s="127" t="str">
        <f t="shared" ref="A216" si="597">A188</f>
        <v>伍</v>
      </c>
      <c r="B216" s="128"/>
      <c r="C216" s="128"/>
      <c r="D216" s="129"/>
      <c r="E216" s="130" t="str">
        <f t="shared" ref="E216" si="598">E188</f>
        <v>營造綜合保險費</v>
      </c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2"/>
      <c r="U216" s="133" t="str">
        <f t="shared" ref="U216" si="599">U188</f>
        <v>式</v>
      </c>
      <c r="V216" s="134"/>
      <c r="W216" s="134"/>
      <c r="X216" s="135"/>
      <c r="Y216" s="136">
        <f t="shared" ref="Y216" si="600">Y188</f>
        <v>1</v>
      </c>
      <c r="Z216" s="137"/>
      <c r="AA216" s="137"/>
      <c r="AB216" s="137"/>
      <c r="AC216" s="137"/>
      <c r="AD216" s="138"/>
      <c r="AE216" s="139">
        <f t="shared" ref="AE216" si="601">AE188</f>
        <v>1321</v>
      </c>
      <c r="AF216" s="139"/>
      <c r="AG216" s="139"/>
      <c r="AH216" s="139"/>
      <c r="AI216" s="139"/>
      <c r="AJ216" s="139"/>
      <c r="AK216" s="136">
        <v>0</v>
      </c>
      <c r="AL216" s="137"/>
      <c r="AM216" s="137"/>
      <c r="AN216" s="137"/>
      <c r="AO216" s="137"/>
      <c r="AP216" s="138"/>
      <c r="AQ216" s="143">
        <f t="shared" si="568"/>
        <v>0</v>
      </c>
      <c r="AR216" s="144"/>
      <c r="AS216" s="144"/>
      <c r="AT216" s="144"/>
      <c r="AU216" s="144"/>
      <c r="AV216" s="145"/>
      <c r="AW216" s="136">
        <f t="shared" si="590"/>
        <v>1</v>
      </c>
      <c r="AX216" s="137"/>
      <c r="AY216" s="137"/>
      <c r="AZ216" s="137"/>
      <c r="BA216" s="137"/>
      <c r="BB216" s="138"/>
      <c r="BC216" s="136">
        <f t="shared" si="591"/>
        <v>1321</v>
      </c>
      <c r="BD216" s="137"/>
      <c r="BE216" s="137"/>
      <c r="BF216" s="137"/>
      <c r="BG216" s="137"/>
      <c r="BH216" s="146"/>
      <c r="BI216" s="18">
        <f t="shared" si="517"/>
        <v>1321</v>
      </c>
    </row>
    <row r="217" spans="1:61" s="19" customFormat="1" ht="21.95" customHeight="1" x14ac:dyDescent="0.25">
      <c r="A217" s="127" t="str">
        <f t="shared" ref="A217" si="602">A189</f>
        <v>陸</v>
      </c>
      <c r="B217" s="128"/>
      <c r="C217" s="128"/>
      <c r="D217" s="129"/>
      <c r="E217" s="130" t="str">
        <f t="shared" ref="E217" si="603">E189</f>
        <v>營業稅（(壹~伍)*5％）</v>
      </c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2"/>
      <c r="U217" s="133" t="str">
        <f t="shared" ref="U217" si="604">U189</f>
        <v>式</v>
      </c>
      <c r="V217" s="134"/>
      <c r="W217" s="134"/>
      <c r="X217" s="135"/>
      <c r="Y217" s="136">
        <f t="shared" ref="Y217" si="605">Y189</f>
        <v>1</v>
      </c>
      <c r="Z217" s="137"/>
      <c r="AA217" s="137"/>
      <c r="AB217" s="137"/>
      <c r="AC217" s="137"/>
      <c r="AD217" s="138"/>
      <c r="AE217" s="139">
        <f t="shared" ref="AE217" si="606">AE189</f>
        <v>24286</v>
      </c>
      <c r="AF217" s="139"/>
      <c r="AG217" s="139"/>
      <c r="AH217" s="139"/>
      <c r="AI217" s="139"/>
      <c r="AJ217" s="139"/>
      <c r="AK217" s="140">
        <v>1.7000000000000001E-2</v>
      </c>
      <c r="AL217" s="141"/>
      <c r="AM217" s="141"/>
      <c r="AN217" s="141"/>
      <c r="AO217" s="141"/>
      <c r="AP217" s="142"/>
      <c r="AQ217" s="143">
        <f t="shared" si="568"/>
        <v>412.86200000000002</v>
      </c>
      <c r="AR217" s="144"/>
      <c r="AS217" s="144"/>
      <c r="AT217" s="144"/>
      <c r="AU217" s="144"/>
      <c r="AV217" s="145"/>
      <c r="AW217" s="140">
        <f t="shared" si="590"/>
        <v>0.13600000000000001</v>
      </c>
      <c r="AX217" s="141"/>
      <c r="AY217" s="141"/>
      <c r="AZ217" s="141"/>
      <c r="BA217" s="141"/>
      <c r="BB217" s="142"/>
      <c r="BC217" s="136">
        <f t="shared" si="591"/>
        <v>3303</v>
      </c>
      <c r="BD217" s="137"/>
      <c r="BE217" s="137"/>
      <c r="BF217" s="137"/>
      <c r="BG217" s="137"/>
      <c r="BH217" s="146"/>
      <c r="BI217" s="18">
        <f t="shared" si="517"/>
        <v>24286</v>
      </c>
    </row>
    <row r="218" spans="1:61" ht="21.95" customHeight="1" x14ac:dyDescent="0.25">
      <c r="A218" s="111"/>
      <c r="B218" s="112"/>
      <c r="C218" s="112"/>
      <c r="D218" s="113"/>
      <c r="E218" s="114" t="s">
        <v>75</v>
      </c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6"/>
      <c r="U218" s="117"/>
      <c r="V218" s="118"/>
      <c r="W218" s="118"/>
      <c r="X218" s="119"/>
      <c r="Y218" s="120"/>
      <c r="Z218" s="121"/>
      <c r="AA218" s="121"/>
      <c r="AB218" s="121"/>
      <c r="AC218" s="121"/>
      <c r="AD218" s="122"/>
      <c r="AE218" s="123"/>
      <c r="AF218" s="124"/>
      <c r="AG218" s="124"/>
      <c r="AH218" s="124"/>
      <c r="AI218" s="124"/>
      <c r="AJ218" s="125"/>
      <c r="AK218" s="120"/>
      <c r="AL218" s="121"/>
      <c r="AM218" s="121"/>
      <c r="AN218" s="121"/>
      <c r="AO218" s="121"/>
      <c r="AP218" s="122"/>
      <c r="AQ218" s="123">
        <f>SUM(AQ204:AQ217)</f>
        <v>1161.4740000000002</v>
      </c>
      <c r="AR218" s="124"/>
      <c r="AS218" s="124"/>
      <c r="AT218" s="124"/>
      <c r="AU218" s="124"/>
      <c r="AV218" s="125"/>
      <c r="AW218" s="120"/>
      <c r="AX218" s="121"/>
      <c r="AY218" s="121"/>
      <c r="AZ218" s="121"/>
      <c r="BA218" s="121"/>
      <c r="BB218" s="122"/>
      <c r="BC218" s="120">
        <f>SUM(BC204:BC217)</f>
        <v>12613</v>
      </c>
      <c r="BD218" s="121"/>
      <c r="BE218" s="121"/>
      <c r="BF218" s="121"/>
      <c r="BG218" s="121"/>
      <c r="BH218" s="126"/>
      <c r="BI218" s="17">
        <f>SUM(BI202:BI217)</f>
        <v>510000</v>
      </c>
    </row>
    <row r="219" spans="1:61" ht="21.95" customHeight="1" x14ac:dyDescent="0.25">
      <c r="A219" s="101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  <c r="AH219" s="102"/>
      <c r="AI219" s="102"/>
      <c r="AJ219" s="103"/>
      <c r="AK219" s="104"/>
      <c r="AL219" s="105"/>
      <c r="AM219" s="105"/>
      <c r="AN219" s="105"/>
      <c r="AO219" s="105"/>
      <c r="AP219" s="106"/>
      <c r="AQ219" s="107"/>
      <c r="AR219" s="108"/>
      <c r="AS219" s="108"/>
      <c r="AT219" s="108"/>
      <c r="AU219" s="108"/>
      <c r="AV219" s="109"/>
      <c r="AW219" s="104"/>
      <c r="AX219" s="105"/>
      <c r="AY219" s="105"/>
      <c r="AZ219" s="105"/>
      <c r="BA219" s="105"/>
      <c r="BB219" s="106"/>
      <c r="BC219" s="104"/>
      <c r="BD219" s="105"/>
      <c r="BE219" s="105"/>
      <c r="BF219" s="105"/>
      <c r="BG219" s="105"/>
      <c r="BH219" s="110"/>
      <c r="BI219" s="15">
        <f>Y219*AE219</f>
        <v>0</v>
      </c>
    </row>
    <row r="220" spans="1:61" ht="21.95" customHeight="1" x14ac:dyDescent="0.25">
      <c r="A220" s="101" t="s">
        <v>11</v>
      </c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  <c r="AH220" s="102"/>
      <c r="AI220" s="102"/>
      <c r="AJ220" s="103"/>
      <c r="AK220" s="104"/>
      <c r="AL220" s="105"/>
      <c r="AM220" s="105"/>
      <c r="AN220" s="105"/>
      <c r="AO220" s="105"/>
      <c r="AP220" s="106"/>
      <c r="AQ220" s="107">
        <f>BC218/BI218</f>
        <v>2.4731372549019609E-2</v>
      </c>
      <c r="AR220" s="108"/>
      <c r="AS220" s="108"/>
      <c r="AT220" s="108"/>
      <c r="AU220" s="108"/>
      <c r="AV220" s="109"/>
      <c r="AW220" s="104"/>
      <c r="AX220" s="105"/>
      <c r="AY220" s="105"/>
      <c r="AZ220" s="105"/>
      <c r="BA220" s="105"/>
      <c r="BB220" s="106"/>
      <c r="BC220" s="104"/>
      <c r="BD220" s="105"/>
      <c r="BE220" s="105"/>
      <c r="BF220" s="105"/>
      <c r="BG220" s="105"/>
      <c r="BH220" s="110"/>
      <c r="BI220" s="15">
        <f>AQ220</f>
        <v>2.4731372549019609E-2</v>
      </c>
    </row>
    <row r="221" spans="1:61" ht="18.75" customHeight="1" x14ac:dyDescent="0.25">
      <c r="A221" s="90" t="s">
        <v>15</v>
      </c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2"/>
      <c r="AE221" s="93" t="s">
        <v>14</v>
      </c>
      <c r="AF221" s="91"/>
      <c r="AG221" s="91"/>
      <c r="AH221" s="91"/>
      <c r="AI221" s="91"/>
      <c r="AJ221" s="91"/>
      <c r="AK221" s="91"/>
      <c r="AL221" s="91"/>
      <c r="AM221" s="91"/>
      <c r="AN221" s="91"/>
      <c r="AO221" s="91"/>
      <c r="AP221" s="91"/>
      <c r="AQ221" s="91"/>
      <c r="AR221" s="91"/>
      <c r="AS221" s="91"/>
      <c r="AT221" s="91"/>
      <c r="AU221" s="91"/>
      <c r="AV221" s="91"/>
      <c r="AW221" s="91"/>
      <c r="AX221" s="91"/>
      <c r="AY221" s="91"/>
      <c r="AZ221" s="91"/>
      <c r="BA221" s="91"/>
      <c r="BB221" s="91"/>
      <c r="BC221" s="91"/>
      <c r="BD221" s="91"/>
      <c r="BE221" s="91"/>
      <c r="BF221" s="91"/>
      <c r="BG221" s="91"/>
      <c r="BH221" s="94"/>
    </row>
    <row r="222" spans="1:61" x14ac:dyDescent="0.25">
      <c r="A222" s="95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  <c r="AC222" s="96"/>
      <c r="AD222" s="96"/>
      <c r="AE222" s="96"/>
      <c r="AF222" s="96"/>
      <c r="AG222" s="96"/>
      <c r="AH222" s="96"/>
      <c r="AI222" s="96"/>
      <c r="AJ222" s="96"/>
      <c r="AK222" s="96"/>
      <c r="AL222" s="96"/>
      <c r="AM222" s="96"/>
      <c r="AN222" s="96"/>
      <c r="AO222" s="96"/>
      <c r="AP222" s="96"/>
      <c r="AQ222" s="96"/>
      <c r="AR222" s="96"/>
      <c r="AS222" s="96"/>
      <c r="AT222" s="96"/>
      <c r="AU222" s="96"/>
      <c r="AV222" s="96"/>
      <c r="AW222" s="96"/>
      <c r="AX222" s="96"/>
      <c r="AY222" s="96"/>
      <c r="AZ222" s="96"/>
      <c r="BA222" s="96"/>
      <c r="BB222" s="96"/>
      <c r="BC222" s="96"/>
      <c r="BD222" s="96"/>
      <c r="BE222" s="96"/>
      <c r="BF222" s="96"/>
      <c r="BG222" s="96"/>
      <c r="BH222" s="99"/>
    </row>
    <row r="223" spans="1:61" x14ac:dyDescent="0.25">
      <c r="A223" s="95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  <c r="AC223" s="96"/>
      <c r="AD223" s="96"/>
      <c r="AE223" s="96"/>
      <c r="AF223" s="96"/>
      <c r="AG223" s="96"/>
      <c r="AH223" s="96"/>
      <c r="AI223" s="96"/>
      <c r="AJ223" s="96"/>
      <c r="AK223" s="96"/>
      <c r="AL223" s="96"/>
      <c r="AM223" s="96"/>
      <c r="AN223" s="96"/>
      <c r="AO223" s="96"/>
      <c r="AP223" s="96"/>
      <c r="AQ223" s="96"/>
      <c r="AR223" s="96"/>
      <c r="AS223" s="96"/>
      <c r="AT223" s="96"/>
      <c r="AU223" s="96"/>
      <c r="AV223" s="96"/>
      <c r="AW223" s="96"/>
      <c r="AX223" s="96"/>
      <c r="AY223" s="96"/>
      <c r="AZ223" s="96"/>
      <c r="BA223" s="96"/>
      <c r="BB223" s="96"/>
      <c r="BC223" s="96"/>
      <c r="BD223" s="96"/>
      <c r="BE223" s="96"/>
      <c r="BF223" s="96"/>
      <c r="BG223" s="96"/>
      <c r="BH223" s="99"/>
    </row>
    <row r="224" spans="1:61" ht="17.25" thickBot="1" x14ac:dyDescent="0.3">
      <c r="A224" s="97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  <c r="AA224" s="98"/>
      <c r="AB224" s="98"/>
      <c r="AC224" s="98"/>
      <c r="AD224" s="98"/>
      <c r="AE224" s="98"/>
      <c r="AF224" s="98"/>
      <c r="AG224" s="98"/>
      <c r="AH224" s="98"/>
      <c r="AI224" s="98"/>
      <c r="AJ224" s="98"/>
      <c r="AK224" s="98"/>
      <c r="AL224" s="98"/>
      <c r="AM224" s="98"/>
      <c r="AN224" s="98"/>
      <c r="AO224" s="98"/>
      <c r="AP224" s="98"/>
      <c r="AQ224" s="98"/>
      <c r="AR224" s="98"/>
      <c r="AS224" s="98"/>
      <c r="AT224" s="98"/>
      <c r="AU224" s="98"/>
      <c r="AV224" s="98"/>
      <c r="AW224" s="98"/>
      <c r="AX224" s="98"/>
      <c r="AY224" s="98"/>
      <c r="AZ224" s="98"/>
      <c r="BA224" s="98"/>
      <c r="BB224" s="98"/>
      <c r="BC224" s="98"/>
      <c r="BD224" s="98"/>
      <c r="BE224" s="98"/>
      <c r="BF224" s="98"/>
      <c r="BG224" s="98"/>
      <c r="BH224" s="100"/>
    </row>
    <row r="225" spans="1:69" ht="27.75" x14ac:dyDescent="0.25">
      <c r="A225" s="182" t="s">
        <v>81</v>
      </c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  <c r="AA225" s="182"/>
      <c r="AB225" s="182"/>
      <c r="AC225" s="182"/>
      <c r="AD225" s="182"/>
      <c r="AE225" s="182"/>
      <c r="AF225" s="182"/>
      <c r="AG225" s="182"/>
      <c r="AH225" s="182"/>
      <c r="AI225" s="182"/>
      <c r="AJ225" s="182"/>
      <c r="AK225" s="182"/>
      <c r="AL225" s="182"/>
      <c r="AM225" s="182"/>
      <c r="AN225" s="182"/>
      <c r="AO225" s="182"/>
      <c r="AP225" s="182"/>
      <c r="AQ225" s="182"/>
      <c r="AR225" s="182"/>
      <c r="AS225" s="182"/>
      <c r="AT225" s="182"/>
      <c r="AU225" s="182"/>
      <c r="AV225" s="182"/>
      <c r="AW225" s="182"/>
      <c r="AX225" s="182"/>
      <c r="AY225" s="182"/>
      <c r="AZ225" s="182"/>
      <c r="BA225" s="182"/>
      <c r="BB225" s="182"/>
      <c r="BC225" s="182"/>
      <c r="BD225" s="182"/>
      <c r="BE225" s="182"/>
      <c r="BF225" s="182"/>
      <c r="BG225" s="182"/>
      <c r="BH225" s="182"/>
    </row>
    <row r="226" spans="1:69" ht="27.75" x14ac:dyDescent="0.25">
      <c r="A226" s="183" t="s">
        <v>12</v>
      </c>
      <c r="B226" s="183"/>
      <c r="C226" s="183"/>
      <c r="D226" s="183"/>
      <c r="E226" s="183"/>
      <c r="F226" s="183"/>
      <c r="G226" s="183"/>
      <c r="H226" s="183"/>
      <c r="I226" s="183"/>
      <c r="J226" s="184" t="s">
        <v>85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  <c r="AC226" s="185"/>
      <c r="AD226" s="185"/>
      <c r="AE226" s="185"/>
      <c r="AF226" s="185"/>
      <c r="AG226" s="185"/>
      <c r="AH226" s="185"/>
      <c r="AI226" s="185"/>
      <c r="AJ226" s="185"/>
      <c r="AK226" s="185"/>
      <c r="AL226" s="185"/>
      <c r="AM226" s="185"/>
      <c r="AN226" s="185"/>
      <c r="AO226" s="185"/>
      <c r="AP226" s="185"/>
      <c r="AQ226" s="185"/>
      <c r="AR226" s="185"/>
      <c r="AS226" s="185"/>
      <c r="AT226" s="185"/>
      <c r="AU226" s="185"/>
      <c r="AV226" s="185"/>
      <c r="AW226" s="185"/>
      <c r="AX226" s="185"/>
      <c r="AY226" s="185"/>
      <c r="AZ226" s="185"/>
      <c r="BA226" s="185"/>
      <c r="BB226" s="185"/>
      <c r="BC226" s="185"/>
      <c r="BD226" s="185"/>
      <c r="BE226" s="185"/>
      <c r="BF226" s="185"/>
      <c r="BG226" s="185"/>
      <c r="BH226" s="185"/>
      <c r="BI226" s="185"/>
      <c r="BJ226" s="185"/>
      <c r="BK226" s="185"/>
      <c r="BL226" s="185"/>
      <c r="BM226" s="185"/>
      <c r="BN226" s="185"/>
      <c r="BO226" s="185"/>
      <c r="BP226" s="185"/>
      <c r="BQ226" s="185"/>
    </row>
    <row r="227" spans="1:69" ht="17.25" thickBot="1" x14ac:dyDescent="0.3">
      <c r="A227" s="186" t="s">
        <v>10</v>
      </c>
      <c r="B227" s="186"/>
      <c r="C227" s="186"/>
      <c r="D227" s="186"/>
      <c r="E227" s="186"/>
      <c r="F227" s="186"/>
      <c r="G227" s="186"/>
      <c r="H227" s="186"/>
      <c r="I227" s="187" t="s">
        <v>78</v>
      </c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  <c r="AA227" s="187"/>
      <c r="AB227" s="187"/>
      <c r="AC227" s="187"/>
      <c r="AD227" s="187"/>
      <c r="AE227" s="187"/>
      <c r="AF227" s="187"/>
      <c r="AG227" s="187"/>
      <c r="AH227" s="187"/>
      <c r="AI227" s="187"/>
      <c r="AJ227" s="187"/>
      <c r="AK227" s="187"/>
      <c r="AL227" s="187"/>
      <c r="AM227" s="187"/>
      <c r="AN227" s="187"/>
      <c r="AO227" s="188" t="s">
        <v>9</v>
      </c>
      <c r="AP227" s="188"/>
      <c r="AQ227" s="188"/>
      <c r="AR227" s="188"/>
      <c r="AS227" s="188"/>
      <c r="AT227" s="188"/>
      <c r="AU227" s="188"/>
      <c r="AV227" s="188"/>
      <c r="AW227" s="189">
        <f>AW199+1</f>
        <v>45918</v>
      </c>
      <c r="AX227" s="189"/>
      <c r="AY227" s="189"/>
      <c r="AZ227" s="189"/>
      <c r="BA227" s="189"/>
      <c r="BB227" s="189"/>
      <c r="BC227" s="189"/>
      <c r="BD227" s="189"/>
      <c r="BE227" s="189"/>
      <c r="BF227" s="189"/>
      <c r="BG227" s="189"/>
      <c r="BH227" s="189"/>
    </row>
    <row r="228" spans="1:69" ht="36" customHeight="1" x14ac:dyDescent="0.25">
      <c r="A228" s="180" t="s">
        <v>0</v>
      </c>
      <c r="B228" s="83"/>
      <c r="C228" s="83"/>
      <c r="D228" s="83"/>
      <c r="E228" s="83" t="s">
        <v>6</v>
      </c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 t="s">
        <v>7</v>
      </c>
      <c r="V228" s="83"/>
      <c r="W228" s="83"/>
      <c r="X228" s="83"/>
      <c r="Y228" s="181" t="s">
        <v>1</v>
      </c>
      <c r="Z228" s="181"/>
      <c r="AA228" s="181"/>
      <c r="AB228" s="181"/>
      <c r="AC228" s="181"/>
      <c r="AD228" s="181"/>
      <c r="AE228" s="83" t="s">
        <v>8</v>
      </c>
      <c r="AF228" s="83"/>
      <c r="AG228" s="83"/>
      <c r="AH228" s="83"/>
      <c r="AI228" s="83"/>
      <c r="AJ228" s="83"/>
      <c r="AK228" s="181" t="s">
        <v>2</v>
      </c>
      <c r="AL228" s="181"/>
      <c r="AM228" s="181"/>
      <c r="AN228" s="181"/>
      <c r="AO228" s="181"/>
      <c r="AP228" s="181"/>
      <c r="AQ228" s="84" t="s">
        <v>3</v>
      </c>
      <c r="AR228" s="84"/>
      <c r="AS228" s="84"/>
      <c r="AT228" s="84"/>
      <c r="AU228" s="84"/>
      <c r="AV228" s="84"/>
      <c r="AW228" s="181" t="s">
        <v>4</v>
      </c>
      <c r="AX228" s="181"/>
      <c r="AY228" s="181"/>
      <c r="AZ228" s="181"/>
      <c r="BA228" s="181"/>
      <c r="BB228" s="181"/>
      <c r="BC228" s="84" t="s">
        <v>5</v>
      </c>
      <c r="BD228" s="84"/>
      <c r="BE228" s="84"/>
      <c r="BF228" s="84"/>
      <c r="BG228" s="84"/>
      <c r="BH228" s="85"/>
      <c r="BI228" s="1"/>
    </row>
    <row r="229" spans="1:69" ht="21.95" customHeight="1" x14ac:dyDescent="0.25">
      <c r="A229" s="150" t="str">
        <f t="shared" ref="A229" si="607">A201</f>
        <v>壹</v>
      </c>
      <c r="B229" s="151"/>
      <c r="C229" s="151"/>
      <c r="D229" s="152"/>
      <c r="E229" s="175" t="str">
        <f t="shared" ref="E229" si="608">E201</f>
        <v>直接工程費</v>
      </c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7"/>
      <c r="U229" s="117"/>
      <c r="V229" s="118"/>
      <c r="W229" s="118"/>
      <c r="X229" s="119"/>
      <c r="Y229" s="178"/>
      <c r="Z229" s="178"/>
      <c r="AA229" s="178"/>
      <c r="AB229" s="178"/>
      <c r="AC229" s="178"/>
      <c r="AD229" s="178"/>
      <c r="AE229" s="178"/>
      <c r="AF229" s="178"/>
      <c r="AG229" s="178"/>
      <c r="AH229" s="178"/>
      <c r="AI229" s="178"/>
      <c r="AJ229" s="178"/>
      <c r="AK229" s="178"/>
      <c r="AL229" s="178"/>
      <c r="AM229" s="178"/>
      <c r="AN229" s="178"/>
      <c r="AO229" s="178"/>
      <c r="AP229" s="178"/>
      <c r="AQ229" s="178"/>
      <c r="AR229" s="178"/>
      <c r="AS229" s="178"/>
      <c r="AT229" s="178"/>
      <c r="AU229" s="178"/>
      <c r="AV229" s="178"/>
      <c r="AW229" s="178"/>
      <c r="AX229" s="178"/>
      <c r="AY229" s="178"/>
      <c r="AZ229" s="178"/>
      <c r="BA229" s="178"/>
      <c r="BB229" s="178"/>
      <c r="BC229" s="178"/>
      <c r="BD229" s="178"/>
      <c r="BE229" s="178"/>
      <c r="BF229" s="178"/>
      <c r="BG229" s="178"/>
      <c r="BH229" s="179"/>
      <c r="BI229" s="3">
        <f t="shared" ref="BI229:BI245" si="609">Y229*AE229</f>
        <v>0</v>
      </c>
    </row>
    <row r="230" spans="1:69" s="19" customFormat="1" ht="21.95" customHeight="1" x14ac:dyDescent="0.25">
      <c r="A230" s="127">
        <f t="shared" ref="A230" si="610">A202</f>
        <v>1</v>
      </c>
      <c r="B230" s="128"/>
      <c r="C230" s="128"/>
      <c r="D230" s="129"/>
      <c r="E230" s="170" t="str">
        <f t="shared" ref="E230" si="611">E202</f>
        <v>工程告示牌與職安衛告示牌(租用)</v>
      </c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2"/>
      <c r="U230" s="133" t="str">
        <f t="shared" ref="U230" si="612">U202</f>
        <v>式</v>
      </c>
      <c r="V230" s="134"/>
      <c r="W230" s="134"/>
      <c r="X230" s="135"/>
      <c r="Y230" s="136">
        <f t="shared" ref="Y230" si="613">Y202</f>
        <v>1</v>
      </c>
      <c r="Z230" s="137"/>
      <c r="AA230" s="137"/>
      <c r="AB230" s="137"/>
      <c r="AC230" s="137"/>
      <c r="AD230" s="138"/>
      <c r="AE230" s="139">
        <f t="shared" ref="AE230" si="614">AE202</f>
        <v>5000</v>
      </c>
      <c r="AF230" s="139"/>
      <c r="AG230" s="139"/>
      <c r="AH230" s="139"/>
      <c r="AI230" s="139"/>
      <c r="AJ230" s="139"/>
      <c r="AK230" s="173">
        <v>0</v>
      </c>
      <c r="AL230" s="173"/>
      <c r="AM230" s="173"/>
      <c r="AN230" s="173"/>
      <c r="AO230" s="173"/>
      <c r="AP230" s="173"/>
      <c r="AQ230" s="139">
        <f t="shared" ref="AQ230:AQ231" si="615">AK230*AE230</f>
        <v>0</v>
      </c>
      <c r="AR230" s="139"/>
      <c r="AS230" s="139"/>
      <c r="AT230" s="139"/>
      <c r="AU230" s="139"/>
      <c r="AV230" s="139"/>
      <c r="AW230" s="173">
        <f t="shared" ref="AW230:AW240" si="616">AW202+AK230</f>
        <v>1</v>
      </c>
      <c r="AX230" s="173"/>
      <c r="AY230" s="173"/>
      <c r="AZ230" s="173"/>
      <c r="BA230" s="173"/>
      <c r="BB230" s="173"/>
      <c r="BC230" s="173">
        <f t="shared" ref="BC230:BC231" si="617">ROUND(AW230*AE230,0)</f>
        <v>5000</v>
      </c>
      <c r="BD230" s="173"/>
      <c r="BE230" s="173"/>
      <c r="BF230" s="173"/>
      <c r="BG230" s="173"/>
      <c r="BH230" s="174"/>
      <c r="BI230" s="18">
        <f t="shared" si="609"/>
        <v>5000</v>
      </c>
    </row>
    <row r="231" spans="1:69" s="19" customFormat="1" ht="21.95" customHeight="1" x14ac:dyDescent="0.25">
      <c r="A231" s="127">
        <f t="shared" ref="A231" si="618">A203</f>
        <v>2</v>
      </c>
      <c r="B231" s="128"/>
      <c r="C231" s="128"/>
      <c r="D231" s="129"/>
      <c r="E231" s="170" t="str">
        <f t="shared" ref="E231" si="619">E203</f>
        <v>三角錐與連桿(租用)</v>
      </c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2"/>
      <c r="U231" s="133" t="str">
        <f t="shared" ref="U231" si="620">U203</f>
        <v>M</v>
      </c>
      <c r="V231" s="134"/>
      <c r="W231" s="134"/>
      <c r="X231" s="135"/>
      <c r="Y231" s="147">
        <f t="shared" ref="Y231" si="621">Y203</f>
        <v>86</v>
      </c>
      <c r="Z231" s="148"/>
      <c r="AA231" s="148"/>
      <c r="AB231" s="148"/>
      <c r="AC231" s="148"/>
      <c r="AD231" s="149"/>
      <c r="AE231" s="139">
        <f t="shared" ref="AE231" si="622">AE203</f>
        <v>60</v>
      </c>
      <c r="AF231" s="139"/>
      <c r="AG231" s="139"/>
      <c r="AH231" s="139"/>
      <c r="AI231" s="139"/>
      <c r="AJ231" s="139"/>
      <c r="AK231" s="173">
        <v>0</v>
      </c>
      <c r="AL231" s="173"/>
      <c r="AM231" s="173"/>
      <c r="AN231" s="173"/>
      <c r="AO231" s="173"/>
      <c r="AP231" s="173"/>
      <c r="AQ231" s="139">
        <f t="shared" si="615"/>
        <v>0</v>
      </c>
      <c r="AR231" s="139"/>
      <c r="AS231" s="139"/>
      <c r="AT231" s="139"/>
      <c r="AU231" s="139"/>
      <c r="AV231" s="139"/>
      <c r="AW231" s="173">
        <f t="shared" si="616"/>
        <v>86</v>
      </c>
      <c r="AX231" s="173"/>
      <c r="AY231" s="173"/>
      <c r="AZ231" s="173"/>
      <c r="BA231" s="173"/>
      <c r="BB231" s="173"/>
      <c r="BC231" s="173">
        <f t="shared" si="617"/>
        <v>5160</v>
      </c>
      <c r="BD231" s="173"/>
      <c r="BE231" s="173"/>
      <c r="BF231" s="173"/>
      <c r="BG231" s="173"/>
      <c r="BH231" s="174"/>
      <c r="BI231" s="18">
        <f t="shared" si="609"/>
        <v>5160</v>
      </c>
    </row>
    <row r="232" spans="1:69" s="19" customFormat="1" ht="33" customHeight="1" x14ac:dyDescent="0.25">
      <c r="A232" s="150">
        <f t="shared" ref="A232" si="623">A204</f>
        <v>3</v>
      </c>
      <c r="B232" s="151"/>
      <c r="C232" s="151"/>
      <c r="D232" s="152"/>
      <c r="E232" s="175" t="str">
        <f t="shared" ref="E232" si="624">E204</f>
        <v>施工動線開闢及損害復原；測量與放樣</v>
      </c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7"/>
      <c r="U232" s="117" t="str">
        <f t="shared" ref="U232" si="625">U204</f>
        <v>式</v>
      </c>
      <c r="V232" s="118"/>
      <c r="W232" s="118"/>
      <c r="X232" s="119"/>
      <c r="Y232" s="156">
        <f t="shared" ref="Y232" si="626">Y204</f>
        <v>1</v>
      </c>
      <c r="Z232" s="157"/>
      <c r="AA232" s="157"/>
      <c r="AB232" s="157"/>
      <c r="AC232" s="157"/>
      <c r="AD232" s="158"/>
      <c r="AE232" s="159">
        <f t="shared" ref="AE232" si="627">AE204</f>
        <v>4000</v>
      </c>
      <c r="AF232" s="159"/>
      <c r="AG232" s="159"/>
      <c r="AH232" s="159"/>
      <c r="AI232" s="159"/>
      <c r="AJ232" s="159"/>
      <c r="AK232" s="167">
        <v>0</v>
      </c>
      <c r="AL232" s="167"/>
      <c r="AM232" s="167"/>
      <c r="AN232" s="167"/>
      <c r="AO232" s="167"/>
      <c r="AP232" s="167"/>
      <c r="AQ232" s="159">
        <f>AK232*AE232</f>
        <v>0</v>
      </c>
      <c r="AR232" s="159"/>
      <c r="AS232" s="159"/>
      <c r="AT232" s="159"/>
      <c r="AU232" s="159"/>
      <c r="AV232" s="159"/>
      <c r="AW232" s="167">
        <f t="shared" si="616"/>
        <v>0.5</v>
      </c>
      <c r="AX232" s="167"/>
      <c r="AY232" s="167"/>
      <c r="AZ232" s="167"/>
      <c r="BA232" s="167"/>
      <c r="BB232" s="167"/>
      <c r="BC232" s="167">
        <f>ROUND(AW232*AE232,0)</f>
        <v>2000</v>
      </c>
      <c r="BD232" s="167"/>
      <c r="BE232" s="167"/>
      <c r="BF232" s="167"/>
      <c r="BG232" s="167"/>
      <c r="BH232" s="168"/>
      <c r="BI232" s="18">
        <f t="shared" si="609"/>
        <v>4000</v>
      </c>
    </row>
    <row r="233" spans="1:69" ht="54" customHeight="1" x14ac:dyDescent="0.25">
      <c r="A233" s="150">
        <f t="shared" ref="A233" si="628">A205</f>
        <v>4</v>
      </c>
      <c r="B233" s="151"/>
      <c r="C233" s="151"/>
      <c r="D233" s="152"/>
      <c r="E233" s="175" t="str">
        <f t="shared" ref="E233" si="629">E205</f>
        <v>切割打除清運校舍與教室出入口地坪以及司令台階梯平台(含合法清運證明)</v>
      </c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7"/>
      <c r="U233" s="117" t="str">
        <f t="shared" ref="U233" si="630">U205</f>
        <v>式</v>
      </c>
      <c r="V233" s="118"/>
      <c r="W233" s="118"/>
      <c r="X233" s="119"/>
      <c r="Y233" s="156">
        <f t="shared" ref="Y233" si="631">Y205</f>
        <v>1</v>
      </c>
      <c r="Z233" s="157"/>
      <c r="AA233" s="157"/>
      <c r="AB233" s="157"/>
      <c r="AC233" s="157"/>
      <c r="AD233" s="158"/>
      <c r="AE233" s="159">
        <f t="shared" ref="AE233" si="632">AE205</f>
        <v>52817</v>
      </c>
      <c r="AF233" s="159"/>
      <c r="AG233" s="159"/>
      <c r="AH233" s="159"/>
      <c r="AI233" s="159"/>
      <c r="AJ233" s="159"/>
      <c r="AK233" s="167">
        <v>0</v>
      </c>
      <c r="AL233" s="167"/>
      <c r="AM233" s="167"/>
      <c r="AN233" s="167"/>
      <c r="AO233" s="167"/>
      <c r="AP233" s="167"/>
      <c r="AQ233" s="159">
        <f t="shared" ref="AQ233:AQ236" si="633">AK233*AE233</f>
        <v>0</v>
      </c>
      <c r="AR233" s="159"/>
      <c r="AS233" s="159"/>
      <c r="AT233" s="159"/>
      <c r="AU233" s="159"/>
      <c r="AV233" s="159"/>
      <c r="AW233" s="167">
        <f t="shared" si="616"/>
        <v>0</v>
      </c>
      <c r="AX233" s="167"/>
      <c r="AY233" s="167"/>
      <c r="AZ233" s="167"/>
      <c r="BA233" s="167"/>
      <c r="BB233" s="167"/>
      <c r="BC233" s="167">
        <f t="shared" ref="BC233:BC236" si="634">ROUND(AW233*AE233,0)</f>
        <v>0</v>
      </c>
      <c r="BD233" s="167"/>
      <c r="BE233" s="167"/>
      <c r="BF233" s="167"/>
      <c r="BG233" s="167"/>
      <c r="BH233" s="168"/>
      <c r="BI233" s="16">
        <f t="shared" si="609"/>
        <v>52817</v>
      </c>
    </row>
    <row r="234" spans="1:69" ht="20.25" customHeight="1" x14ac:dyDescent="0.25">
      <c r="A234" s="150">
        <f t="shared" ref="A234" si="635">A206</f>
        <v>5</v>
      </c>
      <c r="B234" s="151"/>
      <c r="C234" s="151"/>
      <c r="D234" s="152"/>
      <c r="E234" s="153" t="str">
        <f t="shared" ref="E234" si="636">E206</f>
        <v>校舍出入口施做斜坡順平高差</v>
      </c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5"/>
      <c r="U234" s="117" t="str">
        <f t="shared" ref="U234" si="637">U206</f>
        <v>M2</v>
      </c>
      <c r="V234" s="118"/>
      <c r="W234" s="118"/>
      <c r="X234" s="119"/>
      <c r="Y234" s="160">
        <f t="shared" ref="Y234" si="638">Y206</f>
        <v>15</v>
      </c>
      <c r="Z234" s="161"/>
      <c r="AA234" s="161"/>
      <c r="AB234" s="161"/>
      <c r="AC234" s="161"/>
      <c r="AD234" s="162"/>
      <c r="AE234" s="169">
        <f t="shared" ref="AE234" si="639">AE206</f>
        <v>600</v>
      </c>
      <c r="AF234" s="169"/>
      <c r="AG234" s="169"/>
      <c r="AH234" s="169"/>
      <c r="AI234" s="169"/>
      <c r="AJ234" s="169"/>
      <c r="AK234" s="167">
        <v>0</v>
      </c>
      <c r="AL234" s="167"/>
      <c r="AM234" s="167"/>
      <c r="AN234" s="167"/>
      <c r="AO234" s="167"/>
      <c r="AP234" s="167"/>
      <c r="AQ234" s="159">
        <f t="shared" si="633"/>
        <v>0</v>
      </c>
      <c r="AR234" s="159"/>
      <c r="AS234" s="159"/>
      <c r="AT234" s="159"/>
      <c r="AU234" s="159"/>
      <c r="AV234" s="159"/>
      <c r="AW234" s="167">
        <f t="shared" si="616"/>
        <v>0</v>
      </c>
      <c r="AX234" s="167"/>
      <c r="AY234" s="167"/>
      <c r="AZ234" s="167"/>
      <c r="BA234" s="167"/>
      <c r="BB234" s="167"/>
      <c r="BC234" s="167">
        <f t="shared" si="634"/>
        <v>0</v>
      </c>
      <c r="BD234" s="167"/>
      <c r="BE234" s="167"/>
      <c r="BF234" s="167"/>
      <c r="BG234" s="167"/>
      <c r="BH234" s="168"/>
      <c r="BI234" s="3">
        <f t="shared" si="609"/>
        <v>9000</v>
      </c>
    </row>
    <row r="235" spans="1:69" ht="50.25" customHeight="1" x14ac:dyDescent="0.25">
      <c r="A235" s="150">
        <f t="shared" ref="A235" si="640">A207</f>
        <v>6</v>
      </c>
      <c r="B235" s="151"/>
      <c r="C235" s="151"/>
      <c r="D235" s="152"/>
      <c r="E235" s="153" t="str">
        <f t="shared" ref="E235" si="641">E207</f>
        <v>開挖整地，新設無障礙RC坡道，牆面與地坪粉刷整平(連工帶料，責任施工)</v>
      </c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5"/>
      <c r="U235" s="117" t="str">
        <f t="shared" ref="U235" si="642">U207</f>
        <v>式</v>
      </c>
      <c r="V235" s="118"/>
      <c r="W235" s="118"/>
      <c r="X235" s="119"/>
      <c r="Y235" s="160">
        <f t="shared" ref="Y235" si="643">Y207</f>
        <v>1</v>
      </c>
      <c r="Z235" s="161"/>
      <c r="AA235" s="161"/>
      <c r="AB235" s="161"/>
      <c r="AC235" s="161"/>
      <c r="AD235" s="162"/>
      <c r="AE235" s="159">
        <f t="shared" ref="AE235" si="644">AE207</f>
        <v>153000</v>
      </c>
      <c r="AF235" s="159"/>
      <c r="AG235" s="159"/>
      <c r="AH235" s="159"/>
      <c r="AI235" s="159"/>
      <c r="AJ235" s="159"/>
      <c r="AK235" s="167">
        <v>0</v>
      </c>
      <c r="AL235" s="167"/>
      <c r="AM235" s="167"/>
      <c r="AN235" s="167"/>
      <c r="AO235" s="167"/>
      <c r="AP235" s="167"/>
      <c r="AQ235" s="159">
        <f t="shared" si="633"/>
        <v>0</v>
      </c>
      <c r="AR235" s="159"/>
      <c r="AS235" s="159"/>
      <c r="AT235" s="159"/>
      <c r="AU235" s="159"/>
      <c r="AV235" s="159"/>
      <c r="AW235" s="167">
        <f t="shared" si="616"/>
        <v>0</v>
      </c>
      <c r="AX235" s="167"/>
      <c r="AY235" s="167"/>
      <c r="AZ235" s="167"/>
      <c r="BA235" s="167"/>
      <c r="BB235" s="167"/>
      <c r="BC235" s="167">
        <f t="shared" si="634"/>
        <v>0</v>
      </c>
      <c r="BD235" s="167"/>
      <c r="BE235" s="167"/>
      <c r="BF235" s="167"/>
      <c r="BG235" s="167"/>
      <c r="BH235" s="168"/>
      <c r="BI235" s="3">
        <f t="shared" si="609"/>
        <v>153000</v>
      </c>
    </row>
    <row r="236" spans="1:69" ht="32.450000000000003" customHeight="1" x14ac:dyDescent="0.25">
      <c r="A236" s="150">
        <f t="shared" ref="A236" si="645">A208</f>
        <v>7</v>
      </c>
      <c r="B236" s="151"/>
      <c r="C236" s="151"/>
      <c r="D236" s="152"/>
      <c r="E236" s="153" t="str">
        <f t="shared" ref="E236" si="646">E208</f>
        <v>施做抿石子(1~2分AK石，抿石子專用泥)</v>
      </c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5"/>
      <c r="U236" s="117" t="str">
        <f t="shared" ref="U236" si="647">U208</f>
        <v>M2</v>
      </c>
      <c r="V236" s="118"/>
      <c r="W236" s="118"/>
      <c r="X236" s="119"/>
      <c r="Y236" s="160">
        <f t="shared" ref="Y236" si="648">Y208</f>
        <v>38</v>
      </c>
      <c r="Z236" s="161"/>
      <c r="AA236" s="161"/>
      <c r="AB236" s="161"/>
      <c r="AC236" s="161"/>
      <c r="AD236" s="162"/>
      <c r="AE236" s="159">
        <f t="shared" ref="AE236" si="649">AE208</f>
        <v>1460</v>
      </c>
      <c r="AF236" s="159"/>
      <c r="AG236" s="159"/>
      <c r="AH236" s="159"/>
      <c r="AI236" s="159"/>
      <c r="AJ236" s="159"/>
      <c r="AK236" s="167">
        <v>0</v>
      </c>
      <c r="AL236" s="167"/>
      <c r="AM236" s="167"/>
      <c r="AN236" s="167"/>
      <c r="AO236" s="167"/>
      <c r="AP236" s="167"/>
      <c r="AQ236" s="159">
        <f t="shared" si="633"/>
        <v>0</v>
      </c>
      <c r="AR236" s="159"/>
      <c r="AS236" s="159"/>
      <c r="AT236" s="159"/>
      <c r="AU236" s="159"/>
      <c r="AV236" s="159"/>
      <c r="AW236" s="167">
        <f t="shared" si="616"/>
        <v>0</v>
      </c>
      <c r="AX236" s="167"/>
      <c r="AY236" s="167"/>
      <c r="AZ236" s="167"/>
      <c r="BA236" s="167"/>
      <c r="BB236" s="167"/>
      <c r="BC236" s="167">
        <f t="shared" si="634"/>
        <v>0</v>
      </c>
      <c r="BD236" s="167"/>
      <c r="BE236" s="167"/>
      <c r="BF236" s="167"/>
      <c r="BG236" s="167"/>
      <c r="BH236" s="168"/>
      <c r="BI236" s="3">
        <f t="shared" si="609"/>
        <v>55480</v>
      </c>
    </row>
    <row r="237" spans="1:69" ht="21" customHeight="1" x14ac:dyDescent="0.25">
      <c r="A237" s="150">
        <f t="shared" ref="A237" si="650">A209</f>
        <v>8</v>
      </c>
      <c r="B237" s="151"/>
      <c r="C237" s="151"/>
      <c r="D237" s="152"/>
      <c r="E237" s="153" t="str">
        <f t="shared" ref="E237" si="651">E209</f>
        <v>無障礙坡道地坪拉毛</v>
      </c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5"/>
      <c r="U237" s="117" t="str">
        <f t="shared" ref="U237" si="652">U209</f>
        <v>M2</v>
      </c>
      <c r="V237" s="118"/>
      <c r="W237" s="118"/>
      <c r="X237" s="119"/>
      <c r="Y237" s="160">
        <f t="shared" ref="Y237" si="653">Y209</f>
        <v>33</v>
      </c>
      <c r="Z237" s="161"/>
      <c r="AA237" s="161"/>
      <c r="AB237" s="161"/>
      <c r="AC237" s="161"/>
      <c r="AD237" s="162"/>
      <c r="AE237" s="159">
        <f t="shared" ref="AE237" si="654">AE209</f>
        <v>100</v>
      </c>
      <c r="AF237" s="159"/>
      <c r="AG237" s="159"/>
      <c r="AH237" s="159"/>
      <c r="AI237" s="159"/>
      <c r="AJ237" s="159"/>
      <c r="AK237" s="167"/>
      <c r="AL237" s="167"/>
      <c r="AM237" s="167"/>
      <c r="AN237" s="167"/>
      <c r="AO237" s="167"/>
      <c r="AP237" s="167"/>
      <c r="AQ237" s="159"/>
      <c r="AR237" s="159"/>
      <c r="AS237" s="159"/>
      <c r="AT237" s="159"/>
      <c r="AU237" s="159"/>
      <c r="AV237" s="159"/>
      <c r="AW237" s="167">
        <f t="shared" si="616"/>
        <v>0</v>
      </c>
      <c r="AX237" s="167"/>
      <c r="AY237" s="167"/>
      <c r="AZ237" s="167"/>
      <c r="BA237" s="167"/>
      <c r="BB237" s="167"/>
      <c r="BC237" s="167"/>
      <c r="BD237" s="167"/>
      <c r="BE237" s="167"/>
      <c r="BF237" s="167"/>
      <c r="BG237" s="167"/>
      <c r="BH237" s="168"/>
      <c r="BI237" s="3">
        <f t="shared" si="609"/>
        <v>3300</v>
      </c>
    </row>
    <row r="238" spans="1:69" s="19" customFormat="1" ht="34.5" customHeight="1" x14ac:dyDescent="0.25">
      <c r="A238" s="127">
        <f t="shared" ref="A238" si="655">A210</f>
        <v>9</v>
      </c>
      <c r="B238" s="128"/>
      <c r="C238" s="128"/>
      <c r="D238" s="129"/>
      <c r="E238" s="153" t="str">
        <f t="shared" ref="E238" si="656">E210</f>
        <v>司令台既有樓梯面清潔，刷止滑漆(一底二度)</v>
      </c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5"/>
      <c r="U238" s="133" t="str">
        <f t="shared" ref="U238" si="657">U210</f>
        <v>式</v>
      </c>
      <c r="V238" s="134"/>
      <c r="W238" s="134"/>
      <c r="X238" s="135"/>
      <c r="Y238" s="160">
        <f t="shared" ref="Y238" si="658">Y210</f>
        <v>1</v>
      </c>
      <c r="Z238" s="161"/>
      <c r="AA238" s="161"/>
      <c r="AB238" s="161"/>
      <c r="AC238" s="161"/>
      <c r="AD238" s="162"/>
      <c r="AE238" s="159">
        <f t="shared" ref="AE238" si="659">AE210</f>
        <v>3000</v>
      </c>
      <c r="AF238" s="159"/>
      <c r="AG238" s="159"/>
      <c r="AH238" s="159"/>
      <c r="AI238" s="159"/>
      <c r="AJ238" s="159"/>
      <c r="AK238" s="167">
        <v>0</v>
      </c>
      <c r="AL238" s="167"/>
      <c r="AM238" s="167"/>
      <c r="AN238" s="167"/>
      <c r="AO238" s="167"/>
      <c r="AP238" s="167"/>
      <c r="AQ238" s="159">
        <f t="shared" ref="AQ238:AQ245" si="660">AK238*AE238</f>
        <v>0</v>
      </c>
      <c r="AR238" s="159"/>
      <c r="AS238" s="159"/>
      <c r="AT238" s="159"/>
      <c r="AU238" s="159"/>
      <c r="AV238" s="159"/>
      <c r="AW238" s="167">
        <f t="shared" si="616"/>
        <v>0</v>
      </c>
      <c r="AX238" s="167"/>
      <c r="AY238" s="167"/>
      <c r="AZ238" s="167"/>
      <c r="BA238" s="167"/>
      <c r="BB238" s="167"/>
      <c r="BC238" s="167">
        <f t="shared" ref="BC238:BC240" si="661">ROUND(AW238*AE238,0)</f>
        <v>0</v>
      </c>
      <c r="BD238" s="167"/>
      <c r="BE238" s="167"/>
      <c r="BF238" s="167"/>
      <c r="BG238" s="167"/>
      <c r="BH238" s="168"/>
      <c r="BI238" s="18">
        <f t="shared" si="609"/>
        <v>3000</v>
      </c>
    </row>
    <row r="239" spans="1:69" ht="35.25" customHeight="1" x14ac:dyDescent="0.25">
      <c r="A239" s="150">
        <f t="shared" ref="A239" si="662">A211</f>
        <v>10</v>
      </c>
      <c r="B239" s="151"/>
      <c r="C239" s="151"/>
      <c r="D239" s="152"/>
      <c r="E239" s="153" t="str">
        <f t="shared" ref="E239" si="663">E211</f>
        <v>校舍、教室及司令台坡道出入口配置無線押扣與插電式緊急求救鈴</v>
      </c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5"/>
      <c r="U239" s="117" t="str">
        <f t="shared" ref="U239" si="664">U211</f>
        <v>組</v>
      </c>
      <c r="V239" s="118"/>
      <c r="W239" s="118"/>
      <c r="X239" s="119"/>
      <c r="Y239" s="160">
        <f t="shared" ref="Y239" si="665">Y211</f>
        <v>8</v>
      </c>
      <c r="Z239" s="161"/>
      <c r="AA239" s="161"/>
      <c r="AB239" s="161"/>
      <c r="AC239" s="161"/>
      <c r="AD239" s="162"/>
      <c r="AE239" s="159">
        <f t="shared" ref="AE239" si="666">AE211</f>
        <v>700</v>
      </c>
      <c r="AF239" s="159"/>
      <c r="AG239" s="159"/>
      <c r="AH239" s="159"/>
      <c r="AI239" s="159"/>
      <c r="AJ239" s="159"/>
      <c r="AK239" s="167">
        <v>0</v>
      </c>
      <c r="AL239" s="167"/>
      <c r="AM239" s="167"/>
      <c r="AN239" s="167"/>
      <c r="AO239" s="167"/>
      <c r="AP239" s="167"/>
      <c r="AQ239" s="159">
        <f t="shared" si="660"/>
        <v>0</v>
      </c>
      <c r="AR239" s="159"/>
      <c r="AS239" s="159"/>
      <c r="AT239" s="159"/>
      <c r="AU239" s="159"/>
      <c r="AV239" s="159"/>
      <c r="AW239" s="167">
        <f t="shared" si="616"/>
        <v>0</v>
      </c>
      <c r="AX239" s="167"/>
      <c r="AY239" s="167"/>
      <c r="AZ239" s="167"/>
      <c r="BA239" s="167"/>
      <c r="BB239" s="167"/>
      <c r="BC239" s="167">
        <f t="shared" si="661"/>
        <v>0</v>
      </c>
      <c r="BD239" s="167"/>
      <c r="BE239" s="167"/>
      <c r="BF239" s="167"/>
      <c r="BG239" s="167"/>
      <c r="BH239" s="168"/>
      <c r="BI239" s="3">
        <f t="shared" si="609"/>
        <v>5600</v>
      </c>
    </row>
    <row r="240" spans="1:69" ht="36.75" customHeight="1" x14ac:dyDescent="0.25">
      <c r="A240" s="150">
        <f t="shared" ref="A240" si="667">A212</f>
        <v>11</v>
      </c>
      <c r="B240" s="151"/>
      <c r="C240" s="151"/>
      <c r="D240" s="152"/>
      <c r="E240" s="153" t="str">
        <f t="shared" ref="E240" si="668">E212</f>
        <v>司令台周圍及無障礙坡道安裝不鏽鋼扶手(連工帶料)</v>
      </c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5"/>
      <c r="U240" s="117" t="str">
        <f t="shared" ref="U240" si="669">U212</f>
        <v>M</v>
      </c>
      <c r="V240" s="118"/>
      <c r="W240" s="118"/>
      <c r="X240" s="119"/>
      <c r="Y240" s="156">
        <f t="shared" ref="Y240" si="670">Y212</f>
        <v>48</v>
      </c>
      <c r="Z240" s="157"/>
      <c r="AA240" s="157"/>
      <c r="AB240" s="157"/>
      <c r="AC240" s="157"/>
      <c r="AD240" s="158"/>
      <c r="AE240" s="159">
        <f t="shared" ref="AE240" si="671">AE212</f>
        <v>3000</v>
      </c>
      <c r="AF240" s="159"/>
      <c r="AG240" s="159"/>
      <c r="AH240" s="159"/>
      <c r="AI240" s="159"/>
      <c r="AJ240" s="159"/>
      <c r="AK240" s="160">
        <v>0</v>
      </c>
      <c r="AL240" s="161"/>
      <c r="AM240" s="161"/>
      <c r="AN240" s="161"/>
      <c r="AO240" s="161"/>
      <c r="AP240" s="162"/>
      <c r="AQ240" s="163">
        <f t="shared" si="660"/>
        <v>0</v>
      </c>
      <c r="AR240" s="164"/>
      <c r="AS240" s="164"/>
      <c r="AT240" s="164"/>
      <c r="AU240" s="164"/>
      <c r="AV240" s="165"/>
      <c r="AW240" s="160">
        <f t="shared" si="616"/>
        <v>0</v>
      </c>
      <c r="AX240" s="161"/>
      <c r="AY240" s="161"/>
      <c r="AZ240" s="161"/>
      <c r="BA240" s="161"/>
      <c r="BB240" s="162"/>
      <c r="BC240" s="160">
        <f t="shared" si="661"/>
        <v>0</v>
      </c>
      <c r="BD240" s="161"/>
      <c r="BE240" s="161"/>
      <c r="BF240" s="161"/>
      <c r="BG240" s="161"/>
      <c r="BH240" s="166"/>
      <c r="BI240" s="3">
        <f t="shared" si="609"/>
        <v>144000</v>
      </c>
    </row>
    <row r="241" spans="1:69" s="19" customFormat="1" ht="35.25" customHeight="1" x14ac:dyDescent="0.25">
      <c r="A241" s="127" t="str">
        <f t="shared" ref="A241" si="672">A213</f>
        <v>貳</v>
      </c>
      <c r="B241" s="128"/>
      <c r="C241" s="128"/>
      <c r="D241" s="129"/>
      <c r="E241" s="130" t="str">
        <f t="shared" ref="E241" si="673">E213</f>
        <v>職業安全衛生管理費與施工環境保護與清潔（壹*2%）</v>
      </c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2"/>
      <c r="U241" s="133" t="str">
        <f t="shared" ref="U241" si="674">U213</f>
        <v>式</v>
      </c>
      <c r="V241" s="134"/>
      <c r="W241" s="134"/>
      <c r="X241" s="135"/>
      <c r="Y241" s="136">
        <f t="shared" ref="Y241" si="675">Y213</f>
        <v>1</v>
      </c>
      <c r="Z241" s="137"/>
      <c r="AA241" s="137"/>
      <c r="AB241" s="137"/>
      <c r="AC241" s="137"/>
      <c r="AD241" s="138"/>
      <c r="AE241" s="139">
        <f t="shared" ref="AE241" si="676">AE213</f>
        <v>8807</v>
      </c>
      <c r="AF241" s="139"/>
      <c r="AG241" s="139"/>
      <c r="AH241" s="139"/>
      <c r="AI241" s="139"/>
      <c r="AJ241" s="139"/>
      <c r="AK241" s="140">
        <v>1.7000000000000001E-2</v>
      </c>
      <c r="AL241" s="141"/>
      <c r="AM241" s="141"/>
      <c r="AN241" s="141"/>
      <c r="AO241" s="141"/>
      <c r="AP241" s="142"/>
      <c r="AQ241" s="143">
        <f t="shared" si="660"/>
        <v>149.71900000000002</v>
      </c>
      <c r="AR241" s="144"/>
      <c r="AS241" s="144"/>
      <c r="AT241" s="144"/>
      <c r="AU241" s="144"/>
      <c r="AV241" s="145"/>
      <c r="AW241" s="140">
        <f>AW213+AK241</f>
        <v>0.15300000000000002</v>
      </c>
      <c r="AX241" s="141"/>
      <c r="AY241" s="141"/>
      <c r="AZ241" s="141"/>
      <c r="BA241" s="141"/>
      <c r="BB241" s="142"/>
      <c r="BC241" s="136">
        <f>ROUND(AW241*AE241,0)</f>
        <v>1347</v>
      </c>
      <c r="BD241" s="137"/>
      <c r="BE241" s="137"/>
      <c r="BF241" s="137"/>
      <c r="BG241" s="137"/>
      <c r="BH241" s="146"/>
      <c r="BI241" s="18">
        <f t="shared" si="609"/>
        <v>8807</v>
      </c>
    </row>
    <row r="242" spans="1:69" s="19" customFormat="1" ht="21.95" customHeight="1" x14ac:dyDescent="0.25">
      <c r="A242" s="127" t="str">
        <f t="shared" ref="A242" si="677">A214</f>
        <v>參</v>
      </c>
      <c r="B242" s="128"/>
      <c r="C242" s="128"/>
      <c r="D242" s="129"/>
      <c r="E242" s="130" t="str">
        <f t="shared" ref="E242" si="678">E214</f>
        <v>公共工程品質管制作業費（壹*1%）</v>
      </c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2"/>
      <c r="U242" s="133" t="str">
        <f t="shared" ref="U242" si="679">U214</f>
        <v>式</v>
      </c>
      <c r="V242" s="134"/>
      <c r="W242" s="134"/>
      <c r="X242" s="135"/>
      <c r="Y242" s="147">
        <f t="shared" ref="Y242" si="680">Y214</f>
        <v>1</v>
      </c>
      <c r="Z242" s="148"/>
      <c r="AA242" s="148"/>
      <c r="AB242" s="148"/>
      <c r="AC242" s="148"/>
      <c r="AD242" s="149"/>
      <c r="AE242" s="139">
        <f t="shared" ref="AE242" si="681">AE214</f>
        <v>4404</v>
      </c>
      <c r="AF242" s="139"/>
      <c r="AG242" s="139"/>
      <c r="AH242" s="139"/>
      <c r="AI242" s="139"/>
      <c r="AJ242" s="139"/>
      <c r="AK242" s="140">
        <v>1.7000000000000001E-2</v>
      </c>
      <c r="AL242" s="141"/>
      <c r="AM242" s="141"/>
      <c r="AN242" s="141"/>
      <c r="AO242" s="141"/>
      <c r="AP242" s="142"/>
      <c r="AQ242" s="143">
        <f t="shared" si="660"/>
        <v>74.868000000000009</v>
      </c>
      <c r="AR242" s="144"/>
      <c r="AS242" s="144"/>
      <c r="AT242" s="144"/>
      <c r="AU242" s="144"/>
      <c r="AV242" s="145"/>
      <c r="AW242" s="140">
        <f t="shared" ref="AW242:AW245" si="682">AW214+AK242</f>
        <v>0.15300000000000002</v>
      </c>
      <c r="AX242" s="141"/>
      <c r="AY242" s="141"/>
      <c r="AZ242" s="141"/>
      <c r="BA242" s="141"/>
      <c r="BB242" s="142"/>
      <c r="BC242" s="136">
        <f t="shared" ref="BC242:BC245" si="683">ROUND(AW242*AE242,0)</f>
        <v>674</v>
      </c>
      <c r="BD242" s="137"/>
      <c r="BE242" s="137"/>
      <c r="BF242" s="137"/>
      <c r="BG242" s="137"/>
      <c r="BH242" s="146"/>
      <c r="BI242" s="18">
        <f t="shared" si="609"/>
        <v>4404</v>
      </c>
    </row>
    <row r="243" spans="1:69" s="19" customFormat="1" ht="21.95" customHeight="1" x14ac:dyDescent="0.25">
      <c r="A243" s="127" t="str">
        <f t="shared" ref="A243" si="684">A215</f>
        <v>肆</v>
      </c>
      <c r="B243" s="128"/>
      <c r="C243" s="128"/>
      <c r="D243" s="129"/>
      <c r="E243" s="130" t="str">
        <f t="shared" ref="E243" si="685">E215</f>
        <v>包商管理及利潤費（約壹*7%）</v>
      </c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2"/>
      <c r="U243" s="133" t="str">
        <f t="shared" ref="U243" si="686">U215</f>
        <v>式</v>
      </c>
      <c r="V243" s="134"/>
      <c r="W243" s="134"/>
      <c r="X243" s="135"/>
      <c r="Y243" s="147">
        <f t="shared" ref="Y243" si="687">Y215</f>
        <v>1</v>
      </c>
      <c r="Z243" s="148"/>
      <c r="AA243" s="148"/>
      <c r="AB243" s="148"/>
      <c r="AC243" s="148"/>
      <c r="AD243" s="149"/>
      <c r="AE243" s="139">
        <f t="shared" ref="AE243" si="688">AE215</f>
        <v>30825</v>
      </c>
      <c r="AF243" s="139"/>
      <c r="AG243" s="139"/>
      <c r="AH243" s="139"/>
      <c r="AI243" s="139"/>
      <c r="AJ243" s="139"/>
      <c r="AK243" s="140">
        <v>1.7000000000000001E-2</v>
      </c>
      <c r="AL243" s="141"/>
      <c r="AM243" s="141"/>
      <c r="AN243" s="141"/>
      <c r="AO243" s="141"/>
      <c r="AP243" s="142"/>
      <c r="AQ243" s="143">
        <f t="shared" si="660"/>
        <v>524.02500000000009</v>
      </c>
      <c r="AR243" s="144"/>
      <c r="AS243" s="144"/>
      <c r="AT243" s="144"/>
      <c r="AU243" s="144"/>
      <c r="AV243" s="145"/>
      <c r="AW243" s="140">
        <f t="shared" si="682"/>
        <v>0.15300000000000002</v>
      </c>
      <c r="AX243" s="141"/>
      <c r="AY243" s="141"/>
      <c r="AZ243" s="141"/>
      <c r="BA243" s="141"/>
      <c r="BB243" s="142"/>
      <c r="BC243" s="136">
        <f t="shared" si="683"/>
        <v>4716</v>
      </c>
      <c r="BD243" s="137"/>
      <c r="BE243" s="137"/>
      <c r="BF243" s="137"/>
      <c r="BG243" s="137"/>
      <c r="BH243" s="146"/>
      <c r="BI243" s="18">
        <f t="shared" si="609"/>
        <v>30825</v>
      </c>
    </row>
    <row r="244" spans="1:69" s="19" customFormat="1" ht="21.95" customHeight="1" x14ac:dyDescent="0.25">
      <c r="A244" s="127" t="str">
        <f t="shared" ref="A244" si="689">A216</f>
        <v>伍</v>
      </c>
      <c r="B244" s="128"/>
      <c r="C244" s="128"/>
      <c r="D244" s="129"/>
      <c r="E244" s="130" t="str">
        <f t="shared" ref="E244" si="690">E216</f>
        <v>營造綜合保險費</v>
      </c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2"/>
      <c r="U244" s="133" t="str">
        <f t="shared" ref="U244" si="691">U216</f>
        <v>式</v>
      </c>
      <c r="V244" s="134"/>
      <c r="W244" s="134"/>
      <c r="X244" s="135"/>
      <c r="Y244" s="136">
        <f t="shared" ref="Y244" si="692">Y216</f>
        <v>1</v>
      </c>
      <c r="Z244" s="137"/>
      <c r="AA244" s="137"/>
      <c r="AB244" s="137"/>
      <c r="AC244" s="137"/>
      <c r="AD244" s="138"/>
      <c r="AE244" s="139">
        <f t="shared" ref="AE244" si="693">AE216</f>
        <v>1321</v>
      </c>
      <c r="AF244" s="139"/>
      <c r="AG244" s="139"/>
      <c r="AH244" s="139"/>
      <c r="AI244" s="139"/>
      <c r="AJ244" s="139"/>
      <c r="AK244" s="136">
        <v>0</v>
      </c>
      <c r="AL244" s="137"/>
      <c r="AM244" s="137"/>
      <c r="AN244" s="137"/>
      <c r="AO244" s="137"/>
      <c r="AP244" s="138"/>
      <c r="AQ244" s="143">
        <f t="shared" si="660"/>
        <v>0</v>
      </c>
      <c r="AR244" s="144"/>
      <c r="AS244" s="144"/>
      <c r="AT244" s="144"/>
      <c r="AU244" s="144"/>
      <c r="AV244" s="145"/>
      <c r="AW244" s="136">
        <f t="shared" si="682"/>
        <v>1</v>
      </c>
      <c r="AX244" s="137"/>
      <c r="AY244" s="137"/>
      <c r="AZ244" s="137"/>
      <c r="BA244" s="137"/>
      <c r="BB244" s="138"/>
      <c r="BC244" s="136">
        <f t="shared" si="683"/>
        <v>1321</v>
      </c>
      <c r="BD244" s="137"/>
      <c r="BE244" s="137"/>
      <c r="BF244" s="137"/>
      <c r="BG244" s="137"/>
      <c r="BH244" s="146"/>
      <c r="BI244" s="18">
        <f t="shared" si="609"/>
        <v>1321</v>
      </c>
    </row>
    <row r="245" spans="1:69" s="19" customFormat="1" ht="21.95" customHeight="1" x14ac:dyDescent="0.25">
      <c r="A245" s="127" t="str">
        <f t="shared" ref="A245" si="694">A217</f>
        <v>陸</v>
      </c>
      <c r="B245" s="128"/>
      <c r="C245" s="128"/>
      <c r="D245" s="129"/>
      <c r="E245" s="130" t="str">
        <f t="shared" ref="E245" si="695">E217</f>
        <v>營業稅（(壹~伍)*5％）</v>
      </c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2"/>
      <c r="U245" s="133" t="str">
        <f t="shared" ref="U245" si="696">U217</f>
        <v>式</v>
      </c>
      <c r="V245" s="134"/>
      <c r="W245" s="134"/>
      <c r="X245" s="135"/>
      <c r="Y245" s="136">
        <f t="shared" ref="Y245" si="697">Y217</f>
        <v>1</v>
      </c>
      <c r="Z245" s="137"/>
      <c r="AA245" s="137"/>
      <c r="AB245" s="137"/>
      <c r="AC245" s="137"/>
      <c r="AD245" s="138"/>
      <c r="AE245" s="139">
        <f t="shared" ref="AE245" si="698">AE217</f>
        <v>24286</v>
      </c>
      <c r="AF245" s="139"/>
      <c r="AG245" s="139"/>
      <c r="AH245" s="139"/>
      <c r="AI245" s="139"/>
      <c r="AJ245" s="139"/>
      <c r="AK245" s="140">
        <v>1.7000000000000001E-2</v>
      </c>
      <c r="AL245" s="141"/>
      <c r="AM245" s="141"/>
      <c r="AN245" s="141"/>
      <c r="AO245" s="141"/>
      <c r="AP245" s="142"/>
      <c r="AQ245" s="143">
        <f t="shared" si="660"/>
        <v>412.86200000000002</v>
      </c>
      <c r="AR245" s="144"/>
      <c r="AS245" s="144"/>
      <c r="AT245" s="144"/>
      <c r="AU245" s="144"/>
      <c r="AV245" s="145"/>
      <c r="AW245" s="140">
        <f t="shared" si="682"/>
        <v>0.15300000000000002</v>
      </c>
      <c r="AX245" s="141"/>
      <c r="AY245" s="141"/>
      <c r="AZ245" s="141"/>
      <c r="BA245" s="141"/>
      <c r="BB245" s="142"/>
      <c r="BC245" s="136">
        <f t="shared" si="683"/>
        <v>3716</v>
      </c>
      <c r="BD245" s="137"/>
      <c r="BE245" s="137"/>
      <c r="BF245" s="137"/>
      <c r="BG245" s="137"/>
      <c r="BH245" s="146"/>
      <c r="BI245" s="18">
        <f t="shared" si="609"/>
        <v>24286</v>
      </c>
    </row>
    <row r="246" spans="1:69" ht="21.95" customHeight="1" x14ac:dyDescent="0.25">
      <c r="A246" s="111"/>
      <c r="B246" s="112"/>
      <c r="C246" s="112"/>
      <c r="D246" s="113"/>
      <c r="E246" s="114" t="s">
        <v>75</v>
      </c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6"/>
      <c r="U246" s="117"/>
      <c r="V246" s="118"/>
      <c r="W246" s="118"/>
      <c r="X246" s="119"/>
      <c r="Y246" s="120"/>
      <c r="Z246" s="121"/>
      <c r="AA246" s="121"/>
      <c r="AB246" s="121"/>
      <c r="AC246" s="121"/>
      <c r="AD246" s="122"/>
      <c r="AE246" s="123"/>
      <c r="AF246" s="124"/>
      <c r="AG246" s="124"/>
      <c r="AH246" s="124"/>
      <c r="AI246" s="124"/>
      <c r="AJ246" s="125"/>
      <c r="AK246" s="120"/>
      <c r="AL246" s="121"/>
      <c r="AM246" s="121"/>
      <c r="AN246" s="121"/>
      <c r="AO246" s="121"/>
      <c r="AP246" s="122"/>
      <c r="AQ246" s="123">
        <f>SUM(AQ232:AQ245)</f>
        <v>1161.4740000000002</v>
      </c>
      <c r="AR246" s="124"/>
      <c r="AS246" s="124"/>
      <c r="AT246" s="124"/>
      <c r="AU246" s="124"/>
      <c r="AV246" s="125"/>
      <c r="AW246" s="120"/>
      <c r="AX246" s="121"/>
      <c r="AY246" s="121"/>
      <c r="AZ246" s="121"/>
      <c r="BA246" s="121"/>
      <c r="BB246" s="122"/>
      <c r="BC246" s="120">
        <f>SUM(BC232:BC245)</f>
        <v>13774</v>
      </c>
      <c r="BD246" s="121"/>
      <c r="BE246" s="121"/>
      <c r="BF246" s="121"/>
      <c r="BG246" s="121"/>
      <c r="BH246" s="126"/>
      <c r="BI246" s="17">
        <f>SUM(BI230:BI245)</f>
        <v>510000</v>
      </c>
    </row>
    <row r="247" spans="1:69" ht="21.95" customHeight="1" x14ac:dyDescent="0.25">
      <c r="A247" s="101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  <c r="AH247" s="102"/>
      <c r="AI247" s="102"/>
      <c r="AJ247" s="103"/>
      <c r="AK247" s="104"/>
      <c r="AL247" s="105"/>
      <c r="AM247" s="105"/>
      <c r="AN247" s="105"/>
      <c r="AO247" s="105"/>
      <c r="AP247" s="106"/>
      <c r="AQ247" s="107"/>
      <c r="AR247" s="108"/>
      <c r="AS247" s="108"/>
      <c r="AT247" s="108"/>
      <c r="AU247" s="108"/>
      <c r="AV247" s="109"/>
      <c r="AW247" s="104"/>
      <c r="AX247" s="105"/>
      <c r="AY247" s="105"/>
      <c r="AZ247" s="105"/>
      <c r="BA247" s="105"/>
      <c r="BB247" s="106"/>
      <c r="BC247" s="104"/>
      <c r="BD247" s="105"/>
      <c r="BE247" s="105"/>
      <c r="BF247" s="105"/>
      <c r="BG247" s="105"/>
      <c r="BH247" s="110"/>
      <c r="BI247" s="15">
        <f>Y247*AE247</f>
        <v>0</v>
      </c>
    </row>
    <row r="248" spans="1:69" ht="21.95" customHeight="1" x14ac:dyDescent="0.25">
      <c r="A248" s="101" t="s">
        <v>11</v>
      </c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  <c r="AH248" s="102"/>
      <c r="AI248" s="102"/>
      <c r="AJ248" s="103"/>
      <c r="AK248" s="104"/>
      <c r="AL248" s="105"/>
      <c r="AM248" s="105"/>
      <c r="AN248" s="105"/>
      <c r="AO248" s="105"/>
      <c r="AP248" s="106"/>
      <c r="AQ248" s="107">
        <f>BC246/BI246</f>
        <v>2.7007843137254902E-2</v>
      </c>
      <c r="AR248" s="108"/>
      <c r="AS248" s="108"/>
      <c r="AT248" s="108"/>
      <c r="AU248" s="108"/>
      <c r="AV248" s="109"/>
      <c r="AW248" s="104"/>
      <c r="AX248" s="105"/>
      <c r="AY248" s="105"/>
      <c r="AZ248" s="105"/>
      <c r="BA248" s="105"/>
      <c r="BB248" s="106"/>
      <c r="BC248" s="104"/>
      <c r="BD248" s="105"/>
      <c r="BE248" s="105"/>
      <c r="BF248" s="105"/>
      <c r="BG248" s="105"/>
      <c r="BH248" s="110"/>
      <c r="BI248" s="15">
        <f>AQ248</f>
        <v>2.7007843137254902E-2</v>
      </c>
    </row>
    <row r="249" spans="1:69" ht="18.75" customHeight="1" x14ac:dyDescent="0.25">
      <c r="A249" s="90" t="s">
        <v>15</v>
      </c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2"/>
      <c r="AE249" s="93" t="s">
        <v>14</v>
      </c>
      <c r="AF249" s="91"/>
      <c r="AG249" s="91"/>
      <c r="AH249" s="91"/>
      <c r="AI249" s="91"/>
      <c r="AJ249" s="91"/>
      <c r="AK249" s="91"/>
      <c r="AL249" s="91"/>
      <c r="AM249" s="91"/>
      <c r="AN249" s="91"/>
      <c r="AO249" s="91"/>
      <c r="AP249" s="91"/>
      <c r="AQ249" s="91"/>
      <c r="AR249" s="91"/>
      <c r="AS249" s="91"/>
      <c r="AT249" s="91"/>
      <c r="AU249" s="91"/>
      <c r="AV249" s="91"/>
      <c r="AW249" s="91"/>
      <c r="AX249" s="91"/>
      <c r="AY249" s="91"/>
      <c r="AZ249" s="91"/>
      <c r="BA249" s="91"/>
      <c r="BB249" s="91"/>
      <c r="BC249" s="91"/>
      <c r="BD249" s="91"/>
      <c r="BE249" s="91"/>
      <c r="BF249" s="91"/>
      <c r="BG249" s="91"/>
      <c r="BH249" s="94"/>
    </row>
    <row r="250" spans="1:69" x14ac:dyDescent="0.25">
      <c r="A250" s="95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  <c r="AC250" s="96"/>
      <c r="AD250" s="96"/>
      <c r="AE250" s="96"/>
      <c r="AF250" s="96"/>
      <c r="AG250" s="96"/>
      <c r="AH250" s="96"/>
      <c r="AI250" s="96"/>
      <c r="AJ250" s="96"/>
      <c r="AK250" s="96"/>
      <c r="AL250" s="96"/>
      <c r="AM250" s="96"/>
      <c r="AN250" s="96"/>
      <c r="AO250" s="96"/>
      <c r="AP250" s="96"/>
      <c r="AQ250" s="96"/>
      <c r="AR250" s="96"/>
      <c r="AS250" s="96"/>
      <c r="AT250" s="96"/>
      <c r="AU250" s="96"/>
      <c r="AV250" s="96"/>
      <c r="AW250" s="96"/>
      <c r="AX250" s="96"/>
      <c r="AY250" s="96"/>
      <c r="AZ250" s="96"/>
      <c r="BA250" s="96"/>
      <c r="BB250" s="96"/>
      <c r="BC250" s="96"/>
      <c r="BD250" s="96"/>
      <c r="BE250" s="96"/>
      <c r="BF250" s="96"/>
      <c r="BG250" s="96"/>
      <c r="BH250" s="99"/>
    </row>
    <row r="251" spans="1:69" x14ac:dyDescent="0.25">
      <c r="A251" s="95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  <c r="AC251" s="96"/>
      <c r="AD251" s="96"/>
      <c r="AE251" s="96"/>
      <c r="AF251" s="96"/>
      <c r="AG251" s="96"/>
      <c r="AH251" s="96"/>
      <c r="AI251" s="96"/>
      <c r="AJ251" s="96"/>
      <c r="AK251" s="96"/>
      <c r="AL251" s="96"/>
      <c r="AM251" s="96"/>
      <c r="AN251" s="96"/>
      <c r="AO251" s="96"/>
      <c r="AP251" s="96"/>
      <c r="AQ251" s="96"/>
      <c r="AR251" s="96"/>
      <c r="AS251" s="96"/>
      <c r="AT251" s="96"/>
      <c r="AU251" s="96"/>
      <c r="AV251" s="96"/>
      <c r="AW251" s="96"/>
      <c r="AX251" s="96"/>
      <c r="AY251" s="96"/>
      <c r="AZ251" s="96"/>
      <c r="BA251" s="96"/>
      <c r="BB251" s="96"/>
      <c r="BC251" s="96"/>
      <c r="BD251" s="96"/>
      <c r="BE251" s="96"/>
      <c r="BF251" s="96"/>
      <c r="BG251" s="96"/>
      <c r="BH251" s="99"/>
    </row>
    <row r="252" spans="1:69" ht="17.25" thickBot="1" x14ac:dyDescent="0.3">
      <c r="A252" s="97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  <c r="AA252" s="98"/>
      <c r="AB252" s="98"/>
      <c r="AC252" s="98"/>
      <c r="AD252" s="98"/>
      <c r="AE252" s="98"/>
      <c r="AF252" s="98"/>
      <c r="AG252" s="98"/>
      <c r="AH252" s="98"/>
      <c r="AI252" s="98"/>
      <c r="AJ252" s="98"/>
      <c r="AK252" s="98"/>
      <c r="AL252" s="98"/>
      <c r="AM252" s="98"/>
      <c r="AN252" s="98"/>
      <c r="AO252" s="98"/>
      <c r="AP252" s="98"/>
      <c r="AQ252" s="98"/>
      <c r="AR252" s="98"/>
      <c r="AS252" s="98"/>
      <c r="AT252" s="98"/>
      <c r="AU252" s="98"/>
      <c r="AV252" s="98"/>
      <c r="AW252" s="98"/>
      <c r="AX252" s="98"/>
      <c r="AY252" s="98"/>
      <c r="AZ252" s="98"/>
      <c r="BA252" s="98"/>
      <c r="BB252" s="98"/>
      <c r="BC252" s="98"/>
      <c r="BD252" s="98"/>
      <c r="BE252" s="98"/>
      <c r="BF252" s="98"/>
      <c r="BG252" s="98"/>
      <c r="BH252" s="100"/>
    </row>
    <row r="253" spans="1:69" ht="27.75" x14ac:dyDescent="0.25">
      <c r="A253" s="182" t="s">
        <v>81</v>
      </c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  <c r="AA253" s="182"/>
      <c r="AB253" s="182"/>
      <c r="AC253" s="182"/>
      <c r="AD253" s="182"/>
      <c r="AE253" s="182"/>
      <c r="AF253" s="182"/>
      <c r="AG253" s="182"/>
      <c r="AH253" s="182"/>
      <c r="AI253" s="182"/>
      <c r="AJ253" s="182"/>
      <c r="AK253" s="182"/>
      <c r="AL253" s="182"/>
      <c r="AM253" s="182"/>
      <c r="AN253" s="182"/>
      <c r="AO253" s="182"/>
      <c r="AP253" s="182"/>
      <c r="AQ253" s="182"/>
      <c r="AR253" s="182"/>
      <c r="AS253" s="182"/>
      <c r="AT253" s="182"/>
      <c r="AU253" s="182"/>
      <c r="AV253" s="182"/>
      <c r="AW253" s="182"/>
      <c r="AX253" s="182"/>
      <c r="AY253" s="182"/>
      <c r="AZ253" s="182"/>
      <c r="BA253" s="182"/>
      <c r="BB253" s="182"/>
      <c r="BC253" s="182"/>
      <c r="BD253" s="182"/>
      <c r="BE253" s="182"/>
      <c r="BF253" s="182"/>
      <c r="BG253" s="182"/>
      <c r="BH253" s="182"/>
    </row>
    <row r="254" spans="1:69" ht="27.75" x14ac:dyDescent="0.25">
      <c r="A254" s="183" t="s">
        <v>12</v>
      </c>
      <c r="B254" s="183"/>
      <c r="C254" s="183"/>
      <c r="D254" s="183"/>
      <c r="E254" s="183"/>
      <c r="F254" s="183"/>
      <c r="G254" s="183"/>
      <c r="H254" s="183"/>
      <c r="I254" s="183"/>
      <c r="J254" s="184" t="s">
        <v>85</v>
      </c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  <c r="AB254" s="185"/>
      <c r="AC254" s="185"/>
      <c r="AD254" s="185"/>
      <c r="AE254" s="185"/>
      <c r="AF254" s="185"/>
      <c r="AG254" s="185"/>
      <c r="AH254" s="185"/>
      <c r="AI254" s="185"/>
      <c r="AJ254" s="185"/>
      <c r="AK254" s="185"/>
      <c r="AL254" s="185"/>
      <c r="AM254" s="185"/>
      <c r="AN254" s="185"/>
      <c r="AO254" s="185"/>
      <c r="AP254" s="185"/>
      <c r="AQ254" s="185"/>
      <c r="AR254" s="185"/>
      <c r="AS254" s="185"/>
      <c r="AT254" s="185"/>
      <c r="AU254" s="185"/>
      <c r="AV254" s="185"/>
      <c r="AW254" s="185"/>
      <c r="AX254" s="185"/>
      <c r="AY254" s="185"/>
      <c r="AZ254" s="185"/>
      <c r="BA254" s="185"/>
      <c r="BB254" s="185"/>
      <c r="BC254" s="185"/>
      <c r="BD254" s="185"/>
      <c r="BE254" s="185"/>
      <c r="BF254" s="185"/>
      <c r="BG254" s="185"/>
      <c r="BH254" s="185"/>
      <c r="BI254" s="185"/>
      <c r="BJ254" s="185"/>
      <c r="BK254" s="185"/>
      <c r="BL254" s="185"/>
      <c r="BM254" s="185"/>
      <c r="BN254" s="185"/>
      <c r="BO254" s="185"/>
      <c r="BP254" s="185"/>
      <c r="BQ254" s="185"/>
    </row>
    <row r="255" spans="1:69" ht="17.25" thickBot="1" x14ac:dyDescent="0.3">
      <c r="A255" s="186" t="s">
        <v>10</v>
      </c>
      <c r="B255" s="186"/>
      <c r="C255" s="186"/>
      <c r="D255" s="186"/>
      <c r="E255" s="186"/>
      <c r="F255" s="186"/>
      <c r="G255" s="186"/>
      <c r="H255" s="186"/>
      <c r="I255" s="187" t="s">
        <v>78</v>
      </c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  <c r="AA255" s="187"/>
      <c r="AB255" s="187"/>
      <c r="AC255" s="187"/>
      <c r="AD255" s="187"/>
      <c r="AE255" s="187"/>
      <c r="AF255" s="187"/>
      <c r="AG255" s="187"/>
      <c r="AH255" s="187"/>
      <c r="AI255" s="187"/>
      <c r="AJ255" s="187"/>
      <c r="AK255" s="187"/>
      <c r="AL255" s="187"/>
      <c r="AM255" s="187"/>
      <c r="AN255" s="187"/>
      <c r="AO255" s="188" t="s">
        <v>9</v>
      </c>
      <c r="AP255" s="188"/>
      <c r="AQ255" s="188"/>
      <c r="AR255" s="188"/>
      <c r="AS255" s="188"/>
      <c r="AT255" s="188"/>
      <c r="AU255" s="188"/>
      <c r="AV255" s="188"/>
      <c r="AW255" s="189">
        <f>AW227+1</f>
        <v>45919</v>
      </c>
      <c r="AX255" s="189"/>
      <c r="AY255" s="189"/>
      <c r="AZ255" s="189"/>
      <c r="BA255" s="189"/>
      <c r="BB255" s="189"/>
      <c r="BC255" s="189"/>
      <c r="BD255" s="189"/>
      <c r="BE255" s="189"/>
      <c r="BF255" s="189"/>
      <c r="BG255" s="189"/>
      <c r="BH255" s="189"/>
    </row>
    <row r="256" spans="1:69" ht="36" customHeight="1" x14ac:dyDescent="0.25">
      <c r="A256" s="180" t="s">
        <v>0</v>
      </c>
      <c r="B256" s="83"/>
      <c r="C256" s="83"/>
      <c r="D256" s="83"/>
      <c r="E256" s="83" t="s">
        <v>6</v>
      </c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 t="s">
        <v>7</v>
      </c>
      <c r="V256" s="83"/>
      <c r="W256" s="83"/>
      <c r="X256" s="83"/>
      <c r="Y256" s="181" t="s">
        <v>1</v>
      </c>
      <c r="Z256" s="181"/>
      <c r="AA256" s="181"/>
      <c r="AB256" s="181"/>
      <c r="AC256" s="181"/>
      <c r="AD256" s="181"/>
      <c r="AE256" s="83" t="s">
        <v>8</v>
      </c>
      <c r="AF256" s="83"/>
      <c r="AG256" s="83"/>
      <c r="AH256" s="83"/>
      <c r="AI256" s="83"/>
      <c r="AJ256" s="83"/>
      <c r="AK256" s="181" t="s">
        <v>2</v>
      </c>
      <c r="AL256" s="181"/>
      <c r="AM256" s="181"/>
      <c r="AN256" s="181"/>
      <c r="AO256" s="181"/>
      <c r="AP256" s="181"/>
      <c r="AQ256" s="84" t="s">
        <v>3</v>
      </c>
      <c r="AR256" s="84"/>
      <c r="AS256" s="84"/>
      <c r="AT256" s="84"/>
      <c r="AU256" s="84"/>
      <c r="AV256" s="84"/>
      <c r="AW256" s="181" t="s">
        <v>4</v>
      </c>
      <c r="AX256" s="181"/>
      <c r="AY256" s="181"/>
      <c r="AZ256" s="181"/>
      <c r="BA256" s="181"/>
      <c r="BB256" s="181"/>
      <c r="BC256" s="84" t="s">
        <v>5</v>
      </c>
      <c r="BD256" s="84"/>
      <c r="BE256" s="84"/>
      <c r="BF256" s="84"/>
      <c r="BG256" s="84"/>
      <c r="BH256" s="85"/>
      <c r="BI256" s="1"/>
    </row>
    <row r="257" spans="1:61" ht="21.95" customHeight="1" x14ac:dyDescent="0.25">
      <c r="A257" s="150" t="str">
        <f t="shared" ref="A257" si="699">A229</f>
        <v>壹</v>
      </c>
      <c r="B257" s="151"/>
      <c r="C257" s="151"/>
      <c r="D257" s="152"/>
      <c r="E257" s="175" t="str">
        <f t="shared" ref="E257" si="700">E229</f>
        <v>直接工程費</v>
      </c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7"/>
      <c r="U257" s="117"/>
      <c r="V257" s="118"/>
      <c r="W257" s="118"/>
      <c r="X257" s="119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178"/>
      <c r="AK257" s="178"/>
      <c r="AL257" s="178"/>
      <c r="AM257" s="178"/>
      <c r="AN257" s="178"/>
      <c r="AO257" s="178"/>
      <c r="AP257" s="178"/>
      <c r="AQ257" s="178"/>
      <c r="AR257" s="178"/>
      <c r="AS257" s="178"/>
      <c r="AT257" s="178"/>
      <c r="AU257" s="178"/>
      <c r="AV257" s="178"/>
      <c r="AW257" s="178"/>
      <c r="AX257" s="178"/>
      <c r="AY257" s="178"/>
      <c r="AZ257" s="178"/>
      <c r="BA257" s="178"/>
      <c r="BB257" s="178"/>
      <c r="BC257" s="178"/>
      <c r="BD257" s="178"/>
      <c r="BE257" s="178"/>
      <c r="BF257" s="178"/>
      <c r="BG257" s="178"/>
      <c r="BH257" s="179"/>
      <c r="BI257" s="3">
        <f t="shared" ref="BI257:BI273" si="701">Y257*AE257</f>
        <v>0</v>
      </c>
    </row>
    <row r="258" spans="1:61" s="19" customFormat="1" ht="21.95" customHeight="1" x14ac:dyDescent="0.25">
      <c r="A258" s="127">
        <f t="shared" ref="A258" si="702">A230</f>
        <v>1</v>
      </c>
      <c r="B258" s="128"/>
      <c r="C258" s="128"/>
      <c r="D258" s="129"/>
      <c r="E258" s="170" t="str">
        <f t="shared" ref="E258" si="703">E230</f>
        <v>工程告示牌與職安衛告示牌(租用)</v>
      </c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2"/>
      <c r="U258" s="133" t="str">
        <f t="shared" ref="U258" si="704">U230</f>
        <v>式</v>
      </c>
      <c r="V258" s="134"/>
      <c r="W258" s="134"/>
      <c r="X258" s="135"/>
      <c r="Y258" s="136">
        <f t="shared" ref="Y258" si="705">Y230</f>
        <v>1</v>
      </c>
      <c r="Z258" s="137"/>
      <c r="AA258" s="137"/>
      <c r="AB258" s="137"/>
      <c r="AC258" s="137"/>
      <c r="AD258" s="138"/>
      <c r="AE258" s="139">
        <f t="shared" ref="AE258" si="706">AE230</f>
        <v>5000</v>
      </c>
      <c r="AF258" s="139"/>
      <c r="AG258" s="139"/>
      <c r="AH258" s="139"/>
      <c r="AI258" s="139"/>
      <c r="AJ258" s="139"/>
      <c r="AK258" s="173">
        <v>0</v>
      </c>
      <c r="AL258" s="173"/>
      <c r="AM258" s="173"/>
      <c r="AN258" s="173"/>
      <c r="AO258" s="173"/>
      <c r="AP258" s="173"/>
      <c r="AQ258" s="139">
        <f t="shared" ref="AQ258:AQ259" si="707">AK258*AE258</f>
        <v>0</v>
      </c>
      <c r="AR258" s="139"/>
      <c r="AS258" s="139"/>
      <c r="AT258" s="139"/>
      <c r="AU258" s="139"/>
      <c r="AV258" s="139"/>
      <c r="AW258" s="173">
        <f t="shared" ref="AW258:AW268" si="708">AW230+AK258</f>
        <v>1</v>
      </c>
      <c r="AX258" s="173"/>
      <c r="AY258" s="173"/>
      <c r="AZ258" s="173"/>
      <c r="BA258" s="173"/>
      <c r="BB258" s="173"/>
      <c r="BC258" s="173">
        <f t="shared" ref="BC258:BC259" si="709">ROUND(AW258*AE258,0)</f>
        <v>5000</v>
      </c>
      <c r="BD258" s="173"/>
      <c r="BE258" s="173"/>
      <c r="BF258" s="173"/>
      <c r="BG258" s="173"/>
      <c r="BH258" s="174"/>
      <c r="BI258" s="18">
        <f t="shared" si="701"/>
        <v>5000</v>
      </c>
    </row>
    <row r="259" spans="1:61" s="19" customFormat="1" ht="21.95" customHeight="1" x14ac:dyDescent="0.25">
      <c r="A259" s="127">
        <f t="shared" ref="A259" si="710">A231</f>
        <v>2</v>
      </c>
      <c r="B259" s="128"/>
      <c r="C259" s="128"/>
      <c r="D259" s="129"/>
      <c r="E259" s="170" t="str">
        <f t="shared" ref="E259" si="711">E231</f>
        <v>三角錐與連桿(租用)</v>
      </c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2"/>
      <c r="U259" s="133" t="str">
        <f t="shared" ref="U259" si="712">U231</f>
        <v>M</v>
      </c>
      <c r="V259" s="134"/>
      <c r="W259" s="134"/>
      <c r="X259" s="135"/>
      <c r="Y259" s="147">
        <f t="shared" ref="Y259" si="713">Y231</f>
        <v>86</v>
      </c>
      <c r="Z259" s="148"/>
      <c r="AA259" s="148"/>
      <c r="AB259" s="148"/>
      <c r="AC259" s="148"/>
      <c r="AD259" s="149"/>
      <c r="AE259" s="139">
        <f t="shared" ref="AE259" si="714">AE231</f>
        <v>60</v>
      </c>
      <c r="AF259" s="139"/>
      <c r="AG259" s="139"/>
      <c r="AH259" s="139"/>
      <c r="AI259" s="139"/>
      <c r="AJ259" s="139"/>
      <c r="AK259" s="173">
        <v>0</v>
      </c>
      <c r="AL259" s="173"/>
      <c r="AM259" s="173"/>
      <c r="AN259" s="173"/>
      <c r="AO259" s="173"/>
      <c r="AP259" s="173"/>
      <c r="AQ259" s="139">
        <f t="shared" si="707"/>
        <v>0</v>
      </c>
      <c r="AR259" s="139"/>
      <c r="AS259" s="139"/>
      <c r="AT259" s="139"/>
      <c r="AU259" s="139"/>
      <c r="AV259" s="139"/>
      <c r="AW259" s="173">
        <f t="shared" si="708"/>
        <v>86</v>
      </c>
      <c r="AX259" s="173"/>
      <c r="AY259" s="173"/>
      <c r="AZ259" s="173"/>
      <c r="BA259" s="173"/>
      <c r="BB259" s="173"/>
      <c r="BC259" s="173">
        <f t="shared" si="709"/>
        <v>5160</v>
      </c>
      <c r="BD259" s="173"/>
      <c r="BE259" s="173"/>
      <c r="BF259" s="173"/>
      <c r="BG259" s="173"/>
      <c r="BH259" s="174"/>
      <c r="BI259" s="18">
        <f t="shared" si="701"/>
        <v>5160</v>
      </c>
    </row>
    <row r="260" spans="1:61" s="19" customFormat="1" ht="33" customHeight="1" x14ac:dyDescent="0.25">
      <c r="A260" s="150">
        <f t="shared" ref="A260" si="715">A232</f>
        <v>3</v>
      </c>
      <c r="B260" s="151"/>
      <c r="C260" s="151"/>
      <c r="D260" s="152"/>
      <c r="E260" s="175" t="str">
        <f t="shared" ref="E260" si="716">E232</f>
        <v>施工動線開闢及損害復原；測量與放樣</v>
      </c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7"/>
      <c r="U260" s="117" t="str">
        <f t="shared" ref="U260" si="717">U232</f>
        <v>式</v>
      </c>
      <c r="V260" s="118"/>
      <c r="W260" s="118"/>
      <c r="X260" s="119"/>
      <c r="Y260" s="156">
        <f t="shared" ref="Y260" si="718">Y232</f>
        <v>1</v>
      </c>
      <c r="Z260" s="157"/>
      <c r="AA260" s="157"/>
      <c r="AB260" s="157"/>
      <c r="AC260" s="157"/>
      <c r="AD260" s="158"/>
      <c r="AE260" s="159">
        <f t="shared" ref="AE260" si="719">AE232</f>
        <v>4000</v>
      </c>
      <c r="AF260" s="159"/>
      <c r="AG260" s="159"/>
      <c r="AH260" s="159"/>
      <c r="AI260" s="159"/>
      <c r="AJ260" s="159"/>
      <c r="AK260" s="167">
        <v>0</v>
      </c>
      <c r="AL260" s="167"/>
      <c r="AM260" s="167"/>
      <c r="AN260" s="167"/>
      <c r="AO260" s="167"/>
      <c r="AP260" s="167"/>
      <c r="AQ260" s="159">
        <f>AK260*AE260</f>
        <v>0</v>
      </c>
      <c r="AR260" s="159"/>
      <c r="AS260" s="159"/>
      <c r="AT260" s="159"/>
      <c r="AU260" s="159"/>
      <c r="AV260" s="159"/>
      <c r="AW260" s="167">
        <f t="shared" si="708"/>
        <v>0.5</v>
      </c>
      <c r="AX260" s="167"/>
      <c r="AY260" s="167"/>
      <c r="AZ260" s="167"/>
      <c r="BA260" s="167"/>
      <c r="BB260" s="167"/>
      <c r="BC260" s="167">
        <f>ROUND(AW260*AE260,0)</f>
        <v>2000</v>
      </c>
      <c r="BD260" s="167"/>
      <c r="BE260" s="167"/>
      <c r="BF260" s="167"/>
      <c r="BG260" s="167"/>
      <c r="BH260" s="168"/>
      <c r="BI260" s="18">
        <f t="shared" si="701"/>
        <v>4000</v>
      </c>
    </row>
    <row r="261" spans="1:61" ht="54" customHeight="1" x14ac:dyDescent="0.25">
      <c r="A261" s="150">
        <f t="shared" ref="A261" si="720">A233</f>
        <v>4</v>
      </c>
      <c r="B261" s="151"/>
      <c r="C261" s="151"/>
      <c r="D261" s="152"/>
      <c r="E261" s="175" t="str">
        <f t="shared" ref="E261" si="721">E233</f>
        <v>切割打除清運校舍與教室出入口地坪以及司令台階梯平台(含合法清運證明)</v>
      </c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7"/>
      <c r="U261" s="117" t="str">
        <f t="shared" ref="U261" si="722">U233</f>
        <v>式</v>
      </c>
      <c r="V261" s="118"/>
      <c r="W261" s="118"/>
      <c r="X261" s="119"/>
      <c r="Y261" s="156">
        <f t="shared" ref="Y261" si="723">Y233</f>
        <v>1</v>
      </c>
      <c r="Z261" s="157"/>
      <c r="AA261" s="157"/>
      <c r="AB261" s="157"/>
      <c r="AC261" s="157"/>
      <c r="AD261" s="158"/>
      <c r="AE261" s="159">
        <f t="shared" ref="AE261" si="724">AE233</f>
        <v>52817</v>
      </c>
      <c r="AF261" s="159"/>
      <c r="AG261" s="159"/>
      <c r="AH261" s="159"/>
      <c r="AI261" s="159"/>
      <c r="AJ261" s="159"/>
      <c r="AK261" s="167">
        <v>0</v>
      </c>
      <c r="AL261" s="167"/>
      <c r="AM261" s="167"/>
      <c r="AN261" s="167"/>
      <c r="AO261" s="167"/>
      <c r="AP261" s="167"/>
      <c r="AQ261" s="159">
        <f t="shared" ref="AQ261:AQ264" si="725">AK261*AE261</f>
        <v>0</v>
      </c>
      <c r="AR261" s="159"/>
      <c r="AS261" s="159"/>
      <c r="AT261" s="159"/>
      <c r="AU261" s="159"/>
      <c r="AV261" s="159"/>
      <c r="AW261" s="167">
        <f t="shared" si="708"/>
        <v>0</v>
      </c>
      <c r="AX261" s="167"/>
      <c r="AY261" s="167"/>
      <c r="AZ261" s="167"/>
      <c r="BA261" s="167"/>
      <c r="BB261" s="167"/>
      <c r="BC261" s="167">
        <f t="shared" ref="BC261:BC264" si="726">ROUND(AW261*AE261,0)</f>
        <v>0</v>
      </c>
      <c r="BD261" s="167"/>
      <c r="BE261" s="167"/>
      <c r="BF261" s="167"/>
      <c r="BG261" s="167"/>
      <c r="BH261" s="168"/>
      <c r="BI261" s="16">
        <f t="shared" si="701"/>
        <v>52817</v>
      </c>
    </row>
    <row r="262" spans="1:61" ht="20.25" customHeight="1" x14ac:dyDescent="0.25">
      <c r="A262" s="150">
        <f t="shared" ref="A262" si="727">A234</f>
        <v>5</v>
      </c>
      <c r="B262" s="151"/>
      <c r="C262" s="151"/>
      <c r="D262" s="152"/>
      <c r="E262" s="153" t="str">
        <f t="shared" ref="E262" si="728">E234</f>
        <v>校舍出入口施做斜坡順平高差</v>
      </c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5"/>
      <c r="U262" s="117" t="str">
        <f t="shared" ref="U262" si="729">U234</f>
        <v>M2</v>
      </c>
      <c r="V262" s="118"/>
      <c r="W262" s="118"/>
      <c r="X262" s="119"/>
      <c r="Y262" s="160">
        <f t="shared" ref="Y262" si="730">Y234</f>
        <v>15</v>
      </c>
      <c r="Z262" s="161"/>
      <c r="AA262" s="161"/>
      <c r="AB262" s="161"/>
      <c r="AC262" s="161"/>
      <c r="AD262" s="162"/>
      <c r="AE262" s="169">
        <f t="shared" ref="AE262" si="731">AE234</f>
        <v>600</v>
      </c>
      <c r="AF262" s="169"/>
      <c r="AG262" s="169"/>
      <c r="AH262" s="169"/>
      <c r="AI262" s="169"/>
      <c r="AJ262" s="169"/>
      <c r="AK262" s="167">
        <v>0</v>
      </c>
      <c r="AL262" s="167"/>
      <c r="AM262" s="167"/>
      <c r="AN262" s="167"/>
      <c r="AO262" s="167"/>
      <c r="AP262" s="167"/>
      <c r="AQ262" s="159">
        <f t="shared" si="725"/>
        <v>0</v>
      </c>
      <c r="AR262" s="159"/>
      <c r="AS262" s="159"/>
      <c r="AT262" s="159"/>
      <c r="AU262" s="159"/>
      <c r="AV262" s="159"/>
      <c r="AW262" s="167">
        <f t="shared" si="708"/>
        <v>0</v>
      </c>
      <c r="AX262" s="167"/>
      <c r="AY262" s="167"/>
      <c r="AZ262" s="167"/>
      <c r="BA262" s="167"/>
      <c r="BB262" s="167"/>
      <c r="BC262" s="167">
        <f t="shared" si="726"/>
        <v>0</v>
      </c>
      <c r="BD262" s="167"/>
      <c r="BE262" s="167"/>
      <c r="BF262" s="167"/>
      <c r="BG262" s="167"/>
      <c r="BH262" s="168"/>
      <c r="BI262" s="3">
        <f t="shared" si="701"/>
        <v>9000</v>
      </c>
    </row>
    <row r="263" spans="1:61" ht="50.25" customHeight="1" x14ac:dyDescent="0.25">
      <c r="A263" s="150">
        <f t="shared" ref="A263" si="732">A235</f>
        <v>6</v>
      </c>
      <c r="B263" s="151"/>
      <c r="C263" s="151"/>
      <c r="D263" s="152"/>
      <c r="E263" s="153" t="str">
        <f t="shared" ref="E263" si="733">E235</f>
        <v>開挖整地，新設無障礙RC坡道，牆面與地坪粉刷整平(連工帶料，責任施工)</v>
      </c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5"/>
      <c r="U263" s="117" t="str">
        <f t="shared" ref="U263" si="734">U235</f>
        <v>式</v>
      </c>
      <c r="V263" s="118"/>
      <c r="W263" s="118"/>
      <c r="X263" s="119"/>
      <c r="Y263" s="160">
        <f t="shared" ref="Y263" si="735">Y235</f>
        <v>1</v>
      </c>
      <c r="Z263" s="161"/>
      <c r="AA263" s="161"/>
      <c r="AB263" s="161"/>
      <c r="AC263" s="161"/>
      <c r="AD263" s="162"/>
      <c r="AE263" s="159">
        <f t="shared" ref="AE263" si="736">AE235</f>
        <v>153000</v>
      </c>
      <c r="AF263" s="159"/>
      <c r="AG263" s="159"/>
      <c r="AH263" s="159"/>
      <c r="AI263" s="159"/>
      <c r="AJ263" s="159"/>
      <c r="AK263" s="167">
        <v>0</v>
      </c>
      <c r="AL263" s="167"/>
      <c r="AM263" s="167"/>
      <c r="AN263" s="167"/>
      <c r="AO263" s="167"/>
      <c r="AP263" s="167"/>
      <c r="AQ263" s="159">
        <f t="shared" si="725"/>
        <v>0</v>
      </c>
      <c r="AR263" s="159"/>
      <c r="AS263" s="159"/>
      <c r="AT263" s="159"/>
      <c r="AU263" s="159"/>
      <c r="AV263" s="159"/>
      <c r="AW263" s="167">
        <f t="shared" si="708"/>
        <v>0</v>
      </c>
      <c r="AX263" s="167"/>
      <c r="AY263" s="167"/>
      <c r="AZ263" s="167"/>
      <c r="BA263" s="167"/>
      <c r="BB263" s="167"/>
      <c r="BC263" s="167">
        <f t="shared" si="726"/>
        <v>0</v>
      </c>
      <c r="BD263" s="167"/>
      <c r="BE263" s="167"/>
      <c r="BF263" s="167"/>
      <c r="BG263" s="167"/>
      <c r="BH263" s="168"/>
      <c r="BI263" s="3">
        <f t="shared" si="701"/>
        <v>153000</v>
      </c>
    </row>
    <row r="264" spans="1:61" ht="32.450000000000003" customHeight="1" x14ac:dyDescent="0.25">
      <c r="A264" s="150">
        <f t="shared" ref="A264" si="737">A236</f>
        <v>7</v>
      </c>
      <c r="B264" s="151"/>
      <c r="C264" s="151"/>
      <c r="D264" s="152"/>
      <c r="E264" s="153" t="str">
        <f t="shared" ref="E264" si="738">E236</f>
        <v>施做抿石子(1~2分AK石，抿石子專用泥)</v>
      </c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5"/>
      <c r="U264" s="117" t="str">
        <f t="shared" ref="U264" si="739">U236</f>
        <v>M2</v>
      </c>
      <c r="V264" s="118"/>
      <c r="W264" s="118"/>
      <c r="X264" s="119"/>
      <c r="Y264" s="160">
        <f t="shared" ref="Y264" si="740">Y236</f>
        <v>38</v>
      </c>
      <c r="Z264" s="161"/>
      <c r="AA264" s="161"/>
      <c r="AB264" s="161"/>
      <c r="AC264" s="161"/>
      <c r="AD264" s="162"/>
      <c r="AE264" s="159">
        <f t="shared" ref="AE264" si="741">AE236</f>
        <v>1460</v>
      </c>
      <c r="AF264" s="159"/>
      <c r="AG264" s="159"/>
      <c r="AH264" s="159"/>
      <c r="AI264" s="159"/>
      <c r="AJ264" s="159"/>
      <c r="AK264" s="167">
        <v>0</v>
      </c>
      <c r="AL264" s="167"/>
      <c r="AM264" s="167"/>
      <c r="AN264" s="167"/>
      <c r="AO264" s="167"/>
      <c r="AP264" s="167"/>
      <c r="AQ264" s="159">
        <f t="shared" si="725"/>
        <v>0</v>
      </c>
      <c r="AR264" s="159"/>
      <c r="AS264" s="159"/>
      <c r="AT264" s="159"/>
      <c r="AU264" s="159"/>
      <c r="AV264" s="159"/>
      <c r="AW264" s="167">
        <f t="shared" si="708"/>
        <v>0</v>
      </c>
      <c r="AX264" s="167"/>
      <c r="AY264" s="167"/>
      <c r="AZ264" s="167"/>
      <c r="BA264" s="167"/>
      <c r="BB264" s="167"/>
      <c r="BC264" s="167">
        <f t="shared" si="726"/>
        <v>0</v>
      </c>
      <c r="BD264" s="167"/>
      <c r="BE264" s="167"/>
      <c r="BF264" s="167"/>
      <c r="BG264" s="167"/>
      <c r="BH264" s="168"/>
      <c r="BI264" s="3">
        <f t="shared" si="701"/>
        <v>55480</v>
      </c>
    </row>
    <row r="265" spans="1:61" ht="21" customHeight="1" x14ac:dyDescent="0.25">
      <c r="A265" s="150">
        <f t="shared" ref="A265" si="742">A237</f>
        <v>8</v>
      </c>
      <c r="B265" s="151"/>
      <c r="C265" s="151"/>
      <c r="D265" s="152"/>
      <c r="E265" s="153" t="str">
        <f t="shared" ref="E265" si="743">E237</f>
        <v>無障礙坡道地坪拉毛</v>
      </c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5"/>
      <c r="U265" s="117" t="str">
        <f t="shared" ref="U265" si="744">U237</f>
        <v>M2</v>
      </c>
      <c r="V265" s="118"/>
      <c r="W265" s="118"/>
      <c r="X265" s="119"/>
      <c r="Y265" s="160">
        <f t="shared" ref="Y265" si="745">Y237</f>
        <v>33</v>
      </c>
      <c r="Z265" s="161"/>
      <c r="AA265" s="161"/>
      <c r="AB265" s="161"/>
      <c r="AC265" s="161"/>
      <c r="AD265" s="162"/>
      <c r="AE265" s="159">
        <f t="shared" ref="AE265" si="746">AE237</f>
        <v>100</v>
      </c>
      <c r="AF265" s="159"/>
      <c r="AG265" s="159"/>
      <c r="AH265" s="159"/>
      <c r="AI265" s="159"/>
      <c r="AJ265" s="159"/>
      <c r="AK265" s="167"/>
      <c r="AL265" s="167"/>
      <c r="AM265" s="167"/>
      <c r="AN265" s="167"/>
      <c r="AO265" s="167"/>
      <c r="AP265" s="167"/>
      <c r="AQ265" s="159"/>
      <c r="AR265" s="159"/>
      <c r="AS265" s="159"/>
      <c r="AT265" s="159"/>
      <c r="AU265" s="159"/>
      <c r="AV265" s="159"/>
      <c r="AW265" s="167">
        <f t="shared" si="708"/>
        <v>0</v>
      </c>
      <c r="AX265" s="167"/>
      <c r="AY265" s="167"/>
      <c r="AZ265" s="167"/>
      <c r="BA265" s="167"/>
      <c r="BB265" s="167"/>
      <c r="BC265" s="167"/>
      <c r="BD265" s="167"/>
      <c r="BE265" s="167"/>
      <c r="BF265" s="167"/>
      <c r="BG265" s="167"/>
      <c r="BH265" s="168"/>
      <c r="BI265" s="3">
        <f t="shared" si="701"/>
        <v>3300</v>
      </c>
    </row>
    <row r="266" spans="1:61" s="19" customFormat="1" ht="34.5" customHeight="1" x14ac:dyDescent="0.25">
      <c r="A266" s="127">
        <f t="shared" ref="A266" si="747">A238</f>
        <v>9</v>
      </c>
      <c r="B266" s="128"/>
      <c r="C266" s="128"/>
      <c r="D266" s="129"/>
      <c r="E266" s="153" t="str">
        <f t="shared" ref="E266" si="748">E238</f>
        <v>司令台既有樓梯面清潔，刷止滑漆(一底二度)</v>
      </c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5"/>
      <c r="U266" s="133" t="str">
        <f t="shared" ref="U266" si="749">U238</f>
        <v>式</v>
      </c>
      <c r="V266" s="134"/>
      <c r="W266" s="134"/>
      <c r="X266" s="135"/>
      <c r="Y266" s="160">
        <f t="shared" ref="Y266" si="750">Y238</f>
        <v>1</v>
      </c>
      <c r="Z266" s="161"/>
      <c r="AA266" s="161"/>
      <c r="AB266" s="161"/>
      <c r="AC266" s="161"/>
      <c r="AD266" s="162"/>
      <c r="AE266" s="159">
        <f t="shared" ref="AE266" si="751">AE238</f>
        <v>3000</v>
      </c>
      <c r="AF266" s="159"/>
      <c r="AG266" s="159"/>
      <c r="AH266" s="159"/>
      <c r="AI266" s="159"/>
      <c r="AJ266" s="159"/>
      <c r="AK266" s="167">
        <v>0</v>
      </c>
      <c r="AL266" s="167"/>
      <c r="AM266" s="167"/>
      <c r="AN266" s="167"/>
      <c r="AO266" s="167"/>
      <c r="AP266" s="167"/>
      <c r="AQ266" s="159">
        <f t="shared" ref="AQ266:AQ273" si="752">AK266*AE266</f>
        <v>0</v>
      </c>
      <c r="AR266" s="159"/>
      <c r="AS266" s="159"/>
      <c r="AT266" s="159"/>
      <c r="AU266" s="159"/>
      <c r="AV266" s="159"/>
      <c r="AW266" s="167">
        <f t="shared" si="708"/>
        <v>0</v>
      </c>
      <c r="AX266" s="167"/>
      <c r="AY266" s="167"/>
      <c r="AZ266" s="167"/>
      <c r="BA266" s="167"/>
      <c r="BB266" s="167"/>
      <c r="BC266" s="167">
        <f t="shared" ref="BC266:BC268" si="753">ROUND(AW266*AE266,0)</f>
        <v>0</v>
      </c>
      <c r="BD266" s="167"/>
      <c r="BE266" s="167"/>
      <c r="BF266" s="167"/>
      <c r="BG266" s="167"/>
      <c r="BH266" s="168"/>
      <c r="BI266" s="18">
        <f t="shared" si="701"/>
        <v>3000</v>
      </c>
    </row>
    <row r="267" spans="1:61" ht="35.25" customHeight="1" x14ac:dyDescent="0.25">
      <c r="A267" s="150">
        <f t="shared" ref="A267" si="754">A239</f>
        <v>10</v>
      </c>
      <c r="B267" s="151"/>
      <c r="C267" s="151"/>
      <c r="D267" s="152"/>
      <c r="E267" s="153" t="str">
        <f t="shared" ref="E267" si="755">E239</f>
        <v>校舍、教室及司令台坡道出入口配置無線押扣與插電式緊急求救鈴</v>
      </c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5"/>
      <c r="U267" s="117" t="str">
        <f t="shared" ref="U267" si="756">U239</f>
        <v>組</v>
      </c>
      <c r="V267" s="118"/>
      <c r="W267" s="118"/>
      <c r="X267" s="119"/>
      <c r="Y267" s="160">
        <f t="shared" ref="Y267" si="757">Y239</f>
        <v>8</v>
      </c>
      <c r="Z267" s="161"/>
      <c r="AA267" s="161"/>
      <c r="AB267" s="161"/>
      <c r="AC267" s="161"/>
      <c r="AD267" s="162"/>
      <c r="AE267" s="159">
        <f t="shared" ref="AE267" si="758">AE239</f>
        <v>700</v>
      </c>
      <c r="AF267" s="159"/>
      <c r="AG267" s="159"/>
      <c r="AH267" s="159"/>
      <c r="AI267" s="159"/>
      <c r="AJ267" s="159"/>
      <c r="AK267" s="167">
        <v>0</v>
      </c>
      <c r="AL267" s="167"/>
      <c r="AM267" s="167"/>
      <c r="AN267" s="167"/>
      <c r="AO267" s="167"/>
      <c r="AP267" s="167"/>
      <c r="AQ267" s="159">
        <f t="shared" si="752"/>
        <v>0</v>
      </c>
      <c r="AR267" s="159"/>
      <c r="AS267" s="159"/>
      <c r="AT267" s="159"/>
      <c r="AU267" s="159"/>
      <c r="AV267" s="159"/>
      <c r="AW267" s="167">
        <f t="shared" si="708"/>
        <v>0</v>
      </c>
      <c r="AX267" s="167"/>
      <c r="AY267" s="167"/>
      <c r="AZ267" s="167"/>
      <c r="BA267" s="167"/>
      <c r="BB267" s="167"/>
      <c r="BC267" s="167">
        <f t="shared" si="753"/>
        <v>0</v>
      </c>
      <c r="BD267" s="167"/>
      <c r="BE267" s="167"/>
      <c r="BF267" s="167"/>
      <c r="BG267" s="167"/>
      <c r="BH267" s="168"/>
      <c r="BI267" s="3">
        <f t="shared" si="701"/>
        <v>5600</v>
      </c>
    </row>
    <row r="268" spans="1:61" ht="36.75" customHeight="1" x14ac:dyDescent="0.25">
      <c r="A268" s="150">
        <f t="shared" ref="A268" si="759">A240</f>
        <v>11</v>
      </c>
      <c r="B268" s="151"/>
      <c r="C268" s="151"/>
      <c r="D268" s="152"/>
      <c r="E268" s="153" t="str">
        <f t="shared" ref="E268" si="760">E240</f>
        <v>司令台周圍及無障礙坡道安裝不鏽鋼扶手(連工帶料)</v>
      </c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5"/>
      <c r="U268" s="117" t="str">
        <f t="shared" ref="U268" si="761">U240</f>
        <v>M</v>
      </c>
      <c r="V268" s="118"/>
      <c r="W268" s="118"/>
      <c r="X268" s="119"/>
      <c r="Y268" s="156">
        <f t="shared" ref="Y268" si="762">Y240</f>
        <v>48</v>
      </c>
      <c r="Z268" s="157"/>
      <c r="AA268" s="157"/>
      <c r="AB268" s="157"/>
      <c r="AC268" s="157"/>
      <c r="AD268" s="158"/>
      <c r="AE268" s="159">
        <f t="shared" ref="AE268" si="763">AE240</f>
        <v>3000</v>
      </c>
      <c r="AF268" s="159"/>
      <c r="AG268" s="159"/>
      <c r="AH268" s="159"/>
      <c r="AI268" s="159"/>
      <c r="AJ268" s="159"/>
      <c r="AK268" s="160">
        <v>0</v>
      </c>
      <c r="AL268" s="161"/>
      <c r="AM268" s="161"/>
      <c r="AN268" s="161"/>
      <c r="AO268" s="161"/>
      <c r="AP268" s="162"/>
      <c r="AQ268" s="163">
        <f t="shared" si="752"/>
        <v>0</v>
      </c>
      <c r="AR268" s="164"/>
      <c r="AS268" s="164"/>
      <c r="AT268" s="164"/>
      <c r="AU268" s="164"/>
      <c r="AV268" s="165"/>
      <c r="AW268" s="160">
        <f t="shared" si="708"/>
        <v>0</v>
      </c>
      <c r="AX268" s="161"/>
      <c r="AY268" s="161"/>
      <c r="AZ268" s="161"/>
      <c r="BA268" s="161"/>
      <c r="BB268" s="162"/>
      <c r="BC268" s="160">
        <f t="shared" si="753"/>
        <v>0</v>
      </c>
      <c r="BD268" s="161"/>
      <c r="BE268" s="161"/>
      <c r="BF268" s="161"/>
      <c r="BG268" s="161"/>
      <c r="BH268" s="166"/>
      <c r="BI268" s="3">
        <f t="shared" si="701"/>
        <v>144000</v>
      </c>
    </row>
    <row r="269" spans="1:61" s="19" customFormat="1" ht="35.25" customHeight="1" x14ac:dyDescent="0.25">
      <c r="A269" s="127" t="str">
        <f t="shared" ref="A269" si="764">A241</f>
        <v>貳</v>
      </c>
      <c r="B269" s="128"/>
      <c r="C269" s="128"/>
      <c r="D269" s="129"/>
      <c r="E269" s="130" t="str">
        <f t="shared" ref="E269" si="765">E241</f>
        <v>職業安全衛生管理費與施工環境保護與清潔（壹*2%）</v>
      </c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2"/>
      <c r="U269" s="133" t="str">
        <f t="shared" ref="U269" si="766">U241</f>
        <v>式</v>
      </c>
      <c r="V269" s="134"/>
      <c r="W269" s="134"/>
      <c r="X269" s="135"/>
      <c r="Y269" s="136">
        <f t="shared" ref="Y269" si="767">Y241</f>
        <v>1</v>
      </c>
      <c r="Z269" s="137"/>
      <c r="AA269" s="137"/>
      <c r="AB269" s="137"/>
      <c r="AC269" s="137"/>
      <c r="AD269" s="138"/>
      <c r="AE269" s="139">
        <f t="shared" ref="AE269" si="768">AE241</f>
        <v>8807</v>
      </c>
      <c r="AF269" s="139"/>
      <c r="AG269" s="139"/>
      <c r="AH269" s="139"/>
      <c r="AI269" s="139"/>
      <c r="AJ269" s="139"/>
      <c r="AK269" s="140">
        <v>1.7000000000000001E-2</v>
      </c>
      <c r="AL269" s="141"/>
      <c r="AM269" s="141"/>
      <c r="AN269" s="141"/>
      <c r="AO269" s="141"/>
      <c r="AP269" s="142"/>
      <c r="AQ269" s="143">
        <f t="shared" si="752"/>
        <v>149.71900000000002</v>
      </c>
      <c r="AR269" s="144"/>
      <c r="AS269" s="144"/>
      <c r="AT269" s="144"/>
      <c r="AU269" s="144"/>
      <c r="AV269" s="145"/>
      <c r="AW269" s="140">
        <f>AW241+AK269</f>
        <v>0.17000000000000004</v>
      </c>
      <c r="AX269" s="141"/>
      <c r="AY269" s="141"/>
      <c r="AZ269" s="141"/>
      <c r="BA269" s="141"/>
      <c r="BB269" s="142"/>
      <c r="BC269" s="136">
        <f>ROUND(AW269*AE269,0)</f>
        <v>1497</v>
      </c>
      <c r="BD269" s="137"/>
      <c r="BE269" s="137"/>
      <c r="BF269" s="137"/>
      <c r="BG269" s="137"/>
      <c r="BH269" s="146"/>
      <c r="BI269" s="18">
        <f t="shared" si="701"/>
        <v>8807</v>
      </c>
    </row>
    <row r="270" spans="1:61" s="19" customFormat="1" ht="21.95" customHeight="1" x14ac:dyDescent="0.25">
      <c r="A270" s="127" t="str">
        <f t="shared" ref="A270" si="769">A242</f>
        <v>參</v>
      </c>
      <c r="B270" s="128"/>
      <c r="C270" s="128"/>
      <c r="D270" s="129"/>
      <c r="E270" s="130" t="str">
        <f t="shared" ref="E270" si="770">E242</f>
        <v>公共工程品質管制作業費（壹*1%）</v>
      </c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2"/>
      <c r="U270" s="133" t="str">
        <f t="shared" ref="U270" si="771">U242</f>
        <v>式</v>
      </c>
      <c r="V270" s="134"/>
      <c r="W270" s="134"/>
      <c r="X270" s="135"/>
      <c r="Y270" s="147">
        <f t="shared" ref="Y270" si="772">Y242</f>
        <v>1</v>
      </c>
      <c r="Z270" s="148"/>
      <c r="AA270" s="148"/>
      <c r="AB270" s="148"/>
      <c r="AC270" s="148"/>
      <c r="AD270" s="149"/>
      <c r="AE270" s="139">
        <f t="shared" ref="AE270" si="773">AE242</f>
        <v>4404</v>
      </c>
      <c r="AF270" s="139"/>
      <c r="AG270" s="139"/>
      <c r="AH270" s="139"/>
      <c r="AI270" s="139"/>
      <c r="AJ270" s="139"/>
      <c r="AK270" s="140">
        <v>1.7000000000000001E-2</v>
      </c>
      <c r="AL270" s="141"/>
      <c r="AM270" s="141"/>
      <c r="AN270" s="141"/>
      <c r="AO270" s="141"/>
      <c r="AP270" s="142"/>
      <c r="AQ270" s="143">
        <f t="shared" si="752"/>
        <v>74.868000000000009</v>
      </c>
      <c r="AR270" s="144"/>
      <c r="AS270" s="144"/>
      <c r="AT270" s="144"/>
      <c r="AU270" s="144"/>
      <c r="AV270" s="145"/>
      <c r="AW270" s="140">
        <f t="shared" ref="AW270:AW273" si="774">AW242+AK270</f>
        <v>0.17000000000000004</v>
      </c>
      <c r="AX270" s="141"/>
      <c r="AY270" s="141"/>
      <c r="AZ270" s="141"/>
      <c r="BA270" s="141"/>
      <c r="BB270" s="142"/>
      <c r="BC270" s="136">
        <f t="shared" ref="BC270:BC273" si="775">ROUND(AW270*AE270,0)</f>
        <v>749</v>
      </c>
      <c r="BD270" s="137"/>
      <c r="BE270" s="137"/>
      <c r="BF270" s="137"/>
      <c r="BG270" s="137"/>
      <c r="BH270" s="146"/>
      <c r="BI270" s="18">
        <f t="shared" si="701"/>
        <v>4404</v>
      </c>
    </row>
    <row r="271" spans="1:61" s="19" customFormat="1" ht="21.95" customHeight="1" x14ac:dyDescent="0.25">
      <c r="A271" s="127" t="str">
        <f t="shared" ref="A271" si="776">A243</f>
        <v>肆</v>
      </c>
      <c r="B271" s="128"/>
      <c r="C271" s="128"/>
      <c r="D271" s="129"/>
      <c r="E271" s="130" t="str">
        <f t="shared" ref="E271" si="777">E243</f>
        <v>包商管理及利潤費（約壹*7%）</v>
      </c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2"/>
      <c r="U271" s="133" t="str">
        <f t="shared" ref="U271" si="778">U243</f>
        <v>式</v>
      </c>
      <c r="V271" s="134"/>
      <c r="W271" s="134"/>
      <c r="X271" s="135"/>
      <c r="Y271" s="147">
        <f t="shared" ref="Y271" si="779">Y243</f>
        <v>1</v>
      </c>
      <c r="Z271" s="148"/>
      <c r="AA271" s="148"/>
      <c r="AB271" s="148"/>
      <c r="AC271" s="148"/>
      <c r="AD271" s="149"/>
      <c r="AE271" s="139">
        <f t="shared" ref="AE271" si="780">AE243</f>
        <v>30825</v>
      </c>
      <c r="AF271" s="139"/>
      <c r="AG271" s="139"/>
      <c r="AH271" s="139"/>
      <c r="AI271" s="139"/>
      <c r="AJ271" s="139"/>
      <c r="AK271" s="140">
        <v>1.7000000000000001E-2</v>
      </c>
      <c r="AL271" s="141"/>
      <c r="AM271" s="141"/>
      <c r="AN271" s="141"/>
      <c r="AO271" s="141"/>
      <c r="AP271" s="142"/>
      <c r="AQ271" s="143">
        <f t="shared" si="752"/>
        <v>524.02500000000009</v>
      </c>
      <c r="AR271" s="144"/>
      <c r="AS271" s="144"/>
      <c r="AT271" s="144"/>
      <c r="AU271" s="144"/>
      <c r="AV271" s="145"/>
      <c r="AW271" s="140">
        <f t="shared" si="774"/>
        <v>0.17000000000000004</v>
      </c>
      <c r="AX271" s="141"/>
      <c r="AY271" s="141"/>
      <c r="AZ271" s="141"/>
      <c r="BA271" s="141"/>
      <c r="BB271" s="142"/>
      <c r="BC271" s="136">
        <f t="shared" si="775"/>
        <v>5240</v>
      </c>
      <c r="BD271" s="137"/>
      <c r="BE271" s="137"/>
      <c r="BF271" s="137"/>
      <c r="BG271" s="137"/>
      <c r="BH271" s="146"/>
      <c r="BI271" s="18">
        <f t="shared" si="701"/>
        <v>30825</v>
      </c>
    </row>
    <row r="272" spans="1:61" s="19" customFormat="1" ht="21.95" customHeight="1" x14ac:dyDescent="0.25">
      <c r="A272" s="127" t="str">
        <f t="shared" ref="A272" si="781">A244</f>
        <v>伍</v>
      </c>
      <c r="B272" s="128"/>
      <c r="C272" s="128"/>
      <c r="D272" s="129"/>
      <c r="E272" s="130" t="str">
        <f t="shared" ref="E272" si="782">E244</f>
        <v>營造綜合保險費</v>
      </c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2"/>
      <c r="U272" s="133" t="str">
        <f t="shared" ref="U272" si="783">U244</f>
        <v>式</v>
      </c>
      <c r="V272" s="134"/>
      <c r="W272" s="134"/>
      <c r="X272" s="135"/>
      <c r="Y272" s="136">
        <f t="shared" ref="Y272" si="784">Y244</f>
        <v>1</v>
      </c>
      <c r="Z272" s="137"/>
      <c r="AA272" s="137"/>
      <c r="AB272" s="137"/>
      <c r="AC272" s="137"/>
      <c r="AD272" s="138"/>
      <c r="AE272" s="139">
        <f t="shared" ref="AE272" si="785">AE244</f>
        <v>1321</v>
      </c>
      <c r="AF272" s="139"/>
      <c r="AG272" s="139"/>
      <c r="AH272" s="139"/>
      <c r="AI272" s="139"/>
      <c r="AJ272" s="139"/>
      <c r="AK272" s="136">
        <v>0</v>
      </c>
      <c r="AL272" s="137"/>
      <c r="AM272" s="137"/>
      <c r="AN272" s="137"/>
      <c r="AO272" s="137"/>
      <c r="AP272" s="138"/>
      <c r="AQ272" s="143">
        <f t="shared" si="752"/>
        <v>0</v>
      </c>
      <c r="AR272" s="144"/>
      <c r="AS272" s="144"/>
      <c r="AT272" s="144"/>
      <c r="AU272" s="144"/>
      <c r="AV272" s="145"/>
      <c r="AW272" s="136">
        <f t="shared" si="774"/>
        <v>1</v>
      </c>
      <c r="AX272" s="137"/>
      <c r="AY272" s="137"/>
      <c r="AZ272" s="137"/>
      <c r="BA272" s="137"/>
      <c r="BB272" s="138"/>
      <c r="BC272" s="136">
        <f t="shared" si="775"/>
        <v>1321</v>
      </c>
      <c r="BD272" s="137"/>
      <c r="BE272" s="137"/>
      <c r="BF272" s="137"/>
      <c r="BG272" s="137"/>
      <c r="BH272" s="146"/>
      <c r="BI272" s="18">
        <f t="shared" si="701"/>
        <v>1321</v>
      </c>
    </row>
    <row r="273" spans="1:69" s="19" customFormat="1" ht="21.95" customHeight="1" x14ac:dyDescent="0.25">
      <c r="A273" s="127" t="str">
        <f t="shared" ref="A273" si="786">A245</f>
        <v>陸</v>
      </c>
      <c r="B273" s="128"/>
      <c r="C273" s="128"/>
      <c r="D273" s="129"/>
      <c r="E273" s="130" t="str">
        <f t="shared" ref="E273" si="787">E245</f>
        <v>營業稅（(壹~伍)*5％）</v>
      </c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2"/>
      <c r="U273" s="133" t="str">
        <f t="shared" ref="U273" si="788">U245</f>
        <v>式</v>
      </c>
      <c r="V273" s="134"/>
      <c r="W273" s="134"/>
      <c r="X273" s="135"/>
      <c r="Y273" s="136">
        <f t="shared" ref="Y273" si="789">Y245</f>
        <v>1</v>
      </c>
      <c r="Z273" s="137"/>
      <c r="AA273" s="137"/>
      <c r="AB273" s="137"/>
      <c r="AC273" s="137"/>
      <c r="AD273" s="138"/>
      <c r="AE273" s="139">
        <f t="shared" ref="AE273" si="790">AE245</f>
        <v>24286</v>
      </c>
      <c r="AF273" s="139"/>
      <c r="AG273" s="139"/>
      <c r="AH273" s="139"/>
      <c r="AI273" s="139"/>
      <c r="AJ273" s="139"/>
      <c r="AK273" s="140">
        <v>1.7000000000000001E-2</v>
      </c>
      <c r="AL273" s="141"/>
      <c r="AM273" s="141"/>
      <c r="AN273" s="141"/>
      <c r="AO273" s="141"/>
      <c r="AP273" s="142"/>
      <c r="AQ273" s="143">
        <f t="shared" si="752"/>
        <v>412.86200000000002</v>
      </c>
      <c r="AR273" s="144"/>
      <c r="AS273" s="144"/>
      <c r="AT273" s="144"/>
      <c r="AU273" s="144"/>
      <c r="AV273" s="145"/>
      <c r="AW273" s="140">
        <f t="shared" si="774"/>
        <v>0.17000000000000004</v>
      </c>
      <c r="AX273" s="141"/>
      <c r="AY273" s="141"/>
      <c r="AZ273" s="141"/>
      <c r="BA273" s="141"/>
      <c r="BB273" s="142"/>
      <c r="BC273" s="136">
        <f t="shared" si="775"/>
        <v>4129</v>
      </c>
      <c r="BD273" s="137"/>
      <c r="BE273" s="137"/>
      <c r="BF273" s="137"/>
      <c r="BG273" s="137"/>
      <c r="BH273" s="146"/>
      <c r="BI273" s="18">
        <f t="shared" si="701"/>
        <v>24286</v>
      </c>
    </row>
    <row r="274" spans="1:69" ht="21.95" customHeight="1" x14ac:dyDescent="0.25">
      <c r="A274" s="111"/>
      <c r="B274" s="112"/>
      <c r="C274" s="112"/>
      <c r="D274" s="113"/>
      <c r="E274" s="114" t="s">
        <v>75</v>
      </c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6"/>
      <c r="U274" s="117"/>
      <c r="V274" s="118"/>
      <c r="W274" s="118"/>
      <c r="X274" s="119"/>
      <c r="Y274" s="120"/>
      <c r="Z274" s="121"/>
      <c r="AA274" s="121"/>
      <c r="AB274" s="121"/>
      <c r="AC274" s="121"/>
      <c r="AD274" s="122"/>
      <c r="AE274" s="123"/>
      <c r="AF274" s="124"/>
      <c r="AG274" s="124"/>
      <c r="AH274" s="124"/>
      <c r="AI274" s="124"/>
      <c r="AJ274" s="125"/>
      <c r="AK274" s="120"/>
      <c r="AL274" s="121"/>
      <c r="AM274" s="121"/>
      <c r="AN274" s="121"/>
      <c r="AO274" s="121"/>
      <c r="AP274" s="122"/>
      <c r="AQ274" s="123">
        <f>SUM(AQ260:AQ273)</f>
        <v>1161.4740000000002</v>
      </c>
      <c r="AR274" s="124"/>
      <c r="AS274" s="124"/>
      <c r="AT274" s="124"/>
      <c r="AU274" s="124"/>
      <c r="AV274" s="125"/>
      <c r="AW274" s="120"/>
      <c r="AX274" s="121"/>
      <c r="AY274" s="121"/>
      <c r="AZ274" s="121"/>
      <c r="BA274" s="121"/>
      <c r="BB274" s="122"/>
      <c r="BC274" s="120">
        <f>SUM(BC260:BC273)</f>
        <v>14936</v>
      </c>
      <c r="BD274" s="121"/>
      <c r="BE274" s="121"/>
      <c r="BF274" s="121"/>
      <c r="BG274" s="121"/>
      <c r="BH274" s="126"/>
      <c r="BI274" s="17">
        <f>SUM(BI258:BI273)</f>
        <v>510000</v>
      </c>
    </row>
    <row r="275" spans="1:69" ht="21.95" customHeight="1" x14ac:dyDescent="0.25">
      <c r="A275" s="101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2"/>
      <c r="AH275" s="102"/>
      <c r="AI275" s="102"/>
      <c r="AJ275" s="103"/>
      <c r="AK275" s="104"/>
      <c r="AL275" s="105"/>
      <c r="AM275" s="105"/>
      <c r="AN275" s="105"/>
      <c r="AO275" s="105"/>
      <c r="AP275" s="106"/>
      <c r="AQ275" s="107"/>
      <c r="AR275" s="108"/>
      <c r="AS275" s="108"/>
      <c r="AT275" s="108"/>
      <c r="AU275" s="108"/>
      <c r="AV275" s="109"/>
      <c r="AW275" s="104"/>
      <c r="AX275" s="105"/>
      <c r="AY275" s="105"/>
      <c r="AZ275" s="105"/>
      <c r="BA275" s="105"/>
      <c r="BB275" s="106"/>
      <c r="BC275" s="104"/>
      <c r="BD275" s="105"/>
      <c r="BE275" s="105"/>
      <c r="BF275" s="105"/>
      <c r="BG275" s="105"/>
      <c r="BH275" s="110"/>
      <c r="BI275" s="15">
        <f>Y275*AE275</f>
        <v>0</v>
      </c>
    </row>
    <row r="276" spans="1:69" ht="21.95" customHeight="1" x14ac:dyDescent="0.25">
      <c r="A276" s="101" t="s">
        <v>11</v>
      </c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  <c r="AH276" s="102"/>
      <c r="AI276" s="102"/>
      <c r="AJ276" s="103"/>
      <c r="AK276" s="104"/>
      <c r="AL276" s="105"/>
      <c r="AM276" s="105"/>
      <c r="AN276" s="105"/>
      <c r="AO276" s="105"/>
      <c r="AP276" s="106"/>
      <c r="AQ276" s="107">
        <f>BC274/BI274</f>
        <v>2.9286274509803922E-2</v>
      </c>
      <c r="AR276" s="108"/>
      <c r="AS276" s="108"/>
      <c r="AT276" s="108"/>
      <c r="AU276" s="108"/>
      <c r="AV276" s="109"/>
      <c r="AW276" s="104"/>
      <c r="AX276" s="105"/>
      <c r="AY276" s="105"/>
      <c r="AZ276" s="105"/>
      <c r="BA276" s="105"/>
      <c r="BB276" s="106"/>
      <c r="BC276" s="104"/>
      <c r="BD276" s="105"/>
      <c r="BE276" s="105"/>
      <c r="BF276" s="105"/>
      <c r="BG276" s="105"/>
      <c r="BH276" s="110"/>
      <c r="BI276" s="15">
        <f>AQ276</f>
        <v>2.9286274509803922E-2</v>
      </c>
    </row>
    <row r="277" spans="1:69" ht="18.75" customHeight="1" x14ac:dyDescent="0.25">
      <c r="A277" s="90" t="s">
        <v>15</v>
      </c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2"/>
      <c r="AE277" s="93" t="s">
        <v>14</v>
      </c>
      <c r="AF277" s="91"/>
      <c r="AG277" s="91"/>
      <c r="AH277" s="91"/>
      <c r="AI277" s="91"/>
      <c r="AJ277" s="91"/>
      <c r="AK277" s="91"/>
      <c r="AL277" s="91"/>
      <c r="AM277" s="91"/>
      <c r="AN277" s="91"/>
      <c r="AO277" s="91"/>
      <c r="AP277" s="91"/>
      <c r="AQ277" s="91"/>
      <c r="AR277" s="91"/>
      <c r="AS277" s="91"/>
      <c r="AT277" s="91"/>
      <c r="AU277" s="91"/>
      <c r="AV277" s="91"/>
      <c r="AW277" s="91"/>
      <c r="AX277" s="91"/>
      <c r="AY277" s="91"/>
      <c r="AZ277" s="91"/>
      <c r="BA277" s="91"/>
      <c r="BB277" s="91"/>
      <c r="BC277" s="91"/>
      <c r="BD277" s="91"/>
      <c r="BE277" s="91"/>
      <c r="BF277" s="91"/>
      <c r="BG277" s="91"/>
      <c r="BH277" s="94"/>
    </row>
    <row r="278" spans="1:69" x14ac:dyDescent="0.25">
      <c r="A278" s="95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  <c r="AC278" s="96"/>
      <c r="AD278" s="96"/>
      <c r="AE278" s="96"/>
      <c r="AF278" s="96"/>
      <c r="AG278" s="96"/>
      <c r="AH278" s="96"/>
      <c r="AI278" s="96"/>
      <c r="AJ278" s="96"/>
      <c r="AK278" s="96"/>
      <c r="AL278" s="96"/>
      <c r="AM278" s="96"/>
      <c r="AN278" s="96"/>
      <c r="AO278" s="96"/>
      <c r="AP278" s="96"/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9"/>
    </row>
    <row r="279" spans="1:69" x14ac:dyDescent="0.25">
      <c r="A279" s="95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  <c r="AC279" s="96"/>
      <c r="AD279" s="96"/>
      <c r="AE279" s="96"/>
      <c r="AF279" s="96"/>
      <c r="AG279" s="96"/>
      <c r="AH279" s="96"/>
      <c r="AI279" s="96"/>
      <c r="AJ279" s="96"/>
      <c r="AK279" s="96"/>
      <c r="AL279" s="96"/>
      <c r="AM279" s="96"/>
      <c r="AN279" s="96"/>
      <c r="AO279" s="96"/>
      <c r="AP279" s="96"/>
      <c r="AQ279" s="96"/>
      <c r="AR279" s="96"/>
      <c r="AS279" s="96"/>
      <c r="AT279" s="96"/>
      <c r="AU279" s="96"/>
      <c r="AV279" s="96"/>
      <c r="AW279" s="96"/>
      <c r="AX279" s="96"/>
      <c r="AY279" s="96"/>
      <c r="AZ279" s="96"/>
      <c r="BA279" s="96"/>
      <c r="BB279" s="96"/>
      <c r="BC279" s="96"/>
      <c r="BD279" s="96"/>
      <c r="BE279" s="96"/>
      <c r="BF279" s="96"/>
      <c r="BG279" s="96"/>
      <c r="BH279" s="99"/>
    </row>
    <row r="280" spans="1:69" ht="17.25" thickBot="1" x14ac:dyDescent="0.3">
      <c r="A280" s="97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  <c r="AA280" s="98"/>
      <c r="AB280" s="98"/>
      <c r="AC280" s="98"/>
      <c r="AD280" s="98"/>
      <c r="AE280" s="98"/>
      <c r="AF280" s="98"/>
      <c r="AG280" s="98"/>
      <c r="AH280" s="98"/>
      <c r="AI280" s="98"/>
      <c r="AJ280" s="98"/>
      <c r="AK280" s="98"/>
      <c r="AL280" s="98"/>
      <c r="AM280" s="98"/>
      <c r="AN280" s="98"/>
      <c r="AO280" s="98"/>
      <c r="AP280" s="98"/>
      <c r="AQ280" s="98"/>
      <c r="AR280" s="98"/>
      <c r="AS280" s="98"/>
      <c r="AT280" s="98"/>
      <c r="AU280" s="98"/>
      <c r="AV280" s="98"/>
      <c r="AW280" s="98"/>
      <c r="AX280" s="98"/>
      <c r="AY280" s="98"/>
      <c r="AZ280" s="98"/>
      <c r="BA280" s="98"/>
      <c r="BB280" s="98"/>
      <c r="BC280" s="98"/>
      <c r="BD280" s="98"/>
      <c r="BE280" s="98"/>
      <c r="BF280" s="98"/>
      <c r="BG280" s="98"/>
      <c r="BH280" s="100"/>
    </row>
    <row r="281" spans="1:69" ht="27.75" x14ac:dyDescent="0.25">
      <c r="A281" s="182" t="s">
        <v>81</v>
      </c>
      <c r="B281" s="182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2"/>
      <c r="Y281" s="182"/>
      <c r="Z281" s="182"/>
      <c r="AA281" s="182"/>
      <c r="AB281" s="182"/>
      <c r="AC281" s="182"/>
      <c r="AD281" s="182"/>
      <c r="AE281" s="182"/>
      <c r="AF281" s="182"/>
      <c r="AG281" s="182"/>
      <c r="AH281" s="182"/>
      <c r="AI281" s="182"/>
      <c r="AJ281" s="182"/>
      <c r="AK281" s="182"/>
      <c r="AL281" s="182"/>
      <c r="AM281" s="182"/>
      <c r="AN281" s="182"/>
      <c r="AO281" s="182"/>
      <c r="AP281" s="182"/>
      <c r="AQ281" s="182"/>
      <c r="AR281" s="182"/>
      <c r="AS281" s="182"/>
      <c r="AT281" s="182"/>
      <c r="AU281" s="182"/>
      <c r="AV281" s="182"/>
      <c r="AW281" s="182"/>
      <c r="AX281" s="182"/>
      <c r="AY281" s="182"/>
      <c r="AZ281" s="182"/>
      <c r="BA281" s="182"/>
      <c r="BB281" s="182"/>
      <c r="BC281" s="182"/>
      <c r="BD281" s="182"/>
      <c r="BE281" s="182"/>
      <c r="BF281" s="182"/>
      <c r="BG281" s="182"/>
      <c r="BH281" s="182"/>
    </row>
    <row r="282" spans="1:69" ht="27.75" x14ac:dyDescent="0.25">
      <c r="A282" s="183" t="s">
        <v>12</v>
      </c>
      <c r="B282" s="183"/>
      <c r="C282" s="183"/>
      <c r="D282" s="183"/>
      <c r="E282" s="183"/>
      <c r="F282" s="183"/>
      <c r="G282" s="183"/>
      <c r="H282" s="183"/>
      <c r="I282" s="183"/>
      <c r="J282" s="184" t="s">
        <v>85</v>
      </c>
      <c r="K282" s="185"/>
      <c r="L282" s="185"/>
      <c r="M282" s="185"/>
      <c r="N282" s="185"/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  <c r="Z282" s="185"/>
      <c r="AA282" s="185"/>
      <c r="AB282" s="185"/>
      <c r="AC282" s="185"/>
      <c r="AD282" s="185"/>
      <c r="AE282" s="185"/>
      <c r="AF282" s="185"/>
      <c r="AG282" s="185"/>
      <c r="AH282" s="185"/>
      <c r="AI282" s="185"/>
      <c r="AJ282" s="185"/>
      <c r="AK282" s="185"/>
      <c r="AL282" s="185"/>
      <c r="AM282" s="185"/>
      <c r="AN282" s="185"/>
      <c r="AO282" s="185"/>
      <c r="AP282" s="185"/>
      <c r="AQ282" s="185"/>
      <c r="AR282" s="185"/>
      <c r="AS282" s="185"/>
      <c r="AT282" s="185"/>
      <c r="AU282" s="185"/>
      <c r="AV282" s="185"/>
      <c r="AW282" s="185"/>
      <c r="AX282" s="185"/>
      <c r="AY282" s="185"/>
      <c r="AZ282" s="185"/>
      <c r="BA282" s="185"/>
      <c r="BB282" s="185"/>
      <c r="BC282" s="185"/>
      <c r="BD282" s="185"/>
      <c r="BE282" s="185"/>
      <c r="BF282" s="185"/>
      <c r="BG282" s="185"/>
      <c r="BH282" s="185"/>
      <c r="BI282" s="185"/>
      <c r="BJ282" s="185"/>
      <c r="BK282" s="185"/>
      <c r="BL282" s="185"/>
      <c r="BM282" s="185"/>
      <c r="BN282" s="185"/>
      <c r="BO282" s="185"/>
      <c r="BP282" s="185"/>
      <c r="BQ282" s="185"/>
    </row>
    <row r="283" spans="1:69" ht="17.25" thickBot="1" x14ac:dyDescent="0.3">
      <c r="A283" s="186" t="s">
        <v>10</v>
      </c>
      <c r="B283" s="186"/>
      <c r="C283" s="186"/>
      <c r="D283" s="186"/>
      <c r="E283" s="186"/>
      <c r="F283" s="186"/>
      <c r="G283" s="186"/>
      <c r="H283" s="186"/>
      <c r="I283" s="187" t="s">
        <v>78</v>
      </c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  <c r="AA283" s="187"/>
      <c r="AB283" s="187"/>
      <c r="AC283" s="187"/>
      <c r="AD283" s="187"/>
      <c r="AE283" s="187"/>
      <c r="AF283" s="187"/>
      <c r="AG283" s="187"/>
      <c r="AH283" s="187"/>
      <c r="AI283" s="187"/>
      <c r="AJ283" s="187"/>
      <c r="AK283" s="187"/>
      <c r="AL283" s="187"/>
      <c r="AM283" s="187"/>
      <c r="AN283" s="187"/>
      <c r="AO283" s="188" t="s">
        <v>9</v>
      </c>
      <c r="AP283" s="188"/>
      <c r="AQ283" s="188"/>
      <c r="AR283" s="188"/>
      <c r="AS283" s="188"/>
      <c r="AT283" s="188"/>
      <c r="AU283" s="188"/>
      <c r="AV283" s="188"/>
      <c r="AW283" s="189">
        <f>AW255+1</f>
        <v>45920</v>
      </c>
      <c r="AX283" s="189"/>
      <c r="AY283" s="189"/>
      <c r="AZ283" s="189"/>
      <c r="BA283" s="189"/>
      <c r="BB283" s="189"/>
      <c r="BC283" s="189"/>
      <c r="BD283" s="189"/>
      <c r="BE283" s="189"/>
      <c r="BF283" s="189"/>
      <c r="BG283" s="189"/>
      <c r="BH283" s="189"/>
    </row>
    <row r="284" spans="1:69" ht="36" customHeight="1" x14ac:dyDescent="0.25">
      <c r="A284" s="180" t="s">
        <v>0</v>
      </c>
      <c r="B284" s="83"/>
      <c r="C284" s="83"/>
      <c r="D284" s="83"/>
      <c r="E284" s="83" t="s">
        <v>6</v>
      </c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 t="s">
        <v>7</v>
      </c>
      <c r="V284" s="83"/>
      <c r="W284" s="83"/>
      <c r="X284" s="83"/>
      <c r="Y284" s="181" t="s">
        <v>1</v>
      </c>
      <c r="Z284" s="181"/>
      <c r="AA284" s="181"/>
      <c r="AB284" s="181"/>
      <c r="AC284" s="181"/>
      <c r="AD284" s="181"/>
      <c r="AE284" s="83" t="s">
        <v>8</v>
      </c>
      <c r="AF284" s="83"/>
      <c r="AG284" s="83"/>
      <c r="AH284" s="83"/>
      <c r="AI284" s="83"/>
      <c r="AJ284" s="83"/>
      <c r="AK284" s="181" t="s">
        <v>2</v>
      </c>
      <c r="AL284" s="181"/>
      <c r="AM284" s="181"/>
      <c r="AN284" s="181"/>
      <c r="AO284" s="181"/>
      <c r="AP284" s="181"/>
      <c r="AQ284" s="84" t="s">
        <v>3</v>
      </c>
      <c r="AR284" s="84"/>
      <c r="AS284" s="84"/>
      <c r="AT284" s="84"/>
      <c r="AU284" s="84"/>
      <c r="AV284" s="84"/>
      <c r="AW284" s="181" t="s">
        <v>4</v>
      </c>
      <c r="AX284" s="181"/>
      <c r="AY284" s="181"/>
      <c r="AZ284" s="181"/>
      <c r="BA284" s="181"/>
      <c r="BB284" s="181"/>
      <c r="BC284" s="84" t="s">
        <v>5</v>
      </c>
      <c r="BD284" s="84"/>
      <c r="BE284" s="84"/>
      <c r="BF284" s="84"/>
      <c r="BG284" s="84"/>
      <c r="BH284" s="85"/>
      <c r="BI284" s="1"/>
    </row>
    <row r="285" spans="1:69" ht="21.95" customHeight="1" x14ac:dyDescent="0.25">
      <c r="A285" s="150" t="str">
        <f t="shared" ref="A285" si="791">A257</f>
        <v>壹</v>
      </c>
      <c r="B285" s="151"/>
      <c r="C285" s="151"/>
      <c r="D285" s="152"/>
      <c r="E285" s="175" t="str">
        <f t="shared" ref="E285" si="792">E257</f>
        <v>直接工程費</v>
      </c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7"/>
      <c r="U285" s="117"/>
      <c r="V285" s="118"/>
      <c r="W285" s="118"/>
      <c r="X285" s="119"/>
      <c r="Y285" s="178"/>
      <c r="Z285" s="178"/>
      <c r="AA285" s="178"/>
      <c r="AB285" s="178"/>
      <c r="AC285" s="178"/>
      <c r="AD285" s="178"/>
      <c r="AE285" s="178"/>
      <c r="AF285" s="178"/>
      <c r="AG285" s="178"/>
      <c r="AH285" s="178"/>
      <c r="AI285" s="178"/>
      <c r="AJ285" s="178"/>
      <c r="AK285" s="178"/>
      <c r="AL285" s="178"/>
      <c r="AM285" s="178"/>
      <c r="AN285" s="178"/>
      <c r="AO285" s="178"/>
      <c r="AP285" s="178"/>
      <c r="AQ285" s="178"/>
      <c r="AR285" s="178"/>
      <c r="AS285" s="178"/>
      <c r="AT285" s="178"/>
      <c r="AU285" s="178"/>
      <c r="AV285" s="178"/>
      <c r="AW285" s="178"/>
      <c r="AX285" s="178"/>
      <c r="AY285" s="178"/>
      <c r="AZ285" s="178"/>
      <c r="BA285" s="178"/>
      <c r="BB285" s="178"/>
      <c r="BC285" s="178"/>
      <c r="BD285" s="178"/>
      <c r="BE285" s="178"/>
      <c r="BF285" s="178"/>
      <c r="BG285" s="178"/>
      <c r="BH285" s="179"/>
      <c r="BI285" s="3">
        <f t="shared" ref="BI285:BI301" si="793">Y285*AE285</f>
        <v>0</v>
      </c>
    </row>
    <row r="286" spans="1:69" s="19" customFormat="1" ht="21.95" customHeight="1" x14ac:dyDescent="0.25">
      <c r="A286" s="127">
        <f t="shared" ref="A286" si="794">A258</f>
        <v>1</v>
      </c>
      <c r="B286" s="128"/>
      <c r="C286" s="128"/>
      <c r="D286" s="129"/>
      <c r="E286" s="170" t="str">
        <f t="shared" ref="E286" si="795">E258</f>
        <v>工程告示牌與職安衛告示牌(租用)</v>
      </c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2"/>
      <c r="U286" s="133" t="str">
        <f t="shared" ref="U286" si="796">U258</f>
        <v>式</v>
      </c>
      <c r="V286" s="134"/>
      <c r="W286" s="134"/>
      <c r="X286" s="135"/>
      <c r="Y286" s="136">
        <f t="shared" ref="Y286" si="797">Y258</f>
        <v>1</v>
      </c>
      <c r="Z286" s="137"/>
      <c r="AA286" s="137"/>
      <c r="AB286" s="137"/>
      <c r="AC286" s="137"/>
      <c r="AD286" s="138"/>
      <c r="AE286" s="139">
        <f t="shared" ref="AE286" si="798">AE258</f>
        <v>5000</v>
      </c>
      <c r="AF286" s="139"/>
      <c r="AG286" s="139"/>
      <c r="AH286" s="139"/>
      <c r="AI286" s="139"/>
      <c r="AJ286" s="139"/>
      <c r="AK286" s="173">
        <v>0</v>
      </c>
      <c r="AL286" s="173"/>
      <c r="AM286" s="173"/>
      <c r="AN286" s="173"/>
      <c r="AO286" s="173"/>
      <c r="AP286" s="173"/>
      <c r="AQ286" s="139">
        <f t="shared" ref="AQ286:AQ287" si="799">AK286*AE286</f>
        <v>0</v>
      </c>
      <c r="AR286" s="139"/>
      <c r="AS286" s="139"/>
      <c r="AT286" s="139"/>
      <c r="AU286" s="139"/>
      <c r="AV286" s="139"/>
      <c r="AW286" s="173">
        <f t="shared" ref="AW286:AW296" si="800">AW258+AK286</f>
        <v>1</v>
      </c>
      <c r="AX286" s="173"/>
      <c r="AY286" s="173"/>
      <c r="AZ286" s="173"/>
      <c r="BA286" s="173"/>
      <c r="BB286" s="173"/>
      <c r="BC286" s="173">
        <f t="shared" ref="BC286:BC287" si="801">ROUND(AW286*AE286,0)</f>
        <v>5000</v>
      </c>
      <c r="BD286" s="173"/>
      <c r="BE286" s="173"/>
      <c r="BF286" s="173"/>
      <c r="BG286" s="173"/>
      <c r="BH286" s="174"/>
      <c r="BI286" s="18">
        <f t="shared" si="793"/>
        <v>5000</v>
      </c>
    </row>
    <row r="287" spans="1:69" s="19" customFormat="1" ht="21.95" customHeight="1" x14ac:dyDescent="0.25">
      <c r="A287" s="127">
        <f t="shared" ref="A287" si="802">A259</f>
        <v>2</v>
      </c>
      <c r="B287" s="128"/>
      <c r="C287" s="128"/>
      <c r="D287" s="129"/>
      <c r="E287" s="170" t="str">
        <f t="shared" ref="E287" si="803">E259</f>
        <v>三角錐與連桿(租用)</v>
      </c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2"/>
      <c r="U287" s="133" t="str">
        <f t="shared" ref="U287" si="804">U259</f>
        <v>M</v>
      </c>
      <c r="V287" s="134"/>
      <c r="W287" s="134"/>
      <c r="X287" s="135"/>
      <c r="Y287" s="147">
        <f t="shared" ref="Y287" si="805">Y259</f>
        <v>86</v>
      </c>
      <c r="Z287" s="148"/>
      <c r="AA287" s="148"/>
      <c r="AB287" s="148"/>
      <c r="AC287" s="148"/>
      <c r="AD287" s="149"/>
      <c r="AE287" s="139">
        <f t="shared" ref="AE287" si="806">AE259</f>
        <v>60</v>
      </c>
      <c r="AF287" s="139"/>
      <c r="AG287" s="139"/>
      <c r="AH287" s="139"/>
      <c r="AI287" s="139"/>
      <c r="AJ287" s="139"/>
      <c r="AK287" s="173">
        <v>0</v>
      </c>
      <c r="AL287" s="173"/>
      <c r="AM287" s="173"/>
      <c r="AN287" s="173"/>
      <c r="AO287" s="173"/>
      <c r="AP287" s="173"/>
      <c r="AQ287" s="139">
        <f t="shared" si="799"/>
        <v>0</v>
      </c>
      <c r="AR287" s="139"/>
      <c r="AS287" s="139"/>
      <c r="AT287" s="139"/>
      <c r="AU287" s="139"/>
      <c r="AV287" s="139"/>
      <c r="AW287" s="173">
        <f t="shared" si="800"/>
        <v>86</v>
      </c>
      <c r="AX287" s="173"/>
      <c r="AY287" s="173"/>
      <c r="AZ287" s="173"/>
      <c r="BA287" s="173"/>
      <c r="BB287" s="173"/>
      <c r="BC287" s="173">
        <f t="shared" si="801"/>
        <v>5160</v>
      </c>
      <c r="BD287" s="173"/>
      <c r="BE287" s="173"/>
      <c r="BF287" s="173"/>
      <c r="BG287" s="173"/>
      <c r="BH287" s="174"/>
      <c r="BI287" s="18">
        <f t="shared" si="793"/>
        <v>5160</v>
      </c>
    </row>
    <row r="288" spans="1:69" s="19" customFormat="1" ht="33" customHeight="1" x14ac:dyDescent="0.25">
      <c r="A288" s="150">
        <f t="shared" ref="A288" si="807">A260</f>
        <v>3</v>
      </c>
      <c r="B288" s="151"/>
      <c r="C288" s="151"/>
      <c r="D288" s="152"/>
      <c r="E288" s="175" t="str">
        <f t="shared" ref="E288" si="808">E260</f>
        <v>施工動線開闢及損害復原；測量與放樣</v>
      </c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7"/>
      <c r="U288" s="117" t="str">
        <f t="shared" ref="U288" si="809">U260</f>
        <v>式</v>
      </c>
      <c r="V288" s="118"/>
      <c r="W288" s="118"/>
      <c r="X288" s="119"/>
      <c r="Y288" s="156">
        <f t="shared" ref="Y288" si="810">Y260</f>
        <v>1</v>
      </c>
      <c r="Z288" s="157"/>
      <c r="AA288" s="157"/>
      <c r="AB288" s="157"/>
      <c r="AC288" s="157"/>
      <c r="AD288" s="158"/>
      <c r="AE288" s="159">
        <f t="shared" ref="AE288" si="811">AE260</f>
        <v>4000</v>
      </c>
      <c r="AF288" s="159"/>
      <c r="AG288" s="159"/>
      <c r="AH288" s="159"/>
      <c r="AI288" s="159"/>
      <c r="AJ288" s="159"/>
      <c r="AK288" s="167">
        <v>0</v>
      </c>
      <c r="AL288" s="167"/>
      <c r="AM288" s="167"/>
      <c r="AN288" s="167"/>
      <c r="AO288" s="167"/>
      <c r="AP288" s="167"/>
      <c r="AQ288" s="159">
        <f>AK288*AE288</f>
        <v>0</v>
      </c>
      <c r="AR288" s="159"/>
      <c r="AS288" s="159"/>
      <c r="AT288" s="159"/>
      <c r="AU288" s="159"/>
      <c r="AV288" s="159"/>
      <c r="AW288" s="167">
        <f t="shared" si="800"/>
        <v>0.5</v>
      </c>
      <c r="AX288" s="167"/>
      <c r="AY288" s="167"/>
      <c r="AZ288" s="167"/>
      <c r="BA288" s="167"/>
      <c r="BB288" s="167"/>
      <c r="BC288" s="167">
        <f>ROUND(AW288*AE288,0)</f>
        <v>2000</v>
      </c>
      <c r="BD288" s="167"/>
      <c r="BE288" s="167"/>
      <c r="BF288" s="167"/>
      <c r="BG288" s="167"/>
      <c r="BH288" s="168"/>
      <c r="BI288" s="18">
        <f t="shared" si="793"/>
        <v>4000</v>
      </c>
    </row>
    <row r="289" spans="1:61" ht="54" customHeight="1" x14ac:dyDescent="0.25">
      <c r="A289" s="150">
        <f t="shared" ref="A289" si="812">A261</f>
        <v>4</v>
      </c>
      <c r="B289" s="151"/>
      <c r="C289" s="151"/>
      <c r="D289" s="152"/>
      <c r="E289" s="175" t="str">
        <f t="shared" ref="E289" si="813">E261</f>
        <v>切割打除清運校舍與教室出入口地坪以及司令台階梯平台(含合法清運證明)</v>
      </c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7"/>
      <c r="U289" s="117" t="str">
        <f t="shared" ref="U289" si="814">U261</f>
        <v>式</v>
      </c>
      <c r="V289" s="118"/>
      <c r="W289" s="118"/>
      <c r="X289" s="119"/>
      <c r="Y289" s="156">
        <f t="shared" ref="Y289" si="815">Y261</f>
        <v>1</v>
      </c>
      <c r="Z289" s="157"/>
      <c r="AA289" s="157"/>
      <c r="AB289" s="157"/>
      <c r="AC289" s="157"/>
      <c r="AD289" s="158"/>
      <c r="AE289" s="159">
        <f t="shared" ref="AE289" si="816">AE261</f>
        <v>52817</v>
      </c>
      <c r="AF289" s="159"/>
      <c r="AG289" s="159"/>
      <c r="AH289" s="159"/>
      <c r="AI289" s="159"/>
      <c r="AJ289" s="159"/>
      <c r="AK289" s="167">
        <v>0</v>
      </c>
      <c r="AL289" s="167"/>
      <c r="AM289" s="167"/>
      <c r="AN289" s="167"/>
      <c r="AO289" s="167"/>
      <c r="AP289" s="167"/>
      <c r="AQ289" s="159">
        <f t="shared" ref="AQ289:AQ292" si="817">AK289*AE289</f>
        <v>0</v>
      </c>
      <c r="AR289" s="159"/>
      <c r="AS289" s="159"/>
      <c r="AT289" s="159"/>
      <c r="AU289" s="159"/>
      <c r="AV289" s="159"/>
      <c r="AW289" s="167">
        <f t="shared" si="800"/>
        <v>0</v>
      </c>
      <c r="AX289" s="167"/>
      <c r="AY289" s="167"/>
      <c r="AZ289" s="167"/>
      <c r="BA289" s="167"/>
      <c r="BB289" s="167"/>
      <c r="BC289" s="167">
        <f t="shared" ref="BC289:BC292" si="818">ROUND(AW289*AE289,0)</f>
        <v>0</v>
      </c>
      <c r="BD289" s="167"/>
      <c r="BE289" s="167"/>
      <c r="BF289" s="167"/>
      <c r="BG289" s="167"/>
      <c r="BH289" s="168"/>
      <c r="BI289" s="16">
        <f t="shared" si="793"/>
        <v>52817</v>
      </c>
    </row>
    <row r="290" spans="1:61" ht="20.25" customHeight="1" x14ac:dyDescent="0.25">
      <c r="A290" s="150">
        <f t="shared" ref="A290" si="819">A262</f>
        <v>5</v>
      </c>
      <c r="B290" s="151"/>
      <c r="C290" s="151"/>
      <c r="D290" s="152"/>
      <c r="E290" s="153" t="str">
        <f t="shared" ref="E290" si="820">E262</f>
        <v>校舍出入口施做斜坡順平高差</v>
      </c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5"/>
      <c r="U290" s="117" t="str">
        <f t="shared" ref="U290" si="821">U262</f>
        <v>M2</v>
      </c>
      <c r="V290" s="118"/>
      <c r="W290" s="118"/>
      <c r="X290" s="119"/>
      <c r="Y290" s="160">
        <f t="shared" ref="Y290" si="822">Y262</f>
        <v>15</v>
      </c>
      <c r="Z290" s="161"/>
      <c r="AA290" s="161"/>
      <c r="AB290" s="161"/>
      <c r="AC290" s="161"/>
      <c r="AD290" s="162"/>
      <c r="AE290" s="169">
        <f t="shared" ref="AE290" si="823">AE262</f>
        <v>600</v>
      </c>
      <c r="AF290" s="169"/>
      <c r="AG290" s="169"/>
      <c r="AH290" s="169"/>
      <c r="AI290" s="169"/>
      <c r="AJ290" s="169"/>
      <c r="AK290" s="167">
        <v>0</v>
      </c>
      <c r="AL290" s="167"/>
      <c r="AM290" s="167"/>
      <c r="AN290" s="167"/>
      <c r="AO290" s="167"/>
      <c r="AP290" s="167"/>
      <c r="AQ290" s="159">
        <f t="shared" si="817"/>
        <v>0</v>
      </c>
      <c r="AR290" s="159"/>
      <c r="AS290" s="159"/>
      <c r="AT290" s="159"/>
      <c r="AU290" s="159"/>
      <c r="AV290" s="159"/>
      <c r="AW290" s="167">
        <f t="shared" si="800"/>
        <v>0</v>
      </c>
      <c r="AX290" s="167"/>
      <c r="AY290" s="167"/>
      <c r="AZ290" s="167"/>
      <c r="BA290" s="167"/>
      <c r="BB290" s="167"/>
      <c r="BC290" s="167">
        <f t="shared" si="818"/>
        <v>0</v>
      </c>
      <c r="BD290" s="167"/>
      <c r="BE290" s="167"/>
      <c r="BF290" s="167"/>
      <c r="BG290" s="167"/>
      <c r="BH290" s="168"/>
      <c r="BI290" s="3">
        <f t="shared" si="793"/>
        <v>9000</v>
      </c>
    </row>
    <row r="291" spans="1:61" ht="50.25" customHeight="1" x14ac:dyDescent="0.25">
      <c r="A291" s="150">
        <f t="shared" ref="A291" si="824">A263</f>
        <v>6</v>
      </c>
      <c r="B291" s="151"/>
      <c r="C291" s="151"/>
      <c r="D291" s="152"/>
      <c r="E291" s="153" t="str">
        <f t="shared" ref="E291" si="825">E263</f>
        <v>開挖整地，新設無障礙RC坡道，牆面與地坪粉刷整平(連工帶料，責任施工)</v>
      </c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5"/>
      <c r="U291" s="117" t="str">
        <f t="shared" ref="U291" si="826">U263</f>
        <v>式</v>
      </c>
      <c r="V291" s="118"/>
      <c r="W291" s="118"/>
      <c r="X291" s="119"/>
      <c r="Y291" s="160">
        <f t="shared" ref="Y291" si="827">Y263</f>
        <v>1</v>
      </c>
      <c r="Z291" s="161"/>
      <c r="AA291" s="161"/>
      <c r="AB291" s="161"/>
      <c r="AC291" s="161"/>
      <c r="AD291" s="162"/>
      <c r="AE291" s="159">
        <f t="shared" ref="AE291" si="828">AE263</f>
        <v>153000</v>
      </c>
      <c r="AF291" s="159"/>
      <c r="AG291" s="159"/>
      <c r="AH291" s="159"/>
      <c r="AI291" s="159"/>
      <c r="AJ291" s="159"/>
      <c r="AK291" s="167">
        <v>0</v>
      </c>
      <c r="AL291" s="167"/>
      <c r="AM291" s="167"/>
      <c r="AN291" s="167"/>
      <c r="AO291" s="167"/>
      <c r="AP291" s="167"/>
      <c r="AQ291" s="159">
        <f t="shared" si="817"/>
        <v>0</v>
      </c>
      <c r="AR291" s="159"/>
      <c r="AS291" s="159"/>
      <c r="AT291" s="159"/>
      <c r="AU291" s="159"/>
      <c r="AV291" s="159"/>
      <c r="AW291" s="167">
        <f t="shared" si="800"/>
        <v>0</v>
      </c>
      <c r="AX291" s="167"/>
      <c r="AY291" s="167"/>
      <c r="AZ291" s="167"/>
      <c r="BA291" s="167"/>
      <c r="BB291" s="167"/>
      <c r="BC291" s="167">
        <f t="shared" si="818"/>
        <v>0</v>
      </c>
      <c r="BD291" s="167"/>
      <c r="BE291" s="167"/>
      <c r="BF291" s="167"/>
      <c r="BG291" s="167"/>
      <c r="BH291" s="168"/>
      <c r="BI291" s="3">
        <f t="shared" si="793"/>
        <v>153000</v>
      </c>
    </row>
    <row r="292" spans="1:61" ht="32.450000000000003" customHeight="1" x14ac:dyDescent="0.25">
      <c r="A292" s="150">
        <f t="shared" ref="A292" si="829">A264</f>
        <v>7</v>
      </c>
      <c r="B292" s="151"/>
      <c r="C292" s="151"/>
      <c r="D292" s="152"/>
      <c r="E292" s="153" t="str">
        <f t="shared" ref="E292" si="830">E264</f>
        <v>施做抿石子(1~2分AK石，抿石子專用泥)</v>
      </c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5"/>
      <c r="U292" s="117" t="str">
        <f t="shared" ref="U292" si="831">U264</f>
        <v>M2</v>
      </c>
      <c r="V292" s="118"/>
      <c r="W292" s="118"/>
      <c r="X292" s="119"/>
      <c r="Y292" s="160">
        <f t="shared" ref="Y292" si="832">Y264</f>
        <v>38</v>
      </c>
      <c r="Z292" s="161"/>
      <c r="AA292" s="161"/>
      <c r="AB292" s="161"/>
      <c r="AC292" s="161"/>
      <c r="AD292" s="162"/>
      <c r="AE292" s="159">
        <f t="shared" ref="AE292" si="833">AE264</f>
        <v>1460</v>
      </c>
      <c r="AF292" s="159"/>
      <c r="AG292" s="159"/>
      <c r="AH292" s="159"/>
      <c r="AI292" s="159"/>
      <c r="AJ292" s="159"/>
      <c r="AK292" s="167">
        <v>0</v>
      </c>
      <c r="AL292" s="167"/>
      <c r="AM292" s="167"/>
      <c r="AN292" s="167"/>
      <c r="AO292" s="167"/>
      <c r="AP292" s="167"/>
      <c r="AQ292" s="159">
        <f t="shared" si="817"/>
        <v>0</v>
      </c>
      <c r="AR292" s="159"/>
      <c r="AS292" s="159"/>
      <c r="AT292" s="159"/>
      <c r="AU292" s="159"/>
      <c r="AV292" s="159"/>
      <c r="AW292" s="167">
        <f t="shared" si="800"/>
        <v>0</v>
      </c>
      <c r="AX292" s="167"/>
      <c r="AY292" s="167"/>
      <c r="AZ292" s="167"/>
      <c r="BA292" s="167"/>
      <c r="BB292" s="167"/>
      <c r="BC292" s="167">
        <f t="shared" si="818"/>
        <v>0</v>
      </c>
      <c r="BD292" s="167"/>
      <c r="BE292" s="167"/>
      <c r="BF292" s="167"/>
      <c r="BG292" s="167"/>
      <c r="BH292" s="168"/>
      <c r="BI292" s="3">
        <f t="shared" si="793"/>
        <v>55480</v>
      </c>
    </row>
    <row r="293" spans="1:61" ht="21" customHeight="1" x14ac:dyDescent="0.25">
      <c r="A293" s="150">
        <f t="shared" ref="A293" si="834">A265</f>
        <v>8</v>
      </c>
      <c r="B293" s="151"/>
      <c r="C293" s="151"/>
      <c r="D293" s="152"/>
      <c r="E293" s="153" t="str">
        <f t="shared" ref="E293" si="835">E265</f>
        <v>無障礙坡道地坪拉毛</v>
      </c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5"/>
      <c r="U293" s="117" t="str">
        <f t="shared" ref="U293" si="836">U265</f>
        <v>M2</v>
      </c>
      <c r="V293" s="118"/>
      <c r="W293" s="118"/>
      <c r="X293" s="119"/>
      <c r="Y293" s="160">
        <f t="shared" ref="Y293" si="837">Y265</f>
        <v>33</v>
      </c>
      <c r="Z293" s="161"/>
      <c r="AA293" s="161"/>
      <c r="AB293" s="161"/>
      <c r="AC293" s="161"/>
      <c r="AD293" s="162"/>
      <c r="AE293" s="159">
        <f t="shared" ref="AE293" si="838">AE265</f>
        <v>100</v>
      </c>
      <c r="AF293" s="159"/>
      <c r="AG293" s="159"/>
      <c r="AH293" s="159"/>
      <c r="AI293" s="159"/>
      <c r="AJ293" s="159"/>
      <c r="AK293" s="167"/>
      <c r="AL293" s="167"/>
      <c r="AM293" s="167"/>
      <c r="AN293" s="167"/>
      <c r="AO293" s="167"/>
      <c r="AP293" s="167"/>
      <c r="AQ293" s="159"/>
      <c r="AR293" s="159"/>
      <c r="AS293" s="159"/>
      <c r="AT293" s="159"/>
      <c r="AU293" s="159"/>
      <c r="AV293" s="159"/>
      <c r="AW293" s="167">
        <f t="shared" si="800"/>
        <v>0</v>
      </c>
      <c r="AX293" s="167"/>
      <c r="AY293" s="167"/>
      <c r="AZ293" s="167"/>
      <c r="BA293" s="167"/>
      <c r="BB293" s="167"/>
      <c r="BC293" s="167"/>
      <c r="BD293" s="167"/>
      <c r="BE293" s="167"/>
      <c r="BF293" s="167"/>
      <c r="BG293" s="167"/>
      <c r="BH293" s="168"/>
      <c r="BI293" s="3">
        <f t="shared" si="793"/>
        <v>3300</v>
      </c>
    </row>
    <row r="294" spans="1:61" s="19" customFormat="1" ht="34.5" customHeight="1" x14ac:dyDescent="0.25">
      <c r="A294" s="127">
        <f t="shared" ref="A294" si="839">A266</f>
        <v>9</v>
      </c>
      <c r="B294" s="128"/>
      <c r="C294" s="128"/>
      <c r="D294" s="129"/>
      <c r="E294" s="153" t="str">
        <f t="shared" ref="E294" si="840">E266</f>
        <v>司令台既有樓梯面清潔，刷止滑漆(一底二度)</v>
      </c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5"/>
      <c r="U294" s="133" t="str">
        <f t="shared" ref="U294" si="841">U266</f>
        <v>式</v>
      </c>
      <c r="V294" s="134"/>
      <c r="W294" s="134"/>
      <c r="X294" s="135"/>
      <c r="Y294" s="160">
        <f t="shared" ref="Y294" si="842">Y266</f>
        <v>1</v>
      </c>
      <c r="Z294" s="161"/>
      <c r="AA294" s="161"/>
      <c r="AB294" s="161"/>
      <c r="AC294" s="161"/>
      <c r="AD294" s="162"/>
      <c r="AE294" s="159">
        <f t="shared" ref="AE294" si="843">AE266</f>
        <v>3000</v>
      </c>
      <c r="AF294" s="159"/>
      <c r="AG294" s="159"/>
      <c r="AH294" s="159"/>
      <c r="AI294" s="159"/>
      <c r="AJ294" s="159"/>
      <c r="AK294" s="167">
        <v>0</v>
      </c>
      <c r="AL294" s="167"/>
      <c r="AM294" s="167"/>
      <c r="AN294" s="167"/>
      <c r="AO294" s="167"/>
      <c r="AP294" s="167"/>
      <c r="AQ294" s="159">
        <f t="shared" ref="AQ294:AQ301" si="844">AK294*AE294</f>
        <v>0</v>
      </c>
      <c r="AR294" s="159"/>
      <c r="AS294" s="159"/>
      <c r="AT294" s="159"/>
      <c r="AU294" s="159"/>
      <c r="AV294" s="159"/>
      <c r="AW294" s="167">
        <f t="shared" si="800"/>
        <v>0</v>
      </c>
      <c r="AX294" s="167"/>
      <c r="AY294" s="167"/>
      <c r="AZ294" s="167"/>
      <c r="BA294" s="167"/>
      <c r="BB294" s="167"/>
      <c r="BC294" s="167">
        <f t="shared" ref="BC294:BC296" si="845">ROUND(AW294*AE294,0)</f>
        <v>0</v>
      </c>
      <c r="BD294" s="167"/>
      <c r="BE294" s="167"/>
      <c r="BF294" s="167"/>
      <c r="BG294" s="167"/>
      <c r="BH294" s="168"/>
      <c r="BI294" s="18">
        <f t="shared" si="793"/>
        <v>3000</v>
      </c>
    </row>
    <row r="295" spans="1:61" ht="35.25" customHeight="1" x14ac:dyDescent="0.25">
      <c r="A295" s="150">
        <f t="shared" ref="A295" si="846">A267</f>
        <v>10</v>
      </c>
      <c r="B295" s="151"/>
      <c r="C295" s="151"/>
      <c r="D295" s="152"/>
      <c r="E295" s="153" t="str">
        <f t="shared" ref="E295" si="847">E267</f>
        <v>校舍、教室及司令台坡道出入口配置無線押扣與插電式緊急求救鈴</v>
      </c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5"/>
      <c r="U295" s="117" t="str">
        <f t="shared" ref="U295" si="848">U267</f>
        <v>組</v>
      </c>
      <c r="V295" s="118"/>
      <c r="W295" s="118"/>
      <c r="X295" s="119"/>
      <c r="Y295" s="160">
        <f t="shared" ref="Y295" si="849">Y267</f>
        <v>8</v>
      </c>
      <c r="Z295" s="161"/>
      <c r="AA295" s="161"/>
      <c r="AB295" s="161"/>
      <c r="AC295" s="161"/>
      <c r="AD295" s="162"/>
      <c r="AE295" s="159">
        <f t="shared" ref="AE295" si="850">AE267</f>
        <v>700</v>
      </c>
      <c r="AF295" s="159"/>
      <c r="AG295" s="159"/>
      <c r="AH295" s="159"/>
      <c r="AI295" s="159"/>
      <c r="AJ295" s="159"/>
      <c r="AK295" s="167">
        <v>0</v>
      </c>
      <c r="AL295" s="167"/>
      <c r="AM295" s="167"/>
      <c r="AN295" s="167"/>
      <c r="AO295" s="167"/>
      <c r="AP295" s="167"/>
      <c r="AQ295" s="159">
        <f t="shared" si="844"/>
        <v>0</v>
      </c>
      <c r="AR295" s="159"/>
      <c r="AS295" s="159"/>
      <c r="AT295" s="159"/>
      <c r="AU295" s="159"/>
      <c r="AV295" s="159"/>
      <c r="AW295" s="167">
        <f t="shared" si="800"/>
        <v>0</v>
      </c>
      <c r="AX295" s="167"/>
      <c r="AY295" s="167"/>
      <c r="AZ295" s="167"/>
      <c r="BA295" s="167"/>
      <c r="BB295" s="167"/>
      <c r="BC295" s="167">
        <f t="shared" si="845"/>
        <v>0</v>
      </c>
      <c r="BD295" s="167"/>
      <c r="BE295" s="167"/>
      <c r="BF295" s="167"/>
      <c r="BG295" s="167"/>
      <c r="BH295" s="168"/>
      <c r="BI295" s="3">
        <f t="shared" si="793"/>
        <v>5600</v>
      </c>
    </row>
    <row r="296" spans="1:61" ht="36.75" customHeight="1" x14ac:dyDescent="0.25">
      <c r="A296" s="150">
        <f t="shared" ref="A296" si="851">A268</f>
        <v>11</v>
      </c>
      <c r="B296" s="151"/>
      <c r="C296" s="151"/>
      <c r="D296" s="152"/>
      <c r="E296" s="153" t="str">
        <f t="shared" ref="E296" si="852">E268</f>
        <v>司令台周圍及無障礙坡道安裝不鏽鋼扶手(連工帶料)</v>
      </c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5"/>
      <c r="U296" s="117" t="str">
        <f t="shared" ref="U296" si="853">U268</f>
        <v>M</v>
      </c>
      <c r="V296" s="118"/>
      <c r="W296" s="118"/>
      <c r="X296" s="119"/>
      <c r="Y296" s="156">
        <f t="shared" ref="Y296" si="854">Y268</f>
        <v>48</v>
      </c>
      <c r="Z296" s="157"/>
      <c r="AA296" s="157"/>
      <c r="AB296" s="157"/>
      <c r="AC296" s="157"/>
      <c r="AD296" s="158"/>
      <c r="AE296" s="159">
        <f t="shared" ref="AE296" si="855">AE268</f>
        <v>3000</v>
      </c>
      <c r="AF296" s="159"/>
      <c r="AG296" s="159"/>
      <c r="AH296" s="159"/>
      <c r="AI296" s="159"/>
      <c r="AJ296" s="159"/>
      <c r="AK296" s="160">
        <v>0</v>
      </c>
      <c r="AL296" s="161"/>
      <c r="AM296" s="161"/>
      <c r="AN296" s="161"/>
      <c r="AO296" s="161"/>
      <c r="AP296" s="162"/>
      <c r="AQ296" s="163">
        <f t="shared" si="844"/>
        <v>0</v>
      </c>
      <c r="AR296" s="164"/>
      <c r="AS296" s="164"/>
      <c r="AT296" s="164"/>
      <c r="AU296" s="164"/>
      <c r="AV296" s="165"/>
      <c r="AW296" s="160">
        <f t="shared" si="800"/>
        <v>0</v>
      </c>
      <c r="AX296" s="161"/>
      <c r="AY296" s="161"/>
      <c r="AZ296" s="161"/>
      <c r="BA296" s="161"/>
      <c r="BB296" s="162"/>
      <c r="BC296" s="160">
        <f t="shared" si="845"/>
        <v>0</v>
      </c>
      <c r="BD296" s="161"/>
      <c r="BE296" s="161"/>
      <c r="BF296" s="161"/>
      <c r="BG296" s="161"/>
      <c r="BH296" s="166"/>
      <c r="BI296" s="3">
        <f t="shared" si="793"/>
        <v>144000</v>
      </c>
    </row>
    <row r="297" spans="1:61" s="19" customFormat="1" ht="35.25" customHeight="1" x14ac:dyDescent="0.25">
      <c r="A297" s="127" t="str">
        <f t="shared" ref="A297" si="856">A269</f>
        <v>貳</v>
      </c>
      <c r="B297" s="128"/>
      <c r="C297" s="128"/>
      <c r="D297" s="129"/>
      <c r="E297" s="130" t="str">
        <f t="shared" ref="E297" si="857">E269</f>
        <v>職業安全衛生管理費與施工環境保護與清潔（壹*2%）</v>
      </c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2"/>
      <c r="U297" s="133" t="str">
        <f t="shared" ref="U297" si="858">U269</f>
        <v>式</v>
      </c>
      <c r="V297" s="134"/>
      <c r="W297" s="134"/>
      <c r="X297" s="135"/>
      <c r="Y297" s="136">
        <f t="shared" ref="Y297" si="859">Y269</f>
        <v>1</v>
      </c>
      <c r="Z297" s="137"/>
      <c r="AA297" s="137"/>
      <c r="AB297" s="137"/>
      <c r="AC297" s="137"/>
      <c r="AD297" s="138"/>
      <c r="AE297" s="139">
        <f t="shared" ref="AE297" si="860">AE269</f>
        <v>8807</v>
      </c>
      <c r="AF297" s="139"/>
      <c r="AG297" s="139"/>
      <c r="AH297" s="139"/>
      <c r="AI297" s="139"/>
      <c r="AJ297" s="139"/>
      <c r="AK297" s="140">
        <v>1.7000000000000001E-2</v>
      </c>
      <c r="AL297" s="141"/>
      <c r="AM297" s="141"/>
      <c r="AN297" s="141"/>
      <c r="AO297" s="141"/>
      <c r="AP297" s="142"/>
      <c r="AQ297" s="143">
        <f t="shared" si="844"/>
        <v>149.71900000000002</v>
      </c>
      <c r="AR297" s="144"/>
      <c r="AS297" s="144"/>
      <c r="AT297" s="144"/>
      <c r="AU297" s="144"/>
      <c r="AV297" s="145"/>
      <c r="AW297" s="140">
        <f>AW269+AK297</f>
        <v>0.18700000000000006</v>
      </c>
      <c r="AX297" s="141"/>
      <c r="AY297" s="141"/>
      <c r="AZ297" s="141"/>
      <c r="BA297" s="141"/>
      <c r="BB297" s="142"/>
      <c r="BC297" s="136">
        <f>ROUND(AW297*AE297,0)</f>
        <v>1647</v>
      </c>
      <c r="BD297" s="137"/>
      <c r="BE297" s="137"/>
      <c r="BF297" s="137"/>
      <c r="BG297" s="137"/>
      <c r="BH297" s="146"/>
      <c r="BI297" s="18">
        <f t="shared" si="793"/>
        <v>8807</v>
      </c>
    </row>
    <row r="298" spans="1:61" s="19" customFormat="1" ht="21.95" customHeight="1" x14ac:dyDescent="0.25">
      <c r="A298" s="127" t="str">
        <f t="shared" ref="A298" si="861">A270</f>
        <v>參</v>
      </c>
      <c r="B298" s="128"/>
      <c r="C298" s="128"/>
      <c r="D298" s="129"/>
      <c r="E298" s="130" t="str">
        <f t="shared" ref="E298" si="862">E270</f>
        <v>公共工程品質管制作業費（壹*1%）</v>
      </c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2"/>
      <c r="U298" s="133" t="str">
        <f t="shared" ref="U298" si="863">U270</f>
        <v>式</v>
      </c>
      <c r="V298" s="134"/>
      <c r="W298" s="134"/>
      <c r="X298" s="135"/>
      <c r="Y298" s="147">
        <f t="shared" ref="Y298" si="864">Y270</f>
        <v>1</v>
      </c>
      <c r="Z298" s="148"/>
      <c r="AA298" s="148"/>
      <c r="AB298" s="148"/>
      <c r="AC298" s="148"/>
      <c r="AD298" s="149"/>
      <c r="AE298" s="139">
        <f t="shared" ref="AE298" si="865">AE270</f>
        <v>4404</v>
      </c>
      <c r="AF298" s="139"/>
      <c r="AG298" s="139"/>
      <c r="AH298" s="139"/>
      <c r="AI298" s="139"/>
      <c r="AJ298" s="139"/>
      <c r="AK298" s="140">
        <v>1.7000000000000001E-2</v>
      </c>
      <c r="AL298" s="141"/>
      <c r="AM298" s="141"/>
      <c r="AN298" s="141"/>
      <c r="AO298" s="141"/>
      <c r="AP298" s="142"/>
      <c r="AQ298" s="143">
        <f t="shared" si="844"/>
        <v>74.868000000000009</v>
      </c>
      <c r="AR298" s="144"/>
      <c r="AS298" s="144"/>
      <c r="AT298" s="144"/>
      <c r="AU298" s="144"/>
      <c r="AV298" s="145"/>
      <c r="AW298" s="140">
        <f t="shared" ref="AW298:AW301" si="866">AW270+AK298</f>
        <v>0.18700000000000006</v>
      </c>
      <c r="AX298" s="141"/>
      <c r="AY298" s="141"/>
      <c r="AZ298" s="141"/>
      <c r="BA298" s="141"/>
      <c r="BB298" s="142"/>
      <c r="BC298" s="136">
        <f t="shared" ref="BC298:BC301" si="867">ROUND(AW298*AE298,0)</f>
        <v>824</v>
      </c>
      <c r="BD298" s="137"/>
      <c r="BE298" s="137"/>
      <c r="BF298" s="137"/>
      <c r="BG298" s="137"/>
      <c r="BH298" s="146"/>
      <c r="BI298" s="18">
        <f t="shared" si="793"/>
        <v>4404</v>
      </c>
    </row>
    <row r="299" spans="1:61" s="19" customFormat="1" ht="21.95" customHeight="1" x14ac:dyDescent="0.25">
      <c r="A299" s="127" t="str">
        <f t="shared" ref="A299" si="868">A271</f>
        <v>肆</v>
      </c>
      <c r="B299" s="128"/>
      <c r="C299" s="128"/>
      <c r="D299" s="129"/>
      <c r="E299" s="130" t="str">
        <f t="shared" ref="E299" si="869">E271</f>
        <v>包商管理及利潤費（約壹*7%）</v>
      </c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2"/>
      <c r="U299" s="133" t="str">
        <f t="shared" ref="U299" si="870">U271</f>
        <v>式</v>
      </c>
      <c r="V299" s="134"/>
      <c r="W299" s="134"/>
      <c r="X299" s="135"/>
      <c r="Y299" s="147">
        <f t="shared" ref="Y299" si="871">Y271</f>
        <v>1</v>
      </c>
      <c r="Z299" s="148"/>
      <c r="AA299" s="148"/>
      <c r="AB299" s="148"/>
      <c r="AC299" s="148"/>
      <c r="AD299" s="149"/>
      <c r="AE299" s="139">
        <f t="shared" ref="AE299" si="872">AE271</f>
        <v>30825</v>
      </c>
      <c r="AF299" s="139"/>
      <c r="AG299" s="139"/>
      <c r="AH299" s="139"/>
      <c r="AI299" s="139"/>
      <c r="AJ299" s="139"/>
      <c r="AK299" s="140">
        <v>1.7000000000000001E-2</v>
      </c>
      <c r="AL299" s="141"/>
      <c r="AM299" s="141"/>
      <c r="AN299" s="141"/>
      <c r="AO299" s="141"/>
      <c r="AP299" s="142"/>
      <c r="AQ299" s="143">
        <f t="shared" si="844"/>
        <v>524.02500000000009</v>
      </c>
      <c r="AR299" s="144"/>
      <c r="AS299" s="144"/>
      <c r="AT299" s="144"/>
      <c r="AU299" s="144"/>
      <c r="AV299" s="145"/>
      <c r="AW299" s="140">
        <f t="shared" si="866"/>
        <v>0.18700000000000006</v>
      </c>
      <c r="AX299" s="141"/>
      <c r="AY299" s="141"/>
      <c r="AZ299" s="141"/>
      <c r="BA299" s="141"/>
      <c r="BB299" s="142"/>
      <c r="BC299" s="136">
        <f t="shared" si="867"/>
        <v>5764</v>
      </c>
      <c r="BD299" s="137"/>
      <c r="BE299" s="137"/>
      <c r="BF299" s="137"/>
      <c r="BG299" s="137"/>
      <c r="BH299" s="146"/>
      <c r="BI299" s="18">
        <f t="shared" si="793"/>
        <v>30825</v>
      </c>
    </row>
    <row r="300" spans="1:61" s="19" customFormat="1" ht="21.95" customHeight="1" x14ac:dyDescent="0.25">
      <c r="A300" s="127" t="str">
        <f t="shared" ref="A300" si="873">A272</f>
        <v>伍</v>
      </c>
      <c r="B300" s="128"/>
      <c r="C300" s="128"/>
      <c r="D300" s="129"/>
      <c r="E300" s="130" t="str">
        <f t="shared" ref="E300" si="874">E272</f>
        <v>營造綜合保險費</v>
      </c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2"/>
      <c r="U300" s="133" t="str">
        <f t="shared" ref="U300" si="875">U272</f>
        <v>式</v>
      </c>
      <c r="V300" s="134"/>
      <c r="W300" s="134"/>
      <c r="X300" s="135"/>
      <c r="Y300" s="136">
        <f t="shared" ref="Y300" si="876">Y272</f>
        <v>1</v>
      </c>
      <c r="Z300" s="137"/>
      <c r="AA300" s="137"/>
      <c r="AB300" s="137"/>
      <c r="AC300" s="137"/>
      <c r="AD300" s="138"/>
      <c r="AE300" s="139">
        <f t="shared" ref="AE300" si="877">AE272</f>
        <v>1321</v>
      </c>
      <c r="AF300" s="139"/>
      <c r="AG300" s="139"/>
      <c r="AH300" s="139"/>
      <c r="AI300" s="139"/>
      <c r="AJ300" s="139"/>
      <c r="AK300" s="136">
        <v>0</v>
      </c>
      <c r="AL300" s="137"/>
      <c r="AM300" s="137"/>
      <c r="AN300" s="137"/>
      <c r="AO300" s="137"/>
      <c r="AP300" s="138"/>
      <c r="AQ300" s="143">
        <f t="shared" si="844"/>
        <v>0</v>
      </c>
      <c r="AR300" s="144"/>
      <c r="AS300" s="144"/>
      <c r="AT300" s="144"/>
      <c r="AU300" s="144"/>
      <c r="AV300" s="145"/>
      <c r="AW300" s="136">
        <f t="shared" si="866"/>
        <v>1</v>
      </c>
      <c r="AX300" s="137"/>
      <c r="AY300" s="137"/>
      <c r="AZ300" s="137"/>
      <c r="BA300" s="137"/>
      <c r="BB300" s="138"/>
      <c r="BC300" s="136">
        <f t="shared" si="867"/>
        <v>1321</v>
      </c>
      <c r="BD300" s="137"/>
      <c r="BE300" s="137"/>
      <c r="BF300" s="137"/>
      <c r="BG300" s="137"/>
      <c r="BH300" s="146"/>
      <c r="BI300" s="18">
        <f t="shared" si="793"/>
        <v>1321</v>
      </c>
    </row>
    <row r="301" spans="1:61" s="19" customFormat="1" ht="21.95" customHeight="1" x14ac:dyDescent="0.25">
      <c r="A301" s="127" t="str">
        <f t="shared" ref="A301" si="878">A273</f>
        <v>陸</v>
      </c>
      <c r="B301" s="128"/>
      <c r="C301" s="128"/>
      <c r="D301" s="129"/>
      <c r="E301" s="130" t="str">
        <f t="shared" ref="E301" si="879">E273</f>
        <v>營業稅（(壹~伍)*5％）</v>
      </c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2"/>
      <c r="U301" s="133" t="str">
        <f t="shared" ref="U301" si="880">U273</f>
        <v>式</v>
      </c>
      <c r="V301" s="134"/>
      <c r="W301" s="134"/>
      <c r="X301" s="135"/>
      <c r="Y301" s="136">
        <f t="shared" ref="Y301" si="881">Y273</f>
        <v>1</v>
      </c>
      <c r="Z301" s="137"/>
      <c r="AA301" s="137"/>
      <c r="AB301" s="137"/>
      <c r="AC301" s="137"/>
      <c r="AD301" s="138"/>
      <c r="AE301" s="139">
        <f t="shared" ref="AE301" si="882">AE273</f>
        <v>24286</v>
      </c>
      <c r="AF301" s="139"/>
      <c r="AG301" s="139"/>
      <c r="AH301" s="139"/>
      <c r="AI301" s="139"/>
      <c r="AJ301" s="139"/>
      <c r="AK301" s="140">
        <v>1.7000000000000001E-2</v>
      </c>
      <c r="AL301" s="141"/>
      <c r="AM301" s="141"/>
      <c r="AN301" s="141"/>
      <c r="AO301" s="141"/>
      <c r="AP301" s="142"/>
      <c r="AQ301" s="143">
        <f t="shared" si="844"/>
        <v>412.86200000000002</v>
      </c>
      <c r="AR301" s="144"/>
      <c r="AS301" s="144"/>
      <c r="AT301" s="144"/>
      <c r="AU301" s="144"/>
      <c r="AV301" s="145"/>
      <c r="AW301" s="140">
        <f t="shared" si="866"/>
        <v>0.18700000000000006</v>
      </c>
      <c r="AX301" s="141"/>
      <c r="AY301" s="141"/>
      <c r="AZ301" s="141"/>
      <c r="BA301" s="141"/>
      <c r="BB301" s="142"/>
      <c r="BC301" s="136">
        <f t="shared" si="867"/>
        <v>4541</v>
      </c>
      <c r="BD301" s="137"/>
      <c r="BE301" s="137"/>
      <c r="BF301" s="137"/>
      <c r="BG301" s="137"/>
      <c r="BH301" s="146"/>
      <c r="BI301" s="18">
        <f t="shared" si="793"/>
        <v>24286</v>
      </c>
    </row>
    <row r="302" spans="1:61" ht="21.95" customHeight="1" x14ac:dyDescent="0.25">
      <c r="A302" s="111"/>
      <c r="B302" s="112"/>
      <c r="C302" s="112"/>
      <c r="D302" s="113"/>
      <c r="E302" s="114" t="s">
        <v>75</v>
      </c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6"/>
      <c r="U302" s="117"/>
      <c r="V302" s="118"/>
      <c r="W302" s="118"/>
      <c r="X302" s="119"/>
      <c r="Y302" s="120"/>
      <c r="Z302" s="121"/>
      <c r="AA302" s="121"/>
      <c r="AB302" s="121"/>
      <c r="AC302" s="121"/>
      <c r="AD302" s="122"/>
      <c r="AE302" s="123"/>
      <c r="AF302" s="124"/>
      <c r="AG302" s="124"/>
      <c r="AH302" s="124"/>
      <c r="AI302" s="124"/>
      <c r="AJ302" s="125"/>
      <c r="AK302" s="120"/>
      <c r="AL302" s="121"/>
      <c r="AM302" s="121"/>
      <c r="AN302" s="121"/>
      <c r="AO302" s="121"/>
      <c r="AP302" s="122"/>
      <c r="AQ302" s="123">
        <f>SUM(AQ288:AQ301)</f>
        <v>1161.4740000000002</v>
      </c>
      <c r="AR302" s="124"/>
      <c r="AS302" s="124"/>
      <c r="AT302" s="124"/>
      <c r="AU302" s="124"/>
      <c r="AV302" s="125"/>
      <c r="AW302" s="120"/>
      <c r="AX302" s="121"/>
      <c r="AY302" s="121"/>
      <c r="AZ302" s="121"/>
      <c r="BA302" s="121"/>
      <c r="BB302" s="122"/>
      <c r="BC302" s="120">
        <f>SUM(BC288:BC301)</f>
        <v>16097</v>
      </c>
      <c r="BD302" s="121"/>
      <c r="BE302" s="121"/>
      <c r="BF302" s="121"/>
      <c r="BG302" s="121"/>
      <c r="BH302" s="126"/>
      <c r="BI302" s="17">
        <f>SUM(BI286:BI301)</f>
        <v>510000</v>
      </c>
    </row>
    <row r="303" spans="1:61" ht="21.95" customHeight="1" x14ac:dyDescent="0.25">
      <c r="A303" s="101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  <c r="AD303" s="102"/>
      <c r="AE303" s="102"/>
      <c r="AF303" s="102"/>
      <c r="AG303" s="102"/>
      <c r="AH303" s="102"/>
      <c r="AI303" s="102"/>
      <c r="AJ303" s="103"/>
      <c r="AK303" s="104"/>
      <c r="AL303" s="105"/>
      <c r="AM303" s="105"/>
      <c r="AN303" s="105"/>
      <c r="AO303" s="105"/>
      <c r="AP303" s="106"/>
      <c r="AQ303" s="107"/>
      <c r="AR303" s="108"/>
      <c r="AS303" s="108"/>
      <c r="AT303" s="108"/>
      <c r="AU303" s="108"/>
      <c r="AV303" s="109"/>
      <c r="AW303" s="104"/>
      <c r="AX303" s="105"/>
      <c r="AY303" s="105"/>
      <c r="AZ303" s="105"/>
      <c r="BA303" s="105"/>
      <c r="BB303" s="106"/>
      <c r="BC303" s="104"/>
      <c r="BD303" s="105"/>
      <c r="BE303" s="105"/>
      <c r="BF303" s="105"/>
      <c r="BG303" s="105"/>
      <c r="BH303" s="110"/>
      <c r="BI303" s="15">
        <f>Y303*AE303</f>
        <v>0</v>
      </c>
    </row>
    <row r="304" spans="1:61" ht="21.95" customHeight="1" x14ac:dyDescent="0.25">
      <c r="A304" s="101" t="s">
        <v>11</v>
      </c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  <c r="AD304" s="102"/>
      <c r="AE304" s="102"/>
      <c r="AF304" s="102"/>
      <c r="AG304" s="102"/>
      <c r="AH304" s="102"/>
      <c r="AI304" s="102"/>
      <c r="AJ304" s="103"/>
      <c r="AK304" s="104"/>
      <c r="AL304" s="105"/>
      <c r="AM304" s="105"/>
      <c r="AN304" s="105"/>
      <c r="AO304" s="105"/>
      <c r="AP304" s="106"/>
      <c r="AQ304" s="107">
        <f>BC302/BI302</f>
        <v>3.1562745098039219E-2</v>
      </c>
      <c r="AR304" s="108"/>
      <c r="AS304" s="108"/>
      <c r="AT304" s="108"/>
      <c r="AU304" s="108"/>
      <c r="AV304" s="109"/>
      <c r="AW304" s="104"/>
      <c r="AX304" s="105"/>
      <c r="AY304" s="105"/>
      <c r="AZ304" s="105"/>
      <c r="BA304" s="105"/>
      <c r="BB304" s="106"/>
      <c r="BC304" s="104"/>
      <c r="BD304" s="105"/>
      <c r="BE304" s="105"/>
      <c r="BF304" s="105"/>
      <c r="BG304" s="105"/>
      <c r="BH304" s="110"/>
      <c r="BI304" s="15">
        <f>AQ304</f>
        <v>3.1562745098039219E-2</v>
      </c>
    </row>
    <row r="305" spans="1:69" ht="18.75" customHeight="1" x14ac:dyDescent="0.25">
      <c r="A305" s="90" t="s">
        <v>15</v>
      </c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2"/>
      <c r="AE305" s="93" t="s">
        <v>14</v>
      </c>
      <c r="AF305" s="91"/>
      <c r="AG305" s="91"/>
      <c r="AH305" s="91"/>
      <c r="AI305" s="91"/>
      <c r="AJ305" s="91"/>
      <c r="AK305" s="91"/>
      <c r="AL305" s="91"/>
      <c r="AM305" s="91"/>
      <c r="AN305" s="91"/>
      <c r="AO305" s="91"/>
      <c r="AP305" s="91"/>
      <c r="AQ305" s="91"/>
      <c r="AR305" s="91"/>
      <c r="AS305" s="91"/>
      <c r="AT305" s="91"/>
      <c r="AU305" s="91"/>
      <c r="AV305" s="91"/>
      <c r="AW305" s="91"/>
      <c r="AX305" s="91"/>
      <c r="AY305" s="91"/>
      <c r="AZ305" s="91"/>
      <c r="BA305" s="91"/>
      <c r="BB305" s="91"/>
      <c r="BC305" s="91"/>
      <c r="BD305" s="91"/>
      <c r="BE305" s="91"/>
      <c r="BF305" s="91"/>
      <c r="BG305" s="91"/>
      <c r="BH305" s="94"/>
    </row>
    <row r="306" spans="1:69" x14ac:dyDescent="0.25">
      <c r="A306" s="95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  <c r="AC306" s="96"/>
      <c r="AD306" s="96"/>
      <c r="AE306" s="96"/>
      <c r="AF306" s="96"/>
      <c r="AG306" s="96"/>
      <c r="AH306" s="96"/>
      <c r="AI306" s="96"/>
      <c r="AJ306" s="96"/>
      <c r="AK306" s="96"/>
      <c r="AL306" s="96"/>
      <c r="AM306" s="96"/>
      <c r="AN306" s="96"/>
      <c r="AO306" s="96"/>
      <c r="AP306" s="96"/>
      <c r="AQ306" s="96"/>
      <c r="AR306" s="96"/>
      <c r="AS306" s="96"/>
      <c r="AT306" s="96"/>
      <c r="AU306" s="96"/>
      <c r="AV306" s="96"/>
      <c r="AW306" s="96"/>
      <c r="AX306" s="96"/>
      <c r="AY306" s="96"/>
      <c r="AZ306" s="96"/>
      <c r="BA306" s="96"/>
      <c r="BB306" s="96"/>
      <c r="BC306" s="96"/>
      <c r="BD306" s="96"/>
      <c r="BE306" s="96"/>
      <c r="BF306" s="96"/>
      <c r="BG306" s="96"/>
      <c r="BH306" s="99"/>
    </row>
    <row r="307" spans="1:69" x14ac:dyDescent="0.25">
      <c r="A307" s="95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  <c r="AC307" s="96"/>
      <c r="AD307" s="96"/>
      <c r="AE307" s="96"/>
      <c r="AF307" s="96"/>
      <c r="AG307" s="96"/>
      <c r="AH307" s="96"/>
      <c r="AI307" s="96"/>
      <c r="AJ307" s="96"/>
      <c r="AK307" s="96"/>
      <c r="AL307" s="96"/>
      <c r="AM307" s="96"/>
      <c r="AN307" s="96"/>
      <c r="AO307" s="96"/>
      <c r="AP307" s="96"/>
      <c r="AQ307" s="96"/>
      <c r="AR307" s="96"/>
      <c r="AS307" s="96"/>
      <c r="AT307" s="96"/>
      <c r="AU307" s="96"/>
      <c r="AV307" s="96"/>
      <c r="AW307" s="96"/>
      <c r="AX307" s="96"/>
      <c r="AY307" s="96"/>
      <c r="AZ307" s="96"/>
      <c r="BA307" s="96"/>
      <c r="BB307" s="96"/>
      <c r="BC307" s="96"/>
      <c r="BD307" s="96"/>
      <c r="BE307" s="96"/>
      <c r="BF307" s="96"/>
      <c r="BG307" s="96"/>
      <c r="BH307" s="99"/>
    </row>
    <row r="308" spans="1:69" ht="17.25" thickBot="1" x14ac:dyDescent="0.3">
      <c r="A308" s="97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  <c r="AA308" s="98"/>
      <c r="AB308" s="98"/>
      <c r="AC308" s="98"/>
      <c r="AD308" s="98"/>
      <c r="AE308" s="98"/>
      <c r="AF308" s="98"/>
      <c r="AG308" s="98"/>
      <c r="AH308" s="98"/>
      <c r="AI308" s="98"/>
      <c r="AJ308" s="98"/>
      <c r="AK308" s="98"/>
      <c r="AL308" s="98"/>
      <c r="AM308" s="98"/>
      <c r="AN308" s="98"/>
      <c r="AO308" s="98"/>
      <c r="AP308" s="98"/>
      <c r="AQ308" s="98"/>
      <c r="AR308" s="98"/>
      <c r="AS308" s="98"/>
      <c r="AT308" s="98"/>
      <c r="AU308" s="98"/>
      <c r="AV308" s="98"/>
      <c r="AW308" s="98"/>
      <c r="AX308" s="98"/>
      <c r="AY308" s="98"/>
      <c r="AZ308" s="98"/>
      <c r="BA308" s="98"/>
      <c r="BB308" s="98"/>
      <c r="BC308" s="98"/>
      <c r="BD308" s="98"/>
      <c r="BE308" s="98"/>
      <c r="BF308" s="98"/>
      <c r="BG308" s="98"/>
      <c r="BH308" s="100"/>
    </row>
    <row r="309" spans="1:69" ht="27.75" x14ac:dyDescent="0.25">
      <c r="A309" s="182" t="s">
        <v>81</v>
      </c>
      <c r="B309" s="182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  <c r="X309" s="182"/>
      <c r="Y309" s="182"/>
      <c r="Z309" s="182"/>
      <c r="AA309" s="182"/>
      <c r="AB309" s="182"/>
      <c r="AC309" s="182"/>
      <c r="AD309" s="182"/>
      <c r="AE309" s="182"/>
      <c r="AF309" s="182"/>
      <c r="AG309" s="182"/>
      <c r="AH309" s="182"/>
      <c r="AI309" s="182"/>
      <c r="AJ309" s="182"/>
      <c r="AK309" s="182"/>
      <c r="AL309" s="182"/>
      <c r="AM309" s="182"/>
      <c r="AN309" s="182"/>
      <c r="AO309" s="182"/>
      <c r="AP309" s="182"/>
      <c r="AQ309" s="182"/>
      <c r="AR309" s="182"/>
      <c r="AS309" s="182"/>
      <c r="AT309" s="182"/>
      <c r="AU309" s="182"/>
      <c r="AV309" s="182"/>
      <c r="AW309" s="182"/>
      <c r="AX309" s="182"/>
      <c r="AY309" s="182"/>
      <c r="AZ309" s="182"/>
      <c r="BA309" s="182"/>
      <c r="BB309" s="182"/>
      <c r="BC309" s="182"/>
      <c r="BD309" s="182"/>
      <c r="BE309" s="182"/>
      <c r="BF309" s="182"/>
      <c r="BG309" s="182"/>
      <c r="BH309" s="182"/>
    </row>
    <row r="310" spans="1:69" ht="27.75" x14ac:dyDescent="0.25">
      <c r="A310" s="183" t="s">
        <v>12</v>
      </c>
      <c r="B310" s="183"/>
      <c r="C310" s="183"/>
      <c r="D310" s="183"/>
      <c r="E310" s="183"/>
      <c r="F310" s="183"/>
      <c r="G310" s="183"/>
      <c r="H310" s="183"/>
      <c r="I310" s="183"/>
      <c r="J310" s="184" t="s">
        <v>85</v>
      </c>
      <c r="K310" s="185"/>
      <c r="L310" s="185"/>
      <c r="M310" s="185"/>
      <c r="N310" s="185"/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  <c r="Z310" s="185"/>
      <c r="AA310" s="185"/>
      <c r="AB310" s="185"/>
      <c r="AC310" s="185"/>
      <c r="AD310" s="185"/>
      <c r="AE310" s="185"/>
      <c r="AF310" s="185"/>
      <c r="AG310" s="185"/>
      <c r="AH310" s="185"/>
      <c r="AI310" s="185"/>
      <c r="AJ310" s="185"/>
      <c r="AK310" s="185"/>
      <c r="AL310" s="185"/>
      <c r="AM310" s="185"/>
      <c r="AN310" s="185"/>
      <c r="AO310" s="185"/>
      <c r="AP310" s="185"/>
      <c r="AQ310" s="185"/>
      <c r="AR310" s="185"/>
      <c r="AS310" s="185"/>
      <c r="AT310" s="185"/>
      <c r="AU310" s="185"/>
      <c r="AV310" s="185"/>
      <c r="AW310" s="185"/>
      <c r="AX310" s="185"/>
      <c r="AY310" s="185"/>
      <c r="AZ310" s="185"/>
      <c r="BA310" s="185"/>
      <c r="BB310" s="185"/>
      <c r="BC310" s="185"/>
      <c r="BD310" s="185"/>
      <c r="BE310" s="185"/>
      <c r="BF310" s="185"/>
      <c r="BG310" s="185"/>
      <c r="BH310" s="185"/>
      <c r="BI310" s="185"/>
      <c r="BJ310" s="185"/>
      <c r="BK310" s="185"/>
      <c r="BL310" s="185"/>
      <c r="BM310" s="185"/>
      <c r="BN310" s="185"/>
      <c r="BO310" s="185"/>
      <c r="BP310" s="185"/>
      <c r="BQ310" s="185"/>
    </row>
    <row r="311" spans="1:69" ht="17.25" thickBot="1" x14ac:dyDescent="0.3">
      <c r="A311" s="186" t="s">
        <v>10</v>
      </c>
      <c r="B311" s="186"/>
      <c r="C311" s="186"/>
      <c r="D311" s="186"/>
      <c r="E311" s="186"/>
      <c r="F311" s="186"/>
      <c r="G311" s="186"/>
      <c r="H311" s="186"/>
      <c r="I311" s="187" t="s">
        <v>78</v>
      </c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  <c r="AA311" s="187"/>
      <c r="AB311" s="187"/>
      <c r="AC311" s="187"/>
      <c r="AD311" s="187"/>
      <c r="AE311" s="187"/>
      <c r="AF311" s="187"/>
      <c r="AG311" s="187"/>
      <c r="AH311" s="187"/>
      <c r="AI311" s="187"/>
      <c r="AJ311" s="187"/>
      <c r="AK311" s="187"/>
      <c r="AL311" s="187"/>
      <c r="AM311" s="187"/>
      <c r="AN311" s="187"/>
      <c r="AO311" s="188" t="s">
        <v>9</v>
      </c>
      <c r="AP311" s="188"/>
      <c r="AQ311" s="188"/>
      <c r="AR311" s="188"/>
      <c r="AS311" s="188"/>
      <c r="AT311" s="188"/>
      <c r="AU311" s="188"/>
      <c r="AV311" s="188"/>
      <c r="AW311" s="189">
        <f>AW283+1</f>
        <v>45921</v>
      </c>
      <c r="AX311" s="189"/>
      <c r="AY311" s="189"/>
      <c r="AZ311" s="189"/>
      <c r="BA311" s="189"/>
      <c r="BB311" s="189"/>
      <c r="BC311" s="189"/>
      <c r="BD311" s="189"/>
      <c r="BE311" s="189"/>
      <c r="BF311" s="189"/>
      <c r="BG311" s="189"/>
      <c r="BH311" s="189"/>
    </row>
    <row r="312" spans="1:69" ht="36" customHeight="1" x14ac:dyDescent="0.25">
      <c r="A312" s="180" t="s">
        <v>0</v>
      </c>
      <c r="B312" s="83"/>
      <c r="C312" s="83"/>
      <c r="D312" s="83"/>
      <c r="E312" s="83" t="s">
        <v>6</v>
      </c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 t="s">
        <v>7</v>
      </c>
      <c r="V312" s="83"/>
      <c r="W312" s="83"/>
      <c r="X312" s="83"/>
      <c r="Y312" s="181" t="s">
        <v>1</v>
      </c>
      <c r="Z312" s="181"/>
      <c r="AA312" s="181"/>
      <c r="AB312" s="181"/>
      <c r="AC312" s="181"/>
      <c r="AD312" s="181"/>
      <c r="AE312" s="83" t="s">
        <v>8</v>
      </c>
      <c r="AF312" s="83"/>
      <c r="AG312" s="83"/>
      <c r="AH312" s="83"/>
      <c r="AI312" s="83"/>
      <c r="AJ312" s="83"/>
      <c r="AK312" s="181" t="s">
        <v>2</v>
      </c>
      <c r="AL312" s="181"/>
      <c r="AM312" s="181"/>
      <c r="AN312" s="181"/>
      <c r="AO312" s="181"/>
      <c r="AP312" s="181"/>
      <c r="AQ312" s="84" t="s">
        <v>3</v>
      </c>
      <c r="AR312" s="84"/>
      <c r="AS312" s="84"/>
      <c r="AT312" s="84"/>
      <c r="AU312" s="84"/>
      <c r="AV312" s="84"/>
      <c r="AW312" s="181" t="s">
        <v>4</v>
      </c>
      <c r="AX312" s="181"/>
      <c r="AY312" s="181"/>
      <c r="AZ312" s="181"/>
      <c r="BA312" s="181"/>
      <c r="BB312" s="181"/>
      <c r="BC312" s="84" t="s">
        <v>5</v>
      </c>
      <c r="BD312" s="84"/>
      <c r="BE312" s="84"/>
      <c r="BF312" s="84"/>
      <c r="BG312" s="84"/>
      <c r="BH312" s="85"/>
      <c r="BI312" s="1"/>
    </row>
    <row r="313" spans="1:69" ht="21.95" customHeight="1" x14ac:dyDescent="0.25">
      <c r="A313" s="150" t="str">
        <f t="shared" ref="A313" si="883">A285</f>
        <v>壹</v>
      </c>
      <c r="B313" s="151"/>
      <c r="C313" s="151"/>
      <c r="D313" s="152"/>
      <c r="E313" s="175" t="str">
        <f t="shared" ref="E313" si="884">E285</f>
        <v>直接工程費</v>
      </c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7"/>
      <c r="U313" s="117"/>
      <c r="V313" s="118"/>
      <c r="W313" s="118"/>
      <c r="X313" s="119"/>
      <c r="Y313" s="178"/>
      <c r="Z313" s="178"/>
      <c r="AA313" s="178"/>
      <c r="AB313" s="178"/>
      <c r="AC313" s="178"/>
      <c r="AD313" s="178"/>
      <c r="AE313" s="178"/>
      <c r="AF313" s="178"/>
      <c r="AG313" s="178"/>
      <c r="AH313" s="178"/>
      <c r="AI313" s="178"/>
      <c r="AJ313" s="178"/>
      <c r="AK313" s="178"/>
      <c r="AL313" s="178"/>
      <c r="AM313" s="178"/>
      <c r="AN313" s="178"/>
      <c r="AO313" s="178"/>
      <c r="AP313" s="178"/>
      <c r="AQ313" s="178"/>
      <c r="AR313" s="178"/>
      <c r="AS313" s="178"/>
      <c r="AT313" s="178"/>
      <c r="AU313" s="178"/>
      <c r="AV313" s="178"/>
      <c r="AW313" s="178"/>
      <c r="AX313" s="178"/>
      <c r="AY313" s="178"/>
      <c r="AZ313" s="178"/>
      <c r="BA313" s="178"/>
      <c r="BB313" s="178"/>
      <c r="BC313" s="178"/>
      <c r="BD313" s="178"/>
      <c r="BE313" s="178"/>
      <c r="BF313" s="178"/>
      <c r="BG313" s="178"/>
      <c r="BH313" s="179"/>
      <c r="BI313" s="3">
        <f t="shared" ref="BI313:BI329" si="885">Y313*AE313</f>
        <v>0</v>
      </c>
    </row>
    <row r="314" spans="1:69" s="19" customFormat="1" ht="21.95" customHeight="1" x14ac:dyDescent="0.25">
      <c r="A314" s="127">
        <f t="shared" ref="A314" si="886">A286</f>
        <v>1</v>
      </c>
      <c r="B314" s="128"/>
      <c r="C314" s="128"/>
      <c r="D314" s="129"/>
      <c r="E314" s="170" t="str">
        <f t="shared" ref="E314" si="887">E286</f>
        <v>工程告示牌與職安衛告示牌(租用)</v>
      </c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2"/>
      <c r="U314" s="133" t="str">
        <f t="shared" ref="U314" si="888">U286</f>
        <v>式</v>
      </c>
      <c r="V314" s="134"/>
      <c r="W314" s="134"/>
      <c r="X314" s="135"/>
      <c r="Y314" s="136">
        <f t="shared" ref="Y314" si="889">Y286</f>
        <v>1</v>
      </c>
      <c r="Z314" s="137"/>
      <c r="AA314" s="137"/>
      <c r="AB314" s="137"/>
      <c r="AC314" s="137"/>
      <c r="AD314" s="138"/>
      <c r="AE314" s="139">
        <f t="shared" ref="AE314" si="890">AE286</f>
        <v>5000</v>
      </c>
      <c r="AF314" s="139"/>
      <c r="AG314" s="139"/>
      <c r="AH314" s="139"/>
      <c r="AI314" s="139"/>
      <c r="AJ314" s="139"/>
      <c r="AK314" s="173">
        <v>0</v>
      </c>
      <c r="AL314" s="173"/>
      <c r="AM314" s="173"/>
      <c r="AN314" s="173"/>
      <c r="AO314" s="173"/>
      <c r="AP314" s="173"/>
      <c r="AQ314" s="139">
        <f t="shared" ref="AQ314:AQ315" si="891">AK314*AE314</f>
        <v>0</v>
      </c>
      <c r="AR314" s="139"/>
      <c r="AS314" s="139"/>
      <c r="AT314" s="139"/>
      <c r="AU314" s="139"/>
      <c r="AV314" s="139"/>
      <c r="AW314" s="173">
        <f t="shared" ref="AW314:AW324" si="892">AW286+AK314</f>
        <v>1</v>
      </c>
      <c r="AX314" s="173"/>
      <c r="AY314" s="173"/>
      <c r="AZ314" s="173"/>
      <c r="BA314" s="173"/>
      <c r="BB314" s="173"/>
      <c r="BC314" s="173">
        <f t="shared" ref="BC314:BC315" si="893">ROUND(AW314*AE314,0)</f>
        <v>5000</v>
      </c>
      <c r="BD314" s="173"/>
      <c r="BE314" s="173"/>
      <c r="BF314" s="173"/>
      <c r="BG314" s="173"/>
      <c r="BH314" s="174"/>
      <c r="BI314" s="18">
        <f t="shared" si="885"/>
        <v>5000</v>
      </c>
    </row>
    <row r="315" spans="1:69" s="19" customFormat="1" ht="21.95" customHeight="1" x14ac:dyDescent="0.25">
      <c r="A315" s="127">
        <f t="shared" ref="A315" si="894">A287</f>
        <v>2</v>
      </c>
      <c r="B315" s="128"/>
      <c r="C315" s="128"/>
      <c r="D315" s="129"/>
      <c r="E315" s="170" t="str">
        <f t="shared" ref="E315" si="895">E287</f>
        <v>三角錐與連桿(租用)</v>
      </c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2"/>
      <c r="U315" s="133" t="str">
        <f t="shared" ref="U315" si="896">U287</f>
        <v>M</v>
      </c>
      <c r="V315" s="134"/>
      <c r="W315" s="134"/>
      <c r="X315" s="135"/>
      <c r="Y315" s="147">
        <f t="shared" ref="Y315" si="897">Y287</f>
        <v>86</v>
      </c>
      <c r="Z315" s="148"/>
      <c r="AA315" s="148"/>
      <c r="AB315" s="148"/>
      <c r="AC315" s="148"/>
      <c r="AD315" s="149"/>
      <c r="AE315" s="139">
        <f t="shared" ref="AE315" si="898">AE287</f>
        <v>60</v>
      </c>
      <c r="AF315" s="139"/>
      <c r="AG315" s="139"/>
      <c r="AH315" s="139"/>
      <c r="AI315" s="139"/>
      <c r="AJ315" s="139"/>
      <c r="AK315" s="173">
        <v>0</v>
      </c>
      <c r="AL315" s="173"/>
      <c r="AM315" s="173"/>
      <c r="AN315" s="173"/>
      <c r="AO315" s="173"/>
      <c r="AP315" s="173"/>
      <c r="AQ315" s="139">
        <f t="shared" si="891"/>
        <v>0</v>
      </c>
      <c r="AR315" s="139"/>
      <c r="AS315" s="139"/>
      <c r="AT315" s="139"/>
      <c r="AU315" s="139"/>
      <c r="AV315" s="139"/>
      <c r="AW315" s="173">
        <f t="shared" si="892"/>
        <v>86</v>
      </c>
      <c r="AX315" s="173"/>
      <c r="AY315" s="173"/>
      <c r="AZ315" s="173"/>
      <c r="BA315" s="173"/>
      <c r="BB315" s="173"/>
      <c r="BC315" s="173">
        <f t="shared" si="893"/>
        <v>5160</v>
      </c>
      <c r="BD315" s="173"/>
      <c r="BE315" s="173"/>
      <c r="BF315" s="173"/>
      <c r="BG315" s="173"/>
      <c r="BH315" s="174"/>
      <c r="BI315" s="18">
        <f t="shared" si="885"/>
        <v>5160</v>
      </c>
    </row>
    <row r="316" spans="1:69" s="19" customFormat="1" ht="33" customHeight="1" x14ac:dyDescent="0.25">
      <c r="A316" s="150">
        <f t="shared" ref="A316" si="899">A288</f>
        <v>3</v>
      </c>
      <c r="B316" s="151"/>
      <c r="C316" s="151"/>
      <c r="D316" s="152"/>
      <c r="E316" s="175" t="str">
        <f t="shared" ref="E316" si="900">E288</f>
        <v>施工動線開闢及損害復原；測量與放樣</v>
      </c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7"/>
      <c r="U316" s="117" t="str">
        <f t="shared" ref="U316" si="901">U288</f>
        <v>式</v>
      </c>
      <c r="V316" s="118"/>
      <c r="W316" s="118"/>
      <c r="X316" s="119"/>
      <c r="Y316" s="156">
        <f t="shared" ref="Y316" si="902">Y288</f>
        <v>1</v>
      </c>
      <c r="Z316" s="157"/>
      <c r="AA316" s="157"/>
      <c r="AB316" s="157"/>
      <c r="AC316" s="157"/>
      <c r="AD316" s="158"/>
      <c r="AE316" s="159">
        <f t="shared" ref="AE316" si="903">AE288</f>
        <v>4000</v>
      </c>
      <c r="AF316" s="159"/>
      <c r="AG316" s="159"/>
      <c r="AH316" s="159"/>
      <c r="AI316" s="159"/>
      <c r="AJ316" s="159"/>
      <c r="AK316" s="167">
        <v>0</v>
      </c>
      <c r="AL316" s="167"/>
      <c r="AM316" s="167"/>
      <c r="AN316" s="167"/>
      <c r="AO316" s="167"/>
      <c r="AP316" s="167"/>
      <c r="AQ316" s="159">
        <f>AK316*AE316</f>
        <v>0</v>
      </c>
      <c r="AR316" s="159"/>
      <c r="AS316" s="159"/>
      <c r="AT316" s="159"/>
      <c r="AU316" s="159"/>
      <c r="AV316" s="159"/>
      <c r="AW316" s="167">
        <f t="shared" si="892"/>
        <v>0.5</v>
      </c>
      <c r="AX316" s="167"/>
      <c r="AY316" s="167"/>
      <c r="AZ316" s="167"/>
      <c r="BA316" s="167"/>
      <c r="BB316" s="167"/>
      <c r="BC316" s="167">
        <f>ROUND(AW316*AE316,0)</f>
        <v>2000</v>
      </c>
      <c r="BD316" s="167"/>
      <c r="BE316" s="167"/>
      <c r="BF316" s="167"/>
      <c r="BG316" s="167"/>
      <c r="BH316" s="168"/>
      <c r="BI316" s="18">
        <f t="shared" si="885"/>
        <v>4000</v>
      </c>
    </row>
    <row r="317" spans="1:69" ht="54" customHeight="1" x14ac:dyDescent="0.25">
      <c r="A317" s="150">
        <f t="shared" ref="A317" si="904">A289</f>
        <v>4</v>
      </c>
      <c r="B317" s="151"/>
      <c r="C317" s="151"/>
      <c r="D317" s="152"/>
      <c r="E317" s="175" t="str">
        <f t="shared" ref="E317" si="905">E289</f>
        <v>切割打除清運校舍與教室出入口地坪以及司令台階梯平台(含合法清運證明)</v>
      </c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7"/>
      <c r="U317" s="117" t="str">
        <f t="shared" ref="U317" si="906">U289</f>
        <v>式</v>
      </c>
      <c r="V317" s="118"/>
      <c r="W317" s="118"/>
      <c r="X317" s="119"/>
      <c r="Y317" s="156">
        <f t="shared" ref="Y317" si="907">Y289</f>
        <v>1</v>
      </c>
      <c r="Z317" s="157"/>
      <c r="AA317" s="157"/>
      <c r="AB317" s="157"/>
      <c r="AC317" s="157"/>
      <c r="AD317" s="158"/>
      <c r="AE317" s="159">
        <f t="shared" ref="AE317" si="908">AE289</f>
        <v>52817</v>
      </c>
      <c r="AF317" s="159"/>
      <c r="AG317" s="159"/>
      <c r="AH317" s="159"/>
      <c r="AI317" s="159"/>
      <c r="AJ317" s="159"/>
      <c r="AK317" s="167">
        <v>0</v>
      </c>
      <c r="AL317" s="167"/>
      <c r="AM317" s="167"/>
      <c r="AN317" s="167"/>
      <c r="AO317" s="167"/>
      <c r="AP317" s="167"/>
      <c r="AQ317" s="159">
        <f t="shared" ref="AQ317:AQ320" si="909">AK317*AE317</f>
        <v>0</v>
      </c>
      <c r="AR317" s="159"/>
      <c r="AS317" s="159"/>
      <c r="AT317" s="159"/>
      <c r="AU317" s="159"/>
      <c r="AV317" s="159"/>
      <c r="AW317" s="167">
        <f t="shared" si="892"/>
        <v>0</v>
      </c>
      <c r="AX317" s="167"/>
      <c r="AY317" s="167"/>
      <c r="AZ317" s="167"/>
      <c r="BA317" s="167"/>
      <c r="BB317" s="167"/>
      <c r="BC317" s="167">
        <f t="shared" ref="BC317:BC320" si="910">ROUND(AW317*AE317,0)</f>
        <v>0</v>
      </c>
      <c r="BD317" s="167"/>
      <c r="BE317" s="167"/>
      <c r="BF317" s="167"/>
      <c r="BG317" s="167"/>
      <c r="BH317" s="168"/>
      <c r="BI317" s="16">
        <f t="shared" si="885"/>
        <v>52817</v>
      </c>
    </row>
    <row r="318" spans="1:69" ht="20.25" customHeight="1" x14ac:dyDescent="0.25">
      <c r="A318" s="150">
        <f t="shared" ref="A318" si="911">A290</f>
        <v>5</v>
      </c>
      <c r="B318" s="151"/>
      <c r="C318" s="151"/>
      <c r="D318" s="152"/>
      <c r="E318" s="153" t="str">
        <f t="shared" ref="E318" si="912">E290</f>
        <v>校舍出入口施做斜坡順平高差</v>
      </c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5"/>
      <c r="U318" s="117" t="str">
        <f t="shared" ref="U318" si="913">U290</f>
        <v>M2</v>
      </c>
      <c r="V318" s="118"/>
      <c r="W318" s="118"/>
      <c r="X318" s="119"/>
      <c r="Y318" s="160">
        <f t="shared" ref="Y318" si="914">Y290</f>
        <v>15</v>
      </c>
      <c r="Z318" s="161"/>
      <c r="AA318" s="161"/>
      <c r="AB318" s="161"/>
      <c r="AC318" s="161"/>
      <c r="AD318" s="162"/>
      <c r="AE318" s="169">
        <f t="shared" ref="AE318" si="915">AE290</f>
        <v>600</v>
      </c>
      <c r="AF318" s="169"/>
      <c r="AG318" s="169"/>
      <c r="AH318" s="169"/>
      <c r="AI318" s="169"/>
      <c r="AJ318" s="169"/>
      <c r="AK318" s="167">
        <v>0</v>
      </c>
      <c r="AL318" s="167"/>
      <c r="AM318" s="167"/>
      <c r="AN318" s="167"/>
      <c r="AO318" s="167"/>
      <c r="AP318" s="167"/>
      <c r="AQ318" s="159">
        <f t="shared" si="909"/>
        <v>0</v>
      </c>
      <c r="AR318" s="159"/>
      <c r="AS318" s="159"/>
      <c r="AT318" s="159"/>
      <c r="AU318" s="159"/>
      <c r="AV318" s="159"/>
      <c r="AW318" s="167">
        <f t="shared" si="892"/>
        <v>0</v>
      </c>
      <c r="AX318" s="167"/>
      <c r="AY318" s="167"/>
      <c r="AZ318" s="167"/>
      <c r="BA318" s="167"/>
      <c r="BB318" s="167"/>
      <c r="BC318" s="167">
        <f t="shared" si="910"/>
        <v>0</v>
      </c>
      <c r="BD318" s="167"/>
      <c r="BE318" s="167"/>
      <c r="BF318" s="167"/>
      <c r="BG318" s="167"/>
      <c r="BH318" s="168"/>
      <c r="BI318" s="3">
        <f t="shared" si="885"/>
        <v>9000</v>
      </c>
    </row>
    <row r="319" spans="1:69" ht="50.25" customHeight="1" x14ac:dyDescent="0.25">
      <c r="A319" s="150">
        <f t="shared" ref="A319" si="916">A291</f>
        <v>6</v>
      </c>
      <c r="B319" s="151"/>
      <c r="C319" s="151"/>
      <c r="D319" s="152"/>
      <c r="E319" s="153" t="str">
        <f t="shared" ref="E319" si="917">E291</f>
        <v>開挖整地，新設無障礙RC坡道，牆面與地坪粉刷整平(連工帶料，責任施工)</v>
      </c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5"/>
      <c r="U319" s="117" t="str">
        <f t="shared" ref="U319" si="918">U291</f>
        <v>式</v>
      </c>
      <c r="V319" s="118"/>
      <c r="W319" s="118"/>
      <c r="X319" s="119"/>
      <c r="Y319" s="160">
        <f t="shared" ref="Y319" si="919">Y291</f>
        <v>1</v>
      </c>
      <c r="Z319" s="161"/>
      <c r="AA319" s="161"/>
      <c r="AB319" s="161"/>
      <c r="AC319" s="161"/>
      <c r="AD319" s="162"/>
      <c r="AE319" s="159">
        <f t="shared" ref="AE319" si="920">AE291</f>
        <v>153000</v>
      </c>
      <c r="AF319" s="159"/>
      <c r="AG319" s="159"/>
      <c r="AH319" s="159"/>
      <c r="AI319" s="159"/>
      <c r="AJ319" s="159"/>
      <c r="AK319" s="167">
        <v>0</v>
      </c>
      <c r="AL319" s="167"/>
      <c r="AM319" s="167"/>
      <c r="AN319" s="167"/>
      <c r="AO319" s="167"/>
      <c r="AP319" s="167"/>
      <c r="AQ319" s="159">
        <f t="shared" si="909"/>
        <v>0</v>
      </c>
      <c r="AR319" s="159"/>
      <c r="AS319" s="159"/>
      <c r="AT319" s="159"/>
      <c r="AU319" s="159"/>
      <c r="AV319" s="159"/>
      <c r="AW319" s="167">
        <f t="shared" si="892"/>
        <v>0</v>
      </c>
      <c r="AX319" s="167"/>
      <c r="AY319" s="167"/>
      <c r="AZ319" s="167"/>
      <c r="BA319" s="167"/>
      <c r="BB319" s="167"/>
      <c r="BC319" s="167">
        <f t="shared" si="910"/>
        <v>0</v>
      </c>
      <c r="BD319" s="167"/>
      <c r="BE319" s="167"/>
      <c r="BF319" s="167"/>
      <c r="BG319" s="167"/>
      <c r="BH319" s="168"/>
      <c r="BI319" s="3">
        <f t="shared" si="885"/>
        <v>153000</v>
      </c>
    </row>
    <row r="320" spans="1:69" ht="32.450000000000003" customHeight="1" x14ac:dyDescent="0.25">
      <c r="A320" s="150">
        <f t="shared" ref="A320" si="921">A292</f>
        <v>7</v>
      </c>
      <c r="B320" s="151"/>
      <c r="C320" s="151"/>
      <c r="D320" s="152"/>
      <c r="E320" s="153" t="str">
        <f t="shared" ref="E320" si="922">E292</f>
        <v>施做抿石子(1~2分AK石，抿石子專用泥)</v>
      </c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5"/>
      <c r="U320" s="117" t="str">
        <f t="shared" ref="U320" si="923">U292</f>
        <v>M2</v>
      </c>
      <c r="V320" s="118"/>
      <c r="W320" s="118"/>
      <c r="X320" s="119"/>
      <c r="Y320" s="160">
        <f t="shared" ref="Y320" si="924">Y292</f>
        <v>38</v>
      </c>
      <c r="Z320" s="161"/>
      <c r="AA320" s="161"/>
      <c r="AB320" s="161"/>
      <c r="AC320" s="161"/>
      <c r="AD320" s="162"/>
      <c r="AE320" s="159">
        <f t="shared" ref="AE320" si="925">AE292</f>
        <v>1460</v>
      </c>
      <c r="AF320" s="159"/>
      <c r="AG320" s="159"/>
      <c r="AH320" s="159"/>
      <c r="AI320" s="159"/>
      <c r="AJ320" s="159"/>
      <c r="AK320" s="167">
        <v>0</v>
      </c>
      <c r="AL320" s="167"/>
      <c r="AM320" s="167"/>
      <c r="AN320" s="167"/>
      <c r="AO320" s="167"/>
      <c r="AP320" s="167"/>
      <c r="AQ320" s="159">
        <f t="shared" si="909"/>
        <v>0</v>
      </c>
      <c r="AR320" s="159"/>
      <c r="AS320" s="159"/>
      <c r="AT320" s="159"/>
      <c r="AU320" s="159"/>
      <c r="AV320" s="159"/>
      <c r="AW320" s="167">
        <f t="shared" si="892"/>
        <v>0</v>
      </c>
      <c r="AX320" s="167"/>
      <c r="AY320" s="167"/>
      <c r="AZ320" s="167"/>
      <c r="BA320" s="167"/>
      <c r="BB320" s="167"/>
      <c r="BC320" s="167">
        <f t="shared" si="910"/>
        <v>0</v>
      </c>
      <c r="BD320" s="167"/>
      <c r="BE320" s="167"/>
      <c r="BF320" s="167"/>
      <c r="BG320" s="167"/>
      <c r="BH320" s="168"/>
      <c r="BI320" s="3">
        <f t="shared" si="885"/>
        <v>55480</v>
      </c>
    </row>
    <row r="321" spans="1:61" ht="21" customHeight="1" x14ac:dyDescent="0.25">
      <c r="A321" s="150">
        <f t="shared" ref="A321" si="926">A293</f>
        <v>8</v>
      </c>
      <c r="B321" s="151"/>
      <c r="C321" s="151"/>
      <c r="D321" s="152"/>
      <c r="E321" s="153" t="str">
        <f t="shared" ref="E321" si="927">E293</f>
        <v>無障礙坡道地坪拉毛</v>
      </c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5"/>
      <c r="U321" s="117" t="str">
        <f t="shared" ref="U321" si="928">U293</f>
        <v>M2</v>
      </c>
      <c r="V321" s="118"/>
      <c r="W321" s="118"/>
      <c r="X321" s="119"/>
      <c r="Y321" s="160">
        <f t="shared" ref="Y321" si="929">Y293</f>
        <v>33</v>
      </c>
      <c r="Z321" s="161"/>
      <c r="AA321" s="161"/>
      <c r="AB321" s="161"/>
      <c r="AC321" s="161"/>
      <c r="AD321" s="162"/>
      <c r="AE321" s="159">
        <f t="shared" ref="AE321" si="930">AE293</f>
        <v>100</v>
      </c>
      <c r="AF321" s="159"/>
      <c r="AG321" s="159"/>
      <c r="AH321" s="159"/>
      <c r="AI321" s="159"/>
      <c r="AJ321" s="159"/>
      <c r="AK321" s="167"/>
      <c r="AL321" s="167"/>
      <c r="AM321" s="167"/>
      <c r="AN321" s="167"/>
      <c r="AO321" s="167"/>
      <c r="AP321" s="167"/>
      <c r="AQ321" s="159"/>
      <c r="AR321" s="159"/>
      <c r="AS321" s="159"/>
      <c r="AT321" s="159"/>
      <c r="AU321" s="159"/>
      <c r="AV321" s="159"/>
      <c r="AW321" s="167">
        <f t="shared" si="892"/>
        <v>0</v>
      </c>
      <c r="AX321" s="167"/>
      <c r="AY321" s="167"/>
      <c r="AZ321" s="167"/>
      <c r="BA321" s="167"/>
      <c r="BB321" s="167"/>
      <c r="BC321" s="167"/>
      <c r="BD321" s="167"/>
      <c r="BE321" s="167"/>
      <c r="BF321" s="167"/>
      <c r="BG321" s="167"/>
      <c r="BH321" s="168"/>
      <c r="BI321" s="3">
        <f t="shared" si="885"/>
        <v>3300</v>
      </c>
    </row>
    <row r="322" spans="1:61" s="19" customFormat="1" ht="34.5" customHeight="1" x14ac:dyDescent="0.25">
      <c r="A322" s="127">
        <f t="shared" ref="A322" si="931">A294</f>
        <v>9</v>
      </c>
      <c r="B322" s="128"/>
      <c r="C322" s="128"/>
      <c r="D322" s="129"/>
      <c r="E322" s="153" t="str">
        <f t="shared" ref="E322" si="932">E294</f>
        <v>司令台既有樓梯面清潔，刷止滑漆(一底二度)</v>
      </c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5"/>
      <c r="U322" s="133" t="str">
        <f t="shared" ref="U322" si="933">U294</f>
        <v>式</v>
      </c>
      <c r="V322" s="134"/>
      <c r="W322" s="134"/>
      <c r="X322" s="135"/>
      <c r="Y322" s="160">
        <f t="shared" ref="Y322" si="934">Y294</f>
        <v>1</v>
      </c>
      <c r="Z322" s="161"/>
      <c r="AA322" s="161"/>
      <c r="AB322" s="161"/>
      <c r="AC322" s="161"/>
      <c r="AD322" s="162"/>
      <c r="AE322" s="159">
        <f t="shared" ref="AE322" si="935">AE294</f>
        <v>3000</v>
      </c>
      <c r="AF322" s="159"/>
      <c r="AG322" s="159"/>
      <c r="AH322" s="159"/>
      <c r="AI322" s="159"/>
      <c r="AJ322" s="159"/>
      <c r="AK322" s="167">
        <v>0</v>
      </c>
      <c r="AL322" s="167"/>
      <c r="AM322" s="167"/>
      <c r="AN322" s="167"/>
      <c r="AO322" s="167"/>
      <c r="AP322" s="167"/>
      <c r="AQ322" s="159">
        <f t="shared" ref="AQ322:AQ329" si="936">AK322*AE322</f>
        <v>0</v>
      </c>
      <c r="AR322" s="159"/>
      <c r="AS322" s="159"/>
      <c r="AT322" s="159"/>
      <c r="AU322" s="159"/>
      <c r="AV322" s="159"/>
      <c r="AW322" s="167">
        <f t="shared" si="892"/>
        <v>0</v>
      </c>
      <c r="AX322" s="167"/>
      <c r="AY322" s="167"/>
      <c r="AZ322" s="167"/>
      <c r="BA322" s="167"/>
      <c r="BB322" s="167"/>
      <c r="BC322" s="167">
        <f t="shared" ref="BC322:BC324" si="937">ROUND(AW322*AE322,0)</f>
        <v>0</v>
      </c>
      <c r="BD322" s="167"/>
      <c r="BE322" s="167"/>
      <c r="BF322" s="167"/>
      <c r="BG322" s="167"/>
      <c r="BH322" s="168"/>
      <c r="BI322" s="18">
        <f t="shared" si="885"/>
        <v>3000</v>
      </c>
    </row>
    <row r="323" spans="1:61" ht="35.25" customHeight="1" x14ac:dyDescent="0.25">
      <c r="A323" s="150">
        <f t="shared" ref="A323" si="938">A295</f>
        <v>10</v>
      </c>
      <c r="B323" s="151"/>
      <c r="C323" s="151"/>
      <c r="D323" s="152"/>
      <c r="E323" s="153" t="str">
        <f t="shared" ref="E323" si="939">E295</f>
        <v>校舍、教室及司令台坡道出入口配置無線押扣與插電式緊急求救鈴</v>
      </c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5"/>
      <c r="U323" s="117" t="str">
        <f t="shared" ref="U323" si="940">U295</f>
        <v>組</v>
      </c>
      <c r="V323" s="118"/>
      <c r="W323" s="118"/>
      <c r="X323" s="119"/>
      <c r="Y323" s="160">
        <f t="shared" ref="Y323" si="941">Y295</f>
        <v>8</v>
      </c>
      <c r="Z323" s="161"/>
      <c r="AA323" s="161"/>
      <c r="AB323" s="161"/>
      <c r="AC323" s="161"/>
      <c r="AD323" s="162"/>
      <c r="AE323" s="159">
        <f t="shared" ref="AE323" si="942">AE295</f>
        <v>700</v>
      </c>
      <c r="AF323" s="159"/>
      <c r="AG323" s="159"/>
      <c r="AH323" s="159"/>
      <c r="AI323" s="159"/>
      <c r="AJ323" s="159"/>
      <c r="AK323" s="167">
        <v>0</v>
      </c>
      <c r="AL323" s="167"/>
      <c r="AM323" s="167"/>
      <c r="AN323" s="167"/>
      <c r="AO323" s="167"/>
      <c r="AP323" s="167"/>
      <c r="AQ323" s="159">
        <f t="shared" si="936"/>
        <v>0</v>
      </c>
      <c r="AR323" s="159"/>
      <c r="AS323" s="159"/>
      <c r="AT323" s="159"/>
      <c r="AU323" s="159"/>
      <c r="AV323" s="159"/>
      <c r="AW323" s="167">
        <f t="shared" si="892"/>
        <v>0</v>
      </c>
      <c r="AX323" s="167"/>
      <c r="AY323" s="167"/>
      <c r="AZ323" s="167"/>
      <c r="BA323" s="167"/>
      <c r="BB323" s="167"/>
      <c r="BC323" s="167">
        <f t="shared" si="937"/>
        <v>0</v>
      </c>
      <c r="BD323" s="167"/>
      <c r="BE323" s="167"/>
      <c r="BF323" s="167"/>
      <c r="BG323" s="167"/>
      <c r="BH323" s="168"/>
      <c r="BI323" s="3">
        <f t="shared" si="885"/>
        <v>5600</v>
      </c>
    </row>
    <row r="324" spans="1:61" ht="36.75" customHeight="1" x14ac:dyDescent="0.25">
      <c r="A324" s="150">
        <f t="shared" ref="A324" si="943">A296</f>
        <v>11</v>
      </c>
      <c r="B324" s="151"/>
      <c r="C324" s="151"/>
      <c r="D324" s="152"/>
      <c r="E324" s="153" t="str">
        <f t="shared" ref="E324" si="944">E296</f>
        <v>司令台周圍及無障礙坡道安裝不鏽鋼扶手(連工帶料)</v>
      </c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5"/>
      <c r="U324" s="117" t="str">
        <f t="shared" ref="U324" si="945">U296</f>
        <v>M</v>
      </c>
      <c r="V324" s="118"/>
      <c r="W324" s="118"/>
      <c r="X324" s="119"/>
      <c r="Y324" s="156">
        <f t="shared" ref="Y324" si="946">Y296</f>
        <v>48</v>
      </c>
      <c r="Z324" s="157"/>
      <c r="AA324" s="157"/>
      <c r="AB324" s="157"/>
      <c r="AC324" s="157"/>
      <c r="AD324" s="158"/>
      <c r="AE324" s="159">
        <f t="shared" ref="AE324" si="947">AE296</f>
        <v>3000</v>
      </c>
      <c r="AF324" s="159"/>
      <c r="AG324" s="159"/>
      <c r="AH324" s="159"/>
      <c r="AI324" s="159"/>
      <c r="AJ324" s="159"/>
      <c r="AK324" s="160">
        <v>0</v>
      </c>
      <c r="AL324" s="161"/>
      <c r="AM324" s="161"/>
      <c r="AN324" s="161"/>
      <c r="AO324" s="161"/>
      <c r="AP324" s="162"/>
      <c r="AQ324" s="163">
        <f t="shared" si="936"/>
        <v>0</v>
      </c>
      <c r="AR324" s="164"/>
      <c r="AS324" s="164"/>
      <c r="AT324" s="164"/>
      <c r="AU324" s="164"/>
      <c r="AV324" s="165"/>
      <c r="AW324" s="160">
        <f t="shared" si="892"/>
        <v>0</v>
      </c>
      <c r="AX324" s="161"/>
      <c r="AY324" s="161"/>
      <c r="AZ324" s="161"/>
      <c r="BA324" s="161"/>
      <c r="BB324" s="162"/>
      <c r="BC324" s="160">
        <f t="shared" si="937"/>
        <v>0</v>
      </c>
      <c r="BD324" s="161"/>
      <c r="BE324" s="161"/>
      <c r="BF324" s="161"/>
      <c r="BG324" s="161"/>
      <c r="BH324" s="166"/>
      <c r="BI324" s="3">
        <f t="shared" si="885"/>
        <v>144000</v>
      </c>
    </row>
    <row r="325" spans="1:61" s="19" customFormat="1" ht="35.25" customHeight="1" x14ac:dyDescent="0.25">
      <c r="A325" s="127" t="str">
        <f t="shared" ref="A325" si="948">A297</f>
        <v>貳</v>
      </c>
      <c r="B325" s="128"/>
      <c r="C325" s="128"/>
      <c r="D325" s="129"/>
      <c r="E325" s="130" t="str">
        <f t="shared" ref="E325" si="949">E297</f>
        <v>職業安全衛生管理費與施工環境保護與清潔（壹*2%）</v>
      </c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2"/>
      <c r="U325" s="133" t="str">
        <f t="shared" ref="U325" si="950">U297</f>
        <v>式</v>
      </c>
      <c r="V325" s="134"/>
      <c r="W325" s="134"/>
      <c r="X325" s="135"/>
      <c r="Y325" s="136">
        <f t="shared" ref="Y325" si="951">Y297</f>
        <v>1</v>
      </c>
      <c r="Z325" s="137"/>
      <c r="AA325" s="137"/>
      <c r="AB325" s="137"/>
      <c r="AC325" s="137"/>
      <c r="AD325" s="138"/>
      <c r="AE325" s="139">
        <f t="shared" ref="AE325" si="952">AE297</f>
        <v>8807</v>
      </c>
      <c r="AF325" s="139"/>
      <c r="AG325" s="139"/>
      <c r="AH325" s="139"/>
      <c r="AI325" s="139"/>
      <c r="AJ325" s="139"/>
      <c r="AK325" s="140">
        <v>1.7000000000000001E-2</v>
      </c>
      <c r="AL325" s="141"/>
      <c r="AM325" s="141"/>
      <c r="AN325" s="141"/>
      <c r="AO325" s="141"/>
      <c r="AP325" s="142"/>
      <c r="AQ325" s="143">
        <f t="shared" si="936"/>
        <v>149.71900000000002</v>
      </c>
      <c r="AR325" s="144"/>
      <c r="AS325" s="144"/>
      <c r="AT325" s="144"/>
      <c r="AU325" s="144"/>
      <c r="AV325" s="145"/>
      <c r="AW325" s="140">
        <f>AW297+AK325</f>
        <v>0.20400000000000007</v>
      </c>
      <c r="AX325" s="141"/>
      <c r="AY325" s="141"/>
      <c r="AZ325" s="141"/>
      <c r="BA325" s="141"/>
      <c r="BB325" s="142"/>
      <c r="BC325" s="136">
        <f>ROUND(AW325*AE325,0)</f>
        <v>1797</v>
      </c>
      <c r="BD325" s="137"/>
      <c r="BE325" s="137"/>
      <c r="BF325" s="137"/>
      <c r="BG325" s="137"/>
      <c r="BH325" s="146"/>
      <c r="BI325" s="18">
        <f t="shared" si="885"/>
        <v>8807</v>
      </c>
    </row>
    <row r="326" spans="1:61" s="19" customFormat="1" ht="21.95" customHeight="1" x14ac:dyDescent="0.25">
      <c r="A326" s="127" t="str">
        <f t="shared" ref="A326" si="953">A298</f>
        <v>參</v>
      </c>
      <c r="B326" s="128"/>
      <c r="C326" s="128"/>
      <c r="D326" s="129"/>
      <c r="E326" s="130" t="str">
        <f t="shared" ref="E326" si="954">E298</f>
        <v>公共工程品質管制作業費（壹*1%）</v>
      </c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2"/>
      <c r="U326" s="133" t="str">
        <f t="shared" ref="U326" si="955">U298</f>
        <v>式</v>
      </c>
      <c r="V326" s="134"/>
      <c r="W326" s="134"/>
      <c r="X326" s="135"/>
      <c r="Y326" s="147">
        <f t="shared" ref="Y326" si="956">Y298</f>
        <v>1</v>
      </c>
      <c r="Z326" s="148"/>
      <c r="AA326" s="148"/>
      <c r="AB326" s="148"/>
      <c r="AC326" s="148"/>
      <c r="AD326" s="149"/>
      <c r="AE326" s="139">
        <f t="shared" ref="AE326" si="957">AE298</f>
        <v>4404</v>
      </c>
      <c r="AF326" s="139"/>
      <c r="AG326" s="139"/>
      <c r="AH326" s="139"/>
      <c r="AI326" s="139"/>
      <c r="AJ326" s="139"/>
      <c r="AK326" s="140">
        <v>1.7000000000000001E-2</v>
      </c>
      <c r="AL326" s="141"/>
      <c r="AM326" s="141"/>
      <c r="AN326" s="141"/>
      <c r="AO326" s="141"/>
      <c r="AP326" s="142"/>
      <c r="AQ326" s="143">
        <f t="shared" si="936"/>
        <v>74.868000000000009</v>
      </c>
      <c r="AR326" s="144"/>
      <c r="AS326" s="144"/>
      <c r="AT326" s="144"/>
      <c r="AU326" s="144"/>
      <c r="AV326" s="145"/>
      <c r="AW326" s="140">
        <f t="shared" ref="AW326:AW329" si="958">AW298+AK326</f>
        <v>0.20400000000000007</v>
      </c>
      <c r="AX326" s="141"/>
      <c r="AY326" s="141"/>
      <c r="AZ326" s="141"/>
      <c r="BA326" s="141"/>
      <c r="BB326" s="142"/>
      <c r="BC326" s="136">
        <f t="shared" ref="BC326:BC329" si="959">ROUND(AW326*AE326,0)</f>
        <v>898</v>
      </c>
      <c r="BD326" s="137"/>
      <c r="BE326" s="137"/>
      <c r="BF326" s="137"/>
      <c r="BG326" s="137"/>
      <c r="BH326" s="146"/>
      <c r="BI326" s="18">
        <f t="shared" si="885"/>
        <v>4404</v>
      </c>
    </row>
    <row r="327" spans="1:61" s="19" customFormat="1" ht="21.95" customHeight="1" x14ac:dyDescent="0.25">
      <c r="A327" s="127" t="str">
        <f t="shared" ref="A327" si="960">A299</f>
        <v>肆</v>
      </c>
      <c r="B327" s="128"/>
      <c r="C327" s="128"/>
      <c r="D327" s="129"/>
      <c r="E327" s="130" t="str">
        <f t="shared" ref="E327" si="961">E299</f>
        <v>包商管理及利潤費（約壹*7%）</v>
      </c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2"/>
      <c r="U327" s="133" t="str">
        <f t="shared" ref="U327" si="962">U299</f>
        <v>式</v>
      </c>
      <c r="V327" s="134"/>
      <c r="W327" s="134"/>
      <c r="X327" s="135"/>
      <c r="Y327" s="147">
        <f t="shared" ref="Y327" si="963">Y299</f>
        <v>1</v>
      </c>
      <c r="Z327" s="148"/>
      <c r="AA327" s="148"/>
      <c r="AB327" s="148"/>
      <c r="AC327" s="148"/>
      <c r="AD327" s="149"/>
      <c r="AE327" s="139">
        <f t="shared" ref="AE327" si="964">AE299</f>
        <v>30825</v>
      </c>
      <c r="AF327" s="139"/>
      <c r="AG327" s="139"/>
      <c r="AH327" s="139"/>
      <c r="AI327" s="139"/>
      <c r="AJ327" s="139"/>
      <c r="AK327" s="140">
        <v>1.7000000000000001E-2</v>
      </c>
      <c r="AL327" s="141"/>
      <c r="AM327" s="141"/>
      <c r="AN327" s="141"/>
      <c r="AO327" s="141"/>
      <c r="AP327" s="142"/>
      <c r="AQ327" s="143">
        <f t="shared" si="936"/>
        <v>524.02500000000009</v>
      </c>
      <c r="AR327" s="144"/>
      <c r="AS327" s="144"/>
      <c r="AT327" s="144"/>
      <c r="AU327" s="144"/>
      <c r="AV327" s="145"/>
      <c r="AW327" s="140">
        <f t="shared" si="958"/>
        <v>0.20400000000000007</v>
      </c>
      <c r="AX327" s="141"/>
      <c r="AY327" s="141"/>
      <c r="AZ327" s="141"/>
      <c r="BA327" s="141"/>
      <c r="BB327" s="142"/>
      <c r="BC327" s="136">
        <f t="shared" si="959"/>
        <v>6288</v>
      </c>
      <c r="BD327" s="137"/>
      <c r="BE327" s="137"/>
      <c r="BF327" s="137"/>
      <c r="BG327" s="137"/>
      <c r="BH327" s="146"/>
      <c r="BI327" s="18">
        <f t="shared" si="885"/>
        <v>30825</v>
      </c>
    </row>
    <row r="328" spans="1:61" s="19" customFormat="1" ht="21.95" customHeight="1" x14ac:dyDescent="0.25">
      <c r="A328" s="127" t="str">
        <f t="shared" ref="A328" si="965">A300</f>
        <v>伍</v>
      </c>
      <c r="B328" s="128"/>
      <c r="C328" s="128"/>
      <c r="D328" s="129"/>
      <c r="E328" s="130" t="str">
        <f t="shared" ref="E328" si="966">E300</f>
        <v>營造綜合保險費</v>
      </c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2"/>
      <c r="U328" s="133" t="str">
        <f t="shared" ref="U328" si="967">U300</f>
        <v>式</v>
      </c>
      <c r="V328" s="134"/>
      <c r="W328" s="134"/>
      <c r="X328" s="135"/>
      <c r="Y328" s="136">
        <f t="shared" ref="Y328" si="968">Y300</f>
        <v>1</v>
      </c>
      <c r="Z328" s="137"/>
      <c r="AA328" s="137"/>
      <c r="AB328" s="137"/>
      <c r="AC328" s="137"/>
      <c r="AD328" s="138"/>
      <c r="AE328" s="139">
        <f t="shared" ref="AE328" si="969">AE300</f>
        <v>1321</v>
      </c>
      <c r="AF328" s="139"/>
      <c r="AG328" s="139"/>
      <c r="AH328" s="139"/>
      <c r="AI328" s="139"/>
      <c r="AJ328" s="139"/>
      <c r="AK328" s="136">
        <v>0</v>
      </c>
      <c r="AL328" s="137"/>
      <c r="AM328" s="137"/>
      <c r="AN328" s="137"/>
      <c r="AO328" s="137"/>
      <c r="AP328" s="138"/>
      <c r="AQ328" s="143">
        <f t="shared" si="936"/>
        <v>0</v>
      </c>
      <c r="AR328" s="144"/>
      <c r="AS328" s="144"/>
      <c r="AT328" s="144"/>
      <c r="AU328" s="144"/>
      <c r="AV328" s="145"/>
      <c r="AW328" s="136">
        <f t="shared" si="958"/>
        <v>1</v>
      </c>
      <c r="AX328" s="137"/>
      <c r="AY328" s="137"/>
      <c r="AZ328" s="137"/>
      <c r="BA328" s="137"/>
      <c r="BB328" s="138"/>
      <c r="BC328" s="136">
        <f t="shared" si="959"/>
        <v>1321</v>
      </c>
      <c r="BD328" s="137"/>
      <c r="BE328" s="137"/>
      <c r="BF328" s="137"/>
      <c r="BG328" s="137"/>
      <c r="BH328" s="146"/>
      <c r="BI328" s="18">
        <f t="shared" si="885"/>
        <v>1321</v>
      </c>
    </row>
    <row r="329" spans="1:61" s="19" customFormat="1" ht="21.95" customHeight="1" x14ac:dyDescent="0.25">
      <c r="A329" s="127" t="str">
        <f t="shared" ref="A329" si="970">A301</f>
        <v>陸</v>
      </c>
      <c r="B329" s="128"/>
      <c r="C329" s="128"/>
      <c r="D329" s="129"/>
      <c r="E329" s="130" t="str">
        <f t="shared" ref="E329" si="971">E301</f>
        <v>營業稅（(壹~伍)*5％）</v>
      </c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2"/>
      <c r="U329" s="133" t="str">
        <f t="shared" ref="U329" si="972">U301</f>
        <v>式</v>
      </c>
      <c r="V329" s="134"/>
      <c r="W329" s="134"/>
      <c r="X329" s="135"/>
      <c r="Y329" s="136">
        <f t="shared" ref="Y329" si="973">Y301</f>
        <v>1</v>
      </c>
      <c r="Z329" s="137"/>
      <c r="AA329" s="137"/>
      <c r="AB329" s="137"/>
      <c r="AC329" s="137"/>
      <c r="AD329" s="138"/>
      <c r="AE329" s="139">
        <f t="shared" ref="AE329" si="974">AE301</f>
        <v>24286</v>
      </c>
      <c r="AF329" s="139"/>
      <c r="AG329" s="139"/>
      <c r="AH329" s="139"/>
      <c r="AI329" s="139"/>
      <c r="AJ329" s="139"/>
      <c r="AK329" s="140">
        <v>1.7000000000000001E-2</v>
      </c>
      <c r="AL329" s="141"/>
      <c r="AM329" s="141"/>
      <c r="AN329" s="141"/>
      <c r="AO329" s="141"/>
      <c r="AP329" s="142"/>
      <c r="AQ329" s="143">
        <f t="shared" si="936"/>
        <v>412.86200000000002</v>
      </c>
      <c r="AR329" s="144"/>
      <c r="AS329" s="144"/>
      <c r="AT329" s="144"/>
      <c r="AU329" s="144"/>
      <c r="AV329" s="145"/>
      <c r="AW329" s="140">
        <f t="shared" si="958"/>
        <v>0.20400000000000007</v>
      </c>
      <c r="AX329" s="141"/>
      <c r="AY329" s="141"/>
      <c r="AZ329" s="141"/>
      <c r="BA329" s="141"/>
      <c r="BB329" s="142"/>
      <c r="BC329" s="136">
        <f t="shared" si="959"/>
        <v>4954</v>
      </c>
      <c r="BD329" s="137"/>
      <c r="BE329" s="137"/>
      <c r="BF329" s="137"/>
      <c r="BG329" s="137"/>
      <c r="BH329" s="146"/>
      <c r="BI329" s="18">
        <f t="shared" si="885"/>
        <v>24286</v>
      </c>
    </row>
    <row r="330" spans="1:61" ht="21.95" customHeight="1" x14ac:dyDescent="0.25">
      <c r="A330" s="111"/>
      <c r="B330" s="112"/>
      <c r="C330" s="112"/>
      <c r="D330" s="113"/>
      <c r="E330" s="114" t="s">
        <v>75</v>
      </c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6"/>
      <c r="U330" s="117"/>
      <c r="V330" s="118"/>
      <c r="W330" s="118"/>
      <c r="X330" s="119"/>
      <c r="Y330" s="120"/>
      <c r="Z330" s="121"/>
      <c r="AA330" s="121"/>
      <c r="AB330" s="121"/>
      <c r="AC330" s="121"/>
      <c r="AD330" s="122"/>
      <c r="AE330" s="123"/>
      <c r="AF330" s="124"/>
      <c r="AG330" s="124"/>
      <c r="AH330" s="124"/>
      <c r="AI330" s="124"/>
      <c r="AJ330" s="125"/>
      <c r="AK330" s="120"/>
      <c r="AL330" s="121"/>
      <c r="AM330" s="121"/>
      <c r="AN330" s="121"/>
      <c r="AO330" s="121"/>
      <c r="AP330" s="122"/>
      <c r="AQ330" s="123">
        <f>SUM(AQ316:AQ329)</f>
        <v>1161.4740000000002</v>
      </c>
      <c r="AR330" s="124"/>
      <c r="AS330" s="124"/>
      <c r="AT330" s="124"/>
      <c r="AU330" s="124"/>
      <c r="AV330" s="125"/>
      <c r="AW330" s="120"/>
      <c r="AX330" s="121"/>
      <c r="AY330" s="121"/>
      <c r="AZ330" s="121"/>
      <c r="BA330" s="121"/>
      <c r="BB330" s="122"/>
      <c r="BC330" s="120">
        <f>SUM(BC316:BC329)</f>
        <v>17258</v>
      </c>
      <c r="BD330" s="121"/>
      <c r="BE330" s="121"/>
      <c r="BF330" s="121"/>
      <c r="BG330" s="121"/>
      <c r="BH330" s="126"/>
      <c r="BI330" s="17">
        <f>SUM(BI314:BI329)</f>
        <v>510000</v>
      </c>
    </row>
    <row r="331" spans="1:61" ht="21.95" customHeight="1" x14ac:dyDescent="0.25">
      <c r="A331" s="101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  <c r="AD331" s="102"/>
      <c r="AE331" s="102"/>
      <c r="AF331" s="102"/>
      <c r="AG331" s="102"/>
      <c r="AH331" s="102"/>
      <c r="AI331" s="102"/>
      <c r="AJ331" s="103"/>
      <c r="AK331" s="104"/>
      <c r="AL331" s="105"/>
      <c r="AM331" s="105"/>
      <c r="AN331" s="105"/>
      <c r="AO331" s="105"/>
      <c r="AP331" s="106"/>
      <c r="AQ331" s="107"/>
      <c r="AR331" s="108"/>
      <c r="AS331" s="108"/>
      <c r="AT331" s="108"/>
      <c r="AU331" s="108"/>
      <c r="AV331" s="109"/>
      <c r="AW331" s="104"/>
      <c r="AX331" s="105"/>
      <c r="AY331" s="105"/>
      <c r="AZ331" s="105"/>
      <c r="BA331" s="105"/>
      <c r="BB331" s="106"/>
      <c r="BC331" s="104"/>
      <c r="BD331" s="105"/>
      <c r="BE331" s="105"/>
      <c r="BF331" s="105"/>
      <c r="BG331" s="105"/>
      <c r="BH331" s="110"/>
      <c r="BI331" s="15">
        <f>Y331*AE331</f>
        <v>0</v>
      </c>
    </row>
    <row r="332" spans="1:61" ht="21.95" customHeight="1" x14ac:dyDescent="0.25">
      <c r="A332" s="101" t="s">
        <v>11</v>
      </c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  <c r="AD332" s="102"/>
      <c r="AE332" s="102"/>
      <c r="AF332" s="102"/>
      <c r="AG332" s="102"/>
      <c r="AH332" s="102"/>
      <c r="AI332" s="102"/>
      <c r="AJ332" s="103"/>
      <c r="AK332" s="104"/>
      <c r="AL332" s="105"/>
      <c r="AM332" s="105"/>
      <c r="AN332" s="105"/>
      <c r="AO332" s="105"/>
      <c r="AP332" s="106"/>
      <c r="AQ332" s="107">
        <f>BC330/BI330</f>
        <v>3.3839215686274508E-2</v>
      </c>
      <c r="AR332" s="108"/>
      <c r="AS332" s="108"/>
      <c r="AT332" s="108"/>
      <c r="AU332" s="108"/>
      <c r="AV332" s="109"/>
      <c r="AW332" s="104"/>
      <c r="AX332" s="105"/>
      <c r="AY332" s="105"/>
      <c r="AZ332" s="105"/>
      <c r="BA332" s="105"/>
      <c r="BB332" s="106"/>
      <c r="BC332" s="104"/>
      <c r="BD332" s="105"/>
      <c r="BE332" s="105"/>
      <c r="BF332" s="105"/>
      <c r="BG332" s="105"/>
      <c r="BH332" s="110"/>
      <c r="BI332" s="15">
        <f>AQ332</f>
        <v>3.3839215686274508E-2</v>
      </c>
    </row>
    <row r="333" spans="1:61" ht="18.75" customHeight="1" x14ac:dyDescent="0.25">
      <c r="A333" s="90" t="s">
        <v>15</v>
      </c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  <c r="AD333" s="92"/>
      <c r="AE333" s="93" t="s">
        <v>14</v>
      </c>
      <c r="AF333" s="91"/>
      <c r="AG333" s="91"/>
      <c r="AH333" s="91"/>
      <c r="AI333" s="91"/>
      <c r="AJ333" s="91"/>
      <c r="AK333" s="91"/>
      <c r="AL333" s="91"/>
      <c r="AM333" s="91"/>
      <c r="AN333" s="91"/>
      <c r="AO333" s="91"/>
      <c r="AP333" s="91"/>
      <c r="AQ333" s="91"/>
      <c r="AR333" s="91"/>
      <c r="AS333" s="91"/>
      <c r="AT333" s="91"/>
      <c r="AU333" s="91"/>
      <c r="AV333" s="91"/>
      <c r="AW333" s="91"/>
      <c r="AX333" s="91"/>
      <c r="AY333" s="91"/>
      <c r="AZ333" s="91"/>
      <c r="BA333" s="91"/>
      <c r="BB333" s="91"/>
      <c r="BC333" s="91"/>
      <c r="BD333" s="91"/>
      <c r="BE333" s="91"/>
      <c r="BF333" s="91"/>
      <c r="BG333" s="91"/>
      <c r="BH333" s="94"/>
    </row>
    <row r="334" spans="1:61" x14ac:dyDescent="0.25">
      <c r="A334" s="95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  <c r="AC334" s="96"/>
      <c r="AD334" s="96"/>
      <c r="AE334" s="96"/>
      <c r="AF334" s="96"/>
      <c r="AG334" s="96"/>
      <c r="AH334" s="96"/>
      <c r="AI334" s="96"/>
      <c r="AJ334" s="96"/>
      <c r="AK334" s="96"/>
      <c r="AL334" s="96"/>
      <c r="AM334" s="96"/>
      <c r="AN334" s="96"/>
      <c r="AO334" s="96"/>
      <c r="AP334" s="96"/>
      <c r="AQ334" s="96"/>
      <c r="AR334" s="96"/>
      <c r="AS334" s="96"/>
      <c r="AT334" s="96"/>
      <c r="AU334" s="96"/>
      <c r="AV334" s="96"/>
      <c r="AW334" s="96"/>
      <c r="AX334" s="96"/>
      <c r="AY334" s="96"/>
      <c r="AZ334" s="96"/>
      <c r="BA334" s="96"/>
      <c r="BB334" s="96"/>
      <c r="BC334" s="96"/>
      <c r="BD334" s="96"/>
      <c r="BE334" s="96"/>
      <c r="BF334" s="96"/>
      <c r="BG334" s="96"/>
      <c r="BH334" s="99"/>
    </row>
    <row r="335" spans="1:61" x14ac:dyDescent="0.25">
      <c r="A335" s="95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  <c r="AC335" s="96"/>
      <c r="AD335" s="96"/>
      <c r="AE335" s="96"/>
      <c r="AF335" s="96"/>
      <c r="AG335" s="96"/>
      <c r="AH335" s="96"/>
      <c r="AI335" s="96"/>
      <c r="AJ335" s="96"/>
      <c r="AK335" s="96"/>
      <c r="AL335" s="96"/>
      <c r="AM335" s="96"/>
      <c r="AN335" s="96"/>
      <c r="AO335" s="96"/>
      <c r="AP335" s="96"/>
      <c r="AQ335" s="96"/>
      <c r="AR335" s="96"/>
      <c r="AS335" s="96"/>
      <c r="AT335" s="96"/>
      <c r="AU335" s="96"/>
      <c r="AV335" s="96"/>
      <c r="AW335" s="96"/>
      <c r="AX335" s="96"/>
      <c r="AY335" s="96"/>
      <c r="AZ335" s="96"/>
      <c r="BA335" s="96"/>
      <c r="BB335" s="96"/>
      <c r="BC335" s="96"/>
      <c r="BD335" s="96"/>
      <c r="BE335" s="96"/>
      <c r="BF335" s="96"/>
      <c r="BG335" s="96"/>
      <c r="BH335" s="99"/>
    </row>
    <row r="336" spans="1:61" ht="17.25" thickBot="1" x14ac:dyDescent="0.3">
      <c r="A336" s="97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  <c r="AA336" s="98"/>
      <c r="AB336" s="98"/>
      <c r="AC336" s="98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  <c r="AO336" s="98"/>
      <c r="AP336" s="98"/>
      <c r="AQ336" s="98"/>
      <c r="AR336" s="98"/>
      <c r="AS336" s="98"/>
      <c r="AT336" s="98"/>
      <c r="AU336" s="98"/>
      <c r="AV336" s="98"/>
      <c r="AW336" s="98"/>
      <c r="AX336" s="98"/>
      <c r="AY336" s="98"/>
      <c r="AZ336" s="98"/>
      <c r="BA336" s="98"/>
      <c r="BB336" s="98"/>
      <c r="BC336" s="98"/>
      <c r="BD336" s="98"/>
      <c r="BE336" s="98"/>
      <c r="BF336" s="98"/>
      <c r="BG336" s="98"/>
      <c r="BH336" s="100"/>
    </row>
    <row r="337" spans="1:69" ht="27.75" x14ac:dyDescent="0.25">
      <c r="A337" s="182" t="s">
        <v>81</v>
      </c>
      <c r="B337" s="182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  <c r="X337" s="182"/>
      <c r="Y337" s="182"/>
      <c r="Z337" s="182"/>
      <c r="AA337" s="182"/>
      <c r="AB337" s="182"/>
      <c r="AC337" s="182"/>
      <c r="AD337" s="182"/>
      <c r="AE337" s="182"/>
      <c r="AF337" s="182"/>
      <c r="AG337" s="182"/>
      <c r="AH337" s="182"/>
      <c r="AI337" s="182"/>
      <c r="AJ337" s="182"/>
      <c r="AK337" s="182"/>
      <c r="AL337" s="182"/>
      <c r="AM337" s="182"/>
      <c r="AN337" s="182"/>
      <c r="AO337" s="182"/>
      <c r="AP337" s="182"/>
      <c r="AQ337" s="182"/>
      <c r="AR337" s="182"/>
      <c r="AS337" s="182"/>
      <c r="AT337" s="182"/>
      <c r="AU337" s="182"/>
      <c r="AV337" s="182"/>
      <c r="AW337" s="182"/>
      <c r="AX337" s="182"/>
      <c r="AY337" s="182"/>
      <c r="AZ337" s="182"/>
      <c r="BA337" s="182"/>
      <c r="BB337" s="182"/>
      <c r="BC337" s="182"/>
      <c r="BD337" s="182"/>
      <c r="BE337" s="182"/>
      <c r="BF337" s="182"/>
      <c r="BG337" s="182"/>
      <c r="BH337" s="182"/>
    </row>
    <row r="338" spans="1:69" ht="27.75" x14ac:dyDescent="0.25">
      <c r="A338" s="183" t="s">
        <v>12</v>
      </c>
      <c r="B338" s="183"/>
      <c r="C338" s="183"/>
      <c r="D338" s="183"/>
      <c r="E338" s="183"/>
      <c r="F338" s="183"/>
      <c r="G338" s="183"/>
      <c r="H338" s="183"/>
      <c r="I338" s="183"/>
      <c r="J338" s="184" t="s">
        <v>85</v>
      </c>
      <c r="K338" s="185"/>
      <c r="L338" s="185"/>
      <c r="M338" s="185"/>
      <c r="N338" s="185"/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  <c r="Z338" s="185"/>
      <c r="AA338" s="185"/>
      <c r="AB338" s="185"/>
      <c r="AC338" s="185"/>
      <c r="AD338" s="185"/>
      <c r="AE338" s="185"/>
      <c r="AF338" s="185"/>
      <c r="AG338" s="185"/>
      <c r="AH338" s="185"/>
      <c r="AI338" s="185"/>
      <c r="AJ338" s="185"/>
      <c r="AK338" s="185"/>
      <c r="AL338" s="185"/>
      <c r="AM338" s="185"/>
      <c r="AN338" s="185"/>
      <c r="AO338" s="185"/>
      <c r="AP338" s="185"/>
      <c r="AQ338" s="185"/>
      <c r="AR338" s="185"/>
      <c r="AS338" s="185"/>
      <c r="AT338" s="185"/>
      <c r="AU338" s="185"/>
      <c r="AV338" s="185"/>
      <c r="AW338" s="185"/>
      <c r="AX338" s="185"/>
      <c r="AY338" s="185"/>
      <c r="AZ338" s="185"/>
      <c r="BA338" s="185"/>
      <c r="BB338" s="185"/>
      <c r="BC338" s="185"/>
      <c r="BD338" s="185"/>
      <c r="BE338" s="185"/>
      <c r="BF338" s="185"/>
      <c r="BG338" s="185"/>
      <c r="BH338" s="185"/>
      <c r="BI338" s="185"/>
      <c r="BJ338" s="185"/>
      <c r="BK338" s="185"/>
      <c r="BL338" s="185"/>
      <c r="BM338" s="185"/>
      <c r="BN338" s="185"/>
      <c r="BO338" s="185"/>
      <c r="BP338" s="185"/>
      <c r="BQ338" s="185"/>
    </row>
    <row r="339" spans="1:69" ht="17.25" thickBot="1" x14ac:dyDescent="0.3">
      <c r="A339" s="186" t="s">
        <v>10</v>
      </c>
      <c r="B339" s="186"/>
      <c r="C339" s="186"/>
      <c r="D339" s="186"/>
      <c r="E339" s="186"/>
      <c r="F339" s="186"/>
      <c r="G339" s="186"/>
      <c r="H339" s="186"/>
      <c r="I339" s="187" t="s">
        <v>78</v>
      </c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  <c r="AA339" s="187"/>
      <c r="AB339" s="187"/>
      <c r="AC339" s="187"/>
      <c r="AD339" s="187"/>
      <c r="AE339" s="187"/>
      <c r="AF339" s="187"/>
      <c r="AG339" s="187"/>
      <c r="AH339" s="187"/>
      <c r="AI339" s="187"/>
      <c r="AJ339" s="187"/>
      <c r="AK339" s="187"/>
      <c r="AL339" s="187"/>
      <c r="AM339" s="187"/>
      <c r="AN339" s="187"/>
      <c r="AO339" s="188" t="s">
        <v>9</v>
      </c>
      <c r="AP339" s="188"/>
      <c r="AQ339" s="188"/>
      <c r="AR339" s="188"/>
      <c r="AS339" s="188"/>
      <c r="AT339" s="188"/>
      <c r="AU339" s="188"/>
      <c r="AV339" s="188"/>
      <c r="AW339" s="189">
        <f>AW311+1</f>
        <v>45922</v>
      </c>
      <c r="AX339" s="189"/>
      <c r="AY339" s="189"/>
      <c r="AZ339" s="189"/>
      <c r="BA339" s="189"/>
      <c r="BB339" s="189"/>
      <c r="BC339" s="189"/>
      <c r="BD339" s="189"/>
      <c r="BE339" s="189"/>
      <c r="BF339" s="189"/>
      <c r="BG339" s="189"/>
      <c r="BH339" s="189"/>
    </row>
    <row r="340" spans="1:69" ht="36" customHeight="1" x14ac:dyDescent="0.25">
      <c r="A340" s="180" t="s">
        <v>0</v>
      </c>
      <c r="B340" s="83"/>
      <c r="C340" s="83"/>
      <c r="D340" s="83"/>
      <c r="E340" s="83" t="s">
        <v>6</v>
      </c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 t="s">
        <v>7</v>
      </c>
      <c r="V340" s="83"/>
      <c r="W340" s="83"/>
      <c r="X340" s="83"/>
      <c r="Y340" s="181" t="s">
        <v>1</v>
      </c>
      <c r="Z340" s="181"/>
      <c r="AA340" s="181"/>
      <c r="AB340" s="181"/>
      <c r="AC340" s="181"/>
      <c r="AD340" s="181"/>
      <c r="AE340" s="83" t="s">
        <v>8</v>
      </c>
      <c r="AF340" s="83"/>
      <c r="AG340" s="83"/>
      <c r="AH340" s="83"/>
      <c r="AI340" s="83"/>
      <c r="AJ340" s="83"/>
      <c r="AK340" s="181" t="s">
        <v>2</v>
      </c>
      <c r="AL340" s="181"/>
      <c r="AM340" s="181"/>
      <c r="AN340" s="181"/>
      <c r="AO340" s="181"/>
      <c r="AP340" s="181"/>
      <c r="AQ340" s="84" t="s">
        <v>3</v>
      </c>
      <c r="AR340" s="84"/>
      <c r="AS340" s="84"/>
      <c r="AT340" s="84"/>
      <c r="AU340" s="84"/>
      <c r="AV340" s="84"/>
      <c r="AW340" s="181" t="s">
        <v>4</v>
      </c>
      <c r="AX340" s="181"/>
      <c r="AY340" s="181"/>
      <c r="AZ340" s="181"/>
      <c r="BA340" s="181"/>
      <c r="BB340" s="181"/>
      <c r="BC340" s="84" t="s">
        <v>5</v>
      </c>
      <c r="BD340" s="84"/>
      <c r="BE340" s="84"/>
      <c r="BF340" s="84"/>
      <c r="BG340" s="84"/>
      <c r="BH340" s="85"/>
      <c r="BI340" s="1"/>
    </row>
    <row r="341" spans="1:69" ht="21.95" customHeight="1" x14ac:dyDescent="0.25">
      <c r="A341" s="150" t="str">
        <f t="shared" ref="A341" si="975">A313</f>
        <v>壹</v>
      </c>
      <c r="B341" s="151"/>
      <c r="C341" s="151"/>
      <c r="D341" s="152"/>
      <c r="E341" s="175" t="str">
        <f t="shared" ref="E341" si="976">E313</f>
        <v>直接工程費</v>
      </c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7"/>
      <c r="U341" s="117"/>
      <c r="V341" s="118"/>
      <c r="W341" s="118"/>
      <c r="X341" s="119"/>
      <c r="Y341" s="178"/>
      <c r="Z341" s="178"/>
      <c r="AA341" s="178"/>
      <c r="AB341" s="178"/>
      <c r="AC341" s="178"/>
      <c r="AD341" s="178"/>
      <c r="AE341" s="178"/>
      <c r="AF341" s="178"/>
      <c r="AG341" s="178"/>
      <c r="AH341" s="178"/>
      <c r="AI341" s="178"/>
      <c r="AJ341" s="178"/>
      <c r="AK341" s="178"/>
      <c r="AL341" s="178"/>
      <c r="AM341" s="178"/>
      <c r="AN341" s="178"/>
      <c r="AO341" s="178"/>
      <c r="AP341" s="178"/>
      <c r="AQ341" s="178"/>
      <c r="AR341" s="178"/>
      <c r="AS341" s="178"/>
      <c r="AT341" s="178"/>
      <c r="AU341" s="178"/>
      <c r="AV341" s="178"/>
      <c r="AW341" s="178"/>
      <c r="AX341" s="178"/>
      <c r="AY341" s="178"/>
      <c r="AZ341" s="178"/>
      <c r="BA341" s="178"/>
      <c r="BB341" s="178"/>
      <c r="BC341" s="178"/>
      <c r="BD341" s="178"/>
      <c r="BE341" s="178"/>
      <c r="BF341" s="178"/>
      <c r="BG341" s="178"/>
      <c r="BH341" s="179"/>
      <c r="BI341" s="3">
        <f t="shared" ref="BI341:BI357" si="977">Y341*AE341</f>
        <v>0</v>
      </c>
    </row>
    <row r="342" spans="1:69" s="19" customFormat="1" ht="21.95" customHeight="1" x14ac:dyDescent="0.25">
      <c r="A342" s="127">
        <f t="shared" ref="A342" si="978">A314</f>
        <v>1</v>
      </c>
      <c r="B342" s="128"/>
      <c r="C342" s="128"/>
      <c r="D342" s="129"/>
      <c r="E342" s="170" t="str">
        <f t="shared" ref="E342" si="979">E314</f>
        <v>工程告示牌與職安衛告示牌(租用)</v>
      </c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2"/>
      <c r="U342" s="133" t="str">
        <f t="shared" ref="U342" si="980">U314</f>
        <v>式</v>
      </c>
      <c r="V342" s="134"/>
      <c r="W342" s="134"/>
      <c r="X342" s="135"/>
      <c r="Y342" s="136">
        <f t="shared" ref="Y342" si="981">Y314</f>
        <v>1</v>
      </c>
      <c r="Z342" s="137"/>
      <c r="AA342" s="137"/>
      <c r="AB342" s="137"/>
      <c r="AC342" s="137"/>
      <c r="AD342" s="138"/>
      <c r="AE342" s="139">
        <f t="shared" ref="AE342" si="982">AE314</f>
        <v>5000</v>
      </c>
      <c r="AF342" s="139"/>
      <c r="AG342" s="139"/>
      <c r="AH342" s="139"/>
      <c r="AI342" s="139"/>
      <c r="AJ342" s="139"/>
      <c r="AK342" s="173">
        <v>0</v>
      </c>
      <c r="AL342" s="173"/>
      <c r="AM342" s="173"/>
      <c r="AN342" s="173"/>
      <c r="AO342" s="173"/>
      <c r="AP342" s="173"/>
      <c r="AQ342" s="139">
        <f t="shared" ref="AQ342:AQ343" si="983">AK342*AE342</f>
        <v>0</v>
      </c>
      <c r="AR342" s="139"/>
      <c r="AS342" s="139"/>
      <c r="AT342" s="139"/>
      <c r="AU342" s="139"/>
      <c r="AV342" s="139"/>
      <c r="AW342" s="173">
        <f t="shared" ref="AW342:AW352" si="984">AW314+AK342</f>
        <v>1</v>
      </c>
      <c r="AX342" s="173"/>
      <c r="AY342" s="173"/>
      <c r="AZ342" s="173"/>
      <c r="BA342" s="173"/>
      <c r="BB342" s="173"/>
      <c r="BC342" s="173">
        <f t="shared" ref="BC342:BC343" si="985">ROUND(AW342*AE342,0)</f>
        <v>5000</v>
      </c>
      <c r="BD342" s="173"/>
      <c r="BE342" s="173"/>
      <c r="BF342" s="173"/>
      <c r="BG342" s="173"/>
      <c r="BH342" s="174"/>
      <c r="BI342" s="18">
        <f t="shared" si="977"/>
        <v>5000</v>
      </c>
    </row>
    <row r="343" spans="1:69" s="19" customFormat="1" ht="21.95" customHeight="1" x14ac:dyDescent="0.25">
      <c r="A343" s="127">
        <f t="shared" ref="A343" si="986">A315</f>
        <v>2</v>
      </c>
      <c r="B343" s="128"/>
      <c r="C343" s="128"/>
      <c r="D343" s="129"/>
      <c r="E343" s="170" t="str">
        <f t="shared" ref="E343" si="987">E315</f>
        <v>三角錐與連桿(租用)</v>
      </c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2"/>
      <c r="U343" s="133" t="str">
        <f t="shared" ref="U343" si="988">U315</f>
        <v>M</v>
      </c>
      <c r="V343" s="134"/>
      <c r="W343" s="134"/>
      <c r="X343" s="135"/>
      <c r="Y343" s="147">
        <f t="shared" ref="Y343" si="989">Y315</f>
        <v>86</v>
      </c>
      <c r="Z343" s="148"/>
      <c r="AA343" s="148"/>
      <c r="AB343" s="148"/>
      <c r="AC343" s="148"/>
      <c r="AD343" s="149"/>
      <c r="AE343" s="139">
        <f t="shared" ref="AE343" si="990">AE315</f>
        <v>60</v>
      </c>
      <c r="AF343" s="139"/>
      <c r="AG343" s="139"/>
      <c r="AH343" s="139"/>
      <c r="AI343" s="139"/>
      <c r="AJ343" s="139"/>
      <c r="AK343" s="173">
        <v>0</v>
      </c>
      <c r="AL343" s="173"/>
      <c r="AM343" s="173"/>
      <c r="AN343" s="173"/>
      <c r="AO343" s="173"/>
      <c r="AP343" s="173"/>
      <c r="AQ343" s="139">
        <f t="shared" si="983"/>
        <v>0</v>
      </c>
      <c r="AR343" s="139"/>
      <c r="AS343" s="139"/>
      <c r="AT343" s="139"/>
      <c r="AU343" s="139"/>
      <c r="AV343" s="139"/>
      <c r="AW343" s="173">
        <f t="shared" si="984"/>
        <v>86</v>
      </c>
      <c r="AX343" s="173"/>
      <c r="AY343" s="173"/>
      <c r="AZ343" s="173"/>
      <c r="BA343" s="173"/>
      <c r="BB343" s="173"/>
      <c r="BC343" s="173">
        <f t="shared" si="985"/>
        <v>5160</v>
      </c>
      <c r="BD343" s="173"/>
      <c r="BE343" s="173"/>
      <c r="BF343" s="173"/>
      <c r="BG343" s="173"/>
      <c r="BH343" s="174"/>
      <c r="BI343" s="18">
        <f t="shared" si="977"/>
        <v>5160</v>
      </c>
    </row>
    <row r="344" spans="1:69" s="19" customFormat="1" ht="33" customHeight="1" x14ac:dyDescent="0.25">
      <c r="A344" s="150">
        <f t="shared" ref="A344" si="991">A316</f>
        <v>3</v>
      </c>
      <c r="B344" s="151"/>
      <c r="C344" s="151"/>
      <c r="D344" s="152"/>
      <c r="E344" s="175" t="str">
        <f t="shared" ref="E344" si="992">E316</f>
        <v>施工動線開闢及損害復原；測量與放樣</v>
      </c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7"/>
      <c r="U344" s="117" t="str">
        <f t="shared" ref="U344" si="993">U316</f>
        <v>式</v>
      </c>
      <c r="V344" s="118"/>
      <c r="W344" s="118"/>
      <c r="X344" s="119"/>
      <c r="Y344" s="156">
        <f t="shared" ref="Y344" si="994">Y316</f>
        <v>1</v>
      </c>
      <c r="Z344" s="157"/>
      <c r="AA344" s="157"/>
      <c r="AB344" s="157"/>
      <c r="AC344" s="157"/>
      <c r="AD344" s="158"/>
      <c r="AE344" s="159">
        <f t="shared" ref="AE344" si="995">AE316</f>
        <v>4000</v>
      </c>
      <c r="AF344" s="159"/>
      <c r="AG344" s="159"/>
      <c r="AH344" s="159"/>
      <c r="AI344" s="159"/>
      <c r="AJ344" s="159"/>
      <c r="AK344" s="167">
        <v>0</v>
      </c>
      <c r="AL344" s="167"/>
      <c r="AM344" s="167"/>
      <c r="AN344" s="167"/>
      <c r="AO344" s="167"/>
      <c r="AP344" s="167"/>
      <c r="AQ344" s="159">
        <f>AK344*AE344</f>
        <v>0</v>
      </c>
      <c r="AR344" s="159"/>
      <c r="AS344" s="159"/>
      <c r="AT344" s="159"/>
      <c r="AU344" s="159"/>
      <c r="AV344" s="159"/>
      <c r="AW344" s="167">
        <f t="shared" si="984"/>
        <v>0.5</v>
      </c>
      <c r="AX344" s="167"/>
      <c r="AY344" s="167"/>
      <c r="AZ344" s="167"/>
      <c r="BA344" s="167"/>
      <c r="BB344" s="167"/>
      <c r="BC344" s="167">
        <f>ROUND(AW344*AE344,0)</f>
        <v>2000</v>
      </c>
      <c r="BD344" s="167"/>
      <c r="BE344" s="167"/>
      <c r="BF344" s="167"/>
      <c r="BG344" s="167"/>
      <c r="BH344" s="168"/>
      <c r="BI344" s="18">
        <f t="shared" si="977"/>
        <v>4000</v>
      </c>
    </row>
    <row r="345" spans="1:69" ht="54" customHeight="1" x14ac:dyDescent="0.25">
      <c r="A345" s="150">
        <f t="shared" ref="A345" si="996">A317</f>
        <v>4</v>
      </c>
      <c r="B345" s="151"/>
      <c r="C345" s="151"/>
      <c r="D345" s="152"/>
      <c r="E345" s="175" t="str">
        <f t="shared" ref="E345" si="997">E317</f>
        <v>切割打除清運校舍與教室出入口地坪以及司令台階梯平台(含合法清運證明)</v>
      </c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7"/>
      <c r="U345" s="117" t="str">
        <f t="shared" ref="U345" si="998">U317</f>
        <v>式</v>
      </c>
      <c r="V345" s="118"/>
      <c r="W345" s="118"/>
      <c r="X345" s="119"/>
      <c r="Y345" s="156">
        <f t="shared" ref="Y345" si="999">Y317</f>
        <v>1</v>
      </c>
      <c r="Z345" s="157"/>
      <c r="AA345" s="157"/>
      <c r="AB345" s="157"/>
      <c r="AC345" s="157"/>
      <c r="AD345" s="158"/>
      <c r="AE345" s="159">
        <f t="shared" ref="AE345" si="1000">AE317</f>
        <v>52817</v>
      </c>
      <c r="AF345" s="159"/>
      <c r="AG345" s="159"/>
      <c r="AH345" s="159"/>
      <c r="AI345" s="159"/>
      <c r="AJ345" s="159"/>
      <c r="AK345" s="167">
        <v>0</v>
      </c>
      <c r="AL345" s="167"/>
      <c r="AM345" s="167"/>
      <c r="AN345" s="167"/>
      <c r="AO345" s="167"/>
      <c r="AP345" s="167"/>
      <c r="AQ345" s="159">
        <f t="shared" ref="AQ345:AQ348" si="1001">AK345*AE345</f>
        <v>0</v>
      </c>
      <c r="AR345" s="159"/>
      <c r="AS345" s="159"/>
      <c r="AT345" s="159"/>
      <c r="AU345" s="159"/>
      <c r="AV345" s="159"/>
      <c r="AW345" s="167">
        <f t="shared" si="984"/>
        <v>0</v>
      </c>
      <c r="AX345" s="167"/>
      <c r="AY345" s="167"/>
      <c r="AZ345" s="167"/>
      <c r="BA345" s="167"/>
      <c r="BB345" s="167"/>
      <c r="BC345" s="167">
        <f t="shared" ref="BC345:BC348" si="1002">ROUND(AW345*AE345,0)</f>
        <v>0</v>
      </c>
      <c r="BD345" s="167"/>
      <c r="BE345" s="167"/>
      <c r="BF345" s="167"/>
      <c r="BG345" s="167"/>
      <c r="BH345" s="168"/>
      <c r="BI345" s="16">
        <f t="shared" si="977"/>
        <v>52817</v>
      </c>
    </row>
    <row r="346" spans="1:69" ht="20.25" customHeight="1" x14ac:dyDescent="0.25">
      <c r="A346" s="150">
        <f t="shared" ref="A346" si="1003">A318</f>
        <v>5</v>
      </c>
      <c r="B346" s="151"/>
      <c r="C346" s="151"/>
      <c r="D346" s="152"/>
      <c r="E346" s="153" t="str">
        <f t="shared" ref="E346" si="1004">E318</f>
        <v>校舍出入口施做斜坡順平高差</v>
      </c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5"/>
      <c r="U346" s="117" t="str">
        <f t="shared" ref="U346" si="1005">U318</f>
        <v>M2</v>
      </c>
      <c r="V346" s="118"/>
      <c r="W346" s="118"/>
      <c r="X346" s="119"/>
      <c r="Y346" s="160">
        <f t="shared" ref="Y346" si="1006">Y318</f>
        <v>15</v>
      </c>
      <c r="Z346" s="161"/>
      <c r="AA346" s="161"/>
      <c r="AB346" s="161"/>
      <c r="AC346" s="161"/>
      <c r="AD346" s="162"/>
      <c r="AE346" s="169">
        <f t="shared" ref="AE346" si="1007">AE318</f>
        <v>600</v>
      </c>
      <c r="AF346" s="169"/>
      <c r="AG346" s="169"/>
      <c r="AH346" s="169"/>
      <c r="AI346" s="169"/>
      <c r="AJ346" s="169"/>
      <c r="AK346" s="167">
        <v>0</v>
      </c>
      <c r="AL346" s="167"/>
      <c r="AM346" s="167"/>
      <c r="AN346" s="167"/>
      <c r="AO346" s="167"/>
      <c r="AP346" s="167"/>
      <c r="AQ346" s="159">
        <f t="shared" si="1001"/>
        <v>0</v>
      </c>
      <c r="AR346" s="159"/>
      <c r="AS346" s="159"/>
      <c r="AT346" s="159"/>
      <c r="AU346" s="159"/>
      <c r="AV346" s="159"/>
      <c r="AW346" s="167">
        <f t="shared" si="984"/>
        <v>0</v>
      </c>
      <c r="AX346" s="167"/>
      <c r="AY346" s="167"/>
      <c r="AZ346" s="167"/>
      <c r="BA346" s="167"/>
      <c r="BB346" s="167"/>
      <c r="BC346" s="167">
        <f t="shared" si="1002"/>
        <v>0</v>
      </c>
      <c r="BD346" s="167"/>
      <c r="BE346" s="167"/>
      <c r="BF346" s="167"/>
      <c r="BG346" s="167"/>
      <c r="BH346" s="168"/>
      <c r="BI346" s="3">
        <f t="shared" si="977"/>
        <v>9000</v>
      </c>
    </row>
    <row r="347" spans="1:69" ht="50.25" customHeight="1" x14ac:dyDescent="0.25">
      <c r="A347" s="150">
        <f t="shared" ref="A347" si="1008">A319</f>
        <v>6</v>
      </c>
      <c r="B347" s="151"/>
      <c r="C347" s="151"/>
      <c r="D347" s="152"/>
      <c r="E347" s="153" t="str">
        <f t="shared" ref="E347" si="1009">E319</f>
        <v>開挖整地，新設無障礙RC坡道，牆面與地坪粉刷整平(連工帶料，責任施工)</v>
      </c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5"/>
      <c r="U347" s="117" t="str">
        <f t="shared" ref="U347" si="1010">U319</f>
        <v>式</v>
      </c>
      <c r="V347" s="118"/>
      <c r="W347" s="118"/>
      <c r="X347" s="119"/>
      <c r="Y347" s="160">
        <f t="shared" ref="Y347" si="1011">Y319</f>
        <v>1</v>
      </c>
      <c r="Z347" s="161"/>
      <c r="AA347" s="161"/>
      <c r="AB347" s="161"/>
      <c r="AC347" s="161"/>
      <c r="AD347" s="162"/>
      <c r="AE347" s="159">
        <f t="shared" ref="AE347" si="1012">AE319</f>
        <v>153000</v>
      </c>
      <c r="AF347" s="159"/>
      <c r="AG347" s="159"/>
      <c r="AH347" s="159"/>
      <c r="AI347" s="159"/>
      <c r="AJ347" s="159"/>
      <c r="AK347" s="167">
        <v>0</v>
      </c>
      <c r="AL347" s="167"/>
      <c r="AM347" s="167"/>
      <c r="AN347" s="167"/>
      <c r="AO347" s="167"/>
      <c r="AP347" s="167"/>
      <c r="AQ347" s="159">
        <f t="shared" si="1001"/>
        <v>0</v>
      </c>
      <c r="AR347" s="159"/>
      <c r="AS347" s="159"/>
      <c r="AT347" s="159"/>
      <c r="AU347" s="159"/>
      <c r="AV347" s="159"/>
      <c r="AW347" s="167">
        <f t="shared" si="984"/>
        <v>0</v>
      </c>
      <c r="AX347" s="167"/>
      <c r="AY347" s="167"/>
      <c r="AZ347" s="167"/>
      <c r="BA347" s="167"/>
      <c r="BB347" s="167"/>
      <c r="BC347" s="167">
        <f t="shared" si="1002"/>
        <v>0</v>
      </c>
      <c r="BD347" s="167"/>
      <c r="BE347" s="167"/>
      <c r="BF347" s="167"/>
      <c r="BG347" s="167"/>
      <c r="BH347" s="168"/>
      <c r="BI347" s="3">
        <f t="shared" si="977"/>
        <v>153000</v>
      </c>
    </row>
    <row r="348" spans="1:69" ht="32.450000000000003" customHeight="1" x14ac:dyDescent="0.25">
      <c r="A348" s="150">
        <f t="shared" ref="A348" si="1013">A320</f>
        <v>7</v>
      </c>
      <c r="B348" s="151"/>
      <c r="C348" s="151"/>
      <c r="D348" s="152"/>
      <c r="E348" s="153" t="str">
        <f t="shared" ref="E348" si="1014">E320</f>
        <v>施做抿石子(1~2分AK石，抿石子專用泥)</v>
      </c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5"/>
      <c r="U348" s="117" t="str">
        <f t="shared" ref="U348" si="1015">U320</f>
        <v>M2</v>
      </c>
      <c r="V348" s="118"/>
      <c r="W348" s="118"/>
      <c r="X348" s="119"/>
      <c r="Y348" s="160">
        <f t="shared" ref="Y348" si="1016">Y320</f>
        <v>38</v>
      </c>
      <c r="Z348" s="161"/>
      <c r="AA348" s="161"/>
      <c r="AB348" s="161"/>
      <c r="AC348" s="161"/>
      <c r="AD348" s="162"/>
      <c r="AE348" s="159">
        <f t="shared" ref="AE348" si="1017">AE320</f>
        <v>1460</v>
      </c>
      <c r="AF348" s="159"/>
      <c r="AG348" s="159"/>
      <c r="AH348" s="159"/>
      <c r="AI348" s="159"/>
      <c r="AJ348" s="159"/>
      <c r="AK348" s="167">
        <v>0</v>
      </c>
      <c r="AL348" s="167"/>
      <c r="AM348" s="167"/>
      <c r="AN348" s="167"/>
      <c r="AO348" s="167"/>
      <c r="AP348" s="167"/>
      <c r="AQ348" s="159">
        <f t="shared" si="1001"/>
        <v>0</v>
      </c>
      <c r="AR348" s="159"/>
      <c r="AS348" s="159"/>
      <c r="AT348" s="159"/>
      <c r="AU348" s="159"/>
      <c r="AV348" s="159"/>
      <c r="AW348" s="167">
        <f t="shared" si="984"/>
        <v>0</v>
      </c>
      <c r="AX348" s="167"/>
      <c r="AY348" s="167"/>
      <c r="AZ348" s="167"/>
      <c r="BA348" s="167"/>
      <c r="BB348" s="167"/>
      <c r="BC348" s="167">
        <f t="shared" si="1002"/>
        <v>0</v>
      </c>
      <c r="BD348" s="167"/>
      <c r="BE348" s="167"/>
      <c r="BF348" s="167"/>
      <c r="BG348" s="167"/>
      <c r="BH348" s="168"/>
      <c r="BI348" s="3">
        <f t="shared" si="977"/>
        <v>55480</v>
      </c>
    </row>
    <row r="349" spans="1:69" ht="21" customHeight="1" x14ac:dyDescent="0.25">
      <c r="A349" s="150">
        <f t="shared" ref="A349" si="1018">A321</f>
        <v>8</v>
      </c>
      <c r="B349" s="151"/>
      <c r="C349" s="151"/>
      <c r="D349" s="152"/>
      <c r="E349" s="153" t="str">
        <f t="shared" ref="E349" si="1019">E321</f>
        <v>無障礙坡道地坪拉毛</v>
      </c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5"/>
      <c r="U349" s="117" t="str">
        <f t="shared" ref="U349" si="1020">U321</f>
        <v>M2</v>
      </c>
      <c r="V349" s="118"/>
      <c r="W349" s="118"/>
      <c r="X349" s="119"/>
      <c r="Y349" s="160">
        <f t="shared" ref="Y349" si="1021">Y321</f>
        <v>33</v>
      </c>
      <c r="Z349" s="161"/>
      <c r="AA349" s="161"/>
      <c r="AB349" s="161"/>
      <c r="AC349" s="161"/>
      <c r="AD349" s="162"/>
      <c r="AE349" s="159">
        <f t="shared" ref="AE349" si="1022">AE321</f>
        <v>100</v>
      </c>
      <c r="AF349" s="159"/>
      <c r="AG349" s="159"/>
      <c r="AH349" s="159"/>
      <c r="AI349" s="159"/>
      <c r="AJ349" s="159"/>
      <c r="AK349" s="167"/>
      <c r="AL349" s="167"/>
      <c r="AM349" s="167"/>
      <c r="AN349" s="167"/>
      <c r="AO349" s="167"/>
      <c r="AP349" s="167"/>
      <c r="AQ349" s="159"/>
      <c r="AR349" s="159"/>
      <c r="AS349" s="159"/>
      <c r="AT349" s="159"/>
      <c r="AU349" s="159"/>
      <c r="AV349" s="159"/>
      <c r="AW349" s="167">
        <f t="shared" si="984"/>
        <v>0</v>
      </c>
      <c r="AX349" s="167"/>
      <c r="AY349" s="167"/>
      <c r="AZ349" s="167"/>
      <c r="BA349" s="167"/>
      <c r="BB349" s="167"/>
      <c r="BC349" s="167"/>
      <c r="BD349" s="167"/>
      <c r="BE349" s="167"/>
      <c r="BF349" s="167"/>
      <c r="BG349" s="167"/>
      <c r="BH349" s="168"/>
      <c r="BI349" s="3">
        <f t="shared" si="977"/>
        <v>3300</v>
      </c>
    </row>
    <row r="350" spans="1:69" s="19" customFormat="1" ht="34.5" customHeight="1" x14ac:dyDescent="0.25">
      <c r="A350" s="127">
        <f t="shared" ref="A350" si="1023">A322</f>
        <v>9</v>
      </c>
      <c r="B350" s="128"/>
      <c r="C350" s="128"/>
      <c r="D350" s="129"/>
      <c r="E350" s="153" t="str">
        <f t="shared" ref="E350" si="1024">E322</f>
        <v>司令台既有樓梯面清潔，刷止滑漆(一底二度)</v>
      </c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5"/>
      <c r="U350" s="133" t="str">
        <f t="shared" ref="U350" si="1025">U322</f>
        <v>式</v>
      </c>
      <c r="V350" s="134"/>
      <c r="W350" s="134"/>
      <c r="X350" s="135"/>
      <c r="Y350" s="160">
        <f t="shared" ref="Y350" si="1026">Y322</f>
        <v>1</v>
      </c>
      <c r="Z350" s="161"/>
      <c r="AA350" s="161"/>
      <c r="AB350" s="161"/>
      <c r="AC350" s="161"/>
      <c r="AD350" s="162"/>
      <c r="AE350" s="159">
        <f t="shared" ref="AE350" si="1027">AE322</f>
        <v>3000</v>
      </c>
      <c r="AF350" s="159"/>
      <c r="AG350" s="159"/>
      <c r="AH350" s="159"/>
      <c r="AI350" s="159"/>
      <c r="AJ350" s="159"/>
      <c r="AK350" s="167">
        <v>0</v>
      </c>
      <c r="AL350" s="167"/>
      <c r="AM350" s="167"/>
      <c r="AN350" s="167"/>
      <c r="AO350" s="167"/>
      <c r="AP350" s="167"/>
      <c r="AQ350" s="159">
        <f t="shared" ref="AQ350:AQ357" si="1028">AK350*AE350</f>
        <v>0</v>
      </c>
      <c r="AR350" s="159"/>
      <c r="AS350" s="159"/>
      <c r="AT350" s="159"/>
      <c r="AU350" s="159"/>
      <c r="AV350" s="159"/>
      <c r="AW350" s="167">
        <f t="shared" si="984"/>
        <v>0</v>
      </c>
      <c r="AX350" s="167"/>
      <c r="AY350" s="167"/>
      <c r="AZ350" s="167"/>
      <c r="BA350" s="167"/>
      <c r="BB350" s="167"/>
      <c r="BC350" s="167">
        <f t="shared" ref="BC350:BC352" si="1029">ROUND(AW350*AE350,0)</f>
        <v>0</v>
      </c>
      <c r="BD350" s="167"/>
      <c r="BE350" s="167"/>
      <c r="BF350" s="167"/>
      <c r="BG350" s="167"/>
      <c r="BH350" s="168"/>
      <c r="BI350" s="18">
        <f t="shared" si="977"/>
        <v>3000</v>
      </c>
    </row>
    <row r="351" spans="1:69" ht="35.25" customHeight="1" x14ac:dyDescent="0.25">
      <c r="A351" s="150">
        <f t="shared" ref="A351" si="1030">A323</f>
        <v>10</v>
      </c>
      <c r="B351" s="151"/>
      <c r="C351" s="151"/>
      <c r="D351" s="152"/>
      <c r="E351" s="153" t="str">
        <f t="shared" ref="E351" si="1031">E323</f>
        <v>校舍、教室及司令台坡道出入口配置無線押扣與插電式緊急求救鈴</v>
      </c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5"/>
      <c r="U351" s="117" t="str">
        <f t="shared" ref="U351" si="1032">U323</f>
        <v>組</v>
      </c>
      <c r="V351" s="118"/>
      <c r="W351" s="118"/>
      <c r="X351" s="119"/>
      <c r="Y351" s="160">
        <f t="shared" ref="Y351" si="1033">Y323</f>
        <v>8</v>
      </c>
      <c r="Z351" s="161"/>
      <c r="AA351" s="161"/>
      <c r="AB351" s="161"/>
      <c r="AC351" s="161"/>
      <c r="AD351" s="162"/>
      <c r="AE351" s="159">
        <f t="shared" ref="AE351" si="1034">AE323</f>
        <v>700</v>
      </c>
      <c r="AF351" s="159"/>
      <c r="AG351" s="159"/>
      <c r="AH351" s="159"/>
      <c r="AI351" s="159"/>
      <c r="AJ351" s="159"/>
      <c r="AK351" s="167">
        <v>0</v>
      </c>
      <c r="AL351" s="167"/>
      <c r="AM351" s="167"/>
      <c r="AN351" s="167"/>
      <c r="AO351" s="167"/>
      <c r="AP351" s="167"/>
      <c r="AQ351" s="159">
        <f t="shared" si="1028"/>
        <v>0</v>
      </c>
      <c r="AR351" s="159"/>
      <c r="AS351" s="159"/>
      <c r="AT351" s="159"/>
      <c r="AU351" s="159"/>
      <c r="AV351" s="159"/>
      <c r="AW351" s="167">
        <f t="shared" si="984"/>
        <v>0</v>
      </c>
      <c r="AX351" s="167"/>
      <c r="AY351" s="167"/>
      <c r="AZ351" s="167"/>
      <c r="BA351" s="167"/>
      <c r="BB351" s="167"/>
      <c r="BC351" s="167">
        <f t="shared" si="1029"/>
        <v>0</v>
      </c>
      <c r="BD351" s="167"/>
      <c r="BE351" s="167"/>
      <c r="BF351" s="167"/>
      <c r="BG351" s="167"/>
      <c r="BH351" s="168"/>
      <c r="BI351" s="3">
        <f t="shared" si="977"/>
        <v>5600</v>
      </c>
    </row>
    <row r="352" spans="1:69" ht="36.75" customHeight="1" x14ac:dyDescent="0.25">
      <c r="A352" s="150">
        <f t="shared" ref="A352" si="1035">A324</f>
        <v>11</v>
      </c>
      <c r="B352" s="151"/>
      <c r="C352" s="151"/>
      <c r="D352" s="152"/>
      <c r="E352" s="153" t="str">
        <f t="shared" ref="E352" si="1036">E324</f>
        <v>司令台周圍及無障礙坡道安裝不鏽鋼扶手(連工帶料)</v>
      </c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5"/>
      <c r="U352" s="117" t="str">
        <f t="shared" ref="U352" si="1037">U324</f>
        <v>M</v>
      </c>
      <c r="V352" s="118"/>
      <c r="W352" s="118"/>
      <c r="X352" s="119"/>
      <c r="Y352" s="156">
        <f t="shared" ref="Y352" si="1038">Y324</f>
        <v>48</v>
      </c>
      <c r="Z352" s="157"/>
      <c r="AA352" s="157"/>
      <c r="AB352" s="157"/>
      <c r="AC352" s="157"/>
      <c r="AD352" s="158"/>
      <c r="AE352" s="159">
        <f t="shared" ref="AE352" si="1039">AE324</f>
        <v>3000</v>
      </c>
      <c r="AF352" s="159"/>
      <c r="AG352" s="159"/>
      <c r="AH352" s="159"/>
      <c r="AI352" s="159"/>
      <c r="AJ352" s="159"/>
      <c r="AK352" s="160">
        <v>0</v>
      </c>
      <c r="AL352" s="161"/>
      <c r="AM352" s="161"/>
      <c r="AN352" s="161"/>
      <c r="AO352" s="161"/>
      <c r="AP352" s="162"/>
      <c r="AQ352" s="163">
        <f t="shared" si="1028"/>
        <v>0</v>
      </c>
      <c r="AR352" s="164"/>
      <c r="AS352" s="164"/>
      <c r="AT352" s="164"/>
      <c r="AU352" s="164"/>
      <c r="AV352" s="165"/>
      <c r="AW352" s="160">
        <f t="shared" si="984"/>
        <v>0</v>
      </c>
      <c r="AX352" s="161"/>
      <c r="AY352" s="161"/>
      <c r="AZ352" s="161"/>
      <c r="BA352" s="161"/>
      <c r="BB352" s="162"/>
      <c r="BC352" s="160">
        <f t="shared" si="1029"/>
        <v>0</v>
      </c>
      <c r="BD352" s="161"/>
      <c r="BE352" s="161"/>
      <c r="BF352" s="161"/>
      <c r="BG352" s="161"/>
      <c r="BH352" s="166"/>
      <c r="BI352" s="3">
        <f t="shared" si="977"/>
        <v>144000</v>
      </c>
    </row>
    <row r="353" spans="1:69" s="19" customFormat="1" ht="35.25" customHeight="1" x14ac:dyDescent="0.25">
      <c r="A353" s="127" t="str">
        <f t="shared" ref="A353" si="1040">A325</f>
        <v>貳</v>
      </c>
      <c r="B353" s="128"/>
      <c r="C353" s="128"/>
      <c r="D353" s="129"/>
      <c r="E353" s="130" t="str">
        <f t="shared" ref="E353" si="1041">E325</f>
        <v>職業安全衛生管理費與施工環境保護與清潔（壹*2%）</v>
      </c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2"/>
      <c r="U353" s="133" t="str">
        <f t="shared" ref="U353" si="1042">U325</f>
        <v>式</v>
      </c>
      <c r="V353" s="134"/>
      <c r="W353" s="134"/>
      <c r="X353" s="135"/>
      <c r="Y353" s="136">
        <f t="shared" ref="Y353" si="1043">Y325</f>
        <v>1</v>
      </c>
      <c r="Z353" s="137"/>
      <c r="AA353" s="137"/>
      <c r="AB353" s="137"/>
      <c r="AC353" s="137"/>
      <c r="AD353" s="138"/>
      <c r="AE353" s="139">
        <f t="shared" ref="AE353" si="1044">AE325</f>
        <v>8807</v>
      </c>
      <c r="AF353" s="139"/>
      <c r="AG353" s="139"/>
      <c r="AH353" s="139"/>
      <c r="AI353" s="139"/>
      <c r="AJ353" s="139"/>
      <c r="AK353" s="140">
        <v>1.7000000000000001E-2</v>
      </c>
      <c r="AL353" s="141"/>
      <c r="AM353" s="141"/>
      <c r="AN353" s="141"/>
      <c r="AO353" s="141"/>
      <c r="AP353" s="142"/>
      <c r="AQ353" s="143">
        <f t="shared" si="1028"/>
        <v>149.71900000000002</v>
      </c>
      <c r="AR353" s="144"/>
      <c r="AS353" s="144"/>
      <c r="AT353" s="144"/>
      <c r="AU353" s="144"/>
      <c r="AV353" s="145"/>
      <c r="AW353" s="140">
        <f>AW325+AK353</f>
        <v>0.22100000000000009</v>
      </c>
      <c r="AX353" s="141"/>
      <c r="AY353" s="141"/>
      <c r="AZ353" s="141"/>
      <c r="BA353" s="141"/>
      <c r="BB353" s="142"/>
      <c r="BC353" s="136">
        <f>ROUND(AW353*AE353,0)</f>
        <v>1946</v>
      </c>
      <c r="BD353" s="137"/>
      <c r="BE353" s="137"/>
      <c r="BF353" s="137"/>
      <c r="BG353" s="137"/>
      <c r="BH353" s="146"/>
      <c r="BI353" s="18">
        <f t="shared" si="977"/>
        <v>8807</v>
      </c>
    </row>
    <row r="354" spans="1:69" s="19" customFormat="1" ht="21.95" customHeight="1" x14ac:dyDescent="0.25">
      <c r="A354" s="127" t="str">
        <f t="shared" ref="A354" si="1045">A326</f>
        <v>參</v>
      </c>
      <c r="B354" s="128"/>
      <c r="C354" s="128"/>
      <c r="D354" s="129"/>
      <c r="E354" s="130" t="str">
        <f t="shared" ref="E354" si="1046">E326</f>
        <v>公共工程品質管制作業費（壹*1%）</v>
      </c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2"/>
      <c r="U354" s="133" t="str">
        <f t="shared" ref="U354" si="1047">U326</f>
        <v>式</v>
      </c>
      <c r="V354" s="134"/>
      <c r="W354" s="134"/>
      <c r="X354" s="135"/>
      <c r="Y354" s="147">
        <f t="shared" ref="Y354" si="1048">Y326</f>
        <v>1</v>
      </c>
      <c r="Z354" s="148"/>
      <c r="AA354" s="148"/>
      <c r="AB354" s="148"/>
      <c r="AC354" s="148"/>
      <c r="AD354" s="149"/>
      <c r="AE354" s="139">
        <f t="shared" ref="AE354" si="1049">AE326</f>
        <v>4404</v>
      </c>
      <c r="AF354" s="139"/>
      <c r="AG354" s="139"/>
      <c r="AH354" s="139"/>
      <c r="AI354" s="139"/>
      <c r="AJ354" s="139"/>
      <c r="AK354" s="140">
        <v>1.7000000000000001E-2</v>
      </c>
      <c r="AL354" s="141"/>
      <c r="AM354" s="141"/>
      <c r="AN354" s="141"/>
      <c r="AO354" s="141"/>
      <c r="AP354" s="142"/>
      <c r="AQ354" s="143">
        <f t="shared" si="1028"/>
        <v>74.868000000000009</v>
      </c>
      <c r="AR354" s="144"/>
      <c r="AS354" s="144"/>
      <c r="AT354" s="144"/>
      <c r="AU354" s="144"/>
      <c r="AV354" s="145"/>
      <c r="AW354" s="140">
        <f t="shared" ref="AW354:AW357" si="1050">AW326+AK354</f>
        <v>0.22100000000000009</v>
      </c>
      <c r="AX354" s="141"/>
      <c r="AY354" s="141"/>
      <c r="AZ354" s="141"/>
      <c r="BA354" s="141"/>
      <c r="BB354" s="142"/>
      <c r="BC354" s="136">
        <f t="shared" ref="BC354:BC357" si="1051">ROUND(AW354*AE354,0)</f>
        <v>973</v>
      </c>
      <c r="BD354" s="137"/>
      <c r="BE354" s="137"/>
      <c r="BF354" s="137"/>
      <c r="BG354" s="137"/>
      <c r="BH354" s="146"/>
      <c r="BI354" s="18">
        <f t="shared" si="977"/>
        <v>4404</v>
      </c>
    </row>
    <row r="355" spans="1:69" s="19" customFormat="1" ht="21.95" customHeight="1" x14ac:dyDescent="0.25">
      <c r="A355" s="127" t="str">
        <f t="shared" ref="A355" si="1052">A327</f>
        <v>肆</v>
      </c>
      <c r="B355" s="128"/>
      <c r="C355" s="128"/>
      <c r="D355" s="129"/>
      <c r="E355" s="130" t="str">
        <f t="shared" ref="E355" si="1053">E327</f>
        <v>包商管理及利潤費（約壹*7%）</v>
      </c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2"/>
      <c r="U355" s="133" t="str">
        <f t="shared" ref="U355" si="1054">U327</f>
        <v>式</v>
      </c>
      <c r="V355" s="134"/>
      <c r="W355" s="134"/>
      <c r="X355" s="135"/>
      <c r="Y355" s="147">
        <f t="shared" ref="Y355" si="1055">Y327</f>
        <v>1</v>
      </c>
      <c r="Z355" s="148"/>
      <c r="AA355" s="148"/>
      <c r="AB355" s="148"/>
      <c r="AC355" s="148"/>
      <c r="AD355" s="149"/>
      <c r="AE355" s="139">
        <f t="shared" ref="AE355" si="1056">AE327</f>
        <v>30825</v>
      </c>
      <c r="AF355" s="139"/>
      <c r="AG355" s="139"/>
      <c r="AH355" s="139"/>
      <c r="AI355" s="139"/>
      <c r="AJ355" s="139"/>
      <c r="AK355" s="140">
        <v>1.7000000000000001E-2</v>
      </c>
      <c r="AL355" s="141"/>
      <c r="AM355" s="141"/>
      <c r="AN355" s="141"/>
      <c r="AO355" s="141"/>
      <c r="AP355" s="142"/>
      <c r="AQ355" s="143">
        <f t="shared" si="1028"/>
        <v>524.02500000000009</v>
      </c>
      <c r="AR355" s="144"/>
      <c r="AS355" s="144"/>
      <c r="AT355" s="144"/>
      <c r="AU355" s="144"/>
      <c r="AV355" s="145"/>
      <c r="AW355" s="140">
        <f t="shared" si="1050"/>
        <v>0.22100000000000009</v>
      </c>
      <c r="AX355" s="141"/>
      <c r="AY355" s="141"/>
      <c r="AZ355" s="141"/>
      <c r="BA355" s="141"/>
      <c r="BB355" s="142"/>
      <c r="BC355" s="136">
        <f t="shared" si="1051"/>
        <v>6812</v>
      </c>
      <c r="BD355" s="137"/>
      <c r="BE355" s="137"/>
      <c r="BF355" s="137"/>
      <c r="BG355" s="137"/>
      <c r="BH355" s="146"/>
      <c r="BI355" s="18">
        <f t="shared" si="977"/>
        <v>30825</v>
      </c>
    </row>
    <row r="356" spans="1:69" s="19" customFormat="1" ht="21.95" customHeight="1" x14ac:dyDescent="0.25">
      <c r="A356" s="127" t="str">
        <f t="shared" ref="A356" si="1057">A328</f>
        <v>伍</v>
      </c>
      <c r="B356" s="128"/>
      <c r="C356" s="128"/>
      <c r="D356" s="129"/>
      <c r="E356" s="130" t="str">
        <f t="shared" ref="E356" si="1058">E328</f>
        <v>營造綜合保險費</v>
      </c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2"/>
      <c r="U356" s="133" t="str">
        <f t="shared" ref="U356" si="1059">U328</f>
        <v>式</v>
      </c>
      <c r="V356" s="134"/>
      <c r="W356" s="134"/>
      <c r="X356" s="135"/>
      <c r="Y356" s="136">
        <f t="shared" ref="Y356" si="1060">Y328</f>
        <v>1</v>
      </c>
      <c r="Z356" s="137"/>
      <c r="AA356" s="137"/>
      <c r="AB356" s="137"/>
      <c r="AC356" s="137"/>
      <c r="AD356" s="138"/>
      <c r="AE356" s="139">
        <f t="shared" ref="AE356" si="1061">AE328</f>
        <v>1321</v>
      </c>
      <c r="AF356" s="139"/>
      <c r="AG356" s="139"/>
      <c r="AH356" s="139"/>
      <c r="AI356" s="139"/>
      <c r="AJ356" s="139"/>
      <c r="AK356" s="136">
        <v>0</v>
      </c>
      <c r="AL356" s="137"/>
      <c r="AM356" s="137"/>
      <c r="AN356" s="137"/>
      <c r="AO356" s="137"/>
      <c r="AP356" s="138"/>
      <c r="AQ356" s="143">
        <f t="shared" si="1028"/>
        <v>0</v>
      </c>
      <c r="AR356" s="144"/>
      <c r="AS356" s="144"/>
      <c r="AT356" s="144"/>
      <c r="AU356" s="144"/>
      <c r="AV356" s="145"/>
      <c r="AW356" s="136">
        <f t="shared" si="1050"/>
        <v>1</v>
      </c>
      <c r="AX356" s="137"/>
      <c r="AY356" s="137"/>
      <c r="AZ356" s="137"/>
      <c r="BA356" s="137"/>
      <c r="BB356" s="138"/>
      <c r="BC356" s="136">
        <f t="shared" si="1051"/>
        <v>1321</v>
      </c>
      <c r="BD356" s="137"/>
      <c r="BE356" s="137"/>
      <c r="BF356" s="137"/>
      <c r="BG356" s="137"/>
      <c r="BH356" s="146"/>
      <c r="BI356" s="18">
        <f t="shared" si="977"/>
        <v>1321</v>
      </c>
    </row>
    <row r="357" spans="1:69" s="19" customFormat="1" ht="21.95" customHeight="1" x14ac:dyDescent="0.25">
      <c r="A357" s="127" t="str">
        <f t="shared" ref="A357" si="1062">A329</f>
        <v>陸</v>
      </c>
      <c r="B357" s="128"/>
      <c r="C357" s="128"/>
      <c r="D357" s="129"/>
      <c r="E357" s="130" t="str">
        <f t="shared" ref="E357" si="1063">E329</f>
        <v>營業稅（(壹~伍)*5％）</v>
      </c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2"/>
      <c r="U357" s="133" t="str">
        <f t="shared" ref="U357" si="1064">U329</f>
        <v>式</v>
      </c>
      <c r="V357" s="134"/>
      <c r="W357" s="134"/>
      <c r="X357" s="135"/>
      <c r="Y357" s="136">
        <f t="shared" ref="Y357" si="1065">Y329</f>
        <v>1</v>
      </c>
      <c r="Z357" s="137"/>
      <c r="AA357" s="137"/>
      <c r="AB357" s="137"/>
      <c r="AC357" s="137"/>
      <c r="AD357" s="138"/>
      <c r="AE357" s="139">
        <f t="shared" ref="AE357" si="1066">AE329</f>
        <v>24286</v>
      </c>
      <c r="AF357" s="139"/>
      <c r="AG357" s="139"/>
      <c r="AH357" s="139"/>
      <c r="AI357" s="139"/>
      <c r="AJ357" s="139"/>
      <c r="AK357" s="140">
        <v>1.7000000000000001E-2</v>
      </c>
      <c r="AL357" s="141"/>
      <c r="AM357" s="141"/>
      <c r="AN357" s="141"/>
      <c r="AO357" s="141"/>
      <c r="AP357" s="142"/>
      <c r="AQ357" s="143">
        <f t="shared" si="1028"/>
        <v>412.86200000000002</v>
      </c>
      <c r="AR357" s="144"/>
      <c r="AS357" s="144"/>
      <c r="AT357" s="144"/>
      <c r="AU357" s="144"/>
      <c r="AV357" s="145"/>
      <c r="AW357" s="140">
        <f t="shared" si="1050"/>
        <v>0.22100000000000009</v>
      </c>
      <c r="AX357" s="141"/>
      <c r="AY357" s="141"/>
      <c r="AZ357" s="141"/>
      <c r="BA357" s="141"/>
      <c r="BB357" s="142"/>
      <c r="BC357" s="136">
        <f t="shared" si="1051"/>
        <v>5367</v>
      </c>
      <c r="BD357" s="137"/>
      <c r="BE357" s="137"/>
      <c r="BF357" s="137"/>
      <c r="BG357" s="137"/>
      <c r="BH357" s="146"/>
      <c r="BI357" s="18">
        <f t="shared" si="977"/>
        <v>24286</v>
      </c>
    </row>
    <row r="358" spans="1:69" ht="21.95" customHeight="1" x14ac:dyDescent="0.25">
      <c r="A358" s="111"/>
      <c r="B358" s="112"/>
      <c r="C358" s="112"/>
      <c r="D358" s="113"/>
      <c r="E358" s="114" t="s">
        <v>75</v>
      </c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6"/>
      <c r="U358" s="117"/>
      <c r="V358" s="118"/>
      <c r="W358" s="118"/>
      <c r="X358" s="119"/>
      <c r="Y358" s="120"/>
      <c r="Z358" s="121"/>
      <c r="AA358" s="121"/>
      <c r="AB358" s="121"/>
      <c r="AC358" s="121"/>
      <c r="AD358" s="122"/>
      <c r="AE358" s="123"/>
      <c r="AF358" s="124"/>
      <c r="AG358" s="124"/>
      <c r="AH358" s="124"/>
      <c r="AI358" s="124"/>
      <c r="AJ358" s="125"/>
      <c r="AK358" s="120"/>
      <c r="AL358" s="121"/>
      <c r="AM358" s="121"/>
      <c r="AN358" s="121"/>
      <c r="AO358" s="121"/>
      <c r="AP358" s="122"/>
      <c r="AQ358" s="123">
        <f>SUM(AQ344:AQ357)</f>
        <v>1161.4740000000002</v>
      </c>
      <c r="AR358" s="124"/>
      <c r="AS358" s="124"/>
      <c r="AT358" s="124"/>
      <c r="AU358" s="124"/>
      <c r="AV358" s="125"/>
      <c r="AW358" s="120"/>
      <c r="AX358" s="121"/>
      <c r="AY358" s="121"/>
      <c r="AZ358" s="121"/>
      <c r="BA358" s="121"/>
      <c r="BB358" s="122"/>
      <c r="BC358" s="120">
        <f>SUM(BC344:BC357)</f>
        <v>18419</v>
      </c>
      <c r="BD358" s="121"/>
      <c r="BE358" s="121"/>
      <c r="BF358" s="121"/>
      <c r="BG358" s="121"/>
      <c r="BH358" s="126"/>
      <c r="BI358" s="17">
        <f>SUM(BI342:BI357)</f>
        <v>510000</v>
      </c>
    </row>
    <row r="359" spans="1:69" ht="21.95" customHeight="1" x14ac:dyDescent="0.25">
      <c r="A359" s="101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  <c r="AD359" s="102"/>
      <c r="AE359" s="102"/>
      <c r="AF359" s="102"/>
      <c r="AG359" s="102"/>
      <c r="AH359" s="102"/>
      <c r="AI359" s="102"/>
      <c r="AJ359" s="103"/>
      <c r="AK359" s="104"/>
      <c r="AL359" s="105"/>
      <c r="AM359" s="105"/>
      <c r="AN359" s="105"/>
      <c r="AO359" s="105"/>
      <c r="AP359" s="106"/>
      <c r="AQ359" s="107"/>
      <c r="AR359" s="108"/>
      <c r="AS359" s="108"/>
      <c r="AT359" s="108"/>
      <c r="AU359" s="108"/>
      <c r="AV359" s="109"/>
      <c r="AW359" s="104"/>
      <c r="AX359" s="105"/>
      <c r="AY359" s="105"/>
      <c r="AZ359" s="105"/>
      <c r="BA359" s="105"/>
      <c r="BB359" s="106"/>
      <c r="BC359" s="104"/>
      <c r="BD359" s="105"/>
      <c r="BE359" s="105"/>
      <c r="BF359" s="105"/>
      <c r="BG359" s="105"/>
      <c r="BH359" s="110"/>
      <c r="BI359" s="15">
        <f>Y359*AE359</f>
        <v>0</v>
      </c>
    </row>
    <row r="360" spans="1:69" ht="21.95" customHeight="1" x14ac:dyDescent="0.25">
      <c r="A360" s="101" t="s">
        <v>11</v>
      </c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  <c r="AD360" s="102"/>
      <c r="AE360" s="102"/>
      <c r="AF360" s="102"/>
      <c r="AG360" s="102"/>
      <c r="AH360" s="102"/>
      <c r="AI360" s="102"/>
      <c r="AJ360" s="103"/>
      <c r="AK360" s="104"/>
      <c r="AL360" s="105"/>
      <c r="AM360" s="105"/>
      <c r="AN360" s="105"/>
      <c r="AO360" s="105"/>
      <c r="AP360" s="106"/>
      <c r="AQ360" s="107">
        <f>BC358/BI358</f>
        <v>3.6115686274509805E-2</v>
      </c>
      <c r="AR360" s="108"/>
      <c r="AS360" s="108"/>
      <c r="AT360" s="108"/>
      <c r="AU360" s="108"/>
      <c r="AV360" s="109"/>
      <c r="AW360" s="104"/>
      <c r="AX360" s="105"/>
      <c r="AY360" s="105"/>
      <c r="AZ360" s="105"/>
      <c r="BA360" s="105"/>
      <c r="BB360" s="106"/>
      <c r="BC360" s="104"/>
      <c r="BD360" s="105"/>
      <c r="BE360" s="105"/>
      <c r="BF360" s="105"/>
      <c r="BG360" s="105"/>
      <c r="BH360" s="110"/>
      <c r="BI360" s="15">
        <f>AQ360</f>
        <v>3.6115686274509805E-2</v>
      </c>
    </row>
    <row r="361" spans="1:69" ht="18.75" customHeight="1" x14ac:dyDescent="0.25">
      <c r="A361" s="90" t="s">
        <v>15</v>
      </c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  <c r="AD361" s="92"/>
      <c r="AE361" s="93" t="s">
        <v>14</v>
      </c>
      <c r="AF361" s="91"/>
      <c r="AG361" s="91"/>
      <c r="AH361" s="91"/>
      <c r="AI361" s="91"/>
      <c r="AJ361" s="91"/>
      <c r="AK361" s="91"/>
      <c r="AL361" s="91"/>
      <c r="AM361" s="91"/>
      <c r="AN361" s="91"/>
      <c r="AO361" s="91"/>
      <c r="AP361" s="91"/>
      <c r="AQ361" s="91"/>
      <c r="AR361" s="91"/>
      <c r="AS361" s="91"/>
      <c r="AT361" s="91"/>
      <c r="AU361" s="91"/>
      <c r="AV361" s="91"/>
      <c r="AW361" s="91"/>
      <c r="AX361" s="91"/>
      <c r="AY361" s="91"/>
      <c r="AZ361" s="91"/>
      <c r="BA361" s="91"/>
      <c r="BB361" s="91"/>
      <c r="BC361" s="91"/>
      <c r="BD361" s="91"/>
      <c r="BE361" s="91"/>
      <c r="BF361" s="91"/>
      <c r="BG361" s="91"/>
      <c r="BH361" s="94"/>
    </row>
    <row r="362" spans="1:69" x14ac:dyDescent="0.25">
      <c r="A362" s="95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  <c r="AC362" s="96"/>
      <c r="AD362" s="96"/>
      <c r="AE362" s="96"/>
      <c r="AF362" s="96"/>
      <c r="AG362" s="96"/>
      <c r="AH362" s="96"/>
      <c r="AI362" s="96"/>
      <c r="AJ362" s="96"/>
      <c r="AK362" s="96"/>
      <c r="AL362" s="96"/>
      <c r="AM362" s="96"/>
      <c r="AN362" s="96"/>
      <c r="AO362" s="96"/>
      <c r="AP362" s="96"/>
      <c r="AQ362" s="96"/>
      <c r="AR362" s="96"/>
      <c r="AS362" s="96"/>
      <c r="AT362" s="96"/>
      <c r="AU362" s="96"/>
      <c r="AV362" s="96"/>
      <c r="AW362" s="96"/>
      <c r="AX362" s="96"/>
      <c r="AY362" s="96"/>
      <c r="AZ362" s="96"/>
      <c r="BA362" s="96"/>
      <c r="BB362" s="96"/>
      <c r="BC362" s="96"/>
      <c r="BD362" s="96"/>
      <c r="BE362" s="96"/>
      <c r="BF362" s="96"/>
      <c r="BG362" s="96"/>
      <c r="BH362" s="99"/>
    </row>
    <row r="363" spans="1:69" x14ac:dyDescent="0.25">
      <c r="A363" s="95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  <c r="AC363" s="96"/>
      <c r="AD363" s="96"/>
      <c r="AE363" s="96"/>
      <c r="AF363" s="96"/>
      <c r="AG363" s="96"/>
      <c r="AH363" s="96"/>
      <c r="AI363" s="96"/>
      <c r="AJ363" s="96"/>
      <c r="AK363" s="96"/>
      <c r="AL363" s="96"/>
      <c r="AM363" s="96"/>
      <c r="AN363" s="96"/>
      <c r="AO363" s="96"/>
      <c r="AP363" s="96"/>
      <c r="AQ363" s="96"/>
      <c r="AR363" s="96"/>
      <c r="AS363" s="96"/>
      <c r="AT363" s="96"/>
      <c r="AU363" s="96"/>
      <c r="AV363" s="96"/>
      <c r="AW363" s="96"/>
      <c r="AX363" s="96"/>
      <c r="AY363" s="96"/>
      <c r="AZ363" s="96"/>
      <c r="BA363" s="96"/>
      <c r="BB363" s="96"/>
      <c r="BC363" s="96"/>
      <c r="BD363" s="96"/>
      <c r="BE363" s="96"/>
      <c r="BF363" s="96"/>
      <c r="BG363" s="96"/>
      <c r="BH363" s="99"/>
    </row>
    <row r="364" spans="1:69" ht="17.25" thickBot="1" x14ac:dyDescent="0.3">
      <c r="A364" s="97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  <c r="AA364" s="98"/>
      <c r="AB364" s="98"/>
      <c r="AC364" s="98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  <c r="AO364" s="98"/>
      <c r="AP364" s="98"/>
      <c r="AQ364" s="98"/>
      <c r="AR364" s="98"/>
      <c r="AS364" s="98"/>
      <c r="AT364" s="98"/>
      <c r="AU364" s="98"/>
      <c r="AV364" s="98"/>
      <c r="AW364" s="98"/>
      <c r="AX364" s="98"/>
      <c r="AY364" s="98"/>
      <c r="AZ364" s="98"/>
      <c r="BA364" s="98"/>
      <c r="BB364" s="98"/>
      <c r="BC364" s="98"/>
      <c r="BD364" s="98"/>
      <c r="BE364" s="98"/>
      <c r="BF364" s="98"/>
      <c r="BG364" s="98"/>
      <c r="BH364" s="100"/>
    </row>
    <row r="365" spans="1:69" ht="27.75" x14ac:dyDescent="0.25">
      <c r="A365" s="182" t="s">
        <v>81</v>
      </c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2"/>
      <c r="Y365" s="182"/>
      <c r="Z365" s="182"/>
      <c r="AA365" s="182"/>
      <c r="AB365" s="182"/>
      <c r="AC365" s="182"/>
      <c r="AD365" s="182"/>
      <c r="AE365" s="182"/>
      <c r="AF365" s="182"/>
      <c r="AG365" s="182"/>
      <c r="AH365" s="182"/>
      <c r="AI365" s="182"/>
      <c r="AJ365" s="182"/>
      <c r="AK365" s="182"/>
      <c r="AL365" s="182"/>
      <c r="AM365" s="182"/>
      <c r="AN365" s="182"/>
      <c r="AO365" s="182"/>
      <c r="AP365" s="182"/>
      <c r="AQ365" s="182"/>
      <c r="AR365" s="182"/>
      <c r="AS365" s="182"/>
      <c r="AT365" s="182"/>
      <c r="AU365" s="182"/>
      <c r="AV365" s="182"/>
      <c r="AW365" s="182"/>
      <c r="AX365" s="182"/>
      <c r="AY365" s="182"/>
      <c r="AZ365" s="182"/>
      <c r="BA365" s="182"/>
      <c r="BB365" s="182"/>
      <c r="BC365" s="182"/>
      <c r="BD365" s="182"/>
      <c r="BE365" s="182"/>
      <c r="BF365" s="182"/>
      <c r="BG365" s="182"/>
      <c r="BH365" s="182"/>
    </row>
    <row r="366" spans="1:69" ht="27.75" x14ac:dyDescent="0.25">
      <c r="A366" s="183" t="s">
        <v>12</v>
      </c>
      <c r="B366" s="183"/>
      <c r="C366" s="183"/>
      <c r="D366" s="183"/>
      <c r="E366" s="183"/>
      <c r="F366" s="183"/>
      <c r="G366" s="183"/>
      <c r="H366" s="183"/>
      <c r="I366" s="183"/>
      <c r="J366" s="184" t="s">
        <v>85</v>
      </c>
      <c r="K366" s="185"/>
      <c r="L366" s="185"/>
      <c r="M366" s="185"/>
      <c r="N366" s="185"/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  <c r="Z366" s="185"/>
      <c r="AA366" s="185"/>
      <c r="AB366" s="185"/>
      <c r="AC366" s="185"/>
      <c r="AD366" s="185"/>
      <c r="AE366" s="185"/>
      <c r="AF366" s="185"/>
      <c r="AG366" s="185"/>
      <c r="AH366" s="185"/>
      <c r="AI366" s="185"/>
      <c r="AJ366" s="185"/>
      <c r="AK366" s="185"/>
      <c r="AL366" s="185"/>
      <c r="AM366" s="185"/>
      <c r="AN366" s="185"/>
      <c r="AO366" s="185"/>
      <c r="AP366" s="185"/>
      <c r="AQ366" s="185"/>
      <c r="AR366" s="185"/>
      <c r="AS366" s="185"/>
      <c r="AT366" s="185"/>
      <c r="AU366" s="185"/>
      <c r="AV366" s="185"/>
      <c r="AW366" s="185"/>
      <c r="AX366" s="185"/>
      <c r="AY366" s="185"/>
      <c r="AZ366" s="185"/>
      <c r="BA366" s="185"/>
      <c r="BB366" s="185"/>
      <c r="BC366" s="185"/>
      <c r="BD366" s="185"/>
      <c r="BE366" s="185"/>
      <c r="BF366" s="185"/>
      <c r="BG366" s="185"/>
      <c r="BH366" s="185"/>
      <c r="BI366" s="185"/>
      <c r="BJ366" s="185"/>
      <c r="BK366" s="185"/>
      <c r="BL366" s="185"/>
      <c r="BM366" s="185"/>
      <c r="BN366" s="185"/>
      <c r="BO366" s="185"/>
      <c r="BP366" s="185"/>
      <c r="BQ366" s="185"/>
    </row>
    <row r="367" spans="1:69" ht="17.25" thickBot="1" x14ac:dyDescent="0.3">
      <c r="A367" s="186" t="s">
        <v>10</v>
      </c>
      <c r="B367" s="186"/>
      <c r="C367" s="186"/>
      <c r="D367" s="186"/>
      <c r="E367" s="186"/>
      <c r="F367" s="186"/>
      <c r="G367" s="186"/>
      <c r="H367" s="186"/>
      <c r="I367" s="187" t="s">
        <v>78</v>
      </c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  <c r="AA367" s="187"/>
      <c r="AB367" s="187"/>
      <c r="AC367" s="187"/>
      <c r="AD367" s="187"/>
      <c r="AE367" s="187"/>
      <c r="AF367" s="187"/>
      <c r="AG367" s="187"/>
      <c r="AH367" s="187"/>
      <c r="AI367" s="187"/>
      <c r="AJ367" s="187"/>
      <c r="AK367" s="187"/>
      <c r="AL367" s="187"/>
      <c r="AM367" s="187"/>
      <c r="AN367" s="187"/>
      <c r="AO367" s="188" t="s">
        <v>9</v>
      </c>
      <c r="AP367" s="188"/>
      <c r="AQ367" s="188"/>
      <c r="AR367" s="188"/>
      <c r="AS367" s="188"/>
      <c r="AT367" s="188"/>
      <c r="AU367" s="188"/>
      <c r="AV367" s="188"/>
      <c r="AW367" s="189">
        <f>AW339+1</f>
        <v>45923</v>
      </c>
      <c r="AX367" s="189"/>
      <c r="AY367" s="189"/>
      <c r="AZ367" s="189"/>
      <c r="BA367" s="189"/>
      <c r="BB367" s="189"/>
      <c r="BC367" s="189"/>
      <c r="BD367" s="189"/>
      <c r="BE367" s="189"/>
      <c r="BF367" s="189"/>
      <c r="BG367" s="189"/>
      <c r="BH367" s="189"/>
    </row>
    <row r="368" spans="1:69" ht="36" customHeight="1" x14ac:dyDescent="0.25">
      <c r="A368" s="180" t="s">
        <v>0</v>
      </c>
      <c r="B368" s="83"/>
      <c r="C368" s="83"/>
      <c r="D368" s="83"/>
      <c r="E368" s="83" t="s">
        <v>6</v>
      </c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 t="s">
        <v>7</v>
      </c>
      <c r="V368" s="83"/>
      <c r="W368" s="83"/>
      <c r="X368" s="83"/>
      <c r="Y368" s="181" t="s">
        <v>1</v>
      </c>
      <c r="Z368" s="181"/>
      <c r="AA368" s="181"/>
      <c r="AB368" s="181"/>
      <c r="AC368" s="181"/>
      <c r="AD368" s="181"/>
      <c r="AE368" s="83" t="s">
        <v>8</v>
      </c>
      <c r="AF368" s="83"/>
      <c r="AG368" s="83"/>
      <c r="AH368" s="83"/>
      <c r="AI368" s="83"/>
      <c r="AJ368" s="83"/>
      <c r="AK368" s="181" t="s">
        <v>2</v>
      </c>
      <c r="AL368" s="181"/>
      <c r="AM368" s="181"/>
      <c r="AN368" s="181"/>
      <c r="AO368" s="181"/>
      <c r="AP368" s="181"/>
      <c r="AQ368" s="84" t="s">
        <v>3</v>
      </c>
      <c r="AR368" s="84"/>
      <c r="AS368" s="84"/>
      <c r="AT368" s="84"/>
      <c r="AU368" s="84"/>
      <c r="AV368" s="84"/>
      <c r="AW368" s="181" t="s">
        <v>4</v>
      </c>
      <c r="AX368" s="181"/>
      <c r="AY368" s="181"/>
      <c r="AZ368" s="181"/>
      <c r="BA368" s="181"/>
      <c r="BB368" s="181"/>
      <c r="BC368" s="84" t="s">
        <v>5</v>
      </c>
      <c r="BD368" s="84"/>
      <c r="BE368" s="84"/>
      <c r="BF368" s="84"/>
      <c r="BG368" s="84"/>
      <c r="BH368" s="85"/>
      <c r="BI368" s="1"/>
    </row>
    <row r="369" spans="1:61" ht="21.95" customHeight="1" x14ac:dyDescent="0.25">
      <c r="A369" s="150" t="str">
        <f t="shared" ref="A369" si="1067">A341</f>
        <v>壹</v>
      </c>
      <c r="B369" s="151"/>
      <c r="C369" s="151"/>
      <c r="D369" s="152"/>
      <c r="E369" s="175" t="str">
        <f t="shared" ref="E369" si="1068">E341</f>
        <v>直接工程費</v>
      </c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7"/>
      <c r="U369" s="117"/>
      <c r="V369" s="118"/>
      <c r="W369" s="118"/>
      <c r="X369" s="119"/>
      <c r="Y369" s="178"/>
      <c r="Z369" s="178"/>
      <c r="AA369" s="178"/>
      <c r="AB369" s="178"/>
      <c r="AC369" s="178"/>
      <c r="AD369" s="178"/>
      <c r="AE369" s="178"/>
      <c r="AF369" s="178"/>
      <c r="AG369" s="178"/>
      <c r="AH369" s="178"/>
      <c r="AI369" s="178"/>
      <c r="AJ369" s="178"/>
      <c r="AK369" s="178"/>
      <c r="AL369" s="178"/>
      <c r="AM369" s="178"/>
      <c r="AN369" s="178"/>
      <c r="AO369" s="178"/>
      <c r="AP369" s="178"/>
      <c r="AQ369" s="178"/>
      <c r="AR369" s="178"/>
      <c r="AS369" s="178"/>
      <c r="AT369" s="178"/>
      <c r="AU369" s="178"/>
      <c r="AV369" s="178"/>
      <c r="AW369" s="178"/>
      <c r="AX369" s="178"/>
      <c r="AY369" s="178"/>
      <c r="AZ369" s="178"/>
      <c r="BA369" s="178"/>
      <c r="BB369" s="178"/>
      <c r="BC369" s="178"/>
      <c r="BD369" s="178"/>
      <c r="BE369" s="178"/>
      <c r="BF369" s="178"/>
      <c r="BG369" s="178"/>
      <c r="BH369" s="179"/>
      <c r="BI369" s="3">
        <f t="shared" ref="BI369:BI385" si="1069">Y369*AE369</f>
        <v>0</v>
      </c>
    </row>
    <row r="370" spans="1:61" s="19" customFormat="1" ht="21.95" customHeight="1" x14ac:dyDescent="0.25">
      <c r="A370" s="127">
        <f t="shared" ref="A370" si="1070">A342</f>
        <v>1</v>
      </c>
      <c r="B370" s="128"/>
      <c r="C370" s="128"/>
      <c r="D370" s="129"/>
      <c r="E370" s="170" t="str">
        <f t="shared" ref="E370" si="1071">E342</f>
        <v>工程告示牌與職安衛告示牌(租用)</v>
      </c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2"/>
      <c r="U370" s="133" t="str">
        <f t="shared" ref="U370" si="1072">U342</f>
        <v>式</v>
      </c>
      <c r="V370" s="134"/>
      <c r="W370" s="134"/>
      <c r="X370" s="135"/>
      <c r="Y370" s="136">
        <f t="shared" ref="Y370" si="1073">Y342</f>
        <v>1</v>
      </c>
      <c r="Z370" s="137"/>
      <c r="AA370" s="137"/>
      <c r="AB370" s="137"/>
      <c r="AC370" s="137"/>
      <c r="AD370" s="138"/>
      <c r="AE370" s="139">
        <f t="shared" ref="AE370" si="1074">AE342</f>
        <v>5000</v>
      </c>
      <c r="AF370" s="139"/>
      <c r="AG370" s="139"/>
      <c r="AH370" s="139"/>
      <c r="AI370" s="139"/>
      <c r="AJ370" s="139"/>
      <c r="AK370" s="173">
        <v>0</v>
      </c>
      <c r="AL370" s="173"/>
      <c r="AM370" s="173"/>
      <c r="AN370" s="173"/>
      <c r="AO370" s="173"/>
      <c r="AP370" s="173"/>
      <c r="AQ370" s="139">
        <f t="shared" ref="AQ370:AQ371" si="1075">AK370*AE370</f>
        <v>0</v>
      </c>
      <c r="AR370" s="139"/>
      <c r="AS370" s="139"/>
      <c r="AT370" s="139"/>
      <c r="AU370" s="139"/>
      <c r="AV370" s="139"/>
      <c r="AW370" s="173">
        <f t="shared" ref="AW370:AW380" si="1076">AW342+AK370</f>
        <v>1</v>
      </c>
      <c r="AX370" s="173"/>
      <c r="AY370" s="173"/>
      <c r="AZ370" s="173"/>
      <c r="BA370" s="173"/>
      <c r="BB370" s="173"/>
      <c r="BC370" s="173">
        <f t="shared" ref="BC370:BC371" si="1077">ROUND(AW370*AE370,0)</f>
        <v>5000</v>
      </c>
      <c r="BD370" s="173"/>
      <c r="BE370" s="173"/>
      <c r="BF370" s="173"/>
      <c r="BG370" s="173"/>
      <c r="BH370" s="174"/>
      <c r="BI370" s="18">
        <f t="shared" si="1069"/>
        <v>5000</v>
      </c>
    </row>
    <row r="371" spans="1:61" s="19" customFormat="1" ht="21.95" customHeight="1" x14ac:dyDescent="0.25">
      <c r="A371" s="127">
        <f t="shared" ref="A371" si="1078">A343</f>
        <v>2</v>
      </c>
      <c r="B371" s="128"/>
      <c r="C371" s="128"/>
      <c r="D371" s="129"/>
      <c r="E371" s="170" t="str">
        <f t="shared" ref="E371" si="1079">E343</f>
        <v>三角錐與連桿(租用)</v>
      </c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2"/>
      <c r="U371" s="133" t="str">
        <f t="shared" ref="U371" si="1080">U343</f>
        <v>M</v>
      </c>
      <c r="V371" s="134"/>
      <c r="W371" s="134"/>
      <c r="X371" s="135"/>
      <c r="Y371" s="147">
        <f t="shared" ref="Y371" si="1081">Y343</f>
        <v>86</v>
      </c>
      <c r="Z371" s="148"/>
      <c r="AA371" s="148"/>
      <c r="AB371" s="148"/>
      <c r="AC371" s="148"/>
      <c r="AD371" s="149"/>
      <c r="AE371" s="139">
        <f t="shared" ref="AE371" si="1082">AE343</f>
        <v>60</v>
      </c>
      <c r="AF371" s="139"/>
      <c r="AG371" s="139"/>
      <c r="AH371" s="139"/>
      <c r="AI371" s="139"/>
      <c r="AJ371" s="139"/>
      <c r="AK371" s="173">
        <v>0</v>
      </c>
      <c r="AL371" s="173"/>
      <c r="AM371" s="173"/>
      <c r="AN371" s="173"/>
      <c r="AO371" s="173"/>
      <c r="AP371" s="173"/>
      <c r="AQ371" s="139">
        <f t="shared" si="1075"/>
        <v>0</v>
      </c>
      <c r="AR371" s="139"/>
      <c r="AS371" s="139"/>
      <c r="AT371" s="139"/>
      <c r="AU371" s="139"/>
      <c r="AV371" s="139"/>
      <c r="AW371" s="173">
        <f t="shared" si="1076"/>
        <v>86</v>
      </c>
      <c r="AX371" s="173"/>
      <c r="AY371" s="173"/>
      <c r="AZ371" s="173"/>
      <c r="BA371" s="173"/>
      <c r="BB371" s="173"/>
      <c r="BC371" s="173">
        <f t="shared" si="1077"/>
        <v>5160</v>
      </c>
      <c r="BD371" s="173"/>
      <c r="BE371" s="173"/>
      <c r="BF371" s="173"/>
      <c r="BG371" s="173"/>
      <c r="BH371" s="174"/>
      <c r="BI371" s="18">
        <f t="shared" si="1069"/>
        <v>5160</v>
      </c>
    </row>
    <row r="372" spans="1:61" s="19" customFormat="1" ht="33" customHeight="1" x14ac:dyDescent="0.25">
      <c r="A372" s="150">
        <f t="shared" ref="A372" si="1083">A344</f>
        <v>3</v>
      </c>
      <c r="B372" s="151"/>
      <c r="C372" s="151"/>
      <c r="D372" s="152"/>
      <c r="E372" s="175" t="str">
        <f t="shared" ref="E372" si="1084">E344</f>
        <v>施工動線開闢及損害復原；測量與放樣</v>
      </c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7"/>
      <c r="U372" s="117" t="str">
        <f t="shared" ref="U372" si="1085">U344</f>
        <v>式</v>
      </c>
      <c r="V372" s="118"/>
      <c r="W372" s="118"/>
      <c r="X372" s="119"/>
      <c r="Y372" s="156">
        <f t="shared" ref="Y372" si="1086">Y344</f>
        <v>1</v>
      </c>
      <c r="Z372" s="157"/>
      <c r="AA372" s="157"/>
      <c r="AB372" s="157"/>
      <c r="AC372" s="157"/>
      <c r="AD372" s="158"/>
      <c r="AE372" s="159">
        <f t="shared" ref="AE372" si="1087">AE344</f>
        <v>4000</v>
      </c>
      <c r="AF372" s="159"/>
      <c r="AG372" s="159"/>
      <c r="AH372" s="159"/>
      <c r="AI372" s="159"/>
      <c r="AJ372" s="159"/>
      <c r="AK372" s="167">
        <v>0</v>
      </c>
      <c r="AL372" s="167"/>
      <c r="AM372" s="167"/>
      <c r="AN372" s="167"/>
      <c r="AO372" s="167"/>
      <c r="AP372" s="167"/>
      <c r="AQ372" s="159">
        <f>AK372*AE372</f>
        <v>0</v>
      </c>
      <c r="AR372" s="159"/>
      <c r="AS372" s="159"/>
      <c r="AT372" s="159"/>
      <c r="AU372" s="159"/>
      <c r="AV372" s="159"/>
      <c r="AW372" s="167">
        <f t="shared" si="1076"/>
        <v>0.5</v>
      </c>
      <c r="AX372" s="167"/>
      <c r="AY372" s="167"/>
      <c r="AZ372" s="167"/>
      <c r="BA372" s="167"/>
      <c r="BB372" s="167"/>
      <c r="BC372" s="167">
        <f>ROUND(AW372*AE372,0)</f>
        <v>2000</v>
      </c>
      <c r="BD372" s="167"/>
      <c r="BE372" s="167"/>
      <c r="BF372" s="167"/>
      <c r="BG372" s="167"/>
      <c r="BH372" s="168"/>
      <c r="BI372" s="18">
        <f t="shared" si="1069"/>
        <v>4000</v>
      </c>
    </row>
    <row r="373" spans="1:61" s="19" customFormat="1" ht="54" customHeight="1" x14ac:dyDescent="0.25">
      <c r="A373" s="127">
        <f t="shared" ref="A373" si="1088">A345</f>
        <v>4</v>
      </c>
      <c r="B373" s="128"/>
      <c r="C373" s="128"/>
      <c r="D373" s="129"/>
      <c r="E373" s="170" t="str">
        <f t="shared" ref="E373" si="1089">E345</f>
        <v>切割打除清運校舍與教室出入口地坪以及司令台階梯平台(含合法清運證明)</v>
      </c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2"/>
      <c r="U373" s="133" t="str">
        <f t="shared" ref="U373" si="1090">U345</f>
        <v>式</v>
      </c>
      <c r="V373" s="134"/>
      <c r="W373" s="134"/>
      <c r="X373" s="135"/>
      <c r="Y373" s="147">
        <f t="shared" ref="Y373" si="1091">Y345</f>
        <v>1</v>
      </c>
      <c r="Z373" s="148"/>
      <c r="AA373" s="148"/>
      <c r="AB373" s="148"/>
      <c r="AC373" s="148"/>
      <c r="AD373" s="149"/>
      <c r="AE373" s="139">
        <f t="shared" ref="AE373" si="1092">AE345</f>
        <v>52817</v>
      </c>
      <c r="AF373" s="139"/>
      <c r="AG373" s="139"/>
      <c r="AH373" s="139"/>
      <c r="AI373" s="139"/>
      <c r="AJ373" s="139"/>
      <c r="AK373" s="173">
        <v>0.2</v>
      </c>
      <c r="AL373" s="173"/>
      <c r="AM373" s="173"/>
      <c r="AN373" s="173"/>
      <c r="AO373" s="173"/>
      <c r="AP373" s="173"/>
      <c r="AQ373" s="139">
        <f t="shared" ref="AQ373:AQ376" si="1093">AK373*AE373</f>
        <v>10563.400000000001</v>
      </c>
      <c r="AR373" s="139"/>
      <c r="AS373" s="139"/>
      <c r="AT373" s="139"/>
      <c r="AU373" s="139"/>
      <c r="AV373" s="139"/>
      <c r="AW373" s="173">
        <f t="shared" si="1076"/>
        <v>0.2</v>
      </c>
      <c r="AX373" s="173"/>
      <c r="AY373" s="173"/>
      <c r="AZ373" s="173"/>
      <c r="BA373" s="173"/>
      <c r="BB373" s="173"/>
      <c r="BC373" s="173">
        <f t="shared" ref="BC373:BC376" si="1094">ROUND(AW373*AE373,0)</f>
        <v>10563</v>
      </c>
      <c r="BD373" s="173"/>
      <c r="BE373" s="173"/>
      <c r="BF373" s="173"/>
      <c r="BG373" s="173"/>
      <c r="BH373" s="174"/>
      <c r="BI373" s="20">
        <f t="shared" si="1069"/>
        <v>52817</v>
      </c>
    </row>
    <row r="374" spans="1:61" ht="20.25" customHeight="1" x14ac:dyDescent="0.25">
      <c r="A374" s="150">
        <f t="shared" ref="A374" si="1095">A346</f>
        <v>5</v>
      </c>
      <c r="B374" s="151"/>
      <c r="C374" s="151"/>
      <c r="D374" s="152"/>
      <c r="E374" s="153" t="str">
        <f t="shared" ref="E374" si="1096">E346</f>
        <v>校舍出入口施做斜坡順平高差</v>
      </c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5"/>
      <c r="U374" s="117" t="str">
        <f t="shared" ref="U374" si="1097">U346</f>
        <v>M2</v>
      </c>
      <c r="V374" s="118"/>
      <c r="W374" s="118"/>
      <c r="X374" s="119"/>
      <c r="Y374" s="160">
        <f t="shared" ref="Y374" si="1098">Y346</f>
        <v>15</v>
      </c>
      <c r="Z374" s="161"/>
      <c r="AA374" s="161"/>
      <c r="AB374" s="161"/>
      <c r="AC374" s="161"/>
      <c r="AD374" s="162"/>
      <c r="AE374" s="169">
        <f t="shared" ref="AE374" si="1099">AE346</f>
        <v>600</v>
      </c>
      <c r="AF374" s="169"/>
      <c r="AG374" s="169"/>
      <c r="AH374" s="169"/>
      <c r="AI374" s="169"/>
      <c r="AJ374" s="169"/>
      <c r="AK374" s="167">
        <v>0</v>
      </c>
      <c r="AL374" s="167"/>
      <c r="AM374" s="167"/>
      <c r="AN374" s="167"/>
      <c r="AO374" s="167"/>
      <c r="AP374" s="167"/>
      <c r="AQ374" s="159">
        <f t="shared" si="1093"/>
        <v>0</v>
      </c>
      <c r="AR374" s="159"/>
      <c r="AS374" s="159"/>
      <c r="AT374" s="159"/>
      <c r="AU374" s="159"/>
      <c r="AV374" s="159"/>
      <c r="AW374" s="167">
        <f t="shared" si="1076"/>
        <v>0</v>
      </c>
      <c r="AX374" s="167"/>
      <c r="AY374" s="167"/>
      <c r="AZ374" s="167"/>
      <c r="BA374" s="167"/>
      <c r="BB374" s="167"/>
      <c r="BC374" s="167">
        <f t="shared" si="1094"/>
        <v>0</v>
      </c>
      <c r="BD374" s="167"/>
      <c r="BE374" s="167"/>
      <c r="BF374" s="167"/>
      <c r="BG374" s="167"/>
      <c r="BH374" s="168"/>
      <c r="BI374" s="3">
        <f t="shared" si="1069"/>
        <v>9000</v>
      </c>
    </row>
    <row r="375" spans="1:61" ht="50.25" customHeight="1" x14ac:dyDescent="0.25">
      <c r="A375" s="150">
        <f t="shared" ref="A375" si="1100">A347</f>
        <v>6</v>
      </c>
      <c r="B375" s="151"/>
      <c r="C375" s="151"/>
      <c r="D375" s="152"/>
      <c r="E375" s="153" t="str">
        <f t="shared" ref="E375" si="1101">E347</f>
        <v>開挖整地，新設無障礙RC坡道，牆面與地坪粉刷整平(連工帶料，責任施工)</v>
      </c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5"/>
      <c r="U375" s="117" t="str">
        <f t="shared" ref="U375" si="1102">U347</f>
        <v>式</v>
      </c>
      <c r="V375" s="118"/>
      <c r="W375" s="118"/>
      <c r="X375" s="119"/>
      <c r="Y375" s="160">
        <f t="shared" ref="Y375" si="1103">Y347</f>
        <v>1</v>
      </c>
      <c r="Z375" s="161"/>
      <c r="AA375" s="161"/>
      <c r="AB375" s="161"/>
      <c r="AC375" s="161"/>
      <c r="AD375" s="162"/>
      <c r="AE375" s="159">
        <f t="shared" ref="AE375" si="1104">AE347</f>
        <v>153000</v>
      </c>
      <c r="AF375" s="159"/>
      <c r="AG375" s="159"/>
      <c r="AH375" s="159"/>
      <c r="AI375" s="159"/>
      <c r="AJ375" s="159"/>
      <c r="AK375" s="167">
        <v>0</v>
      </c>
      <c r="AL375" s="167"/>
      <c r="AM375" s="167"/>
      <c r="AN375" s="167"/>
      <c r="AO375" s="167"/>
      <c r="AP375" s="167"/>
      <c r="AQ375" s="159">
        <f t="shared" si="1093"/>
        <v>0</v>
      </c>
      <c r="AR375" s="159"/>
      <c r="AS375" s="159"/>
      <c r="AT375" s="159"/>
      <c r="AU375" s="159"/>
      <c r="AV375" s="159"/>
      <c r="AW375" s="167">
        <f t="shared" si="1076"/>
        <v>0</v>
      </c>
      <c r="AX375" s="167"/>
      <c r="AY375" s="167"/>
      <c r="AZ375" s="167"/>
      <c r="BA375" s="167"/>
      <c r="BB375" s="167"/>
      <c r="BC375" s="167">
        <f t="shared" si="1094"/>
        <v>0</v>
      </c>
      <c r="BD375" s="167"/>
      <c r="BE375" s="167"/>
      <c r="BF375" s="167"/>
      <c r="BG375" s="167"/>
      <c r="BH375" s="168"/>
      <c r="BI375" s="3">
        <f t="shared" si="1069"/>
        <v>153000</v>
      </c>
    </row>
    <row r="376" spans="1:61" ht="32.450000000000003" customHeight="1" x14ac:dyDescent="0.25">
      <c r="A376" s="150">
        <f t="shared" ref="A376" si="1105">A348</f>
        <v>7</v>
      </c>
      <c r="B376" s="151"/>
      <c r="C376" s="151"/>
      <c r="D376" s="152"/>
      <c r="E376" s="153" t="str">
        <f t="shared" ref="E376" si="1106">E348</f>
        <v>施做抿石子(1~2分AK石，抿石子專用泥)</v>
      </c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5"/>
      <c r="U376" s="117" t="str">
        <f t="shared" ref="U376" si="1107">U348</f>
        <v>M2</v>
      </c>
      <c r="V376" s="118"/>
      <c r="W376" s="118"/>
      <c r="X376" s="119"/>
      <c r="Y376" s="160">
        <f t="shared" ref="Y376" si="1108">Y348</f>
        <v>38</v>
      </c>
      <c r="Z376" s="161"/>
      <c r="AA376" s="161"/>
      <c r="AB376" s="161"/>
      <c r="AC376" s="161"/>
      <c r="AD376" s="162"/>
      <c r="AE376" s="159">
        <f t="shared" ref="AE376" si="1109">AE348</f>
        <v>1460</v>
      </c>
      <c r="AF376" s="159"/>
      <c r="AG376" s="159"/>
      <c r="AH376" s="159"/>
      <c r="AI376" s="159"/>
      <c r="AJ376" s="159"/>
      <c r="AK376" s="167">
        <v>0</v>
      </c>
      <c r="AL376" s="167"/>
      <c r="AM376" s="167"/>
      <c r="AN376" s="167"/>
      <c r="AO376" s="167"/>
      <c r="AP376" s="167"/>
      <c r="AQ376" s="159">
        <f t="shared" si="1093"/>
        <v>0</v>
      </c>
      <c r="AR376" s="159"/>
      <c r="AS376" s="159"/>
      <c r="AT376" s="159"/>
      <c r="AU376" s="159"/>
      <c r="AV376" s="159"/>
      <c r="AW376" s="167">
        <f t="shared" si="1076"/>
        <v>0</v>
      </c>
      <c r="AX376" s="167"/>
      <c r="AY376" s="167"/>
      <c r="AZ376" s="167"/>
      <c r="BA376" s="167"/>
      <c r="BB376" s="167"/>
      <c r="BC376" s="167">
        <f t="shared" si="1094"/>
        <v>0</v>
      </c>
      <c r="BD376" s="167"/>
      <c r="BE376" s="167"/>
      <c r="BF376" s="167"/>
      <c r="BG376" s="167"/>
      <c r="BH376" s="168"/>
      <c r="BI376" s="3">
        <f t="shared" si="1069"/>
        <v>55480</v>
      </c>
    </row>
    <row r="377" spans="1:61" ht="21" customHeight="1" x14ac:dyDescent="0.25">
      <c r="A377" s="150">
        <f t="shared" ref="A377" si="1110">A349</f>
        <v>8</v>
      </c>
      <c r="B377" s="151"/>
      <c r="C377" s="151"/>
      <c r="D377" s="152"/>
      <c r="E377" s="153" t="str">
        <f t="shared" ref="E377" si="1111">E349</f>
        <v>無障礙坡道地坪拉毛</v>
      </c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5"/>
      <c r="U377" s="117" t="str">
        <f t="shared" ref="U377" si="1112">U349</f>
        <v>M2</v>
      </c>
      <c r="V377" s="118"/>
      <c r="W377" s="118"/>
      <c r="X377" s="119"/>
      <c r="Y377" s="160">
        <f t="shared" ref="Y377" si="1113">Y349</f>
        <v>33</v>
      </c>
      <c r="Z377" s="161"/>
      <c r="AA377" s="161"/>
      <c r="AB377" s="161"/>
      <c r="AC377" s="161"/>
      <c r="AD377" s="162"/>
      <c r="AE377" s="159">
        <f t="shared" ref="AE377" si="1114">AE349</f>
        <v>100</v>
      </c>
      <c r="AF377" s="159"/>
      <c r="AG377" s="159"/>
      <c r="AH377" s="159"/>
      <c r="AI377" s="159"/>
      <c r="AJ377" s="159"/>
      <c r="AK377" s="167"/>
      <c r="AL377" s="167"/>
      <c r="AM377" s="167"/>
      <c r="AN377" s="167"/>
      <c r="AO377" s="167"/>
      <c r="AP377" s="167"/>
      <c r="AQ377" s="159"/>
      <c r="AR377" s="159"/>
      <c r="AS377" s="159"/>
      <c r="AT377" s="159"/>
      <c r="AU377" s="159"/>
      <c r="AV377" s="159"/>
      <c r="AW377" s="167">
        <f t="shared" si="1076"/>
        <v>0</v>
      </c>
      <c r="AX377" s="167"/>
      <c r="AY377" s="167"/>
      <c r="AZ377" s="167"/>
      <c r="BA377" s="167"/>
      <c r="BB377" s="167"/>
      <c r="BC377" s="167"/>
      <c r="BD377" s="167"/>
      <c r="BE377" s="167"/>
      <c r="BF377" s="167"/>
      <c r="BG377" s="167"/>
      <c r="BH377" s="168"/>
      <c r="BI377" s="3">
        <f t="shared" si="1069"/>
        <v>3300</v>
      </c>
    </row>
    <row r="378" spans="1:61" s="19" customFormat="1" ht="34.5" customHeight="1" x14ac:dyDescent="0.25">
      <c r="A378" s="127">
        <f t="shared" ref="A378" si="1115">A350</f>
        <v>9</v>
      </c>
      <c r="B378" s="128"/>
      <c r="C378" s="128"/>
      <c r="D378" s="129"/>
      <c r="E378" s="153" t="str">
        <f t="shared" ref="E378" si="1116">E350</f>
        <v>司令台既有樓梯面清潔，刷止滑漆(一底二度)</v>
      </c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5"/>
      <c r="U378" s="133" t="str">
        <f t="shared" ref="U378" si="1117">U350</f>
        <v>式</v>
      </c>
      <c r="V378" s="134"/>
      <c r="W378" s="134"/>
      <c r="X378" s="135"/>
      <c r="Y378" s="160">
        <f t="shared" ref="Y378" si="1118">Y350</f>
        <v>1</v>
      </c>
      <c r="Z378" s="161"/>
      <c r="AA378" s="161"/>
      <c r="AB378" s="161"/>
      <c r="AC378" s="161"/>
      <c r="AD378" s="162"/>
      <c r="AE378" s="159">
        <f t="shared" ref="AE378" si="1119">AE350</f>
        <v>3000</v>
      </c>
      <c r="AF378" s="159"/>
      <c r="AG378" s="159"/>
      <c r="AH378" s="159"/>
      <c r="AI378" s="159"/>
      <c r="AJ378" s="159"/>
      <c r="AK378" s="167">
        <v>0</v>
      </c>
      <c r="AL378" s="167"/>
      <c r="AM378" s="167"/>
      <c r="AN378" s="167"/>
      <c r="AO378" s="167"/>
      <c r="AP378" s="167"/>
      <c r="AQ378" s="159">
        <f t="shared" ref="AQ378:AQ385" si="1120">AK378*AE378</f>
        <v>0</v>
      </c>
      <c r="AR378" s="159"/>
      <c r="AS378" s="159"/>
      <c r="AT378" s="159"/>
      <c r="AU378" s="159"/>
      <c r="AV378" s="159"/>
      <c r="AW378" s="167">
        <f t="shared" si="1076"/>
        <v>0</v>
      </c>
      <c r="AX378" s="167"/>
      <c r="AY378" s="167"/>
      <c r="AZ378" s="167"/>
      <c r="BA378" s="167"/>
      <c r="BB378" s="167"/>
      <c r="BC378" s="167">
        <f t="shared" ref="BC378:BC380" si="1121">ROUND(AW378*AE378,0)</f>
        <v>0</v>
      </c>
      <c r="BD378" s="167"/>
      <c r="BE378" s="167"/>
      <c r="BF378" s="167"/>
      <c r="BG378" s="167"/>
      <c r="BH378" s="168"/>
      <c r="BI378" s="18">
        <f t="shared" si="1069"/>
        <v>3000</v>
      </c>
    </row>
    <row r="379" spans="1:61" ht="35.25" customHeight="1" x14ac:dyDescent="0.25">
      <c r="A379" s="150">
        <f t="shared" ref="A379" si="1122">A351</f>
        <v>10</v>
      </c>
      <c r="B379" s="151"/>
      <c r="C379" s="151"/>
      <c r="D379" s="152"/>
      <c r="E379" s="153" t="str">
        <f t="shared" ref="E379" si="1123">E351</f>
        <v>校舍、教室及司令台坡道出入口配置無線押扣與插電式緊急求救鈴</v>
      </c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5"/>
      <c r="U379" s="117" t="str">
        <f t="shared" ref="U379" si="1124">U351</f>
        <v>組</v>
      </c>
      <c r="V379" s="118"/>
      <c r="W379" s="118"/>
      <c r="X379" s="119"/>
      <c r="Y379" s="160">
        <f t="shared" ref="Y379" si="1125">Y351</f>
        <v>8</v>
      </c>
      <c r="Z379" s="161"/>
      <c r="AA379" s="161"/>
      <c r="AB379" s="161"/>
      <c r="AC379" s="161"/>
      <c r="AD379" s="162"/>
      <c r="AE379" s="159">
        <f t="shared" ref="AE379" si="1126">AE351</f>
        <v>700</v>
      </c>
      <c r="AF379" s="159"/>
      <c r="AG379" s="159"/>
      <c r="AH379" s="159"/>
      <c r="AI379" s="159"/>
      <c r="AJ379" s="159"/>
      <c r="AK379" s="167">
        <v>0</v>
      </c>
      <c r="AL379" s="167"/>
      <c r="AM379" s="167"/>
      <c r="AN379" s="167"/>
      <c r="AO379" s="167"/>
      <c r="AP379" s="167"/>
      <c r="AQ379" s="159">
        <f t="shared" si="1120"/>
        <v>0</v>
      </c>
      <c r="AR379" s="159"/>
      <c r="AS379" s="159"/>
      <c r="AT379" s="159"/>
      <c r="AU379" s="159"/>
      <c r="AV379" s="159"/>
      <c r="AW379" s="167">
        <f t="shared" si="1076"/>
        <v>0</v>
      </c>
      <c r="AX379" s="167"/>
      <c r="AY379" s="167"/>
      <c r="AZ379" s="167"/>
      <c r="BA379" s="167"/>
      <c r="BB379" s="167"/>
      <c r="BC379" s="167">
        <f t="shared" si="1121"/>
        <v>0</v>
      </c>
      <c r="BD379" s="167"/>
      <c r="BE379" s="167"/>
      <c r="BF379" s="167"/>
      <c r="BG379" s="167"/>
      <c r="BH379" s="168"/>
      <c r="BI379" s="3">
        <f t="shared" si="1069"/>
        <v>5600</v>
      </c>
    </row>
    <row r="380" spans="1:61" ht="36.75" customHeight="1" x14ac:dyDescent="0.25">
      <c r="A380" s="150">
        <f t="shared" ref="A380" si="1127">A352</f>
        <v>11</v>
      </c>
      <c r="B380" s="151"/>
      <c r="C380" s="151"/>
      <c r="D380" s="152"/>
      <c r="E380" s="153" t="str">
        <f t="shared" ref="E380" si="1128">E352</f>
        <v>司令台周圍及無障礙坡道安裝不鏽鋼扶手(連工帶料)</v>
      </c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5"/>
      <c r="U380" s="117" t="str">
        <f t="shared" ref="U380" si="1129">U352</f>
        <v>M</v>
      </c>
      <c r="V380" s="118"/>
      <c r="W380" s="118"/>
      <c r="X380" s="119"/>
      <c r="Y380" s="156">
        <f t="shared" ref="Y380" si="1130">Y352</f>
        <v>48</v>
      </c>
      <c r="Z380" s="157"/>
      <c r="AA380" s="157"/>
      <c r="AB380" s="157"/>
      <c r="AC380" s="157"/>
      <c r="AD380" s="158"/>
      <c r="AE380" s="159">
        <f t="shared" ref="AE380" si="1131">AE352</f>
        <v>3000</v>
      </c>
      <c r="AF380" s="159"/>
      <c r="AG380" s="159"/>
      <c r="AH380" s="159"/>
      <c r="AI380" s="159"/>
      <c r="AJ380" s="159"/>
      <c r="AK380" s="160">
        <v>0</v>
      </c>
      <c r="AL380" s="161"/>
      <c r="AM380" s="161"/>
      <c r="AN380" s="161"/>
      <c r="AO380" s="161"/>
      <c r="AP380" s="162"/>
      <c r="AQ380" s="163">
        <f t="shared" si="1120"/>
        <v>0</v>
      </c>
      <c r="AR380" s="164"/>
      <c r="AS380" s="164"/>
      <c r="AT380" s="164"/>
      <c r="AU380" s="164"/>
      <c r="AV380" s="165"/>
      <c r="AW380" s="160">
        <f t="shared" si="1076"/>
        <v>0</v>
      </c>
      <c r="AX380" s="161"/>
      <c r="AY380" s="161"/>
      <c r="AZ380" s="161"/>
      <c r="BA380" s="161"/>
      <c r="BB380" s="162"/>
      <c r="BC380" s="160">
        <f t="shared" si="1121"/>
        <v>0</v>
      </c>
      <c r="BD380" s="161"/>
      <c r="BE380" s="161"/>
      <c r="BF380" s="161"/>
      <c r="BG380" s="161"/>
      <c r="BH380" s="166"/>
      <c r="BI380" s="3">
        <f t="shared" si="1069"/>
        <v>144000</v>
      </c>
    </row>
    <row r="381" spans="1:61" s="19" customFormat="1" ht="35.25" customHeight="1" x14ac:dyDescent="0.25">
      <c r="A381" s="127" t="str">
        <f t="shared" ref="A381" si="1132">A353</f>
        <v>貳</v>
      </c>
      <c r="B381" s="128"/>
      <c r="C381" s="128"/>
      <c r="D381" s="129"/>
      <c r="E381" s="130" t="str">
        <f t="shared" ref="E381" si="1133">E353</f>
        <v>職業安全衛生管理費與施工環境保護與清潔（壹*2%）</v>
      </c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2"/>
      <c r="U381" s="133" t="str">
        <f t="shared" ref="U381" si="1134">U353</f>
        <v>式</v>
      </c>
      <c r="V381" s="134"/>
      <c r="W381" s="134"/>
      <c r="X381" s="135"/>
      <c r="Y381" s="136">
        <f t="shared" ref="Y381" si="1135">Y353</f>
        <v>1</v>
      </c>
      <c r="Z381" s="137"/>
      <c r="AA381" s="137"/>
      <c r="AB381" s="137"/>
      <c r="AC381" s="137"/>
      <c r="AD381" s="138"/>
      <c r="AE381" s="139">
        <f t="shared" ref="AE381" si="1136">AE353</f>
        <v>8807</v>
      </c>
      <c r="AF381" s="139"/>
      <c r="AG381" s="139"/>
      <c r="AH381" s="139"/>
      <c r="AI381" s="139"/>
      <c r="AJ381" s="139"/>
      <c r="AK381" s="140">
        <v>1.7000000000000001E-2</v>
      </c>
      <c r="AL381" s="141"/>
      <c r="AM381" s="141"/>
      <c r="AN381" s="141"/>
      <c r="AO381" s="141"/>
      <c r="AP381" s="142"/>
      <c r="AQ381" s="143">
        <f t="shared" si="1120"/>
        <v>149.71900000000002</v>
      </c>
      <c r="AR381" s="144"/>
      <c r="AS381" s="144"/>
      <c r="AT381" s="144"/>
      <c r="AU381" s="144"/>
      <c r="AV381" s="145"/>
      <c r="AW381" s="140">
        <f>AW353+AK381</f>
        <v>0.2380000000000001</v>
      </c>
      <c r="AX381" s="141"/>
      <c r="AY381" s="141"/>
      <c r="AZ381" s="141"/>
      <c r="BA381" s="141"/>
      <c r="BB381" s="142"/>
      <c r="BC381" s="136">
        <f>ROUND(AW381*AE381,0)</f>
        <v>2096</v>
      </c>
      <c r="BD381" s="137"/>
      <c r="BE381" s="137"/>
      <c r="BF381" s="137"/>
      <c r="BG381" s="137"/>
      <c r="BH381" s="146"/>
      <c r="BI381" s="18">
        <f t="shared" si="1069"/>
        <v>8807</v>
      </c>
    </row>
    <row r="382" spans="1:61" s="19" customFormat="1" ht="21.95" customHeight="1" x14ac:dyDescent="0.25">
      <c r="A382" s="127" t="str">
        <f t="shared" ref="A382" si="1137">A354</f>
        <v>參</v>
      </c>
      <c r="B382" s="128"/>
      <c r="C382" s="128"/>
      <c r="D382" s="129"/>
      <c r="E382" s="130" t="str">
        <f t="shared" ref="E382" si="1138">E354</f>
        <v>公共工程品質管制作業費（壹*1%）</v>
      </c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2"/>
      <c r="U382" s="133" t="str">
        <f t="shared" ref="U382" si="1139">U354</f>
        <v>式</v>
      </c>
      <c r="V382" s="134"/>
      <c r="W382" s="134"/>
      <c r="X382" s="135"/>
      <c r="Y382" s="147">
        <f t="shared" ref="Y382" si="1140">Y354</f>
        <v>1</v>
      </c>
      <c r="Z382" s="148"/>
      <c r="AA382" s="148"/>
      <c r="AB382" s="148"/>
      <c r="AC382" s="148"/>
      <c r="AD382" s="149"/>
      <c r="AE382" s="139">
        <f t="shared" ref="AE382" si="1141">AE354</f>
        <v>4404</v>
      </c>
      <c r="AF382" s="139"/>
      <c r="AG382" s="139"/>
      <c r="AH382" s="139"/>
      <c r="AI382" s="139"/>
      <c r="AJ382" s="139"/>
      <c r="AK382" s="140">
        <v>1.7000000000000001E-2</v>
      </c>
      <c r="AL382" s="141"/>
      <c r="AM382" s="141"/>
      <c r="AN382" s="141"/>
      <c r="AO382" s="141"/>
      <c r="AP382" s="142"/>
      <c r="AQ382" s="143">
        <f t="shared" si="1120"/>
        <v>74.868000000000009</v>
      </c>
      <c r="AR382" s="144"/>
      <c r="AS382" s="144"/>
      <c r="AT382" s="144"/>
      <c r="AU382" s="144"/>
      <c r="AV382" s="145"/>
      <c r="AW382" s="140">
        <f t="shared" ref="AW382:AW385" si="1142">AW354+AK382</f>
        <v>0.2380000000000001</v>
      </c>
      <c r="AX382" s="141"/>
      <c r="AY382" s="141"/>
      <c r="AZ382" s="141"/>
      <c r="BA382" s="141"/>
      <c r="BB382" s="142"/>
      <c r="BC382" s="136">
        <f t="shared" ref="BC382:BC385" si="1143">ROUND(AW382*AE382,0)</f>
        <v>1048</v>
      </c>
      <c r="BD382" s="137"/>
      <c r="BE382" s="137"/>
      <c r="BF382" s="137"/>
      <c r="BG382" s="137"/>
      <c r="BH382" s="146"/>
      <c r="BI382" s="18">
        <f t="shared" si="1069"/>
        <v>4404</v>
      </c>
    </row>
    <row r="383" spans="1:61" s="19" customFormat="1" ht="21.95" customHeight="1" x14ac:dyDescent="0.25">
      <c r="A383" s="127" t="str">
        <f t="shared" ref="A383" si="1144">A355</f>
        <v>肆</v>
      </c>
      <c r="B383" s="128"/>
      <c r="C383" s="128"/>
      <c r="D383" s="129"/>
      <c r="E383" s="130" t="str">
        <f t="shared" ref="E383" si="1145">E355</f>
        <v>包商管理及利潤費（約壹*7%）</v>
      </c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2"/>
      <c r="U383" s="133" t="str">
        <f t="shared" ref="U383" si="1146">U355</f>
        <v>式</v>
      </c>
      <c r="V383" s="134"/>
      <c r="W383" s="134"/>
      <c r="X383" s="135"/>
      <c r="Y383" s="147">
        <f t="shared" ref="Y383" si="1147">Y355</f>
        <v>1</v>
      </c>
      <c r="Z383" s="148"/>
      <c r="AA383" s="148"/>
      <c r="AB383" s="148"/>
      <c r="AC383" s="148"/>
      <c r="AD383" s="149"/>
      <c r="AE383" s="139">
        <f t="shared" ref="AE383" si="1148">AE355</f>
        <v>30825</v>
      </c>
      <c r="AF383" s="139"/>
      <c r="AG383" s="139"/>
      <c r="AH383" s="139"/>
      <c r="AI383" s="139"/>
      <c r="AJ383" s="139"/>
      <c r="AK383" s="140">
        <v>1.7000000000000001E-2</v>
      </c>
      <c r="AL383" s="141"/>
      <c r="AM383" s="141"/>
      <c r="AN383" s="141"/>
      <c r="AO383" s="141"/>
      <c r="AP383" s="142"/>
      <c r="AQ383" s="143">
        <f t="shared" si="1120"/>
        <v>524.02500000000009</v>
      </c>
      <c r="AR383" s="144"/>
      <c r="AS383" s="144"/>
      <c r="AT383" s="144"/>
      <c r="AU383" s="144"/>
      <c r="AV383" s="145"/>
      <c r="AW383" s="140">
        <f t="shared" si="1142"/>
        <v>0.2380000000000001</v>
      </c>
      <c r="AX383" s="141"/>
      <c r="AY383" s="141"/>
      <c r="AZ383" s="141"/>
      <c r="BA383" s="141"/>
      <c r="BB383" s="142"/>
      <c r="BC383" s="136">
        <f t="shared" si="1143"/>
        <v>7336</v>
      </c>
      <c r="BD383" s="137"/>
      <c r="BE383" s="137"/>
      <c r="BF383" s="137"/>
      <c r="BG383" s="137"/>
      <c r="BH383" s="146"/>
      <c r="BI383" s="18">
        <f t="shared" si="1069"/>
        <v>30825</v>
      </c>
    </row>
    <row r="384" spans="1:61" s="19" customFormat="1" ht="21.95" customHeight="1" x14ac:dyDescent="0.25">
      <c r="A384" s="127" t="str">
        <f t="shared" ref="A384" si="1149">A356</f>
        <v>伍</v>
      </c>
      <c r="B384" s="128"/>
      <c r="C384" s="128"/>
      <c r="D384" s="129"/>
      <c r="E384" s="130" t="str">
        <f t="shared" ref="E384" si="1150">E356</f>
        <v>營造綜合保險費</v>
      </c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2"/>
      <c r="U384" s="133" t="str">
        <f t="shared" ref="U384" si="1151">U356</f>
        <v>式</v>
      </c>
      <c r="V384" s="134"/>
      <c r="W384" s="134"/>
      <c r="X384" s="135"/>
      <c r="Y384" s="136">
        <f t="shared" ref="Y384" si="1152">Y356</f>
        <v>1</v>
      </c>
      <c r="Z384" s="137"/>
      <c r="AA384" s="137"/>
      <c r="AB384" s="137"/>
      <c r="AC384" s="137"/>
      <c r="AD384" s="138"/>
      <c r="AE384" s="139">
        <f t="shared" ref="AE384" si="1153">AE356</f>
        <v>1321</v>
      </c>
      <c r="AF384" s="139"/>
      <c r="AG384" s="139"/>
      <c r="AH384" s="139"/>
      <c r="AI384" s="139"/>
      <c r="AJ384" s="139"/>
      <c r="AK384" s="136">
        <v>0</v>
      </c>
      <c r="AL384" s="137"/>
      <c r="AM384" s="137"/>
      <c r="AN384" s="137"/>
      <c r="AO384" s="137"/>
      <c r="AP384" s="138"/>
      <c r="AQ384" s="143">
        <f t="shared" si="1120"/>
        <v>0</v>
      </c>
      <c r="AR384" s="144"/>
      <c r="AS384" s="144"/>
      <c r="AT384" s="144"/>
      <c r="AU384" s="144"/>
      <c r="AV384" s="145"/>
      <c r="AW384" s="136">
        <f t="shared" si="1142"/>
        <v>1</v>
      </c>
      <c r="AX384" s="137"/>
      <c r="AY384" s="137"/>
      <c r="AZ384" s="137"/>
      <c r="BA384" s="137"/>
      <c r="BB384" s="138"/>
      <c r="BC384" s="136">
        <f t="shared" si="1143"/>
        <v>1321</v>
      </c>
      <c r="BD384" s="137"/>
      <c r="BE384" s="137"/>
      <c r="BF384" s="137"/>
      <c r="BG384" s="137"/>
      <c r="BH384" s="146"/>
      <c r="BI384" s="18">
        <f t="shared" si="1069"/>
        <v>1321</v>
      </c>
    </row>
    <row r="385" spans="1:69" s="19" customFormat="1" ht="21.95" customHeight="1" x14ac:dyDescent="0.25">
      <c r="A385" s="127" t="str">
        <f t="shared" ref="A385" si="1154">A357</f>
        <v>陸</v>
      </c>
      <c r="B385" s="128"/>
      <c r="C385" s="128"/>
      <c r="D385" s="129"/>
      <c r="E385" s="130" t="str">
        <f t="shared" ref="E385" si="1155">E357</f>
        <v>營業稅（(壹~伍)*5％）</v>
      </c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2"/>
      <c r="U385" s="133" t="str">
        <f t="shared" ref="U385" si="1156">U357</f>
        <v>式</v>
      </c>
      <c r="V385" s="134"/>
      <c r="W385" s="134"/>
      <c r="X385" s="135"/>
      <c r="Y385" s="136">
        <f t="shared" ref="Y385" si="1157">Y357</f>
        <v>1</v>
      </c>
      <c r="Z385" s="137"/>
      <c r="AA385" s="137"/>
      <c r="AB385" s="137"/>
      <c r="AC385" s="137"/>
      <c r="AD385" s="138"/>
      <c r="AE385" s="139">
        <f t="shared" ref="AE385" si="1158">AE357</f>
        <v>24286</v>
      </c>
      <c r="AF385" s="139"/>
      <c r="AG385" s="139"/>
      <c r="AH385" s="139"/>
      <c r="AI385" s="139"/>
      <c r="AJ385" s="139"/>
      <c r="AK385" s="140">
        <v>1.7000000000000001E-2</v>
      </c>
      <c r="AL385" s="141"/>
      <c r="AM385" s="141"/>
      <c r="AN385" s="141"/>
      <c r="AO385" s="141"/>
      <c r="AP385" s="142"/>
      <c r="AQ385" s="143">
        <f t="shared" si="1120"/>
        <v>412.86200000000002</v>
      </c>
      <c r="AR385" s="144"/>
      <c r="AS385" s="144"/>
      <c r="AT385" s="144"/>
      <c r="AU385" s="144"/>
      <c r="AV385" s="145"/>
      <c r="AW385" s="140">
        <f t="shared" si="1142"/>
        <v>0.2380000000000001</v>
      </c>
      <c r="AX385" s="141"/>
      <c r="AY385" s="141"/>
      <c r="AZ385" s="141"/>
      <c r="BA385" s="141"/>
      <c r="BB385" s="142"/>
      <c r="BC385" s="136">
        <f t="shared" si="1143"/>
        <v>5780</v>
      </c>
      <c r="BD385" s="137"/>
      <c r="BE385" s="137"/>
      <c r="BF385" s="137"/>
      <c r="BG385" s="137"/>
      <c r="BH385" s="146"/>
      <c r="BI385" s="18">
        <f t="shared" si="1069"/>
        <v>24286</v>
      </c>
    </row>
    <row r="386" spans="1:69" ht="21.95" customHeight="1" x14ac:dyDescent="0.25">
      <c r="A386" s="111"/>
      <c r="B386" s="112"/>
      <c r="C386" s="112"/>
      <c r="D386" s="113"/>
      <c r="E386" s="114" t="s">
        <v>75</v>
      </c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6"/>
      <c r="U386" s="117"/>
      <c r="V386" s="118"/>
      <c r="W386" s="118"/>
      <c r="X386" s="119"/>
      <c r="Y386" s="120"/>
      <c r="Z386" s="121"/>
      <c r="AA386" s="121"/>
      <c r="AB386" s="121"/>
      <c r="AC386" s="121"/>
      <c r="AD386" s="122"/>
      <c r="AE386" s="123"/>
      <c r="AF386" s="124"/>
      <c r="AG386" s="124"/>
      <c r="AH386" s="124"/>
      <c r="AI386" s="124"/>
      <c r="AJ386" s="125"/>
      <c r="AK386" s="120"/>
      <c r="AL386" s="121"/>
      <c r="AM386" s="121"/>
      <c r="AN386" s="121"/>
      <c r="AO386" s="121"/>
      <c r="AP386" s="122"/>
      <c r="AQ386" s="123">
        <f>SUM(AQ372:AQ385)</f>
        <v>11724.874</v>
      </c>
      <c r="AR386" s="124"/>
      <c r="AS386" s="124"/>
      <c r="AT386" s="124"/>
      <c r="AU386" s="124"/>
      <c r="AV386" s="125"/>
      <c r="AW386" s="120"/>
      <c r="AX386" s="121"/>
      <c r="AY386" s="121"/>
      <c r="AZ386" s="121"/>
      <c r="BA386" s="121"/>
      <c r="BB386" s="122"/>
      <c r="BC386" s="120">
        <f>SUM(BC372:BC385)</f>
        <v>30144</v>
      </c>
      <c r="BD386" s="121"/>
      <c r="BE386" s="121"/>
      <c r="BF386" s="121"/>
      <c r="BG386" s="121"/>
      <c r="BH386" s="126"/>
      <c r="BI386" s="17">
        <f>SUM(BI370:BI385)</f>
        <v>510000</v>
      </c>
    </row>
    <row r="387" spans="1:69" ht="21.95" customHeight="1" x14ac:dyDescent="0.25">
      <c r="A387" s="101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  <c r="AD387" s="102"/>
      <c r="AE387" s="102"/>
      <c r="AF387" s="102"/>
      <c r="AG387" s="102"/>
      <c r="AH387" s="102"/>
      <c r="AI387" s="102"/>
      <c r="AJ387" s="103"/>
      <c r="AK387" s="104"/>
      <c r="AL387" s="105"/>
      <c r="AM387" s="105"/>
      <c r="AN387" s="105"/>
      <c r="AO387" s="105"/>
      <c r="AP387" s="106"/>
      <c r="AQ387" s="107"/>
      <c r="AR387" s="108"/>
      <c r="AS387" s="108"/>
      <c r="AT387" s="108"/>
      <c r="AU387" s="108"/>
      <c r="AV387" s="109"/>
      <c r="AW387" s="104"/>
      <c r="AX387" s="105"/>
      <c r="AY387" s="105"/>
      <c r="AZ387" s="105"/>
      <c r="BA387" s="105"/>
      <c r="BB387" s="106"/>
      <c r="BC387" s="104"/>
      <c r="BD387" s="105"/>
      <c r="BE387" s="105"/>
      <c r="BF387" s="105"/>
      <c r="BG387" s="105"/>
      <c r="BH387" s="110"/>
      <c r="BI387" s="15">
        <f>Y387*AE387</f>
        <v>0</v>
      </c>
    </row>
    <row r="388" spans="1:69" ht="21.95" customHeight="1" x14ac:dyDescent="0.25">
      <c r="A388" s="101" t="s">
        <v>11</v>
      </c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  <c r="AD388" s="102"/>
      <c r="AE388" s="102"/>
      <c r="AF388" s="102"/>
      <c r="AG388" s="102"/>
      <c r="AH388" s="102"/>
      <c r="AI388" s="102"/>
      <c r="AJ388" s="103"/>
      <c r="AK388" s="104"/>
      <c r="AL388" s="105"/>
      <c r="AM388" s="105"/>
      <c r="AN388" s="105"/>
      <c r="AO388" s="105"/>
      <c r="AP388" s="106"/>
      <c r="AQ388" s="107">
        <f>BC386/BI386</f>
        <v>5.9105882352941175E-2</v>
      </c>
      <c r="AR388" s="108"/>
      <c r="AS388" s="108"/>
      <c r="AT388" s="108"/>
      <c r="AU388" s="108"/>
      <c r="AV388" s="109"/>
      <c r="AW388" s="104"/>
      <c r="AX388" s="105"/>
      <c r="AY388" s="105"/>
      <c r="AZ388" s="105"/>
      <c r="BA388" s="105"/>
      <c r="BB388" s="106"/>
      <c r="BC388" s="104"/>
      <c r="BD388" s="105"/>
      <c r="BE388" s="105"/>
      <c r="BF388" s="105"/>
      <c r="BG388" s="105"/>
      <c r="BH388" s="110"/>
      <c r="BI388" s="15">
        <f>AQ388</f>
        <v>5.9105882352941175E-2</v>
      </c>
    </row>
    <row r="389" spans="1:69" ht="18.75" customHeight="1" x14ac:dyDescent="0.25">
      <c r="A389" s="90" t="s">
        <v>15</v>
      </c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  <c r="AC389" s="91"/>
      <c r="AD389" s="92"/>
      <c r="AE389" s="93" t="s">
        <v>14</v>
      </c>
      <c r="AF389" s="91"/>
      <c r="AG389" s="91"/>
      <c r="AH389" s="91"/>
      <c r="AI389" s="91"/>
      <c r="AJ389" s="91"/>
      <c r="AK389" s="91"/>
      <c r="AL389" s="91"/>
      <c r="AM389" s="91"/>
      <c r="AN389" s="91"/>
      <c r="AO389" s="91"/>
      <c r="AP389" s="91"/>
      <c r="AQ389" s="91"/>
      <c r="AR389" s="91"/>
      <c r="AS389" s="91"/>
      <c r="AT389" s="91"/>
      <c r="AU389" s="91"/>
      <c r="AV389" s="91"/>
      <c r="AW389" s="91"/>
      <c r="AX389" s="91"/>
      <c r="AY389" s="91"/>
      <c r="AZ389" s="91"/>
      <c r="BA389" s="91"/>
      <c r="BB389" s="91"/>
      <c r="BC389" s="91"/>
      <c r="BD389" s="91"/>
      <c r="BE389" s="91"/>
      <c r="BF389" s="91"/>
      <c r="BG389" s="91"/>
      <c r="BH389" s="94"/>
    </row>
    <row r="390" spans="1:69" x14ac:dyDescent="0.25">
      <c r="A390" s="95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  <c r="AC390" s="96"/>
      <c r="AD390" s="96"/>
      <c r="AE390" s="96"/>
      <c r="AF390" s="96"/>
      <c r="AG390" s="96"/>
      <c r="AH390" s="96"/>
      <c r="AI390" s="96"/>
      <c r="AJ390" s="96"/>
      <c r="AK390" s="96"/>
      <c r="AL390" s="96"/>
      <c r="AM390" s="96"/>
      <c r="AN390" s="96"/>
      <c r="AO390" s="96"/>
      <c r="AP390" s="96"/>
      <c r="AQ390" s="96"/>
      <c r="AR390" s="96"/>
      <c r="AS390" s="96"/>
      <c r="AT390" s="96"/>
      <c r="AU390" s="96"/>
      <c r="AV390" s="96"/>
      <c r="AW390" s="96"/>
      <c r="AX390" s="96"/>
      <c r="AY390" s="96"/>
      <c r="AZ390" s="96"/>
      <c r="BA390" s="96"/>
      <c r="BB390" s="96"/>
      <c r="BC390" s="96"/>
      <c r="BD390" s="96"/>
      <c r="BE390" s="96"/>
      <c r="BF390" s="96"/>
      <c r="BG390" s="96"/>
      <c r="BH390" s="99"/>
    </row>
    <row r="391" spans="1:69" x14ac:dyDescent="0.25">
      <c r="A391" s="95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  <c r="AC391" s="96"/>
      <c r="AD391" s="96"/>
      <c r="AE391" s="96"/>
      <c r="AF391" s="96"/>
      <c r="AG391" s="96"/>
      <c r="AH391" s="96"/>
      <c r="AI391" s="96"/>
      <c r="AJ391" s="96"/>
      <c r="AK391" s="96"/>
      <c r="AL391" s="96"/>
      <c r="AM391" s="96"/>
      <c r="AN391" s="96"/>
      <c r="AO391" s="96"/>
      <c r="AP391" s="96"/>
      <c r="AQ391" s="96"/>
      <c r="AR391" s="96"/>
      <c r="AS391" s="96"/>
      <c r="AT391" s="96"/>
      <c r="AU391" s="96"/>
      <c r="AV391" s="96"/>
      <c r="AW391" s="96"/>
      <c r="AX391" s="96"/>
      <c r="AY391" s="96"/>
      <c r="AZ391" s="96"/>
      <c r="BA391" s="96"/>
      <c r="BB391" s="96"/>
      <c r="BC391" s="96"/>
      <c r="BD391" s="96"/>
      <c r="BE391" s="96"/>
      <c r="BF391" s="96"/>
      <c r="BG391" s="96"/>
      <c r="BH391" s="99"/>
    </row>
    <row r="392" spans="1:69" ht="17.25" thickBot="1" x14ac:dyDescent="0.3">
      <c r="A392" s="97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  <c r="AA392" s="98"/>
      <c r="AB392" s="98"/>
      <c r="AC392" s="98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  <c r="AO392" s="98"/>
      <c r="AP392" s="98"/>
      <c r="AQ392" s="98"/>
      <c r="AR392" s="98"/>
      <c r="AS392" s="98"/>
      <c r="AT392" s="98"/>
      <c r="AU392" s="98"/>
      <c r="AV392" s="98"/>
      <c r="AW392" s="98"/>
      <c r="AX392" s="98"/>
      <c r="AY392" s="98"/>
      <c r="AZ392" s="98"/>
      <c r="BA392" s="98"/>
      <c r="BB392" s="98"/>
      <c r="BC392" s="98"/>
      <c r="BD392" s="98"/>
      <c r="BE392" s="98"/>
      <c r="BF392" s="98"/>
      <c r="BG392" s="98"/>
      <c r="BH392" s="100"/>
    </row>
    <row r="393" spans="1:69" ht="27.75" x14ac:dyDescent="0.25">
      <c r="A393" s="182" t="s">
        <v>81</v>
      </c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  <c r="X393" s="182"/>
      <c r="Y393" s="182"/>
      <c r="Z393" s="182"/>
      <c r="AA393" s="182"/>
      <c r="AB393" s="182"/>
      <c r="AC393" s="182"/>
      <c r="AD393" s="182"/>
      <c r="AE393" s="182"/>
      <c r="AF393" s="182"/>
      <c r="AG393" s="182"/>
      <c r="AH393" s="182"/>
      <c r="AI393" s="182"/>
      <c r="AJ393" s="182"/>
      <c r="AK393" s="182"/>
      <c r="AL393" s="182"/>
      <c r="AM393" s="182"/>
      <c r="AN393" s="182"/>
      <c r="AO393" s="182"/>
      <c r="AP393" s="182"/>
      <c r="AQ393" s="182"/>
      <c r="AR393" s="182"/>
      <c r="AS393" s="182"/>
      <c r="AT393" s="182"/>
      <c r="AU393" s="182"/>
      <c r="AV393" s="182"/>
      <c r="AW393" s="182"/>
      <c r="AX393" s="182"/>
      <c r="AY393" s="182"/>
      <c r="AZ393" s="182"/>
      <c r="BA393" s="182"/>
      <c r="BB393" s="182"/>
      <c r="BC393" s="182"/>
      <c r="BD393" s="182"/>
      <c r="BE393" s="182"/>
      <c r="BF393" s="182"/>
      <c r="BG393" s="182"/>
      <c r="BH393" s="182"/>
    </row>
    <row r="394" spans="1:69" ht="27.75" x14ac:dyDescent="0.25">
      <c r="A394" s="183" t="s">
        <v>12</v>
      </c>
      <c r="B394" s="183"/>
      <c r="C394" s="183"/>
      <c r="D394" s="183"/>
      <c r="E394" s="183"/>
      <c r="F394" s="183"/>
      <c r="G394" s="183"/>
      <c r="H394" s="183"/>
      <c r="I394" s="183"/>
      <c r="J394" s="184" t="s">
        <v>85</v>
      </c>
      <c r="K394" s="185"/>
      <c r="L394" s="185"/>
      <c r="M394" s="185"/>
      <c r="N394" s="185"/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  <c r="Z394" s="185"/>
      <c r="AA394" s="185"/>
      <c r="AB394" s="185"/>
      <c r="AC394" s="185"/>
      <c r="AD394" s="185"/>
      <c r="AE394" s="185"/>
      <c r="AF394" s="185"/>
      <c r="AG394" s="185"/>
      <c r="AH394" s="185"/>
      <c r="AI394" s="185"/>
      <c r="AJ394" s="185"/>
      <c r="AK394" s="185"/>
      <c r="AL394" s="185"/>
      <c r="AM394" s="185"/>
      <c r="AN394" s="185"/>
      <c r="AO394" s="185"/>
      <c r="AP394" s="185"/>
      <c r="AQ394" s="185"/>
      <c r="AR394" s="185"/>
      <c r="AS394" s="185"/>
      <c r="AT394" s="185"/>
      <c r="AU394" s="185"/>
      <c r="AV394" s="185"/>
      <c r="AW394" s="185"/>
      <c r="AX394" s="185"/>
      <c r="AY394" s="185"/>
      <c r="AZ394" s="185"/>
      <c r="BA394" s="185"/>
      <c r="BB394" s="185"/>
      <c r="BC394" s="185"/>
      <c r="BD394" s="185"/>
      <c r="BE394" s="185"/>
      <c r="BF394" s="185"/>
      <c r="BG394" s="185"/>
      <c r="BH394" s="185"/>
      <c r="BI394" s="185"/>
      <c r="BJ394" s="185"/>
      <c r="BK394" s="185"/>
      <c r="BL394" s="185"/>
      <c r="BM394" s="185"/>
      <c r="BN394" s="185"/>
      <c r="BO394" s="185"/>
      <c r="BP394" s="185"/>
      <c r="BQ394" s="185"/>
    </row>
    <row r="395" spans="1:69" ht="17.25" thickBot="1" x14ac:dyDescent="0.3">
      <c r="A395" s="186" t="s">
        <v>10</v>
      </c>
      <c r="B395" s="186"/>
      <c r="C395" s="186"/>
      <c r="D395" s="186"/>
      <c r="E395" s="186"/>
      <c r="F395" s="186"/>
      <c r="G395" s="186"/>
      <c r="H395" s="186"/>
      <c r="I395" s="187" t="s">
        <v>78</v>
      </c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  <c r="AA395" s="187"/>
      <c r="AB395" s="187"/>
      <c r="AC395" s="187"/>
      <c r="AD395" s="187"/>
      <c r="AE395" s="187"/>
      <c r="AF395" s="187"/>
      <c r="AG395" s="187"/>
      <c r="AH395" s="187"/>
      <c r="AI395" s="187"/>
      <c r="AJ395" s="187"/>
      <c r="AK395" s="187"/>
      <c r="AL395" s="187"/>
      <c r="AM395" s="187"/>
      <c r="AN395" s="187"/>
      <c r="AO395" s="188" t="s">
        <v>9</v>
      </c>
      <c r="AP395" s="188"/>
      <c r="AQ395" s="188"/>
      <c r="AR395" s="188"/>
      <c r="AS395" s="188"/>
      <c r="AT395" s="188"/>
      <c r="AU395" s="188"/>
      <c r="AV395" s="188"/>
      <c r="AW395" s="189">
        <f>AW367+1</f>
        <v>45924</v>
      </c>
      <c r="AX395" s="189"/>
      <c r="AY395" s="189"/>
      <c r="AZ395" s="189"/>
      <c r="BA395" s="189"/>
      <c r="BB395" s="189"/>
      <c r="BC395" s="189"/>
      <c r="BD395" s="189"/>
      <c r="BE395" s="189"/>
      <c r="BF395" s="189"/>
      <c r="BG395" s="189"/>
      <c r="BH395" s="189"/>
    </row>
    <row r="396" spans="1:69" ht="36" customHeight="1" x14ac:dyDescent="0.25">
      <c r="A396" s="180" t="s">
        <v>0</v>
      </c>
      <c r="B396" s="83"/>
      <c r="C396" s="83"/>
      <c r="D396" s="83"/>
      <c r="E396" s="83" t="s">
        <v>6</v>
      </c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 t="s">
        <v>7</v>
      </c>
      <c r="V396" s="83"/>
      <c r="W396" s="83"/>
      <c r="X396" s="83"/>
      <c r="Y396" s="181" t="s">
        <v>1</v>
      </c>
      <c r="Z396" s="181"/>
      <c r="AA396" s="181"/>
      <c r="AB396" s="181"/>
      <c r="AC396" s="181"/>
      <c r="AD396" s="181"/>
      <c r="AE396" s="83" t="s">
        <v>8</v>
      </c>
      <c r="AF396" s="83"/>
      <c r="AG396" s="83"/>
      <c r="AH396" s="83"/>
      <c r="AI396" s="83"/>
      <c r="AJ396" s="83"/>
      <c r="AK396" s="181" t="s">
        <v>2</v>
      </c>
      <c r="AL396" s="181"/>
      <c r="AM396" s="181"/>
      <c r="AN396" s="181"/>
      <c r="AO396" s="181"/>
      <c r="AP396" s="181"/>
      <c r="AQ396" s="84" t="s">
        <v>3</v>
      </c>
      <c r="AR396" s="84"/>
      <c r="AS396" s="84"/>
      <c r="AT396" s="84"/>
      <c r="AU396" s="84"/>
      <c r="AV396" s="84"/>
      <c r="AW396" s="181" t="s">
        <v>4</v>
      </c>
      <c r="AX396" s="181"/>
      <c r="AY396" s="181"/>
      <c r="AZ396" s="181"/>
      <c r="BA396" s="181"/>
      <c r="BB396" s="181"/>
      <c r="BC396" s="84" t="s">
        <v>5</v>
      </c>
      <c r="BD396" s="84"/>
      <c r="BE396" s="84"/>
      <c r="BF396" s="84"/>
      <c r="BG396" s="84"/>
      <c r="BH396" s="85"/>
      <c r="BI396" s="1"/>
    </row>
    <row r="397" spans="1:69" ht="21.95" customHeight="1" x14ac:dyDescent="0.25">
      <c r="A397" s="150" t="str">
        <f t="shared" ref="A397" si="1159">A369</f>
        <v>壹</v>
      </c>
      <c r="B397" s="151"/>
      <c r="C397" s="151"/>
      <c r="D397" s="152"/>
      <c r="E397" s="175" t="str">
        <f t="shared" ref="E397" si="1160">E369</f>
        <v>直接工程費</v>
      </c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7"/>
      <c r="U397" s="117"/>
      <c r="V397" s="118"/>
      <c r="W397" s="118"/>
      <c r="X397" s="119"/>
      <c r="Y397" s="178"/>
      <c r="Z397" s="178"/>
      <c r="AA397" s="178"/>
      <c r="AB397" s="178"/>
      <c r="AC397" s="178"/>
      <c r="AD397" s="178"/>
      <c r="AE397" s="178"/>
      <c r="AF397" s="178"/>
      <c r="AG397" s="178"/>
      <c r="AH397" s="178"/>
      <c r="AI397" s="178"/>
      <c r="AJ397" s="178"/>
      <c r="AK397" s="178"/>
      <c r="AL397" s="178"/>
      <c r="AM397" s="178"/>
      <c r="AN397" s="178"/>
      <c r="AO397" s="178"/>
      <c r="AP397" s="178"/>
      <c r="AQ397" s="178"/>
      <c r="AR397" s="178"/>
      <c r="AS397" s="178"/>
      <c r="AT397" s="178"/>
      <c r="AU397" s="178"/>
      <c r="AV397" s="178"/>
      <c r="AW397" s="178"/>
      <c r="AX397" s="178"/>
      <c r="AY397" s="178"/>
      <c r="AZ397" s="178"/>
      <c r="BA397" s="178"/>
      <c r="BB397" s="178"/>
      <c r="BC397" s="178"/>
      <c r="BD397" s="178"/>
      <c r="BE397" s="178"/>
      <c r="BF397" s="178"/>
      <c r="BG397" s="178"/>
      <c r="BH397" s="179"/>
      <c r="BI397" s="3">
        <f t="shared" ref="BI397:BI413" si="1161">Y397*AE397</f>
        <v>0</v>
      </c>
    </row>
    <row r="398" spans="1:69" s="19" customFormat="1" ht="21.95" customHeight="1" x14ac:dyDescent="0.25">
      <c r="A398" s="127">
        <f t="shared" ref="A398" si="1162">A370</f>
        <v>1</v>
      </c>
      <c r="B398" s="128"/>
      <c r="C398" s="128"/>
      <c r="D398" s="129"/>
      <c r="E398" s="170" t="str">
        <f t="shared" ref="E398" si="1163">E370</f>
        <v>工程告示牌與職安衛告示牌(租用)</v>
      </c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2"/>
      <c r="U398" s="133" t="str">
        <f t="shared" ref="U398" si="1164">U370</f>
        <v>式</v>
      </c>
      <c r="V398" s="134"/>
      <c r="W398" s="134"/>
      <c r="X398" s="135"/>
      <c r="Y398" s="136">
        <f t="shared" ref="Y398" si="1165">Y370</f>
        <v>1</v>
      </c>
      <c r="Z398" s="137"/>
      <c r="AA398" s="137"/>
      <c r="AB398" s="137"/>
      <c r="AC398" s="137"/>
      <c r="AD398" s="138"/>
      <c r="AE398" s="139">
        <f t="shared" ref="AE398" si="1166">AE370</f>
        <v>5000</v>
      </c>
      <c r="AF398" s="139"/>
      <c r="AG398" s="139"/>
      <c r="AH398" s="139"/>
      <c r="AI398" s="139"/>
      <c r="AJ398" s="139"/>
      <c r="AK398" s="173">
        <v>0</v>
      </c>
      <c r="AL398" s="173"/>
      <c r="AM398" s="173"/>
      <c r="AN398" s="173"/>
      <c r="AO398" s="173"/>
      <c r="AP398" s="173"/>
      <c r="AQ398" s="139">
        <f t="shared" ref="AQ398:AQ399" si="1167">AK398*AE398</f>
        <v>0</v>
      </c>
      <c r="AR398" s="139"/>
      <c r="AS398" s="139"/>
      <c r="AT398" s="139"/>
      <c r="AU398" s="139"/>
      <c r="AV398" s="139"/>
      <c r="AW398" s="173">
        <f t="shared" ref="AW398:AW408" si="1168">AW370+AK398</f>
        <v>1</v>
      </c>
      <c r="AX398" s="173"/>
      <c r="AY398" s="173"/>
      <c r="AZ398" s="173"/>
      <c r="BA398" s="173"/>
      <c r="BB398" s="173"/>
      <c r="BC398" s="173">
        <f t="shared" ref="BC398:BC399" si="1169">ROUND(AW398*AE398,0)</f>
        <v>5000</v>
      </c>
      <c r="BD398" s="173"/>
      <c r="BE398" s="173"/>
      <c r="BF398" s="173"/>
      <c r="BG398" s="173"/>
      <c r="BH398" s="174"/>
      <c r="BI398" s="18">
        <f t="shared" si="1161"/>
        <v>5000</v>
      </c>
    </row>
    <row r="399" spans="1:69" s="19" customFormat="1" ht="21.95" customHeight="1" x14ac:dyDescent="0.25">
      <c r="A399" s="127">
        <f t="shared" ref="A399" si="1170">A371</f>
        <v>2</v>
      </c>
      <c r="B399" s="128"/>
      <c r="C399" s="128"/>
      <c r="D399" s="129"/>
      <c r="E399" s="170" t="str">
        <f t="shared" ref="E399" si="1171">E371</f>
        <v>三角錐與連桿(租用)</v>
      </c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2"/>
      <c r="U399" s="133" t="str">
        <f t="shared" ref="U399" si="1172">U371</f>
        <v>M</v>
      </c>
      <c r="V399" s="134"/>
      <c r="W399" s="134"/>
      <c r="X399" s="135"/>
      <c r="Y399" s="147">
        <f t="shared" ref="Y399" si="1173">Y371</f>
        <v>86</v>
      </c>
      <c r="Z399" s="148"/>
      <c r="AA399" s="148"/>
      <c r="AB399" s="148"/>
      <c r="AC399" s="148"/>
      <c r="AD399" s="149"/>
      <c r="AE399" s="139">
        <f t="shared" ref="AE399" si="1174">AE371</f>
        <v>60</v>
      </c>
      <c r="AF399" s="139"/>
      <c r="AG399" s="139"/>
      <c r="AH399" s="139"/>
      <c r="AI399" s="139"/>
      <c r="AJ399" s="139"/>
      <c r="AK399" s="173">
        <v>0</v>
      </c>
      <c r="AL399" s="173"/>
      <c r="AM399" s="173"/>
      <c r="AN399" s="173"/>
      <c r="AO399" s="173"/>
      <c r="AP399" s="173"/>
      <c r="AQ399" s="139">
        <f t="shared" si="1167"/>
        <v>0</v>
      </c>
      <c r="AR399" s="139"/>
      <c r="AS399" s="139"/>
      <c r="AT399" s="139"/>
      <c r="AU399" s="139"/>
      <c r="AV399" s="139"/>
      <c r="AW399" s="173">
        <f t="shared" si="1168"/>
        <v>86</v>
      </c>
      <c r="AX399" s="173"/>
      <c r="AY399" s="173"/>
      <c r="AZ399" s="173"/>
      <c r="BA399" s="173"/>
      <c r="BB399" s="173"/>
      <c r="BC399" s="173">
        <f t="shared" si="1169"/>
        <v>5160</v>
      </c>
      <c r="BD399" s="173"/>
      <c r="BE399" s="173"/>
      <c r="BF399" s="173"/>
      <c r="BG399" s="173"/>
      <c r="BH399" s="174"/>
      <c r="BI399" s="18">
        <f t="shared" si="1161"/>
        <v>5160</v>
      </c>
    </row>
    <row r="400" spans="1:69" s="19" customFormat="1" ht="33" customHeight="1" x14ac:dyDescent="0.25">
      <c r="A400" s="150">
        <f t="shared" ref="A400" si="1175">A372</f>
        <v>3</v>
      </c>
      <c r="B400" s="151"/>
      <c r="C400" s="151"/>
      <c r="D400" s="152"/>
      <c r="E400" s="175" t="str">
        <f t="shared" ref="E400" si="1176">E372</f>
        <v>施工動線開闢及損害復原；測量與放樣</v>
      </c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7"/>
      <c r="U400" s="117" t="str">
        <f t="shared" ref="U400" si="1177">U372</f>
        <v>式</v>
      </c>
      <c r="V400" s="118"/>
      <c r="W400" s="118"/>
      <c r="X400" s="119"/>
      <c r="Y400" s="156">
        <f t="shared" ref="Y400" si="1178">Y372</f>
        <v>1</v>
      </c>
      <c r="Z400" s="157"/>
      <c r="AA400" s="157"/>
      <c r="AB400" s="157"/>
      <c r="AC400" s="157"/>
      <c r="AD400" s="158"/>
      <c r="AE400" s="159">
        <f t="shared" ref="AE400" si="1179">AE372</f>
        <v>4000</v>
      </c>
      <c r="AF400" s="159"/>
      <c r="AG400" s="159"/>
      <c r="AH400" s="159"/>
      <c r="AI400" s="159"/>
      <c r="AJ400" s="159"/>
      <c r="AK400" s="167">
        <v>0</v>
      </c>
      <c r="AL400" s="167"/>
      <c r="AM400" s="167"/>
      <c r="AN400" s="167"/>
      <c r="AO400" s="167"/>
      <c r="AP400" s="167"/>
      <c r="AQ400" s="159">
        <f>AK400*AE400</f>
        <v>0</v>
      </c>
      <c r="AR400" s="159"/>
      <c r="AS400" s="159"/>
      <c r="AT400" s="159"/>
      <c r="AU400" s="159"/>
      <c r="AV400" s="159"/>
      <c r="AW400" s="167">
        <f t="shared" si="1168"/>
        <v>0.5</v>
      </c>
      <c r="AX400" s="167"/>
      <c r="AY400" s="167"/>
      <c r="AZ400" s="167"/>
      <c r="BA400" s="167"/>
      <c r="BB400" s="167"/>
      <c r="BC400" s="167">
        <f>ROUND(AW400*AE400,0)</f>
        <v>2000</v>
      </c>
      <c r="BD400" s="167"/>
      <c r="BE400" s="167"/>
      <c r="BF400" s="167"/>
      <c r="BG400" s="167"/>
      <c r="BH400" s="168"/>
      <c r="BI400" s="18">
        <f t="shared" si="1161"/>
        <v>4000</v>
      </c>
    </row>
    <row r="401" spans="1:61" s="19" customFormat="1" ht="54" customHeight="1" x14ac:dyDescent="0.25">
      <c r="A401" s="127">
        <f t="shared" ref="A401" si="1180">A373</f>
        <v>4</v>
      </c>
      <c r="B401" s="128"/>
      <c r="C401" s="128"/>
      <c r="D401" s="129"/>
      <c r="E401" s="170" t="str">
        <f t="shared" ref="E401" si="1181">E373</f>
        <v>切割打除清運校舍與教室出入口地坪以及司令台階梯平台(含合法清運證明)</v>
      </c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2"/>
      <c r="U401" s="133" t="str">
        <f t="shared" ref="U401" si="1182">U373</f>
        <v>式</v>
      </c>
      <c r="V401" s="134"/>
      <c r="W401" s="134"/>
      <c r="X401" s="135"/>
      <c r="Y401" s="147">
        <f t="shared" ref="Y401" si="1183">Y373</f>
        <v>1</v>
      </c>
      <c r="Z401" s="148"/>
      <c r="AA401" s="148"/>
      <c r="AB401" s="148"/>
      <c r="AC401" s="148"/>
      <c r="AD401" s="149"/>
      <c r="AE401" s="139">
        <f t="shared" ref="AE401" si="1184">AE373</f>
        <v>52817</v>
      </c>
      <c r="AF401" s="139"/>
      <c r="AG401" s="139"/>
      <c r="AH401" s="139"/>
      <c r="AI401" s="139"/>
      <c r="AJ401" s="139"/>
      <c r="AK401" s="173">
        <v>0.2</v>
      </c>
      <c r="AL401" s="173"/>
      <c r="AM401" s="173"/>
      <c r="AN401" s="173"/>
      <c r="AO401" s="173"/>
      <c r="AP401" s="173"/>
      <c r="AQ401" s="139">
        <f t="shared" ref="AQ401:AQ404" si="1185">AK401*AE401</f>
        <v>10563.400000000001</v>
      </c>
      <c r="AR401" s="139"/>
      <c r="AS401" s="139"/>
      <c r="AT401" s="139"/>
      <c r="AU401" s="139"/>
      <c r="AV401" s="139"/>
      <c r="AW401" s="173">
        <f t="shared" si="1168"/>
        <v>0.4</v>
      </c>
      <c r="AX401" s="173"/>
      <c r="AY401" s="173"/>
      <c r="AZ401" s="173"/>
      <c r="BA401" s="173"/>
      <c r="BB401" s="173"/>
      <c r="BC401" s="173">
        <f t="shared" ref="BC401:BC404" si="1186">ROUND(AW401*AE401,0)</f>
        <v>21127</v>
      </c>
      <c r="BD401" s="173"/>
      <c r="BE401" s="173"/>
      <c r="BF401" s="173"/>
      <c r="BG401" s="173"/>
      <c r="BH401" s="174"/>
      <c r="BI401" s="20">
        <f t="shared" si="1161"/>
        <v>52817</v>
      </c>
    </row>
    <row r="402" spans="1:61" ht="20.25" customHeight="1" x14ac:dyDescent="0.25">
      <c r="A402" s="150">
        <f t="shared" ref="A402" si="1187">A374</f>
        <v>5</v>
      </c>
      <c r="B402" s="151"/>
      <c r="C402" s="151"/>
      <c r="D402" s="152"/>
      <c r="E402" s="153" t="str">
        <f t="shared" ref="E402" si="1188">E374</f>
        <v>校舍出入口施做斜坡順平高差</v>
      </c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5"/>
      <c r="U402" s="117" t="str">
        <f t="shared" ref="U402" si="1189">U374</f>
        <v>M2</v>
      </c>
      <c r="V402" s="118"/>
      <c r="W402" s="118"/>
      <c r="X402" s="119"/>
      <c r="Y402" s="160">
        <f t="shared" ref="Y402" si="1190">Y374</f>
        <v>15</v>
      </c>
      <c r="Z402" s="161"/>
      <c r="AA402" s="161"/>
      <c r="AB402" s="161"/>
      <c r="AC402" s="161"/>
      <c r="AD402" s="162"/>
      <c r="AE402" s="169">
        <f t="shared" ref="AE402" si="1191">AE374</f>
        <v>600</v>
      </c>
      <c r="AF402" s="169"/>
      <c r="AG402" s="169"/>
      <c r="AH402" s="169"/>
      <c r="AI402" s="169"/>
      <c r="AJ402" s="169"/>
      <c r="AK402" s="167">
        <v>0</v>
      </c>
      <c r="AL402" s="167"/>
      <c r="AM402" s="167"/>
      <c r="AN402" s="167"/>
      <c r="AO402" s="167"/>
      <c r="AP402" s="167"/>
      <c r="AQ402" s="159">
        <f t="shared" si="1185"/>
        <v>0</v>
      </c>
      <c r="AR402" s="159"/>
      <c r="AS402" s="159"/>
      <c r="AT402" s="159"/>
      <c r="AU402" s="159"/>
      <c r="AV402" s="159"/>
      <c r="AW402" s="167">
        <f t="shared" si="1168"/>
        <v>0</v>
      </c>
      <c r="AX402" s="167"/>
      <c r="AY402" s="167"/>
      <c r="AZ402" s="167"/>
      <c r="BA402" s="167"/>
      <c r="BB402" s="167"/>
      <c r="BC402" s="167">
        <f t="shared" si="1186"/>
        <v>0</v>
      </c>
      <c r="BD402" s="167"/>
      <c r="BE402" s="167"/>
      <c r="BF402" s="167"/>
      <c r="BG402" s="167"/>
      <c r="BH402" s="168"/>
      <c r="BI402" s="3">
        <f t="shared" si="1161"/>
        <v>9000</v>
      </c>
    </row>
    <row r="403" spans="1:61" ht="50.25" customHeight="1" x14ac:dyDescent="0.25">
      <c r="A403" s="150">
        <f t="shared" ref="A403" si="1192">A375</f>
        <v>6</v>
      </c>
      <c r="B403" s="151"/>
      <c r="C403" s="151"/>
      <c r="D403" s="152"/>
      <c r="E403" s="153" t="str">
        <f t="shared" ref="E403" si="1193">E375</f>
        <v>開挖整地，新設無障礙RC坡道，牆面與地坪粉刷整平(連工帶料，責任施工)</v>
      </c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5"/>
      <c r="U403" s="117" t="str">
        <f t="shared" ref="U403" si="1194">U375</f>
        <v>式</v>
      </c>
      <c r="V403" s="118"/>
      <c r="W403" s="118"/>
      <c r="X403" s="119"/>
      <c r="Y403" s="160">
        <f t="shared" ref="Y403" si="1195">Y375</f>
        <v>1</v>
      </c>
      <c r="Z403" s="161"/>
      <c r="AA403" s="161"/>
      <c r="AB403" s="161"/>
      <c r="AC403" s="161"/>
      <c r="AD403" s="162"/>
      <c r="AE403" s="159">
        <f t="shared" ref="AE403" si="1196">AE375</f>
        <v>153000</v>
      </c>
      <c r="AF403" s="159"/>
      <c r="AG403" s="159"/>
      <c r="AH403" s="159"/>
      <c r="AI403" s="159"/>
      <c r="AJ403" s="159"/>
      <c r="AK403" s="167">
        <v>0</v>
      </c>
      <c r="AL403" s="167"/>
      <c r="AM403" s="167"/>
      <c r="AN403" s="167"/>
      <c r="AO403" s="167"/>
      <c r="AP403" s="167"/>
      <c r="AQ403" s="159">
        <f t="shared" si="1185"/>
        <v>0</v>
      </c>
      <c r="AR403" s="159"/>
      <c r="AS403" s="159"/>
      <c r="AT403" s="159"/>
      <c r="AU403" s="159"/>
      <c r="AV403" s="159"/>
      <c r="AW403" s="167">
        <f t="shared" si="1168"/>
        <v>0</v>
      </c>
      <c r="AX403" s="167"/>
      <c r="AY403" s="167"/>
      <c r="AZ403" s="167"/>
      <c r="BA403" s="167"/>
      <c r="BB403" s="167"/>
      <c r="BC403" s="167">
        <f t="shared" si="1186"/>
        <v>0</v>
      </c>
      <c r="BD403" s="167"/>
      <c r="BE403" s="167"/>
      <c r="BF403" s="167"/>
      <c r="BG403" s="167"/>
      <c r="BH403" s="168"/>
      <c r="BI403" s="3">
        <f t="shared" si="1161"/>
        <v>153000</v>
      </c>
    </row>
    <row r="404" spans="1:61" ht="32.450000000000003" customHeight="1" x14ac:dyDescent="0.25">
      <c r="A404" s="150">
        <f t="shared" ref="A404" si="1197">A376</f>
        <v>7</v>
      </c>
      <c r="B404" s="151"/>
      <c r="C404" s="151"/>
      <c r="D404" s="152"/>
      <c r="E404" s="153" t="str">
        <f t="shared" ref="E404" si="1198">E376</f>
        <v>施做抿石子(1~2分AK石，抿石子專用泥)</v>
      </c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5"/>
      <c r="U404" s="117" t="str">
        <f t="shared" ref="U404" si="1199">U376</f>
        <v>M2</v>
      </c>
      <c r="V404" s="118"/>
      <c r="W404" s="118"/>
      <c r="X404" s="119"/>
      <c r="Y404" s="160">
        <f t="shared" ref="Y404" si="1200">Y376</f>
        <v>38</v>
      </c>
      <c r="Z404" s="161"/>
      <c r="AA404" s="161"/>
      <c r="AB404" s="161"/>
      <c r="AC404" s="161"/>
      <c r="AD404" s="162"/>
      <c r="AE404" s="159">
        <f t="shared" ref="AE404" si="1201">AE376</f>
        <v>1460</v>
      </c>
      <c r="AF404" s="159"/>
      <c r="AG404" s="159"/>
      <c r="AH404" s="159"/>
      <c r="AI404" s="159"/>
      <c r="AJ404" s="159"/>
      <c r="AK404" s="167">
        <v>0</v>
      </c>
      <c r="AL404" s="167"/>
      <c r="AM404" s="167"/>
      <c r="AN404" s="167"/>
      <c r="AO404" s="167"/>
      <c r="AP404" s="167"/>
      <c r="AQ404" s="159">
        <f t="shared" si="1185"/>
        <v>0</v>
      </c>
      <c r="AR404" s="159"/>
      <c r="AS404" s="159"/>
      <c r="AT404" s="159"/>
      <c r="AU404" s="159"/>
      <c r="AV404" s="159"/>
      <c r="AW404" s="167">
        <f t="shared" si="1168"/>
        <v>0</v>
      </c>
      <c r="AX404" s="167"/>
      <c r="AY404" s="167"/>
      <c r="AZ404" s="167"/>
      <c r="BA404" s="167"/>
      <c r="BB404" s="167"/>
      <c r="BC404" s="167">
        <f t="shared" si="1186"/>
        <v>0</v>
      </c>
      <c r="BD404" s="167"/>
      <c r="BE404" s="167"/>
      <c r="BF404" s="167"/>
      <c r="BG404" s="167"/>
      <c r="BH404" s="168"/>
      <c r="BI404" s="3">
        <f t="shared" si="1161"/>
        <v>55480</v>
      </c>
    </row>
    <row r="405" spans="1:61" ht="21" customHeight="1" x14ac:dyDescent="0.25">
      <c r="A405" s="150">
        <f t="shared" ref="A405" si="1202">A377</f>
        <v>8</v>
      </c>
      <c r="B405" s="151"/>
      <c r="C405" s="151"/>
      <c r="D405" s="152"/>
      <c r="E405" s="153" t="str">
        <f t="shared" ref="E405" si="1203">E377</f>
        <v>無障礙坡道地坪拉毛</v>
      </c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5"/>
      <c r="U405" s="117" t="str">
        <f t="shared" ref="U405" si="1204">U377</f>
        <v>M2</v>
      </c>
      <c r="V405" s="118"/>
      <c r="W405" s="118"/>
      <c r="X405" s="119"/>
      <c r="Y405" s="160">
        <f t="shared" ref="Y405" si="1205">Y377</f>
        <v>33</v>
      </c>
      <c r="Z405" s="161"/>
      <c r="AA405" s="161"/>
      <c r="AB405" s="161"/>
      <c r="AC405" s="161"/>
      <c r="AD405" s="162"/>
      <c r="AE405" s="159">
        <f t="shared" ref="AE405" si="1206">AE377</f>
        <v>100</v>
      </c>
      <c r="AF405" s="159"/>
      <c r="AG405" s="159"/>
      <c r="AH405" s="159"/>
      <c r="AI405" s="159"/>
      <c r="AJ405" s="159"/>
      <c r="AK405" s="167"/>
      <c r="AL405" s="167"/>
      <c r="AM405" s="167"/>
      <c r="AN405" s="167"/>
      <c r="AO405" s="167"/>
      <c r="AP405" s="167"/>
      <c r="AQ405" s="159"/>
      <c r="AR405" s="159"/>
      <c r="AS405" s="159"/>
      <c r="AT405" s="159"/>
      <c r="AU405" s="159"/>
      <c r="AV405" s="159"/>
      <c r="AW405" s="167">
        <f t="shared" si="1168"/>
        <v>0</v>
      </c>
      <c r="AX405" s="167"/>
      <c r="AY405" s="167"/>
      <c r="AZ405" s="167"/>
      <c r="BA405" s="167"/>
      <c r="BB405" s="167"/>
      <c r="BC405" s="167"/>
      <c r="BD405" s="167"/>
      <c r="BE405" s="167"/>
      <c r="BF405" s="167"/>
      <c r="BG405" s="167"/>
      <c r="BH405" s="168"/>
      <c r="BI405" s="3">
        <f t="shared" si="1161"/>
        <v>3300</v>
      </c>
    </row>
    <row r="406" spans="1:61" s="19" customFormat="1" ht="34.5" customHeight="1" x14ac:dyDescent="0.25">
      <c r="A406" s="127">
        <f t="shared" ref="A406" si="1207">A378</f>
        <v>9</v>
      </c>
      <c r="B406" s="128"/>
      <c r="C406" s="128"/>
      <c r="D406" s="129"/>
      <c r="E406" s="153" t="str">
        <f t="shared" ref="E406" si="1208">E378</f>
        <v>司令台既有樓梯面清潔，刷止滑漆(一底二度)</v>
      </c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5"/>
      <c r="U406" s="133" t="str">
        <f t="shared" ref="U406" si="1209">U378</f>
        <v>式</v>
      </c>
      <c r="V406" s="134"/>
      <c r="W406" s="134"/>
      <c r="X406" s="135"/>
      <c r="Y406" s="160">
        <f t="shared" ref="Y406" si="1210">Y378</f>
        <v>1</v>
      </c>
      <c r="Z406" s="161"/>
      <c r="AA406" s="161"/>
      <c r="AB406" s="161"/>
      <c r="AC406" s="161"/>
      <c r="AD406" s="162"/>
      <c r="AE406" s="159">
        <f t="shared" ref="AE406" si="1211">AE378</f>
        <v>3000</v>
      </c>
      <c r="AF406" s="159"/>
      <c r="AG406" s="159"/>
      <c r="AH406" s="159"/>
      <c r="AI406" s="159"/>
      <c r="AJ406" s="159"/>
      <c r="AK406" s="167">
        <v>0</v>
      </c>
      <c r="AL406" s="167"/>
      <c r="AM406" s="167"/>
      <c r="AN406" s="167"/>
      <c r="AO406" s="167"/>
      <c r="AP406" s="167"/>
      <c r="AQ406" s="159">
        <f t="shared" ref="AQ406:AQ413" si="1212">AK406*AE406</f>
        <v>0</v>
      </c>
      <c r="AR406" s="159"/>
      <c r="AS406" s="159"/>
      <c r="AT406" s="159"/>
      <c r="AU406" s="159"/>
      <c r="AV406" s="159"/>
      <c r="AW406" s="167">
        <f t="shared" si="1168"/>
        <v>0</v>
      </c>
      <c r="AX406" s="167"/>
      <c r="AY406" s="167"/>
      <c r="AZ406" s="167"/>
      <c r="BA406" s="167"/>
      <c r="BB406" s="167"/>
      <c r="BC406" s="167">
        <f t="shared" ref="BC406:BC408" si="1213">ROUND(AW406*AE406,0)</f>
        <v>0</v>
      </c>
      <c r="BD406" s="167"/>
      <c r="BE406" s="167"/>
      <c r="BF406" s="167"/>
      <c r="BG406" s="167"/>
      <c r="BH406" s="168"/>
      <c r="BI406" s="18">
        <f t="shared" si="1161"/>
        <v>3000</v>
      </c>
    </row>
    <row r="407" spans="1:61" ht="35.25" customHeight="1" x14ac:dyDescent="0.25">
      <c r="A407" s="150">
        <f t="shared" ref="A407" si="1214">A379</f>
        <v>10</v>
      </c>
      <c r="B407" s="151"/>
      <c r="C407" s="151"/>
      <c r="D407" s="152"/>
      <c r="E407" s="153" t="str">
        <f t="shared" ref="E407" si="1215">E379</f>
        <v>校舍、教室及司令台坡道出入口配置無線押扣與插電式緊急求救鈴</v>
      </c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5"/>
      <c r="U407" s="117" t="str">
        <f t="shared" ref="U407" si="1216">U379</f>
        <v>組</v>
      </c>
      <c r="V407" s="118"/>
      <c r="W407" s="118"/>
      <c r="X407" s="119"/>
      <c r="Y407" s="160">
        <f t="shared" ref="Y407" si="1217">Y379</f>
        <v>8</v>
      </c>
      <c r="Z407" s="161"/>
      <c r="AA407" s="161"/>
      <c r="AB407" s="161"/>
      <c r="AC407" s="161"/>
      <c r="AD407" s="162"/>
      <c r="AE407" s="159">
        <f t="shared" ref="AE407" si="1218">AE379</f>
        <v>700</v>
      </c>
      <c r="AF407" s="159"/>
      <c r="AG407" s="159"/>
      <c r="AH407" s="159"/>
      <c r="AI407" s="159"/>
      <c r="AJ407" s="159"/>
      <c r="AK407" s="167">
        <v>0</v>
      </c>
      <c r="AL407" s="167"/>
      <c r="AM407" s="167"/>
      <c r="AN407" s="167"/>
      <c r="AO407" s="167"/>
      <c r="AP407" s="167"/>
      <c r="AQ407" s="159">
        <f t="shared" si="1212"/>
        <v>0</v>
      </c>
      <c r="AR407" s="159"/>
      <c r="AS407" s="159"/>
      <c r="AT407" s="159"/>
      <c r="AU407" s="159"/>
      <c r="AV407" s="159"/>
      <c r="AW407" s="167">
        <f t="shared" si="1168"/>
        <v>0</v>
      </c>
      <c r="AX407" s="167"/>
      <c r="AY407" s="167"/>
      <c r="AZ407" s="167"/>
      <c r="BA407" s="167"/>
      <c r="BB407" s="167"/>
      <c r="BC407" s="167">
        <f t="shared" si="1213"/>
        <v>0</v>
      </c>
      <c r="BD407" s="167"/>
      <c r="BE407" s="167"/>
      <c r="BF407" s="167"/>
      <c r="BG407" s="167"/>
      <c r="BH407" s="168"/>
      <c r="BI407" s="3">
        <f t="shared" si="1161"/>
        <v>5600</v>
      </c>
    </row>
    <row r="408" spans="1:61" ht="36.75" customHeight="1" x14ac:dyDescent="0.25">
      <c r="A408" s="150">
        <f t="shared" ref="A408" si="1219">A380</f>
        <v>11</v>
      </c>
      <c r="B408" s="151"/>
      <c r="C408" s="151"/>
      <c r="D408" s="152"/>
      <c r="E408" s="153" t="str">
        <f t="shared" ref="E408" si="1220">E380</f>
        <v>司令台周圍及無障礙坡道安裝不鏽鋼扶手(連工帶料)</v>
      </c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5"/>
      <c r="U408" s="117" t="str">
        <f t="shared" ref="U408" si="1221">U380</f>
        <v>M</v>
      </c>
      <c r="V408" s="118"/>
      <c r="W408" s="118"/>
      <c r="X408" s="119"/>
      <c r="Y408" s="156">
        <f t="shared" ref="Y408" si="1222">Y380</f>
        <v>48</v>
      </c>
      <c r="Z408" s="157"/>
      <c r="AA408" s="157"/>
      <c r="AB408" s="157"/>
      <c r="AC408" s="157"/>
      <c r="AD408" s="158"/>
      <c r="AE408" s="159">
        <f t="shared" ref="AE408" si="1223">AE380</f>
        <v>3000</v>
      </c>
      <c r="AF408" s="159"/>
      <c r="AG408" s="159"/>
      <c r="AH408" s="159"/>
      <c r="AI408" s="159"/>
      <c r="AJ408" s="159"/>
      <c r="AK408" s="160">
        <v>0</v>
      </c>
      <c r="AL408" s="161"/>
      <c r="AM408" s="161"/>
      <c r="AN408" s="161"/>
      <c r="AO408" s="161"/>
      <c r="AP408" s="162"/>
      <c r="AQ408" s="163">
        <f t="shared" si="1212"/>
        <v>0</v>
      </c>
      <c r="AR408" s="164"/>
      <c r="AS408" s="164"/>
      <c r="AT408" s="164"/>
      <c r="AU408" s="164"/>
      <c r="AV408" s="165"/>
      <c r="AW408" s="160">
        <f t="shared" si="1168"/>
        <v>0</v>
      </c>
      <c r="AX408" s="161"/>
      <c r="AY408" s="161"/>
      <c r="AZ408" s="161"/>
      <c r="BA408" s="161"/>
      <c r="BB408" s="162"/>
      <c r="BC408" s="160">
        <f t="shared" si="1213"/>
        <v>0</v>
      </c>
      <c r="BD408" s="161"/>
      <c r="BE408" s="161"/>
      <c r="BF408" s="161"/>
      <c r="BG408" s="161"/>
      <c r="BH408" s="166"/>
      <c r="BI408" s="3">
        <f t="shared" si="1161"/>
        <v>144000</v>
      </c>
    </row>
    <row r="409" spans="1:61" s="19" customFormat="1" ht="35.25" customHeight="1" x14ac:dyDescent="0.25">
      <c r="A409" s="127" t="str">
        <f t="shared" ref="A409" si="1224">A381</f>
        <v>貳</v>
      </c>
      <c r="B409" s="128"/>
      <c r="C409" s="128"/>
      <c r="D409" s="129"/>
      <c r="E409" s="130" t="str">
        <f t="shared" ref="E409" si="1225">E381</f>
        <v>職業安全衛生管理費與施工環境保護與清潔（壹*2%）</v>
      </c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2"/>
      <c r="U409" s="133" t="str">
        <f t="shared" ref="U409" si="1226">U381</f>
        <v>式</v>
      </c>
      <c r="V409" s="134"/>
      <c r="W409" s="134"/>
      <c r="X409" s="135"/>
      <c r="Y409" s="136">
        <f t="shared" ref="Y409" si="1227">Y381</f>
        <v>1</v>
      </c>
      <c r="Z409" s="137"/>
      <c r="AA409" s="137"/>
      <c r="AB409" s="137"/>
      <c r="AC409" s="137"/>
      <c r="AD409" s="138"/>
      <c r="AE409" s="139">
        <f t="shared" ref="AE409" si="1228">AE381</f>
        <v>8807</v>
      </c>
      <c r="AF409" s="139"/>
      <c r="AG409" s="139"/>
      <c r="AH409" s="139"/>
      <c r="AI409" s="139"/>
      <c r="AJ409" s="139"/>
      <c r="AK409" s="140">
        <v>1.7000000000000001E-2</v>
      </c>
      <c r="AL409" s="141"/>
      <c r="AM409" s="141"/>
      <c r="AN409" s="141"/>
      <c r="AO409" s="141"/>
      <c r="AP409" s="142"/>
      <c r="AQ409" s="143">
        <f t="shared" si="1212"/>
        <v>149.71900000000002</v>
      </c>
      <c r="AR409" s="144"/>
      <c r="AS409" s="144"/>
      <c r="AT409" s="144"/>
      <c r="AU409" s="144"/>
      <c r="AV409" s="145"/>
      <c r="AW409" s="140">
        <f>AW381+AK409</f>
        <v>0.25500000000000012</v>
      </c>
      <c r="AX409" s="141"/>
      <c r="AY409" s="141"/>
      <c r="AZ409" s="141"/>
      <c r="BA409" s="141"/>
      <c r="BB409" s="142"/>
      <c r="BC409" s="136">
        <f>ROUND(AW409*AE409,0)</f>
        <v>2246</v>
      </c>
      <c r="BD409" s="137"/>
      <c r="BE409" s="137"/>
      <c r="BF409" s="137"/>
      <c r="BG409" s="137"/>
      <c r="BH409" s="146"/>
      <c r="BI409" s="18">
        <f t="shared" si="1161"/>
        <v>8807</v>
      </c>
    </row>
    <row r="410" spans="1:61" s="19" customFormat="1" ht="21.95" customHeight="1" x14ac:dyDescent="0.25">
      <c r="A410" s="127" t="str">
        <f t="shared" ref="A410" si="1229">A382</f>
        <v>參</v>
      </c>
      <c r="B410" s="128"/>
      <c r="C410" s="128"/>
      <c r="D410" s="129"/>
      <c r="E410" s="130" t="str">
        <f t="shared" ref="E410" si="1230">E382</f>
        <v>公共工程品質管制作業費（壹*1%）</v>
      </c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2"/>
      <c r="U410" s="133" t="str">
        <f t="shared" ref="U410" si="1231">U382</f>
        <v>式</v>
      </c>
      <c r="V410" s="134"/>
      <c r="W410" s="134"/>
      <c r="X410" s="135"/>
      <c r="Y410" s="147">
        <f t="shared" ref="Y410" si="1232">Y382</f>
        <v>1</v>
      </c>
      <c r="Z410" s="148"/>
      <c r="AA410" s="148"/>
      <c r="AB410" s="148"/>
      <c r="AC410" s="148"/>
      <c r="AD410" s="149"/>
      <c r="AE410" s="139">
        <f t="shared" ref="AE410" si="1233">AE382</f>
        <v>4404</v>
      </c>
      <c r="AF410" s="139"/>
      <c r="AG410" s="139"/>
      <c r="AH410" s="139"/>
      <c r="AI410" s="139"/>
      <c r="AJ410" s="139"/>
      <c r="AK410" s="140">
        <v>1.7000000000000001E-2</v>
      </c>
      <c r="AL410" s="141"/>
      <c r="AM410" s="141"/>
      <c r="AN410" s="141"/>
      <c r="AO410" s="141"/>
      <c r="AP410" s="142"/>
      <c r="AQ410" s="143">
        <f t="shared" si="1212"/>
        <v>74.868000000000009</v>
      </c>
      <c r="AR410" s="144"/>
      <c r="AS410" s="144"/>
      <c r="AT410" s="144"/>
      <c r="AU410" s="144"/>
      <c r="AV410" s="145"/>
      <c r="AW410" s="140">
        <f t="shared" ref="AW410:AW413" si="1234">AW382+AK410</f>
        <v>0.25500000000000012</v>
      </c>
      <c r="AX410" s="141"/>
      <c r="AY410" s="141"/>
      <c r="AZ410" s="141"/>
      <c r="BA410" s="141"/>
      <c r="BB410" s="142"/>
      <c r="BC410" s="136">
        <f t="shared" ref="BC410:BC413" si="1235">ROUND(AW410*AE410,0)</f>
        <v>1123</v>
      </c>
      <c r="BD410" s="137"/>
      <c r="BE410" s="137"/>
      <c r="BF410" s="137"/>
      <c r="BG410" s="137"/>
      <c r="BH410" s="146"/>
      <c r="BI410" s="18">
        <f t="shared" si="1161"/>
        <v>4404</v>
      </c>
    </row>
    <row r="411" spans="1:61" s="19" customFormat="1" ht="21.95" customHeight="1" x14ac:dyDescent="0.25">
      <c r="A411" s="127" t="str">
        <f t="shared" ref="A411" si="1236">A383</f>
        <v>肆</v>
      </c>
      <c r="B411" s="128"/>
      <c r="C411" s="128"/>
      <c r="D411" s="129"/>
      <c r="E411" s="130" t="str">
        <f t="shared" ref="E411" si="1237">E383</f>
        <v>包商管理及利潤費（約壹*7%）</v>
      </c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2"/>
      <c r="U411" s="133" t="str">
        <f t="shared" ref="U411" si="1238">U383</f>
        <v>式</v>
      </c>
      <c r="V411" s="134"/>
      <c r="W411" s="134"/>
      <c r="X411" s="135"/>
      <c r="Y411" s="147">
        <f t="shared" ref="Y411" si="1239">Y383</f>
        <v>1</v>
      </c>
      <c r="Z411" s="148"/>
      <c r="AA411" s="148"/>
      <c r="AB411" s="148"/>
      <c r="AC411" s="148"/>
      <c r="AD411" s="149"/>
      <c r="AE411" s="139">
        <f t="shared" ref="AE411" si="1240">AE383</f>
        <v>30825</v>
      </c>
      <c r="AF411" s="139"/>
      <c r="AG411" s="139"/>
      <c r="AH411" s="139"/>
      <c r="AI411" s="139"/>
      <c r="AJ411" s="139"/>
      <c r="AK411" s="140">
        <v>1.7000000000000001E-2</v>
      </c>
      <c r="AL411" s="141"/>
      <c r="AM411" s="141"/>
      <c r="AN411" s="141"/>
      <c r="AO411" s="141"/>
      <c r="AP411" s="142"/>
      <c r="AQ411" s="143">
        <f t="shared" si="1212"/>
        <v>524.02500000000009</v>
      </c>
      <c r="AR411" s="144"/>
      <c r="AS411" s="144"/>
      <c r="AT411" s="144"/>
      <c r="AU411" s="144"/>
      <c r="AV411" s="145"/>
      <c r="AW411" s="140">
        <f t="shared" si="1234"/>
        <v>0.25500000000000012</v>
      </c>
      <c r="AX411" s="141"/>
      <c r="AY411" s="141"/>
      <c r="AZ411" s="141"/>
      <c r="BA411" s="141"/>
      <c r="BB411" s="142"/>
      <c r="BC411" s="136">
        <f t="shared" si="1235"/>
        <v>7860</v>
      </c>
      <c r="BD411" s="137"/>
      <c r="BE411" s="137"/>
      <c r="BF411" s="137"/>
      <c r="BG411" s="137"/>
      <c r="BH411" s="146"/>
      <c r="BI411" s="18">
        <f t="shared" si="1161"/>
        <v>30825</v>
      </c>
    </row>
    <row r="412" spans="1:61" s="19" customFormat="1" ht="21.95" customHeight="1" x14ac:dyDescent="0.25">
      <c r="A412" s="127" t="str">
        <f t="shared" ref="A412" si="1241">A384</f>
        <v>伍</v>
      </c>
      <c r="B412" s="128"/>
      <c r="C412" s="128"/>
      <c r="D412" s="129"/>
      <c r="E412" s="130" t="str">
        <f t="shared" ref="E412" si="1242">E384</f>
        <v>營造綜合保險費</v>
      </c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2"/>
      <c r="U412" s="133" t="str">
        <f t="shared" ref="U412" si="1243">U384</f>
        <v>式</v>
      </c>
      <c r="V412" s="134"/>
      <c r="W412" s="134"/>
      <c r="X412" s="135"/>
      <c r="Y412" s="136">
        <f t="shared" ref="Y412" si="1244">Y384</f>
        <v>1</v>
      </c>
      <c r="Z412" s="137"/>
      <c r="AA412" s="137"/>
      <c r="AB412" s="137"/>
      <c r="AC412" s="137"/>
      <c r="AD412" s="138"/>
      <c r="AE412" s="139">
        <f t="shared" ref="AE412" si="1245">AE384</f>
        <v>1321</v>
      </c>
      <c r="AF412" s="139"/>
      <c r="AG412" s="139"/>
      <c r="AH412" s="139"/>
      <c r="AI412" s="139"/>
      <c r="AJ412" s="139"/>
      <c r="AK412" s="136">
        <v>0</v>
      </c>
      <c r="AL412" s="137"/>
      <c r="AM412" s="137"/>
      <c r="AN412" s="137"/>
      <c r="AO412" s="137"/>
      <c r="AP412" s="138"/>
      <c r="AQ412" s="143">
        <f t="shared" si="1212"/>
        <v>0</v>
      </c>
      <c r="AR412" s="144"/>
      <c r="AS412" s="144"/>
      <c r="AT412" s="144"/>
      <c r="AU412" s="144"/>
      <c r="AV412" s="145"/>
      <c r="AW412" s="136">
        <f t="shared" si="1234"/>
        <v>1</v>
      </c>
      <c r="AX412" s="137"/>
      <c r="AY412" s="137"/>
      <c r="AZ412" s="137"/>
      <c r="BA412" s="137"/>
      <c r="BB412" s="138"/>
      <c r="BC412" s="136">
        <f t="shared" si="1235"/>
        <v>1321</v>
      </c>
      <c r="BD412" s="137"/>
      <c r="BE412" s="137"/>
      <c r="BF412" s="137"/>
      <c r="BG412" s="137"/>
      <c r="BH412" s="146"/>
      <c r="BI412" s="18">
        <f t="shared" si="1161"/>
        <v>1321</v>
      </c>
    </row>
    <row r="413" spans="1:61" s="19" customFormat="1" ht="21.95" customHeight="1" x14ac:dyDescent="0.25">
      <c r="A413" s="127" t="str">
        <f t="shared" ref="A413" si="1246">A385</f>
        <v>陸</v>
      </c>
      <c r="B413" s="128"/>
      <c r="C413" s="128"/>
      <c r="D413" s="129"/>
      <c r="E413" s="130" t="str">
        <f t="shared" ref="E413" si="1247">E385</f>
        <v>營業稅（(壹~伍)*5％）</v>
      </c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2"/>
      <c r="U413" s="133" t="str">
        <f t="shared" ref="U413" si="1248">U385</f>
        <v>式</v>
      </c>
      <c r="V413" s="134"/>
      <c r="W413" s="134"/>
      <c r="X413" s="135"/>
      <c r="Y413" s="136">
        <f t="shared" ref="Y413" si="1249">Y385</f>
        <v>1</v>
      </c>
      <c r="Z413" s="137"/>
      <c r="AA413" s="137"/>
      <c r="AB413" s="137"/>
      <c r="AC413" s="137"/>
      <c r="AD413" s="138"/>
      <c r="AE413" s="139">
        <f t="shared" ref="AE413" si="1250">AE385</f>
        <v>24286</v>
      </c>
      <c r="AF413" s="139"/>
      <c r="AG413" s="139"/>
      <c r="AH413" s="139"/>
      <c r="AI413" s="139"/>
      <c r="AJ413" s="139"/>
      <c r="AK413" s="140">
        <v>1.7000000000000001E-2</v>
      </c>
      <c r="AL413" s="141"/>
      <c r="AM413" s="141"/>
      <c r="AN413" s="141"/>
      <c r="AO413" s="141"/>
      <c r="AP413" s="142"/>
      <c r="AQ413" s="143">
        <f t="shared" si="1212"/>
        <v>412.86200000000002</v>
      </c>
      <c r="AR413" s="144"/>
      <c r="AS413" s="144"/>
      <c r="AT413" s="144"/>
      <c r="AU413" s="144"/>
      <c r="AV413" s="145"/>
      <c r="AW413" s="140">
        <f t="shared" si="1234"/>
        <v>0.25500000000000012</v>
      </c>
      <c r="AX413" s="141"/>
      <c r="AY413" s="141"/>
      <c r="AZ413" s="141"/>
      <c r="BA413" s="141"/>
      <c r="BB413" s="142"/>
      <c r="BC413" s="136">
        <f t="shared" si="1235"/>
        <v>6193</v>
      </c>
      <c r="BD413" s="137"/>
      <c r="BE413" s="137"/>
      <c r="BF413" s="137"/>
      <c r="BG413" s="137"/>
      <c r="BH413" s="146"/>
      <c r="BI413" s="18">
        <f t="shared" si="1161"/>
        <v>24286</v>
      </c>
    </row>
    <row r="414" spans="1:61" ht="21.95" customHeight="1" x14ac:dyDescent="0.25">
      <c r="A414" s="111"/>
      <c r="B414" s="112"/>
      <c r="C414" s="112"/>
      <c r="D414" s="113"/>
      <c r="E414" s="114" t="s">
        <v>75</v>
      </c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6"/>
      <c r="U414" s="117"/>
      <c r="V414" s="118"/>
      <c r="W414" s="118"/>
      <c r="X414" s="119"/>
      <c r="Y414" s="120"/>
      <c r="Z414" s="121"/>
      <c r="AA414" s="121"/>
      <c r="AB414" s="121"/>
      <c r="AC414" s="121"/>
      <c r="AD414" s="122"/>
      <c r="AE414" s="123"/>
      <c r="AF414" s="124"/>
      <c r="AG414" s="124"/>
      <c r="AH414" s="124"/>
      <c r="AI414" s="124"/>
      <c r="AJ414" s="125"/>
      <c r="AK414" s="120"/>
      <c r="AL414" s="121"/>
      <c r="AM414" s="121"/>
      <c r="AN414" s="121"/>
      <c r="AO414" s="121"/>
      <c r="AP414" s="122"/>
      <c r="AQ414" s="123">
        <f>SUM(AQ400:AQ413)</f>
        <v>11724.874</v>
      </c>
      <c r="AR414" s="124"/>
      <c r="AS414" s="124"/>
      <c r="AT414" s="124"/>
      <c r="AU414" s="124"/>
      <c r="AV414" s="125"/>
      <c r="AW414" s="120"/>
      <c r="AX414" s="121"/>
      <c r="AY414" s="121"/>
      <c r="AZ414" s="121"/>
      <c r="BA414" s="121"/>
      <c r="BB414" s="122"/>
      <c r="BC414" s="120">
        <f>SUM(BC400:BC413)</f>
        <v>41870</v>
      </c>
      <c r="BD414" s="121"/>
      <c r="BE414" s="121"/>
      <c r="BF414" s="121"/>
      <c r="BG414" s="121"/>
      <c r="BH414" s="126"/>
      <c r="BI414" s="17">
        <f>SUM(BI398:BI413)</f>
        <v>510000</v>
      </c>
    </row>
    <row r="415" spans="1:61" ht="21.95" customHeight="1" x14ac:dyDescent="0.25">
      <c r="A415" s="101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  <c r="AD415" s="102"/>
      <c r="AE415" s="102"/>
      <c r="AF415" s="102"/>
      <c r="AG415" s="102"/>
      <c r="AH415" s="102"/>
      <c r="AI415" s="102"/>
      <c r="AJ415" s="103"/>
      <c r="AK415" s="104"/>
      <c r="AL415" s="105"/>
      <c r="AM415" s="105"/>
      <c r="AN415" s="105"/>
      <c r="AO415" s="105"/>
      <c r="AP415" s="106"/>
      <c r="AQ415" s="107"/>
      <c r="AR415" s="108"/>
      <c r="AS415" s="108"/>
      <c r="AT415" s="108"/>
      <c r="AU415" s="108"/>
      <c r="AV415" s="109"/>
      <c r="AW415" s="104"/>
      <c r="AX415" s="105"/>
      <c r="AY415" s="105"/>
      <c r="AZ415" s="105"/>
      <c r="BA415" s="105"/>
      <c r="BB415" s="106"/>
      <c r="BC415" s="104"/>
      <c r="BD415" s="105"/>
      <c r="BE415" s="105"/>
      <c r="BF415" s="105"/>
      <c r="BG415" s="105"/>
      <c r="BH415" s="110"/>
      <c r="BI415" s="15">
        <f>Y415*AE415</f>
        <v>0</v>
      </c>
    </row>
    <row r="416" spans="1:61" ht="21.95" customHeight="1" x14ac:dyDescent="0.25">
      <c r="A416" s="101" t="s">
        <v>11</v>
      </c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  <c r="AD416" s="102"/>
      <c r="AE416" s="102"/>
      <c r="AF416" s="102"/>
      <c r="AG416" s="102"/>
      <c r="AH416" s="102"/>
      <c r="AI416" s="102"/>
      <c r="AJ416" s="103"/>
      <c r="AK416" s="104"/>
      <c r="AL416" s="105"/>
      <c r="AM416" s="105"/>
      <c r="AN416" s="105"/>
      <c r="AO416" s="105"/>
      <c r="AP416" s="106"/>
      <c r="AQ416" s="107">
        <f>BC414/BI414</f>
        <v>8.2098039215686272E-2</v>
      </c>
      <c r="AR416" s="108"/>
      <c r="AS416" s="108"/>
      <c r="AT416" s="108"/>
      <c r="AU416" s="108"/>
      <c r="AV416" s="109"/>
      <c r="AW416" s="104"/>
      <c r="AX416" s="105"/>
      <c r="AY416" s="105"/>
      <c r="AZ416" s="105"/>
      <c r="BA416" s="105"/>
      <c r="BB416" s="106"/>
      <c r="BC416" s="104"/>
      <c r="BD416" s="105"/>
      <c r="BE416" s="105"/>
      <c r="BF416" s="105"/>
      <c r="BG416" s="105"/>
      <c r="BH416" s="110"/>
      <c r="BI416" s="15">
        <f>AQ416</f>
        <v>8.2098039215686272E-2</v>
      </c>
    </row>
    <row r="417" spans="1:69" ht="18.75" customHeight="1" x14ac:dyDescent="0.25">
      <c r="A417" s="90" t="s">
        <v>15</v>
      </c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  <c r="AD417" s="92"/>
      <c r="AE417" s="93" t="s">
        <v>14</v>
      </c>
      <c r="AF417" s="91"/>
      <c r="AG417" s="91"/>
      <c r="AH417" s="91"/>
      <c r="AI417" s="91"/>
      <c r="AJ417" s="91"/>
      <c r="AK417" s="91"/>
      <c r="AL417" s="91"/>
      <c r="AM417" s="91"/>
      <c r="AN417" s="91"/>
      <c r="AO417" s="91"/>
      <c r="AP417" s="91"/>
      <c r="AQ417" s="91"/>
      <c r="AR417" s="91"/>
      <c r="AS417" s="91"/>
      <c r="AT417" s="91"/>
      <c r="AU417" s="91"/>
      <c r="AV417" s="91"/>
      <c r="AW417" s="91"/>
      <c r="AX417" s="91"/>
      <c r="AY417" s="91"/>
      <c r="AZ417" s="91"/>
      <c r="BA417" s="91"/>
      <c r="BB417" s="91"/>
      <c r="BC417" s="91"/>
      <c r="BD417" s="91"/>
      <c r="BE417" s="91"/>
      <c r="BF417" s="91"/>
      <c r="BG417" s="91"/>
      <c r="BH417" s="94"/>
    </row>
    <row r="418" spans="1:69" x14ac:dyDescent="0.25">
      <c r="A418" s="95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  <c r="AC418" s="96"/>
      <c r="AD418" s="96"/>
      <c r="AE418" s="96"/>
      <c r="AF418" s="96"/>
      <c r="AG418" s="96"/>
      <c r="AH418" s="96"/>
      <c r="AI418" s="96"/>
      <c r="AJ418" s="96"/>
      <c r="AK418" s="96"/>
      <c r="AL418" s="96"/>
      <c r="AM418" s="96"/>
      <c r="AN418" s="96"/>
      <c r="AO418" s="96"/>
      <c r="AP418" s="96"/>
      <c r="AQ418" s="96"/>
      <c r="AR418" s="96"/>
      <c r="AS418" s="96"/>
      <c r="AT418" s="96"/>
      <c r="AU418" s="96"/>
      <c r="AV418" s="96"/>
      <c r="AW418" s="96"/>
      <c r="AX418" s="96"/>
      <c r="AY418" s="96"/>
      <c r="AZ418" s="96"/>
      <c r="BA418" s="96"/>
      <c r="BB418" s="96"/>
      <c r="BC418" s="96"/>
      <c r="BD418" s="96"/>
      <c r="BE418" s="96"/>
      <c r="BF418" s="96"/>
      <c r="BG418" s="96"/>
      <c r="BH418" s="99"/>
    </row>
    <row r="419" spans="1:69" x14ac:dyDescent="0.25">
      <c r="A419" s="95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  <c r="AC419" s="96"/>
      <c r="AD419" s="96"/>
      <c r="AE419" s="96"/>
      <c r="AF419" s="96"/>
      <c r="AG419" s="96"/>
      <c r="AH419" s="96"/>
      <c r="AI419" s="96"/>
      <c r="AJ419" s="96"/>
      <c r="AK419" s="96"/>
      <c r="AL419" s="96"/>
      <c r="AM419" s="96"/>
      <c r="AN419" s="96"/>
      <c r="AO419" s="96"/>
      <c r="AP419" s="96"/>
      <c r="AQ419" s="96"/>
      <c r="AR419" s="96"/>
      <c r="AS419" s="96"/>
      <c r="AT419" s="96"/>
      <c r="AU419" s="96"/>
      <c r="AV419" s="96"/>
      <c r="AW419" s="96"/>
      <c r="AX419" s="96"/>
      <c r="AY419" s="96"/>
      <c r="AZ419" s="96"/>
      <c r="BA419" s="96"/>
      <c r="BB419" s="96"/>
      <c r="BC419" s="96"/>
      <c r="BD419" s="96"/>
      <c r="BE419" s="96"/>
      <c r="BF419" s="96"/>
      <c r="BG419" s="96"/>
      <c r="BH419" s="99"/>
    </row>
    <row r="420" spans="1:69" ht="17.25" thickBot="1" x14ac:dyDescent="0.3">
      <c r="A420" s="97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  <c r="AA420" s="98"/>
      <c r="AB420" s="98"/>
      <c r="AC420" s="98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  <c r="AO420" s="98"/>
      <c r="AP420" s="98"/>
      <c r="AQ420" s="98"/>
      <c r="AR420" s="98"/>
      <c r="AS420" s="98"/>
      <c r="AT420" s="98"/>
      <c r="AU420" s="98"/>
      <c r="AV420" s="98"/>
      <c r="AW420" s="98"/>
      <c r="AX420" s="98"/>
      <c r="AY420" s="98"/>
      <c r="AZ420" s="98"/>
      <c r="BA420" s="98"/>
      <c r="BB420" s="98"/>
      <c r="BC420" s="98"/>
      <c r="BD420" s="98"/>
      <c r="BE420" s="98"/>
      <c r="BF420" s="98"/>
      <c r="BG420" s="98"/>
      <c r="BH420" s="100"/>
    </row>
    <row r="421" spans="1:69" ht="27.75" x14ac:dyDescent="0.25">
      <c r="A421" s="182" t="s">
        <v>81</v>
      </c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  <c r="X421" s="182"/>
      <c r="Y421" s="182"/>
      <c r="Z421" s="182"/>
      <c r="AA421" s="182"/>
      <c r="AB421" s="182"/>
      <c r="AC421" s="182"/>
      <c r="AD421" s="182"/>
      <c r="AE421" s="182"/>
      <c r="AF421" s="182"/>
      <c r="AG421" s="182"/>
      <c r="AH421" s="182"/>
      <c r="AI421" s="182"/>
      <c r="AJ421" s="182"/>
      <c r="AK421" s="182"/>
      <c r="AL421" s="182"/>
      <c r="AM421" s="182"/>
      <c r="AN421" s="182"/>
      <c r="AO421" s="182"/>
      <c r="AP421" s="182"/>
      <c r="AQ421" s="182"/>
      <c r="AR421" s="182"/>
      <c r="AS421" s="182"/>
      <c r="AT421" s="182"/>
      <c r="AU421" s="182"/>
      <c r="AV421" s="182"/>
      <c r="AW421" s="182"/>
      <c r="AX421" s="182"/>
      <c r="AY421" s="182"/>
      <c r="AZ421" s="182"/>
      <c r="BA421" s="182"/>
      <c r="BB421" s="182"/>
      <c r="BC421" s="182"/>
      <c r="BD421" s="182"/>
      <c r="BE421" s="182"/>
      <c r="BF421" s="182"/>
      <c r="BG421" s="182"/>
      <c r="BH421" s="182"/>
    </row>
    <row r="422" spans="1:69" ht="27.75" x14ac:dyDescent="0.25">
      <c r="A422" s="183" t="s">
        <v>12</v>
      </c>
      <c r="B422" s="183"/>
      <c r="C422" s="183"/>
      <c r="D422" s="183"/>
      <c r="E422" s="183"/>
      <c r="F422" s="183"/>
      <c r="G422" s="183"/>
      <c r="H422" s="183"/>
      <c r="I422" s="183"/>
      <c r="J422" s="184" t="s">
        <v>85</v>
      </c>
      <c r="K422" s="185"/>
      <c r="L422" s="185"/>
      <c r="M422" s="185"/>
      <c r="N422" s="185"/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  <c r="Z422" s="185"/>
      <c r="AA422" s="185"/>
      <c r="AB422" s="185"/>
      <c r="AC422" s="185"/>
      <c r="AD422" s="185"/>
      <c r="AE422" s="185"/>
      <c r="AF422" s="185"/>
      <c r="AG422" s="185"/>
      <c r="AH422" s="185"/>
      <c r="AI422" s="185"/>
      <c r="AJ422" s="185"/>
      <c r="AK422" s="185"/>
      <c r="AL422" s="185"/>
      <c r="AM422" s="185"/>
      <c r="AN422" s="185"/>
      <c r="AO422" s="185"/>
      <c r="AP422" s="185"/>
      <c r="AQ422" s="185"/>
      <c r="AR422" s="185"/>
      <c r="AS422" s="185"/>
      <c r="AT422" s="185"/>
      <c r="AU422" s="185"/>
      <c r="AV422" s="185"/>
      <c r="AW422" s="185"/>
      <c r="AX422" s="185"/>
      <c r="AY422" s="185"/>
      <c r="AZ422" s="185"/>
      <c r="BA422" s="185"/>
      <c r="BB422" s="185"/>
      <c r="BC422" s="185"/>
      <c r="BD422" s="185"/>
      <c r="BE422" s="185"/>
      <c r="BF422" s="185"/>
      <c r="BG422" s="185"/>
      <c r="BH422" s="185"/>
      <c r="BI422" s="185"/>
      <c r="BJ422" s="185"/>
      <c r="BK422" s="185"/>
      <c r="BL422" s="185"/>
      <c r="BM422" s="185"/>
      <c r="BN422" s="185"/>
      <c r="BO422" s="185"/>
      <c r="BP422" s="185"/>
      <c r="BQ422" s="185"/>
    </row>
    <row r="423" spans="1:69" ht="17.25" thickBot="1" x14ac:dyDescent="0.3">
      <c r="A423" s="186" t="s">
        <v>10</v>
      </c>
      <c r="B423" s="186"/>
      <c r="C423" s="186"/>
      <c r="D423" s="186"/>
      <c r="E423" s="186"/>
      <c r="F423" s="186"/>
      <c r="G423" s="186"/>
      <c r="H423" s="186"/>
      <c r="I423" s="187" t="s">
        <v>78</v>
      </c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  <c r="AA423" s="187"/>
      <c r="AB423" s="187"/>
      <c r="AC423" s="187"/>
      <c r="AD423" s="187"/>
      <c r="AE423" s="187"/>
      <c r="AF423" s="187"/>
      <c r="AG423" s="187"/>
      <c r="AH423" s="187"/>
      <c r="AI423" s="187"/>
      <c r="AJ423" s="187"/>
      <c r="AK423" s="187"/>
      <c r="AL423" s="187"/>
      <c r="AM423" s="187"/>
      <c r="AN423" s="187"/>
      <c r="AO423" s="188" t="s">
        <v>9</v>
      </c>
      <c r="AP423" s="188"/>
      <c r="AQ423" s="188"/>
      <c r="AR423" s="188"/>
      <c r="AS423" s="188"/>
      <c r="AT423" s="188"/>
      <c r="AU423" s="188"/>
      <c r="AV423" s="188"/>
      <c r="AW423" s="189">
        <f>AW395+1</f>
        <v>45925</v>
      </c>
      <c r="AX423" s="189"/>
      <c r="AY423" s="189"/>
      <c r="AZ423" s="189"/>
      <c r="BA423" s="189"/>
      <c r="BB423" s="189"/>
      <c r="BC423" s="189"/>
      <c r="BD423" s="189"/>
      <c r="BE423" s="189"/>
      <c r="BF423" s="189"/>
      <c r="BG423" s="189"/>
      <c r="BH423" s="189"/>
    </row>
    <row r="424" spans="1:69" ht="36" customHeight="1" x14ac:dyDescent="0.25">
      <c r="A424" s="180" t="s">
        <v>0</v>
      </c>
      <c r="B424" s="83"/>
      <c r="C424" s="83"/>
      <c r="D424" s="83"/>
      <c r="E424" s="83" t="s">
        <v>6</v>
      </c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 t="s">
        <v>7</v>
      </c>
      <c r="V424" s="83"/>
      <c r="W424" s="83"/>
      <c r="X424" s="83"/>
      <c r="Y424" s="181" t="s">
        <v>1</v>
      </c>
      <c r="Z424" s="181"/>
      <c r="AA424" s="181"/>
      <c r="AB424" s="181"/>
      <c r="AC424" s="181"/>
      <c r="AD424" s="181"/>
      <c r="AE424" s="83" t="s">
        <v>8</v>
      </c>
      <c r="AF424" s="83"/>
      <c r="AG424" s="83"/>
      <c r="AH424" s="83"/>
      <c r="AI424" s="83"/>
      <c r="AJ424" s="83"/>
      <c r="AK424" s="181" t="s">
        <v>2</v>
      </c>
      <c r="AL424" s="181"/>
      <c r="AM424" s="181"/>
      <c r="AN424" s="181"/>
      <c r="AO424" s="181"/>
      <c r="AP424" s="181"/>
      <c r="AQ424" s="84" t="s">
        <v>3</v>
      </c>
      <c r="AR424" s="84"/>
      <c r="AS424" s="84"/>
      <c r="AT424" s="84"/>
      <c r="AU424" s="84"/>
      <c r="AV424" s="84"/>
      <c r="AW424" s="181" t="s">
        <v>4</v>
      </c>
      <c r="AX424" s="181"/>
      <c r="AY424" s="181"/>
      <c r="AZ424" s="181"/>
      <c r="BA424" s="181"/>
      <c r="BB424" s="181"/>
      <c r="BC424" s="84" t="s">
        <v>5</v>
      </c>
      <c r="BD424" s="84"/>
      <c r="BE424" s="84"/>
      <c r="BF424" s="84"/>
      <c r="BG424" s="84"/>
      <c r="BH424" s="85"/>
      <c r="BI424" s="1"/>
    </row>
    <row r="425" spans="1:69" ht="21.95" customHeight="1" x14ac:dyDescent="0.25">
      <c r="A425" s="150" t="str">
        <f t="shared" ref="A425" si="1251">A397</f>
        <v>壹</v>
      </c>
      <c r="B425" s="151"/>
      <c r="C425" s="151"/>
      <c r="D425" s="152"/>
      <c r="E425" s="175" t="str">
        <f t="shared" ref="E425" si="1252">E397</f>
        <v>直接工程費</v>
      </c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7"/>
      <c r="U425" s="117"/>
      <c r="V425" s="118"/>
      <c r="W425" s="118"/>
      <c r="X425" s="119"/>
      <c r="Y425" s="178"/>
      <c r="Z425" s="178"/>
      <c r="AA425" s="178"/>
      <c r="AB425" s="178"/>
      <c r="AC425" s="178"/>
      <c r="AD425" s="178"/>
      <c r="AE425" s="178"/>
      <c r="AF425" s="178"/>
      <c r="AG425" s="178"/>
      <c r="AH425" s="178"/>
      <c r="AI425" s="178"/>
      <c r="AJ425" s="178"/>
      <c r="AK425" s="178"/>
      <c r="AL425" s="178"/>
      <c r="AM425" s="178"/>
      <c r="AN425" s="178"/>
      <c r="AO425" s="178"/>
      <c r="AP425" s="178"/>
      <c r="AQ425" s="178"/>
      <c r="AR425" s="178"/>
      <c r="AS425" s="178"/>
      <c r="AT425" s="178"/>
      <c r="AU425" s="178"/>
      <c r="AV425" s="178"/>
      <c r="AW425" s="178"/>
      <c r="AX425" s="178"/>
      <c r="AY425" s="178"/>
      <c r="AZ425" s="178"/>
      <c r="BA425" s="178"/>
      <c r="BB425" s="178"/>
      <c r="BC425" s="178"/>
      <c r="BD425" s="178"/>
      <c r="BE425" s="178"/>
      <c r="BF425" s="178"/>
      <c r="BG425" s="178"/>
      <c r="BH425" s="179"/>
      <c r="BI425" s="3">
        <f t="shared" ref="BI425:BI441" si="1253">Y425*AE425</f>
        <v>0</v>
      </c>
    </row>
    <row r="426" spans="1:69" s="19" customFormat="1" ht="21.95" customHeight="1" x14ac:dyDescent="0.25">
      <c r="A426" s="127">
        <f t="shared" ref="A426" si="1254">A398</f>
        <v>1</v>
      </c>
      <c r="B426" s="128"/>
      <c r="C426" s="128"/>
      <c r="D426" s="129"/>
      <c r="E426" s="170" t="str">
        <f t="shared" ref="E426" si="1255">E398</f>
        <v>工程告示牌與職安衛告示牌(租用)</v>
      </c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2"/>
      <c r="U426" s="133" t="str">
        <f t="shared" ref="U426" si="1256">U398</f>
        <v>式</v>
      </c>
      <c r="V426" s="134"/>
      <c r="W426" s="134"/>
      <c r="X426" s="135"/>
      <c r="Y426" s="136">
        <f t="shared" ref="Y426" si="1257">Y398</f>
        <v>1</v>
      </c>
      <c r="Z426" s="137"/>
      <c r="AA426" s="137"/>
      <c r="AB426" s="137"/>
      <c r="AC426" s="137"/>
      <c r="AD426" s="138"/>
      <c r="AE426" s="139">
        <f t="shared" ref="AE426" si="1258">AE398</f>
        <v>5000</v>
      </c>
      <c r="AF426" s="139"/>
      <c r="AG426" s="139"/>
      <c r="AH426" s="139"/>
      <c r="AI426" s="139"/>
      <c r="AJ426" s="139"/>
      <c r="AK426" s="173">
        <v>0</v>
      </c>
      <c r="AL426" s="173"/>
      <c r="AM426" s="173"/>
      <c r="AN426" s="173"/>
      <c r="AO426" s="173"/>
      <c r="AP426" s="173"/>
      <c r="AQ426" s="139">
        <f t="shared" ref="AQ426:AQ427" si="1259">AK426*AE426</f>
        <v>0</v>
      </c>
      <c r="AR426" s="139"/>
      <c r="AS426" s="139"/>
      <c r="AT426" s="139"/>
      <c r="AU426" s="139"/>
      <c r="AV426" s="139"/>
      <c r="AW426" s="173">
        <f t="shared" ref="AW426:AW436" si="1260">AW398+AK426</f>
        <v>1</v>
      </c>
      <c r="AX426" s="173"/>
      <c r="AY426" s="173"/>
      <c r="AZ426" s="173"/>
      <c r="BA426" s="173"/>
      <c r="BB426" s="173"/>
      <c r="BC426" s="173">
        <f t="shared" ref="BC426:BC427" si="1261">ROUND(AW426*AE426,0)</f>
        <v>5000</v>
      </c>
      <c r="BD426" s="173"/>
      <c r="BE426" s="173"/>
      <c r="BF426" s="173"/>
      <c r="BG426" s="173"/>
      <c r="BH426" s="174"/>
      <c r="BI426" s="18">
        <f t="shared" si="1253"/>
        <v>5000</v>
      </c>
    </row>
    <row r="427" spans="1:69" s="19" customFormat="1" ht="21.95" customHeight="1" x14ac:dyDescent="0.25">
      <c r="A427" s="127">
        <f t="shared" ref="A427" si="1262">A399</f>
        <v>2</v>
      </c>
      <c r="B427" s="128"/>
      <c r="C427" s="128"/>
      <c r="D427" s="129"/>
      <c r="E427" s="170" t="str">
        <f t="shared" ref="E427" si="1263">E399</f>
        <v>三角錐與連桿(租用)</v>
      </c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2"/>
      <c r="U427" s="133" t="str">
        <f t="shared" ref="U427" si="1264">U399</f>
        <v>M</v>
      </c>
      <c r="V427" s="134"/>
      <c r="W427" s="134"/>
      <c r="X427" s="135"/>
      <c r="Y427" s="147">
        <f t="shared" ref="Y427" si="1265">Y399</f>
        <v>86</v>
      </c>
      <c r="Z427" s="148"/>
      <c r="AA427" s="148"/>
      <c r="AB427" s="148"/>
      <c r="AC427" s="148"/>
      <c r="AD427" s="149"/>
      <c r="AE427" s="139">
        <f t="shared" ref="AE427" si="1266">AE399</f>
        <v>60</v>
      </c>
      <c r="AF427" s="139"/>
      <c r="AG427" s="139"/>
      <c r="AH427" s="139"/>
      <c r="AI427" s="139"/>
      <c r="AJ427" s="139"/>
      <c r="AK427" s="173">
        <v>0</v>
      </c>
      <c r="AL427" s="173"/>
      <c r="AM427" s="173"/>
      <c r="AN427" s="173"/>
      <c r="AO427" s="173"/>
      <c r="AP427" s="173"/>
      <c r="AQ427" s="139">
        <f t="shared" si="1259"/>
        <v>0</v>
      </c>
      <c r="AR427" s="139"/>
      <c r="AS427" s="139"/>
      <c r="AT427" s="139"/>
      <c r="AU427" s="139"/>
      <c r="AV427" s="139"/>
      <c r="AW427" s="173">
        <f t="shared" si="1260"/>
        <v>86</v>
      </c>
      <c r="AX427" s="173"/>
      <c r="AY427" s="173"/>
      <c r="AZ427" s="173"/>
      <c r="BA427" s="173"/>
      <c r="BB427" s="173"/>
      <c r="BC427" s="173">
        <f t="shared" si="1261"/>
        <v>5160</v>
      </c>
      <c r="BD427" s="173"/>
      <c r="BE427" s="173"/>
      <c r="BF427" s="173"/>
      <c r="BG427" s="173"/>
      <c r="BH427" s="174"/>
      <c r="BI427" s="18">
        <f t="shared" si="1253"/>
        <v>5160</v>
      </c>
    </row>
    <row r="428" spans="1:69" s="19" customFormat="1" ht="33" customHeight="1" x14ac:dyDescent="0.25">
      <c r="A428" s="150">
        <f t="shared" ref="A428" si="1267">A400</f>
        <v>3</v>
      </c>
      <c r="B428" s="151"/>
      <c r="C428" s="151"/>
      <c r="D428" s="152"/>
      <c r="E428" s="175" t="str">
        <f t="shared" ref="E428" si="1268">E400</f>
        <v>施工動線開闢及損害復原；測量與放樣</v>
      </c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7"/>
      <c r="U428" s="117" t="str">
        <f t="shared" ref="U428" si="1269">U400</f>
        <v>式</v>
      </c>
      <c r="V428" s="118"/>
      <c r="W428" s="118"/>
      <c r="X428" s="119"/>
      <c r="Y428" s="156">
        <f t="shared" ref="Y428" si="1270">Y400</f>
        <v>1</v>
      </c>
      <c r="Z428" s="157"/>
      <c r="AA428" s="157"/>
      <c r="AB428" s="157"/>
      <c r="AC428" s="157"/>
      <c r="AD428" s="158"/>
      <c r="AE428" s="159">
        <f t="shared" ref="AE428" si="1271">AE400</f>
        <v>4000</v>
      </c>
      <c r="AF428" s="159"/>
      <c r="AG428" s="159"/>
      <c r="AH428" s="159"/>
      <c r="AI428" s="159"/>
      <c r="AJ428" s="159"/>
      <c r="AK428" s="167">
        <v>0</v>
      </c>
      <c r="AL428" s="167"/>
      <c r="AM428" s="167"/>
      <c r="AN428" s="167"/>
      <c r="AO428" s="167"/>
      <c r="AP428" s="167"/>
      <c r="AQ428" s="159">
        <f>AK428*AE428</f>
        <v>0</v>
      </c>
      <c r="AR428" s="159"/>
      <c r="AS428" s="159"/>
      <c r="AT428" s="159"/>
      <c r="AU428" s="159"/>
      <c r="AV428" s="159"/>
      <c r="AW428" s="167">
        <f t="shared" si="1260"/>
        <v>0.5</v>
      </c>
      <c r="AX428" s="167"/>
      <c r="AY428" s="167"/>
      <c r="AZ428" s="167"/>
      <c r="BA428" s="167"/>
      <c r="BB428" s="167"/>
      <c r="BC428" s="167">
        <f>ROUND(AW428*AE428,0)</f>
        <v>2000</v>
      </c>
      <c r="BD428" s="167"/>
      <c r="BE428" s="167"/>
      <c r="BF428" s="167"/>
      <c r="BG428" s="167"/>
      <c r="BH428" s="168"/>
      <c r="BI428" s="18">
        <f t="shared" si="1253"/>
        <v>4000</v>
      </c>
    </row>
    <row r="429" spans="1:69" s="19" customFormat="1" ht="54" customHeight="1" x14ac:dyDescent="0.25">
      <c r="A429" s="127">
        <f t="shared" ref="A429" si="1272">A401</f>
        <v>4</v>
      </c>
      <c r="B429" s="128"/>
      <c r="C429" s="128"/>
      <c r="D429" s="129"/>
      <c r="E429" s="170" t="str">
        <f t="shared" ref="E429" si="1273">E401</f>
        <v>切割打除清運校舍與教室出入口地坪以及司令台階梯平台(含合法清運證明)</v>
      </c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2"/>
      <c r="U429" s="133" t="str">
        <f t="shared" ref="U429" si="1274">U401</f>
        <v>式</v>
      </c>
      <c r="V429" s="134"/>
      <c r="W429" s="134"/>
      <c r="X429" s="135"/>
      <c r="Y429" s="147">
        <f t="shared" ref="Y429" si="1275">Y401</f>
        <v>1</v>
      </c>
      <c r="Z429" s="148"/>
      <c r="AA429" s="148"/>
      <c r="AB429" s="148"/>
      <c r="AC429" s="148"/>
      <c r="AD429" s="149"/>
      <c r="AE429" s="139">
        <f t="shared" ref="AE429" si="1276">AE401</f>
        <v>52817</v>
      </c>
      <c r="AF429" s="139"/>
      <c r="AG429" s="139"/>
      <c r="AH429" s="139"/>
      <c r="AI429" s="139"/>
      <c r="AJ429" s="139"/>
      <c r="AK429" s="173">
        <v>0.2</v>
      </c>
      <c r="AL429" s="173"/>
      <c r="AM429" s="173"/>
      <c r="AN429" s="173"/>
      <c r="AO429" s="173"/>
      <c r="AP429" s="173"/>
      <c r="AQ429" s="139">
        <f t="shared" ref="AQ429:AQ432" si="1277">AK429*AE429</f>
        <v>10563.400000000001</v>
      </c>
      <c r="AR429" s="139"/>
      <c r="AS429" s="139"/>
      <c r="AT429" s="139"/>
      <c r="AU429" s="139"/>
      <c r="AV429" s="139"/>
      <c r="AW429" s="173">
        <f t="shared" si="1260"/>
        <v>0.60000000000000009</v>
      </c>
      <c r="AX429" s="173"/>
      <c r="AY429" s="173"/>
      <c r="AZ429" s="173"/>
      <c r="BA429" s="173"/>
      <c r="BB429" s="173"/>
      <c r="BC429" s="173">
        <f t="shared" ref="BC429:BC432" si="1278">ROUND(AW429*AE429,0)</f>
        <v>31690</v>
      </c>
      <c r="BD429" s="173"/>
      <c r="BE429" s="173"/>
      <c r="BF429" s="173"/>
      <c r="BG429" s="173"/>
      <c r="BH429" s="174"/>
      <c r="BI429" s="20">
        <f t="shared" si="1253"/>
        <v>52817</v>
      </c>
    </row>
    <row r="430" spans="1:69" ht="20.25" customHeight="1" x14ac:dyDescent="0.25">
      <c r="A430" s="150">
        <f t="shared" ref="A430" si="1279">A402</f>
        <v>5</v>
      </c>
      <c r="B430" s="151"/>
      <c r="C430" s="151"/>
      <c r="D430" s="152"/>
      <c r="E430" s="153" t="str">
        <f t="shared" ref="E430" si="1280">E402</f>
        <v>校舍出入口施做斜坡順平高差</v>
      </c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5"/>
      <c r="U430" s="117" t="str">
        <f t="shared" ref="U430" si="1281">U402</f>
        <v>M2</v>
      </c>
      <c r="V430" s="118"/>
      <c r="W430" s="118"/>
      <c r="X430" s="119"/>
      <c r="Y430" s="160">
        <f t="shared" ref="Y430" si="1282">Y402</f>
        <v>15</v>
      </c>
      <c r="Z430" s="161"/>
      <c r="AA430" s="161"/>
      <c r="AB430" s="161"/>
      <c r="AC430" s="161"/>
      <c r="AD430" s="162"/>
      <c r="AE430" s="169">
        <f t="shared" ref="AE430" si="1283">AE402</f>
        <v>600</v>
      </c>
      <c r="AF430" s="169"/>
      <c r="AG430" s="169"/>
      <c r="AH430" s="169"/>
      <c r="AI430" s="169"/>
      <c r="AJ430" s="169"/>
      <c r="AK430" s="167">
        <v>0</v>
      </c>
      <c r="AL430" s="167"/>
      <c r="AM430" s="167"/>
      <c r="AN430" s="167"/>
      <c r="AO430" s="167"/>
      <c r="AP430" s="167"/>
      <c r="AQ430" s="159">
        <f t="shared" si="1277"/>
        <v>0</v>
      </c>
      <c r="AR430" s="159"/>
      <c r="AS430" s="159"/>
      <c r="AT430" s="159"/>
      <c r="AU430" s="159"/>
      <c r="AV430" s="159"/>
      <c r="AW430" s="167">
        <f t="shared" si="1260"/>
        <v>0</v>
      </c>
      <c r="AX430" s="167"/>
      <c r="AY430" s="167"/>
      <c r="AZ430" s="167"/>
      <c r="BA430" s="167"/>
      <c r="BB430" s="167"/>
      <c r="BC430" s="167">
        <f t="shared" si="1278"/>
        <v>0</v>
      </c>
      <c r="BD430" s="167"/>
      <c r="BE430" s="167"/>
      <c r="BF430" s="167"/>
      <c r="BG430" s="167"/>
      <c r="BH430" s="168"/>
      <c r="BI430" s="3">
        <f t="shared" si="1253"/>
        <v>9000</v>
      </c>
    </row>
    <row r="431" spans="1:69" ht="50.25" customHeight="1" x14ac:dyDescent="0.25">
      <c r="A431" s="150">
        <f t="shared" ref="A431" si="1284">A403</f>
        <v>6</v>
      </c>
      <c r="B431" s="151"/>
      <c r="C431" s="151"/>
      <c r="D431" s="152"/>
      <c r="E431" s="153" t="str">
        <f t="shared" ref="E431" si="1285">E403</f>
        <v>開挖整地，新設無障礙RC坡道，牆面與地坪粉刷整平(連工帶料，責任施工)</v>
      </c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5"/>
      <c r="U431" s="117" t="str">
        <f t="shared" ref="U431" si="1286">U403</f>
        <v>式</v>
      </c>
      <c r="V431" s="118"/>
      <c r="W431" s="118"/>
      <c r="X431" s="119"/>
      <c r="Y431" s="160">
        <f t="shared" ref="Y431" si="1287">Y403</f>
        <v>1</v>
      </c>
      <c r="Z431" s="161"/>
      <c r="AA431" s="161"/>
      <c r="AB431" s="161"/>
      <c r="AC431" s="161"/>
      <c r="AD431" s="162"/>
      <c r="AE431" s="159">
        <f t="shared" ref="AE431" si="1288">AE403</f>
        <v>153000</v>
      </c>
      <c r="AF431" s="159"/>
      <c r="AG431" s="159"/>
      <c r="AH431" s="159"/>
      <c r="AI431" s="159"/>
      <c r="AJ431" s="159"/>
      <c r="AK431" s="167">
        <v>0</v>
      </c>
      <c r="AL431" s="167"/>
      <c r="AM431" s="167"/>
      <c r="AN431" s="167"/>
      <c r="AO431" s="167"/>
      <c r="AP431" s="167"/>
      <c r="AQ431" s="159">
        <f t="shared" si="1277"/>
        <v>0</v>
      </c>
      <c r="AR431" s="159"/>
      <c r="AS431" s="159"/>
      <c r="AT431" s="159"/>
      <c r="AU431" s="159"/>
      <c r="AV431" s="159"/>
      <c r="AW431" s="167">
        <f t="shared" si="1260"/>
        <v>0</v>
      </c>
      <c r="AX431" s="167"/>
      <c r="AY431" s="167"/>
      <c r="AZ431" s="167"/>
      <c r="BA431" s="167"/>
      <c r="BB431" s="167"/>
      <c r="BC431" s="167">
        <f t="shared" si="1278"/>
        <v>0</v>
      </c>
      <c r="BD431" s="167"/>
      <c r="BE431" s="167"/>
      <c r="BF431" s="167"/>
      <c r="BG431" s="167"/>
      <c r="BH431" s="168"/>
      <c r="BI431" s="3">
        <f t="shared" si="1253"/>
        <v>153000</v>
      </c>
    </row>
    <row r="432" spans="1:69" ht="32.450000000000003" customHeight="1" x14ac:dyDescent="0.25">
      <c r="A432" s="150">
        <f t="shared" ref="A432" si="1289">A404</f>
        <v>7</v>
      </c>
      <c r="B432" s="151"/>
      <c r="C432" s="151"/>
      <c r="D432" s="152"/>
      <c r="E432" s="153" t="str">
        <f t="shared" ref="E432" si="1290">E404</f>
        <v>施做抿石子(1~2分AK石，抿石子專用泥)</v>
      </c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5"/>
      <c r="U432" s="117" t="str">
        <f t="shared" ref="U432" si="1291">U404</f>
        <v>M2</v>
      </c>
      <c r="V432" s="118"/>
      <c r="W432" s="118"/>
      <c r="X432" s="119"/>
      <c r="Y432" s="160">
        <f t="shared" ref="Y432" si="1292">Y404</f>
        <v>38</v>
      </c>
      <c r="Z432" s="161"/>
      <c r="AA432" s="161"/>
      <c r="AB432" s="161"/>
      <c r="AC432" s="161"/>
      <c r="AD432" s="162"/>
      <c r="AE432" s="159">
        <f t="shared" ref="AE432" si="1293">AE404</f>
        <v>1460</v>
      </c>
      <c r="AF432" s="159"/>
      <c r="AG432" s="159"/>
      <c r="AH432" s="159"/>
      <c r="AI432" s="159"/>
      <c r="AJ432" s="159"/>
      <c r="AK432" s="167">
        <v>0</v>
      </c>
      <c r="AL432" s="167"/>
      <c r="AM432" s="167"/>
      <c r="AN432" s="167"/>
      <c r="AO432" s="167"/>
      <c r="AP432" s="167"/>
      <c r="AQ432" s="159">
        <f t="shared" si="1277"/>
        <v>0</v>
      </c>
      <c r="AR432" s="159"/>
      <c r="AS432" s="159"/>
      <c r="AT432" s="159"/>
      <c r="AU432" s="159"/>
      <c r="AV432" s="159"/>
      <c r="AW432" s="167">
        <f t="shared" si="1260"/>
        <v>0</v>
      </c>
      <c r="AX432" s="167"/>
      <c r="AY432" s="167"/>
      <c r="AZ432" s="167"/>
      <c r="BA432" s="167"/>
      <c r="BB432" s="167"/>
      <c r="BC432" s="167">
        <f t="shared" si="1278"/>
        <v>0</v>
      </c>
      <c r="BD432" s="167"/>
      <c r="BE432" s="167"/>
      <c r="BF432" s="167"/>
      <c r="BG432" s="167"/>
      <c r="BH432" s="168"/>
      <c r="BI432" s="3">
        <f t="shared" si="1253"/>
        <v>55480</v>
      </c>
    </row>
    <row r="433" spans="1:61" ht="21" customHeight="1" x14ac:dyDescent="0.25">
      <c r="A433" s="150">
        <f t="shared" ref="A433" si="1294">A405</f>
        <v>8</v>
      </c>
      <c r="B433" s="151"/>
      <c r="C433" s="151"/>
      <c r="D433" s="152"/>
      <c r="E433" s="153" t="str">
        <f t="shared" ref="E433" si="1295">E405</f>
        <v>無障礙坡道地坪拉毛</v>
      </c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5"/>
      <c r="U433" s="117" t="str">
        <f t="shared" ref="U433" si="1296">U405</f>
        <v>M2</v>
      </c>
      <c r="V433" s="118"/>
      <c r="W433" s="118"/>
      <c r="X433" s="119"/>
      <c r="Y433" s="160">
        <f t="shared" ref="Y433" si="1297">Y405</f>
        <v>33</v>
      </c>
      <c r="Z433" s="161"/>
      <c r="AA433" s="161"/>
      <c r="AB433" s="161"/>
      <c r="AC433" s="161"/>
      <c r="AD433" s="162"/>
      <c r="AE433" s="159">
        <f t="shared" ref="AE433" si="1298">AE405</f>
        <v>100</v>
      </c>
      <c r="AF433" s="159"/>
      <c r="AG433" s="159"/>
      <c r="AH433" s="159"/>
      <c r="AI433" s="159"/>
      <c r="AJ433" s="159"/>
      <c r="AK433" s="167"/>
      <c r="AL433" s="167"/>
      <c r="AM433" s="167"/>
      <c r="AN433" s="167"/>
      <c r="AO433" s="167"/>
      <c r="AP433" s="167"/>
      <c r="AQ433" s="159"/>
      <c r="AR433" s="159"/>
      <c r="AS433" s="159"/>
      <c r="AT433" s="159"/>
      <c r="AU433" s="159"/>
      <c r="AV433" s="159"/>
      <c r="AW433" s="167">
        <f t="shared" si="1260"/>
        <v>0</v>
      </c>
      <c r="AX433" s="167"/>
      <c r="AY433" s="167"/>
      <c r="AZ433" s="167"/>
      <c r="BA433" s="167"/>
      <c r="BB433" s="167"/>
      <c r="BC433" s="167"/>
      <c r="BD433" s="167"/>
      <c r="BE433" s="167"/>
      <c r="BF433" s="167"/>
      <c r="BG433" s="167"/>
      <c r="BH433" s="168"/>
      <c r="BI433" s="3">
        <f t="shared" si="1253"/>
        <v>3300</v>
      </c>
    </row>
    <row r="434" spans="1:61" s="19" customFormat="1" ht="34.5" customHeight="1" x14ac:dyDescent="0.25">
      <c r="A434" s="127">
        <f t="shared" ref="A434" si="1299">A406</f>
        <v>9</v>
      </c>
      <c r="B434" s="128"/>
      <c r="C434" s="128"/>
      <c r="D434" s="129"/>
      <c r="E434" s="153" t="str">
        <f t="shared" ref="E434" si="1300">E406</f>
        <v>司令台既有樓梯面清潔，刷止滑漆(一底二度)</v>
      </c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5"/>
      <c r="U434" s="133" t="str">
        <f t="shared" ref="U434" si="1301">U406</f>
        <v>式</v>
      </c>
      <c r="V434" s="134"/>
      <c r="W434" s="134"/>
      <c r="X434" s="135"/>
      <c r="Y434" s="160">
        <f t="shared" ref="Y434" si="1302">Y406</f>
        <v>1</v>
      </c>
      <c r="Z434" s="161"/>
      <c r="AA434" s="161"/>
      <c r="AB434" s="161"/>
      <c r="AC434" s="161"/>
      <c r="AD434" s="162"/>
      <c r="AE434" s="159">
        <f t="shared" ref="AE434" si="1303">AE406</f>
        <v>3000</v>
      </c>
      <c r="AF434" s="159"/>
      <c r="AG434" s="159"/>
      <c r="AH434" s="159"/>
      <c r="AI434" s="159"/>
      <c r="AJ434" s="159"/>
      <c r="AK434" s="167">
        <v>0</v>
      </c>
      <c r="AL434" s="167"/>
      <c r="AM434" s="167"/>
      <c r="AN434" s="167"/>
      <c r="AO434" s="167"/>
      <c r="AP434" s="167"/>
      <c r="AQ434" s="159">
        <f t="shared" ref="AQ434:AQ441" si="1304">AK434*AE434</f>
        <v>0</v>
      </c>
      <c r="AR434" s="159"/>
      <c r="AS434" s="159"/>
      <c r="AT434" s="159"/>
      <c r="AU434" s="159"/>
      <c r="AV434" s="159"/>
      <c r="AW434" s="167">
        <f t="shared" si="1260"/>
        <v>0</v>
      </c>
      <c r="AX434" s="167"/>
      <c r="AY434" s="167"/>
      <c r="AZ434" s="167"/>
      <c r="BA434" s="167"/>
      <c r="BB434" s="167"/>
      <c r="BC434" s="167">
        <f t="shared" ref="BC434:BC436" si="1305">ROUND(AW434*AE434,0)</f>
        <v>0</v>
      </c>
      <c r="BD434" s="167"/>
      <c r="BE434" s="167"/>
      <c r="BF434" s="167"/>
      <c r="BG434" s="167"/>
      <c r="BH434" s="168"/>
      <c r="BI434" s="18">
        <f t="shared" si="1253"/>
        <v>3000</v>
      </c>
    </row>
    <row r="435" spans="1:61" ht="35.25" customHeight="1" x14ac:dyDescent="0.25">
      <c r="A435" s="150">
        <f t="shared" ref="A435" si="1306">A407</f>
        <v>10</v>
      </c>
      <c r="B435" s="151"/>
      <c r="C435" s="151"/>
      <c r="D435" s="152"/>
      <c r="E435" s="153" t="str">
        <f t="shared" ref="E435" si="1307">E407</f>
        <v>校舍、教室及司令台坡道出入口配置無線押扣與插電式緊急求救鈴</v>
      </c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5"/>
      <c r="U435" s="117" t="str">
        <f t="shared" ref="U435" si="1308">U407</f>
        <v>組</v>
      </c>
      <c r="V435" s="118"/>
      <c r="W435" s="118"/>
      <c r="X435" s="119"/>
      <c r="Y435" s="160">
        <f t="shared" ref="Y435" si="1309">Y407</f>
        <v>8</v>
      </c>
      <c r="Z435" s="161"/>
      <c r="AA435" s="161"/>
      <c r="AB435" s="161"/>
      <c r="AC435" s="161"/>
      <c r="AD435" s="162"/>
      <c r="AE435" s="159">
        <f t="shared" ref="AE435" si="1310">AE407</f>
        <v>700</v>
      </c>
      <c r="AF435" s="159"/>
      <c r="AG435" s="159"/>
      <c r="AH435" s="159"/>
      <c r="AI435" s="159"/>
      <c r="AJ435" s="159"/>
      <c r="AK435" s="167">
        <v>0</v>
      </c>
      <c r="AL435" s="167"/>
      <c r="AM435" s="167"/>
      <c r="AN435" s="167"/>
      <c r="AO435" s="167"/>
      <c r="AP435" s="167"/>
      <c r="AQ435" s="159">
        <f t="shared" si="1304"/>
        <v>0</v>
      </c>
      <c r="AR435" s="159"/>
      <c r="AS435" s="159"/>
      <c r="AT435" s="159"/>
      <c r="AU435" s="159"/>
      <c r="AV435" s="159"/>
      <c r="AW435" s="167">
        <f t="shared" si="1260"/>
        <v>0</v>
      </c>
      <c r="AX435" s="167"/>
      <c r="AY435" s="167"/>
      <c r="AZ435" s="167"/>
      <c r="BA435" s="167"/>
      <c r="BB435" s="167"/>
      <c r="BC435" s="167">
        <f t="shared" si="1305"/>
        <v>0</v>
      </c>
      <c r="BD435" s="167"/>
      <c r="BE435" s="167"/>
      <c r="BF435" s="167"/>
      <c r="BG435" s="167"/>
      <c r="BH435" s="168"/>
      <c r="BI435" s="3">
        <f t="shared" si="1253"/>
        <v>5600</v>
      </c>
    </row>
    <row r="436" spans="1:61" ht="36.75" customHeight="1" x14ac:dyDescent="0.25">
      <c r="A436" s="150">
        <f t="shared" ref="A436" si="1311">A408</f>
        <v>11</v>
      </c>
      <c r="B436" s="151"/>
      <c r="C436" s="151"/>
      <c r="D436" s="152"/>
      <c r="E436" s="153" t="str">
        <f t="shared" ref="E436" si="1312">E408</f>
        <v>司令台周圍及無障礙坡道安裝不鏽鋼扶手(連工帶料)</v>
      </c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5"/>
      <c r="U436" s="117" t="str">
        <f t="shared" ref="U436" si="1313">U408</f>
        <v>M</v>
      </c>
      <c r="V436" s="118"/>
      <c r="W436" s="118"/>
      <c r="X436" s="119"/>
      <c r="Y436" s="156">
        <f t="shared" ref="Y436" si="1314">Y408</f>
        <v>48</v>
      </c>
      <c r="Z436" s="157"/>
      <c r="AA436" s="157"/>
      <c r="AB436" s="157"/>
      <c r="AC436" s="157"/>
      <c r="AD436" s="158"/>
      <c r="AE436" s="159">
        <f t="shared" ref="AE436" si="1315">AE408</f>
        <v>3000</v>
      </c>
      <c r="AF436" s="159"/>
      <c r="AG436" s="159"/>
      <c r="AH436" s="159"/>
      <c r="AI436" s="159"/>
      <c r="AJ436" s="159"/>
      <c r="AK436" s="160">
        <v>0</v>
      </c>
      <c r="AL436" s="161"/>
      <c r="AM436" s="161"/>
      <c r="AN436" s="161"/>
      <c r="AO436" s="161"/>
      <c r="AP436" s="162"/>
      <c r="AQ436" s="163">
        <f t="shared" si="1304"/>
        <v>0</v>
      </c>
      <c r="AR436" s="164"/>
      <c r="AS436" s="164"/>
      <c r="AT436" s="164"/>
      <c r="AU436" s="164"/>
      <c r="AV436" s="165"/>
      <c r="AW436" s="160">
        <f t="shared" si="1260"/>
        <v>0</v>
      </c>
      <c r="AX436" s="161"/>
      <c r="AY436" s="161"/>
      <c r="AZ436" s="161"/>
      <c r="BA436" s="161"/>
      <c r="BB436" s="162"/>
      <c r="BC436" s="160">
        <f t="shared" si="1305"/>
        <v>0</v>
      </c>
      <c r="BD436" s="161"/>
      <c r="BE436" s="161"/>
      <c r="BF436" s="161"/>
      <c r="BG436" s="161"/>
      <c r="BH436" s="166"/>
      <c r="BI436" s="3">
        <f t="shared" si="1253"/>
        <v>144000</v>
      </c>
    </row>
    <row r="437" spans="1:61" s="19" customFormat="1" ht="35.25" customHeight="1" x14ac:dyDescent="0.25">
      <c r="A437" s="127" t="str">
        <f t="shared" ref="A437" si="1316">A409</f>
        <v>貳</v>
      </c>
      <c r="B437" s="128"/>
      <c r="C437" s="128"/>
      <c r="D437" s="129"/>
      <c r="E437" s="130" t="str">
        <f t="shared" ref="E437" si="1317">E409</f>
        <v>職業安全衛生管理費與施工環境保護與清潔（壹*2%）</v>
      </c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2"/>
      <c r="U437" s="133" t="str">
        <f t="shared" ref="U437" si="1318">U409</f>
        <v>式</v>
      </c>
      <c r="V437" s="134"/>
      <c r="W437" s="134"/>
      <c r="X437" s="135"/>
      <c r="Y437" s="136">
        <f t="shared" ref="Y437" si="1319">Y409</f>
        <v>1</v>
      </c>
      <c r="Z437" s="137"/>
      <c r="AA437" s="137"/>
      <c r="AB437" s="137"/>
      <c r="AC437" s="137"/>
      <c r="AD437" s="138"/>
      <c r="AE437" s="139">
        <f t="shared" ref="AE437" si="1320">AE409</f>
        <v>8807</v>
      </c>
      <c r="AF437" s="139"/>
      <c r="AG437" s="139"/>
      <c r="AH437" s="139"/>
      <c r="AI437" s="139"/>
      <c r="AJ437" s="139"/>
      <c r="AK437" s="140">
        <v>1.7000000000000001E-2</v>
      </c>
      <c r="AL437" s="141"/>
      <c r="AM437" s="141"/>
      <c r="AN437" s="141"/>
      <c r="AO437" s="141"/>
      <c r="AP437" s="142"/>
      <c r="AQ437" s="143">
        <f t="shared" si="1304"/>
        <v>149.71900000000002</v>
      </c>
      <c r="AR437" s="144"/>
      <c r="AS437" s="144"/>
      <c r="AT437" s="144"/>
      <c r="AU437" s="144"/>
      <c r="AV437" s="145"/>
      <c r="AW437" s="140">
        <f>AW409+AK437</f>
        <v>0.27200000000000013</v>
      </c>
      <c r="AX437" s="141"/>
      <c r="AY437" s="141"/>
      <c r="AZ437" s="141"/>
      <c r="BA437" s="141"/>
      <c r="BB437" s="142"/>
      <c r="BC437" s="136">
        <f>ROUND(AW437*AE437,0)</f>
        <v>2396</v>
      </c>
      <c r="BD437" s="137"/>
      <c r="BE437" s="137"/>
      <c r="BF437" s="137"/>
      <c r="BG437" s="137"/>
      <c r="BH437" s="146"/>
      <c r="BI437" s="18">
        <f t="shared" si="1253"/>
        <v>8807</v>
      </c>
    </row>
    <row r="438" spans="1:61" s="19" customFormat="1" ht="21.95" customHeight="1" x14ac:dyDescent="0.25">
      <c r="A438" s="127" t="str">
        <f t="shared" ref="A438" si="1321">A410</f>
        <v>參</v>
      </c>
      <c r="B438" s="128"/>
      <c r="C438" s="128"/>
      <c r="D438" s="129"/>
      <c r="E438" s="130" t="str">
        <f t="shared" ref="E438" si="1322">E410</f>
        <v>公共工程品質管制作業費（壹*1%）</v>
      </c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2"/>
      <c r="U438" s="133" t="str">
        <f t="shared" ref="U438" si="1323">U410</f>
        <v>式</v>
      </c>
      <c r="V438" s="134"/>
      <c r="W438" s="134"/>
      <c r="X438" s="135"/>
      <c r="Y438" s="147">
        <f t="shared" ref="Y438" si="1324">Y410</f>
        <v>1</v>
      </c>
      <c r="Z438" s="148"/>
      <c r="AA438" s="148"/>
      <c r="AB438" s="148"/>
      <c r="AC438" s="148"/>
      <c r="AD438" s="149"/>
      <c r="AE438" s="139">
        <f t="shared" ref="AE438" si="1325">AE410</f>
        <v>4404</v>
      </c>
      <c r="AF438" s="139"/>
      <c r="AG438" s="139"/>
      <c r="AH438" s="139"/>
      <c r="AI438" s="139"/>
      <c r="AJ438" s="139"/>
      <c r="AK438" s="140">
        <v>1.7000000000000001E-2</v>
      </c>
      <c r="AL438" s="141"/>
      <c r="AM438" s="141"/>
      <c r="AN438" s="141"/>
      <c r="AO438" s="141"/>
      <c r="AP438" s="142"/>
      <c r="AQ438" s="143">
        <f t="shared" si="1304"/>
        <v>74.868000000000009</v>
      </c>
      <c r="AR438" s="144"/>
      <c r="AS438" s="144"/>
      <c r="AT438" s="144"/>
      <c r="AU438" s="144"/>
      <c r="AV438" s="145"/>
      <c r="AW438" s="140">
        <f t="shared" ref="AW438:AW441" si="1326">AW410+AK438</f>
        <v>0.27200000000000013</v>
      </c>
      <c r="AX438" s="141"/>
      <c r="AY438" s="141"/>
      <c r="AZ438" s="141"/>
      <c r="BA438" s="141"/>
      <c r="BB438" s="142"/>
      <c r="BC438" s="136">
        <f t="shared" ref="BC438:BC441" si="1327">ROUND(AW438*AE438,0)</f>
        <v>1198</v>
      </c>
      <c r="BD438" s="137"/>
      <c r="BE438" s="137"/>
      <c r="BF438" s="137"/>
      <c r="BG438" s="137"/>
      <c r="BH438" s="146"/>
      <c r="BI438" s="18">
        <f t="shared" si="1253"/>
        <v>4404</v>
      </c>
    </row>
    <row r="439" spans="1:61" s="19" customFormat="1" ht="21.95" customHeight="1" x14ac:dyDescent="0.25">
      <c r="A439" s="127" t="str">
        <f t="shared" ref="A439" si="1328">A411</f>
        <v>肆</v>
      </c>
      <c r="B439" s="128"/>
      <c r="C439" s="128"/>
      <c r="D439" s="129"/>
      <c r="E439" s="130" t="str">
        <f t="shared" ref="E439" si="1329">E411</f>
        <v>包商管理及利潤費（約壹*7%）</v>
      </c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2"/>
      <c r="U439" s="133" t="str">
        <f t="shared" ref="U439" si="1330">U411</f>
        <v>式</v>
      </c>
      <c r="V439" s="134"/>
      <c r="W439" s="134"/>
      <c r="X439" s="135"/>
      <c r="Y439" s="147">
        <f t="shared" ref="Y439" si="1331">Y411</f>
        <v>1</v>
      </c>
      <c r="Z439" s="148"/>
      <c r="AA439" s="148"/>
      <c r="AB439" s="148"/>
      <c r="AC439" s="148"/>
      <c r="AD439" s="149"/>
      <c r="AE439" s="139">
        <f t="shared" ref="AE439" si="1332">AE411</f>
        <v>30825</v>
      </c>
      <c r="AF439" s="139"/>
      <c r="AG439" s="139"/>
      <c r="AH439" s="139"/>
      <c r="AI439" s="139"/>
      <c r="AJ439" s="139"/>
      <c r="AK439" s="140">
        <v>1.7000000000000001E-2</v>
      </c>
      <c r="AL439" s="141"/>
      <c r="AM439" s="141"/>
      <c r="AN439" s="141"/>
      <c r="AO439" s="141"/>
      <c r="AP439" s="142"/>
      <c r="AQ439" s="143">
        <f t="shared" si="1304"/>
        <v>524.02500000000009</v>
      </c>
      <c r="AR439" s="144"/>
      <c r="AS439" s="144"/>
      <c r="AT439" s="144"/>
      <c r="AU439" s="144"/>
      <c r="AV439" s="145"/>
      <c r="AW439" s="140">
        <f t="shared" si="1326"/>
        <v>0.27200000000000013</v>
      </c>
      <c r="AX439" s="141"/>
      <c r="AY439" s="141"/>
      <c r="AZ439" s="141"/>
      <c r="BA439" s="141"/>
      <c r="BB439" s="142"/>
      <c r="BC439" s="136">
        <f t="shared" si="1327"/>
        <v>8384</v>
      </c>
      <c r="BD439" s="137"/>
      <c r="BE439" s="137"/>
      <c r="BF439" s="137"/>
      <c r="BG439" s="137"/>
      <c r="BH439" s="146"/>
      <c r="BI439" s="18">
        <f t="shared" si="1253"/>
        <v>30825</v>
      </c>
    </row>
    <row r="440" spans="1:61" s="19" customFormat="1" ht="21.95" customHeight="1" x14ac:dyDescent="0.25">
      <c r="A440" s="127" t="str">
        <f t="shared" ref="A440" si="1333">A412</f>
        <v>伍</v>
      </c>
      <c r="B440" s="128"/>
      <c r="C440" s="128"/>
      <c r="D440" s="129"/>
      <c r="E440" s="130" t="str">
        <f t="shared" ref="E440" si="1334">E412</f>
        <v>營造綜合保險費</v>
      </c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2"/>
      <c r="U440" s="133" t="str">
        <f t="shared" ref="U440" si="1335">U412</f>
        <v>式</v>
      </c>
      <c r="V440" s="134"/>
      <c r="W440" s="134"/>
      <c r="X440" s="135"/>
      <c r="Y440" s="136">
        <f t="shared" ref="Y440" si="1336">Y412</f>
        <v>1</v>
      </c>
      <c r="Z440" s="137"/>
      <c r="AA440" s="137"/>
      <c r="AB440" s="137"/>
      <c r="AC440" s="137"/>
      <c r="AD440" s="138"/>
      <c r="AE440" s="139">
        <f t="shared" ref="AE440" si="1337">AE412</f>
        <v>1321</v>
      </c>
      <c r="AF440" s="139"/>
      <c r="AG440" s="139"/>
      <c r="AH440" s="139"/>
      <c r="AI440" s="139"/>
      <c r="AJ440" s="139"/>
      <c r="AK440" s="136">
        <v>0</v>
      </c>
      <c r="AL440" s="137"/>
      <c r="AM440" s="137"/>
      <c r="AN440" s="137"/>
      <c r="AO440" s="137"/>
      <c r="AP440" s="138"/>
      <c r="AQ440" s="143">
        <f t="shared" si="1304"/>
        <v>0</v>
      </c>
      <c r="AR440" s="144"/>
      <c r="AS440" s="144"/>
      <c r="AT440" s="144"/>
      <c r="AU440" s="144"/>
      <c r="AV440" s="145"/>
      <c r="AW440" s="136">
        <f t="shared" si="1326"/>
        <v>1</v>
      </c>
      <c r="AX440" s="137"/>
      <c r="AY440" s="137"/>
      <c r="AZ440" s="137"/>
      <c r="BA440" s="137"/>
      <c r="BB440" s="138"/>
      <c r="BC440" s="136">
        <f t="shared" si="1327"/>
        <v>1321</v>
      </c>
      <c r="BD440" s="137"/>
      <c r="BE440" s="137"/>
      <c r="BF440" s="137"/>
      <c r="BG440" s="137"/>
      <c r="BH440" s="146"/>
      <c r="BI440" s="18">
        <f t="shared" si="1253"/>
        <v>1321</v>
      </c>
    </row>
    <row r="441" spans="1:61" s="19" customFormat="1" ht="21.95" customHeight="1" x14ac:dyDescent="0.25">
      <c r="A441" s="127" t="str">
        <f t="shared" ref="A441" si="1338">A413</f>
        <v>陸</v>
      </c>
      <c r="B441" s="128"/>
      <c r="C441" s="128"/>
      <c r="D441" s="129"/>
      <c r="E441" s="130" t="str">
        <f t="shared" ref="E441" si="1339">E413</f>
        <v>營業稅（(壹~伍)*5％）</v>
      </c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2"/>
      <c r="U441" s="133" t="str">
        <f t="shared" ref="U441" si="1340">U413</f>
        <v>式</v>
      </c>
      <c r="V441" s="134"/>
      <c r="W441" s="134"/>
      <c r="X441" s="135"/>
      <c r="Y441" s="136">
        <f t="shared" ref="Y441" si="1341">Y413</f>
        <v>1</v>
      </c>
      <c r="Z441" s="137"/>
      <c r="AA441" s="137"/>
      <c r="AB441" s="137"/>
      <c r="AC441" s="137"/>
      <c r="AD441" s="138"/>
      <c r="AE441" s="139">
        <f t="shared" ref="AE441" si="1342">AE413</f>
        <v>24286</v>
      </c>
      <c r="AF441" s="139"/>
      <c r="AG441" s="139"/>
      <c r="AH441" s="139"/>
      <c r="AI441" s="139"/>
      <c r="AJ441" s="139"/>
      <c r="AK441" s="140">
        <v>1.7000000000000001E-2</v>
      </c>
      <c r="AL441" s="141"/>
      <c r="AM441" s="141"/>
      <c r="AN441" s="141"/>
      <c r="AO441" s="141"/>
      <c r="AP441" s="142"/>
      <c r="AQ441" s="143">
        <f t="shared" si="1304"/>
        <v>412.86200000000002</v>
      </c>
      <c r="AR441" s="144"/>
      <c r="AS441" s="144"/>
      <c r="AT441" s="144"/>
      <c r="AU441" s="144"/>
      <c r="AV441" s="145"/>
      <c r="AW441" s="140">
        <f t="shared" si="1326"/>
        <v>0.27200000000000013</v>
      </c>
      <c r="AX441" s="141"/>
      <c r="AY441" s="141"/>
      <c r="AZ441" s="141"/>
      <c r="BA441" s="141"/>
      <c r="BB441" s="142"/>
      <c r="BC441" s="136">
        <f t="shared" si="1327"/>
        <v>6606</v>
      </c>
      <c r="BD441" s="137"/>
      <c r="BE441" s="137"/>
      <c r="BF441" s="137"/>
      <c r="BG441" s="137"/>
      <c r="BH441" s="146"/>
      <c r="BI441" s="18">
        <f t="shared" si="1253"/>
        <v>24286</v>
      </c>
    </row>
    <row r="442" spans="1:61" ht="21.95" customHeight="1" x14ac:dyDescent="0.25">
      <c r="A442" s="111"/>
      <c r="B442" s="112"/>
      <c r="C442" s="112"/>
      <c r="D442" s="113"/>
      <c r="E442" s="114" t="s">
        <v>75</v>
      </c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6"/>
      <c r="U442" s="117"/>
      <c r="V442" s="118"/>
      <c r="W442" s="118"/>
      <c r="X442" s="119"/>
      <c r="Y442" s="120"/>
      <c r="Z442" s="121"/>
      <c r="AA442" s="121"/>
      <c r="AB442" s="121"/>
      <c r="AC442" s="121"/>
      <c r="AD442" s="122"/>
      <c r="AE442" s="123"/>
      <c r="AF442" s="124"/>
      <c r="AG442" s="124"/>
      <c r="AH442" s="124"/>
      <c r="AI442" s="124"/>
      <c r="AJ442" s="125"/>
      <c r="AK442" s="120"/>
      <c r="AL442" s="121"/>
      <c r="AM442" s="121"/>
      <c r="AN442" s="121"/>
      <c r="AO442" s="121"/>
      <c r="AP442" s="122"/>
      <c r="AQ442" s="123">
        <f>SUM(AQ428:AQ441)</f>
        <v>11724.874</v>
      </c>
      <c r="AR442" s="124"/>
      <c r="AS442" s="124"/>
      <c r="AT442" s="124"/>
      <c r="AU442" s="124"/>
      <c r="AV442" s="125"/>
      <c r="AW442" s="120"/>
      <c r="AX442" s="121"/>
      <c r="AY442" s="121"/>
      <c r="AZ442" s="121"/>
      <c r="BA442" s="121"/>
      <c r="BB442" s="122"/>
      <c r="BC442" s="120">
        <f>SUM(BC428:BC441)</f>
        <v>53595</v>
      </c>
      <c r="BD442" s="121"/>
      <c r="BE442" s="121"/>
      <c r="BF442" s="121"/>
      <c r="BG442" s="121"/>
      <c r="BH442" s="126"/>
      <c r="BI442" s="17">
        <f>SUM(BI426:BI441)</f>
        <v>510000</v>
      </c>
    </row>
    <row r="443" spans="1:61" ht="21.95" customHeight="1" x14ac:dyDescent="0.25">
      <c r="A443" s="101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2"/>
      <c r="AH443" s="102"/>
      <c r="AI443" s="102"/>
      <c r="AJ443" s="103"/>
      <c r="AK443" s="104"/>
      <c r="AL443" s="105"/>
      <c r="AM443" s="105"/>
      <c r="AN443" s="105"/>
      <c r="AO443" s="105"/>
      <c r="AP443" s="106"/>
      <c r="AQ443" s="107"/>
      <c r="AR443" s="108"/>
      <c r="AS443" s="108"/>
      <c r="AT443" s="108"/>
      <c r="AU443" s="108"/>
      <c r="AV443" s="109"/>
      <c r="AW443" s="104"/>
      <c r="AX443" s="105"/>
      <c r="AY443" s="105"/>
      <c r="AZ443" s="105"/>
      <c r="BA443" s="105"/>
      <c r="BB443" s="106"/>
      <c r="BC443" s="104"/>
      <c r="BD443" s="105"/>
      <c r="BE443" s="105"/>
      <c r="BF443" s="105"/>
      <c r="BG443" s="105"/>
      <c r="BH443" s="110"/>
      <c r="BI443" s="15">
        <f>Y443*AE443</f>
        <v>0</v>
      </c>
    </row>
    <row r="444" spans="1:61" ht="21.95" customHeight="1" x14ac:dyDescent="0.25">
      <c r="A444" s="101" t="s">
        <v>11</v>
      </c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/>
      <c r="AG444" s="102"/>
      <c r="AH444" s="102"/>
      <c r="AI444" s="102"/>
      <c r="AJ444" s="103"/>
      <c r="AK444" s="104"/>
      <c r="AL444" s="105"/>
      <c r="AM444" s="105"/>
      <c r="AN444" s="105"/>
      <c r="AO444" s="105"/>
      <c r="AP444" s="106"/>
      <c r="AQ444" s="107">
        <f>BC442/BI442</f>
        <v>0.10508823529411765</v>
      </c>
      <c r="AR444" s="108"/>
      <c r="AS444" s="108"/>
      <c r="AT444" s="108"/>
      <c r="AU444" s="108"/>
      <c r="AV444" s="109"/>
      <c r="AW444" s="104"/>
      <c r="AX444" s="105"/>
      <c r="AY444" s="105"/>
      <c r="AZ444" s="105"/>
      <c r="BA444" s="105"/>
      <c r="BB444" s="106"/>
      <c r="BC444" s="104"/>
      <c r="BD444" s="105"/>
      <c r="BE444" s="105"/>
      <c r="BF444" s="105"/>
      <c r="BG444" s="105"/>
      <c r="BH444" s="110"/>
      <c r="BI444" s="15">
        <f>AQ444</f>
        <v>0.10508823529411765</v>
      </c>
    </row>
    <row r="445" spans="1:61" ht="18.75" customHeight="1" x14ac:dyDescent="0.25">
      <c r="A445" s="90" t="s">
        <v>15</v>
      </c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  <c r="AC445" s="91"/>
      <c r="AD445" s="92"/>
      <c r="AE445" s="93" t="s">
        <v>14</v>
      </c>
      <c r="AF445" s="91"/>
      <c r="AG445" s="91"/>
      <c r="AH445" s="91"/>
      <c r="AI445" s="91"/>
      <c r="AJ445" s="91"/>
      <c r="AK445" s="91"/>
      <c r="AL445" s="91"/>
      <c r="AM445" s="91"/>
      <c r="AN445" s="91"/>
      <c r="AO445" s="91"/>
      <c r="AP445" s="91"/>
      <c r="AQ445" s="91"/>
      <c r="AR445" s="91"/>
      <c r="AS445" s="91"/>
      <c r="AT445" s="91"/>
      <c r="AU445" s="91"/>
      <c r="AV445" s="91"/>
      <c r="AW445" s="91"/>
      <c r="AX445" s="91"/>
      <c r="AY445" s="91"/>
      <c r="AZ445" s="91"/>
      <c r="BA445" s="91"/>
      <c r="BB445" s="91"/>
      <c r="BC445" s="91"/>
      <c r="BD445" s="91"/>
      <c r="BE445" s="91"/>
      <c r="BF445" s="91"/>
      <c r="BG445" s="91"/>
      <c r="BH445" s="94"/>
    </row>
    <row r="446" spans="1:61" x14ac:dyDescent="0.25">
      <c r="A446" s="95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  <c r="AC446" s="96"/>
      <c r="AD446" s="96"/>
      <c r="AE446" s="96"/>
      <c r="AF446" s="96"/>
      <c r="AG446" s="96"/>
      <c r="AH446" s="96"/>
      <c r="AI446" s="96"/>
      <c r="AJ446" s="96"/>
      <c r="AK446" s="96"/>
      <c r="AL446" s="96"/>
      <c r="AM446" s="96"/>
      <c r="AN446" s="96"/>
      <c r="AO446" s="96"/>
      <c r="AP446" s="96"/>
      <c r="AQ446" s="96"/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9"/>
    </row>
    <row r="447" spans="1:61" x14ac:dyDescent="0.25">
      <c r="A447" s="95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  <c r="AC447" s="96"/>
      <c r="AD447" s="96"/>
      <c r="AE447" s="96"/>
      <c r="AF447" s="96"/>
      <c r="AG447" s="96"/>
      <c r="AH447" s="96"/>
      <c r="AI447" s="96"/>
      <c r="AJ447" s="96"/>
      <c r="AK447" s="96"/>
      <c r="AL447" s="96"/>
      <c r="AM447" s="96"/>
      <c r="AN447" s="96"/>
      <c r="AO447" s="96"/>
      <c r="AP447" s="96"/>
      <c r="AQ447" s="96"/>
      <c r="AR447" s="96"/>
      <c r="AS447" s="96"/>
      <c r="AT447" s="96"/>
      <c r="AU447" s="96"/>
      <c r="AV447" s="96"/>
      <c r="AW447" s="96"/>
      <c r="AX447" s="96"/>
      <c r="AY447" s="96"/>
      <c r="AZ447" s="96"/>
      <c r="BA447" s="96"/>
      <c r="BB447" s="96"/>
      <c r="BC447" s="96"/>
      <c r="BD447" s="96"/>
      <c r="BE447" s="96"/>
      <c r="BF447" s="96"/>
      <c r="BG447" s="96"/>
      <c r="BH447" s="99"/>
    </row>
    <row r="448" spans="1:61" ht="17.25" thickBot="1" x14ac:dyDescent="0.3">
      <c r="A448" s="97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8"/>
      <c r="AB448" s="98"/>
      <c r="AC448" s="98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  <c r="AO448" s="98"/>
      <c r="AP448" s="98"/>
      <c r="AQ448" s="98"/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/>
      <c r="BC448" s="98"/>
      <c r="BD448" s="98"/>
      <c r="BE448" s="98"/>
      <c r="BF448" s="98"/>
      <c r="BG448" s="98"/>
      <c r="BH448" s="100"/>
    </row>
    <row r="449" spans="1:69" ht="27.75" x14ac:dyDescent="0.25">
      <c r="A449" s="182" t="s">
        <v>81</v>
      </c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  <c r="X449" s="182"/>
      <c r="Y449" s="182"/>
      <c r="Z449" s="182"/>
      <c r="AA449" s="182"/>
      <c r="AB449" s="182"/>
      <c r="AC449" s="182"/>
      <c r="AD449" s="182"/>
      <c r="AE449" s="182"/>
      <c r="AF449" s="182"/>
      <c r="AG449" s="182"/>
      <c r="AH449" s="182"/>
      <c r="AI449" s="182"/>
      <c r="AJ449" s="182"/>
      <c r="AK449" s="182"/>
      <c r="AL449" s="182"/>
      <c r="AM449" s="182"/>
      <c r="AN449" s="182"/>
      <c r="AO449" s="182"/>
      <c r="AP449" s="182"/>
      <c r="AQ449" s="182"/>
      <c r="AR449" s="182"/>
      <c r="AS449" s="182"/>
      <c r="AT449" s="182"/>
      <c r="AU449" s="182"/>
      <c r="AV449" s="182"/>
      <c r="AW449" s="182"/>
      <c r="AX449" s="182"/>
      <c r="AY449" s="182"/>
      <c r="AZ449" s="182"/>
      <c r="BA449" s="182"/>
      <c r="BB449" s="182"/>
      <c r="BC449" s="182"/>
      <c r="BD449" s="182"/>
      <c r="BE449" s="182"/>
      <c r="BF449" s="182"/>
      <c r="BG449" s="182"/>
      <c r="BH449" s="182"/>
    </row>
    <row r="450" spans="1:69" ht="27.75" x14ac:dyDescent="0.25">
      <c r="A450" s="183" t="s">
        <v>12</v>
      </c>
      <c r="B450" s="183"/>
      <c r="C450" s="183"/>
      <c r="D450" s="183"/>
      <c r="E450" s="183"/>
      <c r="F450" s="183"/>
      <c r="G450" s="183"/>
      <c r="H450" s="183"/>
      <c r="I450" s="183"/>
      <c r="J450" s="184" t="s">
        <v>85</v>
      </c>
      <c r="K450" s="185"/>
      <c r="L450" s="185"/>
      <c r="M450" s="185"/>
      <c r="N450" s="185"/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  <c r="Z450" s="185"/>
      <c r="AA450" s="185"/>
      <c r="AB450" s="185"/>
      <c r="AC450" s="185"/>
      <c r="AD450" s="185"/>
      <c r="AE450" s="185"/>
      <c r="AF450" s="185"/>
      <c r="AG450" s="185"/>
      <c r="AH450" s="185"/>
      <c r="AI450" s="185"/>
      <c r="AJ450" s="185"/>
      <c r="AK450" s="185"/>
      <c r="AL450" s="185"/>
      <c r="AM450" s="185"/>
      <c r="AN450" s="185"/>
      <c r="AO450" s="185"/>
      <c r="AP450" s="185"/>
      <c r="AQ450" s="185"/>
      <c r="AR450" s="185"/>
      <c r="AS450" s="185"/>
      <c r="AT450" s="185"/>
      <c r="AU450" s="185"/>
      <c r="AV450" s="185"/>
      <c r="AW450" s="185"/>
      <c r="AX450" s="185"/>
      <c r="AY450" s="185"/>
      <c r="AZ450" s="185"/>
      <c r="BA450" s="185"/>
      <c r="BB450" s="185"/>
      <c r="BC450" s="185"/>
      <c r="BD450" s="185"/>
      <c r="BE450" s="185"/>
      <c r="BF450" s="185"/>
      <c r="BG450" s="185"/>
      <c r="BH450" s="185"/>
      <c r="BI450" s="185"/>
      <c r="BJ450" s="185"/>
      <c r="BK450" s="185"/>
      <c r="BL450" s="185"/>
      <c r="BM450" s="185"/>
      <c r="BN450" s="185"/>
      <c r="BO450" s="185"/>
      <c r="BP450" s="185"/>
      <c r="BQ450" s="185"/>
    </row>
    <row r="451" spans="1:69" ht="17.25" thickBot="1" x14ac:dyDescent="0.3">
      <c r="A451" s="186" t="s">
        <v>10</v>
      </c>
      <c r="B451" s="186"/>
      <c r="C451" s="186"/>
      <c r="D451" s="186"/>
      <c r="E451" s="186"/>
      <c r="F451" s="186"/>
      <c r="G451" s="186"/>
      <c r="H451" s="186"/>
      <c r="I451" s="187" t="s">
        <v>78</v>
      </c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  <c r="AA451" s="187"/>
      <c r="AB451" s="187"/>
      <c r="AC451" s="187"/>
      <c r="AD451" s="187"/>
      <c r="AE451" s="187"/>
      <c r="AF451" s="187"/>
      <c r="AG451" s="187"/>
      <c r="AH451" s="187"/>
      <c r="AI451" s="187"/>
      <c r="AJ451" s="187"/>
      <c r="AK451" s="187"/>
      <c r="AL451" s="187"/>
      <c r="AM451" s="187"/>
      <c r="AN451" s="187"/>
      <c r="AO451" s="188" t="s">
        <v>9</v>
      </c>
      <c r="AP451" s="188"/>
      <c r="AQ451" s="188"/>
      <c r="AR451" s="188"/>
      <c r="AS451" s="188"/>
      <c r="AT451" s="188"/>
      <c r="AU451" s="188"/>
      <c r="AV451" s="188"/>
      <c r="AW451" s="189">
        <f>AW423+1</f>
        <v>45926</v>
      </c>
      <c r="AX451" s="189"/>
      <c r="AY451" s="189"/>
      <c r="AZ451" s="189"/>
      <c r="BA451" s="189"/>
      <c r="BB451" s="189"/>
      <c r="BC451" s="189"/>
      <c r="BD451" s="189"/>
      <c r="BE451" s="189"/>
      <c r="BF451" s="189"/>
      <c r="BG451" s="189"/>
      <c r="BH451" s="189"/>
    </row>
    <row r="452" spans="1:69" ht="36" customHeight="1" x14ac:dyDescent="0.25">
      <c r="A452" s="180" t="s">
        <v>0</v>
      </c>
      <c r="B452" s="83"/>
      <c r="C452" s="83"/>
      <c r="D452" s="83"/>
      <c r="E452" s="83" t="s">
        <v>6</v>
      </c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 t="s">
        <v>7</v>
      </c>
      <c r="V452" s="83"/>
      <c r="W452" s="83"/>
      <c r="X452" s="83"/>
      <c r="Y452" s="181" t="s">
        <v>1</v>
      </c>
      <c r="Z452" s="181"/>
      <c r="AA452" s="181"/>
      <c r="AB452" s="181"/>
      <c r="AC452" s="181"/>
      <c r="AD452" s="181"/>
      <c r="AE452" s="83" t="s">
        <v>8</v>
      </c>
      <c r="AF452" s="83"/>
      <c r="AG452" s="83"/>
      <c r="AH452" s="83"/>
      <c r="AI452" s="83"/>
      <c r="AJ452" s="83"/>
      <c r="AK452" s="181" t="s">
        <v>2</v>
      </c>
      <c r="AL452" s="181"/>
      <c r="AM452" s="181"/>
      <c r="AN452" s="181"/>
      <c r="AO452" s="181"/>
      <c r="AP452" s="181"/>
      <c r="AQ452" s="84" t="s">
        <v>3</v>
      </c>
      <c r="AR452" s="84"/>
      <c r="AS452" s="84"/>
      <c r="AT452" s="84"/>
      <c r="AU452" s="84"/>
      <c r="AV452" s="84"/>
      <c r="AW452" s="181" t="s">
        <v>4</v>
      </c>
      <c r="AX452" s="181"/>
      <c r="AY452" s="181"/>
      <c r="AZ452" s="181"/>
      <c r="BA452" s="181"/>
      <c r="BB452" s="181"/>
      <c r="BC452" s="84" t="s">
        <v>5</v>
      </c>
      <c r="BD452" s="84"/>
      <c r="BE452" s="84"/>
      <c r="BF452" s="84"/>
      <c r="BG452" s="84"/>
      <c r="BH452" s="85"/>
      <c r="BI452" s="1"/>
    </row>
    <row r="453" spans="1:69" ht="21.95" customHeight="1" x14ac:dyDescent="0.25">
      <c r="A453" s="150" t="str">
        <f t="shared" ref="A453" si="1343">A425</f>
        <v>壹</v>
      </c>
      <c r="B453" s="151"/>
      <c r="C453" s="151"/>
      <c r="D453" s="152"/>
      <c r="E453" s="175" t="str">
        <f t="shared" ref="E453" si="1344">E425</f>
        <v>直接工程費</v>
      </c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7"/>
      <c r="U453" s="117"/>
      <c r="V453" s="118"/>
      <c r="W453" s="118"/>
      <c r="X453" s="119"/>
      <c r="Y453" s="178"/>
      <c r="Z453" s="178"/>
      <c r="AA453" s="178"/>
      <c r="AB453" s="178"/>
      <c r="AC453" s="178"/>
      <c r="AD453" s="178"/>
      <c r="AE453" s="178"/>
      <c r="AF453" s="178"/>
      <c r="AG453" s="178"/>
      <c r="AH453" s="178"/>
      <c r="AI453" s="178"/>
      <c r="AJ453" s="178"/>
      <c r="AK453" s="178"/>
      <c r="AL453" s="178"/>
      <c r="AM453" s="178"/>
      <c r="AN453" s="178"/>
      <c r="AO453" s="178"/>
      <c r="AP453" s="178"/>
      <c r="AQ453" s="178"/>
      <c r="AR453" s="178"/>
      <c r="AS453" s="178"/>
      <c r="AT453" s="178"/>
      <c r="AU453" s="178"/>
      <c r="AV453" s="178"/>
      <c r="AW453" s="178"/>
      <c r="AX453" s="178"/>
      <c r="AY453" s="178"/>
      <c r="AZ453" s="178"/>
      <c r="BA453" s="178"/>
      <c r="BB453" s="178"/>
      <c r="BC453" s="178"/>
      <c r="BD453" s="178"/>
      <c r="BE453" s="178"/>
      <c r="BF453" s="178"/>
      <c r="BG453" s="178"/>
      <c r="BH453" s="179"/>
      <c r="BI453" s="3">
        <f t="shared" ref="BI453:BI469" si="1345">Y453*AE453</f>
        <v>0</v>
      </c>
    </row>
    <row r="454" spans="1:69" s="19" customFormat="1" ht="21.95" customHeight="1" x14ac:dyDescent="0.25">
      <c r="A454" s="127">
        <f t="shared" ref="A454" si="1346">A426</f>
        <v>1</v>
      </c>
      <c r="B454" s="128"/>
      <c r="C454" s="128"/>
      <c r="D454" s="129"/>
      <c r="E454" s="170" t="str">
        <f t="shared" ref="E454" si="1347">E426</f>
        <v>工程告示牌與職安衛告示牌(租用)</v>
      </c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2"/>
      <c r="U454" s="133" t="str">
        <f t="shared" ref="U454" si="1348">U426</f>
        <v>式</v>
      </c>
      <c r="V454" s="134"/>
      <c r="W454" s="134"/>
      <c r="X454" s="135"/>
      <c r="Y454" s="136">
        <f t="shared" ref="Y454" si="1349">Y426</f>
        <v>1</v>
      </c>
      <c r="Z454" s="137"/>
      <c r="AA454" s="137"/>
      <c r="AB454" s="137"/>
      <c r="AC454" s="137"/>
      <c r="AD454" s="138"/>
      <c r="AE454" s="139">
        <f t="shared" ref="AE454" si="1350">AE426</f>
        <v>5000</v>
      </c>
      <c r="AF454" s="139"/>
      <c r="AG454" s="139"/>
      <c r="AH454" s="139"/>
      <c r="AI454" s="139"/>
      <c r="AJ454" s="139"/>
      <c r="AK454" s="173">
        <v>0</v>
      </c>
      <c r="AL454" s="173"/>
      <c r="AM454" s="173"/>
      <c r="AN454" s="173"/>
      <c r="AO454" s="173"/>
      <c r="AP454" s="173"/>
      <c r="AQ454" s="139">
        <f t="shared" ref="AQ454:AQ455" si="1351">AK454*AE454</f>
        <v>0</v>
      </c>
      <c r="AR454" s="139"/>
      <c r="AS454" s="139"/>
      <c r="AT454" s="139"/>
      <c r="AU454" s="139"/>
      <c r="AV454" s="139"/>
      <c r="AW454" s="173">
        <f t="shared" ref="AW454:AW464" si="1352">AW426+AK454</f>
        <v>1</v>
      </c>
      <c r="AX454" s="173"/>
      <c r="AY454" s="173"/>
      <c r="AZ454" s="173"/>
      <c r="BA454" s="173"/>
      <c r="BB454" s="173"/>
      <c r="BC454" s="173">
        <f t="shared" ref="BC454:BC455" si="1353">ROUND(AW454*AE454,0)</f>
        <v>5000</v>
      </c>
      <c r="BD454" s="173"/>
      <c r="BE454" s="173"/>
      <c r="BF454" s="173"/>
      <c r="BG454" s="173"/>
      <c r="BH454" s="174"/>
      <c r="BI454" s="18">
        <f t="shared" si="1345"/>
        <v>5000</v>
      </c>
    </row>
    <row r="455" spans="1:69" s="19" customFormat="1" ht="21.95" customHeight="1" x14ac:dyDescent="0.25">
      <c r="A455" s="127">
        <f t="shared" ref="A455" si="1354">A427</f>
        <v>2</v>
      </c>
      <c r="B455" s="128"/>
      <c r="C455" s="128"/>
      <c r="D455" s="129"/>
      <c r="E455" s="170" t="str">
        <f t="shared" ref="E455" si="1355">E427</f>
        <v>三角錐與連桿(租用)</v>
      </c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2"/>
      <c r="U455" s="133" t="str">
        <f t="shared" ref="U455" si="1356">U427</f>
        <v>M</v>
      </c>
      <c r="V455" s="134"/>
      <c r="W455" s="134"/>
      <c r="X455" s="135"/>
      <c r="Y455" s="147">
        <f t="shared" ref="Y455" si="1357">Y427</f>
        <v>86</v>
      </c>
      <c r="Z455" s="148"/>
      <c r="AA455" s="148"/>
      <c r="AB455" s="148"/>
      <c r="AC455" s="148"/>
      <c r="AD455" s="149"/>
      <c r="AE455" s="139">
        <f t="shared" ref="AE455" si="1358">AE427</f>
        <v>60</v>
      </c>
      <c r="AF455" s="139"/>
      <c r="AG455" s="139"/>
      <c r="AH455" s="139"/>
      <c r="AI455" s="139"/>
      <c r="AJ455" s="139"/>
      <c r="AK455" s="173">
        <v>0</v>
      </c>
      <c r="AL455" s="173"/>
      <c r="AM455" s="173"/>
      <c r="AN455" s="173"/>
      <c r="AO455" s="173"/>
      <c r="AP455" s="173"/>
      <c r="AQ455" s="139">
        <f t="shared" si="1351"/>
        <v>0</v>
      </c>
      <c r="AR455" s="139"/>
      <c r="AS455" s="139"/>
      <c r="AT455" s="139"/>
      <c r="AU455" s="139"/>
      <c r="AV455" s="139"/>
      <c r="AW455" s="173">
        <f t="shared" si="1352"/>
        <v>86</v>
      </c>
      <c r="AX455" s="173"/>
      <c r="AY455" s="173"/>
      <c r="AZ455" s="173"/>
      <c r="BA455" s="173"/>
      <c r="BB455" s="173"/>
      <c r="BC455" s="173">
        <f t="shared" si="1353"/>
        <v>5160</v>
      </c>
      <c r="BD455" s="173"/>
      <c r="BE455" s="173"/>
      <c r="BF455" s="173"/>
      <c r="BG455" s="173"/>
      <c r="BH455" s="174"/>
      <c r="BI455" s="18">
        <f t="shared" si="1345"/>
        <v>5160</v>
      </c>
    </row>
    <row r="456" spans="1:69" s="19" customFormat="1" ht="33" customHeight="1" x14ac:dyDescent="0.25">
      <c r="A456" s="150">
        <f t="shared" ref="A456" si="1359">A428</f>
        <v>3</v>
      </c>
      <c r="B456" s="151"/>
      <c r="C456" s="151"/>
      <c r="D456" s="152"/>
      <c r="E456" s="175" t="str">
        <f t="shared" ref="E456" si="1360">E428</f>
        <v>施工動線開闢及損害復原；測量與放樣</v>
      </c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7"/>
      <c r="U456" s="117" t="str">
        <f t="shared" ref="U456" si="1361">U428</f>
        <v>式</v>
      </c>
      <c r="V456" s="118"/>
      <c r="W456" s="118"/>
      <c r="X456" s="119"/>
      <c r="Y456" s="156">
        <f t="shared" ref="Y456" si="1362">Y428</f>
        <v>1</v>
      </c>
      <c r="Z456" s="157"/>
      <c r="AA456" s="157"/>
      <c r="AB456" s="157"/>
      <c r="AC456" s="157"/>
      <c r="AD456" s="158"/>
      <c r="AE456" s="159">
        <f t="shared" ref="AE456" si="1363">AE428</f>
        <v>4000</v>
      </c>
      <c r="AF456" s="159"/>
      <c r="AG456" s="159"/>
      <c r="AH456" s="159"/>
      <c r="AI456" s="159"/>
      <c r="AJ456" s="159"/>
      <c r="AK456" s="167">
        <v>0</v>
      </c>
      <c r="AL456" s="167"/>
      <c r="AM456" s="167"/>
      <c r="AN456" s="167"/>
      <c r="AO456" s="167"/>
      <c r="AP456" s="167"/>
      <c r="AQ456" s="159">
        <f>AK456*AE456</f>
        <v>0</v>
      </c>
      <c r="AR456" s="159"/>
      <c r="AS456" s="159"/>
      <c r="AT456" s="159"/>
      <c r="AU456" s="159"/>
      <c r="AV456" s="159"/>
      <c r="AW456" s="167">
        <f t="shared" si="1352"/>
        <v>0.5</v>
      </c>
      <c r="AX456" s="167"/>
      <c r="AY456" s="167"/>
      <c r="AZ456" s="167"/>
      <c r="BA456" s="167"/>
      <c r="BB456" s="167"/>
      <c r="BC456" s="167">
        <f>ROUND(AW456*AE456,0)</f>
        <v>2000</v>
      </c>
      <c r="BD456" s="167"/>
      <c r="BE456" s="167"/>
      <c r="BF456" s="167"/>
      <c r="BG456" s="167"/>
      <c r="BH456" s="168"/>
      <c r="BI456" s="18">
        <f t="shared" si="1345"/>
        <v>4000</v>
      </c>
    </row>
    <row r="457" spans="1:69" s="19" customFormat="1" ht="54" customHeight="1" x14ac:dyDescent="0.25">
      <c r="A457" s="127">
        <f t="shared" ref="A457" si="1364">A429</f>
        <v>4</v>
      </c>
      <c r="B457" s="128"/>
      <c r="C457" s="128"/>
      <c r="D457" s="129"/>
      <c r="E457" s="170" t="str">
        <f t="shared" ref="E457" si="1365">E429</f>
        <v>切割打除清運校舍與教室出入口地坪以及司令台階梯平台(含合法清運證明)</v>
      </c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2"/>
      <c r="U457" s="133" t="str">
        <f t="shared" ref="U457" si="1366">U429</f>
        <v>式</v>
      </c>
      <c r="V457" s="134"/>
      <c r="W457" s="134"/>
      <c r="X457" s="135"/>
      <c r="Y457" s="147">
        <f t="shared" ref="Y457" si="1367">Y429</f>
        <v>1</v>
      </c>
      <c r="Z457" s="148"/>
      <c r="AA457" s="148"/>
      <c r="AB457" s="148"/>
      <c r="AC457" s="148"/>
      <c r="AD457" s="149"/>
      <c r="AE457" s="139">
        <f t="shared" ref="AE457" si="1368">AE429</f>
        <v>52817</v>
      </c>
      <c r="AF457" s="139"/>
      <c r="AG457" s="139"/>
      <c r="AH457" s="139"/>
      <c r="AI457" s="139"/>
      <c r="AJ457" s="139"/>
      <c r="AK457" s="173">
        <v>0.2</v>
      </c>
      <c r="AL457" s="173"/>
      <c r="AM457" s="173"/>
      <c r="AN457" s="173"/>
      <c r="AO457" s="173"/>
      <c r="AP457" s="173"/>
      <c r="AQ457" s="139">
        <f t="shared" ref="AQ457:AQ460" si="1369">AK457*AE457</f>
        <v>10563.400000000001</v>
      </c>
      <c r="AR457" s="139"/>
      <c r="AS457" s="139"/>
      <c r="AT457" s="139"/>
      <c r="AU457" s="139"/>
      <c r="AV457" s="139"/>
      <c r="AW457" s="173">
        <f t="shared" si="1352"/>
        <v>0.8</v>
      </c>
      <c r="AX457" s="173"/>
      <c r="AY457" s="173"/>
      <c r="AZ457" s="173"/>
      <c r="BA457" s="173"/>
      <c r="BB457" s="173"/>
      <c r="BC457" s="173">
        <f t="shared" ref="BC457:BC460" si="1370">ROUND(AW457*AE457,0)</f>
        <v>42254</v>
      </c>
      <c r="BD457" s="173"/>
      <c r="BE457" s="173"/>
      <c r="BF457" s="173"/>
      <c r="BG457" s="173"/>
      <c r="BH457" s="174"/>
      <c r="BI457" s="20">
        <f t="shared" si="1345"/>
        <v>52817</v>
      </c>
    </row>
    <row r="458" spans="1:69" ht="20.25" customHeight="1" x14ac:dyDescent="0.25">
      <c r="A458" s="150">
        <f t="shared" ref="A458" si="1371">A430</f>
        <v>5</v>
      </c>
      <c r="B458" s="151"/>
      <c r="C458" s="151"/>
      <c r="D458" s="152"/>
      <c r="E458" s="153" t="str">
        <f t="shared" ref="E458" si="1372">E430</f>
        <v>校舍出入口施做斜坡順平高差</v>
      </c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5"/>
      <c r="U458" s="117" t="str">
        <f t="shared" ref="U458" si="1373">U430</f>
        <v>M2</v>
      </c>
      <c r="V458" s="118"/>
      <c r="W458" s="118"/>
      <c r="X458" s="119"/>
      <c r="Y458" s="160">
        <f t="shared" ref="Y458" si="1374">Y430</f>
        <v>15</v>
      </c>
      <c r="Z458" s="161"/>
      <c r="AA458" s="161"/>
      <c r="AB458" s="161"/>
      <c r="AC458" s="161"/>
      <c r="AD458" s="162"/>
      <c r="AE458" s="169">
        <f t="shared" ref="AE458" si="1375">AE430</f>
        <v>600</v>
      </c>
      <c r="AF458" s="169"/>
      <c r="AG458" s="169"/>
      <c r="AH458" s="169"/>
      <c r="AI458" s="169"/>
      <c r="AJ458" s="169"/>
      <c r="AK458" s="167">
        <v>0</v>
      </c>
      <c r="AL458" s="167"/>
      <c r="AM458" s="167"/>
      <c r="AN458" s="167"/>
      <c r="AO458" s="167"/>
      <c r="AP458" s="167"/>
      <c r="AQ458" s="159">
        <f t="shared" si="1369"/>
        <v>0</v>
      </c>
      <c r="AR458" s="159"/>
      <c r="AS458" s="159"/>
      <c r="AT458" s="159"/>
      <c r="AU458" s="159"/>
      <c r="AV458" s="159"/>
      <c r="AW458" s="167">
        <f t="shared" si="1352"/>
        <v>0</v>
      </c>
      <c r="AX458" s="167"/>
      <c r="AY458" s="167"/>
      <c r="AZ458" s="167"/>
      <c r="BA458" s="167"/>
      <c r="BB458" s="167"/>
      <c r="BC458" s="167">
        <f t="shared" si="1370"/>
        <v>0</v>
      </c>
      <c r="BD458" s="167"/>
      <c r="BE458" s="167"/>
      <c r="BF458" s="167"/>
      <c r="BG458" s="167"/>
      <c r="BH458" s="168"/>
      <c r="BI458" s="3">
        <f t="shared" si="1345"/>
        <v>9000</v>
      </c>
    </row>
    <row r="459" spans="1:69" ht="50.25" customHeight="1" x14ac:dyDescent="0.25">
      <c r="A459" s="150">
        <f t="shared" ref="A459" si="1376">A431</f>
        <v>6</v>
      </c>
      <c r="B459" s="151"/>
      <c r="C459" s="151"/>
      <c r="D459" s="152"/>
      <c r="E459" s="153" t="str">
        <f t="shared" ref="E459" si="1377">E431</f>
        <v>開挖整地，新設無障礙RC坡道，牆面與地坪粉刷整平(連工帶料，責任施工)</v>
      </c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5"/>
      <c r="U459" s="117" t="str">
        <f t="shared" ref="U459" si="1378">U431</f>
        <v>式</v>
      </c>
      <c r="V459" s="118"/>
      <c r="W459" s="118"/>
      <c r="X459" s="119"/>
      <c r="Y459" s="160">
        <f t="shared" ref="Y459" si="1379">Y431</f>
        <v>1</v>
      </c>
      <c r="Z459" s="161"/>
      <c r="AA459" s="161"/>
      <c r="AB459" s="161"/>
      <c r="AC459" s="161"/>
      <c r="AD459" s="162"/>
      <c r="AE459" s="159">
        <f t="shared" ref="AE459" si="1380">AE431</f>
        <v>153000</v>
      </c>
      <c r="AF459" s="159"/>
      <c r="AG459" s="159"/>
      <c r="AH459" s="159"/>
      <c r="AI459" s="159"/>
      <c r="AJ459" s="159"/>
      <c r="AK459" s="167">
        <v>0</v>
      </c>
      <c r="AL459" s="167"/>
      <c r="AM459" s="167"/>
      <c r="AN459" s="167"/>
      <c r="AO459" s="167"/>
      <c r="AP459" s="167"/>
      <c r="AQ459" s="159">
        <f t="shared" si="1369"/>
        <v>0</v>
      </c>
      <c r="AR459" s="159"/>
      <c r="AS459" s="159"/>
      <c r="AT459" s="159"/>
      <c r="AU459" s="159"/>
      <c r="AV459" s="159"/>
      <c r="AW459" s="167">
        <f t="shared" si="1352"/>
        <v>0</v>
      </c>
      <c r="AX459" s="167"/>
      <c r="AY459" s="167"/>
      <c r="AZ459" s="167"/>
      <c r="BA459" s="167"/>
      <c r="BB459" s="167"/>
      <c r="BC459" s="167">
        <f t="shared" si="1370"/>
        <v>0</v>
      </c>
      <c r="BD459" s="167"/>
      <c r="BE459" s="167"/>
      <c r="BF459" s="167"/>
      <c r="BG459" s="167"/>
      <c r="BH459" s="168"/>
      <c r="BI459" s="3">
        <f t="shared" si="1345"/>
        <v>153000</v>
      </c>
    </row>
    <row r="460" spans="1:69" ht="32.450000000000003" customHeight="1" x14ac:dyDescent="0.25">
      <c r="A460" s="150">
        <f t="shared" ref="A460" si="1381">A432</f>
        <v>7</v>
      </c>
      <c r="B460" s="151"/>
      <c r="C460" s="151"/>
      <c r="D460" s="152"/>
      <c r="E460" s="153" t="str">
        <f t="shared" ref="E460" si="1382">E432</f>
        <v>施做抿石子(1~2分AK石，抿石子專用泥)</v>
      </c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5"/>
      <c r="U460" s="117" t="str">
        <f t="shared" ref="U460" si="1383">U432</f>
        <v>M2</v>
      </c>
      <c r="V460" s="118"/>
      <c r="W460" s="118"/>
      <c r="X460" s="119"/>
      <c r="Y460" s="160">
        <f t="shared" ref="Y460" si="1384">Y432</f>
        <v>38</v>
      </c>
      <c r="Z460" s="161"/>
      <c r="AA460" s="161"/>
      <c r="AB460" s="161"/>
      <c r="AC460" s="161"/>
      <c r="AD460" s="162"/>
      <c r="AE460" s="159">
        <f t="shared" ref="AE460" si="1385">AE432</f>
        <v>1460</v>
      </c>
      <c r="AF460" s="159"/>
      <c r="AG460" s="159"/>
      <c r="AH460" s="159"/>
      <c r="AI460" s="159"/>
      <c r="AJ460" s="159"/>
      <c r="AK460" s="167">
        <v>0</v>
      </c>
      <c r="AL460" s="167"/>
      <c r="AM460" s="167"/>
      <c r="AN460" s="167"/>
      <c r="AO460" s="167"/>
      <c r="AP460" s="167"/>
      <c r="AQ460" s="159">
        <f t="shared" si="1369"/>
        <v>0</v>
      </c>
      <c r="AR460" s="159"/>
      <c r="AS460" s="159"/>
      <c r="AT460" s="159"/>
      <c r="AU460" s="159"/>
      <c r="AV460" s="159"/>
      <c r="AW460" s="167">
        <f t="shared" si="1352"/>
        <v>0</v>
      </c>
      <c r="AX460" s="167"/>
      <c r="AY460" s="167"/>
      <c r="AZ460" s="167"/>
      <c r="BA460" s="167"/>
      <c r="BB460" s="167"/>
      <c r="BC460" s="167">
        <f t="shared" si="1370"/>
        <v>0</v>
      </c>
      <c r="BD460" s="167"/>
      <c r="BE460" s="167"/>
      <c r="BF460" s="167"/>
      <c r="BG460" s="167"/>
      <c r="BH460" s="168"/>
      <c r="BI460" s="3">
        <f t="shared" si="1345"/>
        <v>55480</v>
      </c>
    </row>
    <row r="461" spans="1:69" ht="21" customHeight="1" x14ac:dyDescent="0.25">
      <c r="A461" s="150">
        <f t="shared" ref="A461" si="1386">A433</f>
        <v>8</v>
      </c>
      <c r="B461" s="151"/>
      <c r="C461" s="151"/>
      <c r="D461" s="152"/>
      <c r="E461" s="153" t="str">
        <f t="shared" ref="E461" si="1387">E433</f>
        <v>無障礙坡道地坪拉毛</v>
      </c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5"/>
      <c r="U461" s="117" t="str">
        <f t="shared" ref="U461" si="1388">U433</f>
        <v>M2</v>
      </c>
      <c r="V461" s="118"/>
      <c r="W461" s="118"/>
      <c r="X461" s="119"/>
      <c r="Y461" s="160">
        <f t="shared" ref="Y461" si="1389">Y433</f>
        <v>33</v>
      </c>
      <c r="Z461" s="161"/>
      <c r="AA461" s="161"/>
      <c r="AB461" s="161"/>
      <c r="AC461" s="161"/>
      <c r="AD461" s="162"/>
      <c r="AE461" s="159">
        <f t="shared" ref="AE461" si="1390">AE433</f>
        <v>100</v>
      </c>
      <c r="AF461" s="159"/>
      <c r="AG461" s="159"/>
      <c r="AH461" s="159"/>
      <c r="AI461" s="159"/>
      <c r="AJ461" s="159"/>
      <c r="AK461" s="167"/>
      <c r="AL461" s="167"/>
      <c r="AM461" s="167"/>
      <c r="AN461" s="167"/>
      <c r="AO461" s="167"/>
      <c r="AP461" s="167"/>
      <c r="AQ461" s="159"/>
      <c r="AR461" s="159"/>
      <c r="AS461" s="159"/>
      <c r="AT461" s="159"/>
      <c r="AU461" s="159"/>
      <c r="AV461" s="159"/>
      <c r="AW461" s="167">
        <f t="shared" si="1352"/>
        <v>0</v>
      </c>
      <c r="AX461" s="167"/>
      <c r="AY461" s="167"/>
      <c r="AZ461" s="167"/>
      <c r="BA461" s="167"/>
      <c r="BB461" s="167"/>
      <c r="BC461" s="167"/>
      <c r="BD461" s="167"/>
      <c r="BE461" s="167"/>
      <c r="BF461" s="167"/>
      <c r="BG461" s="167"/>
      <c r="BH461" s="168"/>
      <c r="BI461" s="3">
        <f t="shared" si="1345"/>
        <v>3300</v>
      </c>
    </row>
    <row r="462" spans="1:69" s="19" customFormat="1" ht="34.5" customHeight="1" x14ac:dyDescent="0.25">
      <c r="A462" s="127">
        <f t="shared" ref="A462" si="1391">A434</f>
        <v>9</v>
      </c>
      <c r="B462" s="128"/>
      <c r="C462" s="128"/>
      <c r="D462" s="129"/>
      <c r="E462" s="153" t="str">
        <f t="shared" ref="E462" si="1392">E434</f>
        <v>司令台既有樓梯面清潔，刷止滑漆(一底二度)</v>
      </c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5"/>
      <c r="U462" s="133" t="str">
        <f t="shared" ref="U462" si="1393">U434</f>
        <v>式</v>
      </c>
      <c r="V462" s="134"/>
      <c r="W462" s="134"/>
      <c r="X462" s="135"/>
      <c r="Y462" s="160">
        <f t="shared" ref="Y462" si="1394">Y434</f>
        <v>1</v>
      </c>
      <c r="Z462" s="161"/>
      <c r="AA462" s="161"/>
      <c r="AB462" s="161"/>
      <c r="AC462" s="161"/>
      <c r="AD462" s="162"/>
      <c r="AE462" s="159">
        <f t="shared" ref="AE462" si="1395">AE434</f>
        <v>3000</v>
      </c>
      <c r="AF462" s="159"/>
      <c r="AG462" s="159"/>
      <c r="AH462" s="159"/>
      <c r="AI462" s="159"/>
      <c r="AJ462" s="159"/>
      <c r="AK462" s="167">
        <v>0</v>
      </c>
      <c r="AL462" s="167"/>
      <c r="AM462" s="167"/>
      <c r="AN462" s="167"/>
      <c r="AO462" s="167"/>
      <c r="AP462" s="167"/>
      <c r="AQ462" s="159">
        <f t="shared" ref="AQ462:AQ469" si="1396">AK462*AE462</f>
        <v>0</v>
      </c>
      <c r="AR462" s="159"/>
      <c r="AS462" s="159"/>
      <c r="AT462" s="159"/>
      <c r="AU462" s="159"/>
      <c r="AV462" s="159"/>
      <c r="AW462" s="167">
        <f t="shared" si="1352"/>
        <v>0</v>
      </c>
      <c r="AX462" s="167"/>
      <c r="AY462" s="167"/>
      <c r="AZ462" s="167"/>
      <c r="BA462" s="167"/>
      <c r="BB462" s="167"/>
      <c r="BC462" s="167">
        <f t="shared" ref="BC462:BC464" si="1397">ROUND(AW462*AE462,0)</f>
        <v>0</v>
      </c>
      <c r="BD462" s="167"/>
      <c r="BE462" s="167"/>
      <c r="BF462" s="167"/>
      <c r="BG462" s="167"/>
      <c r="BH462" s="168"/>
      <c r="BI462" s="18">
        <f t="shared" si="1345"/>
        <v>3000</v>
      </c>
    </row>
    <row r="463" spans="1:69" ht="35.25" customHeight="1" x14ac:dyDescent="0.25">
      <c r="A463" s="150">
        <f t="shared" ref="A463" si="1398">A435</f>
        <v>10</v>
      </c>
      <c r="B463" s="151"/>
      <c r="C463" s="151"/>
      <c r="D463" s="152"/>
      <c r="E463" s="153" t="str">
        <f t="shared" ref="E463" si="1399">E435</f>
        <v>校舍、教室及司令台坡道出入口配置無線押扣與插電式緊急求救鈴</v>
      </c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5"/>
      <c r="U463" s="117" t="str">
        <f t="shared" ref="U463" si="1400">U435</f>
        <v>組</v>
      </c>
      <c r="V463" s="118"/>
      <c r="W463" s="118"/>
      <c r="X463" s="119"/>
      <c r="Y463" s="160">
        <f t="shared" ref="Y463" si="1401">Y435</f>
        <v>8</v>
      </c>
      <c r="Z463" s="161"/>
      <c r="AA463" s="161"/>
      <c r="AB463" s="161"/>
      <c r="AC463" s="161"/>
      <c r="AD463" s="162"/>
      <c r="AE463" s="159">
        <f t="shared" ref="AE463" si="1402">AE435</f>
        <v>700</v>
      </c>
      <c r="AF463" s="159"/>
      <c r="AG463" s="159"/>
      <c r="AH463" s="159"/>
      <c r="AI463" s="159"/>
      <c r="AJ463" s="159"/>
      <c r="AK463" s="167">
        <v>0</v>
      </c>
      <c r="AL463" s="167"/>
      <c r="AM463" s="167"/>
      <c r="AN463" s="167"/>
      <c r="AO463" s="167"/>
      <c r="AP463" s="167"/>
      <c r="AQ463" s="159">
        <f t="shared" si="1396"/>
        <v>0</v>
      </c>
      <c r="AR463" s="159"/>
      <c r="AS463" s="159"/>
      <c r="AT463" s="159"/>
      <c r="AU463" s="159"/>
      <c r="AV463" s="159"/>
      <c r="AW463" s="167">
        <f t="shared" si="1352"/>
        <v>0</v>
      </c>
      <c r="AX463" s="167"/>
      <c r="AY463" s="167"/>
      <c r="AZ463" s="167"/>
      <c r="BA463" s="167"/>
      <c r="BB463" s="167"/>
      <c r="BC463" s="167">
        <f t="shared" si="1397"/>
        <v>0</v>
      </c>
      <c r="BD463" s="167"/>
      <c r="BE463" s="167"/>
      <c r="BF463" s="167"/>
      <c r="BG463" s="167"/>
      <c r="BH463" s="168"/>
      <c r="BI463" s="3">
        <f t="shared" si="1345"/>
        <v>5600</v>
      </c>
    </row>
    <row r="464" spans="1:69" ht="36.75" customHeight="1" x14ac:dyDescent="0.25">
      <c r="A464" s="150">
        <f t="shared" ref="A464" si="1403">A436</f>
        <v>11</v>
      </c>
      <c r="B464" s="151"/>
      <c r="C464" s="151"/>
      <c r="D464" s="152"/>
      <c r="E464" s="153" t="str">
        <f t="shared" ref="E464" si="1404">E436</f>
        <v>司令台周圍及無障礙坡道安裝不鏽鋼扶手(連工帶料)</v>
      </c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5"/>
      <c r="U464" s="117" t="str">
        <f t="shared" ref="U464" si="1405">U436</f>
        <v>M</v>
      </c>
      <c r="V464" s="118"/>
      <c r="W464" s="118"/>
      <c r="X464" s="119"/>
      <c r="Y464" s="156">
        <f t="shared" ref="Y464" si="1406">Y436</f>
        <v>48</v>
      </c>
      <c r="Z464" s="157"/>
      <c r="AA464" s="157"/>
      <c r="AB464" s="157"/>
      <c r="AC464" s="157"/>
      <c r="AD464" s="158"/>
      <c r="AE464" s="159">
        <f t="shared" ref="AE464" si="1407">AE436</f>
        <v>3000</v>
      </c>
      <c r="AF464" s="159"/>
      <c r="AG464" s="159"/>
      <c r="AH464" s="159"/>
      <c r="AI464" s="159"/>
      <c r="AJ464" s="159"/>
      <c r="AK464" s="160">
        <v>0</v>
      </c>
      <c r="AL464" s="161"/>
      <c r="AM464" s="161"/>
      <c r="AN464" s="161"/>
      <c r="AO464" s="161"/>
      <c r="AP464" s="162"/>
      <c r="AQ464" s="163">
        <f t="shared" si="1396"/>
        <v>0</v>
      </c>
      <c r="AR464" s="164"/>
      <c r="AS464" s="164"/>
      <c r="AT464" s="164"/>
      <c r="AU464" s="164"/>
      <c r="AV464" s="165"/>
      <c r="AW464" s="160">
        <f t="shared" si="1352"/>
        <v>0</v>
      </c>
      <c r="AX464" s="161"/>
      <c r="AY464" s="161"/>
      <c r="AZ464" s="161"/>
      <c r="BA464" s="161"/>
      <c r="BB464" s="162"/>
      <c r="BC464" s="160">
        <f t="shared" si="1397"/>
        <v>0</v>
      </c>
      <c r="BD464" s="161"/>
      <c r="BE464" s="161"/>
      <c r="BF464" s="161"/>
      <c r="BG464" s="161"/>
      <c r="BH464" s="166"/>
      <c r="BI464" s="3">
        <f t="shared" si="1345"/>
        <v>144000</v>
      </c>
    </row>
    <row r="465" spans="1:69" s="19" customFormat="1" ht="35.25" customHeight="1" x14ac:dyDescent="0.25">
      <c r="A465" s="127" t="str">
        <f t="shared" ref="A465" si="1408">A437</f>
        <v>貳</v>
      </c>
      <c r="B465" s="128"/>
      <c r="C465" s="128"/>
      <c r="D465" s="129"/>
      <c r="E465" s="130" t="str">
        <f t="shared" ref="E465" si="1409">E437</f>
        <v>職業安全衛生管理費與施工環境保護與清潔（壹*2%）</v>
      </c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2"/>
      <c r="U465" s="133" t="str">
        <f t="shared" ref="U465" si="1410">U437</f>
        <v>式</v>
      </c>
      <c r="V465" s="134"/>
      <c r="W465" s="134"/>
      <c r="X465" s="135"/>
      <c r="Y465" s="136">
        <f t="shared" ref="Y465" si="1411">Y437</f>
        <v>1</v>
      </c>
      <c r="Z465" s="137"/>
      <c r="AA465" s="137"/>
      <c r="AB465" s="137"/>
      <c r="AC465" s="137"/>
      <c r="AD465" s="138"/>
      <c r="AE465" s="139">
        <f t="shared" ref="AE465" si="1412">AE437</f>
        <v>8807</v>
      </c>
      <c r="AF465" s="139"/>
      <c r="AG465" s="139"/>
      <c r="AH465" s="139"/>
      <c r="AI465" s="139"/>
      <c r="AJ465" s="139"/>
      <c r="AK465" s="140">
        <v>1.7000000000000001E-2</v>
      </c>
      <c r="AL465" s="141"/>
      <c r="AM465" s="141"/>
      <c r="AN465" s="141"/>
      <c r="AO465" s="141"/>
      <c r="AP465" s="142"/>
      <c r="AQ465" s="143">
        <f t="shared" si="1396"/>
        <v>149.71900000000002</v>
      </c>
      <c r="AR465" s="144"/>
      <c r="AS465" s="144"/>
      <c r="AT465" s="144"/>
      <c r="AU465" s="144"/>
      <c r="AV465" s="145"/>
      <c r="AW465" s="140">
        <f>AW437+AK465</f>
        <v>0.28900000000000015</v>
      </c>
      <c r="AX465" s="141"/>
      <c r="AY465" s="141"/>
      <c r="AZ465" s="141"/>
      <c r="BA465" s="141"/>
      <c r="BB465" s="142"/>
      <c r="BC465" s="136">
        <f>ROUND(AW465*AE465,0)</f>
        <v>2545</v>
      </c>
      <c r="BD465" s="137"/>
      <c r="BE465" s="137"/>
      <c r="BF465" s="137"/>
      <c r="BG465" s="137"/>
      <c r="BH465" s="146"/>
      <c r="BI465" s="18">
        <f t="shared" si="1345"/>
        <v>8807</v>
      </c>
    </row>
    <row r="466" spans="1:69" s="19" customFormat="1" ht="21.95" customHeight="1" x14ac:dyDescent="0.25">
      <c r="A466" s="127" t="str">
        <f t="shared" ref="A466" si="1413">A438</f>
        <v>參</v>
      </c>
      <c r="B466" s="128"/>
      <c r="C466" s="128"/>
      <c r="D466" s="129"/>
      <c r="E466" s="130" t="str">
        <f t="shared" ref="E466" si="1414">E438</f>
        <v>公共工程品質管制作業費（壹*1%）</v>
      </c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2"/>
      <c r="U466" s="133" t="str">
        <f t="shared" ref="U466" si="1415">U438</f>
        <v>式</v>
      </c>
      <c r="V466" s="134"/>
      <c r="W466" s="134"/>
      <c r="X466" s="135"/>
      <c r="Y466" s="147">
        <f t="shared" ref="Y466" si="1416">Y438</f>
        <v>1</v>
      </c>
      <c r="Z466" s="148"/>
      <c r="AA466" s="148"/>
      <c r="AB466" s="148"/>
      <c r="AC466" s="148"/>
      <c r="AD466" s="149"/>
      <c r="AE466" s="139">
        <f t="shared" ref="AE466" si="1417">AE438</f>
        <v>4404</v>
      </c>
      <c r="AF466" s="139"/>
      <c r="AG466" s="139"/>
      <c r="AH466" s="139"/>
      <c r="AI466" s="139"/>
      <c r="AJ466" s="139"/>
      <c r="AK466" s="140">
        <v>1.7000000000000001E-2</v>
      </c>
      <c r="AL466" s="141"/>
      <c r="AM466" s="141"/>
      <c r="AN466" s="141"/>
      <c r="AO466" s="141"/>
      <c r="AP466" s="142"/>
      <c r="AQ466" s="143">
        <f t="shared" si="1396"/>
        <v>74.868000000000009</v>
      </c>
      <c r="AR466" s="144"/>
      <c r="AS466" s="144"/>
      <c r="AT466" s="144"/>
      <c r="AU466" s="144"/>
      <c r="AV466" s="145"/>
      <c r="AW466" s="140">
        <f t="shared" ref="AW466:AW469" si="1418">AW438+AK466</f>
        <v>0.28900000000000015</v>
      </c>
      <c r="AX466" s="141"/>
      <c r="AY466" s="141"/>
      <c r="AZ466" s="141"/>
      <c r="BA466" s="141"/>
      <c r="BB466" s="142"/>
      <c r="BC466" s="136">
        <f t="shared" ref="BC466:BC469" si="1419">ROUND(AW466*AE466,0)</f>
        <v>1273</v>
      </c>
      <c r="BD466" s="137"/>
      <c r="BE466" s="137"/>
      <c r="BF466" s="137"/>
      <c r="BG466" s="137"/>
      <c r="BH466" s="146"/>
      <c r="BI466" s="18">
        <f t="shared" si="1345"/>
        <v>4404</v>
      </c>
    </row>
    <row r="467" spans="1:69" s="19" customFormat="1" ht="21.95" customHeight="1" x14ac:dyDescent="0.25">
      <c r="A467" s="127" t="str">
        <f t="shared" ref="A467" si="1420">A439</f>
        <v>肆</v>
      </c>
      <c r="B467" s="128"/>
      <c r="C467" s="128"/>
      <c r="D467" s="129"/>
      <c r="E467" s="130" t="str">
        <f t="shared" ref="E467" si="1421">E439</f>
        <v>包商管理及利潤費（約壹*7%）</v>
      </c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2"/>
      <c r="U467" s="133" t="str">
        <f t="shared" ref="U467" si="1422">U439</f>
        <v>式</v>
      </c>
      <c r="V467" s="134"/>
      <c r="W467" s="134"/>
      <c r="X467" s="135"/>
      <c r="Y467" s="147">
        <f t="shared" ref="Y467" si="1423">Y439</f>
        <v>1</v>
      </c>
      <c r="Z467" s="148"/>
      <c r="AA467" s="148"/>
      <c r="AB467" s="148"/>
      <c r="AC467" s="148"/>
      <c r="AD467" s="149"/>
      <c r="AE467" s="139">
        <f t="shared" ref="AE467" si="1424">AE439</f>
        <v>30825</v>
      </c>
      <c r="AF467" s="139"/>
      <c r="AG467" s="139"/>
      <c r="AH467" s="139"/>
      <c r="AI467" s="139"/>
      <c r="AJ467" s="139"/>
      <c r="AK467" s="140">
        <v>1.7000000000000001E-2</v>
      </c>
      <c r="AL467" s="141"/>
      <c r="AM467" s="141"/>
      <c r="AN467" s="141"/>
      <c r="AO467" s="141"/>
      <c r="AP467" s="142"/>
      <c r="AQ467" s="143">
        <f t="shared" si="1396"/>
        <v>524.02500000000009</v>
      </c>
      <c r="AR467" s="144"/>
      <c r="AS467" s="144"/>
      <c r="AT467" s="144"/>
      <c r="AU467" s="144"/>
      <c r="AV467" s="145"/>
      <c r="AW467" s="140">
        <f t="shared" si="1418"/>
        <v>0.28900000000000015</v>
      </c>
      <c r="AX467" s="141"/>
      <c r="AY467" s="141"/>
      <c r="AZ467" s="141"/>
      <c r="BA467" s="141"/>
      <c r="BB467" s="142"/>
      <c r="BC467" s="136">
        <f t="shared" si="1419"/>
        <v>8908</v>
      </c>
      <c r="BD467" s="137"/>
      <c r="BE467" s="137"/>
      <c r="BF467" s="137"/>
      <c r="BG467" s="137"/>
      <c r="BH467" s="146"/>
      <c r="BI467" s="18">
        <f t="shared" si="1345"/>
        <v>30825</v>
      </c>
    </row>
    <row r="468" spans="1:69" s="19" customFormat="1" ht="21.95" customHeight="1" x14ac:dyDescent="0.25">
      <c r="A468" s="127" t="str">
        <f t="shared" ref="A468" si="1425">A440</f>
        <v>伍</v>
      </c>
      <c r="B468" s="128"/>
      <c r="C468" s="128"/>
      <c r="D468" s="129"/>
      <c r="E468" s="130" t="str">
        <f t="shared" ref="E468" si="1426">E440</f>
        <v>營造綜合保險費</v>
      </c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2"/>
      <c r="U468" s="133" t="str">
        <f t="shared" ref="U468" si="1427">U440</f>
        <v>式</v>
      </c>
      <c r="V468" s="134"/>
      <c r="W468" s="134"/>
      <c r="X468" s="135"/>
      <c r="Y468" s="136">
        <f t="shared" ref="Y468" si="1428">Y440</f>
        <v>1</v>
      </c>
      <c r="Z468" s="137"/>
      <c r="AA468" s="137"/>
      <c r="AB468" s="137"/>
      <c r="AC468" s="137"/>
      <c r="AD468" s="138"/>
      <c r="AE468" s="139">
        <f t="shared" ref="AE468" si="1429">AE440</f>
        <v>1321</v>
      </c>
      <c r="AF468" s="139"/>
      <c r="AG468" s="139"/>
      <c r="AH468" s="139"/>
      <c r="AI468" s="139"/>
      <c r="AJ468" s="139"/>
      <c r="AK468" s="136">
        <v>0</v>
      </c>
      <c r="AL468" s="137"/>
      <c r="AM468" s="137"/>
      <c r="AN468" s="137"/>
      <c r="AO468" s="137"/>
      <c r="AP468" s="138"/>
      <c r="AQ468" s="143">
        <f t="shared" si="1396"/>
        <v>0</v>
      </c>
      <c r="AR468" s="144"/>
      <c r="AS468" s="144"/>
      <c r="AT468" s="144"/>
      <c r="AU468" s="144"/>
      <c r="AV468" s="145"/>
      <c r="AW468" s="136">
        <f t="shared" si="1418"/>
        <v>1</v>
      </c>
      <c r="AX468" s="137"/>
      <c r="AY468" s="137"/>
      <c r="AZ468" s="137"/>
      <c r="BA468" s="137"/>
      <c r="BB468" s="138"/>
      <c r="BC468" s="136">
        <f t="shared" si="1419"/>
        <v>1321</v>
      </c>
      <c r="BD468" s="137"/>
      <c r="BE468" s="137"/>
      <c r="BF468" s="137"/>
      <c r="BG468" s="137"/>
      <c r="BH468" s="146"/>
      <c r="BI468" s="18">
        <f t="shared" si="1345"/>
        <v>1321</v>
      </c>
    </row>
    <row r="469" spans="1:69" s="19" customFormat="1" ht="21.95" customHeight="1" x14ac:dyDescent="0.25">
      <c r="A469" s="127" t="str">
        <f t="shared" ref="A469" si="1430">A441</f>
        <v>陸</v>
      </c>
      <c r="B469" s="128"/>
      <c r="C469" s="128"/>
      <c r="D469" s="129"/>
      <c r="E469" s="130" t="str">
        <f t="shared" ref="E469" si="1431">E441</f>
        <v>營業稅（(壹~伍)*5％）</v>
      </c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2"/>
      <c r="U469" s="133" t="str">
        <f t="shared" ref="U469" si="1432">U441</f>
        <v>式</v>
      </c>
      <c r="V469" s="134"/>
      <c r="W469" s="134"/>
      <c r="X469" s="135"/>
      <c r="Y469" s="136">
        <f t="shared" ref="Y469" si="1433">Y441</f>
        <v>1</v>
      </c>
      <c r="Z469" s="137"/>
      <c r="AA469" s="137"/>
      <c r="AB469" s="137"/>
      <c r="AC469" s="137"/>
      <c r="AD469" s="138"/>
      <c r="AE469" s="139">
        <f t="shared" ref="AE469" si="1434">AE441</f>
        <v>24286</v>
      </c>
      <c r="AF469" s="139"/>
      <c r="AG469" s="139"/>
      <c r="AH469" s="139"/>
      <c r="AI469" s="139"/>
      <c r="AJ469" s="139"/>
      <c r="AK469" s="140">
        <v>1.7000000000000001E-2</v>
      </c>
      <c r="AL469" s="141"/>
      <c r="AM469" s="141"/>
      <c r="AN469" s="141"/>
      <c r="AO469" s="141"/>
      <c r="AP469" s="142"/>
      <c r="AQ469" s="143">
        <f t="shared" si="1396"/>
        <v>412.86200000000002</v>
      </c>
      <c r="AR469" s="144"/>
      <c r="AS469" s="144"/>
      <c r="AT469" s="144"/>
      <c r="AU469" s="144"/>
      <c r="AV469" s="145"/>
      <c r="AW469" s="140">
        <f t="shared" si="1418"/>
        <v>0.28900000000000015</v>
      </c>
      <c r="AX469" s="141"/>
      <c r="AY469" s="141"/>
      <c r="AZ469" s="141"/>
      <c r="BA469" s="141"/>
      <c r="BB469" s="142"/>
      <c r="BC469" s="136">
        <f t="shared" si="1419"/>
        <v>7019</v>
      </c>
      <c r="BD469" s="137"/>
      <c r="BE469" s="137"/>
      <c r="BF469" s="137"/>
      <c r="BG469" s="137"/>
      <c r="BH469" s="146"/>
      <c r="BI469" s="18">
        <f t="shared" si="1345"/>
        <v>24286</v>
      </c>
    </row>
    <row r="470" spans="1:69" ht="21.95" customHeight="1" x14ac:dyDescent="0.25">
      <c r="A470" s="111"/>
      <c r="B470" s="112"/>
      <c r="C470" s="112"/>
      <c r="D470" s="113"/>
      <c r="E470" s="114" t="s">
        <v>75</v>
      </c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6"/>
      <c r="U470" s="117"/>
      <c r="V470" s="118"/>
      <c r="W470" s="118"/>
      <c r="X470" s="119"/>
      <c r="Y470" s="120"/>
      <c r="Z470" s="121"/>
      <c r="AA470" s="121"/>
      <c r="AB470" s="121"/>
      <c r="AC470" s="121"/>
      <c r="AD470" s="122"/>
      <c r="AE470" s="123"/>
      <c r="AF470" s="124"/>
      <c r="AG470" s="124"/>
      <c r="AH470" s="124"/>
      <c r="AI470" s="124"/>
      <c r="AJ470" s="125"/>
      <c r="AK470" s="120"/>
      <c r="AL470" s="121"/>
      <c r="AM470" s="121"/>
      <c r="AN470" s="121"/>
      <c r="AO470" s="121"/>
      <c r="AP470" s="122"/>
      <c r="AQ470" s="123">
        <f>SUM(AQ456:AQ469)</f>
        <v>11724.874</v>
      </c>
      <c r="AR470" s="124"/>
      <c r="AS470" s="124"/>
      <c r="AT470" s="124"/>
      <c r="AU470" s="124"/>
      <c r="AV470" s="125"/>
      <c r="AW470" s="120"/>
      <c r="AX470" s="121"/>
      <c r="AY470" s="121"/>
      <c r="AZ470" s="121"/>
      <c r="BA470" s="121"/>
      <c r="BB470" s="122"/>
      <c r="BC470" s="120">
        <f>SUM(BC456:BC469)</f>
        <v>65320</v>
      </c>
      <c r="BD470" s="121"/>
      <c r="BE470" s="121"/>
      <c r="BF470" s="121"/>
      <c r="BG470" s="121"/>
      <c r="BH470" s="126"/>
      <c r="BI470" s="17">
        <f>SUM(BI454:BI469)</f>
        <v>510000</v>
      </c>
    </row>
    <row r="471" spans="1:69" ht="21.95" customHeight="1" x14ac:dyDescent="0.25">
      <c r="A471" s="101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  <c r="AD471" s="102"/>
      <c r="AE471" s="102"/>
      <c r="AF471" s="102"/>
      <c r="AG471" s="102"/>
      <c r="AH471" s="102"/>
      <c r="AI471" s="102"/>
      <c r="AJ471" s="103"/>
      <c r="AK471" s="104"/>
      <c r="AL471" s="105"/>
      <c r="AM471" s="105"/>
      <c r="AN471" s="105"/>
      <c r="AO471" s="105"/>
      <c r="AP471" s="106"/>
      <c r="AQ471" s="107"/>
      <c r="AR471" s="108"/>
      <c r="AS471" s="108"/>
      <c r="AT471" s="108"/>
      <c r="AU471" s="108"/>
      <c r="AV471" s="109"/>
      <c r="AW471" s="104"/>
      <c r="AX471" s="105"/>
      <c r="AY471" s="105"/>
      <c r="AZ471" s="105"/>
      <c r="BA471" s="105"/>
      <c r="BB471" s="106"/>
      <c r="BC471" s="104"/>
      <c r="BD471" s="105"/>
      <c r="BE471" s="105"/>
      <c r="BF471" s="105"/>
      <c r="BG471" s="105"/>
      <c r="BH471" s="110"/>
      <c r="BI471" s="15">
        <f>Y471*AE471</f>
        <v>0</v>
      </c>
    </row>
    <row r="472" spans="1:69" ht="21.95" customHeight="1" x14ac:dyDescent="0.25">
      <c r="A472" s="101" t="s">
        <v>11</v>
      </c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  <c r="AD472" s="102"/>
      <c r="AE472" s="102"/>
      <c r="AF472" s="102"/>
      <c r="AG472" s="102"/>
      <c r="AH472" s="102"/>
      <c r="AI472" s="102"/>
      <c r="AJ472" s="103"/>
      <c r="AK472" s="104"/>
      <c r="AL472" s="105"/>
      <c r="AM472" s="105"/>
      <c r="AN472" s="105"/>
      <c r="AO472" s="105"/>
      <c r="AP472" s="106"/>
      <c r="AQ472" s="107">
        <f>BC470/BI470</f>
        <v>0.12807843137254901</v>
      </c>
      <c r="AR472" s="108"/>
      <c r="AS472" s="108"/>
      <c r="AT472" s="108"/>
      <c r="AU472" s="108"/>
      <c r="AV472" s="109"/>
      <c r="AW472" s="104"/>
      <c r="AX472" s="105"/>
      <c r="AY472" s="105"/>
      <c r="AZ472" s="105"/>
      <c r="BA472" s="105"/>
      <c r="BB472" s="106"/>
      <c r="BC472" s="104"/>
      <c r="BD472" s="105"/>
      <c r="BE472" s="105"/>
      <c r="BF472" s="105"/>
      <c r="BG472" s="105"/>
      <c r="BH472" s="110"/>
      <c r="BI472" s="15">
        <f>AQ472</f>
        <v>0.12807843137254901</v>
      </c>
    </row>
    <row r="473" spans="1:69" ht="18.75" customHeight="1" x14ac:dyDescent="0.25">
      <c r="A473" s="90" t="s">
        <v>15</v>
      </c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  <c r="AD473" s="92"/>
      <c r="AE473" s="93" t="s">
        <v>14</v>
      </c>
      <c r="AF473" s="91"/>
      <c r="AG473" s="91"/>
      <c r="AH473" s="91"/>
      <c r="AI473" s="91"/>
      <c r="AJ473" s="91"/>
      <c r="AK473" s="91"/>
      <c r="AL473" s="91"/>
      <c r="AM473" s="91"/>
      <c r="AN473" s="91"/>
      <c r="AO473" s="91"/>
      <c r="AP473" s="91"/>
      <c r="AQ473" s="91"/>
      <c r="AR473" s="91"/>
      <c r="AS473" s="91"/>
      <c r="AT473" s="91"/>
      <c r="AU473" s="91"/>
      <c r="AV473" s="91"/>
      <c r="AW473" s="91"/>
      <c r="AX473" s="91"/>
      <c r="AY473" s="91"/>
      <c r="AZ473" s="91"/>
      <c r="BA473" s="91"/>
      <c r="BB473" s="91"/>
      <c r="BC473" s="91"/>
      <c r="BD473" s="91"/>
      <c r="BE473" s="91"/>
      <c r="BF473" s="91"/>
      <c r="BG473" s="91"/>
      <c r="BH473" s="94"/>
    </row>
    <row r="474" spans="1:69" x14ac:dyDescent="0.25">
      <c r="A474" s="95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  <c r="AC474" s="96"/>
      <c r="AD474" s="96"/>
      <c r="AE474" s="96"/>
      <c r="AF474" s="96"/>
      <c r="AG474" s="96"/>
      <c r="AH474" s="96"/>
      <c r="AI474" s="96"/>
      <c r="AJ474" s="96"/>
      <c r="AK474" s="96"/>
      <c r="AL474" s="96"/>
      <c r="AM474" s="96"/>
      <c r="AN474" s="96"/>
      <c r="AO474" s="96"/>
      <c r="AP474" s="96"/>
      <c r="AQ474" s="96"/>
      <c r="AR474" s="96"/>
      <c r="AS474" s="96"/>
      <c r="AT474" s="96"/>
      <c r="AU474" s="96"/>
      <c r="AV474" s="96"/>
      <c r="AW474" s="96"/>
      <c r="AX474" s="96"/>
      <c r="AY474" s="96"/>
      <c r="AZ474" s="96"/>
      <c r="BA474" s="96"/>
      <c r="BB474" s="96"/>
      <c r="BC474" s="96"/>
      <c r="BD474" s="96"/>
      <c r="BE474" s="96"/>
      <c r="BF474" s="96"/>
      <c r="BG474" s="96"/>
      <c r="BH474" s="99"/>
    </row>
    <row r="475" spans="1:69" x14ac:dyDescent="0.25">
      <c r="A475" s="95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  <c r="AC475" s="96"/>
      <c r="AD475" s="96"/>
      <c r="AE475" s="96"/>
      <c r="AF475" s="96"/>
      <c r="AG475" s="96"/>
      <c r="AH475" s="96"/>
      <c r="AI475" s="96"/>
      <c r="AJ475" s="96"/>
      <c r="AK475" s="96"/>
      <c r="AL475" s="96"/>
      <c r="AM475" s="96"/>
      <c r="AN475" s="96"/>
      <c r="AO475" s="96"/>
      <c r="AP475" s="96"/>
      <c r="AQ475" s="96"/>
      <c r="AR475" s="96"/>
      <c r="AS475" s="96"/>
      <c r="AT475" s="96"/>
      <c r="AU475" s="96"/>
      <c r="AV475" s="96"/>
      <c r="AW475" s="96"/>
      <c r="AX475" s="96"/>
      <c r="AY475" s="96"/>
      <c r="AZ475" s="96"/>
      <c r="BA475" s="96"/>
      <c r="BB475" s="96"/>
      <c r="BC475" s="96"/>
      <c r="BD475" s="96"/>
      <c r="BE475" s="96"/>
      <c r="BF475" s="96"/>
      <c r="BG475" s="96"/>
      <c r="BH475" s="99"/>
    </row>
    <row r="476" spans="1:69" ht="17.25" thickBot="1" x14ac:dyDescent="0.3">
      <c r="A476" s="97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8"/>
      <c r="AB476" s="98"/>
      <c r="AC476" s="98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  <c r="AO476" s="98"/>
      <c r="AP476" s="98"/>
      <c r="AQ476" s="98"/>
      <c r="AR476" s="98"/>
      <c r="AS476" s="98"/>
      <c r="AT476" s="98"/>
      <c r="AU476" s="98"/>
      <c r="AV476" s="98"/>
      <c r="AW476" s="98"/>
      <c r="AX476" s="98"/>
      <c r="AY476" s="98"/>
      <c r="AZ476" s="98"/>
      <c r="BA476" s="98"/>
      <c r="BB476" s="98"/>
      <c r="BC476" s="98"/>
      <c r="BD476" s="98"/>
      <c r="BE476" s="98"/>
      <c r="BF476" s="98"/>
      <c r="BG476" s="98"/>
      <c r="BH476" s="100"/>
    </row>
    <row r="477" spans="1:69" ht="27.75" x14ac:dyDescent="0.25">
      <c r="A477" s="182" t="s">
        <v>81</v>
      </c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  <c r="X477" s="182"/>
      <c r="Y477" s="182"/>
      <c r="Z477" s="182"/>
      <c r="AA477" s="182"/>
      <c r="AB477" s="182"/>
      <c r="AC477" s="182"/>
      <c r="AD477" s="182"/>
      <c r="AE477" s="182"/>
      <c r="AF477" s="182"/>
      <c r="AG477" s="182"/>
      <c r="AH477" s="182"/>
      <c r="AI477" s="182"/>
      <c r="AJ477" s="182"/>
      <c r="AK477" s="182"/>
      <c r="AL477" s="182"/>
      <c r="AM477" s="182"/>
      <c r="AN477" s="182"/>
      <c r="AO477" s="182"/>
      <c r="AP477" s="182"/>
      <c r="AQ477" s="182"/>
      <c r="AR477" s="182"/>
      <c r="AS477" s="182"/>
      <c r="AT477" s="182"/>
      <c r="AU477" s="182"/>
      <c r="AV477" s="182"/>
      <c r="AW477" s="182"/>
      <c r="AX477" s="182"/>
      <c r="AY477" s="182"/>
      <c r="AZ477" s="182"/>
      <c r="BA477" s="182"/>
      <c r="BB477" s="182"/>
      <c r="BC477" s="182"/>
      <c r="BD477" s="182"/>
      <c r="BE477" s="182"/>
      <c r="BF477" s="182"/>
      <c r="BG477" s="182"/>
      <c r="BH477" s="182"/>
    </row>
    <row r="478" spans="1:69" ht="27.75" x14ac:dyDescent="0.25">
      <c r="A478" s="183" t="s">
        <v>12</v>
      </c>
      <c r="B478" s="183"/>
      <c r="C478" s="183"/>
      <c r="D478" s="183"/>
      <c r="E478" s="183"/>
      <c r="F478" s="183"/>
      <c r="G478" s="183"/>
      <c r="H478" s="183"/>
      <c r="I478" s="183"/>
      <c r="J478" s="184" t="s">
        <v>85</v>
      </c>
      <c r="K478" s="185"/>
      <c r="L478" s="185"/>
      <c r="M478" s="185"/>
      <c r="N478" s="185"/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  <c r="Z478" s="185"/>
      <c r="AA478" s="185"/>
      <c r="AB478" s="185"/>
      <c r="AC478" s="185"/>
      <c r="AD478" s="185"/>
      <c r="AE478" s="185"/>
      <c r="AF478" s="185"/>
      <c r="AG478" s="185"/>
      <c r="AH478" s="185"/>
      <c r="AI478" s="185"/>
      <c r="AJ478" s="185"/>
      <c r="AK478" s="185"/>
      <c r="AL478" s="185"/>
      <c r="AM478" s="185"/>
      <c r="AN478" s="185"/>
      <c r="AO478" s="185"/>
      <c r="AP478" s="185"/>
      <c r="AQ478" s="185"/>
      <c r="AR478" s="185"/>
      <c r="AS478" s="185"/>
      <c r="AT478" s="185"/>
      <c r="AU478" s="185"/>
      <c r="AV478" s="185"/>
      <c r="AW478" s="185"/>
      <c r="AX478" s="185"/>
      <c r="AY478" s="185"/>
      <c r="AZ478" s="185"/>
      <c r="BA478" s="185"/>
      <c r="BB478" s="185"/>
      <c r="BC478" s="185"/>
      <c r="BD478" s="185"/>
      <c r="BE478" s="185"/>
      <c r="BF478" s="185"/>
      <c r="BG478" s="185"/>
      <c r="BH478" s="185"/>
      <c r="BI478" s="185"/>
      <c r="BJ478" s="185"/>
      <c r="BK478" s="185"/>
      <c r="BL478" s="185"/>
      <c r="BM478" s="185"/>
      <c r="BN478" s="185"/>
      <c r="BO478" s="185"/>
      <c r="BP478" s="185"/>
      <c r="BQ478" s="185"/>
    </row>
    <row r="479" spans="1:69" ht="17.25" thickBot="1" x14ac:dyDescent="0.3">
      <c r="A479" s="186" t="s">
        <v>10</v>
      </c>
      <c r="B479" s="186"/>
      <c r="C479" s="186"/>
      <c r="D479" s="186"/>
      <c r="E479" s="186"/>
      <c r="F479" s="186"/>
      <c r="G479" s="186"/>
      <c r="H479" s="186"/>
      <c r="I479" s="187" t="s">
        <v>78</v>
      </c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  <c r="AA479" s="187"/>
      <c r="AB479" s="187"/>
      <c r="AC479" s="187"/>
      <c r="AD479" s="187"/>
      <c r="AE479" s="187"/>
      <c r="AF479" s="187"/>
      <c r="AG479" s="187"/>
      <c r="AH479" s="187"/>
      <c r="AI479" s="187"/>
      <c r="AJ479" s="187"/>
      <c r="AK479" s="187"/>
      <c r="AL479" s="187"/>
      <c r="AM479" s="187"/>
      <c r="AN479" s="187"/>
      <c r="AO479" s="188" t="s">
        <v>9</v>
      </c>
      <c r="AP479" s="188"/>
      <c r="AQ479" s="188"/>
      <c r="AR479" s="188"/>
      <c r="AS479" s="188"/>
      <c r="AT479" s="188"/>
      <c r="AU479" s="188"/>
      <c r="AV479" s="188"/>
      <c r="AW479" s="189">
        <f>AW451+1</f>
        <v>45927</v>
      </c>
      <c r="AX479" s="189"/>
      <c r="AY479" s="189"/>
      <c r="AZ479" s="189"/>
      <c r="BA479" s="189"/>
      <c r="BB479" s="189"/>
      <c r="BC479" s="189"/>
      <c r="BD479" s="189"/>
      <c r="BE479" s="189"/>
      <c r="BF479" s="189"/>
      <c r="BG479" s="189"/>
      <c r="BH479" s="189"/>
    </row>
    <row r="480" spans="1:69" ht="36" customHeight="1" x14ac:dyDescent="0.25">
      <c r="A480" s="180" t="s">
        <v>0</v>
      </c>
      <c r="B480" s="83"/>
      <c r="C480" s="83"/>
      <c r="D480" s="83"/>
      <c r="E480" s="83" t="s">
        <v>6</v>
      </c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 t="s">
        <v>7</v>
      </c>
      <c r="V480" s="83"/>
      <c r="W480" s="83"/>
      <c r="X480" s="83"/>
      <c r="Y480" s="181" t="s">
        <v>1</v>
      </c>
      <c r="Z480" s="181"/>
      <c r="AA480" s="181"/>
      <c r="AB480" s="181"/>
      <c r="AC480" s="181"/>
      <c r="AD480" s="181"/>
      <c r="AE480" s="83" t="s">
        <v>8</v>
      </c>
      <c r="AF480" s="83"/>
      <c r="AG480" s="83"/>
      <c r="AH480" s="83"/>
      <c r="AI480" s="83"/>
      <c r="AJ480" s="83"/>
      <c r="AK480" s="181" t="s">
        <v>2</v>
      </c>
      <c r="AL480" s="181"/>
      <c r="AM480" s="181"/>
      <c r="AN480" s="181"/>
      <c r="AO480" s="181"/>
      <c r="AP480" s="181"/>
      <c r="AQ480" s="84" t="s">
        <v>3</v>
      </c>
      <c r="AR480" s="84"/>
      <c r="AS480" s="84"/>
      <c r="AT480" s="84"/>
      <c r="AU480" s="84"/>
      <c r="AV480" s="84"/>
      <c r="AW480" s="181" t="s">
        <v>4</v>
      </c>
      <c r="AX480" s="181"/>
      <c r="AY480" s="181"/>
      <c r="AZ480" s="181"/>
      <c r="BA480" s="181"/>
      <c r="BB480" s="181"/>
      <c r="BC480" s="84" t="s">
        <v>5</v>
      </c>
      <c r="BD480" s="84"/>
      <c r="BE480" s="84"/>
      <c r="BF480" s="84"/>
      <c r="BG480" s="84"/>
      <c r="BH480" s="85"/>
      <c r="BI480" s="1"/>
    </row>
    <row r="481" spans="1:61" ht="21.95" customHeight="1" x14ac:dyDescent="0.25">
      <c r="A481" s="150" t="str">
        <f t="shared" ref="A481" si="1435">A453</f>
        <v>壹</v>
      </c>
      <c r="B481" s="151"/>
      <c r="C481" s="151"/>
      <c r="D481" s="152"/>
      <c r="E481" s="175" t="str">
        <f t="shared" ref="E481" si="1436">E453</f>
        <v>直接工程費</v>
      </c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7"/>
      <c r="U481" s="117"/>
      <c r="V481" s="118"/>
      <c r="W481" s="118"/>
      <c r="X481" s="119"/>
      <c r="Y481" s="178"/>
      <c r="Z481" s="178"/>
      <c r="AA481" s="178"/>
      <c r="AB481" s="178"/>
      <c r="AC481" s="178"/>
      <c r="AD481" s="178"/>
      <c r="AE481" s="178"/>
      <c r="AF481" s="178"/>
      <c r="AG481" s="178"/>
      <c r="AH481" s="178"/>
      <c r="AI481" s="178"/>
      <c r="AJ481" s="178"/>
      <c r="AK481" s="178"/>
      <c r="AL481" s="178"/>
      <c r="AM481" s="178"/>
      <c r="AN481" s="178"/>
      <c r="AO481" s="178"/>
      <c r="AP481" s="178"/>
      <c r="AQ481" s="178"/>
      <c r="AR481" s="178"/>
      <c r="AS481" s="178"/>
      <c r="AT481" s="178"/>
      <c r="AU481" s="178"/>
      <c r="AV481" s="178"/>
      <c r="AW481" s="178"/>
      <c r="AX481" s="178"/>
      <c r="AY481" s="178"/>
      <c r="AZ481" s="178"/>
      <c r="BA481" s="178"/>
      <c r="BB481" s="178"/>
      <c r="BC481" s="178"/>
      <c r="BD481" s="178"/>
      <c r="BE481" s="178"/>
      <c r="BF481" s="178"/>
      <c r="BG481" s="178"/>
      <c r="BH481" s="179"/>
      <c r="BI481" s="3">
        <f t="shared" ref="BI481:BI497" si="1437">Y481*AE481</f>
        <v>0</v>
      </c>
    </row>
    <row r="482" spans="1:61" s="19" customFormat="1" ht="21.95" customHeight="1" x14ac:dyDescent="0.25">
      <c r="A482" s="127">
        <f t="shared" ref="A482" si="1438">A454</f>
        <v>1</v>
      </c>
      <c r="B482" s="128"/>
      <c r="C482" s="128"/>
      <c r="D482" s="129"/>
      <c r="E482" s="170" t="str">
        <f t="shared" ref="E482" si="1439">E454</f>
        <v>工程告示牌與職安衛告示牌(租用)</v>
      </c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2"/>
      <c r="U482" s="133" t="str">
        <f t="shared" ref="U482" si="1440">U454</f>
        <v>式</v>
      </c>
      <c r="V482" s="134"/>
      <c r="W482" s="134"/>
      <c r="X482" s="135"/>
      <c r="Y482" s="136">
        <f t="shared" ref="Y482" si="1441">Y454</f>
        <v>1</v>
      </c>
      <c r="Z482" s="137"/>
      <c r="AA482" s="137"/>
      <c r="AB482" s="137"/>
      <c r="AC482" s="137"/>
      <c r="AD482" s="138"/>
      <c r="AE482" s="139">
        <f t="shared" ref="AE482" si="1442">AE454</f>
        <v>5000</v>
      </c>
      <c r="AF482" s="139"/>
      <c r="AG482" s="139"/>
      <c r="AH482" s="139"/>
      <c r="AI482" s="139"/>
      <c r="AJ482" s="139"/>
      <c r="AK482" s="173">
        <v>0</v>
      </c>
      <c r="AL482" s="173"/>
      <c r="AM482" s="173"/>
      <c r="AN482" s="173"/>
      <c r="AO482" s="173"/>
      <c r="AP482" s="173"/>
      <c r="AQ482" s="139">
        <f t="shared" ref="AQ482:AQ483" si="1443">AK482*AE482</f>
        <v>0</v>
      </c>
      <c r="AR482" s="139"/>
      <c r="AS482" s="139"/>
      <c r="AT482" s="139"/>
      <c r="AU482" s="139"/>
      <c r="AV482" s="139"/>
      <c r="AW482" s="173">
        <f t="shared" ref="AW482:AW492" si="1444">AW454+AK482</f>
        <v>1</v>
      </c>
      <c r="AX482" s="173"/>
      <c r="AY482" s="173"/>
      <c r="AZ482" s="173"/>
      <c r="BA482" s="173"/>
      <c r="BB482" s="173"/>
      <c r="BC482" s="173">
        <f t="shared" ref="BC482:BC483" si="1445">ROUND(AW482*AE482,0)</f>
        <v>5000</v>
      </c>
      <c r="BD482" s="173"/>
      <c r="BE482" s="173"/>
      <c r="BF482" s="173"/>
      <c r="BG482" s="173"/>
      <c r="BH482" s="174"/>
      <c r="BI482" s="18">
        <f t="shared" si="1437"/>
        <v>5000</v>
      </c>
    </row>
    <row r="483" spans="1:61" s="19" customFormat="1" ht="21.95" customHeight="1" x14ac:dyDescent="0.25">
      <c r="A483" s="127">
        <f t="shared" ref="A483" si="1446">A455</f>
        <v>2</v>
      </c>
      <c r="B483" s="128"/>
      <c r="C483" s="128"/>
      <c r="D483" s="129"/>
      <c r="E483" s="170" t="str">
        <f t="shared" ref="E483" si="1447">E455</f>
        <v>三角錐與連桿(租用)</v>
      </c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2"/>
      <c r="U483" s="133" t="str">
        <f t="shared" ref="U483" si="1448">U455</f>
        <v>M</v>
      </c>
      <c r="V483" s="134"/>
      <c r="W483" s="134"/>
      <c r="X483" s="135"/>
      <c r="Y483" s="147">
        <f t="shared" ref="Y483" si="1449">Y455</f>
        <v>86</v>
      </c>
      <c r="Z483" s="148"/>
      <c r="AA483" s="148"/>
      <c r="AB483" s="148"/>
      <c r="AC483" s="148"/>
      <c r="AD483" s="149"/>
      <c r="AE483" s="139">
        <f t="shared" ref="AE483" si="1450">AE455</f>
        <v>60</v>
      </c>
      <c r="AF483" s="139"/>
      <c r="AG483" s="139"/>
      <c r="AH483" s="139"/>
      <c r="AI483" s="139"/>
      <c r="AJ483" s="139"/>
      <c r="AK483" s="173">
        <v>0</v>
      </c>
      <c r="AL483" s="173"/>
      <c r="AM483" s="173"/>
      <c r="AN483" s="173"/>
      <c r="AO483" s="173"/>
      <c r="AP483" s="173"/>
      <c r="AQ483" s="139">
        <f t="shared" si="1443"/>
        <v>0</v>
      </c>
      <c r="AR483" s="139"/>
      <c r="AS483" s="139"/>
      <c r="AT483" s="139"/>
      <c r="AU483" s="139"/>
      <c r="AV483" s="139"/>
      <c r="AW483" s="173">
        <f t="shared" si="1444"/>
        <v>86</v>
      </c>
      <c r="AX483" s="173"/>
      <c r="AY483" s="173"/>
      <c r="AZ483" s="173"/>
      <c r="BA483" s="173"/>
      <c r="BB483" s="173"/>
      <c r="BC483" s="173">
        <f t="shared" si="1445"/>
        <v>5160</v>
      </c>
      <c r="BD483" s="173"/>
      <c r="BE483" s="173"/>
      <c r="BF483" s="173"/>
      <c r="BG483" s="173"/>
      <c r="BH483" s="174"/>
      <c r="BI483" s="18">
        <f t="shared" si="1437"/>
        <v>5160</v>
      </c>
    </row>
    <row r="484" spans="1:61" s="19" customFormat="1" ht="33" customHeight="1" x14ac:dyDescent="0.25">
      <c r="A484" s="150">
        <f t="shared" ref="A484" si="1451">A456</f>
        <v>3</v>
      </c>
      <c r="B484" s="151"/>
      <c r="C484" s="151"/>
      <c r="D484" s="152"/>
      <c r="E484" s="175" t="str">
        <f t="shared" ref="E484" si="1452">E456</f>
        <v>施工動線開闢及損害復原；測量與放樣</v>
      </c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7"/>
      <c r="U484" s="117" t="str">
        <f t="shared" ref="U484" si="1453">U456</f>
        <v>式</v>
      </c>
      <c r="V484" s="118"/>
      <c r="W484" s="118"/>
      <c r="X484" s="119"/>
      <c r="Y484" s="156">
        <f t="shared" ref="Y484" si="1454">Y456</f>
        <v>1</v>
      </c>
      <c r="Z484" s="157"/>
      <c r="AA484" s="157"/>
      <c r="AB484" s="157"/>
      <c r="AC484" s="157"/>
      <c r="AD484" s="158"/>
      <c r="AE484" s="159">
        <f t="shared" ref="AE484" si="1455">AE456</f>
        <v>4000</v>
      </c>
      <c r="AF484" s="159"/>
      <c r="AG484" s="159"/>
      <c r="AH484" s="159"/>
      <c r="AI484" s="159"/>
      <c r="AJ484" s="159"/>
      <c r="AK484" s="167">
        <v>0</v>
      </c>
      <c r="AL484" s="167"/>
      <c r="AM484" s="167"/>
      <c r="AN484" s="167"/>
      <c r="AO484" s="167"/>
      <c r="AP484" s="167"/>
      <c r="AQ484" s="159">
        <f>AK484*AE484</f>
        <v>0</v>
      </c>
      <c r="AR484" s="159"/>
      <c r="AS484" s="159"/>
      <c r="AT484" s="159"/>
      <c r="AU484" s="159"/>
      <c r="AV484" s="159"/>
      <c r="AW484" s="167">
        <f t="shared" si="1444"/>
        <v>0.5</v>
      </c>
      <c r="AX484" s="167"/>
      <c r="AY484" s="167"/>
      <c r="AZ484" s="167"/>
      <c r="BA484" s="167"/>
      <c r="BB484" s="167"/>
      <c r="BC484" s="167">
        <f>ROUND(AW484*AE484,0)</f>
        <v>2000</v>
      </c>
      <c r="BD484" s="167"/>
      <c r="BE484" s="167"/>
      <c r="BF484" s="167"/>
      <c r="BG484" s="167"/>
      <c r="BH484" s="168"/>
      <c r="BI484" s="18">
        <f t="shared" si="1437"/>
        <v>4000</v>
      </c>
    </row>
    <row r="485" spans="1:61" s="19" customFormat="1" ht="54" customHeight="1" x14ac:dyDescent="0.25">
      <c r="A485" s="127">
        <f t="shared" ref="A485" si="1456">A457</f>
        <v>4</v>
      </c>
      <c r="B485" s="128"/>
      <c r="C485" s="128"/>
      <c r="D485" s="129"/>
      <c r="E485" s="170" t="str">
        <f t="shared" ref="E485" si="1457">E457</f>
        <v>切割打除清運校舍與教室出入口地坪以及司令台階梯平台(含合法清運證明)</v>
      </c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2"/>
      <c r="U485" s="133" t="str">
        <f t="shared" ref="U485" si="1458">U457</f>
        <v>式</v>
      </c>
      <c r="V485" s="134"/>
      <c r="W485" s="134"/>
      <c r="X485" s="135"/>
      <c r="Y485" s="147">
        <f t="shared" ref="Y485" si="1459">Y457</f>
        <v>1</v>
      </c>
      <c r="Z485" s="148"/>
      <c r="AA485" s="148"/>
      <c r="AB485" s="148"/>
      <c r="AC485" s="148"/>
      <c r="AD485" s="149"/>
      <c r="AE485" s="139">
        <f t="shared" ref="AE485" si="1460">AE457</f>
        <v>52817</v>
      </c>
      <c r="AF485" s="139"/>
      <c r="AG485" s="139"/>
      <c r="AH485" s="139"/>
      <c r="AI485" s="139"/>
      <c r="AJ485" s="139"/>
      <c r="AK485" s="173">
        <v>0.2</v>
      </c>
      <c r="AL485" s="173"/>
      <c r="AM485" s="173"/>
      <c r="AN485" s="173"/>
      <c r="AO485" s="173"/>
      <c r="AP485" s="173"/>
      <c r="AQ485" s="139">
        <f t="shared" ref="AQ485:AQ488" si="1461">AK485*AE485</f>
        <v>10563.400000000001</v>
      </c>
      <c r="AR485" s="139"/>
      <c r="AS485" s="139"/>
      <c r="AT485" s="139"/>
      <c r="AU485" s="139"/>
      <c r="AV485" s="139"/>
      <c r="AW485" s="173">
        <f t="shared" si="1444"/>
        <v>1</v>
      </c>
      <c r="AX485" s="173"/>
      <c r="AY485" s="173"/>
      <c r="AZ485" s="173"/>
      <c r="BA485" s="173"/>
      <c r="BB485" s="173"/>
      <c r="BC485" s="173">
        <f t="shared" ref="BC485:BC488" si="1462">ROUND(AW485*AE485,0)</f>
        <v>52817</v>
      </c>
      <c r="BD485" s="173"/>
      <c r="BE485" s="173"/>
      <c r="BF485" s="173"/>
      <c r="BG485" s="173"/>
      <c r="BH485" s="174"/>
      <c r="BI485" s="20">
        <f t="shared" si="1437"/>
        <v>52817</v>
      </c>
    </row>
    <row r="486" spans="1:61" ht="20.25" customHeight="1" x14ac:dyDescent="0.25">
      <c r="A486" s="150">
        <f t="shared" ref="A486" si="1463">A458</f>
        <v>5</v>
      </c>
      <c r="B486" s="151"/>
      <c r="C486" s="151"/>
      <c r="D486" s="152"/>
      <c r="E486" s="153" t="str">
        <f t="shared" ref="E486" si="1464">E458</f>
        <v>校舍出入口施做斜坡順平高差</v>
      </c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5"/>
      <c r="U486" s="117" t="str">
        <f t="shared" ref="U486" si="1465">U458</f>
        <v>M2</v>
      </c>
      <c r="V486" s="118"/>
      <c r="W486" s="118"/>
      <c r="X486" s="119"/>
      <c r="Y486" s="160">
        <f t="shared" ref="Y486" si="1466">Y458</f>
        <v>15</v>
      </c>
      <c r="Z486" s="161"/>
      <c r="AA486" s="161"/>
      <c r="AB486" s="161"/>
      <c r="AC486" s="161"/>
      <c r="AD486" s="162"/>
      <c r="AE486" s="169">
        <f t="shared" ref="AE486" si="1467">AE458</f>
        <v>600</v>
      </c>
      <c r="AF486" s="169"/>
      <c r="AG486" s="169"/>
      <c r="AH486" s="169"/>
      <c r="AI486" s="169"/>
      <c r="AJ486" s="169"/>
      <c r="AK486" s="167">
        <v>0</v>
      </c>
      <c r="AL486" s="167"/>
      <c r="AM486" s="167"/>
      <c r="AN486" s="167"/>
      <c r="AO486" s="167"/>
      <c r="AP486" s="167"/>
      <c r="AQ486" s="159">
        <f t="shared" si="1461"/>
        <v>0</v>
      </c>
      <c r="AR486" s="159"/>
      <c r="AS486" s="159"/>
      <c r="AT486" s="159"/>
      <c r="AU486" s="159"/>
      <c r="AV486" s="159"/>
      <c r="AW486" s="167">
        <f t="shared" si="1444"/>
        <v>0</v>
      </c>
      <c r="AX486" s="167"/>
      <c r="AY486" s="167"/>
      <c r="AZ486" s="167"/>
      <c r="BA486" s="167"/>
      <c r="BB486" s="167"/>
      <c r="BC486" s="167">
        <f t="shared" si="1462"/>
        <v>0</v>
      </c>
      <c r="BD486" s="167"/>
      <c r="BE486" s="167"/>
      <c r="BF486" s="167"/>
      <c r="BG486" s="167"/>
      <c r="BH486" s="168"/>
      <c r="BI486" s="3">
        <f t="shared" si="1437"/>
        <v>9000</v>
      </c>
    </row>
    <row r="487" spans="1:61" ht="50.25" customHeight="1" x14ac:dyDescent="0.25">
      <c r="A487" s="150">
        <f t="shared" ref="A487" si="1468">A459</f>
        <v>6</v>
      </c>
      <c r="B487" s="151"/>
      <c r="C487" s="151"/>
      <c r="D487" s="152"/>
      <c r="E487" s="153" t="str">
        <f t="shared" ref="E487" si="1469">E459</f>
        <v>開挖整地，新設無障礙RC坡道，牆面與地坪粉刷整平(連工帶料，責任施工)</v>
      </c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5"/>
      <c r="U487" s="117" t="str">
        <f t="shared" ref="U487" si="1470">U459</f>
        <v>式</v>
      </c>
      <c r="V487" s="118"/>
      <c r="W487" s="118"/>
      <c r="X487" s="119"/>
      <c r="Y487" s="160">
        <f t="shared" ref="Y487" si="1471">Y459</f>
        <v>1</v>
      </c>
      <c r="Z487" s="161"/>
      <c r="AA487" s="161"/>
      <c r="AB487" s="161"/>
      <c r="AC487" s="161"/>
      <c r="AD487" s="162"/>
      <c r="AE487" s="159">
        <f t="shared" ref="AE487" si="1472">AE459</f>
        <v>153000</v>
      </c>
      <c r="AF487" s="159"/>
      <c r="AG487" s="159"/>
      <c r="AH487" s="159"/>
      <c r="AI487" s="159"/>
      <c r="AJ487" s="159"/>
      <c r="AK487" s="167">
        <v>0</v>
      </c>
      <c r="AL487" s="167"/>
      <c r="AM487" s="167"/>
      <c r="AN487" s="167"/>
      <c r="AO487" s="167"/>
      <c r="AP487" s="167"/>
      <c r="AQ487" s="159">
        <f t="shared" si="1461"/>
        <v>0</v>
      </c>
      <c r="AR487" s="159"/>
      <c r="AS487" s="159"/>
      <c r="AT487" s="159"/>
      <c r="AU487" s="159"/>
      <c r="AV487" s="159"/>
      <c r="AW487" s="167">
        <f t="shared" si="1444"/>
        <v>0</v>
      </c>
      <c r="AX487" s="167"/>
      <c r="AY487" s="167"/>
      <c r="AZ487" s="167"/>
      <c r="BA487" s="167"/>
      <c r="BB487" s="167"/>
      <c r="BC487" s="167">
        <f t="shared" si="1462"/>
        <v>0</v>
      </c>
      <c r="BD487" s="167"/>
      <c r="BE487" s="167"/>
      <c r="BF487" s="167"/>
      <c r="BG487" s="167"/>
      <c r="BH487" s="168"/>
      <c r="BI487" s="3">
        <f t="shared" si="1437"/>
        <v>153000</v>
      </c>
    </row>
    <row r="488" spans="1:61" ht="32.450000000000003" customHeight="1" x14ac:dyDescent="0.25">
      <c r="A488" s="150">
        <f t="shared" ref="A488" si="1473">A460</f>
        <v>7</v>
      </c>
      <c r="B488" s="151"/>
      <c r="C488" s="151"/>
      <c r="D488" s="152"/>
      <c r="E488" s="153" t="str">
        <f t="shared" ref="E488" si="1474">E460</f>
        <v>施做抿石子(1~2分AK石，抿石子專用泥)</v>
      </c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5"/>
      <c r="U488" s="117" t="str">
        <f t="shared" ref="U488" si="1475">U460</f>
        <v>M2</v>
      </c>
      <c r="V488" s="118"/>
      <c r="W488" s="118"/>
      <c r="X488" s="119"/>
      <c r="Y488" s="160">
        <f t="shared" ref="Y488" si="1476">Y460</f>
        <v>38</v>
      </c>
      <c r="Z488" s="161"/>
      <c r="AA488" s="161"/>
      <c r="AB488" s="161"/>
      <c r="AC488" s="161"/>
      <c r="AD488" s="162"/>
      <c r="AE488" s="159">
        <f t="shared" ref="AE488" si="1477">AE460</f>
        <v>1460</v>
      </c>
      <c r="AF488" s="159"/>
      <c r="AG488" s="159"/>
      <c r="AH488" s="159"/>
      <c r="AI488" s="159"/>
      <c r="AJ488" s="159"/>
      <c r="AK488" s="167">
        <v>0</v>
      </c>
      <c r="AL488" s="167"/>
      <c r="AM488" s="167"/>
      <c r="AN488" s="167"/>
      <c r="AO488" s="167"/>
      <c r="AP488" s="167"/>
      <c r="AQ488" s="159">
        <f t="shared" si="1461"/>
        <v>0</v>
      </c>
      <c r="AR488" s="159"/>
      <c r="AS488" s="159"/>
      <c r="AT488" s="159"/>
      <c r="AU488" s="159"/>
      <c r="AV488" s="159"/>
      <c r="AW488" s="167">
        <f t="shared" si="1444"/>
        <v>0</v>
      </c>
      <c r="AX488" s="167"/>
      <c r="AY488" s="167"/>
      <c r="AZ488" s="167"/>
      <c r="BA488" s="167"/>
      <c r="BB488" s="167"/>
      <c r="BC488" s="167">
        <f t="shared" si="1462"/>
        <v>0</v>
      </c>
      <c r="BD488" s="167"/>
      <c r="BE488" s="167"/>
      <c r="BF488" s="167"/>
      <c r="BG488" s="167"/>
      <c r="BH488" s="168"/>
      <c r="BI488" s="3">
        <f t="shared" si="1437"/>
        <v>55480</v>
      </c>
    </row>
    <row r="489" spans="1:61" ht="21" customHeight="1" x14ac:dyDescent="0.25">
      <c r="A489" s="150">
        <f t="shared" ref="A489" si="1478">A461</f>
        <v>8</v>
      </c>
      <c r="B489" s="151"/>
      <c r="C489" s="151"/>
      <c r="D489" s="152"/>
      <c r="E489" s="153" t="str">
        <f t="shared" ref="E489" si="1479">E461</f>
        <v>無障礙坡道地坪拉毛</v>
      </c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5"/>
      <c r="U489" s="117" t="str">
        <f t="shared" ref="U489" si="1480">U461</f>
        <v>M2</v>
      </c>
      <c r="V489" s="118"/>
      <c r="W489" s="118"/>
      <c r="X489" s="119"/>
      <c r="Y489" s="160">
        <f t="shared" ref="Y489" si="1481">Y461</f>
        <v>33</v>
      </c>
      <c r="Z489" s="161"/>
      <c r="AA489" s="161"/>
      <c r="AB489" s="161"/>
      <c r="AC489" s="161"/>
      <c r="AD489" s="162"/>
      <c r="AE489" s="159">
        <f t="shared" ref="AE489" si="1482">AE461</f>
        <v>100</v>
      </c>
      <c r="AF489" s="159"/>
      <c r="AG489" s="159"/>
      <c r="AH489" s="159"/>
      <c r="AI489" s="159"/>
      <c r="AJ489" s="159"/>
      <c r="AK489" s="167"/>
      <c r="AL489" s="167"/>
      <c r="AM489" s="167"/>
      <c r="AN489" s="167"/>
      <c r="AO489" s="167"/>
      <c r="AP489" s="167"/>
      <c r="AQ489" s="159"/>
      <c r="AR489" s="159"/>
      <c r="AS489" s="159"/>
      <c r="AT489" s="159"/>
      <c r="AU489" s="159"/>
      <c r="AV489" s="159"/>
      <c r="AW489" s="167">
        <f t="shared" si="1444"/>
        <v>0</v>
      </c>
      <c r="AX489" s="167"/>
      <c r="AY489" s="167"/>
      <c r="AZ489" s="167"/>
      <c r="BA489" s="167"/>
      <c r="BB489" s="167"/>
      <c r="BC489" s="167"/>
      <c r="BD489" s="167"/>
      <c r="BE489" s="167"/>
      <c r="BF489" s="167"/>
      <c r="BG489" s="167"/>
      <c r="BH489" s="168"/>
      <c r="BI489" s="3">
        <f t="shared" si="1437"/>
        <v>3300</v>
      </c>
    </row>
    <row r="490" spans="1:61" s="19" customFormat="1" ht="34.5" customHeight="1" x14ac:dyDescent="0.25">
      <c r="A490" s="127">
        <f t="shared" ref="A490" si="1483">A462</f>
        <v>9</v>
      </c>
      <c r="B490" s="128"/>
      <c r="C490" s="128"/>
      <c r="D490" s="129"/>
      <c r="E490" s="153" t="str">
        <f t="shared" ref="E490" si="1484">E462</f>
        <v>司令台既有樓梯面清潔，刷止滑漆(一底二度)</v>
      </c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5"/>
      <c r="U490" s="133" t="str">
        <f t="shared" ref="U490" si="1485">U462</f>
        <v>式</v>
      </c>
      <c r="V490" s="134"/>
      <c r="W490" s="134"/>
      <c r="X490" s="135"/>
      <c r="Y490" s="160">
        <f t="shared" ref="Y490" si="1486">Y462</f>
        <v>1</v>
      </c>
      <c r="Z490" s="161"/>
      <c r="AA490" s="161"/>
      <c r="AB490" s="161"/>
      <c r="AC490" s="161"/>
      <c r="AD490" s="162"/>
      <c r="AE490" s="159">
        <f t="shared" ref="AE490" si="1487">AE462</f>
        <v>3000</v>
      </c>
      <c r="AF490" s="159"/>
      <c r="AG490" s="159"/>
      <c r="AH490" s="159"/>
      <c r="AI490" s="159"/>
      <c r="AJ490" s="159"/>
      <c r="AK490" s="167">
        <v>0</v>
      </c>
      <c r="AL490" s="167"/>
      <c r="AM490" s="167"/>
      <c r="AN490" s="167"/>
      <c r="AO490" s="167"/>
      <c r="AP490" s="167"/>
      <c r="AQ490" s="159">
        <f t="shared" ref="AQ490:AQ497" si="1488">AK490*AE490</f>
        <v>0</v>
      </c>
      <c r="AR490" s="159"/>
      <c r="AS490" s="159"/>
      <c r="AT490" s="159"/>
      <c r="AU490" s="159"/>
      <c r="AV490" s="159"/>
      <c r="AW490" s="167">
        <f t="shared" si="1444"/>
        <v>0</v>
      </c>
      <c r="AX490" s="167"/>
      <c r="AY490" s="167"/>
      <c r="AZ490" s="167"/>
      <c r="BA490" s="167"/>
      <c r="BB490" s="167"/>
      <c r="BC490" s="167">
        <f t="shared" ref="BC490:BC492" si="1489">ROUND(AW490*AE490,0)</f>
        <v>0</v>
      </c>
      <c r="BD490" s="167"/>
      <c r="BE490" s="167"/>
      <c r="BF490" s="167"/>
      <c r="BG490" s="167"/>
      <c r="BH490" s="168"/>
      <c r="BI490" s="18">
        <f t="shared" si="1437"/>
        <v>3000</v>
      </c>
    </row>
    <row r="491" spans="1:61" ht="35.25" customHeight="1" x14ac:dyDescent="0.25">
      <c r="A491" s="150">
        <f t="shared" ref="A491" si="1490">A463</f>
        <v>10</v>
      </c>
      <c r="B491" s="151"/>
      <c r="C491" s="151"/>
      <c r="D491" s="152"/>
      <c r="E491" s="153" t="str">
        <f t="shared" ref="E491" si="1491">E463</f>
        <v>校舍、教室及司令台坡道出入口配置無線押扣與插電式緊急求救鈴</v>
      </c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5"/>
      <c r="U491" s="117" t="str">
        <f t="shared" ref="U491" si="1492">U463</f>
        <v>組</v>
      </c>
      <c r="V491" s="118"/>
      <c r="W491" s="118"/>
      <c r="X491" s="119"/>
      <c r="Y491" s="160">
        <f t="shared" ref="Y491" si="1493">Y463</f>
        <v>8</v>
      </c>
      <c r="Z491" s="161"/>
      <c r="AA491" s="161"/>
      <c r="AB491" s="161"/>
      <c r="AC491" s="161"/>
      <c r="AD491" s="162"/>
      <c r="AE491" s="159">
        <f t="shared" ref="AE491" si="1494">AE463</f>
        <v>700</v>
      </c>
      <c r="AF491" s="159"/>
      <c r="AG491" s="159"/>
      <c r="AH491" s="159"/>
      <c r="AI491" s="159"/>
      <c r="AJ491" s="159"/>
      <c r="AK491" s="167">
        <v>0</v>
      </c>
      <c r="AL491" s="167"/>
      <c r="AM491" s="167"/>
      <c r="AN491" s="167"/>
      <c r="AO491" s="167"/>
      <c r="AP491" s="167"/>
      <c r="AQ491" s="159">
        <f t="shared" si="1488"/>
        <v>0</v>
      </c>
      <c r="AR491" s="159"/>
      <c r="AS491" s="159"/>
      <c r="AT491" s="159"/>
      <c r="AU491" s="159"/>
      <c r="AV491" s="159"/>
      <c r="AW491" s="167">
        <f t="shared" si="1444"/>
        <v>0</v>
      </c>
      <c r="AX491" s="167"/>
      <c r="AY491" s="167"/>
      <c r="AZ491" s="167"/>
      <c r="BA491" s="167"/>
      <c r="BB491" s="167"/>
      <c r="BC491" s="167">
        <f t="shared" si="1489"/>
        <v>0</v>
      </c>
      <c r="BD491" s="167"/>
      <c r="BE491" s="167"/>
      <c r="BF491" s="167"/>
      <c r="BG491" s="167"/>
      <c r="BH491" s="168"/>
      <c r="BI491" s="3">
        <f t="shared" si="1437"/>
        <v>5600</v>
      </c>
    </row>
    <row r="492" spans="1:61" ht="36.75" customHeight="1" x14ac:dyDescent="0.25">
      <c r="A492" s="150">
        <f t="shared" ref="A492" si="1495">A464</f>
        <v>11</v>
      </c>
      <c r="B492" s="151"/>
      <c r="C492" s="151"/>
      <c r="D492" s="152"/>
      <c r="E492" s="153" t="str">
        <f t="shared" ref="E492" si="1496">E464</f>
        <v>司令台周圍及無障礙坡道安裝不鏽鋼扶手(連工帶料)</v>
      </c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5"/>
      <c r="U492" s="117" t="str">
        <f t="shared" ref="U492" si="1497">U464</f>
        <v>M</v>
      </c>
      <c r="V492" s="118"/>
      <c r="W492" s="118"/>
      <c r="X492" s="119"/>
      <c r="Y492" s="156">
        <f t="shared" ref="Y492" si="1498">Y464</f>
        <v>48</v>
      </c>
      <c r="Z492" s="157"/>
      <c r="AA492" s="157"/>
      <c r="AB492" s="157"/>
      <c r="AC492" s="157"/>
      <c r="AD492" s="158"/>
      <c r="AE492" s="159">
        <f t="shared" ref="AE492" si="1499">AE464</f>
        <v>3000</v>
      </c>
      <c r="AF492" s="159"/>
      <c r="AG492" s="159"/>
      <c r="AH492" s="159"/>
      <c r="AI492" s="159"/>
      <c r="AJ492" s="159"/>
      <c r="AK492" s="160">
        <v>0</v>
      </c>
      <c r="AL492" s="161"/>
      <c r="AM492" s="161"/>
      <c r="AN492" s="161"/>
      <c r="AO492" s="161"/>
      <c r="AP492" s="162"/>
      <c r="AQ492" s="163">
        <f t="shared" si="1488"/>
        <v>0</v>
      </c>
      <c r="AR492" s="164"/>
      <c r="AS492" s="164"/>
      <c r="AT492" s="164"/>
      <c r="AU492" s="164"/>
      <c r="AV492" s="165"/>
      <c r="AW492" s="160">
        <f t="shared" si="1444"/>
        <v>0</v>
      </c>
      <c r="AX492" s="161"/>
      <c r="AY492" s="161"/>
      <c r="AZ492" s="161"/>
      <c r="BA492" s="161"/>
      <c r="BB492" s="162"/>
      <c r="BC492" s="160">
        <f t="shared" si="1489"/>
        <v>0</v>
      </c>
      <c r="BD492" s="161"/>
      <c r="BE492" s="161"/>
      <c r="BF492" s="161"/>
      <c r="BG492" s="161"/>
      <c r="BH492" s="166"/>
      <c r="BI492" s="3">
        <f t="shared" si="1437"/>
        <v>144000</v>
      </c>
    </row>
    <row r="493" spans="1:61" s="19" customFormat="1" ht="35.25" customHeight="1" x14ac:dyDescent="0.25">
      <c r="A493" s="127" t="str">
        <f t="shared" ref="A493" si="1500">A465</f>
        <v>貳</v>
      </c>
      <c r="B493" s="128"/>
      <c r="C493" s="128"/>
      <c r="D493" s="129"/>
      <c r="E493" s="130" t="str">
        <f t="shared" ref="E493" si="1501">E465</f>
        <v>職業安全衛生管理費與施工環境保護與清潔（壹*2%）</v>
      </c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2"/>
      <c r="U493" s="133" t="str">
        <f t="shared" ref="U493" si="1502">U465</f>
        <v>式</v>
      </c>
      <c r="V493" s="134"/>
      <c r="W493" s="134"/>
      <c r="X493" s="135"/>
      <c r="Y493" s="136">
        <f t="shared" ref="Y493" si="1503">Y465</f>
        <v>1</v>
      </c>
      <c r="Z493" s="137"/>
      <c r="AA493" s="137"/>
      <c r="AB493" s="137"/>
      <c r="AC493" s="137"/>
      <c r="AD493" s="138"/>
      <c r="AE493" s="139">
        <f t="shared" ref="AE493" si="1504">AE465</f>
        <v>8807</v>
      </c>
      <c r="AF493" s="139"/>
      <c r="AG493" s="139"/>
      <c r="AH493" s="139"/>
      <c r="AI493" s="139"/>
      <c r="AJ493" s="139"/>
      <c r="AK493" s="140">
        <v>1.7000000000000001E-2</v>
      </c>
      <c r="AL493" s="141"/>
      <c r="AM493" s="141"/>
      <c r="AN493" s="141"/>
      <c r="AO493" s="141"/>
      <c r="AP493" s="142"/>
      <c r="AQ493" s="143">
        <f t="shared" si="1488"/>
        <v>149.71900000000002</v>
      </c>
      <c r="AR493" s="144"/>
      <c r="AS493" s="144"/>
      <c r="AT493" s="144"/>
      <c r="AU493" s="144"/>
      <c r="AV493" s="145"/>
      <c r="AW493" s="140">
        <f>AW465+AK493</f>
        <v>0.30600000000000016</v>
      </c>
      <c r="AX493" s="141"/>
      <c r="AY493" s="141"/>
      <c r="AZ493" s="141"/>
      <c r="BA493" s="141"/>
      <c r="BB493" s="142"/>
      <c r="BC493" s="136">
        <f>ROUND(AW493*AE493,0)</f>
        <v>2695</v>
      </c>
      <c r="BD493" s="137"/>
      <c r="BE493" s="137"/>
      <c r="BF493" s="137"/>
      <c r="BG493" s="137"/>
      <c r="BH493" s="146"/>
      <c r="BI493" s="18">
        <f t="shared" si="1437"/>
        <v>8807</v>
      </c>
    </row>
    <row r="494" spans="1:61" s="19" customFormat="1" ht="21.95" customHeight="1" x14ac:dyDescent="0.25">
      <c r="A494" s="127" t="str">
        <f t="shared" ref="A494" si="1505">A466</f>
        <v>參</v>
      </c>
      <c r="B494" s="128"/>
      <c r="C494" s="128"/>
      <c r="D494" s="129"/>
      <c r="E494" s="130" t="str">
        <f t="shared" ref="E494" si="1506">E466</f>
        <v>公共工程品質管制作業費（壹*1%）</v>
      </c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2"/>
      <c r="U494" s="133" t="str">
        <f t="shared" ref="U494" si="1507">U466</f>
        <v>式</v>
      </c>
      <c r="V494" s="134"/>
      <c r="W494" s="134"/>
      <c r="X494" s="135"/>
      <c r="Y494" s="147">
        <f t="shared" ref="Y494" si="1508">Y466</f>
        <v>1</v>
      </c>
      <c r="Z494" s="148"/>
      <c r="AA494" s="148"/>
      <c r="AB494" s="148"/>
      <c r="AC494" s="148"/>
      <c r="AD494" s="149"/>
      <c r="AE494" s="139">
        <f t="shared" ref="AE494" si="1509">AE466</f>
        <v>4404</v>
      </c>
      <c r="AF494" s="139"/>
      <c r="AG494" s="139"/>
      <c r="AH494" s="139"/>
      <c r="AI494" s="139"/>
      <c r="AJ494" s="139"/>
      <c r="AK494" s="140">
        <v>1.7000000000000001E-2</v>
      </c>
      <c r="AL494" s="141"/>
      <c r="AM494" s="141"/>
      <c r="AN494" s="141"/>
      <c r="AO494" s="141"/>
      <c r="AP494" s="142"/>
      <c r="AQ494" s="143">
        <f t="shared" si="1488"/>
        <v>74.868000000000009</v>
      </c>
      <c r="AR494" s="144"/>
      <c r="AS494" s="144"/>
      <c r="AT494" s="144"/>
      <c r="AU494" s="144"/>
      <c r="AV494" s="145"/>
      <c r="AW494" s="140">
        <f t="shared" ref="AW494:AW497" si="1510">AW466+AK494</f>
        <v>0.30600000000000016</v>
      </c>
      <c r="AX494" s="141"/>
      <c r="AY494" s="141"/>
      <c r="AZ494" s="141"/>
      <c r="BA494" s="141"/>
      <c r="BB494" s="142"/>
      <c r="BC494" s="136">
        <f t="shared" ref="BC494:BC497" si="1511">ROUND(AW494*AE494,0)</f>
        <v>1348</v>
      </c>
      <c r="BD494" s="137"/>
      <c r="BE494" s="137"/>
      <c r="BF494" s="137"/>
      <c r="BG494" s="137"/>
      <c r="BH494" s="146"/>
      <c r="BI494" s="18">
        <f t="shared" si="1437"/>
        <v>4404</v>
      </c>
    </row>
    <row r="495" spans="1:61" s="19" customFormat="1" ht="21.95" customHeight="1" x14ac:dyDescent="0.25">
      <c r="A495" s="127" t="str">
        <f t="shared" ref="A495" si="1512">A467</f>
        <v>肆</v>
      </c>
      <c r="B495" s="128"/>
      <c r="C495" s="128"/>
      <c r="D495" s="129"/>
      <c r="E495" s="130" t="str">
        <f t="shared" ref="E495" si="1513">E467</f>
        <v>包商管理及利潤費（約壹*7%）</v>
      </c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2"/>
      <c r="U495" s="133" t="str">
        <f t="shared" ref="U495" si="1514">U467</f>
        <v>式</v>
      </c>
      <c r="V495" s="134"/>
      <c r="W495" s="134"/>
      <c r="X495" s="135"/>
      <c r="Y495" s="147">
        <f t="shared" ref="Y495" si="1515">Y467</f>
        <v>1</v>
      </c>
      <c r="Z495" s="148"/>
      <c r="AA495" s="148"/>
      <c r="AB495" s="148"/>
      <c r="AC495" s="148"/>
      <c r="AD495" s="149"/>
      <c r="AE495" s="139">
        <f t="shared" ref="AE495" si="1516">AE467</f>
        <v>30825</v>
      </c>
      <c r="AF495" s="139"/>
      <c r="AG495" s="139"/>
      <c r="AH495" s="139"/>
      <c r="AI495" s="139"/>
      <c r="AJ495" s="139"/>
      <c r="AK495" s="140">
        <v>1.7000000000000001E-2</v>
      </c>
      <c r="AL495" s="141"/>
      <c r="AM495" s="141"/>
      <c r="AN495" s="141"/>
      <c r="AO495" s="141"/>
      <c r="AP495" s="142"/>
      <c r="AQ495" s="143">
        <f t="shared" si="1488"/>
        <v>524.02500000000009</v>
      </c>
      <c r="AR495" s="144"/>
      <c r="AS495" s="144"/>
      <c r="AT495" s="144"/>
      <c r="AU495" s="144"/>
      <c r="AV495" s="145"/>
      <c r="AW495" s="140">
        <f t="shared" si="1510"/>
        <v>0.30600000000000016</v>
      </c>
      <c r="AX495" s="141"/>
      <c r="AY495" s="141"/>
      <c r="AZ495" s="141"/>
      <c r="BA495" s="141"/>
      <c r="BB495" s="142"/>
      <c r="BC495" s="136">
        <f t="shared" si="1511"/>
        <v>9432</v>
      </c>
      <c r="BD495" s="137"/>
      <c r="BE495" s="137"/>
      <c r="BF495" s="137"/>
      <c r="BG495" s="137"/>
      <c r="BH495" s="146"/>
      <c r="BI495" s="18">
        <f t="shared" si="1437"/>
        <v>30825</v>
      </c>
    </row>
    <row r="496" spans="1:61" s="19" customFormat="1" ht="21.95" customHeight="1" x14ac:dyDescent="0.25">
      <c r="A496" s="127" t="str">
        <f t="shared" ref="A496" si="1517">A468</f>
        <v>伍</v>
      </c>
      <c r="B496" s="128"/>
      <c r="C496" s="128"/>
      <c r="D496" s="129"/>
      <c r="E496" s="130" t="str">
        <f t="shared" ref="E496" si="1518">E468</f>
        <v>營造綜合保險費</v>
      </c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2"/>
      <c r="U496" s="133" t="str">
        <f t="shared" ref="U496" si="1519">U468</f>
        <v>式</v>
      </c>
      <c r="V496" s="134"/>
      <c r="W496" s="134"/>
      <c r="X496" s="135"/>
      <c r="Y496" s="136">
        <f t="shared" ref="Y496" si="1520">Y468</f>
        <v>1</v>
      </c>
      <c r="Z496" s="137"/>
      <c r="AA496" s="137"/>
      <c r="AB496" s="137"/>
      <c r="AC496" s="137"/>
      <c r="AD496" s="138"/>
      <c r="AE496" s="139">
        <f t="shared" ref="AE496" si="1521">AE468</f>
        <v>1321</v>
      </c>
      <c r="AF496" s="139"/>
      <c r="AG496" s="139"/>
      <c r="AH496" s="139"/>
      <c r="AI496" s="139"/>
      <c r="AJ496" s="139"/>
      <c r="AK496" s="136">
        <v>0</v>
      </c>
      <c r="AL496" s="137"/>
      <c r="AM496" s="137"/>
      <c r="AN496" s="137"/>
      <c r="AO496" s="137"/>
      <c r="AP496" s="138"/>
      <c r="AQ496" s="143">
        <f t="shared" si="1488"/>
        <v>0</v>
      </c>
      <c r="AR496" s="144"/>
      <c r="AS496" s="144"/>
      <c r="AT496" s="144"/>
      <c r="AU496" s="144"/>
      <c r="AV496" s="145"/>
      <c r="AW496" s="136">
        <f t="shared" si="1510"/>
        <v>1</v>
      </c>
      <c r="AX496" s="137"/>
      <c r="AY496" s="137"/>
      <c r="AZ496" s="137"/>
      <c r="BA496" s="137"/>
      <c r="BB496" s="138"/>
      <c r="BC496" s="136">
        <f t="shared" si="1511"/>
        <v>1321</v>
      </c>
      <c r="BD496" s="137"/>
      <c r="BE496" s="137"/>
      <c r="BF496" s="137"/>
      <c r="BG496" s="137"/>
      <c r="BH496" s="146"/>
      <c r="BI496" s="18">
        <f t="shared" si="1437"/>
        <v>1321</v>
      </c>
    </row>
    <row r="497" spans="1:69" s="19" customFormat="1" ht="21.95" customHeight="1" x14ac:dyDescent="0.25">
      <c r="A497" s="127" t="str">
        <f t="shared" ref="A497" si="1522">A469</f>
        <v>陸</v>
      </c>
      <c r="B497" s="128"/>
      <c r="C497" s="128"/>
      <c r="D497" s="129"/>
      <c r="E497" s="130" t="str">
        <f t="shared" ref="E497" si="1523">E469</f>
        <v>營業稅（(壹~伍)*5％）</v>
      </c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2"/>
      <c r="U497" s="133" t="str">
        <f t="shared" ref="U497" si="1524">U469</f>
        <v>式</v>
      </c>
      <c r="V497" s="134"/>
      <c r="W497" s="134"/>
      <c r="X497" s="135"/>
      <c r="Y497" s="136">
        <f t="shared" ref="Y497" si="1525">Y469</f>
        <v>1</v>
      </c>
      <c r="Z497" s="137"/>
      <c r="AA497" s="137"/>
      <c r="AB497" s="137"/>
      <c r="AC497" s="137"/>
      <c r="AD497" s="138"/>
      <c r="AE497" s="139">
        <f t="shared" ref="AE497" si="1526">AE469</f>
        <v>24286</v>
      </c>
      <c r="AF497" s="139"/>
      <c r="AG497" s="139"/>
      <c r="AH497" s="139"/>
      <c r="AI497" s="139"/>
      <c r="AJ497" s="139"/>
      <c r="AK497" s="140">
        <v>1.7000000000000001E-2</v>
      </c>
      <c r="AL497" s="141"/>
      <c r="AM497" s="141"/>
      <c r="AN497" s="141"/>
      <c r="AO497" s="141"/>
      <c r="AP497" s="142"/>
      <c r="AQ497" s="143">
        <f t="shared" si="1488"/>
        <v>412.86200000000002</v>
      </c>
      <c r="AR497" s="144"/>
      <c r="AS497" s="144"/>
      <c r="AT497" s="144"/>
      <c r="AU497" s="144"/>
      <c r="AV497" s="145"/>
      <c r="AW497" s="140">
        <f t="shared" si="1510"/>
        <v>0.30600000000000016</v>
      </c>
      <c r="AX497" s="141"/>
      <c r="AY497" s="141"/>
      <c r="AZ497" s="141"/>
      <c r="BA497" s="141"/>
      <c r="BB497" s="142"/>
      <c r="BC497" s="136">
        <f t="shared" si="1511"/>
        <v>7432</v>
      </c>
      <c r="BD497" s="137"/>
      <c r="BE497" s="137"/>
      <c r="BF497" s="137"/>
      <c r="BG497" s="137"/>
      <c r="BH497" s="146"/>
      <c r="BI497" s="18">
        <f t="shared" si="1437"/>
        <v>24286</v>
      </c>
    </row>
    <row r="498" spans="1:69" ht="21.95" customHeight="1" x14ac:dyDescent="0.25">
      <c r="A498" s="111"/>
      <c r="B498" s="112"/>
      <c r="C498" s="112"/>
      <c r="D498" s="113"/>
      <c r="E498" s="114" t="s">
        <v>75</v>
      </c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6"/>
      <c r="U498" s="117"/>
      <c r="V498" s="118"/>
      <c r="W498" s="118"/>
      <c r="X498" s="119"/>
      <c r="Y498" s="120"/>
      <c r="Z498" s="121"/>
      <c r="AA498" s="121"/>
      <c r="AB498" s="121"/>
      <c r="AC498" s="121"/>
      <c r="AD498" s="122"/>
      <c r="AE498" s="123"/>
      <c r="AF498" s="124"/>
      <c r="AG498" s="124"/>
      <c r="AH498" s="124"/>
      <c r="AI498" s="124"/>
      <c r="AJ498" s="125"/>
      <c r="AK498" s="120"/>
      <c r="AL498" s="121"/>
      <c r="AM498" s="121"/>
      <c r="AN498" s="121"/>
      <c r="AO498" s="121"/>
      <c r="AP498" s="122"/>
      <c r="AQ498" s="123">
        <f>SUM(AQ484:AQ497)</f>
        <v>11724.874</v>
      </c>
      <c r="AR498" s="124"/>
      <c r="AS498" s="124"/>
      <c r="AT498" s="124"/>
      <c r="AU498" s="124"/>
      <c r="AV498" s="125"/>
      <c r="AW498" s="120"/>
      <c r="AX498" s="121"/>
      <c r="AY498" s="121"/>
      <c r="AZ498" s="121"/>
      <c r="BA498" s="121"/>
      <c r="BB498" s="122"/>
      <c r="BC498" s="120">
        <f>SUM(BC484:BC497)</f>
        <v>77045</v>
      </c>
      <c r="BD498" s="121"/>
      <c r="BE498" s="121"/>
      <c r="BF498" s="121"/>
      <c r="BG498" s="121"/>
      <c r="BH498" s="126"/>
      <c r="BI498" s="17">
        <f>SUM(BI482:BI497)</f>
        <v>510000</v>
      </c>
    </row>
    <row r="499" spans="1:69" ht="21.95" customHeight="1" x14ac:dyDescent="0.25">
      <c r="A499" s="101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  <c r="AD499" s="102"/>
      <c r="AE499" s="102"/>
      <c r="AF499" s="102"/>
      <c r="AG499" s="102"/>
      <c r="AH499" s="102"/>
      <c r="AI499" s="102"/>
      <c r="AJ499" s="103"/>
      <c r="AK499" s="104"/>
      <c r="AL499" s="105"/>
      <c r="AM499" s="105"/>
      <c r="AN499" s="105"/>
      <c r="AO499" s="105"/>
      <c r="AP499" s="106"/>
      <c r="AQ499" s="107"/>
      <c r="AR499" s="108"/>
      <c r="AS499" s="108"/>
      <c r="AT499" s="108"/>
      <c r="AU499" s="108"/>
      <c r="AV499" s="109"/>
      <c r="AW499" s="104"/>
      <c r="AX499" s="105"/>
      <c r="AY499" s="105"/>
      <c r="AZ499" s="105"/>
      <c r="BA499" s="105"/>
      <c r="BB499" s="106"/>
      <c r="BC499" s="104"/>
      <c r="BD499" s="105"/>
      <c r="BE499" s="105"/>
      <c r="BF499" s="105"/>
      <c r="BG499" s="105"/>
      <c r="BH499" s="110"/>
      <c r="BI499" s="15">
        <f>Y499*AE499</f>
        <v>0</v>
      </c>
    </row>
    <row r="500" spans="1:69" ht="21.95" customHeight="1" x14ac:dyDescent="0.25">
      <c r="A500" s="101" t="s">
        <v>11</v>
      </c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  <c r="AD500" s="102"/>
      <c r="AE500" s="102"/>
      <c r="AF500" s="102"/>
      <c r="AG500" s="102"/>
      <c r="AH500" s="102"/>
      <c r="AI500" s="102"/>
      <c r="AJ500" s="103"/>
      <c r="AK500" s="104"/>
      <c r="AL500" s="105"/>
      <c r="AM500" s="105"/>
      <c r="AN500" s="105"/>
      <c r="AO500" s="105"/>
      <c r="AP500" s="106"/>
      <c r="AQ500" s="107">
        <f>BC498/BI498</f>
        <v>0.1510686274509804</v>
      </c>
      <c r="AR500" s="108"/>
      <c r="AS500" s="108"/>
      <c r="AT500" s="108"/>
      <c r="AU500" s="108"/>
      <c r="AV500" s="109"/>
      <c r="AW500" s="104"/>
      <c r="AX500" s="105"/>
      <c r="AY500" s="105"/>
      <c r="AZ500" s="105"/>
      <c r="BA500" s="105"/>
      <c r="BB500" s="106"/>
      <c r="BC500" s="104"/>
      <c r="BD500" s="105"/>
      <c r="BE500" s="105"/>
      <c r="BF500" s="105"/>
      <c r="BG500" s="105"/>
      <c r="BH500" s="110"/>
      <c r="BI500" s="15">
        <f>AQ500</f>
        <v>0.1510686274509804</v>
      </c>
    </row>
    <row r="501" spans="1:69" ht="18.75" customHeight="1" x14ac:dyDescent="0.25">
      <c r="A501" s="90" t="s">
        <v>15</v>
      </c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  <c r="AD501" s="92"/>
      <c r="AE501" s="93" t="s">
        <v>14</v>
      </c>
      <c r="AF501" s="91"/>
      <c r="AG501" s="91"/>
      <c r="AH501" s="91"/>
      <c r="AI501" s="91"/>
      <c r="AJ501" s="91"/>
      <c r="AK501" s="91"/>
      <c r="AL501" s="91"/>
      <c r="AM501" s="91"/>
      <c r="AN501" s="91"/>
      <c r="AO501" s="91"/>
      <c r="AP501" s="91"/>
      <c r="AQ501" s="91"/>
      <c r="AR501" s="91"/>
      <c r="AS501" s="91"/>
      <c r="AT501" s="91"/>
      <c r="AU501" s="91"/>
      <c r="AV501" s="91"/>
      <c r="AW501" s="91"/>
      <c r="AX501" s="91"/>
      <c r="AY501" s="91"/>
      <c r="AZ501" s="91"/>
      <c r="BA501" s="91"/>
      <c r="BB501" s="91"/>
      <c r="BC501" s="91"/>
      <c r="BD501" s="91"/>
      <c r="BE501" s="91"/>
      <c r="BF501" s="91"/>
      <c r="BG501" s="91"/>
      <c r="BH501" s="94"/>
    </row>
    <row r="502" spans="1:69" x14ac:dyDescent="0.25">
      <c r="A502" s="95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  <c r="AC502" s="96"/>
      <c r="AD502" s="96"/>
      <c r="AE502" s="96"/>
      <c r="AF502" s="96"/>
      <c r="AG502" s="96"/>
      <c r="AH502" s="96"/>
      <c r="AI502" s="96"/>
      <c r="AJ502" s="96"/>
      <c r="AK502" s="96"/>
      <c r="AL502" s="96"/>
      <c r="AM502" s="96"/>
      <c r="AN502" s="96"/>
      <c r="AO502" s="96"/>
      <c r="AP502" s="96"/>
      <c r="AQ502" s="96"/>
      <c r="AR502" s="96"/>
      <c r="AS502" s="96"/>
      <c r="AT502" s="96"/>
      <c r="AU502" s="96"/>
      <c r="AV502" s="96"/>
      <c r="AW502" s="96"/>
      <c r="AX502" s="96"/>
      <c r="AY502" s="96"/>
      <c r="AZ502" s="96"/>
      <c r="BA502" s="96"/>
      <c r="BB502" s="96"/>
      <c r="BC502" s="96"/>
      <c r="BD502" s="96"/>
      <c r="BE502" s="96"/>
      <c r="BF502" s="96"/>
      <c r="BG502" s="96"/>
      <c r="BH502" s="99"/>
    </row>
    <row r="503" spans="1:69" x14ac:dyDescent="0.25">
      <c r="A503" s="95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  <c r="AC503" s="96"/>
      <c r="AD503" s="96"/>
      <c r="AE503" s="96"/>
      <c r="AF503" s="96"/>
      <c r="AG503" s="96"/>
      <c r="AH503" s="96"/>
      <c r="AI503" s="96"/>
      <c r="AJ503" s="96"/>
      <c r="AK503" s="96"/>
      <c r="AL503" s="96"/>
      <c r="AM503" s="96"/>
      <c r="AN503" s="96"/>
      <c r="AO503" s="96"/>
      <c r="AP503" s="96"/>
      <c r="AQ503" s="96"/>
      <c r="AR503" s="96"/>
      <c r="AS503" s="96"/>
      <c r="AT503" s="96"/>
      <c r="AU503" s="96"/>
      <c r="AV503" s="96"/>
      <c r="AW503" s="96"/>
      <c r="AX503" s="96"/>
      <c r="AY503" s="96"/>
      <c r="AZ503" s="96"/>
      <c r="BA503" s="96"/>
      <c r="BB503" s="96"/>
      <c r="BC503" s="96"/>
      <c r="BD503" s="96"/>
      <c r="BE503" s="96"/>
      <c r="BF503" s="96"/>
      <c r="BG503" s="96"/>
      <c r="BH503" s="99"/>
    </row>
    <row r="504" spans="1:69" ht="17.25" thickBot="1" x14ac:dyDescent="0.3">
      <c r="A504" s="97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  <c r="AA504" s="98"/>
      <c r="AB504" s="98"/>
      <c r="AC504" s="98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  <c r="AO504" s="98"/>
      <c r="AP504" s="98"/>
      <c r="AQ504" s="98"/>
      <c r="AR504" s="98"/>
      <c r="AS504" s="98"/>
      <c r="AT504" s="98"/>
      <c r="AU504" s="98"/>
      <c r="AV504" s="98"/>
      <c r="AW504" s="98"/>
      <c r="AX504" s="98"/>
      <c r="AY504" s="98"/>
      <c r="AZ504" s="98"/>
      <c r="BA504" s="98"/>
      <c r="BB504" s="98"/>
      <c r="BC504" s="98"/>
      <c r="BD504" s="98"/>
      <c r="BE504" s="98"/>
      <c r="BF504" s="98"/>
      <c r="BG504" s="98"/>
      <c r="BH504" s="100"/>
    </row>
    <row r="505" spans="1:69" ht="27.75" x14ac:dyDescent="0.25">
      <c r="A505" s="182" t="s">
        <v>81</v>
      </c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2"/>
      <c r="Y505" s="182"/>
      <c r="Z505" s="182"/>
      <c r="AA505" s="182"/>
      <c r="AB505" s="182"/>
      <c r="AC505" s="182"/>
      <c r="AD505" s="182"/>
      <c r="AE505" s="182"/>
      <c r="AF505" s="182"/>
      <c r="AG505" s="182"/>
      <c r="AH505" s="182"/>
      <c r="AI505" s="182"/>
      <c r="AJ505" s="182"/>
      <c r="AK505" s="182"/>
      <c r="AL505" s="182"/>
      <c r="AM505" s="182"/>
      <c r="AN505" s="182"/>
      <c r="AO505" s="182"/>
      <c r="AP505" s="182"/>
      <c r="AQ505" s="182"/>
      <c r="AR505" s="182"/>
      <c r="AS505" s="182"/>
      <c r="AT505" s="182"/>
      <c r="AU505" s="182"/>
      <c r="AV505" s="182"/>
      <c r="AW505" s="182"/>
      <c r="AX505" s="182"/>
      <c r="AY505" s="182"/>
      <c r="AZ505" s="182"/>
      <c r="BA505" s="182"/>
      <c r="BB505" s="182"/>
      <c r="BC505" s="182"/>
      <c r="BD505" s="182"/>
      <c r="BE505" s="182"/>
      <c r="BF505" s="182"/>
      <c r="BG505" s="182"/>
      <c r="BH505" s="182"/>
    </row>
    <row r="506" spans="1:69" ht="27.75" x14ac:dyDescent="0.25">
      <c r="A506" s="183" t="s">
        <v>12</v>
      </c>
      <c r="B506" s="183"/>
      <c r="C506" s="183"/>
      <c r="D506" s="183"/>
      <c r="E506" s="183"/>
      <c r="F506" s="183"/>
      <c r="G506" s="183"/>
      <c r="H506" s="183"/>
      <c r="I506" s="183"/>
      <c r="J506" s="184" t="s">
        <v>85</v>
      </c>
      <c r="K506" s="185"/>
      <c r="L506" s="185"/>
      <c r="M506" s="185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  <c r="Z506" s="185"/>
      <c r="AA506" s="185"/>
      <c r="AB506" s="185"/>
      <c r="AC506" s="185"/>
      <c r="AD506" s="185"/>
      <c r="AE506" s="185"/>
      <c r="AF506" s="185"/>
      <c r="AG506" s="185"/>
      <c r="AH506" s="185"/>
      <c r="AI506" s="185"/>
      <c r="AJ506" s="185"/>
      <c r="AK506" s="185"/>
      <c r="AL506" s="185"/>
      <c r="AM506" s="185"/>
      <c r="AN506" s="185"/>
      <c r="AO506" s="185"/>
      <c r="AP506" s="185"/>
      <c r="AQ506" s="185"/>
      <c r="AR506" s="185"/>
      <c r="AS506" s="185"/>
      <c r="AT506" s="185"/>
      <c r="AU506" s="185"/>
      <c r="AV506" s="185"/>
      <c r="AW506" s="185"/>
      <c r="AX506" s="185"/>
      <c r="AY506" s="185"/>
      <c r="AZ506" s="185"/>
      <c r="BA506" s="185"/>
      <c r="BB506" s="185"/>
      <c r="BC506" s="185"/>
      <c r="BD506" s="185"/>
      <c r="BE506" s="185"/>
      <c r="BF506" s="185"/>
      <c r="BG506" s="185"/>
      <c r="BH506" s="185"/>
      <c r="BI506" s="185"/>
      <c r="BJ506" s="185"/>
      <c r="BK506" s="185"/>
      <c r="BL506" s="185"/>
      <c r="BM506" s="185"/>
      <c r="BN506" s="185"/>
      <c r="BO506" s="185"/>
      <c r="BP506" s="185"/>
      <c r="BQ506" s="185"/>
    </row>
    <row r="507" spans="1:69" ht="17.25" thickBot="1" x14ac:dyDescent="0.3">
      <c r="A507" s="186" t="s">
        <v>10</v>
      </c>
      <c r="B507" s="186"/>
      <c r="C507" s="186"/>
      <c r="D507" s="186"/>
      <c r="E507" s="186"/>
      <c r="F507" s="186"/>
      <c r="G507" s="186"/>
      <c r="H507" s="186"/>
      <c r="I507" s="187" t="s">
        <v>78</v>
      </c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  <c r="AA507" s="187"/>
      <c r="AB507" s="187"/>
      <c r="AC507" s="187"/>
      <c r="AD507" s="187"/>
      <c r="AE507" s="187"/>
      <c r="AF507" s="187"/>
      <c r="AG507" s="187"/>
      <c r="AH507" s="187"/>
      <c r="AI507" s="187"/>
      <c r="AJ507" s="187"/>
      <c r="AK507" s="187"/>
      <c r="AL507" s="187"/>
      <c r="AM507" s="187"/>
      <c r="AN507" s="187"/>
      <c r="AO507" s="188" t="s">
        <v>9</v>
      </c>
      <c r="AP507" s="188"/>
      <c r="AQ507" s="188"/>
      <c r="AR507" s="188"/>
      <c r="AS507" s="188"/>
      <c r="AT507" s="188"/>
      <c r="AU507" s="188"/>
      <c r="AV507" s="188"/>
      <c r="AW507" s="189">
        <f>AW479+1</f>
        <v>45928</v>
      </c>
      <c r="AX507" s="189"/>
      <c r="AY507" s="189"/>
      <c r="AZ507" s="189"/>
      <c r="BA507" s="189"/>
      <c r="BB507" s="189"/>
      <c r="BC507" s="189"/>
      <c r="BD507" s="189"/>
      <c r="BE507" s="189"/>
      <c r="BF507" s="189"/>
      <c r="BG507" s="189"/>
      <c r="BH507" s="189"/>
    </row>
    <row r="508" spans="1:69" ht="36" customHeight="1" x14ac:dyDescent="0.25">
      <c r="A508" s="180" t="s">
        <v>0</v>
      </c>
      <c r="B508" s="83"/>
      <c r="C508" s="83"/>
      <c r="D508" s="83"/>
      <c r="E508" s="83" t="s">
        <v>6</v>
      </c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 t="s">
        <v>7</v>
      </c>
      <c r="V508" s="83"/>
      <c r="W508" s="83"/>
      <c r="X508" s="83"/>
      <c r="Y508" s="181" t="s">
        <v>1</v>
      </c>
      <c r="Z508" s="181"/>
      <c r="AA508" s="181"/>
      <c r="AB508" s="181"/>
      <c r="AC508" s="181"/>
      <c r="AD508" s="181"/>
      <c r="AE508" s="83" t="s">
        <v>8</v>
      </c>
      <c r="AF508" s="83"/>
      <c r="AG508" s="83"/>
      <c r="AH508" s="83"/>
      <c r="AI508" s="83"/>
      <c r="AJ508" s="83"/>
      <c r="AK508" s="181" t="s">
        <v>2</v>
      </c>
      <c r="AL508" s="181"/>
      <c r="AM508" s="181"/>
      <c r="AN508" s="181"/>
      <c r="AO508" s="181"/>
      <c r="AP508" s="181"/>
      <c r="AQ508" s="84" t="s">
        <v>3</v>
      </c>
      <c r="AR508" s="84"/>
      <c r="AS508" s="84"/>
      <c r="AT508" s="84"/>
      <c r="AU508" s="84"/>
      <c r="AV508" s="84"/>
      <c r="AW508" s="181" t="s">
        <v>4</v>
      </c>
      <c r="AX508" s="181"/>
      <c r="AY508" s="181"/>
      <c r="AZ508" s="181"/>
      <c r="BA508" s="181"/>
      <c r="BB508" s="181"/>
      <c r="BC508" s="84" t="s">
        <v>5</v>
      </c>
      <c r="BD508" s="84"/>
      <c r="BE508" s="84"/>
      <c r="BF508" s="84"/>
      <c r="BG508" s="84"/>
      <c r="BH508" s="85"/>
      <c r="BI508" s="1"/>
    </row>
    <row r="509" spans="1:69" ht="21.95" customHeight="1" x14ac:dyDescent="0.25">
      <c r="A509" s="150" t="str">
        <f t="shared" ref="A509" si="1527">A481</f>
        <v>壹</v>
      </c>
      <c r="B509" s="151"/>
      <c r="C509" s="151"/>
      <c r="D509" s="152"/>
      <c r="E509" s="175" t="str">
        <f t="shared" ref="E509" si="1528">E481</f>
        <v>直接工程費</v>
      </c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7"/>
      <c r="U509" s="117"/>
      <c r="V509" s="118"/>
      <c r="W509" s="118"/>
      <c r="X509" s="119"/>
      <c r="Y509" s="178"/>
      <c r="Z509" s="178"/>
      <c r="AA509" s="178"/>
      <c r="AB509" s="178"/>
      <c r="AC509" s="178"/>
      <c r="AD509" s="178"/>
      <c r="AE509" s="178"/>
      <c r="AF509" s="178"/>
      <c r="AG509" s="178"/>
      <c r="AH509" s="178"/>
      <c r="AI509" s="178"/>
      <c r="AJ509" s="178"/>
      <c r="AK509" s="178"/>
      <c r="AL509" s="178"/>
      <c r="AM509" s="178"/>
      <c r="AN509" s="178"/>
      <c r="AO509" s="178"/>
      <c r="AP509" s="178"/>
      <c r="AQ509" s="178"/>
      <c r="AR509" s="178"/>
      <c r="AS509" s="178"/>
      <c r="AT509" s="178"/>
      <c r="AU509" s="178"/>
      <c r="AV509" s="178"/>
      <c r="AW509" s="178"/>
      <c r="AX509" s="178"/>
      <c r="AY509" s="178"/>
      <c r="AZ509" s="178"/>
      <c r="BA509" s="178"/>
      <c r="BB509" s="178"/>
      <c r="BC509" s="178"/>
      <c r="BD509" s="178"/>
      <c r="BE509" s="178"/>
      <c r="BF509" s="178"/>
      <c r="BG509" s="178"/>
      <c r="BH509" s="179"/>
      <c r="BI509" s="3">
        <f t="shared" ref="BI509:BI525" si="1529">Y509*AE509</f>
        <v>0</v>
      </c>
    </row>
    <row r="510" spans="1:69" s="19" customFormat="1" ht="21.95" customHeight="1" x14ac:dyDescent="0.25">
      <c r="A510" s="127">
        <f t="shared" ref="A510" si="1530">A482</f>
        <v>1</v>
      </c>
      <c r="B510" s="128"/>
      <c r="C510" s="128"/>
      <c r="D510" s="129"/>
      <c r="E510" s="170" t="str">
        <f t="shared" ref="E510" si="1531">E482</f>
        <v>工程告示牌與職安衛告示牌(租用)</v>
      </c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2"/>
      <c r="U510" s="133" t="str">
        <f t="shared" ref="U510" si="1532">U482</f>
        <v>式</v>
      </c>
      <c r="V510" s="134"/>
      <c r="W510" s="134"/>
      <c r="X510" s="135"/>
      <c r="Y510" s="136">
        <f t="shared" ref="Y510" si="1533">Y482</f>
        <v>1</v>
      </c>
      <c r="Z510" s="137"/>
      <c r="AA510" s="137"/>
      <c r="AB510" s="137"/>
      <c r="AC510" s="137"/>
      <c r="AD510" s="138"/>
      <c r="AE510" s="139">
        <f t="shared" ref="AE510" si="1534">AE482</f>
        <v>5000</v>
      </c>
      <c r="AF510" s="139"/>
      <c r="AG510" s="139"/>
      <c r="AH510" s="139"/>
      <c r="AI510" s="139"/>
      <c r="AJ510" s="139"/>
      <c r="AK510" s="173">
        <v>0</v>
      </c>
      <c r="AL510" s="173"/>
      <c r="AM510" s="173"/>
      <c r="AN510" s="173"/>
      <c r="AO510" s="173"/>
      <c r="AP510" s="173"/>
      <c r="AQ510" s="139">
        <f t="shared" ref="AQ510:AQ511" si="1535">AK510*AE510</f>
        <v>0</v>
      </c>
      <c r="AR510" s="139"/>
      <c r="AS510" s="139"/>
      <c r="AT510" s="139"/>
      <c r="AU510" s="139"/>
      <c r="AV510" s="139"/>
      <c r="AW510" s="173">
        <f t="shared" ref="AW510:AW520" si="1536">AW482+AK510</f>
        <v>1</v>
      </c>
      <c r="AX510" s="173"/>
      <c r="AY510" s="173"/>
      <c r="AZ510" s="173"/>
      <c r="BA510" s="173"/>
      <c r="BB510" s="173"/>
      <c r="BC510" s="173">
        <f t="shared" ref="BC510:BC511" si="1537">ROUND(AW510*AE510,0)</f>
        <v>5000</v>
      </c>
      <c r="BD510" s="173"/>
      <c r="BE510" s="173"/>
      <c r="BF510" s="173"/>
      <c r="BG510" s="173"/>
      <c r="BH510" s="174"/>
      <c r="BI510" s="18">
        <f t="shared" si="1529"/>
        <v>5000</v>
      </c>
    </row>
    <row r="511" spans="1:69" s="19" customFormat="1" ht="21.95" customHeight="1" x14ac:dyDescent="0.25">
      <c r="A511" s="127">
        <f t="shared" ref="A511" si="1538">A483</f>
        <v>2</v>
      </c>
      <c r="B511" s="128"/>
      <c r="C511" s="128"/>
      <c r="D511" s="129"/>
      <c r="E511" s="170" t="str">
        <f t="shared" ref="E511" si="1539">E483</f>
        <v>三角錐與連桿(租用)</v>
      </c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2"/>
      <c r="U511" s="133" t="str">
        <f t="shared" ref="U511" si="1540">U483</f>
        <v>M</v>
      </c>
      <c r="V511" s="134"/>
      <c r="W511" s="134"/>
      <c r="X511" s="135"/>
      <c r="Y511" s="147">
        <f t="shared" ref="Y511" si="1541">Y483</f>
        <v>86</v>
      </c>
      <c r="Z511" s="148"/>
      <c r="AA511" s="148"/>
      <c r="AB511" s="148"/>
      <c r="AC511" s="148"/>
      <c r="AD511" s="149"/>
      <c r="AE511" s="139">
        <f t="shared" ref="AE511" si="1542">AE483</f>
        <v>60</v>
      </c>
      <c r="AF511" s="139"/>
      <c r="AG511" s="139"/>
      <c r="AH511" s="139"/>
      <c r="AI511" s="139"/>
      <c r="AJ511" s="139"/>
      <c r="AK511" s="173">
        <v>0</v>
      </c>
      <c r="AL511" s="173"/>
      <c r="AM511" s="173"/>
      <c r="AN511" s="173"/>
      <c r="AO511" s="173"/>
      <c r="AP511" s="173"/>
      <c r="AQ511" s="139">
        <f t="shared" si="1535"/>
        <v>0</v>
      </c>
      <c r="AR511" s="139"/>
      <c r="AS511" s="139"/>
      <c r="AT511" s="139"/>
      <c r="AU511" s="139"/>
      <c r="AV511" s="139"/>
      <c r="AW511" s="173">
        <f t="shared" si="1536"/>
        <v>86</v>
      </c>
      <c r="AX511" s="173"/>
      <c r="AY511" s="173"/>
      <c r="AZ511" s="173"/>
      <c r="BA511" s="173"/>
      <c r="BB511" s="173"/>
      <c r="BC511" s="173">
        <f t="shared" si="1537"/>
        <v>5160</v>
      </c>
      <c r="BD511" s="173"/>
      <c r="BE511" s="173"/>
      <c r="BF511" s="173"/>
      <c r="BG511" s="173"/>
      <c r="BH511" s="174"/>
      <c r="BI511" s="18">
        <f t="shared" si="1529"/>
        <v>5160</v>
      </c>
    </row>
    <row r="512" spans="1:69" s="19" customFormat="1" ht="33" customHeight="1" x14ac:dyDescent="0.25">
      <c r="A512" s="150">
        <f t="shared" ref="A512" si="1543">A484</f>
        <v>3</v>
      </c>
      <c r="B512" s="151"/>
      <c r="C512" s="151"/>
      <c r="D512" s="152"/>
      <c r="E512" s="175" t="str">
        <f t="shared" ref="E512" si="1544">E484</f>
        <v>施工動線開闢及損害復原；測量與放樣</v>
      </c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7"/>
      <c r="U512" s="117" t="str">
        <f t="shared" ref="U512" si="1545">U484</f>
        <v>式</v>
      </c>
      <c r="V512" s="118"/>
      <c r="W512" s="118"/>
      <c r="X512" s="119"/>
      <c r="Y512" s="156">
        <f t="shared" ref="Y512" si="1546">Y484</f>
        <v>1</v>
      </c>
      <c r="Z512" s="157"/>
      <c r="AA512" s="157"/>
      <c r="AB512" s="157"/>
      <c r="AC512" s="157"/>
      <c r="AD512" s="158"/>
      <c r="AE512" s="159">
        <f t="shared" ref="AE512" si="1547">AE484</f>
        <v>4000</v>
      </c>
      <c r="AF512" s="159"/>
      <c r="AG512" s="159"/>
      <c r="AH512" s="159"/>
      <c r="AI512" s="159"/>
      <c r="AJ512" s="159"/>
      <c r="AK512" s="167">
        <v>0</v>
      </c>
      <c r="AL512" s="167"/>
      <c r="AM512" s="167"/>
      <c r="AN512" s="167"/>
      <c r="AO512" s="167"/>
      <c r="AP512" s="167"/>
      <c r="AQ512" s="159">
        <f>AK512*AE512</f>
        <v>0</v>
      </c>
      <c r="AR512" s="159"/>
      <c r="AS512" s="159"/>
      <c r="AT512" s="159"/>
      <c r="AU512" s="159"/>
      <c r="AV512" s="159"/>
      <c r="AW512" s="167">
        <f t="shared" si="1536"/>
        <v>0.5</v>
      </c>
      <c r="AX512" s="167"/>
      <c r="AY512" s="167"/>
      <c r="AZ512" s="167"/>
      <c r="BA512" s="167"/>
      <c r="BB512" s="167"/>
      <c r="BC512" s="167">
        <f>ROUND(AW512*AE512,0)</f>
        <v>2000</v>
      </c>
      <c r="BD512" s="167"/>
      <c r="BE512" s="167"/>
      <c r="BF512" s="167"/>
      <c r="BG512" s="167"/>
      <c r="BH512" s="168"/>
      <c r="BI512" s="18">
        <f t="shared" si="1529"/>
        <v>4000</v>
      </c>
    </row>
    <row r="513" spans="1:61" s="19" customFormat="1" ht="54" customHeight="1" x14ac:dyDescent="0.25">
      <c r="A513" s="127">
        <f t="shared" ref="A513" si="1548">A485</f>
        <v>4</v>
      </c>
      <c r="B513" s="128"/>
      <c r="C513" s="128"/>
      <c r="D513" s="129"/>
      <c r="E513" s="170" t="str">
        <f t="shared" ref="E513" si="1549">E485</f>
        <v>切割打除清運校舍與教室出入口地坪以及司令台階梯平台(含合法清運證明)</v>
      </c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2"/>
      <c r="U513" s="133" t="str">
        <f t="shared" ref="U513" si="1550">U485</f>
        <v>式</v>
      </c>
      <c r="V513" s="134"/>
      <c r="W513" s="134"/>
      <c r="X513" s="135"/>
      <c r="Y513" s="147">
        <f t="shared" ref="Y513" si="1551">Y485</f>
        <v>1</v>
      </c>
      <c r="Z513" s="148"/>
      <c r="AA513" s="148"/>
      <c r="AB513" s="148"/>
      <c r="AC513" s="148"/>
      <c r="AD513" s="149"/>
      <c r="AE513" s="139">
        <f t="shared" ref="AE513" si="1552">AE485</f>
        <v>52817</v>
      </c>
      <c r="AF513" s="139"/>
      <c r="AG513" s="139"/>
      <c r="AH513" s="139"/>
      <c r="AI513" s="139"/>
      <c r="AJ513" s="139"/>
      <c r="AK513" s="173">
        <v>0</v>
      </c>
      <c r="AL513" s="173"/>
      <c r="AM513" s="173"/>
      <c r="AN513" s="173"/>
      <c r="AO513" s="173"/>
      <c r="AP513" s="173"/>
      <c r="AQ513" s="139">
        <f t="shared" ref="AQ513:AQ516" si="1553">AK513*AE513</f>
        <v>0</v>
      </c>
      <c r="AR513" s="139"/>
      <c r="AS513" s="139"/>
      <c r="AT513" s="139"/>
      <c r="AU513" s="139"/>
      <c r="AV513" s="139"/>
      <c r="AW513" s="173">
        <f t="shared" si="1536"/>
        <v>1</v>
      </c>
      <c r="AX513" s="173"/>
      <c r="AY513" s="173"/>
      <c r="AZ513" s="173"/>
      <c r="BA513" s="173"/>
      <c r="BB513" s="173"/>
      <c r="BC513" s="173">
        <f t="shared" ref="BC513:BC516" si="1554">ROUND(AW513*AE513,0)</f>
        <v>52817</v>
      </c>
      <c r="BD513" s="173"/>
      <c r="BE513" s="173"/>
      <c r="BF513" s="173"/>
      <c r="BG513" s="173"/>
      <c r="BH513" s="174"/>
      <c r="BI513" s="20">
        <f t="shared" si="1529"/>
        <v>52817</v>
      </c>
    </row>
    <row r="514" spans="1:61" ht="20.25" customHeight="1" x14ac:dyDescent="0.25">
      <c r="A514" s="150">
        <f t="shared" ref="A514" si="1555">A486</f>
        <v>5</v>
      </c>
      <c r="B514" s="151"/>
      <c r="C514" s="151"/>
      <c r="D514" s="152"/>
      <c r="E514" s="153" t="str">
        <f t="shared" ref="E514" si="1556">E486</f>
        <v>校舍出入口施做斜坡順平高差</v>
      </c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5"/>
      <c r="U514" s="117" t="str">
        <f t="shared" ref="U514" si="1557">U486</f>
        <v>M2</v>
      </c>
      <c r="V514" s="118"/>
      <c r="W514" s="118"/>
      <c r="X514" s="119"/>
      <c r="Y514" s="160">
        <f t="shared" ref="Y514" si="1558">Y486</f>
        <v>15</v>
      </c>
      <c r="Z514" s="161"/>
      <c r="AA514" s="161"/>
      <c r="AB514" s="161"/>
      <c r="AC514" s="161"/>
      <c r="AD514" s="162"/>
      <c r="AE514" s="169">
        <f t="shared" ref="AE514" si="1559">AE486</f>
        <v>600</v>
      </c>
      <c r="AF514" s="169"/>
      <c r="AG514" s="169"/>
      <c r="AH514" s="169"/>
      <c r="AI514" s="169"/>
      <c r="AJ514" s="169"/>
      <c r="AK514" s="167">
        <v>0</v>
      </c>
      <c r="AL514" s="167"/>
      <c r="AM514" s="167"/>
      <c r="AN514" s="167"/>
      <c r="AO514" s="167"/>
      <c r="AP514" s="167"/>
      <c r="AQ514" s="159">
        <f t="shared" si="1553"/>
        <v>0</v>
      </c>
      <c r="AR514" s="159"/>
      <c r="AS514" s="159"/>
      <c r="AT514" s="159"/>
      <c r="AU514" s="159"/>
      <c r="AV514" s="159"/>
      <c r="AW514" s="167">
        <f t="shared" si="1536"/>
        <v>0</v>
      </c>
      <c r="AX514" s="167"/>
      <c r="AY514" s="167"/>
      <c r="AZ514" s="167"/>
      <c r="BA514" s="167"/>
      <c r="BB514" s="167"/>
      <c r="BC514" s="167">
        <f t="shared" si="1554"/>
        <v>0</v>
      </c>
      <c r="BD514" s="167"/>
      <c r="BE514" s="167"/>
      <c r="BF514" s="167"/>
      <c r="BG514" s="167"/>
      <c r="BH514" s="168"/>
      <c r="BI514" s="3">
        <f t="shared" si="1529"/>
        <v>9000</v>
      </c>
    </row>
    <row r="515" spans="1:61" ht="50.25" customHeight="1" x14ac:dyDescent="0.25">
      <c r="A515" s="150">
        <f t="shared" ref="A515" si="1560">A487</f>
        <v>6</v>
      </c>
      <c r="B515" s="151"/>
      <c r="C515" s="151"/>
      <c r="D515" s="152"/>
      <c r="E515" s="153" t="str">
        <f t="shared" ref="E515" si="1561">E487</f>
        <v>開挖整地，新設無障礙RC坡道，牆面與地坪粉刷整平(連工帶料，責任施工)</v>
      </c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5"/>
      <c r="U515" s="117" t="str">
        <f t="shared" ref="U515" si="1562">U487</f>
        <v>式</v>
      </c>
      <c r="V515" s="118"/>
      <c r="W515" s="118"/>
      <c r="X515" s="119"/>
      <c r="Y515" s="160">
        <f t="shared" ref="Y515" si="1563">Y487</f>
        <v>1</v>
      </c>
      <c r="Z515" s="161"/>
      <c r="AA515" s="161"/>
      <c r="AB515" s="161"/>
      <c r="AC515" s="161"/>
      <c r="AD515" s="162"/>
      <c r="AE515" s="159">
        <f t="shared" ref="AE515" si="1564">AE487</f>
        <v>153000</v>
      </c>
      <c r="AF515" s="159"/>
      <c r="AG515" s="159"/>
      <c r="AH515" s="159"/>
      <c r="AI515" s="159"/>
      <c r="AJ515" s="159"/>
      <c r="AK515" s="167">
        <v>0</v>
      </c>
      <c r="AL515" s="167"/>
      <c r="AM515" s="167"/>
      <c r="AN515" s="167"/>
      <c r="AO515" s="167"/>
      <c r="AP515" s="167"/>
      <c r="AQ515" s="159">
        <f t="shared" si="1553"/>
        <v>0</v>
      </c>
      <c r="AR515" s="159"/>
      <c r="AS515" s="159"/>
      <c r="AT515" s="159"/>
      <c r="AU515" s="159"/>
      <c r="AV515" s="159"/>
      <c r="AW515" s="167">
        <f t="shared" si="1536"/>
        <v>0</v>
      </c>
      <c r="AX515" s="167"/>
      <c r="AY515" s="167"/>
      <c r="AZ515" s="167"/>
      <c r="BA515" s="167"/>
      <c r="BB515" s="167"/>
      <c r="BC515" s="167">
        <f t="shared" si="1554"/>
        <v>0</v>
      </c>
      <c r="BD515" s="167"/>
      <c r="BE515" s="167"/>
      <c r="BF515" s="167"/>
      <c r="BG515" s="167"/>
      <c r="BH515" s="168"/>
      <c r="BI515" s="3">
        <f t="shared" si="1529"/>
        <v>153000</v>
      </c>
    </row>
    <row r="516" spans="1:61" ht="32.450000000000003" customHeight="1" x14ac:dyDescent="0.25">
      <c r="A516" s="150">
        <f t="shared" ref="A516" si="1565">A488</f>
        <v>7</v>
      </c>
      <c r="B516" s="151"/>
      <c r="C516" s="151"/>
      <c r="D516" s="152"/>
      <c r="E516" s="153" t="str">
        <f t="shared" ref="E516" si="1566">E488</f>
        <v>施做抿石子(1~2分AK石，抿石子專用泥)</v>
      </c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5"/>
      <c r="U516" s="117" t="str">
        <f t="shared" ref="U516" si="1567">U488</f>
        <v>M2</v>
      </c>
      <c r="V516" s="118"/>
      <c r="W516" s="118"/>
      <c r="X516" s="119"/>
      <c r="Y516" s="160">
        <f t="shared" ref="Y516" si="1568">Y488</f>
        <v>38</v>
      </c>
      <c r="Z516" s="161"/>
      <c r="AA516" s="161"/>
      <c r="AB516" s="161"/>
      <c r="AC516" s="161"/>
      <c r="AD516" s="162"/>
      <c r="AE516" s="159">
        <f t="shared" ref="AE516" si="1569">AE488</f>
        <v>1460</v>
      </c>
      <c r="AF516" s="159"/>
      <c r="AG516" s="159"/>
      <c r="AH516" s="159"/>
      <c r="AI516" s="159"/>
      <c r="AJ516" s="159"/>
      <c r="AK516" s="167">
        <v>0</v>
      </c>
      <c r="AL516" s="167"/>
      <c r="AM516" s="167"/>
      <c r="AN516" s="167"/>
      <c r="AO516" s="167"/>
      <c r="AP516" s="167"/>
      <c r="AQ516" s="159">
        <f t="shared" si="1553"/>
        <v>0</v>
      </c>
      <c r="AR516" s="159"/>
      <c r="AS516" s="159"/>
      <c r="AT516" s="159"/>
      <c r="AU516" s="159"/>
      <c r="AV516" s="159"/>
      <c r="AW516" s="167">
        <f t="shared" si="1536"/>
        <v>0</v>
      </c>
      <c r="AX516" s="167"/>
      <c r="AY516" s="167"/>
      <c r="AZ516" s="167"/>
      <c r="BA516" s="167"/>
      <c r="BB516" s="167"/>
      <c r="BC516" s="167">
        <f t="shared" si="1554"/>
        <v>0</v>
      </c>
      <c r="BD516" s="167"/>
      <c r="BE516" s="167"/>
      <c r="BF516" s="167"/>
      <c r="BG516" s="167"/>
      <c r="BH516" s="168"/>
      <c r="BI516" s="3">
        <f t="shared" si="1529"/>
        <v>55480</v>
      </c>
    </row>
    <row r="517" spans="1:61" ht="21" customHeight="1" x14ac:dyDescent="0.25">
      <c r="A517" s="150">
        <f t="shared" ref="A517" si="1570">A489</f>
        <v>8</v>
      </c>
      <c r="B517" s="151"/>
      <c r="C517" s="151"/>
      <c r="D517" s="152"/>
      <c r="E517" s="153" t="str">
        <f t="shared" ref="E517" si="1571">E489</f>
        <v>無障礙坡道地坪拉毛</v>
      </c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5"/>
      <c r="U517" s="117" t="str">
        <f t="shared" ref="U517" si="1572">U489</f>
        <v>M2</v>
      </c>
      <c r="V517" s="118"/>
      <c r="W517" s="118"/>
      <c r="X517" s="119"/>
      <c r="Y517" s="160">
        <f t="shared" ref="Y517" si="1573">Y489</f>
        <v>33</v>
      </c>
      <c r="Z517" s="161"/>
      <c r="AA517" s="161"/>
      <c r="AB517" s="161"/>
      <c r="AC517" s="161"/>
      <c r="AD517" s="162"/>
      <c r="AE517" s="159">
        <f t="shared" ref="AE517" si="1574">AE489</f>
        <v>100</v>
      </c>
      <c r="AF517" s="159"/>
      <c r="AG517" s="159"/>
      <c r="AH517" s="159"/>
      <c r="AI517" s="159"/>
      <c r="AJ517" s="159"/>
      <c r="AK517" s="167"/>
      <c r="AL517" s="167"/>
      <c r="AM517" s="167"/>
      <c r="AN517" s="167"/>
      <c r="AO517" s="167"/>
      <c r="AP517" s="167"/>
      <c r="AQ517" s="159"/>
      <c r="AR517" s="159"/>
      <c r="AS517" s="159"/>
      <c r="AT517" s="159"/>
      <c r="AU517" s="159"/>
      <c r="AV517" s="159"/>
      <c r="AW517" s="167">
        <f t="shared" si="1536"/>
        <v>0</v>
      </c>
      <c r="AX517" s="167"/>
      <c r="AY517" s="167"/>
      <c r="AZ517" s="167"/>
      <c r="BA517" s="167"/>
      <c r="BB517" s="167"/>
      <c r="BC517" s="167"/>
      <c r="BD517" s="167"/>
      <c r="BE517" s="167"/>
      <c r="BF517" s="167"/>
      <c r="BG517" s="167"/>
      <c r="BH517" s="168"/>
      <c r="BI517" s="3">
        <f t="shared" si="1529"/>
        <v>3300</v>
      </c>
    </row>
    <row r="518" spans="1:61" s="19" customFormat="1" ht="34.5" customHeight="1" x14ac:dyDescent="0.25">
      <c r="A518" s="127">
        <f t="shared" ref="A518" si="1575">A490</f>
        <v>9</v>
      </c>
      <c r="B518" s="128"/>
      <c r="C518" s="128"/>
      <c r="D518" s="129"/>
      <c r="E518" s="153" t="str">
        <f t="shared" ref="E518" si="1576">E490</f>
        <v>司令台既有樓梯面清潔，刷止滑漆(一底二度)</v>
      </c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5"/>
      <c r="U518" s="133" t="str">
        <f t="shared" ref="U518" si="1577">U490</f>
        <v>式</v>
      </c>
      <c r="V518" s="134"/>
      <c r="W518" s="134"/>
      <c r="X518" s="135"/>
      <c r="Y518" s="160">
        <f t="shared" ref="Y518" si="1578">Y490</f>
        <v>1</v>
      </c>
      <c r="Z518" s="161"/>
      <c r="AA518" s="161"/>
      <c r="AB518" s="161"/>
      <c r="AC518" s="161"/>
      <c r="AD518" s="162"/>
      <c r="AE518" s="159">
        <f t="shared" ref="AE518" si="1579">AE490</f>
        <v>3000</v>
      </c>
      <c r="AF518" s="159"/>
      <c r="AG518" s="159"/>
      <c r="AH518" s="159"/>
      <c r="AI518" s="159"/>
      <c r="AJ518" s="159"/>
      <c r="AK518" s="167">
        <v>0</v>
      </c>
      <c r="AL518" s="167"/>
      <c r="AM518" s="167"/>
      <c r="AN518" s="167"/>
      <c r="AO518" s="167"/>
      <c r="AP518" s="167"/>
      <c r="AQ518" s="159">
        <f t="shared" ref="AQ518:AQ525" si="1580">AK518*AE518</f>
        <v>0</v>
      </c>
      <c r="AR518" s="159"/>
      <c r="AS518" s="159"/>
      <c r="AT518" s="159"/>
      <c r="AU518" s="159"/>
      <c r="AV518" s="159"/>
      <c r="AW518" s="167">
        <f t="shared" si="1536"/>
        <v>0</v>
      </c>
      <c r="AX518" s="167"/>
      <c r="AY518" s="167"/>
      <c r="AZ518" s="167"/>
      <c r="BA518" s="167"/>
      <c r="BB518" s="167"/>
      <c r="BC518" s="167">
        <f t="shared" ref="BC518:BC520" si="1581">ROUND(AW518*AE518,0)</f>
        <v>0</v>
      </c>
      <c r="BD518" s="167"/>
      <c r="BE518" s="167"/>
      <c r="BF518" s="167"/>
      <c r="BG518" s="167"/>
      <c r="BH518" s="168"/>
      <c r="BI518" s="18">
        <f t="shared" si="1529"/>
        <v>3000</v>
      </c>
    </row>
    <row r="519" spans="1:61" ht="35.25" customHeight="1" x14ac:dyDescent="0.25">
      <c r="A519" s="150">
        <f t="shared" ref="A519" si="1582">A491</f>
        <v>10</v>
      </c>
      <c r="B519" s="151"/>
      <c r="C519" s="151"/>
      <c r="D519" s="152"/>
      <c r="E519" s="153" t="str">
        <f t="shared" ref="E519" si="1583">E491</f>
        <v>校舍、教室及司令台坡道出入口配置無線押扣與插電式緊急求救鈴</v>
      </c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5"/>
      <c r="U519" s="117" t="str">
        <f t="shared" ref="U519" si="1584">U491</f>
        <v>組</v>
      </c>
      <c r="V519" s="118"/>
      <c r="W519" s="118"/>
      <c r="X519" s="119"/>
      <c r="Y519" s="160">
        <f t="shared" ref="Y519" si="1585">Y491</f>
        <v>8</v>
      </c>
      <c r="Z519" s="161"/>
      <c r="AA519" s="161"/>
      <c r="AB519" s="161"/>
      <c r="AC519" s="161"/>
      <c r="AD519" s="162"/>
      <c r="AE519" s="159">
        <f t="shared" ref="AE519" si="1586">AE491</f>
        <v>700</v>
      </c>
      <c r="AF519" s="159"/>
      <c r="AG519" s="159"/>
      <c r="AH519" s="159"/>
      <c r="AI519" s="159"/>
      <c r="AJ519" s="159"/>
      <c r="AK519" s="167">
        <v>0</v>
      </c>
      <c r="AL519" s="167"/>
      <c r="AM519" s="167"/>
      <c r="AN519" s="167"/>
      <c r="AO519" s="167"/>
      <c r="AP519" s="167"/>
      <c r="AQ519" s="159">
        <f t="shared" si="1580"/>
        <v>0</v>
      </c>
      <c r="AR519" s="159"/>
      <c r="AS519" s="159"/>
      <c r="AT519" s="159"/>
      <c r="AU519" s="159"/>
      <c r="AV519" s="159"/>
      <c r="AW519" s="167">
        <f t="shared" si="1536"/>
        <v>0</v>
      </c>
      <c r="AX519" s="167"/>
      <c r="AY519" s="167"/>
      <c r="AZ519" s="167"/>
      <c r="BA519" s="167"/>
      <c r="BB519" s="167"/>
      <c r="BC519" s="167">
        <f t="shared" si="1581"/>
        <v>0</v>
      </c>
      <c r="BD519" s="167"/>
      <c r="BE519" s="167"/>
      <c r="BF519" s="167"/>
      <c r="BG519" s="167"/>
      <c r="BH519" s="168"/>
      <c r="BI519" s="3">
        <f t="shared" si="1529"/>
        <v>5600</v>
      </c>
    </row>
    <row r="520" spans="1:61" ht="36.75" customHeight="1" x14ac:dyDescent="0.25">
      <c r="A520" s="150">
        <f t="shared" ref="A520" si="1587">A492</f>
        <v>11</v>
      </c>
      <c r="B520" s="151"/>
      <c r="C520" s="151"/>
      <c r="D520" s="152"/>
      <c r="E520" s="153" t="str">
        <f t="shared" ref="E520" si="1588">E492</f>
        <v>司令台周圍及無障礙坡道安裝不鏽鋼扶手(連工帶料)</v>
      </c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5"/>
      <c r="U520" s="117" t="str">
        <f t="shared" ref="U520" si="1589">U492</f>
        <v>M</v>
      </c>
      <c r="V520" s="118"/>
      <c r="W520" s="118"/>
      <c r="X520" s="119"/>
      <c r="Y520" s="156">
        <f t="shared" ref="Y520" si="1590">Y492</f>
        <v>48</v>
      </c>
      <c r="Z520" s="157"/>
      <c r="AA520" s="157"/>
      <c r="AB520" s="157"/>
      <c r="AC520" s="157"/>
      <c r="AD520" s="158"/>
      <c r="AE520" s="159">
        <f t="shared" ref="AE520" si="1591">AE492</f>
        <v>3000</v>
      </c>
      <c r="AF520" s="159"/>
      <c r="AG520" s="159"/>
      <c r="AH520" s="159"/>
      <c r="AI520" s="159"/>
      <c r="AJ520" s="159"/>
      <c r="AK520" s="160">
        <v>0</v>
      </c>
      <c r="AL520" s="161"/>
      <c r="AM520" s="161"/>
      <c r="AN520" s="161"/>
      <c r="AO520" s="161"/>
      <c r="AP520" s="162"/>
      <c r="AQ520" s="163">
        <f t="shared" si="1580"/>
        <v>0</v>
      </c>
      <c r="AR520" s="164"/>
      <c r="AS520" s="164"/>
      <c r="AT520" s="164"/>
      <c r="AU520" s="164"/>
      <c r="AV520" s="165"/>
      <c r="AW520" s="160">
        <f t="shared" si="1536"/>
        <v>0</v>
      </c>
      <c r="AX520" s="161"/>
      <c r="AY520" s="161"/>
      <c r="AZ520" s="161"/>
      <c r="BA520" s="161"/>
      <c r="BB520" s="162"/>
      <c r="BC520" s="160">
        <f t="shared" si="1581"/>
        <v>0</v>
      </c>
      <c r="BD520" s="161"/>
      <c r="BE520" s="161"/>
      <c r="BF520" s="161"/>
      <c r="BG520" s="161"/>
      <c r="BH520" s="166"/>
      <c r="BI520" s="3">
        <f t="shared" si="1529"/>
        <v>144000</v>
      </c>
    </row>
    <row r="521" spans="1:61" s="19" customFormat="1" ht="35.25" customHeight="1" x14ac:dyDescent="0.25">
      <c r="A521" s="127" t="str">
        <f t="shared" ref="A521" si="1592">A493</f>
        <v>貳</v>
      </c>
      <c r="B521" s="128"/>
      <c r="C521" s="128"/>
      <c r="D521" s="129"/>
      <c r="E521" s="130" t="str">
        <f t="shared" ref="E521" si="1593">E493</f>
        <v>職業安全衛生管理費與施工環境保護與清潔（壹*2%）</v>
      </c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2"/>
      <c r="U521" s="133" t="str">
        <f t="shared" ref="U521" si="1594">U493</f>
        <v>式</v>
      </c>
      <c r="V521" s="134"/>
      <c r="W521" s="134"/>
      <c r="X521" s="135"/>
      <c r="Y521" s="136">
        <f t="shared" ref="Y521" si="1595">Y493</f>
        <v>1</v>
      </c>
      <c r="Z521" s="137"/>
      <c r="AA521" s="137"/>
      <c r="AB521" s="137"/>
      <c r="AC521" s="137"/>
      <c r="AD521" s="138"/>
      <c r="AE521" s="139">
        <f t="shared" ref="AE521" si="1596">AE493</f>
        <v>8807</v>
      </c>
      <c r="AF521" s="139"/>
      <c r="AG521" s="139"/>
      <c r="AH521" s="139"/>
      <c r="AI521" s="139"/>
      <c r="AJ521" s="139"/>
      <c r="AK521" s="140">
        <v>1.7000000000000001E-2</v>
      </c>
      <c r="AL521" s="141"/>
      <c r="AM521" s="141"/>
      <c r="AN521" s="141"/>
      <c r="AO521" s="141"/>
      <c r="AP521" s="142"/>
      <c r="AQ521" s="143">
        <f t="shared" si="1580"/>
        <v>149.71900000000002</v>
      </c>
      <c r="AR521" s="144"/>
      <c r="AS521" s="144"/>
      <c r="AT521" s="144"/>
      <c r="AU521" s="144"/>
      <c r="AV521" s="145"/>
      <c r="AW521" s="140">
        <f>AW493+AK521</f>
        <v>0.32300000000000018</v>
      </c>
      <c r="AX521" s="141"/>
      <c r="AY521" s="141"/>
      <c r="AZ521" s="141"/>
      <c r="BA521" s="141"/>
      <c r="BB521" s="142"/>
      <c r="BC521" s="136">
        <f>ROUND(AW521*AE521,0)</f>
        <v>2845</v>
      </c>
      <c r="BD521" s="137"/>
      <c r="BE521" s="137"/>
      <c r="BF521" s="137"/>
      <c r="BG521" s="137"/>
      <c r="BH521" s="146"/>
      <c r="BI521" s="18">
        <f t="shared" si="1529"/>
        <v>8807</v>
      </c>
    </row>
    <row r="522" spans="1:61" s="19" customFormat="1" ht="21.95" customHeight="1" x14ac:dyDescent="0.25">
      <c r="A522" s="127" t="str">
        <f t="shared" ref="A522" si="1597">A494</f>
        <v>參</v>
      </c>
      <c r="B522" s="128"/>
      <c r="C522" s="128"/>
      <c r="D522" s="129"/>
      <c r="E522" s="130" t="str">
        <f t="shared" ref="E522" si="1598">E494</f>
        <v>公共工程品質管制作業費（壹*1%）</v>
      </c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2"/>
      <c r="U522" s="133" t="str">
        <f t="shared" ref="U522" si="1599">U494</f>
        <v>式</v>
      </c>
      <c r="V522" s="134"/>
      <c r="W522" s="134"/>
      <c r="X522" s="135"/>
      <c r="Y522" s="147">
        <f t="shared" ref="Y522" si="1600">Y494</f>
        <v>1</v>
      </c>
      <c r="Z522" s="148"/>
      <c r="AA522" s="148"/>
      <c r="AB522" s="148"/>
      <c r="AC522" s="148"/>
      <c r="AD522" s="149"/>
      <c r="AE522" s="139">
        <f t="shared" ref="AE522" si="1601">AE494</f>
        <v>4404</v>
      </c>
      <c r="AF522" s="139"/>
      <c r="AG522" s="139"/>
      <c r="AH522" s="139"/>
      <c r="AI522" s="139"/>
      <c r="AJ522" s="139"/>
      <c r="AK522" s="140">
        <v>1.7000000000000001E-2</v>
      </c>
      <c r="AL522" s="141"/>
      <c r="AM522" s="141"/>
      <c r="AN522" s="141"/>
      <c r="AO522" s="141"/>
      <c r="AP522" s="142"/>
      <c r="AQ522" s="143">
        <f t="shared" si="1580"/>
        <v>74.868000000000009</v>
      </c>
      <c r="AR522" s="144"/>
      <c r="AS522" s="144"/>
      <c r="AT522" s="144"/>
      <c r="AU522" s="144"/>
      <c r="AV522" s="145"/>
      <c r="AW522" s="140">
        <f t="shared" ref="AW522:AW525" si="1602">AW494+AK522</f>
        <v>0.32300000000000018</v>
      </c>
      <c r="AX522" s="141"/>
      <c r="AY522" s="141"/>
      <c r="AZ522" s="141"/>
      <c r="BA522" s="141"/>
      <c r="BB522" s="142"/>
      <c r="BC522" s="136">
        <f t="shared" ref="BC522:BC525" si="1603">ROUND(AW522*AE522,0)</f>
        <v>1422</v>
      </c>
      <c r="BD522" s="137"/>
      <c r="BE522" s="137"/>
      <c r="BF522" s="137"/>
      <c r="BG522" s="137"/>
      <c r="BH522" s="146"/>
      <c r="BI522" s="18">
        <f t="shared" si="1529"/>
        <v>4404</v>
      </c>
    </row>
    <row r="523" spans="1:61" s="19" customFormat="1" ht="21.95" customHeight="1" x14ac:dyDescent="0.25">
      <c r="A523" s="127" t="str">
        <f t="shared" ref="A523" si="1604">A495</f>
        <v>肆</v>
      </c>
      <c r="B523" s="128"/>
      <c r="C523" s="128"/>
      <c r="D523" s="129"/>
      <c r="E523" s="130" t="str">
        <f t="shared" ref="E523" si="1605">E495</f>
        <v>包商管理及利潤費（約壹*7%）</v>
      </c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2"/>
      <c r="U523" s="133" t="str">
        <f t="shared" ref="U523" si="1606">U495</f>
        <v>式</v>
      </c>
      <c r="V523" s="134"/>
      <c r="W523" s="134"/>
      <c r="X523" s="135"/>
      <c r="Y523" s="147">
        <f t="shared" ref="Y523" si="1607">Y495</f>
        <v>1</v>
      </c>
      <c r="Z523" s="148"/>
      <c r="AA523" s="148"/>
      <c r="AB523" s="148"/>
      <c r="AC523" s="148"/>
      <c r="AD523" s="149"/>
      <c r="AE523" s="139">
        <f t="shared" ref="AE523" si="1608">AE495</f>
        <v>30825</v>
      </c>
      <c r="AF523" s="139"/>
      <c r="AG523" s="139"/>
      <c r="AH523" s="139"/>
      <c r="AI523" s="139"/>
      <c r="AJ523" s="139"/>
      <c r="AK523" s="140">
        <v>1.7000000000000001E-2</v>
      </c>
      <c r="AL523" s="141"/>
      <c r="AM523" s="141"/>
      <c r="AN523" s="141"/>
      <c r="AO523" s="141"/>
      <c r="AP523" s="142"/>
      <c r="AQ523" s="143">
        <f t="shared" si="1580"/>
        <v>524.02500000000009</v>
      </c>
      <c r="AR523" s="144"/>
      <c r="AS523" s="144"/>
      <c r="AT523" s="144"/>
      <c r="AU523" s="144"/>
      <c r="AV523" s="145"/>
      <c r="AW523" s="140">
        <f t="shared" si="1602"/>
        <v>0.32300000000000018</v>
      </c>
      <c r="AX523" s="141"/>
      <c r="AY523" s="141"/>
      <c r="AZ523" s="141"/>
      <c r="BA523" s="141"/>
      <c r="BB523" s="142"/>
      <c r="BC523" s="136">
        <f t="shared" si="1603"/>
        <v>9956</v>
      </c>
      <c r="BD523" s="137"/>
      <c r="BE523" s="137"/>
      <c r="BF523" s="137"/>
      <c r="BG523" s="137"/>
      <c r="BH523" s="146"/>
      <c r="BI523" s="18">
        <f t="shared" si="1529"/>
        <v>30825</v>
      </c>
    </row>
    <row r="524" spans="1:61" s="19" customFormat="1" ht="21.95" customHeight="1" x14ac:dyDescent="0.25">
      <c r="A524" s="127" t="str">
        <f t="shared" ref="A524" si="1609">A496</f>
        <v>伍</v>
      </c>
      <c r="B524" s="128"/>
      <c r="C524" s="128"/>
      <c r="D524" s="129"/>
      <c r="E524" s="130" t="str">
        <f t="shared" ref="E524" si="1610">E496</f>
        <v>營造綜合保險費</v>
      </c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2"/>
      <c r="U524" s="133" t="str">
        <f t="shared" ref="U524" si="1611">U496</f>
        <v>式</v>
      </c>
      <c r="V524" s="134"/>
      <c r="W524" s="134"/>
      <c r="X524" s="135"/>
      <c r="Y524" s="136">
        <f t="shared" ref="Y524" si="1612">Y496</f>
        <v>1</v>
      </c>
      <c r="Z524" s="137"/>
      <c r="AA524" s="137"/>
      <c r="AB524" s="137"/>
      <c r="AC524" s="137"/>
      <c r="AD524" s="138"/>
      <c r="AE524" s="139">
        <f t="shared" ref="AE524" si="1613">AE496</f>
        <v>1321</v>
      </c>
      <c r="AF524" s="139"/>
      <c r="AG524" s="139"/>
      <c r="AH524" s="139"/>
      <c r="AI524" s="139"/>
      <c r="AJ524" s="139"/>
      <c r="AK524" s="136">
        <v>0</v>
      </c>
      <c r="AL524" s="137"/>
      <c r="AM524" s="137"/>
      <c r="AN524" s="137"/>
      <c r="AO524" s="137"/>
      <c r="AP524" s="138"/>
      <c r="AQ524" s="143">
        <f t="shared" si="1580"/>
        <v>0</v>
      </c>
      <c r="AR524" s="144"/>
      <c r="AS524" s="144"/>
      <c r="AT524" s="144"/>
      <c r="AU524" s="144"/>
      <c r="AV524" s="145"/>
      <c r="AW524" s="136">
        <f t="shared" si="1602"/>
        <v>1</v>
      </c>
      <c r="AX524" s="137"/>
      <c r="AY524" s="137"/>
      <c r="AZ524" s="137"/>
      <c r="BA524" s="137"/>
      <c r="BB524" s="138"/>
      <c r="BC524" s="136">
        <f t="shared" si="1603"/>
        <v>1321</v>
      </c>
      <c r="BD524" s="137"/>
      <c r="BE524" s="137"/>
      <c r="BF524" s="137"/>
      <c r="BG524" s="137"/>
      <c r="BH524" s="146"/>
      <c r="BI524" s="18">
        <f t="shared" si="1529"/>
        <v>1321</v>
      </c>
    </row>
    <row r="525" spans="1:61" s="19" customFormat="1" ht="21.95" customHeight="1" x14ac:dyDescent="0.25">
      <c r="A525" s="127" t="str">
        <f t="shared" ref="A525" si="1614">A497</f>
        <v>陸</v>
      </c>
      <c r="B525" s="128"/>
      <c r="C525" s="128"/>
      <c r="D525" s="129"/>
      <c r="E525" s="130" t="str">
        <f t="shared" ref="E525" si="1615">E497</f>
        <v>營業稅（(壹~伍)*5％）</v>
      </c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2"/>
      <c r="U525" s="133" t="str">
        <f t="shared" ref="U525" si="1616">U497</f>
        <v>式</v>
      </c>
      <c r="V525" s="134"/>
      <c r="W525" s="134"/>
      <c r="X525" s="135"/>
      <c r="Y525" s="136">
        <f t="shared" ref="Y525" si="1617">Y497</f>
        <v>1</v>
      </c>
      <c r="Z525" s="137"/>
      <c r="AA525" s="137"/>
      <c r="AB525" s="137"/>
      <c r="AC525" s="137"/>
      <c r="AD525" s="138"/>
      <c r="AE525" s="139">
        <f t="shared" ref="AE525" si="1618">AE497</f>
        <v>24286</v>
      </c>
      <c r="AF525" s="139"/>
      <c r="AG525" s="139"/>
      <c r="AH525" s="139"/>
      <c r="AI525" s="139"/>
      <c r="AJ525" s="139"/>
      <c r="AK525" s="140">
        <v>1.7000000000000001E-2</v>
      </c>
      <c r="AL525" s="141"/>
      <c r="AM525" s="141"/>
      <c r="AN525" s="141"/>
      <c r="AO525" s="141"/>
      <c r="AP525" s="142"/>
      <c r="AQ525" s="143">
        <f t="shared" si="1580"/>
        <v>412.86200000000002</v>
      </c>
      <c r="AR525" s="144"/>
      <c r="AS525" s="144"/>
      <c r="AT525" s="144"/>
      <c r="AU525" s="144"/>
      <c r="AV525" s="145"/>
      <c r="AW525" s="140">
        <f t="shared" si="1602"/>
        <v>0.32300000000000018</v>
      </c>
      <c r="AX525" s="141"/>
      <c r="AY525" s="141"/>
      <c r="AZ525" s="141"/>
      <c r="BA525" s="141"/>
      <c r="BB525" s="142"/>
      <c r="BC525" s="136">
        <f t="shared" si="1603"/>
        <v>7844</v>
      </c>
      <c r="BD525" s="137"/>
      <c r="BE525" s="137"/>
      <c r="BF525" s="137"/>
      <c r="BG525" s="137"/>
      <c r="BH525" s="146"/>
      <c r="BI525" s="18">
        <f t="shared" si="1529"/>
        <v>24286</v>
      </c>
    </row>
    <row r="526" spans="1:61" ht="21.95" customHeight="1" x14ac:dyDescent="0.25">
      <c r="A526" s="111"/>
      <c r="B526" s="112"/>
      <c r="C526" s="112"/>
      <c r="D526" s="113"/>
      <c r="E526" s="114" t="s">
        <v>75</v>
      </c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6"/>
      <c r="U526" s="117"/>
      <c r="V526" s="118"/>
      <c r="W526" s="118"/>
      <c r="X526" s="119"/>
      <c r="Y526" s="120"/>
      <c r="Z526" s="121"/>
      <c r="AA526" s="121"/>
      <c r="AB526" s="121"/>
      <c r="AC526" s="121"/>
      <c r="AD526" s="122"/>
      <c r="AE526" s="123"/>
      <c r="AF526" s="124"/>
      <c r="AG526" s="124"/>
      <c r="AH526" s="124"/>
      <c r="AI526" s="124"/>
      <c r="AJ526" s="125"/>
      <c r="AK526" s="120"/>
      <c r="AL526" s="121"/>
      <c r="AM526" s="121"/>
      <c r="AN526" s="121"/>
      <c r="AO526" s="121"/>
      <c r="AP526" s="122"/>
      <c r="AQ526" s="123">
        <f>SUM(AQ512:AQ525)</f>
        <v>1161.4740000000002</v>
      </c>
      <c r="AR526" s="124"/>
      <c r="AS526" s="124"/>
      <c r="AT526" s="124"/>
      <c r="AU526" s="124"/>
      <c r="AV526" s="125"/>
      <c r="AW526" s="120"/>
      <c r="AX526" s="121"/>
      <c r="AY526" s="121"/>
      <c r="AZ526" s="121"/>
      <c r="BA526" s="121"/>
      <c r="BB526" s="122"/>
      <c r="BC526" s="120">
        <f>SUM(BC512:BC525)</f>
        <v>78205</v>
      </c>
      <c r="BD526" s="121"/>
      <c r="BE526" s="121"/>
      <c r="BF526" s="121"/>
      <c r="BG526" s="121"/>
      <c r="BH526" s="126"/>
      <c r="BI526" s="17">
        <f>SUM(BI510:BI525)</f>
        <v>510000</v>
      </c>
    </row>
    <row r="527" spans="1:61" ht="21.95" customHeight="1" x14ac:dyDescent="0.25">
      <c r="A527" s="101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  <c r="AD527" s="102"/>
      <c r="AE527" s="102"/>
      <c r="AF527" s="102"/>
      <c r="AG527" s="102"/>
      <c r="AH527" s="102"/>
      <c r="AI527" s="102"/>
      <c r="AJ527" s="103"/>
      <c r="AK527" s="104"/>
      <c r="AL527" s="105"/>
      <c r="AM527" s="105"/>
      <c r="AN527" s="105"/>
      <c r="AO527" s="105"/>
      <c r="AP527" s="106"/>
      <c r="AQ527" s="107"/>
      <c r="AR527" s="108"/>
      <c r="AS527" s="108"/>
      <c r="AT527" s="108"/>
      <c r="AU527" s="108"/>
      <c r="AV527" s="109"/>
      <c r="AW527" s="104"/>
      <c r="AX527" s="105"/>
      <c r="AY527" s="105"/>
      <c r="AZ527" s="105"/>
      <c r="BA527" s="105"/>
      <c r="BB527" s="106"/>
      <c r="BC527" s="104"/>
      <c r="BD527" s="105"/>
      <c r="BE527" s="105"/>
      <c r="BF527" s="105"/>
      <c r="BG527" s="105"/>
      <c r="BH527" s="110"/>
      <c r="BI527" s="15">
        <f>Y527*AE527</f>
        <v>0</v>
      </c>
    </row>
    <row r="528" spans="1:61" ht="21.95" customHeight="1" x14ac:dyDescent="0.25">
      <c r="A528" s="101" t="s">
        <v>11</v>
      </c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  <c r="AD528" s="102"/>
      <c r="AE528" s="102"/>
      <c r="AF528" s="102"/>
      <c r="AG528" s="102"/>
      <c r="AH528" s="102"/>
      <c r="AI528" s="102"/>
      <c r="AJ528" s="103"/>
      <c r="AK528" s="104"/>
      <c r="AL528" s="105"/>
      <c r="AM528" s="105"/>
      <c r="AN528" s="105"/>
      <c r="AO528" s="105"/>
      <c r="AP528" s="106"/>
      <c r="AQ528" s="107">
        <f>BC526/BI526</f>
        <v>0.15334313725490195</v>
      </c>
      <c r="AR528" s="108"/>
      <c r="AS528" s="108"/>
      <c r="AT528" s="108"/>
      <c r="AU528" s="108"/>
      <c r="AV528" s="109"/>
      <c r="AW528" s="104"/>
      <c r="AX528" s="105"/>
      <c r="AY528" s="105"/>
      <c r="AZ528" s="105"/>
      <c r="BA528" s="105"/>
      <c r="BB528" s="106"/>
      <c r="BC528" s="104"/>
      <c r="BD528" s="105"/>
      <c r="BE528" s="105"/>
      <c r="BF528" s="105"/>
      <c r="BG528" s="105"/>
      <c r="BH528" s="110"/>
      <c r="BI528" s="15">
        <f>AQ528</f>
        <v>0.15334313725490195</v>
      </c>
    </row>
    <row r="529" spans="1:69" ht="18.75" customHeight="1" x14ac:dyDescent="0.25">
      <c r="A529" s="90" t="s">
        <v>15</v>
      </c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  <c r="AD529" s="92"/>
      <c r="AE529" s="93" t="s">
        <v>14</v>
      </c>
      <c r="AF529" s="91"/>
      <c r="AG529" s="91"/>
      <c r="AH529" s="91"/>
      <c r="AI529" s="91"/>
      <c r="AJ529" s="91"/>
      <c r="AK529" s="91"/>
      <c r="AL529" s="91"/>
      <c r="AM529" s="91"/>
      <c r="AN529" s="91"/>
      <c r="AO529" s="91"/>
      <c r="AP529" s="91"/>
      <c r="AQ529" s="91"/>
      <c r="AR529" s="91"/>
      <c r="AS529" s="91"/>
      <c r="AT529" s="91"/>
      <c r="AU529" s="91"/>
      <c r="AV529" s="91"/>
      <c r="AW529" s="91"/>
      <c r="AX529" s="91"/>
      <c r="AY529" s="91"/>
      <c r="AZ529" s="91"/>
      <c r="BA529" s="91"/>
      <c r="BB529" s="91"/>
      <c r="BC529" s="91"/>
      <c r="BD529" s="91"/>
      <c r="BE529" s="91"/>
      <c r="BF529" s="91"/>
      <c r="BG529" s="91"/>
      <c r="BH529" s="94"/>
    </row>
    <row r="530" spans="1:69" x14ac:dyDescent="0.25">
      <c r="A530" s="95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  <c r="AC530" s="96"/>
      <c r="AD530" s="96"/>
      <c r="AE530" s="96"/>
      <c r="AF530" s="96"/>
      <c r="AG530" s="96"/>
      <c r="AH530" s="96"/>
      <c r="AI530" s="96"/>
      <c r="AJ530" s="96"/>
      <c r="AK530" s="96"/>
      <c r="AL530" s="96"/>
      <c r="AM530" s="96"/>
      <c r="AN530" s="96"/>
      <c r="AO530" s="96"/>
      <c r="AP530" s="96"/>
      <c r="AQ530" s="96"/>
      <c r="AR530" s="96"/>
      <c r="AS530" s="96"/>
      <c r="AT530" s="96"/>
      <c r="AU530" s="96"/>
      <c r="AV530" s="96"/>
      <c r="AW530" s="96"/>
      <c r="AX530" s="96"/>
      <c r="AY530" s="96"/>
      <c r="AZ530" s="96"/>
      <c r="BA530" s="96"/>
      <c r="BB530" s="96"/>
      <c r="BC530" s="96"/>
      <c r="BD530" s="96"/>
      <c r="BE530" s="96"/>
      <c r="BF530" s="96"/>
      <c r="BG530" s="96"/>
      <c r="BH530" s="99"/>
    </row>
    <row r="531" spans="1:69" x14ac:dyDescent="0.25">
      <c r="A531" s="95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  <c r="AC531" s="96"/>
      <c r="AD531" s="96"/>
      <c r="AE531" s="96"/>
      <c r="AF531" s="96"/>
      <c r="AG531" s="96"/>
      <c r="AH531" s="96"/>
      <c r="AI531" s="96"/>
      <c r="AJ531" s="96"/>
      <c r="AK531" s="96"/>
      <c r="AL531" s="96"/>
      <c r="AM531" s="96"/>
      <c r="AN531" s="96"/>
      <c r="AO531" s="96"/>
      <c r="AP531" s="96"/>
      <c r="AQ531" s="96"/>
      <c r="AR531" s="96"/>
      <c r="AS531" s="96"/>
      <c r="AT531" s="96"/>
      <c r="AU531" s="96"/>
      <c r="AV531" s="96"/>
      <c r="AW531" s="96"/>
      <c r="AX531" s="96"/>
      <c r="AY531" s="96"/>
      <c r="AZ531" s="96"/>
      <c r="BA531" s="96"/>
      <c r="BB531" s="96"/>
      <c r="BC531" s="96"/>
      <c r="BD531" s="96"/>
      <c r="BE531" s="96"/>
      <c r="BF531" s="96"/>
      <c r="BG531" s="96"/>
      <c r="BH531" s="99"/>
    </row>
    <row r="532" spans="1:69" ht="17.25" thickBot="1" x14ac:dyDescent="0.3">
      <c r="A532" s="97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  <c r="AA532" s="98"/>
      <c r="AB532" s="98"/>
      <c r="AC532" s="98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  <c r="AO532" s="98"/>
      <c r="AP532" s="98"/>
      <c r="AQ532" s="98"/>
      <c r="AR532" s="98"/>
      <c r="AS532" s="98"/>
      <c r="AT532" s="98"/>
      <c r="AU532" s="98"/>
      <c r="AV532" s="98"/>
      <c r="AW532" s="98"/>
      <c r="AX532" s="98"/>
      <c r="AY532" s="98"/>
      <c r="AZ532" s="98"/>
      <c r="BA532" s="98"/>
      <c r="BB532" s="98"/>
      <c r="BC532" s="98"/>
      <c r="BD532" s="98"/>
      <c r="BE532" s="98"/>
      <c r="BF532" s="98"/>
      <c r="BG532" s="98"/>
      <c r="BH532" s="100"/>
    </row>
    <row r="533" spans="1:69" ht="27.75" x14ac:dyDescent="0.25">
      <c r="A533" s="182" t="s">
        <v>81</v>
      </c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  <c r="X533" s="182"/>
      <c r="Y533" s="182"/>
      <c r="Z533" s="182"/>
      <c r="AA533" s="182"/>
      <c r="AB533" s="182"/>
      <c r="AC533" s="182"/>
      <c r="AD533" s="182"/>
      <c r="AE533" s="182"/>
      <c r="AF533" s="182"/>
      <c r="AG533" s="182"/>
      <c r="AH533" s="182"/>
      <c r="AI533" s="182"/>
      <c r="AJ533" s="182"/>
      <c r="AK533" s="182"/>
      <c r="AL533" s="182"/>
      <c r="AM533" s="182"/>
      <c r="AN533" s="182"/>
      <c r="AO533" s="182"/>
      <c r="AP533" s="182"/>
      <c r="AQ533" s="182"/>
      <c r="AR533" s="182"/>
      <c r="AS533" s="182"/>
      <c r="AT533" s="182"/>
      <c r="AU533" s="182"/>
      <c r="AV533" s="182"/>
      <c r="AW533" s="182"/>
      <c r="AX533" s="182"/>
      <c r="AY533" s="182"/>
      <c r="AZ533" s="182"/>
      <c r="BA533" s="182"/>
      <c r="BB533" s="182"/>
      <c r="BC533" s="182"/>
      <c r="BD533" s="182"/>
      <c r="BE533" s="182"/>
      <c r="BF533" s="182"/>
      <c r="BG533" s="182"/>
      <c r="BH533" s="182"/>
    </row>
    <row r="534" spans="1:69" ht="27.75" x14ac:dyDescent="0.25">
      <c r="A534" s="183" t="s">
        <v>12</v>
      </c>
      <c r="B534" s="183"/>
      <c r="C534" s="183"/>
      <c r="D534" s="183"/>
      <c r="E534" s="183"/>
      <c r="F534" s="183"/>
      <c r="G534" s="183"/>
      <c r="H534" s="183"/>
      <c r="I534" s="183"/>
      <c r="J534" s="184" t="s">
        <v>85</v>
      </c>
      <c r="K534" s="185"/>
      <c r="L534" s="185"/>
      <c r="M534" s="185"/>
      <c r="N534" s="185"/>
      <c r="O534" s="185"/>
      <c r="P534" s="185"/>
      <c r="Q534" s="185"/>
      <c r="R534" s="185"/>
      <c r="S534" s="185"/>
      <c r="T534" s="185"/>
      <c r="U534" s="185"/>
      <c r="V534" s="185"/>
      <c r="W534" s="185"/>
      <c r="X534" s="185"/>
      <c r="Y534" s="185"/>
      <c r="Z534" s="185"/>
      <c r="AA534" s="185"/>
      <c r="AB534" s="185"/>
      <c r="AC534" s="185"/>
      <c r="AD534" s="185"/>
      <c r="AE534" s="185"/>
      <c r="AF534" s="185"/>
      <c r="AG534" s="185"/>
      <c r="AH534" s="185"/>
      <c r="AI534" s="185"/>
      <c r="AJ534" s="185"/>
      <c r="AK534" s="185"/>
      <c r="AL534" s="185"/>
      <c r="AM534" s="185"/>
      <c r="AN534" s="185"/>
      <c r="AO534" s="185"/>
      <c r="AP534" s="185"/>
      <c r="AQ534" s="185"/>
      <c r="AR534" s="185"/>
      <c r="AS534" s="185"/>
      <c r="AT534" s="185"/>
      <c r="AU534" s="185"/>
      <c r="AV534" s="185"/>
      <c r="AW534" s="185"/>
      <c r="AX534" s="185"/>
      <c r="AY534" s="185"/>
      <c r="AZ534" s="185"/>
      <c r="BA534" s="185"/>
      <c r="BB534" s="185"/>
      <c r="BC534" s="185"/>
      <c r="BD534" s="185"/>
      <c r="BE534" s="185"/>
      <c r="BF534" s="185"/>
      <c r="BG534" s="185"/>
      <c r="BH534" s="185"/>
      <c r="BI534" s="185"/>
      <c r="BJ534" s="185"/>
      <c r="BK534" s="185"/>
      <c r="BL534" s="185"/>
      <c r="BM534" s="185"/>
      <c r="BN534" s="185"/>
      <c r="BO534" s="185"/>
      <c r="BP534" s="185"/>
      <c r="BQ534" s="185"/>
    </row>
    <row r="535" spans="1:69" ht="17.25" thickBot="1" x14ac:dyDescent="0.3">
      <c r="A535" s="186" t="s">
        <v>10</v>
      </c>
      <c r="B535" s="186"/>
      <c r="C535" s="186"/>
      <c r="D535" s="186"/>
      <c r="E535" s="186"/>
      <c r="F535" s="186"/>
      <c r="G535" s="186"/>
      <c r="H535" s="186"/>
      <c r="I535" s="187" t="s">
        <v>78</v>
      </c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  <c r="AA535" s="187"/>
      <c r="AB535" s="187"/>
      <c r="AC535" s="187"/>
      <c r="AD535" s="187"/>
      <c r="AE535" s="187"/>
      <c r="AF535" s="187"/>
      <c r="AG535" s="187"/>
      <c r="AH535" s="187"/>
      <c r="AI535" s="187"/>
      <c r="AJ535" s="187"/>
      <c r="AK535" s="187"/>
      <c r="AL535" s="187"/>
      <c r="AM535" s="187"/>
      <c r="AN535" s="187"/>
      <c r="AO535" s="188" t="s">
        <v>9</v>
      </c>
      <c r="AP535" s="188"/>
      <c r="AQ535" s="188"/>
      <c r="AR535" s="188"/>
      <c r="AS535" s="188"/>
      <c r="AT535" s="188"/>
      <c r="AU535" s="188"/>
      <c r="AV535" s="188"/>
      <c r="AW535" s="189">
        <f>AW507+1</f>
        <v>45929</v>
      </c>
      <c r="AX535" s="189"/>
      <c r="AY535" s="189"/>
      <c r="AZ535" s="189"/>
      <c r="BA535" s="189"/>
      <c r="BB535" s="189"/>
      <c r="BC535" s="189"/>
      <c r="BD535" s="189"/>
      <c r="BE535" s="189"/>
      <c r="BF535" s="189"/>
      <c r="BG535" s="189"/>
      <c r="BH535" s="189"/>
    </row>
    <row r="536" spans="1:69" ht="36" customHeight="1" x14ac:dyDescent="0.25">
      <c r="A536" s="180" t="s">
        <v>0</v>
      </c>
      <c r="B536" s="83"/>
      <c r="C536" s="83"/>
      <c r="D536" s="83"/>
      <c r="E536" s="83" t="s">
        <v>6</v>
      </c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 t="s">
        <v>7</v>
      </c>
      <c r="V536" s="83"/>
      <c r="W536" s="83"/>
      <c r="X536" s="83"/>
      <c r="Y536" s="181" t="s">
        <v>1</v>
      </c>
      <c r="Z536" s="181"/>
      <c r="AA536" s="181"/>
      <c r="AB536" s="181"/>
      <c r="AC536" s="181"/>
      <c r="AD536" s="181"/>
      <c r="AE536" s="83" t="s">
        <v>8</v>
      </c>
      <c r="AF536" s="83"/>
      <c r="AG536" s="83"/>
      <c r="AH536" s="83"/>
      <c r="AI536" s="83"/>
      <c r="AJ536" s="83"/>
      <c r="AK536" s="181" t="s">
        <v>2</v>
      </c>
      <c r="AL536" s="181"/>
      <c r="AM536" s="181"/>
      <c r="AN536" s="181"/>
      <c r="AO536" s="181"/>
      <c r="AP536" s="181"/>
      <c r="AQ536" s="84" t="s">
        <v>3</v>
      </c>
      <c r="AR536" s="84"/>
      <c r="AS536" s="84"/>
      <c r="AT536" s="84"/>
      <c r="AU536" s="84"/>
      <c r="AV536" s="84"/>
      <c r="AW536" s="181" t="s">
        <v>4</v>
      </c>
      <c r="AX536" s="181"/>
      <c r="AY536" s="181"/>
      <c r="AZ536" s="181"/>
      <c r="BA536" s="181"/>
      <c r="BB536" s="181"/>
      <c r="BC536" s="84" t="s">
        <v>5</v>
      </c>
      <c r="BD536" s="84"/>
      <c r="BE536" s="84"/>
      <c r="BF536" s="84"/>
      <c r="BG536" s="84"/>
      <c r="BH536" s="85"/>
      <c r="BI536" s="1"/>
    </row>
    <row r="537" spans="1:69" ht="21.95" customHeight="1" x14ac:dyDescent="0.25">
      <c r="A537" s="150" t="str">
        <f t="shared" ref="A537" si="1619">A509</f>
        <v>壹</v>
      </c>
      <c r="B537" s="151"/>
      <c r="C537" s="151"/>
      <c r="D537" s="152"/>
      <c r="E537" s="175" t="str">
        <f t="shared" ref="E537" si="1620">E509</f>
        <v>直接工程費</v>
      </c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7"/>
      <c r="U537" s="117"/>
      <c r="V537" s="118"/>
      <c r="W537" s="118"/>
      <c r="X537" s="119"/>
      <c r="Y537" s="178"/>
      <c r="Z537" s="178"/>
      <c r="AA537" s="178"/>
      <c r="AB537" s="178"/>
      <c r="AC537" s="178"/>
      <c r="AD537" s="178"/>
      <c r="AE537" s="178"/>
      <c r="AF537" s="178"/>
      <c r="AG537" s="178"/>
      <c r="AH537" s="178"/>
      <c r="AI537" s="178"/>
      <c r="AJ537" s="178"/>
      <c r="AK537" s="178"/>
      <c r="AL537" s="178"/>
      <c r="AM537" s="178"/>
      <c r="AN537" s="178"/>
      <c r="AO537" s="178"/>
      <c r="AP537" s="178"/>
      <c r="AQ537" s="178"/>
      <c r="AR537" s="178"/>
      <c r="AS537" s="178"/>
      <c r="AT537" s="178"/>
      <c r="AU537" s="178"/>
      <c r="AV537" s="178"/>
      <c r="AW537" s="178"/>
      <c r="AX537" s="178"/>
      <c r="AY537" s="178"/>
      <c r="AZ537" s="178"/>
      <c r="BA537" s="178"/>
      <c r="BB537" s="178"/>
      <c r="BC537" s="178"/>
      <c r="BD537" s="178"/>
      <c r="BE537" s="178"/>
      <c r="BF537" s="178"/>
      <c r="BG537" s="178"/>
      <c r="BH537" s="179"/>
      <c r="BI537" s="3">
        <f t="shared" ref="BI537:BI553" si="1621">Y537*AE537</f>
        <v>0</v>
      </c>
    </row>
    <row r="538" spans="1:69" s="19" customFormat="1" ht="21.95" customHeight="1" x14ac:dyDescent="0.25">
      <c r="A538" s="127">
        <f t="shared" ref="A538" si="1622">A510</f>
        <v>1</v>
      </c>
      <c r="B538" s="128"/>
      <c r="C538" s="128"/>
      <c r="D538" s="129"/>
      <c r="E538" s="170" t="str">
        <f t="shared" ref="E538" si="1623">E510</f>
        <v>工程告示牌與職安衛告示牌(租用)</v>
      </c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2"/>
      <c r="U538" s="133" t="str">
        <f t="shared" ref="U538" si="1624">U510</f>
        <v>式</v>
      </c>
      <c r="V538" s="134"/>
      <c r="W538" s="134"/>
      <c r="X538" s="135"/>
      <c r="Y538" s="136">
        <f t="shared" ref="Y538" si="1625">Y510</f>
        <v>1</v>
      </c>
      <c r="Z538" s="137"/>
      <c r="AA538" s="137"/>
      <c r="AB538" s="137"/>
      <c r="AC538" s="137"/>
      <c r="AD538" s="138"/>
      <c r="AE538" s="139">
        <f t="shared" ref="AE538" si="1626">AE510</f>
        <v>5000</v>
      </c>
      <c r="AF538" s="139"/>
      <c r="AG538" s="139"/>
      <c r="AH538" s="139"/>
      <c r="AI538" s="139"/>
      <c r="AJ538" s="139"/>
      <c r="AK538" s="173">
        <v>0</v>
      </c>
      <c r="AL538" s="173"/>
      <c r="AM538" s="173"/>
      <c r="AN538" s="173"/>
      <c r="AO538" s="173"/>
      <c r="AP538" s="173"/>
      <c r="AQ538" s="139">
        <f t="shared" ref="AQ538:AQ539" si="1627">AK538*AE538</f>
        <v>0</v>
      </c>
      <c r="AR538" s="139"/>
      <c r="AS538" s="139"/>
      <c r="AT538" s="139"/>
      <c r="AU538" s="139"/>
      <c r="AV538" s="139"/>
      <c r="AW538" s="173">
        <f t="shared" ref="AW538:AW548" si="1628">AW510+AK538</f>
        <v>1</v>
      </c>
      <c r="AX538" s="173"/>
      <c r="AY538" s="173"/>
      <c r="AZ538" s="173"/>
      <c r="BA538" s="173"/>
      <c r="BB538" s="173"/>
      <c r="BC538" s="173">
        <f t="shared" ref="BC538:BC539" si="1629">ROUND(AW538*AE538,0)</f>
        <v>5000</v>
      </c>
      <c r="BD538" s="173"/>
      <c r="BE538" s="173"/>
      <c r="BF538" s="173"/>
      <c r="BG538" s="173"/>
      <c r="BH538" s="174"/>
      <c r="BI538" s="18">
        <f t="shared" si="1621"/>
        <v>5000</v>
      </c>
    </row>
    <row r="539" spans="1:69" s="19" customFormat="1" ht="21.95" customHeight="1" x14ac:dyDescent="0.25">
      <c r="A539" s="127">
        <f t="shared" ref="A539" si="1630">A511</f>
        <v>2</v>
      </c>
      <c r="B539" s="128"/>
      <c r="C539" s="128"/>
      <c r="D539" s="129"/>
      <c r="E539" s="170" t="str">
        <f t="shared" ref="E539" si="1631">E511</f>
        <v>三角錐與連桿(租用)</v>
      </c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2"/>
      <c r="U539" s="133" t="str">
        <f t="shared" ref="U539" si="1632">U511</f>
        <v>M</v>
      </c>
      <c r="V539" s="134"/>
      <c r="W539" s="134"/>
      <c r="X539" s="135"/>
      <c r="Y539" s="147">
        <f t="shared" ref="Y539" si="1633">Y511</f>
        <v>86</v>
      </c>
      <c r="Z539" s="148"/>
      <c r="AA539" s="148"/>
      <c r="AB539" s="148"/>
      <c r="AC539" s="148"/>
      <c r="AD539" s="149"/>
      <c r="AE539" s="139">
        <f t="shared" ref="AE539" si="1634">AE511</f>
        <v>60</v>
      </c>
      <c r="AF539" s="139"/>
      <c r="AG539" s="139"/>
      <c r="AH539" s="139"/>
      <c r="AI539" s="139"/>
      <c r="AJ539" s="139"/>
      <c r="AK539" s="173">
        <v>0</v>
      </c>
      <c r="AL539" s="173"/>
      <c r="AM539" s="173"/>
      <c r="AN539" s="173"/>
      <c r="AO539" s="173"/>
      <c r="AP539" s="173"/>
      <c r="AQ539" s="139">
        <f t="shared" si="1627"/>
        <v>0</v>
      </c>
      <c r="AR539" s="139"/>
      <c r="AS539" s="139"/>
      <c r="AT539" s="139"/>
      <c r="AU539" s="139"/>
      <c r="AV539" s="139"/>
      <c r="AW539" s="173">
        <f t="shared" si="1628"/>
        <v>86</v>
      </c>
      <c r="AX539" s="173"/>
      <c r="AY539" s="173"/>
      <c r="AZ539" s="173"/>
      <c r="BA539" s="173"/>
      <c r="BB539" s="173"/>
      <c r="BC539" s="173">
        <f t="shared" si="1629"/>
        <v>5160</v>
      </c>
      <c r="BD539" s="173"/>
      <c r="BE539" s="173"/>
      <c r="BF539" s="173"/>
      <c r="BG539" s="173"/>
      <c r="BH539" s="174"/>
      <c r="BI539" s="18">
        <f t="shared" si="1621"/>
        <v>5160</v>
      </c>
    </row>
    <row r="540" spans="1:69" s="19" customFormat="1" ht="33" customHeight="1" x14ac:dyDescent="0.25">
      <c r="A540" s="150">
        <f t="shared" ref="A540" si="1635">A512</f>
        <v>3</v>
      </c>
      <c r="B540" s="151"/>
      <c r="C540" s="151"/>
      <c r="D540" s="152"/>
      <c r="E540" s="175" t="str">
        <f t="shared" ref="E540" si="1636">E512</f>
        <v>施工動線開闢及損害復原；測量與放樣</v>
      </c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7"/>
      <c r="U540" s="117" t="str">
        <f t="shared" ref="U540" si="1637">U512</f>
        <v>式</v>
      </c>
      <c r="V540" s="118"/>
      <c r="W540" s="118"/>
      <c r="X540" s="119"/>
      <c r="Y540" s="156">
        <f t="shared" ref="Y540" si="1638">Y512</f>
        <v>1</v>
      </c>
      <c r="Z540" s="157"/>
      <c r="AA540" s="157"/>
      <c r="AB540" s="157"/>
      <c r="AC540" s="157"/>
      <c r="AD540" s="158"/>
      <c r="AE540" s="159">
        <f t="shared" ref="AE540" si="1639">AE512</f>
        <v>4000</v>
      </c>
      <c r="AF540" s="159"/>
      <c r="AG540" s="159"/>
      <c r="AH540" s="159"/>
      <c r="AI540" s="159"/>
      <c r="AJ540" s="159"/>
      <c r="AK540" s="167">
        <v>0</v>
      </c>
      <c r="AL540" s="167"/>
      <c r="AM540" s="167"/>
      <c r="AN540" s="167"/>
      <c r="AO540" s="167"/>
      <c r="AP540" s="167"/>
      <c r="AQ540" s="159">
        <f>AK540*AE540</f>
        <v>0</v>
      </c>
      <c r="AR540" s="159"/>
      <c r="AS540" s="159"/>
      <c r="AT540" s="159"/>
      <c r="AU540" s="159"/>
      <c r="AV540" s="159"/>
      <c r="AW540" s="167">
        <f t="shared" si="1628"/>
        <v>0.5</v>
      </c>
      <c r="AX540" s="167"/>
      <c r="AY540" s="167"/>
      <c r="AZ540" s="167"/>
      <c r="BA540" s="167"/>
      <c r="BB540" s="167"/>
      <c r="BC540" s="167">
        <f>ROUND(AW540*AE540,0)</f>
        <v>2000</v>
      </c>
      <c r="BD540" s="167"/>
      <c r="BE540" s="167"/>
      <c r="BF540" s="167"/>
      <c r="BG540" s="167"/>
      <c r="BH540" s="168"/>
      <c r="BI540" s="18">
        <f t="shared" si="1621"/>
        <v>4000</v>
      </c>
    </row>
    <row r="541" spans="1:69" s="19" customFormat="1" ht="54" customHeight="1" x14ac:dyDescent="0.25">
      <c r="A541" s="127">
        <f t="shared" ref="A541" si="1640">A513</f>
        <v>4</v>
      </c>
      <c r="B541" s="128"/>
      <c r="C541" s="128"/>
      <c r="D541" s="129"/>
      <c r="E541" s="170" t="str">
        <f t="shared" ref="E541" si="1641">E513</f>
        <v>切割打除清運校舍與教室出入口地坪以及司令台階梯平台(含合法清運證明)</v>
      </c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2"/>
      <c r="U541" s="133" t="str">
        <f t="shared" ref="U541" si="1642">U513</f>
        <v>式</v>
      </c>
      <c r="V541" s="134"/>
      <c r="W541" s="134"/>
      <c r="X541" s="135"/>
      <c r="Y541" s="147">
        <f t="shared" ref="Y541" si="1643">Y513</f>
        <v>1</v>
      </c>
      <c r="Z541" s="148"/>
      <c r="AA541" s="148"/>
      <c r="AB541" s="148"/>
      <c r="AC541" s="148"/>
      <c r="AD541" s="149"/>
      <c r="AE541" s="139">
        <f t="shared" ref="AE541" si="1644">AE513</f>
        <v>52817</v>
      </c>
      <c r="AF541" s="139"/>
      <c r="AG541" s="139"/>
      <c r="AH541" s="139"/>
      <c r="AI541" s="139"/>
      <c r="AJ541" s="139"/>
      <c r="AK541" s="173">
        <v>0</v>
      </c>
      <c r="AL541" s="173"/>
      <c r="AM541" s="173"/>
      <c r="AN541" s="173"/>
      <c r="AO541" s="173"/>
      <c r="AP541" s="173"/>
      <c r="AQ541" s="139">
        <f t="shared" ref="AQ541:AQ544" si="1645">AK541*AE541</f>
        <v>0</v>
      </c>
      <c r="AR541" s="139"/>
      <c r="AS541" s="139"/>
      <c r="AT541" s="139"/>
      <c r="AU541" s="139"/>
      <c r="AV541" s="139"/>
      <c r="AW541" s="173">
        <f t="shared" si="1628"/>
        <v>1</v>
      </c>
      <c r="AX541" s="173"/>
      <c r="AY541" s="173"/>
      <c r="AZ541" s="173"/>
      <c r="BA541" s="173"/>
      <c r="BB541" s="173"/>
      <c r="BC541" s="173">
        <f t="shared" ref="BC541:BC544" si="1646">ROUND(AW541*AE541,0)</f>
        <v>52817</v>
      </c>
      <c r="BD541" s="173"/>
      <c r="BE541" s="173"/>
      <c r="BF541" s="173"/>
      <c r="BG541" s="173"/>
      <c r="BH541" s="174"/>
      <c r="BI541" s="20">
        <f t="shared" si="1621"/>
        <v>52817</v>
      </c>
    </row>
    <row r="542" spans="1:69" ht="20.25" customHeight="1" x14ac:dyDescent="0.25">
      <c r="A542" s="150">
        <f t="shared" ref="A542" si="1647">A514</f>
        <v>5</v>
      </c>
      <c r="B542" s="151"/>
      <c r="C542" s="151"/>
      <c r="D542" s="152"/>
      <c r="E542" s="153" t="str">
        <f t="shared" ref="E542" si="1648">E514</f>
        <v>校舍出入口施做斜坡順平高差</v>
      </c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5"/>
      <c r="U542" s="117" t="str">
        <f t="shared" ref="U542" si="1649">U514</f>
        <v>M2</v>
      </c>
      <c r="V542" s="118"/>
      <c r="W542" s="118"/>
      <c r="X542" s="119"/>
      <c r="Y542" s="160">
        <f t="shared" ref="Y542" si="1650">Y514</f>
        <v>15</v>
      </c>
      <c r="Z542" s="161"/>
      <c r="AA542" s="161"/>
      <c r="AB542" s="161"/>
      <c r="AC542" s="161"/>
      <c r="AD542" s="162"/>
      <c r="AE542" s="169">
        <f t="shared" ref="AE542" si="1651">AE514</f>
        <v>600</v>
      </c>
      <c r="AF542" s="169"/>
      <c r="AG542" s="169"/>
      <c r="AH542" s="169"/>
      <c r="AI542" s="169"/>
      <c r="AJ542" s="169"/>
      <c r="AK542" s="167">
        <v>0</v>
      </c>
      <c r="AL542" s="167"/>
      <c r="AM542" s="167"/>
      <c r="AN542" s="167"/>
      <c r="AO542" s="167"/>
      <c r="AP542" s="167"/>
      <c r="AQ542" s="159">
        <f t="shared" si="1645"/>
        <v>0</v>
      </c>
      <c r="AR542" s="159"/>
      <c r="AS542" s="159"/>
      <c r="AT542" s="159"/>
      <c r="AU542" s="159"/>
      <c r="AV542" s="159"/>
      <c r="AW542" s="167">
        <f t="shared" si="1628"/>
        <v>0</v>
      </c>
      <c r="AX542" s="167"/>
      <c r="AY542" s="167"/>
      <c r="AZ542" s="167"/>
      <c r="BA542" s="167"/>
      <c r="BB542" s="167"/>
      <c r="BC542" s="167">
        <f t="shared" si="1646"/>
        <v>0</v>
      </c>
      <c r="BD542" s="167"/>
      <c r="BE542" s="167"/>
      <c r="BF542" s="167"/>
      <c r="BG542" s="167"/>
      <c r="BH542" s="168"/>
      <c r="BI542" s="3">
        <f t="shared" si="1621"/>
        <v>9000</v>
      </c>
    </row>
    <row r="543" spans="1:69" ht="50.25" customHeight="1" x14ac:dyDescent="0.25">
      <c r="A543" s="150">
        <f t="shared" ref="A543" si="1652">A515</f>
        <v>6</v>
      </c>
      <c r="B543" s="151"/>
      <c r="C543" s="151"/>
      <c r="D543" s="152"/>
      <c r="E543" s="153" t="str">
        <f t="shared" ref="E543" si="1653">E515</f>
        <v>開挖整地，新設無障礙RC坡道，牆面與地坪粉刷整平(連工帶料，責任施工)</v>
      </c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5"/>
      <c r="U543" s="117" t="str">
        <f t="shared" ref="U543" si="1654">U515</f>
        <v>式</v>
      </c>
      <c r="V543" s="118"/>
      <c r="W543" s="118"/>
      <c r="X543" s="119"/>
      <c r="Y543" s="160">
        <f t="shared" ref="Y543" si="1655">Y515</f>
        <v>1</v>
      </c>
      <c r="Z543" s="161"/>
      <c r="AA543" s="161"/>
      <c r="AB543" s="161"/>
      <c r="AC543" s="161"/>
      <c r="AD543" s="162"/>
      <c r="AE543" s="159">
        <f t="shared" ref="AE543" si="1656">AE515</f>
        <v>153000</v>
      </c>
      <c r="AF543" s="159"/>
      <c r="AG543" s="159"/>
      <c r="AH543" s="159"/>
      <c r="AI543" s="159"/>
      <c r="AJ543" s="159"/>
      <c r="AK543" s="167">
        <v>0</v>
      </c>
      <c r="AL543" s="167"/>
      <c r="AM543" s="167"/>
      <c r="AN543" s="167"/>
      <c r="AO543" s="167"/>
      <c r="AP543" s="167"/>
      <c r="AQ543" s="159">
        <f t="shared" si="1645"/>
        <v>0</v>
      </c>
      <c r="AR543" s="159"/>
      <c r="AS543" s="159"/>
      <c r="AT543" s="159"/>
      <c r="AU543" s="159"/>
      <c r="AV543" s="159"/>
      <c r="AW543" s="167">
        <f t="shared" si="1628"/>
        <v>0</v>
      </c>
      <c r="AX543" s="167"/>
      <c r="AY543" s="167"/>
      <c r="AZ543" s="167"/>
      <c r="BA543" s="167"/>
      <c r="BB543" s="167"/>
      <c r="BC543" s="167">
        <f t="shared" si="1646"/>
        <v>0</v>
      </c>
      <c r="BD543" s="167"/>
      <c r="BE543" s="167"/>
      <c r="BF543" s="167"/>
      <c r="BG543" s="167"/>
      <c r="BH543" s="168"/>
      <c r="BI543" s="3">
        <f t="shared" si="1621"/>
        <v>153000</v>
      </c>
    </row>
    <row r="544" spans="1:69" ht="32.450000000000003" customHeight="1" x14ac:dyDescent="0.25">
      <c r="A544" s="150">
        <f t="shared" ref="A544" si="1657">A516</f>
        <v>7</v>
      </c>
      <c r="B544" s="151"/>
      <c r="C544" s="151"/>
      <c r="D544" s="152"/>
      <c r="E544" s="153" t="str">
        <f t="shared" ref="E544" si="1658">E516</f>
        <v>施做抿石子(1~2分AK石，抿石子專用泥)</v>
      </c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5"/>
      <c r="U544" s="117" t="str">
        <f t="shared" ref="U544" si="1659">U516</f>
        <v>M2</v>
      </c>
      <c r="V544" s="118"/>
      <c r="W544" s="118"/>
      <c r="X544" s="119"/>
      <c r="Y544" s="160">
        <f t="shared" ref="Y544" si="1660">Y516</f>
        <v>38</v>
      </c>
      <c r="Z544" s="161"/>
      <c r="AA544" s="161"/>
      <c r="AB544" s="161"/>
      <c r="AC544" s="161"/>
      <c r="AD544" s="162"/>
      <c r="AE544" s="159">
        <f t="shared" ref="AE544" si="1661">AE516</f>
        <v>1460</v>
      </c>
      <c r="AF544" s="159"/>
      <c r="AG544" s="159"/>
      <c r="AH544" s="159"/>
      <c r="AI544" s="159"/>
      <c r="AJ544" s="159"/>
      <c r="AK544" s="167">
        <v>0</v>
      </c>
      <c r="AL544" s="167"/>
      <c r="AM544" s="167"/>
      <c r="AN544" s="167"/>
      <c r="AO544" s="167"/>
      <c r="AP544" s="167"/>
      <c r="AQ544" s="159">
        <f t="shared" si="1645"/>
        <v>0</v>
      </c>
      <c r="AR544" s="159"/>
      <c r="AS544" s="159"/>
      <c r="AT544" s="159"/>
      <c r="AU544" s="159"/>
      <c r="AV544" s="159"/>
      <c r="AW544" s="167">
        <f t="shared" si="1628"/>
        <v>0</v>
      </c>
      <c r="AX544" s="167"/>
      <c r="AY544" s="167"/>
      <c r="AZ544" s="167"/>
      <c r="BA544" s="167"/>
      <c r="BB544" s="167"/>
      <c r="BC544" s="167">
        <f t="shared" si="1646"/>
        <v>0</v>
      </c>
      <c r="BD544" s="167"/>
      <c r="BE544" s="167"/>
      <c r="BF544" s="167"/>
      <c r="BG544" s="167"/>
      <c r="BH544" s="168"/>
      <c r="BI544" s="3">
        <f t="shared" si="1621"/>
        <v>55480</v>
      </c>
    </row>
    <row r="545" spans="1:61" ht="21" customHeight="1" x14ac:dyDescent="0.25">
      <c r="A545" s="150">
        <f t="shared" ref="A545" si="1662">A517</f>
        <v>8</v>
      </c>
      <c r="B545" s="151"/>
      <c r="C545" s="151"/>
      <c r="D545" s="152"/>
      <c r="E545" s="153" t="str">
        <f t="shared" ref="E545" si="1663">E517</f>
        <v>無障礙坡道地坪拉毛</v>
      </c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5"/>
      <c r="U545" s="117" t="str">
        <f t="shared" ref="U545" si="1664">U517</f>
        <v>M2</v>
      </c>
      <c r="V545" s="118"/>
      <c r="W545" s="118"/>
      <c r="X545" s="119"/>
      <c r="Y545" s="160">
        <f t="shared" ref="Y545" si="1665">Y517</f>
        <v>33</v>
      </c>
      <c r="Z545" s="161"/>
      <c r="AA545" s="161"/>
      <c r="AB545" s="161"/>
      <c r="AC545" s="161"/>
      <c r="AD545" s="162"/>
      <c r="AE545" s="159">
        <f t="shared" ref="AE545" si="1666">AE517</f>
        <v>100</v>
      </c>
      <c r="AF545" s="159"/>
      <c r="AG545" s="159"/>
      <c r="AH545" s="159"/>
      <c r="AI545" s="159"/>
      <c r="AJ545" s="159"/>
      <c r="AK545" s="167"/>
      <c r="AL545" s="167"/>
      <c r="AM545" s="167"/>
      <c r="AN545" s="167"/>
      <c r="AO545" s="167"/>
      <c r="AP545" s="167"/>
      <c r="AQ545" s="159"/>
      <c r="AR545" s="159"/>
      <c r="AS545" s="159"/>
      <c r="AT545" s="159"/>
      <c r="AU545" s="159"/>
      <c r="AV545" s="159"/>
      <c r="AW545" s="167">
        <f t="shared" si="1628"/>
        <v>0</v>
      </c>
      <c r="AX545" s="167"/>
      <c r="AY545" s="167"/>
      <c r="AZ545" s="167"/>
      <c r="BA545" s="167"/>
      <c r="BB545" s="167"/>
      <c r="BC545" s="167"/>
      <c r="BD545" s="167"/>
      <c r="BE545" s="167"/>
      <c r="BF545" s="167"/>
      <c r="BG545" s="167"/>
      <c r="BH545" s="168"/>
      <c r="BI545" s="3">
        <f t="shared" si="1621"/>
        <v>3300</v>
      </c>
    </row>
    <row r="546" spans="1:61" s="19" customFormat="1" ht="34.5" customHeight="1" x14ac:dyDescent="0.25">
      <c r="A546" s="127">
        <f t="shared" ref="A546" si="1667">A518</f>
        <v>9</v>
      </c>
      <c r="B546" s="128"/>
      <c r="C546" s="128"/>
      <c r="D546" s="129"/>
      <c r="E546" s="153" t="str">
        <f t="shared" ref="E546" si="1668">E518</f>
        <v>司令台既有樓梯面清潔，刷止滑漆(一底二度)</v>
      </c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5"/>
      <c r="U546" s="133" t="str">
        <f t="shared" ref="U546" si="1669">U518</f>
        <v>式</v>
      </c>
      <c r="V546" s="134"/>
      <c r="W546" s="134"/>
      <c r="X546" s="135"/>
      <c r="Y546" s="160">
        <f t="shared" ref="Y546" si="1670">Y518</f>
        <v>1</v>
      </c>
      <c r="Z546" s="161"/>
      <c r="AA546" s="161"/>
      <c r="AB546" s="161"/>
      <c r="AC546" s="161"/>
      <c r="AD546" s="162"/>
      <c r="AE546" s="159">
        <f t="shared" ref="AE546" si="1671">AE518</f>
        <v>3000</v>
      </c>
      <c r="AF546" s="159"/>
      <c r="AG546" s="159"/>
      <c r="AH546" s="159"/>
      <c r="AI546" s="159"/>
      <c r="AJ546" s="159"/>
      <c r="AK546" s="167">
        <v>0</v>
      </c>
      <c r="AL546" s="167"/>
      <c r="AM546" s="167"/>
      <c r="AN546" s="167"/>
      <c r="AO546" s="167"/>
      <c r="AP546" s="167"/>
      <c r="AQ546" s="159">
        <f t="shared" ref="AQ546:AQ553" si="1672">AK546*AE546</f>
        <v>0</v>
      </c>
      <c r="AR546" s="159"/>
      <c r="AS546" s="159"/>
      <c r="AT546" s="159"/>
      <c r="AU546" s="159"/>
      <c r="AV546" s="159"/>
      <c r="AW546" s="167">
        <f t="shared" si="1628"/>
        <v>0</v>
      </c>
      <c r="AX546" s="167"/>
      <c r="AY546" s="167"/>
      <c r="AZ546" s="167"/>
      <c r="BA546" s="167"/>
      <c r="BB546" s="167"/>
      <c r="BC546" s="167">
        <f t="shared" ref="BC546:BC548" si="1673">ROUND(AW546*AE546,0)</f>
        <v>0</v>
      </c>
      <c r="BD546" s="167"/>
      <c r="BE546" s="167"/>
      <c r="BF546" s="167"/>
      <c r="BG546" s="167"/>
      <c r="BH546" s="168"/>
      <c r="BI546" s="18">
        <f t="shared" si="1621"/>
        <v>3000</v>
      </c>
    </row>
    <row r="547" spans="1:61" ht="35.25" customHeight="1" x14ac:dyDescent="0.25">
      <c r="A547" s="150">
        <f t="shared" ref="A547" si="1674">A519</f>
        <v>10</v>
      </c>
      <c r="B547" s="151"/>
      <c r="C547" s="151"/>
      <c r="D547" s="152"/>
      <c r="E547" s="153" t="str">
        <f t="shared" ref="E547" si="1675">E519</f>
        <v>校舍、教室及司令台坡道出入口配置無線押扣與插電式緊急求救鈴</v>
      </c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5"/>
      <c r="U547" s="117" t="str">
        <f t="shared" ref="U547" si="1676">U519</f>
        <v>組</v>
      </c>
      <c r="V547" s="118"/>
      <c r="W547" s="118"/>
      <c r="X547" s="119"/>
      <c r="Y547" s="160">
        <f t="shared" ref="Y547" si="1677">Y519</f>
        <v>8</v>
      </c>
      <c r="Z547" s="161"/>
      <c r="AA547" s="161"/>
      <c r="AB547" s="161"/>
      <c r="AC547" s="161"/>
      <c r="AD547" s="162"/>
      <c r="AE547" s="159">
        <f t="shared" ref="AE547" si="1678">AE519</f>
        <v>700</v>
      </c>
      <c r="AF547" s="159"/>
      <c r="AG547" s="159"/>
      <c r="AH547" s="159"/>
      <c r="AI547" s="159"/>
      <c r="AJ547" s="159"/>
      <c r="AK547" s="167">
        <v>0</v>
      </c>
      <c r="AL547" s="167"/>
      <c r="AM547" s="167"/>
      <c r="AN547" s="167"/>
      <c r="AO547" s="167"/>
      <c r="AP547" s="167"/>
      <c r="AQ547" s="159">
        <f t="shared" si="1672"/>
        <v>0</v>
      </c>
      <c r="AR547" s="159"/>
      <c r="AS547" s="159"/>
      <c r="AT547" s="159"/>
      <c r="AU547" s="159"/>
      <c r="AV547" s="159"/>
      <c r="AW547" s="167">
        <f t="shared" si="1628"/>
        <v>0</v>
      </c>
      <c r="AX547" s="167"/>
      <c r="AY547" s="167"/>
      <c r="AZ547" s="167"/>
      <c r="BA547" s="167"/>
      <c r="BB547" s="167"/>
      <c r="BC547" s="167">
        <f t="shared" si="1673"/>
        <v>0</v>
      </c>
      <c r="BD547" s="167"/>
      <c r="BE547" s="167"/>
      <c r="BF547" s="167"/>
      <c r="BG547" s="167"/>
      <c r="BH547" s="168"/>
      <c r="BI547" s="3">
        <f t="shared" si="1621"/>
        <v>5600</v>
      </c>
    </row>
    <row r="548" spans="1:61" ht="36.75" customHeight="1" x14ac:dyDescent="0.25">
      <c r="A548" s="150">
        <f t="shared" ref="A548" si="1679">A520</f>
        <v>11</v>
      </c>
      <c r="B548" s="151"/>
      <c r="C548" s="151"/>
      <c r="D548" s="152"/>
      <c r="E548" s="153" t="str">
        <f t="shared" ref="E548" si="1680">E520</f>
        <v>司令台周圍及無障礙坡道安裝不鏽鋼扶手(連工帶料)</v>
      </c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5"/>
      <c r="U548" s="117" t="str">
        <f t="shared" ref="U548" si="1681">U520</f>
        <v>M</v>
      </c>
      <c r="V548" s="118"/>
      <c r="W548" s="118"/>
      <c r="X548" s="119"/>
      <c r="Y548" s="156">
        <f t="shared" ref="Y548" si="1682">Y520</f>
        <v>48</v>
      </c>
      <c r="Z548" s="157"/>
      <c r="AA548" s="157"/>
      <c r="AB548" s="157"/>
      <c r="AC548" s="157"/>
      <c r="AD548" s="158"/>
      <c r="AE548" s="159">
        <f t="shared" ref="AE548" si="1683">AE520</f>
        <v>3000</v>
      </c>
      <c r="AF548" s="159"/>
      <c r="AG548" s="159"/>
      <c r="AH548" s="159"/>
      <c r="AI548" s="159"/>
      <c r="AJ548" s="159"/>
      <c r="AK548" s="160">
        <v>0</v>
      </c>
      <c r="AL548" s="161"/>
      <c r="AM548" s="161"/>
      <c r="AN548" s="161"/>
      <c r="AO548" s="161"/>
      <c r="AP548" s="162"/>
      <c r="AQ548" s="163">
        <f t="shared" si="1672"/>
        <v>0</v>
      </c>
      <c r="AR548" s="164"/>
      <c r="AS548" s="164"/>
      <c r="AT548" s="164"/>
      <c r="AU548" s="164"/>
      <c r="AV548" s="165"/>
      <c r="AW548" s="160">
        <f t="shared" si="1628"/>
        <v>0</v>
      </c>
      <c r="AX548" s="161"/>
      <c r="AY548" s="161"/>
      <c r="AZ548" s="161"/>
      <c r="BA548" s="161"/>
      <c r="BB548" s="162"/>
      <c r="BC548" s="160">
        <f t="shared" si="1673"/>
        <v>0</v>
      </c>
      <c r="BD548" s="161"/>
      <c r="BE548" s="161"/>
      <c r="BF548" s="161"/>
      <c r="BG548" s="161"/>
      <c r="BH548" s="166"/>
      <c r="BI548" s="3">
        <f t="shared" si="1621"/>
        <v>144000</v>
      </c>
    </row>
    <row r="549" spans="1:61" s="19" customFormat="1" ht="35.25" customHeight="1" x14ac:dyDescent="0.25">
      <c r="A549" s="127" t="str">
        <f t="shared" ref="A549" si="1684">A521</f>
        <v>貳</v>
      </c>
      <c r="B549" s="128"/>
      <c r="C549" s="128"/>
      <c r="D549" s="129"/>
      <c r="E549" s="130" t="str">
        <f t="shared" ref="E549" si="1685">E521</f>
        <v>職業安全衛生管理費與施工環境保護與清潔（壹*2%）</v>
      </c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2"/>
      <c r="U549" s="133" t="str">
        <f t="shared" ref="U549" si="1686">U521</f>
        <v>式</v>
      </c>
      <c r="V549" s="134"/>
      <c r="W549" s="134"/>
      <c r="X549" s="135"/>
      <c r="Y549" s="136">
        <f t="shared" ref="Y549" si="1687">Y521</f>
        <v>1</v>
      </c>
      <c r="Z549" s="137"/>
      <c r="AA549" s="137"/>
      <c r="AB549" s="137"/>
      <c r="AC549" s="137"/>
      <c r="AD549" s="138"/>
      <c r="AE549" s="139">
        <f t="shared" ref="AE549" si="1688">AE521</f>
        <v>8807</v>
      </c>
      <c r="AF549" s="139"/>
      <c r="AG549" s="139"/>
      <c r="AH549" s="139"/>
      <c r="AI549" s="139"/>
      <c r="AJ549" s="139"/>
      <c r="AK549" s="140">
        <v>1.7000000000000001E-2</v>
      </c>
      <c r="AL549" s="141"/>
      <c r="AM549" s="141"/>
      <c r="AN549" s="141"/>
      <c r="AO549" s="141"/>
      <c r="AP549" s="142"/>
      <c r="AQ549" s="143">
        <f t="shared" si="1672"/>
        <v>149.71900000000002</v>
      </c>
      <c r="AR549" s="144"/>
      <c r="AS549" s="144"/>
      <c r="AT549" s="144"/>
      <c r="AU549" s="144"/>
      <c r="AV549" s="145"/>
      <c r="AW549" s="140">
        <f>AW521+AK549</f>
        <v>0.34000000000000019</v>
      </c>
      <c r="AX549" s="141"/>
      <c r="AY549" s="141"/>
      <c r="AZ549" s="141"/>
      <c r="BA549" s="141"/>
      <c r="BB549" s="142"/>
      <c r="BC549" s="136">
        <f>ROUND(AW549*AE549,0)</f>
        <v>2994</v>
      </c>
      <c r="BD549" s="137"/>
      <c r="BE549" s="137"/>
      <c r="BF549" s="137"/>
      <c r="BG549" s="137"/>
      <c r="BH549" s="146"/>
      <c r="BI549" s="18">
        <f t="shared" si="1621"/>
        <v>8807</v>
      </c>
    </row>
    <row r="550" spans="1:61" s="19" customFormat="1" ht="21.95" customHeight="1" x14ac:dyDescent="0.25">
      <c r="A550" s="127" t="str">
        <f t="shared" ref="A550" si="1689">A522</f>
        <v>參</v>
      </c>
      <c r="B550" s="128"/>
      <c r="C550" s="128"/>
      <c r="D550" s="129"/>
      <c r="E550" s="130" t="str">
        <f t="shared" ref="E550" si="1690">E522</f>
        <v>公共工程品質管制作業費（壹*1%）</v>
      </c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2"/>
      <c r="U550" s="133" t="str">
        <f t="shared" ref="U550" si="1691">U522</f>
        <v>式</v>
      </c>
      <c r="V550" s="134"/>
      <c r="W550" s="134"/>
      <c r="X550" s="135"/>
      <c r="Y550" s="147">
        <f t="shared" ref="Y550" si="1692">Y522</f>
        <v>1</v>
      </c>
      <c r="Z550" s="148"/>
      <c r="AA550" s="148"/>
      <c r="AB550" s="148"/>
      <c r="AC550" s="148"/>
      <c r="AD550" s="149"/>
      <c r="AE550" s="139">
        <f t="shared" ref="AE550" si="1693">AE522</f>
        <v>4404</v>
      </c>
      <c r="AF550" s="139"/>
      <c r="AG550" s="139"/>
      <c r="AH550" s="139"/>
      <c r="AI550" s="139"/>
      <c r="AJ550" s="139"/>
      <c r="AK550" s="140">
        <v>1.7000000000000001E-2</v>
      </c>
      <c r="AL550" s="141"/>
      <c r="AM550" s="141"/>
      <c r="AN550" s="141"/>
      <c r="AO550" s="141"/>
      <c r="AP550" s="142"/>
      <c r="AQ550" s="143">
        <f t="shared" si="1672"/>
        <v>74.868000000000009</v>
      </c>
      <c r="AR550" s="144"/>
      <c r="AS550" s="144"/>
      <c r="AT550" s="144"/>
      <c r="AU550" s="144"/>
      <c r="AV550" s="145"/>
      <c r="AW550" s="140">
        <f t="shared" ref="AW550:AW553" si="1694">AW522+AK550</f>
        <v>0.34000000000000019</v>
      </c>
      <c r="AX550" s="141"/>
      <c r="AY550" s="141"/>
      <c r="AZ550" s="141"/>
      <c r="BA550" s="141"/>
      <c r="BB550" s="142"/>
      <c r="BC550" s="136">
        <f t="shared" ref="BC550:BC553" si="1695">ROUND(AW550*AE550,0)</f>
        <v>1497</v>
      </c>
      <c r="BD550" s="137"/>
      <c r="BE550" s="137"/>
      <c r="BF550" s="137"/>
      <c r="BG550" s="137"/>
      <c r="BH550" s="146"/>
      <c r="BI550" s="18">
        <f t="shared" si="1621"/>
        <v>4404</v>
      </c>
    </row>
    <row r="551" spans="1:61" s="19" customFormat="1" ht="21.95" customHeight="1" x14ac:dyDescent="0.25">
      <c r="A551" s="127" t="str">
        <f t="shared" ref="A551" si="1696">A523</f>
        <v>肆</v>
      </c>
      <c r="B551" s="128"/>
      <c r="C551" s="128"/>
      <c r="D551" s="129"/>
      <c r="E551" s="130" t="str">
        <f t="shared" ref="E551" si="1697">E523</f>
        <v>包商管理及利潤費（約壹*7%）</v>
      </c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2"/>
      <c r="U551" s="133" t="str">
        <f t="shared" ref="U551" si="1698">U523</f>
        <v>式</v>
      </c>
      <c r="V551" s="134"/>
      <c r="W551" s="134"/>
      <c r="X551" s="135"/>
      <c r="Y551" s="147">
        <f t="shared" ref="Y551" si="1699">Y523</f>
        <v>1</v>
      </c>
      <c r="Z551" s="148"/>
      <c r="AA551" s="148"/>
      <c r="AB551" s="148"/>
      <c r="AC551" s="148"/>
      <c r="AD551" s="149"/>
      <c r="AE551" s="139">
        <f t="shared" ref="AE551" si="1700">AE523</f>
        <v>30825</v>
      </c>
      <c r="AF551" s="139"/>
      <c r="AG551" s="139"/>
      <c r="AH551" s="139"/>
      <c r="AI551" s="139"/>
      <c r="AJ551" s="139"/>
      <c r="AK551" s="140">
        <v>1.7000000000000001E-2</v>
      </c>
      <c r="AL551" s="141"/>
      <c r="AM551" s="141"/>
      <c r="AN551" s="141"/>
      <c r="AO551" s="141"/>
      <c r="AP551" s="142"/>
      <c r="AQ551" s="143">
        <f t="shared" si="1672"/>
        <v>524.02500000000009</v>
      </c>
      <c r="AR551" s="144"/>
      <c r="AS551" s="144"/>
      <c r="AT551" s="144"/>
      <c r="AU551" s="144"/>
      <c r="AV551" s="145"/>
      <c r="AW551" s="140">
        <f t="shared" si="1694"/>
        <v>0.34000000000000019</v>
      </c>
      <c r="AX551" s="141"/>
      <c r="AY551" s="141"/>
      <c r="AZ551" s="141"/>
      <c r="BA551" s="141"/>
      <c r="BB551" s="142"/>
      <c r="BC551" s="136">
        <f t="shared" si="1695"/>
        <v>10481</v>
      </c>
      <c r="BD551" s="137"/>
      <c r="BE551" s="137"/>
      <c r="BF551" s="137"/>
      <c r="BG551" s="137"/>
      <c r="BH551" s="146"/>
      <c r="BI551" s="18">
        <f t="shared" si="1621"/>
        <v>30825</v>
      </c>
    </row>
    <row r="552" spans="1:61" s="19" customFormat="1" ht="21.95" customHeight="1" x14ac:dyDescent="0.25">
      <c r="A552" s="127" t="str">
        <f t="shared" ref="A552" si="1701">A524</f>
        <v>伍</v>
      </c>
      <c r="B552" s="128"/>
      <c r="C552" s="128"/>
      <c r="D552" s="129"/>
      <c r="E552" s="130" t="str">
        <f t="shared" ref="E552" si="1702">E524</f>
        <v>營造綜合保險費</v>
      </c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2"/>
      <c r="U552" s="133" t="str">
        <f t="shared" ref="U552" si="1703">U524</f>
        <v>式</v>
      </c>
      <c r="V552" s="134"/>
      <c r="W552" s="134"/>
      <c r="X552" s="135"/>
      <c r="Y552" s="136">
        <f t="shared" ref="Y552" si="1704">Y524</f>
        <v>1</v>
      </c>
      <c r="Z552" s="137"/>
      <c r="AA552" s="137"/>
      <c r="AB552" s="137"/>
      <c r="AC552" s="137"/>
      <c r="AD552" s="138"/>
      <c r="AE552" s="139">
        <f t="shared" ref="AE552" si="1705">AE524</f>
        <v>1321</v>
      </c>
      <c r="AF552" s="139"/>
      <c r="AG552" s="139"/>
      <c r="AH552" s="139"/>
      <c r="AI552" s="139"/>
      <c r="AJ552" s="139"/>
      <c r="AK552" s="136">
        <v>0</v>
      </c>
      <c r="AL552" s="137"/>
      <c r="AM552" s="137"/>
      <c r="AN552" s="137"/>
      <c r="AO552" s="137"/>
      <c r="AP552" s="138"/>
      <c r="AQ552" s="143">
        <f t="shared" si="1672"/>
        <v>0</v>
      </c>
      <c r="AR552" s="144"/>
      <c r="AS552" s="144"/>
      <c r="AT552" s="144"/>
      <c r="AU552" s="144"/>
      <c r="AV552" s="145"/>
      <c r="AW552" s="136">
        <f t="shared" si="1694"/>
        <v>1</v>
      </c>
      <c r="AX552" s="137"/>
      <c r="AY552" s="137"/>
      <c r="AZ552" s="137"/>
      <c r="BA552" s="137"/>
      <c r="BB552" s="138"/>
      <c r="BC552" s="136">
        <f t="shared" si="1695"/>
        <v>1321</v>
      </c>
      <c r="BD552" s="137"/>
      <c r="BE552" s="137"/>
      <c r="BF552" s="137"/>
      <c r="BG552" s="137"/>
      <c r="BH552" s="146"/>
      <c r="BI552" s="18">
        <f t="shared" si="1621"/>
        <v>1321</v>
      </c>
    </row>
    <row r="553" spans="1:61" s="19" customFormat="1" ht="21.95" customHeight="1" x14ac:dyDescent="0.25">
      <c r="A553" s="127" t="str">
        <f t="shared" ref="A553" si="1706">A525</f>
        <v>陸</v>
      </c>
      <c r="B553" s="128"/>
      <c r="C553" s="128"/>
      <c r="D553" s="129"/>
      <c r="E553" s="130" t="str">
        <f t="shared" ref="E553" si="1707">E525</f>
        <v>營業稅（(壹~伍)*5％）</v>
      </c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2"/>
      <c r="U553" s="133" t="str">
        <f t="shared" ref="U553" si="1708">U525</f>
        <v>式</v>
      </c>
      <c r="V553" s="134"/>
      <c r="W553" s="134"/>
      <c r="X553" s="135"/>
      <c r="Y553" s="136">
        <f t="shared" ref="Y553" si="1709">Y525</f>
        <v>1</v>
      </c>
      <c r="Z553" s="137"/>
      <c r="AA553" s="137"/>
      <c r="AB553" s="137"/>
      <c r="AC553" s="137"/>
      <c r="AD553" s="138"/>
      <c r="AE553" s="139">
        <f t="shared" ref="AE553" si="1710">AE525</f>
        <v>24286</v>
      </c>
      <c r="AF553" s="139"/>
      <c r="AG553" s="139"/>
      <c r="AH553" s="139"/>
      <c r="AI553" s="139"/>
      <c r="AJ553" s="139"/>
      <c r="AK553" s="140">
        <v>1.7000000000000001E-2</v>
      </c>
      <c r="AL553" s="141"/>
      <c r="AM553" s="141"/>
      <c r="AN553" s="141"/>
      <c r="AO553" s="141"/>
      <c r="AP553" s="142"/>
      <c r="AQ553" s="143">
        <f t="shared" si="1672"/>
        <v>412.86200000000002</v>
      </c>
      <c r="AR553" s="144"/>
      <c r="AS553" s="144"/>
      <c r="AT553" s="144"/>
      <c r="AU553" s="144"/>
      <c r="AV553" s="145"/>
      <c r="AW553" s="140">
        <f t="shared" si="1694"/>
        <v>0.34000000000000019</v>
      </c>
      <c r="AX553" s="141"/>
      <c r="AY553" s="141"/>
      <c r="AZ553" s="141"/>
      <c r="BA553" s="141"/>
      <c r="BB553" s="142"/>
      <c r="BC553" s="136">
        <f t="shared" si="1695"/>
        <v>8257</v>
      </c>
      <c r="BD553" s="137"/>
      <c r="BE553" s="137"/>
      <c r="BF553" s="137"/>
      <c r="BG553" s="137"/>
      <c r="BH553" s="146"/>
      <c r="BI553" s="18">
        <f t="shared" si="1621"/>
        <v>24286</v>
      </c>
    </row>
    <row r="554" spans="1:61" ht="21.95" customHeight="1" x14ac:dyDescent="0.25">
      <c r="A554" s="111"/>
      <c r="B554" s="112"/>
      <c r="C554" s="112"/>
      <c r="D554" s="113"/>
      <c r="E554" s="114" t="s">
        <v>75</v>
      </c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6"/>
      <c r="U554" s="117"/>
      <c r="V554" s="118"/>
      <c r="W554" s="118"/>
      <c r="X554" s="119"/>
      <c r="Y554" s="120"/>
      <c r="Z554" s="121"/>
      <c r="AA554" s="121"/>
      <c r="AB554" s="121"/>
      <c r="AC554" s="121"/>
      <c r="AD554" s="122"/>
      <c r="AE554" s="123"/>
      <c r="AF554" s="124"/>
      <c r="AG554" s="124"/>
      <c r="AH554" s="124"/>
      <c r="AI554" s="124"/>
      <c r="AJ554" s="125"/>
      <c r="AK554" s="120"/>
      <c r="AL554" s="121"/>
      <c r="AM554" s="121"/>
      <c r="AN554" s="121"/>
      <c r="AO554" s="121"/>
      <c r="AP554" s="122"/>
      <c r="AQ554" s="123">
        <f>SUM(AQ540:AQ553)</f>
        <v>1161.4740000000002</v>
      </c>
      <c r="AR554" s="124"/>
      <c r="AS554" s="124"/>
      <c r="AT554" s="124"/>
      <c r="AU554" s="124"/>
      <c r="AV554" s="125"/>
      <c r="AW554" s="120"/>
      <c r="AX554" s="121"/>
      <c r="AY554" s="121"/>
      <c r="AZ554" s="121"/>
      <c r="BA554" s="121"/>
      <c r="BB554" s="122"/>
      <c r="BC554" s="120">
        <f>SUM(BC540:BC553)</f>
        <v>79367</v>
      </c>
      <c r="BD554" s="121"/>
      <c r="BE554" s="121"/>
      <c r="BF554" s="121"/>
      <c r="BG554" s="121"/>
      <c r="BH554" s="126"/>
      <c r="BI554" s="17">
        <f>SUM(BI538:BI553)</f>
        <v>510000</v>
      </c>
    </row>
    <row r="555" spans="1:61" ht="21.95" customHeight="1" x14ac:dyDescent="0.25">
      <c r="A555" s="101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  <c r="AD555" s="102"/>
      <c r="AE555" s="102"/>
      <c r="AF555" s="102"/>
      <c r="AG555" s="102"/>
      <c r="AH555" s="102"/>
      <c r="AI555" s="102"/>
      <c r="AJ555" s="103"/>
      <c r="AK555" s="104"/>
      <c r="AL555" s="105"/>
      <c r="AM555" s="105"/>
      <c r="AN555" s="105"/>
      <c r="AO555" s="105"/>
      <c r="AP555" s="106"/>
      <c r="AQ555" s="107"/>
      <c r="AR555" s="108"/>
      <c r="AS555" s="108"/>
      <c r="AT555" s="108"/>
      <c r="AU555" s="108"/>
      <c r="AV555" s="109"/>
      <c r="AW555" s="104"/>
      <c r="AX555" s="105"/>
      <c r="AY555" s="105"/>
      <c r="AZ555" s="105"/>
      <c r="BA555" s="105"/>
      <c r="BB555" s="106"/>
      <c r="BC555" s="104"/>
      <c r="BD555" s="105"/>
      <c r="BE555" s="105"/>
      <c r="BF555" s="105"/>
      <c r="BG555" s="105"/>
      <c r="BH555" s="110"/>
      <c r="BI555" s="15">
        <f>Y555*AE555</f>
        <v>0</v>
      </c>
    </row>
    <row r="556" spans="1:61" ht="21.95" customHeight="1" x14ac:dyDescent="0.25">
      <c r="A556" s="101" t="s">
        <v>11</v>
      </c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  <c r="AD556" s="102"/>
      <c r="AE556" s="102"/>
      <c r="AF556" s="102"/>
      <c r="AG556" s="102"/>
      <c r="AH556" s="102"/>
      <c r="AI556" s="102"/>
      <c r="AJ556" s="103"/>
      <c r="AK556" s="104"/>
      <c r="AL556" s="105"/>
      <c r="AM556" s="105"/>
      <c r="AN556" s="105"/>
      <c r="AO556" s="105"/>
      <c r="AP556" s="106"/>
      <c r="AQ556" s="107">
        <f>BC554/BI554</f>
        <v>0.15562156862745097</v>
      </c>
      <c r="AR556" s="108"/>
      <c r="AS556" s="108"/>
      <c r="AT556" s="108"/>
      <c r="AU556" s="108"/>
      <c r="AV556" s="109"/>
      <c r="AW556" s="104"/>
      <c r="AX556" s="105"/>
      <c r="AY556" s="105"/>
      <c r="AZ556" s="105"/>
      <c r="BA556" s="105"/>
      <c r="BB556" s="106"/>
      <c r="BC556" s="104"/>
      <c r="BD556" s="105"/>
      <c r="BE556" s="105"/>
      <c r="BF556" s="105"/>
      <c r="BG556" s="105"/>
      <c r="BH556" s="110"/>
      <c r="BI556" s="15">
        <f>AQ556</f>
        <v>0.15562156862745097</v>
      </c>
    </row>
    <row r="557" spans="1:61" ht="18.75" customHeight="1" x14ac:dyDescent="0.25">
      <c r="A557" s="90" t="s">
        <v>15</v>
      </c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  <c r="AC557" s="91"/>
      <c r="AD557" s="92"/>
      <c r="AE557" s="93" t="s">
        <v>14</v>
      </c>
      <c r="AF557" s="91"/>
      <c r="AG557" s="91"/>
      <c r="AH557" s="91"/>
      <c r="AI557" s="91"/>
      <c r="AJ557" s="91"/>
      <c r="AK557" s="91"/>
      <c r="AL557" s="91"/>
      <c r="AM557" s="91"/>
      <c r="AN557" s="91"/>
      <c r="AO557" s="91"/>
      <c r="AP557" s="91"/>
      <c r="AQ557" s="91"/>
      <c r="AR557" s="91"/>
      <c r="AS557" s="91"/>
      <c r="AT557" s="91"/>
      <c r="AU557" s="91"/>
      <c r="AV557" s="91"/>
      <c r="AW557" s="91"/>
      <c r="AX557" s="91"/>
      <c r="AY557" s="91"/>
      <c r="AZ557" s="91"/>
      <c r="BA557" s="91"/>
      <c r="BB557" s="91"/>
      <c r="BC557" s="91"/>
      <c r="BD557" s="91"/>
      <c r="BE557" s="91"/>
      <c r="BF557" s="91"/>
      <c r="BG557" s="91"/>
      <c r="BH557" s="94"/>
    </row>
    <row r="558" spans="1:61" x14ac:dyDescent="0.25">
      <c r="A558" s="95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  <c r="AC558" s="96"/>
      <c r="AD558" s="96"/>
      <c r="AE558" s="96"/>
      <c r="AF558" s="96"/>
      <c r="AG558" s="96"/>
      <c r="AH558" s="96"/>
      <c r="AI558" s="96"/>
      <c r="AJ558" s="96"/>
      <c r="AK558" s="96"/>
      <c r="AL558" s="96"/>
      <c r="AM558" s="96"/>
      <c r="AN558" s="96"/>
      <c r="AO558" s="96"/>
      <c r="AP558" s="96"/>
      <c r="AQ558" s="96"/>
      <c r="AR558" s="96"/>
      <c r="AS558" s="96"/>
      <c r="AT558" s="96"/>
      <c r="AU558" s="96"/>
      <c r="AV558" s="96"/>
      <c r="AW558" s="96"/>
      <c r="AX558" s="96"/>
      <c r="AY558" s="96"/>
      <c r="AZ558" s="96"/>
      <c r="BA558" s="96"/>
      <c r="BB558" s="96"/>
      <c r="BC558" s="96"/>
      <c r="BD558" s="96"/>
      <c r="BE558" s="96"/>
      <c r="BF558" s="96"/>
      <c r="BG558" s="96"/>
      <c r="BH558" s="99"/>
    </row>
    <row r="559" spans="1:61" x14ac:dyDescent="0.25">
      <c r="A559" s="95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  <c r="AC559" s="96"/>
      <c r="AD559" s="96"/>
      <c r="AE559" s="96"/>
      <c r="AF559" s="96"/>
      <c r="AG559" s="96"/>
      <c r="AH559" s="96"/>
      <c r="AI559" s="96"/>
      <c r="AJ559" s="96"/>
      <c r="AK559" s="96"/>
      <c r="AL559" s="96"/>
      <c r="AM559" s="96"/>
      <c r="AN559" s="96"/>
      <c r="AO559" s="96"/>
      <c r="AP559" s="96"/>
      <c r="AQ559" s="96"/>
      <c r="AR559" s="96"/>
      <c r="AS559" s="96"/>
      <c r="AT559" s="96"/>
      <c r="AU559" s="96"/>
      <c r="AV559" s="96"/>
      <c r="AW559" s="96"/>
      <c r="AX559" s="96"/>
      <c r="AY559" s="96"/>
      <c r="AZ559" s="96"/>
      <c r="BA559" s="96"/>
      <c r="BB559" s="96"/>
      <c r="BC559" s="96"/>
      <c r="BD559" s="96"/>
      <c r="BE559" s="96"/>
      <c r="BF559" s="96"/>
      <c r="BG559" s="96"/>
      <c r="BH559" s="99"/>
    </row>
    <row r="560" spans="1:61" ht="17.25" thickBot="1" x14ac:dyDescent="0.3">
      <c r="A560" s="97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  <c r="AO560" s="98"/>
      <c r="AP560" s="98"/>
      <c r="AQ560" s="98"/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100"/>
    </row>
    <row r="561" spans="1:69" ht="27.75" x14ac:dyDescent="0.25">
      <c r="A561" s="182" t="s">
        <v>81</v>
      </c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  <c r="X561" s="182"/>
      <c r="Y561" s="182"/>
      <c r="Z561" s="182"/>
      <c r="AA561" s="182"/>
      <c r="AB561" s="182"/>
      <c r="AC561" s="182"/>
      <c r="AD561" s="182"/>
      <c r="AE561" s="182"/>
      <c r="AF561" s="182"/>
      <c r="AG561" s="182"/>
      <c r="AH561" s="182"/>
      <c r="AI561" s="182"/>
      <c r="AJ561" s="182"/>
      <c r="AK561" s="182"/>
      <c r="AL561" s="182"/>
      <c r="AM561" s="182"/>
      <c r="AN561" s="182"/>
      <c r="AO561" s="182"/>
      <c r="AP561" s="182"/>
      <c r="AQ561" s="182"/>
      <c r="AR561" s="182"/>
      <c r="AS561" s="182"/>
      <c r="AT561" s="182"/>
      <c r="AU561" s="182"/>
      <c r="AV561" s="182"/>
      <c r="AW561" s="182"/>
      <c r="AX561" s="182"/>
      <c r="AY561" s="182"/>
      <c r="AZ561" s="182"/>
      <c r="BA561" s="182"/>
      <c r="BB561" s="182"/>
      <c r="BC561" s="182"/>
      <c r="BD561" s="182"/>
      <c r="BE561" s="182"/>
      <c r="BF561" s="182"/>
      <c r="BG561" s="182"/>
      <c r="BH561" s="182"/>
    </row>
    <row r="562" spans="1:69" ht="27.75" x14ac:dyDescent="0.25">
      <c r="A562" s="183" t="s">
        <v>12</v>
      </c>
      <c r="B562" s="183"/>
      <c r="C562" s="183"/>
      <c r="D562" s="183"/>
      <c r="E562" s="183"/>
      <c r="F562" s="183"/>
      <c r="G562" s="183"/>
      <c r="H562" s="183"/>
      <c r="I562" s="183"/>
      <c r="J562" s="184" t="s">
        <v>85</v>
      </c>
      <c r="K562" s="185"/>
      <c r="L562" s="185"/>
      <c r="M562" s="185"/>
      <c r="N562" s="185"/>
      <c r="O562" s="185"/>
      <c r="P562" s="185"/>
      <c r="Q562" s="185"/>
      <c r="R562" s="185"/>
      <c r="S562" s="185"/>
      <c r="T562" s="185"/>
      <c r="U562" s="185"/>
      <c r="V562" s="185"/>
      <c r="W562" s="185"/>
      <c r="X562" s="185"/>
      <c r="Y562" s="185"/>
      <c r="Z562" s="185"/>
      <c r="AA562" s="185"/>
      <c r="AB562" s="185"/>
      <c r="AC562" s="185"/>
      <c r="AD562" s="185"/>
      <c r="AE562" s="185"/>
      <c r="AF562" s="185"/>
      <c r="AG562" s="185"/>
      <c r="AH562" s="185"/>
      <c r="AI562" s="185"/>
      <c r="AJ562" s="185"/>
      <c r="AK562" s="185"/>
      <c r="AL562" s="185"/>
      <c r="AM562" s="185"/>
      <c r="AN562" s="185"/>
      <c r="AO562" s="185"/>
      <c r="AP562" s="185"/>
      <c r="AQ562" s="185"/>
      <c r="AR562" s="185"/>
      <c r="AS562" s="185"/>
      <c r="AT562" s="185"/>
      <c r="AU562" s="185"/>
      <c r="AV562" s="185"/>
      <c r="AW562" s="185"/>
      <c r="AX562" s="185"/>
      <c r="AY562" s="185"/>
      <c r="AZ562" s="185"/>
      <c r="BA562" s="185"/>
      <c r="BB562" s="185"/>
      <c r="BC562" s="185"/>
      <c r="BD562" s="185"/>
      <c r="BE562" s="185"/>
      <c r="BF562" s="185"/>
      <c r="BG562" s="185"/>
      <c r="BH562" s="185"/>
      <c r="BI562" s="185"/>
      <c r="BJ562" s="185"/>
      <c r="BK562" s="185"/>
      <c r="BL562" s="185"/>
      <c r="BM562" s="185"/>
      <c r="BN562" s="185"/>
      <c r="BO562" s="185"/>
      <c r="BP562" s="185"/>
      <c r="BQ562" s="185"/>
    </row>
    <row r="563" spans="1:69" ht="17.25" thickBot="1" x14ac:dyDescent="0.3">
      <c r="A563" s="186" t="s">
        <v>10</v>
      </c>
      <c r="B563" s="186"/>
      <c r="C563" s="186"/>
      <c r="D563" s="186"/>
      <c r="E563" s="186"/>
      <c r="F563" s="186"/>
      <c r="G563" s="186"/>
      <c r="H563" s="186"/>
      <c r="I563" s="187" t="s">
        <v>78</v>
      </c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  <c r="AA563" s="187"/>
      <c r="AB563" s="187"/>
      <c r="AC563" s="187"/>
      <c r="AD563" s="187"/>
      <c r="AE563" s="187"/>
      <c r="AF563" s="187"/>
      <c r="AG563" s="187"/>
      <c r="AH563" s="187"/>
      <c r="AI563" s="187"/>
      <c r="AJ563" s="187"/>
      <c r="AK563" s="187"/>
      <c r="AL563" s="187"/>
      <c r="AM563" s="187"/>
      <c r="AN563" s="187"/>
      <c r="AO563" s="188" t="s">
        <v>9</v>
      </c>
      <c r="AP563" s="188"/>
      <c r="AQ563" s="188"/>
      <c r="AR563" s="188"/>
      <c r="AS563" s="188"/>
      <c r="AT563" s="188"/>
      <c r="AU563" s="188"/>
      <c r="AV563" s="188"/>
      <c r="AW563" s="189">
        <f>AW535+1</f>
        <v>45930</v>
      </c>
      <c r="AX563" s="189"/>
      <c r="AY563" s="189"/>
      <c r="AZ563" s="189"/>
      <c r="BA563" s="189"/>
      <c r="BB563" s="189"/>
      <c r="BC563" s="189"/>
      <c r="BD563" s="189"/>
      <c r="BE563" s="189"/>
      <c r="BF563" s="189"/>
      <c r="BG563" s="189"/>
      <c r="BH563" s="189"/>
    </row>
    <row r="564" spans="1:69" ht="36" customHeight="1" x14ac:dyDescent="0.25">
      <c r="A564" s="180" t="s">
        <v>0</v>
      </c>
      <c r="B564" s="83"/>
      <c r="C564" s="83"/>
      <c r="D564" s="83"/>
      <c r="E564" s="83" t="s">
        <v>6</v>
      </c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 t="s">
        <v>7</v>
      </c>
      <c r="V564" s="83"/>
      <c r="W564" s="83"/>
      <c r="X564" s="83"/>
      <c r="Y564" s="181" t="s">
        <v>1</v>
      </c>
      <c r="Z564" s="181"/>
      <c r="AA564" s="181"/>
      <c r="AB564" s="181"/>
      <c r="AC564" s="181"/>
      <c r="AD564" s="181"/>
      <c r="AE564" s="83" t="s">
        <v>8</v>
      </c>
      <c r="AF564" s="83"/>
      <c r="AG564" s="83"/>
      <c r="AH564" s="83"/>
      <c r="AI564" s="83"/>
      <c r="AJ564" s="83"/>
      <c r="AK564" s="181" t="s">
        <v>2</v>
      </c>
      <c r="AL564" s="181"/>
      <c r="AM564" s="181"/>
      <c r="AN564" s="181"/>
      <c r="AO564" s="181"/>
      <c r="AP564" s="181"/>
      <c r="AQ564" s="84" t="s">
        <v>3</v>
      </c>
      <c r="AR564" s="84"/>
      <c r="AS564" s="84"/>
      <c r="AT564" s="84"/>
      <c r="AU564" s="84"/>
      <c r="AV564" s="84"/>
      <c r="AW564" s="181" t="s">
        <v>4</v>
      </c>
      <c r="AX564" s="181"/>
      <c r="AY564" s="181"/>
      <c r="AZ564" s="181"/>
      <c r="BA564" s="181"/>
      <c r="BB564" s="181"/>
      <c r="BC564" s="84" t="s">
        <v>5</v>
      </c>
      <c r="BD564" s="84"/>
      <c r="BE564" s="84"/>
      <c r="BF564" s="84"/>
      <c r="BG564" s="84"/>
      <c r="BH564" s="85"/>
      <c r="BI564" s="1"/>
    </row>
    <row r="565" spans="1:69" ht="21.95" customHeight="1" x14ac:dyDescent="0.25">
      <c r="A565" s="150" t="str">
        <f t="shared" ref="A565" si="1711">A537</f>
        <v>壹</v>
      </c>
      <c r="B565" s="151"/>
      <c r="C565" s="151"/>
      <c r="D565" s="152"/>
      <c r="E565" s="175" t="str">
        <f t="shared" ref="E565" si="1712">E537</f>
        <v>直接工程費</v>
      </c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7"/>
      <c r="U565" s="117"/>
      <c r="V565" s="118"/>
      <c r="W565" s="118"/>
      <c r="X565" s="119"/>
      <c r="Y565" s="178"/>
      <c r="Z565" s="178"/>
      <c r="AA565" s="178"/>
      <c r="AB565" s="178"/>
      <c r="AC565" s="178"/>
      <c r="AD565" s="178"/>
      <c r="AE565" s="178"/>
      <c r="AF565" s="178"/>
      <c r="AG565" s="178"/>
      <c r="AH565" s="178"/>
      <c r="AI565" s="178"/>
      <c r="AJ565" s="178"/>
      <c r="AK565" s="178"/>
      <c r="AL565" s="178"/>
      <c r="AM565" s="178"/>
      <c r="AN565" s="178"/>
      <c r="AO565" s="178"/>
      <c r="AP565" s="178"/>
      <c r="AQ565" s="178"/>
      <c r="AR565" s="178"/>
      <c r="AS565" s="178"/>
      <c r="AT565" s="178"/>
      <c r="AU565" s="178"/>
      <c r="AV565" s="178"/>
      <c r="AW565" s="178"/>
      <c r="AX565" s="178"/>
      <c r="AY565" s="178"/>
      <c r="AZ565" s="178"/>
      <c r="BA565" s="178"/>
      <c r="BB565" s="178"/>
      <c r="BC565" s="178"/>
      <c r="BD565" s="178"/>
      <c r="BE565" s="178"/>
      <c r="BF565" s="178"/>
      <c r="BG565" s="178"/>
      <c r="BH565" s="179"/>
      <c r="BI565" s="3">
        <f t="shared" ref="BI565:BI581" si="1713">Y565*AE565</f>
        <v>0</v>
      </c>
    </row>
    <row r="566" spans="1:69" s="19" customFormat="1" ht="21.95" customHeight="1" x14ac:dyDescent="0.25">
      <c r="A566" s="127">
        <f t="shared" ref="A566" si="1714">A538</f>
        <v>1</v>
      </c>
      <c r="B566" s="128"/>
      <c r="C566" s="128"/>
      <c r="D566" s="129"/>
      <c r="E566" s="170" t="str">
        <f t="shared" ref="E566" si="1715">E538</f>
        <v>工程告示牌與職安衛告示牌(租用)</v>
      </c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2"/>
      <c r="U566" s="133" t="str">
        <f t="shared" ref="U566" si="1716">U538</f>
        <v>式</v>
      </c>
      <c r="V566" s="134"/>
      <c r="W566" s="134"/>
      <c r="X566" s="135"/>
      <c r="Y566" s="136">
        <f t="shared" ref="Y566" si="1717">Y538</f>
        <v>1</v>
      </c>
      <c r="Z566" s="137"/>
      <c r="AA566" s="137"/>
      <c r="AB566" s="137"/>
      <c r="AC566" s="137"/>
      <c r="AD566" s="138"/>
      <c r="AE566" s="139">
        <f t="shared" ref="AE566" si="1718">AE538</f>
        <v>5000</v>
      </c>
      <c r="AF566" s="139"/>
      <c r="AG566" s="139"/>
      <c r="AH566" s="139"/>
      <c r="AI566" s="139"/>
      <c r="AJ566" s="139"/>
      <c r="AK566" s="173">
        <v>0</v>
      </c>
      <c r="AL566" s="173"/>
      <c r="AM566" s="173"/>
      <c r="AN566" s="173"/>
      <c r="AO566" s="173"/>
      <c r="AP566" s="173"/>
      <c r="AQ566" s="139">
        <f t="shared" ref="AQ566:AQ567" si="1719">AK566*AE566</f>
        <v>0</v>
      </c>
      <c r="AR566" s="139"/>
      <c r="AS566" s="139"/>
      <c r="AT566" s="139"/>
      <c r="AU566" s="139"/>
      <c r="AV566" s="139"/>
      <c r="AW566" s="173">
        <f t="shared" ref="AW566:AW576" si="1720">AW538+AK566</f>
        <v>1</v>
      </c>
      <c r="AX566" s="173"/>
      <c r="AY566" s="173"/>
      <c r="AZ566" s="173"/>
      <c r="BA566" s="173"/>
      <c r="BB566" s="173"/>
      <c r="BC566" s="173">
        <f t="shared" ref="BC566:BC567" si="1721">ROUND(AW566*AE566,0)</f>
        <v>5000</v>
      </c>
      <c r="BD566" s="173"/>
      <c r="BE566" s="173"/>
      <c r="BF566" s="173"/>
      <c r="BG566" s="173"/>
      <c r="BH566" s="174"/>
      <c r="BI566" s="18">
        <f t="shared" si="1713"/>
        <v>5000</v>
      </c>
    </row>
    <row r="567" spans="1:69" s="19" customFormat="1" ht="21.95" customHeight="1" x14ac:dyDescent="0.25">
      <c r="A567" s="127">
        <f t="shared" ref="A567" si="1722">A539</f>
        <v>2</v>
      </c>
      <c r="B567" s="128"/>
      <c r="C567" s="128"/>
      <c r="D567" s="129"/>
      <c r="E567" s="170" t="str">
        <f t="shared" ref="E567" si="1723">E539</f>
        <v>三角錐與連桿(租用)</v>
      </c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2"/>
      <c r="U567" s="133" t="str">
        <f t="shared" ref="U567" si="1724">U539</f>
        <v>M</v>
      </c>
      <c r="V567" s="134"/>
      <c r="W567" s="134"/>
      <c r="X567" s="135"/>
      <c r="Y567" s="147">
        <f t="shared" ref="Y567" si="1725">Y539</f>
        <v>86</v>
      </c>
      <c r="Z567" s="148"/>
      <c r="AA567" s="148"/>
      <c r="AB567" s="148"/>
      <c r="AC567" s="148"/>
      <c r="AD567" s="149"/>
      <c r="AE567" s="139">
        <f t="shared" ref="AE567" si="1726">AE539</f>
        <v>60</v>
      </c>
      <c r="AF567" s="139"/>
      <c r="AG567" s="139"/>
      <c r="AH567" s="139"/>
      <c r="AI567" s="139"/>
      <c r="AJ567" s="139"/>
      <c r="AK567" s="173">
        <v>0</v>
      </c>
      <c r="AL567" s="173"/>
      <c r="AM567" s="173"/>
      <c r="AN567" s="173"/>
      <c r="AO567" s="173"/>
      <c r="AP567" s="173"/>
      <c r="AQ567" s="139">
        <f t="shared" si="1719"/>
        <v>0</v>
      </c>
      <c r="AR567" s="139"/>
      <c r="AS567" s="139"/>
      <c r="AT567" s="139"/>
      <c r="AU567" s="139"/>
      <c r="AV567" s="139"/>
      <c r="AW567" s="173">
        <f t="shared" si="1720"/>
        <v>86</v>
      </c>
      <c r="AX567" s="173"/>
      <c r="AY567" s="173"/>
      <c r="AZ567" s="173"/>
      <c r="BA567" s="173"/>
      <c r="BB567" s="173"/>
      <c r="BC567" s="173">
        <f t="shared" si="1721"/>
        <v>5160</v>
      </c>
      <c r="BD567" s="173"/>
      <c r="BE567" s="173"/>
      <c r="BF567" s="173"/>
      <c r="BG567" s="173"/>
      <c r="BH567" s="174"/>
      <c r="BI567" s="18">
        <f t="shared" si="1713"/>
        <v>5160</v>
      </c>
    </row>
    <row r="568" spans="1:69" s="19" customFormat="1" ht="33" customHeight="1" x14ac:dyDescent="0.25">
      <c r="A568" s="150">
        <f t="shared" ref="A568" si="1727">A540</f>
        <v>3</v>
      </c>
      <c r="B568" s="151"/>
      <c r="C568" s="151"/>
      <c r="D568" s="152"/>
      <c r="E568" s="175" t="str">
        <f t="shared" ref="E568" si="1728">E540</f>
        <v>施工動線開闢及損害復原；測量與放樣</v>
      </c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7"/>
      <c r="U568" s="117" t="str">
        <f t="shared" ref="U568" si="1729">U540</f>
        <v>式</v>
      </c>
      <c r="V568" s="118"/>
      <c r="W568" s="118"/>
      <c r="X568" s="119"/>
      <c r="Y568" s="156">
        <f t="shared" ref="Y568" si="1730">Y540</f>
        <v>1</v>
      </c>
      <c r="Z568" s="157"/>
      <c r="AA568" s="157"/>
      <c r="AB568" s="157"/>
      <c r="AC568" s="157"/>
      <c r="AD568" s="158"/>
      <c r="AE568" s="159">
        <f t="shared" ref="AE568" si="1731">AE540</f>
        <v>4000</v>
      </c>
      <c r="AF568" s="159"/>
      <c r="AG568" s="159"/>
      <c r="AH568" s="159"/>
      <c r="AI568" s="159"/>
      <c r="AJ568" s="159"/>
      <c r="AK568" s="167">
        <v>0</v>
      </c>
      <c r="AL568" s="167"/>
      <c r="AM568" s="167"/>
      <c r="AN568" s="167"/>
      <c r="AO568" s="167"/>
      <c r="AP568" s="167"/>
      <c r="AQ568" s="159">
        <f>AK568*AE568</f>
        <v>0</v>
      </c>
      <c r="AR568" s="159"/>
      <c r="AS568" s="159"/>
      <c r="AT568" s="159"/>
      <c r="AU568" s="159"/>
      <c r="AV568" s="159"/>
      <c r="AW568" s="167">
        <f t="shared" si="1720"/>
        <v>0.5</v>
      </c>
      <c r="AX568" s="167"/>
      <c r="AY568" s="167"/>
      <c r="AZ568" s="167"/>
      <c r="BA568" s="167"/>
      <c r="BB568" s="167"/>
      <c r="BC568" s="167">
        <f>ROUND(AW568*AE568,0)</f>
        <v>2000</v>
      </c>
      <c r="BD568" s="167"/>
      <c r="BE568" s="167"/>
      <c r="BF568" s="167"/>
      <c r="BG568" s="167"/>
      <c r="BH568" s="168"/>
      <c r="BI568" s="18">
        <f t="shared" si="1713"/>
        <v>4000</v>
      </c>
    </row>
    <row r="569" spans="1:69" s="19" customFormat="1" ht="54" customHeight="1" x14ac:dyDescent="0.25">
      <c r="A569" s="127">
        <f t="shared" ref="A569" si="1732">A541</f>
        <v>4</v>
      </c>
      <c r="B569" s="128"/>
      <c r="C569" s="128"/>
      <c r="D569" s="129"/>
      <c r="E569" s="170" t="str">
        <f t="shared" ref="E569" si="1733">E541</f>
        <v>切割打除清運校舍與教室出入口地坪以及司令台階梯平台(含合法清運證明)</v>
      </c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2"/>
      <c r="U569" s="133" t="str">
        <f t="shared" ref="U569" si="1734">U541</f>
        <v>式</v>
      </c>
      <c r="V569" s="134"/>
      <c r="W569" s="134"/>
      <c r="X569" s="135"/>
      <c r="Y569" s="147">
        <f t="shared" ref="Y569" si="1735">Y541</f>
        <v>1</v>
      </c>
      <c r="Z569" s="148"/>
      <c r="AA569" s="148"/>
      <c r="AB569" s="148"/>
      <c r="AC569" s="148"/>
      <c r="AD569" s="149"/>
      <c r="AE569" s="139">
        <f t="shared" ref="AE569" si="1736">AE541</f>
        <v>52817</v>
      </c>
      <c r="AF569" s="139"/>
      <c r="AG569" s="139"/>
      <c r="AH569" s="139"/>
      <c r="AI569" s="139"/>
      <c r="AJ569" s="139"/>
      <c r="AK569" s="173">
        <v>0</v>
      </c>
      <c r="AL569" s="173"/>
      <c r="AM569" s="173"/>
      <c r="AN569" s="173"/>
      <c r="AO569" s="173"/>
      <c r="AP569" s="173"/>
      <c r="AQ569" s="139">
        <f t="shared" ref="AQ569:AQ572" si="1737">AK569*AE569</f>
        <v>0</v>
      </c>
      <c r="AR569" s="139"/>
      <c r="AS569" s="139"/>
      <c r="AT569" s="139"/>
      <c r="AU569" s="139"/>
      <c r="AV569" s="139"/>
      <c r="AW569" s="173">
        <f t="shared" si="1720"/>
        <v>1</v>
      </c>
      <c r="AX569" s="173"/>
      <c r="AY569" s="173"/>
      <c r="AZ569" s="173"/>
      <c r="BA569" s="173"/>
      <c r="BB569" s="173"/>
      <c r="BC569" s="173">
        <f t="shared" ref="BC569:BC572" si="1738">ROUND(AW569*AE569,0)</f>
        <v>52817</v>
      </c>
      <c r="BD569" s="173"/>
      <c r="BE569" s="173"/>
      <c r="BF569" s="173"/>
      <c r="BG569" s="173"/>
      <c r="BH569" s="174"/>
      <c r="BI569" s="20">
        <f t="shared" si="1713"/>
        <v>52817</v>
      </c>
    </row>
    <row r="570" spans="1:69" ht="20.25" customHeight="1" x14ac:dyDescent="0.25">
      <c r="A570" s="150">
        <f t="shared" ref="A570" si="1739">A542</f>
        <v>5</v>
      </c>
      <c r="B570" s="151"/>
      <c r="C570" s="151"/>
      <c r="D570" s="152"/>
      <c r="E570" s="153" t="str">
        <f t="shared" ref="E570" si="1740">E542</f>
        <v>校舍出入口施做斜坡順平高差</v>
      </c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5"/>
      <c r="U570" s="117" t="str">
        <f t="shared" ref="U570" si="1741">U542</f>
        <v>M2</v>
      </c>
      <c r="V570" s="118"/>
      <c r="W570" s="118"/>
      <c r="X570" s="119"/>
      <c r="Y570" s="160">
        <f t="shared" ref="Y570" si="1742">Y542</f>
        <v>15</v>
      </c>
      <c r="Z570" s="161"/>
      <c r="AA570" s="161"/>
      <c r="AB570" s="161"/>
      <c r="AC570" s="161"/>
      <c r="AD570" s="162"/>
      <c r="AE570" s="169">
        <f t="shared" ref="AE570" si="1743">AE542</f>
        <v>600</v>
      </c>
      <c r="AF570" s="169"/>
      <c r="AG570" s="169"/>
      <c r="AH570" s="169"/>
      <c r="AI570" s="169"/>
      <c r="AJ570" s="169"/>
      <c r="AK570" s="167">
        <v>0</v>
      </c>
      <c r="AL570" s="167"/>
      <c r="AM570" s="167"/>
      <c r="AN570" s="167"/>
      <c r="AO570" s="167"/>
      <c r="AP570" s="167"/>
      <c r="AQ570" s="159">
        <f t="shared" si="1737"/>
        <v>0</v>
      </c>
      <c r="AR570" s="159"/>
      <c r="AS570" s="159"/>
      <c r="AT570" s="159"/>
      <c r="AU570" s="159"/>
      <c r="AV570" s="159"/>
      <c r="AW570" s="167">
        <f t="shared" si="1720"/>
        <v>0</v>
      </c>
      <c r="AX570" s="167"/>
      <c r="AY570" s="167"/>
      <c r="AZ570" s="167"/>
      <c r="BA570" s="167"/>
      <c r="BB570" s="167"/>
      <c r="BC570" s="167">
        <f t="shared" si="1738"/>
        <v>0</v>
      </c>
      <c r="BD570" s="167"/>
      <c r="BE570" s="167"/>
      <c r="BF570" s="167"/>
      <c r="BG570" s="167"/>
      <c r="BH570" s="168"/>
      <c r="BI570" s="3">
        <f t="shared" si="1713"/>
        <v>9000</v>
      </c>
    </row>
    <row r="571" spans="1:69" ht="50.25" customHeight="1" x14ac:dyDescent="0.25">
      <c r="A571" s="150">
        <f t="shared" ref="A571" si="1744">A543</f>
        <v>6</v>
      </c>
      <c r="B571" s="151"/>
      <c r="C571" s="151"/>
      <c r="D571" s="152"/>
      <c r="E571" s="153" t="str">
        <f t="shared" ref="E571" si="1745">E543</f>
        <v>開挖整地，新設無障礙RC坡道，牆面與地坪粉刷整平(連工帶料，責任施工)</v>
      </c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5"/>
      <c r="U571" s="117" t="str">
        <f t="shared" ref="U571" si="1746">U543</f>
        <v>式</v>
      </c>
      <c r="V571" s="118"/>
      <c r="W571" s="118"/>
      <c r="X571" s="119"/>
      <c r="Y571" s="160">
        <f t="shared" ref="Y571" si="1747">Y543</f>
        <v>1</v>
      </c>
      <c r="Z571" s="161"/>
      <c r="AA571" s="161"/>
      <c r="AB571" s="161"/>
      <c r="AC571" s="161"/>
      <c r="AD571" s="162"/>
      <c r="AE571" s="159">
        <f t="shared" ref="AE571" si="1748">AE543</f>
        <v>153000</v>
      </c>
      <c r="AF571" s="159"/>
      <c r="AG571" s="159"/>
      <c r="AH571" s="159"/>
      <c r="AI571" s="159"/>
      <c r="AJ571" s="159"/>
      <c r="AK571" s="167">
        <v>0</v>
      </c>
      <c r="AL571" s="167"/>
      <c r="AM571" s="167"/>
      <c r="AN571" s="167"/>
      <c r="AO571" s="167"/>
      <c r="AP571" s="167"/>
      <c r="AQ571" s="159">
        <f t="shared" si="1737"/>
        <v>0</v>
      </c>
      <c r="AR571" s="159"/>
      <c r="AS571" s="159"/>
      <c r="AT571" s="159"/>
      <c r="AU571" s="159"/>
      <c r="AV571" s="159"/>
      <c r="AW571" s="167">
        <f t="shared" si="1720"/>
        <v>0</v>
      </c>
      <c r="AX571" s="167"/>
      <c r="AY571" s="167"/>
      <c r="AZ571" s="167"/>
      <c r="BA571" s="167"/>
      <c r="BB571" s="167"/>
      <c r="BC571" s="167">
        <f t="shared" si="1738"/>
        <v>0</v>
      </c>
      <c r="BD571" s="167"/>
      <c r="BE571" s="167"/>
      <c r="BF571" s="167"/>
      <c r="BG571" s="167"/>
      <c r="BH571" s="168"/>
      <c r="BI571" s="3">
        <f t="shared" si="1713"/>
        <v>153000</v>
      </c>
    </row>
    <row r="572" spans="1:69" ht="32.450000000000003" customHeight="1" x14ac:dyDescent="0.25">
      <c r="A572" s="150">
        <f t="shared" ref="A572" si="1749">A544</f>
        <v>7</v>
      </c>
      <c r="B572" s="151"/>
      <c r="C572" s="151"/>
      <c r="D572" s="152"/>
      <c r="E572" s="153" t="str">
        <f t="shared" ref="E572" si="1750">E544</f>
        <v>施做抿石子(1~2分AK石，抿石子專用泥)</v>
      </c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5"/>
      <c r="U572" s="117" t="str">
        <f t="shared" ref="U572" si="1751">U544</f>
        <v>M2</v>
      </c>
      <c r="V572" s="118"/>
      <c r="W572" s="118"/>
      <c r="X572" s="119"/>
      <c r="Y572" s="160">
        <f t="shared" ref="Y572" si="1752">Y544</f>
        <v>38</v>
      </c>
      <c r="Z572" s="161"/>
      <c r="AA572" s="161"/>
      <c r="AB572" s="161"/>
      <c r="AC572" s="161"/>
      <c r="AD572" s="162"/>
      <c r="AE572" s="159">
        <f t="shared" ref="AE572" si="1753">AE544</f>
        <v>1460</v>
      </c>
      <c r="AF572" s="159"/>
      <c r="AG572" s="159"/>
      <c r="AH572" s="159"/>
      <c r="AI572" s="159"/>
      <c r="AJ572" s="159"/>
      <c r="AK572" s="167">
        <v>0</v>
      </c>
      <c r="AL572" s="167"/>
      <c r="AM572" s="167"/>
      <c r="AN572" s="167"/>
      <c r="AO572" s="167"/>
      <c r="AP572" s="167"/>
      <c r="AQ572" s="159">
        <f t="shared" si="1737"/>
        <v>0</v>
      </c>
      <c r="AR572" s="159"/>
      <c r="AS572" s="159"/>
      <c r="AT572" s="159"/>
      <c r="AU572" s="159"/>
      <c r="AV572" s="159"/>
      <c r="AW572" s="167">
        <f t="shared" si="1720"/>
        <v>0</v>
      </c>
      <c r="AX572" s="167"/>
      <c r="AY572" s="167"/>
      <c r="AZ572" s="167"/>
      <c r="BA572" s="167"/>
      <c r="BB572" s="167"/>
      <c r="BC572" s="167">
        <f t="shared" si="1738"/>
        <v>0</v>
      </c>
      <c r="BD572" s="167"/>
      <c r="BE572" s="167"/>
      <c r="BF572" s="167"/>
      <c r="BG572" s="167"/>
      <c r="BH572" s="168"/>
      <c r="BI572" s="3">
        <f t="shared" si="1713"/>
        <v>55480</v>
      </c>
    </row>
    <row r="573" spans="1:69" ht="21" customHeight="1" x14ac:dyDescent="0.25">
      <c r="A573" s="150">
        <f t="shared" ref="A573" si="1754">A545</f>
        <v>8</v>
      </c>
      <c r="B573" s="151"/>
      <c r="C573" s="151"/>
      <c r="D573" s="152"/>
      <c r="E573" s="153" t="str">
        <f t="shared" ref="E573" si="1755">E545</f>
        <v>無障礙坡道地坪拉毛</v>
      </c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5"/>
      <c r="U573" s="117" t="str">
        <f t="shared" ref="U573" si="1756">U545</f>
        <v>M2</v>
      </c>
      <c r="V573" s="118"/>
      <c r="W573" s="118"/>
      <c r="X573" s="119"/>
      <c r="Y573" s="160">
        <f t="shared" ref="Y573" si="1757">Y545</f>
        <v>33</v>
      </c>
      <c r="Z573" s="161"/>
      <c r="AA573" s="161"/>
      <c r="AB573" s="161"/>
      <c r="AC573" s="161"/>
      <c r="AD573" s="162"/>
      <c r="AE573" s="159">
        <f t="shared" ref="AE573" si="1758">AE545</f>
        <v>100</v>
      </c>
      <c r="AF573" s="159"/>
      <c r="AG573" s="159"/>
      <c r="AH573" s="159"/>
      <c r="AI573" s="159"/>
      <c r="AJ573" s="159"/>
      <c r="AK573" s="167"/>
      <c r="AL573" s="167"/>
      <c r="AM573" s="167"/>
      <c r="AN573" s="167"/>
      <c r="AO573" s="167"/>
      <c r="AP573" s="167"/>
      <c r="AQ573" s="159"/>
      <c r="AR573" s="159"/>
      <c r="AS573" s="159"/>
      <c r="AT573" s="159"/>
      <c r="AU573" s="159"/>
      <c r="AV573" s="159"/>
      <c r="AW573" s="167">
        <f t="shared" si="1720"/>
        <v>0</v>
      </c>
      <c r="AX573" s="167"/>
      <c r="AY573" s="167"/>
      <c r="AZ573" s="167"/>
      <c r="BA573" s="167"/>
      <c r="BB573" s="167"/>
      <c r="BC573" s="167"/>
      <c r="BD573" s="167"/>
      <c r="BE573" s="167"/>
      <c r="BF573" s="167"/>
      <c r="BG573" s="167"/>
      <c r="BH573" s="168"/>
      <c r="BI573" s="3">
        <f t="shared" si="1713"/>
        <v>3300</v>
      </c>
    </row>
    <row r="574" spans="1:69" s="19" customFormat="1" ht="34.5" customHeight="1" x14ac:dyDescent="0.25">
      <c r="A574" s="127">
        <f t="shared" ref="A574" si="1759">A546</f>
        <v>9</v>
      </c>
      <c r="B574" s="128"/>
      <c r="C574" s="128"/>
      <c r="D574" s="129"/>
      <c r="E574" s="153" t="str">
        <f t="shared" ref="E574" si="1760">E546</f>
        <v>司令台既有樓梯面清潔，刷止滑漆(一底二度)</v>
      </c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5"/>
      <c r="U574" s="133" t="str">
        <f t="shared" ref="U574" si="1761">U546</f>
        <v>式</v>
      </c>
      <c r="V574" s="134"/>
      <c r="W574" s="134"/>
      <c r="X574" s="135"/>
      <c r="Y574" s="160">
        <f t="shared" ref="Y574" si="1762">Y546</f>
        <v>1</v>
      </c>
      <c r="Z574" s="161"/>
      <c r="AA574" s="161"/>
      <c r="AB574" s="161"/>
      <c r="AC574" s="161"/>
      <c r="AD574" s="162"/>
      <c r="AE574" s="159">
        <f t="shared" ref="AE574" si="1763">AE546</f>
        <v>3000</v>
      </c>
      <c r="AF574" s="159"/>
      <c r="AG574" s="159"/>
      <c r="AH574" s="159"/>
      <c r="AI574" s="159"/>
      <c r="AJ574" s="159"/>
      <c r="AK574" s="167">
        <v>0</v>
      </c>
      <c r="AL574" s="167"/>
      <c r="AM574" s="167"/>
      <c r="AN574" s="167"/>
      <c r="AO574" s="167"/>
      <c r="AP574" s="167"/>
      <c r="AQ574" s="159">
        <f t="shared" ref="AQ574:AQ581" si="1764">AK574*AE574</f>
        <v>0</v>
      </c>
      <c r="AR574" s="159"/>
      <c r="AS574" s="159"/>
      <c r="AT574" s="159"/>
      <c r="AU574" s="159"/>
      <c r="AV574" s="159"/>
      <c r="AW574" s="167">
        <f t="shared" si="1720"/>
        <v>0</v>
      </c>
      <c r="AX574" s="167"/>
      <c r="AY574" s="167"/>
      <c r="AZ574" s="167"/>
      <c r="BA574" s="167"/>
      <c r="BB574" s="167"/>
      <c r="BC574" s="167">
        <f t="shared" ref="BC574:BC576" si="1765">ROUND(AW574*AE574,0)</f>
        <v>0</v>
      </c>
      <c r="BD574" s="167"/>
      <c r="BE574" s="167"/>
      <c r="BF574" s="167"/>
      <c r="BG574" s="167"/>
      <c r="BH574" s="168"/>
      <c r="BI574" s="18">
        <f t="shared" si="1713"/>
        <v>3000</v>
      </c>
    </row>
    <row r="575" spans="1:69" ht="35.25" customHeight="1" x14ac:dyDescent="0.25">
      <c r="A575" s="150">
        <f t="shared" ref="A575" si="1766">A547</f>
        <v>10</v>
      </c>
      <c r="B575" s="151"/>
      <c r="C575" s="151"/>
      <c r="D575" s="152"/>
      <c r="E575" s="153" t="str">
        <f t="shared" ref="E575" si="1767">E547</f>
        <v>校舍、教室及司令台坡道出入口配置無線押扣與插電式緊急求救鈴</v>
      </c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5"/>
      <c r="U575" s="117" t="str">
        <f t="shared" ref="U575" si="1768">U547</f>
        <v>組</v>
      </c>
      <c r="V575" s="118"/>
      <c r="W575" s="118"/>
      <c r="X575" s="119"/>
      <c r="Y575" s="160">
        <f t="shared" ref="Y575" si="1769">Y547</f>
        <v>8</v>
      </c>
      <c r="Z575" s="161"/>
      <c r="AA575" s="161"/>
      <c r="AB575" s="161"/>
      <c r="AC575" s="161"/>
      <c r="AD575" s="162"/>
      <c r="AE575" s="159">
        <f t="shared" ref="AE575" si="1770">AE547</f>
        <v>700</v>
      </c>
      <c r="AF575" s="159"/>
      <c r="AG575" s="159"/>
      <c r="AH575" s="159"/>
      <c r="AI575" s="159"/>
      <c r="AJ575" s="159"/>
      <c r="AK575" s="167">
        <v>0</v>
      </c>
      <c r="AL575" s="167"/>
      <c r="AM575" s="167"/>
      <c r="AN575" s="167"/>
      <c r="AO575" s="167"/>
      <c r="AP575" s="167"/>
      <c r="AQ575" s="159">
        <f t="shared" si="1764"/>
        <v>0</v>
      </c>
      <c r="AR575" s="159"/>
      <c r="AS575" s="159"/>
      <c r="AT575" s="159"/>
      <c r="AU575" s="159"/>
      <c r="AV575" s="159"/>
      <c r="AW575" s="167">
        <f t="shared" si="1720"/>
        <v>0</v>
      </c>
      <c r="AX575" s="167"/>
      <c r="AY575" s="167"/>
      <c r="AZ575" s="167"/>
      <c r="BA575" s="167"/>
      <c r="BB575" s="167"/>
      <c r="BC575" s="167">
        <f t="shared" si="1765"/>
        <v>0</v>
      </c>
      <c r="BD575" s="167"/>
      <c r="BE575" s="167"/>
      <c r="BF575" s="167"/>
      <c r="BG575" s="167"/>
      <c r="BH575" s="168"/>
      <c r="BI575" s="3">
        <f t="shared" si="1713"/>
        <v>5600</v>
      </c>
    </row>
    <row r="576" spans="1:69" ht="36.75" customHeight="1" x14ac:dyDescent="0.25">
      <c r="A576" s="150">
        <f t="shared" ref="A576" si="1771">A548</f>
        <v>11</v>
      </c>
      <c r="B576" s="151"/>
      <c r="C576" s="151"/>
      <c r="D576" s="152"/>
      <c r="E576" s="153" t="str">
        <f t="shared" ref="E576" si="1772">E548</f>
        <v>司令台周圍及無障礙坡道安裝不鏽鋼扶手(連工帶料)</v>
      </c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5"/>
      <c r="U576" s="117" t="str">
        <f t="shared" ref="U576" si="1773">U548</f>
        <v>M</v>
      </c>
      <c r="V576" s="118"/>
      <c r="W576" s="118"/>
      <c r="X576" s="119"/>
      <c r="Y576" s="156">
        <f t="shared" ref="Y576" si="1774">Y548</f>
        <v>48</v>
      </c>
      <c r="Z576" s="157"/>
      <c r="AA576" s="157"/>
      <c r="AB576" s="157"/>
      <c r="AC576" s="157"/>
      <c r="AD576" s="158"/>
      <c r="AE576" s="159">
        <f t="shared" ref="AE576" si="1775">AE548</f>
        <v>3000</v>
      </c>
      <c r="AF576" s="159"/>
      <c r="AG576" s="159"/>
      <c r="AH576" s="159"/>
      <c r="AI576" s="159"/>
      <c r="AJ576" s="159"/>
      <c r="AK576" s="160">
        <v>0</v>
      </c>
      <c r="AL576" s="161"/>
      <c r="AM576" s="161"/>
      <c r="AN576" s="161"/>
      <c r="AO576" s="161"/>
      <c r="AP576" s="162"/>
      <c r="AQ576" s="163">
        <f t="shared" si="1764"/>
        <v>0</v>
      </c>
      <c r="AR576" s="164"/>
      <c r="AS576" s="164"/>
      <c r="AT576" s="164"/>
      <c r="AU576" s="164"/>
      <c r="AV576" s="165"/>
      <c r="AW576" s="160">
        <f t="shared" si="1720"/>
        <v>0</v>
      </c>
      <c r="AX576" s="161"/>
      <c r="AY576" s="161"/>
      <c r="AZ576" s="161"/>
      <c r="BA576" s="161"/>
      <c r="BB576" s="162"/>
      <c r="BC576" s="160">
        <f t="shared" si="1765"/>
        <v>0</v>
      </c>
      <c r="BD576" s="161"/>
      <c r="BE576" s="161"/>
      <c r="BF576" s="161"/>
      <c r="BG576" s="161"/>
      <c r="BH576" s="166"/>
      <c r="BI576" s="3">
        <f t="shared" si="1713"/>
        <v>144000</v>
      </c>
    </row>
    <row r="577" spans="1:61" s="19" customFormat="1" ht="35.25" customHeight="1" x14ac:dyDescent="0.25">
      <c r="A577" s="127" t="str">
        <f t="shared" ref="A577" si="1776">A549</f>
        <v>貳</v>
      </c>
      <c r="B577" s="128"/>
      <c r="C577" s="128"/>
      <c r="D577" s="129"/>
      <c r="E577" s="130" t="str">
        <f t="shared" ref="E577" si="1777">E549</f>
        <v>職業安全衛生管理費與施工環境保護與清潔（壹*2%）</v>
      </c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2"/>
      <c r="U577" s="133" t="str">
        <f t="shared" ref="U577" si="1778">U549</f>
        <v>式</v>
      </c>
      <c r="V577" s="134"/>
      <c r="W577" s="134"/>
      <c r="X577" s="135"/>
      <c r="Y577" s="136">
        <f t="shared" ref="Y577" si="1779">Y549</f>
        <v>1</v>
      </c>
      <c r="Z577" s="137"/>
      <c r="AA577" s="137"/>
      <c r="AB577" s="137"/>
      <c r="AC577" s="137"/>
      <c r="AD577" s="138"/>
      <c r="AE577" s="139">
        <f t="shared" ref="AE577" si="1780">AE549</f>
        <v>8807</v>
      </c>
      <c r="AF577" s="139"/>
      <c r="AG577" s="139"/>
      <c r="AH577" s="139"/>
      <c r="AI577" s="139"/>
      <c r="AJ577" s="139"/>
      <c r="AK577" s="140">
        <v>1.7000000000000001E-2</v>
      </c>
      <c r="AL577" s="141"/>
      <c r="AM577" s="141"/>
      <c r="AN577" s="141"/>
      <c r="AO577" s="141"/>
      <c r="AP577" s="142"/>
      <c r="AQ577" s="143">
        <f t="shared" si="1764"/>
        <v>149.71900000000002</v>
      </c>
      <c r="AR577" s="144"/>
      <c r="AS577" s="144"/>
      <c r="AT577" s="144"/>
      <c r="AU577" s="144"/>
      <c r="AV577" s="145"/>
      <c r="AW577" s="140">
        <f>AW549+AK577</f>
        <v>0.35700000000000021</v>
      </c>
      <c r="AX577" s="141"/>
      <c r="AY577" s="141"/>
      <c r="AZ577" s="141"/>
      <c r="BA577" s="141"/>
      <c r="BB577" s="142"/>
      <c r="BC577" s="136">
        <f>ROUND(AW577*AE577,0)</f>
        <v>3144</v>
      </c>
      <c r="BD577" s="137"/>
      <c r="BE577" s="137"/>
      <c r="BF577" s="137"/>
      <c r="BG577" s="137"/>
      <c r="BH577" s="146"/>
      <c r="BI577" s="18">
        <f t="shared" si="1713"/>
        <v>8807</v>
      </c>
    </row>
    <row r="578" spans="1:61" s="19" customFormat="1" ht="21.95" customHeight="1" x14ac:dyDescent="0.25">
      <c r="A578" s="127" t="str">
        <f t="shared" ref="A578" si="1781">A550</f>
        <v>參</v>
      </c>
      <c r="B578" s="128"/>
      <c r="C578" s="128"/>
      <c r="D578" s="129"/>
      <c r="E578" s="130" t="str">
        <f t="shared" ref="E578" si="1782">E550</f>
        <v>公共工程品質管制作業費（壹*1%）</v>
      </c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2"/>
      <c r="U578" s="133" t="str">
        <f t="shared" ref="U578" si="1783">U550</f>
        <v>式</v>
      </c>
      <c r="V578" s="134"/>
      <c r="W578" s="134"/>
      <c r="X578" s="135"/>
      <c r="Y578" s="147">
        <f t="shared" ref="Y578" si="1784">Y550</f>
        <v>1</v>
      </c>
      <c r="Z578" s="148"/>
      <c r="AA578" s="148"/>
      <c r="AB578" s="148"/>
      <c r="AC578" s="148"/>
      <c r="AD578" s="149"/>
      <c r="AE578" s="139">
        <f t="shared" ref="AE578" si="1785">AE550</f>
        <v>4404</v>
      </c>
      <c r="AF578" s="139"/>
      <c r="AG578" s="139"/>
      <c r="AH578" s="139"/>
      <c r="AI578" s="139"/>
      <c r="AJ578" s="139"/>
      <c r="AK578" s="140">
        <v>1.7000000000000001E-2</v>
      </c>
      <c r="AL578" s="141"/>
      <c r="AM578" s="141"/>
      <c r="AN578" s="141"/>
      <c r="AO578" s="141"/>
      <c r="AP578" s="142"/>
      <c r="AQ578" s="143">
        <f t="shared" si="1764"/>
        <v>74.868000000000009</v>
      </c>
      <c r="AR578" s="144"/>
      <c r="AS578" s="144"/>
      <c r="AT578" s="144"/>
      <c r="AU578" s="144"/>
      <c r="AV578" s="145"/>
      <c r="AW578" s="140">
        <f t="shared" ref="AW578:AW581" si="1786">AW550+AK578</f>
        <v>0.35700000000000021</v>
      </c>
      <c r="AX578" s="141"/>
      <c r="AY578" s="141"/>
      <c r="AZ578" s="141"/>
      <c r="BA578" s="141"/>
      <c r="BB578" s="142"/>
      <c r="BC578" s="136">
        <f t="shared" ref="BC578:BC581" si="1787">ROUND(AW578*AE578,0)</f>
        <v>1572</v>
      </c>
      <c r="BD578" s="137"/>
      <c r="BE578" s="137"/>
      <c r="BF578" s="137"/>
      <c r="BG578" s="137"/>
      <c r="BH578" s="146"/>
      <c r="BI578" s="18">
        <f t="shared" si="1713"/>
        <v>4404</v>
      </c>
    </row>
    <row r="579" spans="1:61" s="19" customFormat="1" ht="21.95" customHeight="1" x14ac:dyDescent="0.25">
      <c r="A579" s="127" t="str">
        <f t="shared" ref="A579" si="1788">A551</f>
        <v>肆</v>
      </c>
      <c r="B579" s="128"/>
      <c r="C579" s="128"/>
      <c r="D579" s="129"/>
      <c r="E579" s="130" t="str">
        <f t="shared" ref="E579" si="1789">E551</f>
        <v>包商管理及利潤費（約壹*7%）</v>
      </c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2"/>
      <c r="U579" s="133" t="str">
        <f t="shared" ref="U579" si="1790">U551</f>
        <v>式</v>
      </c>
      <c r="V579" s="134"/>
      <c r="W579" s="134"/>
      <c r="X579" s="135"/>
      <c r="Y579" s="147">
        <f t="shared" ref="Y579" si="1791">Y551</f>
        <v>1</v>
      </c>
      <c r="Z579" s="148"/>
      <c r="AA579" s="148"/>
      <c r="AB579" s="148"/>
      <c r="AC579" s="148"/>
      <c r="AD579" s="149"/>
      <c r="AE579" s="139">
        <f t="shared" ref="AE579" si="1792">AE551</f>
        <v>30825</v>
      </c>
      <c r="AF579" s="139"/>
      <c r="AG579" s="139"/>
      <c r="AH579" s="139"/>
      <c r="AI579" s="139"/>
      <c r="AJ579" s="139"/>
      <c r="AK579" s="140">
        <v>1.7000000000000001E-2</v>
      </c>
      <c r="AL579" s="141"/>
      <c r="AM579" s="141"/>
      <c r="AN579" s="141"/>
      <c r="AO579" s="141"/>
      <c r="AP579" s="142"/>
      <c r="AQ579" s="143">
        <f t="shared" si="1764"/>
        <v>524.02500000000009</v>
      </c>
      <c r="AR579" s="144"/>
      <c r="AS579" s="144"/>
      <c r="AT579" s="144"/>
      <c r="AU579" s="144"/>
      <c r="AV579" s="145"/>
      <c r="AW579" s="140">
        <f t="shared" si="1786"/>
        <v>0.35700000000000021</v>
      </c>
      <c r="AX579" s="141"/>
      <c r="AY579" s="141"/>
      <c r="AZ579" s="141"/>
      <c r="BA579" s="141"/>
      <c r="BB579" s="142"/>
      <c r="BC579" s="136">
        <f t="shared" si="1787"/>
        <v>11005</v>
      </c>
      <c r="BD579" s="137"/>
      <c r="BE579" s="137"/>
      <c r="BF579" s="137"/>
      <c r="BG579" s="137"/>
      <c r="BH579" s="146"/>
      <c r="BI579" s="18">
        <f t="shared" si="1713"/>
        <v>30825</v>
      </c>
    </row>
    <row r="580" spans="1:61" s="19" customFormat="1" ht="21.95" customHeight="1" x14ac:dyDescent="0.25">
      <c r="A580" s="127" t="str">
        <f t="shared" ref="A580" si="1793">A552</f>
        <v>伍</v>
      </c>
      <c r="B580" s="128"/>
      <c r="C580" s="128"/>
      <c r="D580" s="129"/>
      <c r="E580" s="130" t="str">
        <f t="shared" ref="E580" si="1794">E552</f>
        <v>營造綜合保險費</v>
      </c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2"/>
      <c r="U580" s="133" t="str">
        <f t="shared" ref="U580" si="1795">U552</f>
        <v>式</v>
      </c>
      <c r="V580" s="134"/>
      <c r="W580" s="134"/>
      <c r="X580" s="135"/>
      <c r="Y580" s="136">
        <f t="shared" ref="Y580" si="1796">Y552</f>
        <v>1</v>
      </c>
      <c r="Z580" s="137"/>
      <c r="AA580" s="137"/>
      <c r="AB580" s="137"/>
      <c r="AC580" s="137"/>
      <c r="AD580" s="138"/>
      <c r="AE580" s="139">
        <f t="shared" ref="AE580" si="1797">AE552</f>
        <v>1321</v>
      </c>
      <c r="AF580" s="139"/>
      <c r="AG580" s="139"/>
      <c r="AH580" s="139"/>
      <c r="AI580" s="139"/>
      <c r="AJ580" s="139"/>
      <c r="AK580" s="136">
        <v>0</v>
      </c>
      <c r="AL580" s="137"/>
      <c r="AM580" s="137"/>
      <c r="AN580" s="137"/>
      <c r="AO580" s="137"/>
      <c r="AP580" s="138"/>
      <c r="AQ580" s="143">
        <f t="shared" si="1764"/>
        <v>0</v>
      </c>
      <c r="AR580" s="144"/>
      <c r="AS580" s="144"/>
      <c r="AT580" s="144"/>
      <c r="AU580" s="144"/>
      <c r="AV580" s="145"/>
      <c r="AW580" s="136">
        <f t="shared" si="1786"/>
        <v>1</v>
      </c>
      <c r="AX580" s="137"/>
      <c r="AY580" s="137"/>
      <c r="AZ580" s="137"/>
      <c r="BA580" s="137"/>
      <c r="BB580" s="138"/>
      <c r="BC580" s="136">
        <f t="shared" si="1787"/>
        <v>1321</v>
      </c>
      <c r="BD580" s="137"/>
      <c r="BE580" s="137"/>
      <c r="BF580" s="137"/>
      <c r="BG580" s="137"/>
      <c r="BH580" s="146"/>
      <c r="BI580" s="18">
        <f t="shared" si="1713"/>
        <v>1321</v>
      </c>
    </row>
    <row r="581" spans="1:61" s="19" customFormat="1" ht="21.95" customHeight="1" x14ac:dyDescent="0.25">
      <c r="A581" s="127" t="str">
        <f t="shared" ref="A581" si="1798">A553</f>
        <v>陸</v>
      </c>
      <c r="B581" s="128"/>
      <c r="C581" s="128"/>
      <c r="D581" s="129"/>
      <c r="E581" s="130" t="str">
        <f t="shared" ref="E581" si="1799">E553</f>
        <v>營業稅（(壹~伍)*5％）</v>
      </c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2"/>
      <c r="U581" s="133" t="str">
        <f t="shared" ref="U581" si="1800">U553</f>
        <v>式</v>
      </c>
      <c r="V581" s="134"/>
      <c r="W581" s="134"/>
      <c r="X581" s="135"/>
      <c r="Y581" s="136">
        <f t="shared" ref="Y581" si="1801">Y553</f>
        <v>1</v>
      </c>
      <c r="Z581" s="137"/>
      <c r="AA581" s="137"/>
      <c r="AB581" s="137"/>
      <c r="AC581" s="137"/>
      <c r="AD581" s="138"/>
      <c r="AE581" s="139">
        <f t="shared" ref="AE581" si="1802">AE553</f>
        <v>24286</v>
      </c>
      <c r="AF581" s="139"/>
      <c r="AG581" s="139"/>
      <c r="AH581" s="139"/>
      <c r="AI581" s="139"/>
      <c r="AJ581" s="139"/>
      <c r="AK581" s="140">
        <v>1.7000000000000001E-2</v>
      </c>
      <c r="AL581" s="141"/>
      <c r="AM581" s="141"/>
      <c r="AN581" s="141"/>
      <c r="AO581" s="141"/>
      <c r="AP581" s="142"/>
      <c r="AQ581" s="143">
        <f t="shared" si="1764"/>
        <v>412.86200000000002</v>
      </c>
      <c r="AR581" s="144"/>
      <c r="AS581" s="144"/>
      <c r="AT581" s="144"/>
      <c r="AU581" s="144"/>
      <c r="AV581" s="145"/>
      <c r="AW581" s="140">
        <f t="shared" si="1786"/>
        <v>0.35700000000000021</v>
      </c>
      <c r="AX581" s="141"/>
      <c r="AY581" s="141"/>
      <c r="AZ581" s="141"/>
      <c r="BA581" s="141"/>
      <c r="BB581" s="142"/>
      <c r="BC581" s="136">
        <f t="shared" si="1787"/>
        <v>8670</v>
      </c>
      <c r="BD581" s="137"/>
      <c r="BE581" s="137"/>
      <c r="BF581" s="137"/>
      <c r="BG581" s="137"/>
      <c r="BH581" s="146"/>
      <c r="BI581" s="18">
        <f t="shared" si="1713"/>
        <v>24286</v>
      </c>
    </row>
    <row r="582" spans="1:61" ht="21.95" customHeight="1" x14ac:dyDescent="0.25">
      <c r="A582" s="111"/>
      <c r="B582" s="112"/>
      <c r="C582" s="112"/>
      <c r="D582" s="113"/>
      <c r="E582" s="114" t="s">
        <v>75</v>
      </c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6"/>
      <c r="U582" s="117"/>
      <c r="V582" s="118"/>
      <c r="W582" s="118"/>
      <c r="X582" s="119"/>
      <c r="Y582" s="120"/>
      <c r="Z582" s="121"/>
      <c r="AA582" s="121"/>
      <c r="AB582" s="121"/>
      <c r="AC582" s="121"/>
      <c r="AD582" s="122"/>
      <c r="AE582" s="123"/>
      <c r="AF582" s="124"/>
      <c r="AG582" s="124"/>
      <c r="AH582" s="124"/>
      <c r="AI582" s="124"/>
      <c r="AJ582" s="125"/>
      <c r="AK582" s="120"/>
      <c r="AL582" s="121"/>
      <c r="AM582" s="121"/>
      <c r="AN582" s="121"/>
      <c r="AO582" s="121"/>
      <c r="AP582" s="122"/>
      <c r="AQ582" s="123">
        <f>SUM(AQ568:AQ581)</f>
        <v>1161.4740000000002</v>
      </c>
      <c r="AR582" s="124"/>
      <c r="AS582" s="124"/>
      <c r="AT582" s="124"/>
      <c r="AU582" s="124"/>
      <c r="AV582" s="125"/>
      <c r="AW582" s="120"/>
      <c r="AX582" s="121"/>
      <c r="AY582" s="121"/>
      <c r="AZ582" s="121"/>
      <c r="BA582" s="121"/>
      <c r="BB582" s="122"/>
      <c r="BC582" s="120">
        <f>SUM(BC568:BC581)</f>
        <v>80529</v>
      </c>
      <c r="BD582" s="121"/>
      <c r="BE582" s="121"/>
      <c r="BF582" s="121"/>
      <c r="BG582" s="121"/>
      <c r="BH582" s="126"/>
      <c r="BI582" s="17">
        <f>SUM(BI566:BI581)</f>
        <v>510000</v>
      </c>
    </row>
    <row r="583" spans="1:61" ht="21.95" customHeight="1" x14ac:dyDescent="0.25">
      <c r="A583" s="101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  <c r="AD583" s="102"/>
      <c r="AE583" s="102"/>
      <c r="AF583" s="102"/>
      <c r="AG583" s="102"/>
      <c r="AH583" s="102"/>
      <c r="AI583" s="102"/>
      <c r="AJ583" s="103"/>
      <c r="AK583" s="104"/>
      <c r="AL583" s="105"/>
      <c r="AM583" s="105"/>
      <c r="AN583" s="105"/>
      <c r="AO583" s="105"/>
      <c r="AP583" s="106"/>
      <c r="AQ583" s="107"/>
      <c r="AR583" s="108"/>
      <c r="AS583" s="108"/>
      <c r="AT583" s="108"/>
      <c r="AU583" s="108"/>
      <c r="AV583" s="109"/>
      <c r="AW583" s="104"/>
      <c r="AX583" s="105"/>
      <c r="AY583" s="105"/>
      <c r="AZ583" s="105"/>
      <c r="BA583" s="105"/>
      <c r="BB583" s="106"/>
      <c r="BC583" s="104"/>
      <c r="BD583" s="105"/>
      <c r="BE583" s="105"/>
      <c r="BF583" s="105"/>
      <c r="BG583" s="105"/>
      <c r="BH583" s="110"/>
      <c r="BI583" s="15">
        <f>Y583*AE583</f>
        <v>0</v>
      </c>
    </row>
    <row r="584" spans="1:61" ht="21.95" customHeight="1" x14ac:dyDescent="0.25">
      <c r="A584" s="101" t="s">
        <v>11</v>
      </c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  <c r="AD584" s="102"/>
      <c r="AE584" s="102"/>
      <c r="AF584" s="102"/>
      <c r="AG584" s="102"/>
      <c r="AH584" s="102"/>
      <c r="AI584" s="102"/>
      <c r="AJ584" s="103"/>
      <c r="AK584" s="104"/>
      <c r="AL584" s="105"/>
      <c r="AM584" s="105"/>
      <c r="AN584" s="105"/>
      <c r="AO584" s="105"/>
      <c r="AP584" s="106"/>
      <c r="AQ584" s="107">
        <f>BC582/BI582</f>
        <v>0.15790000000000001</v>
      </c>
      <c r="AR584" s="108"/>
      <c r="AS584" s="108"/>
      <c r="AT584" s="108"/>
      <c r="AU584" s="108"/>
      <c r="AV584" s="109"/>
      <c r="AW584" s="104"/>
      <c r="AX584" s="105"/>
      <c r="AY584" s="105"/>
      <c r="AZ584" s="105"/>
      <c r="BA584" s="105"/>
      <c r="BB584" s="106"/>
      <c r="BC584" s="104"/>
      <c r="BD584" s="105"/>
      <c r="BE584" s="105"/>
      <c r="BF584" s="105"/>
      <c r="BG584" s="105"/>
      <c r="BH584" s="110"/>
      <c r="BI584" s="15">
        <f>AQ584</f>
        <v>0.15790000000000001</v>
      </c>
    </row>
    <row r="585" spans="1:61" ht="18.75" customHeight="1" x14ac:dyDescent="0.25">
      <c r="A585" s="90" t="s">
        <v>15</v>
      </c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  <c r="AC585" s="91"/>
      <c r="AD585" s="92"/>
      <c r="AE585" s="93" t="s">
        <v>14</v>
      </c>
      <c r="AF585" s="91"/>
      <c r="AG585" s="91"/>
      <c r="AH585" s="91"/>
      <c r="AI585" s="91"/>
      <c r="AJ585" s="91"/>
      <c r="AK585" s="91"/>
      <c r="AL585" s="91"/>
      <c r="AM585" s="91"/>
      <c r="AN585" s="91"/>
      <c r="AO585" s="91"/>
      <c r="AP585" s="91"/>
      <c r="AQ585" s="91"/>
      <c r="AR585" s="91"/>
      <c r="AS585" s="91"/>
      <c r="AT585" s="91"/>
      <c r="AU585" s="91"/>
      <c r="AV585" s="91"/>
      <c r="AW585" s="91"/>
      <c r="AX585" s="91"/>
      <c r="AY585" s="91"/>
      <c r="AZ585" s="91"/>
      <c r="BA585" s="91"/>
      <c r="BB585" s="91"/>
      <c r="BC585" s="91"/>
      <c r="BD585" s="91"/>
      <c r="BE585" s="91"/>
      <c r="BF585" s="91"/>
      <c r="BG585" s="91"/>
      <c r="BH585" s="94"/>
    </row>
    <row r="586" spans="1:61" x14ac:dyDescent="0.25">
      <c r="A586" s="95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  <c r="AC586" s="96"/>
      <c r="AD586" s="96"/>
      <c r="AE586" s="96"/>
      <c r="AF586" s="96"/>
      <c r="AG586" s="96"/>
      <c r="AH586" s="96"/>
      <c r="AI586" s="96"/>
      <c r="AJ586" s="96"/>
      <c r="AK586" s="96"/>
      <c r="AL586" s="96"/>
      <c r="AM586" s="96"/>
      <c r="AN586" s="96"/>
      <c r="AO586" s="96"/>
      <c r="AP586" s="96"/>
      <c r="AQ586" s="96"/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9"/>
    </row>
    <row r="587" spans="1:61" x14ac:dyDescent="0.25">
      <c r="A587" s="95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  <c r="AC587" s="96"/>
      <c r="AD587" s="96"/>
      <c r="AE587" s="96"/>
      <c r="AF587" s="96"/>
      <c r="AG587" s="96"/>
      <c r="AH587" s="96"/>
      <c r="AI587" s="96"/>
      <c r="AJ587" s="96"/>
      <c r="AK587" s="96"/>
      <c r="AL587" s="96"/>
      <c r="AM587" s="96"/>
      <c r="AN587" s="96"/>
      <c r="AO587" s="96"/>
      <c r="AP587" s="96"/>
      <c r="AQ587" s="96"/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9"/>
    </row>
    <row r="588" spans="1:61" ht="17.25" thickBot="1" x14ac:dyDescent="0.3">
      <c r="A588" s="97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  <c r="AO588" s="98"/>
      <c r="AP588" s="98"/>
      <c r="AQ588" s="98"/>
      <c r="AR588" s="98"/>
      <c r="AS588" s="98"/>
      <c r="AT588" s="98"/>
      <c r="AU588" s="98"/>
      <c r="AV588" s="98"/>
      <c r="AW588" s="98"/>
      <c r="AX588" s="98"/>
      <c r="AY588" s="98"/>
      <c r="AZ588" s="98"/>
      <c r="BA588" s="98"/>
      <c r="BB588" s="98"/>
      <c r="BC588" s="98"/>
      <c r="BD588" s="98"/>
      <c r="BE588" s="98"/>
      <c r="BF588" s="98"/>
      <c r="BG588" s="98"/>
      <c r="BH588" s="100"/>
    </row>
  </sheetData>
  <mergeCells count="4032">
    <mergeCell ref="BC40:BH40"/>
    <mergeCell ref="A29:BH29"/>
    <mergeCell ref="A30:I30"/>
    <mergeCell ref="J30:BQ30"/>
    <mergeCell ref="A31:H31"/>
    <mergeCell ref="I31:AN31"/>
    <mergeCell ref="AO31:AV31"/>
    <mergeCell ref="AW31:BH31"/>
    <mergeCell ref="A32:D32"/>
    <mergeCell ref="E32:T32"/>
    <mergeCell ref="U32:X32"/>
    <mergeCell ref="Y32:AD32"/>
    <mergeCell ref="AE32:AJ32"/>
    <mergeCell ref="AK32:AP32"/>
    <mergeCell ref="AQ32:AV32"/>
    <mergeCell ref="AW32:BB32"/>
    <mergeCell ref="BC32:BH32"/>
    <mergeCell ref="A53:AD53"/>
    <mergeCell ref="AE53:BH53"/>
    <mergeCell ref="A54:AD56"/>
    <mergeCell ref="AE54:BH56"/>
    <mergeCell ref="A36:D36"/>
    <mergeCell ref="E36:T36"/>
    <mergeCell ref="U36:X36"/>
    <mergeCell ref="Y36:AD36"/>
    <mergeCell ref="AE36:AJ36"/>
    <mergeCell ref="AK36:AP36"/>
    <mergeCell ref="AQ36:AV36"/>
    <mergeCell ref="AW36:BB36"/>
    <mergeCell ref="BC36:BH36"/>
    <mergeCell ref="A37:D37"/>
    <mergeCell ref="E37:T37"/>
    <mergeCell ref="U37:X37"/>
    <mergeCell ref="Y37:AD37"/>
    <mergeCell ref="AE37:AJ37"/>
    <mergeCell ref="AK37:AP37"/>
    <mergeCell ref="AQ37:AV37"/>
    <mergeCell ref="AW37:BB37"/>
    <mergeCell ref="BC37:BH37"/>
    <mergeCell ref="A38:D38"/>
    <mergeCell ref="E38:T38"/>
    <mergeCell ref="A40:D40"/>
    <mergeCell ref="E40:T40"/>
    <mergeCell ref="U40:X40"/>
    <mergeCell ref="Y40:AD40"/>
    <mergeCell ref="AE40:AJ40"/>
    <mergeCell ref="AK40:AP40"/>
    <mergeCell ref="AQ40:AV40"/>
    <mergeCell ref="AW40:BB40"/>
    <mergeCell ref="A33:D33"/>
    <mergeCell ref="E33:T33"/>
    <mergeCell ref="U33:X33"/>
    <mergeCell ref="Y33:AD33"/>
    <mergeCell ref="AE33:AJ33"/>
    <mergeCell ref="AK33:AP33"/>
    <mergeCell ref="AQ33:AV33"/>
    <mergeCell ref="AW33:BB33"/>
    <mergeCell ref="BC33:BH33"/>
    <mergeCell ref="U38:X38"/>
    <mergeCell ref="Y38:AD38"/>
    <mergeCell ref="AE38:AJ38"/>
    <mergeCell ref="AK38:AP38"/>
    <mergeCell ref="AQ38:AV38"/>
    <mergeCell ref="AW38:BB38"/>
    <mergeCell ref="BC38:BH38"/>
    <mergeCell ref="A39:D39"/>
    <mergeCell ref="E39:T39"/>
    <mergeCell ref="U39:X39"/>
    <mergeCell ref="Y39:AD39"/>
    <mergeCell ref="AE39:AJ39"/>
    <mergeCell ref="AK39:AP39"/>
    <mergeCell ref="AQ39:AV39"/>
    <mergeCell ref="AW39:BB39"/>
    <mergeCell ref="BC39:BH39"/>
    <mergeCell ref="AE35:AJ35"/>
    <mergeCell ref="AK35:AP35"/>
    <mergeCell ref="AQ35:AV35"/>
    <mergeCell ref="AW35:BB35"/>
    <mergeCell ref="BC35:BH35"/>
    <mergeCell ref="A34:D34"/>
    <mergeCell ref="E34:T34"/>
    <mergeCell ref="U34:X34"/>
    <mergeCell ref="Y34:AD34"/>
    <mergeCell ref="AE34:AJ34"/>
    <mergeCell ref="AK34:AP34"/>
    <mergeCell ref="AQ34:AV34"/>
    <mergeCell ref="AW34:BB34"/>
    <mergeCell ref="BC34:BH34"/>
    <mergeCell ref="A35:D35"/>
    <mergeCell ref="E35:T35"/>
    <mergeCell ref="U35:X35"/>
    <mergeCell ref="Y35:AD35"/>
    <mergeCell ref="AK52:AP52"/>
    <mergeCell ref="AQ52:AV52"/>
    <mergeCell ref="AW52:BB52"/>
    <mergeCell ref="BC52:BH52"/>
    <mergeCell ref="A52:AJ52"/>
    <mergeCell ref="AK51:AP51"/>
    <mergeCell ref="AQ51:AV51"/>
    <mergeCell ref="AW51:BB51"/>
    <mergeCell ref="BC51:BH51"/>
    <mergeCell ref="A51:AJ51"/>
    <mergeCell ref="A49:D49"/>
    <mergeCell ref="E49:T49"/>
    <mergeCell ref="U49:X49"/>
    <mergeCell ref="Y49:AD49"/>
    <mergeCell ref="AE49:AJ49"/>
    <mergeCell ref="AK49:AP49"/>
    <mergeCell ref="AQ49:AV49"/>
    <mergeCell ref="AW49:BB49"/>
    <mergeCell ref="BC49:BH49"/>
    <mergeCell ref="A50:D50"/>
    <mergeCell ref="E50:T50"/>
    <mergeCell ref="U50:X50"/>
    <mergeCell ref="Y50:AD50"/>
    <mergeCell ref="AE50:AJ50"/>
    <mergeCell ref="AK50:AP50"/>
    <mergeCell ref="AQ50:AV50"/>
    <mergeCell ref="AW50:BB50"/>
    <mergeCell ref="BC50:BH50"/>
    <mergeCell ref="A45:D45"/>
    <mergeCell ref="E45:T45"/>
    <mergeCell ref="U45:X45"/>
    <mergeCell ref="Y45:AD45"/>
    <mergeCell ref="AE45:AJ45"/>
    <mergeCell ref="AK45:AP45"/>
    <mergeCell ref="AQ45:AV45"/>
    <mergeCell ref="AW45:BB45"/>
    <mergeCell ref="BC45:BH45"/>
    <mergeCell ref="A46:D46"/>
    <mergeCell ref="E46:T46"/>
    <mergeCell ref="U46:X46"/>
    <mergeCell ref="Y46:AD46"/>
    <mergeCell ref="AE46:AJ46"/>
    <mergeCell ref="AK46:AP46"/>
    <mergeCell ref="AQ46:AV46"/>
    <mergeCell ref="AW46:BB46"/>
    <mergeCell ref="BC46:BH46"/>
    <mergeCell ref="A47:D47"/>
    <mergeCell ref="E47:T47"/>
    <mergeCell ref="U47:X47"/>
    <mergeCell ref="Y47:AD47"/>
    <mergeCell ref="AE47:AJ47"/>
    <mergeCell ref="AK47:AP47"/>
    <mergeCell ref="AQ47:AV47"/>
    <mergeCell ref="AW47:BB47"/>
    <mergeCell ref="BC47:BH47"/>
    <mergeCell ref="A48:D48"/>
    <mergeCell ref="E48:T48"/>
    <mergeCell ref="U48:X48"/>
    <mergeCell ref="Y48:AD48"/>
    <mergeCell ref="AE48:AJ48"/>
    <mergeCell ref="AK48:AP48"/>
    <mergeCell ref="AQ48:AV48"/>
    <mergeCell ref="AW48:BB48"/>
    <mergeCell ref="BC48:BH48"/>
    <mergeCell ref="BC41:BH41"/>
    <mergeCell ref="A42:D42"/>
    <mergeCell ref="E42:T42"/>
    <mergeCell ref="U42:X42"/>
    <mergeCell ref="Y42:AD42"/>
    <mergeCell ref="AE42:AJ42"/>
    <mergeCell ref="AK42:AP42"/>
    <mergeCell ref="AQ42:AV42"/>
    <mergeCell ref="AW42:BB42"/>
    <mergeCell ref="BC42:BH42"/>
    <mergeCell ref="A41:D41"/>
    <mergeCell ref="E41:T41"/>
    <mergeCell ref="U41:X41"/>
    <mergeCell ref="Y41:AD41"/>
    <mergeCell ref="AE41:AJ41"/>
    <mergeCell ref="AK41:AP41"/>
    <mergeCell ref="AQ41:AV41"/>
    <mergeCell ref="AW41:BB41"/>
    <mergeCell ref="BC43:BH43"/>
    <mergeCell ref="A44:D44"/>
    <mergeCell ref="E44:T44"/>
    <mergeCell ref="U44:X44"/>
    <mergeCell ref="Y44:AD44"/>
    <mergeCell ref="AE44:AJ44"/>
    <mergeCell ref="AK44:AP44"/>
    <mergeCell ref="AQ44:AV44"/>
    <mergeCell ref="AW44:BB44"/>
    <mergeCell ref="BC44:BH44"/>
    <mergeCell ref="A43:D43"/>
    <mergeCell ref="E43:T43"/>
    <mergeCell ref="U43:X43"/>
    <mergeCell ref="Y43:AD43"/>
    <mergeCell ref="AE43:AJ43"/>
    <mergeCell ref="AK43:AP43"/>
    <mergeCell ref="AQ43:AV43"/>
    <mergeCell ref="AW43:BB43"/>
    <mergeCell ref="A26:AD28"/>
    <mergeCell ref="AE26:BH28"/>
    <mergeCell ref="A25:AD25"/>
    <mergeCell ref="A24:AJ24"/>
    <mergeCell ref="BC20:BH20"/>
    <mergeCell ref="AQ21:AV21"/>
    <mergeCell ref="AW21:BB21"/>
    <mergeCell ref="AW20:BB20"/>
    <mergeCell ref="BC21:BH21"/>
    <mergeCell ref="A22:D22"/>
    <mergeCell ref="E22:T22"/>
    <mergeCell ref="U22:X22"/>
    <mergeCell ref="Y22:AD22"/>
    <mergeCell ref="AE22:AJ22"/>
    <mergeCell ref="AK22:AP22"/>
    <mergeCell ref="AQ22:AV22"/>
    <mergeCell ref="AW22:BB22"/>
    <mergeCell ref="BC22:BH22"/>
    <mergeCell ref="BC24:BH24"/>
    <mergeCell ref="AE25:BH25"/>
    <mergeCell ref="A23:AJ23"/>
    <mergeCell ref="AW24:BB24"/>
    <mergeCell ref="BC23:BH23"/>
    <mergeCell ref="AK24:AP24"/>
    <mergeCell ref="AQ19:AV19"/>
    <mergeCell ref="AW19:BB19"/>
    <mergeCell ref="AK21:AP21"/>
    <mergeCell ref="AE19:AJ19"/>
    <mergeCell ref="AK19:AP19"/>
    <mergeCell ref="A19:D19"/>
    <mergeCell ref="E19:T19"/>
    <mergeCell ref="AK20:AP20"/>
    <mergeCell ref="AQ20:AV20"/>
    <mergeCell ref="U21:X21"/>
    <mergeCell ref="Y21:AD21"/>
    <mergeCell ref="AE21:AJ21"/>
    <mergeCell ref="A20:D20"/>
    <mergeCell ref="E20:T20"/>
    <mergeCell ref="A21:D21"/>
    <mergeCell ref="E21:T21"/>
    <mergeCell ref="U20:X20"/>
    <mergeCell ref="Y20:AD20"/>
    <mergeCell ref="AE20:AJ20"/>
    <mergeCell ref="BC19:BH19"/>
    <mergeCell ref="AQ24:AV24"/>
    <mergeCell ref="AK23:AP23"/>
    <mergeCell ref="AQ23:AV23"/>
    <mergeCell ref="AW23:BB23"/>
    <mergeCell ref="A1:BH1"/>
    <mergeCell ref="A2:I2"/>
    <mergeCell ref="J2:BQ2"/>
    <mergeCell ref="A3:H3"/>
    <mergeCell ref="I3:AN3"/>
    <mergeCell ref="AO3:AV3"/>
    <mergeCell ref="AW3:BH3"/>
    <mergeCell ref="AW4:BB4"/>
    <mergeCell ref="BC17:BH17"/>
    <mergeCell ref="BC15:BH15"/>
    <mergeCell ref="A16:D16"/>
    <mergeCell ref="A15:D15"/>
    <mergeCell ref="AQ17:AV17"/>
    <mergeCell ref="AW17:BB17"/>
    <mergeCell ref="Y14:AD14"/>
    <mergeCell ref="AE14:AJ14"/>
    <mergeCell ref="AW15:BB15"/>
    <mergeCell ref="E17:T17"/>
    <mergeCell ref="U17:X17"/>
    <mergeCell ref="Y17:AD17"/>
    <mergeCell ref="E14:T14"/>
    <mergeCell ref="BC14:BH14"/>
    <mergeCell ref="E16:T16"/>
    <mergeCell ref="U16:X16"/>
    <mergeCell ref="BC4:BH4"/>
    <mergeCell ref="AW10:BB10"/>
    <mergeCell ref="AW6:BB6"/>
    <mergeCell ref="AW9:BB9"/>
    <mergeCell ref="AW8:BB8"/>
    <mergeCell ref="U8:X8"/>
    <mergeCell ref="BC5:BH5"/>
    <mergeCell ref="BC8:BH8"/>
    <mergeCell ref="BC10:BH10"/>
    <mergeCell ref="BC11:BH11"/>
    <mergeCell ref="BC6:BH6"/>
    <mergeCell ref="BC9:BH9"/>
    <mergeCell ref="BC7:BH7"/>
    <mergeCell ref="U6:X6"/>
    <mergeCell ref="AE6:AJ6"/>
    <mergeCell ref="AK6:AP6"/>
    <mergeCell ref="AQ11:AV11"/>
    <mergeCell ref="E11:T11"/>
    <mergeCell ref="U11:X11"/>
    <mergeCell ref="AW11:BB11"/>
    <mergeCell ref="E5:T5"/>
    <mergeCell ref="U7:X7"/>
    <mergeCell ref="E7:T7"/>
    <mergeCell ref="E10:T10"/>
    <mergeCell ref="AK10:AP10"/>
    <mergeCell ref="AQ7:AV7"/>
    <mergeCell ref="AK11:AP11"/>
    <mergeCell ref="Y11:AD11"/>
    <mergeCell ref="Y9:AD9"/>
    <mergeCell ref="Y10:AD10"/>
    <mergeCell ref="AE8:AJ8"/>
    <mergeCell ref="AE11:AJ11"/>
    <mergeCell ref="AQ6:AV6"/>
    <mergeCell ref="AQ10:AV10"/>
    <mergeCell ref="AW5:BB5"/>
    <mergeCell ref="AQ8:AV8"/>
    <mergeCell ref="AW7:BB7"/>
    <mergeCell ref="Y6:AD6"/>
    <mergeCell ref="Y8:AD8"/>
    <mergeCell ref="AE10:AJ10"/>
    <mergeCell ref="E6:T6"/>
    <mergeCell ref="U10:X10"/>
    <mergeCell ref="A4:D4"/>
    <mergeCell ref="AQ4:AV4"/>
    <mergeCell ref="A8:D8"/>
    <mergeCell ref="A9:D9"/>
    <mergeCell ref="E4:T4"/>
    <mergeCell ref="Y4:AD4"/>
    <mergeCell ref="AE4:AJ4"/>
    <mergeCell ref="AK4:AP4"/>
    <mergeCell ref="U9:X9"/>
    <mergeCell ref="Y5:AD5"/>
    <mergeCell ref="AK8:AP8"/>
    <mergeCell ref="AE7:AJ7"/>
    <mergeCell ref="AE9:AJ9"/>
    <mergeCell ref="AK9:AP9"/>
    <mergeCell ref="AQ5:AV5"/>
    <mergeCell ref="AK7:AP7"/>
    <mergeCell ref="A5:D5"/>
    <mergeCell ref="Y7:AD7"/>
    <mergeCell ref="AK5:AP5"/>
    <mergeCell ref="AE5:AJ5"/>
    <mergeCell ref="U5:X5"/>
    <mergeCell ref="E9:T9"/>
    <mergeCell ref="E8:T8"/>
    <mergeCell ref="AQ9:AV9"/>
    <mergeCell ref="U4:X4"/>
    <mergeCell ref="AK18:AP18"/>
    <mergeCell ref="AK15:AP15"/>
    <mergeCell ref="AQ15:AV15"/>
    <mergeCell ref="A12:D12"/>
    <mergeCell ref="AQ12:AV12"/>
    <mergeCell ref="E12:T12"/>
    <mergeCell ref="U12:X12"/>
    <mergeCell ref="Y12:AD12"/>
    <mergeCell ref="Y19:AD19"/>
    <mergeCell ref="AQ13:AV13"/>
    <mergeCell ref="AQ18:AV18"/>
    <mergeCell ref="AW18:BB18"/>
    <mergeCell ref="A14:D14"/>
    <mergeCell ref="E13:T13"/>
    <mergeCell ref="A18:D18"/>
    <mergeCell ref="A13:D13"/>
    <mergeCell ref="E15:T15"/>
    <mergeCell ref="E18:T18"/>
    <mergeCell ref="A17:D17"/>
    <mergeCell ref="AQ14:AV14"/>
    <mergeCell ref="AE17:AJ17"/>
    <mergeCell ref="AK17:AP17"/>
    <mergeCell ref="Y15:AD15"/>
    <mergeCell ref="AE15:AJ15"/>
    <mergeCell ref="AE12:AJ12"/>
    <mergeCell ref="AK16:AP16"/>
    <mergeCell ref="AQ16:AV16"/>
    <mergeCell ref="AW16:BB16"/>
    <mergeCell ref="A6:D6"/>
    <mergeCell ref="A7:D7"/>
    <mergeCell ref="A10:D10"/>
    <mergeCell ref="A11:D11"/>
    <mergeCell ref="A57:BH57"/>
    <mergeCell ref="A58:I58"/>
    <mergeCell ref="J58:BQ58"/>
    <mergeCell ref="A59:H59"/>
    <mergeCell ref="I59:AN59"/>
    <mergeCell ref="AO59:AV59"/>
    <mergeCell ref="AW59:BH59"/>
    <mergeCell ref="BC18:BH18"/>
    <mergeCell ref="U19:X19"/>
    <mergeCell ref="AW12:BB12"/>
    <mergeCell ref="BC12:BH12"/>
    <mergeCell ref="AK12:AP12"/>
    <mergeCell ref="BC13:BH13"/>
    <mergeCell ref="AK14:AP14"/>
    <mergeCell ref="AK13:AP13"/>
    <mergeCell ref="BC16:BH16"/>
    <mergeCell ref="AW14:BB14"/>
    <mergeCell ref="U13:X13"/>
    <mergeCell ref="Y13:AD13"/>
    <mergeCell ref="AE13:AJ13"/>
    <mergeCell ref="Y18:AD18"/>
    <mergeCell ref="U14:X14"/>
    <mergeCell ref="U15:X15"/>
    <mergeCell ref="AE18:AJ18"/>
    <mergeCell ref="U18:X18"/>
    <mergeCell ref="Y16:AD16"/>
    <mergeCell ref="AE16:AJ16"/>
    <mergeCell ref="AW13:BB13"/>
    <mergeCell ref="A61:D61"/>
    <mergeCell ref="E61:T61"/>
    <mergeCell ref="U61:X61"/>
    <mergeCell ref="Y61:AD61"/>
    <mergeCell ref="AE61:AJ61"/>
    <mergeCell ref="AK61:AP61"/>
    <mergeCell ref="AQ61:AV61"/>
    <mergeCell ref="AW61:BB61"/>
    <mergeCell ref="BC61:BH61"/>
    <mergeCell ref="A60:D60"/>
    <mergeCell ref="E60:T60"/>
    <mergeCell ref="U60:X60"/>
    <mergeCell ref="Y60:AD60"/>
    <mergeCell ref="AE60:AJ60"/>
    <mergeCell ref="AK60:AP60"/>
    <mergeCell ref="AQ60:AV60"/>
    <mergeCell ref="AW60:BB60"/>
    <mergeCell ref="BC60:BH60"/>
    <mergeCell ref="A63:D63"/>
    <mergeCell ref="E63:T63"/>
    <mergeCell ref="U63:X63"/>
    <mergeCell ref="Y63:AD63"/>
    <mergeCell ref="AE63:AJ63"/>
    <mergeCell ref="AK63:AP63"/>
    <mergeCell ref="AQ63:AV63"/>
    <mergeCell ref="AW63:BB63"/>
    <mergeCell ref="BC63:BH63"/>
    <mergeCell ref="A62:D62"/>
    <mergeCell ref="E62:T62"/>
    <mergeCell ref="U62:X62"/>
    <mergeCell ref="Y62:AD62"/>
    <mergeCell ref="AE62:AJ62"/>
    <mergeCell ref="AK62:AP62"/>
    <mergeCell ref="AQ62:AV62"/>
    <mergeCell ref="AW62:BB62"/>
    <mergeCell ref="BC62:BH62"/>
    <mergeCell ref="A65:D65"/>
    <mergeCell ref="E65:T65"/>
    <mergeCell ref="U65:X65"/>
    <mergeCell ref="Y65:AD65"/>
    <mergeCell ref="AE65:AJ65"/>
    <mergeCell ref="AK65:AP65"/>
    <mergeCell ref="AQ65:AV65"/>
    <mergeCell ref="AW65:BB65"/>
    <mergeCell ref="BC65:BH65"/>
    <mergeCell ref="A64:D64"/>
    <mergeCell ref="E64:T64"/>
    <mergeCell ref="U64:X64"/>
    <mergeCell ref="Y64:AD64"/>
    <mergeCell ref="AE64:AJ64"/>
    <mergeCell ref="AK64:AP64"/>
    <mergeCell ref="AQ64:AV64"/>
    <mergeCell ref="AW64:BB64"/>
    <mergeCell ref="BC64:BH64"/>
    <mergeCell ref="A67:D67"/>
    <mergeCell ref="E67:T67"/>
    <mergeCell ref="U67:X67"/>
    <mergeCell ref="Y67:AD67"/>
    <mergeCell ref="AE67:AJ67"/>
    <mergeCell ref="AK67:AP67"/>
    <mergeCell ref="AQ67:AV67"/>
    <mergeCell ref="AW67:BB67"/>
    <mergeCell ref="BC67:BH67"/>
    <mergeCell ref="A66:D66"/>
    <mergeCell ref="E66:T66"/>
    <mergeCell ref="U66:X66"/>
    <mergeCell ref="Y66:AD66"/>
    <mergeCell ref="AE66:AJ66"/>
    <mergeCell ref="AK66:AP66"/>
    <mergeCell ref="AQ66:AV66"/>
    <mergeCell ref="AW66:BB66"/>
    <mergeCell ref="BC66:BH66"/>
    <mergeCell ref="A69:D69"/>
    <mergeCell ref="E69:T69"/>
    <mergeCell ref="U69:X69"/>
    <mergeCell ref="Y69:AD69"/>
    <mergeCell ref="AE69:AJ69"/>
    <mergeCell ref="AK69:AP69"/>
    <mergeCell ref="AQ69:AV69"/>
    <mergeCell ref="AW69:BB69"/>
    <mergeCell ref="BC69:BH69"/>
    <mergeCell ref="A68:D68"/>
    <mergeCell ref="E68:T68"/>
    <mergeCell ref="U68:X68"/>
    <mergeCell ref="Y68:AD68"/>
    <mergeCell ref="AE68:AJ68"/>
    <mergeCell ref="AK68:AP68"/>
    <mergeCell ref="AQ68:AV68"/>
    <mergeCell ref="AW68:BB68"/>
    <mergeCell ref="BC68:BH68"/>
    <mergeCell ref="A71:D71"/>
    <mergeCell ref="E71:T71"/>
    <mergeCell ref="U71:X71"/>
    <mergeCell ref="Y71:AD71"/>
    <mergeCell ref="AE71:AJ71"/>
    <mergeCell ref="AK71:AP71"/>
    <mergeCell ref="AQ71:AV71"/>
    <mergeCell ref="AW71:BB71"/>
    <mergeCell ref="BC71:BH71"/>
    <mergeCell ref="A70:D70"/>
    <mergeCell ref="E70:T70"/>
    <mergeCell ref="U70:X70"/>
    <mergeCell ref="Y70:AD70"/>
    <mergeCell ref="AE70:AJ70"/>
    <mergeCell ref="AK70:AP70"/>
    <mergeCell ref="AQ70:AV70"/>
    <mergeCell ref="AW70:BB70"/>
    <mergeCell ref="BC70:BH70"/>
    <mergeCell ref="A73:D73"/>
    <mergeCell ref="E73:T73"/>
    <mergeCell ref="U73:X73"/>
    <mergeCell ref="Y73:AD73"/>
    <mergeCell ref="AE73:AJ73"/>
    <mergeCell ref="AK73:AP73"/>
    <mergeCell ref="AQ73:AV73"/>
    <mergeCell ref="AW73:BB73"/>
    <mergeCell ref="BC73:BH73"/>
    <mergeCell ref="A72:D72"/>
    <mergeCell ref="E72:T72"/>
    <mergeCell ref="U72:X72"/>
    <mergeCell ref="Y72:AD72"/>
    <mergeCell ref="AE72:AJ72"/>
    <mergeCell ref="AK72:AP72"/>
    <mergeCell ref="AQ72:AV72"/>
    <mergeCell ref="AW72:BB72"/>
    <mergeCell ref="BC72:BH72"/>
    <mergeCell ref="A75:D75"/>
    <mergeCell ref="E75:T75"/>
    <mergeCell ref="U75:X75"/>
    <mergeCell ref="Y75:AD75"/>
    <mergeCell ref="AE75:AJ75"/>
    <mergeCell ref="AK75:AP75"/>
    <mergeCell ref="AQ75:AV75"/>
    <mergeCell ref="AW75:BB75"/>
    <mergeCell ref="BC75:BH75"/>
    <mergeCell ref="A74:D74"/>
    <mergeCell ref="E74:T74"/>
    <mergeCell ref="U74:X74"/>
    <mergeCell ref="Y74:AD74"/>
    <mergeCell ref="AE74:AJ74"/>
    <mergeCell ref="AK74:AP74"/>
    <mergeCell ref="AQ74:AV74"/>
    <mergeCell ref="AW74:BB74"/>
    <mergeCell ref="BC74:BH74"/>
    <mergeCell ref="A77:D77"/>
    <mergeCell ref="E77:T77"/>
    <mergeCell ref="U77:X77"/>
    <mergeCell ref="Y77:AD77"/>
    <mergeCell ref="AE77:AJ77"/>
    <mergeCell ref="AK77:AP77"/>
    <mergeCell ref="AQ77:AV77"/>
    <mergeCell ref="AW77:BB77"/>
    <mergeCell ref="BC77:BH77"/>
    <mergeCell ref="A76:D76"/>
    <mergeCell ref="E76:T76"/>
    <mergeCell ref="U76:X76"/>
    <mergeCell ref="Y76:AD76"/>
    <mergeCell ref="AE76:AJ76"/>
    <mergeCell ref="AK76:AP76"/>
    <mergeCell ref="AQ76:AV76"/>
    <mergeCell ref="AW76:BB76"/>
    <mergeCell ref="BC76:BH76"/>
    <mergeCell ref="A79:AJ79"/>
    <mergeCell ref="AK79:AP79"/>
    <mergeCell ref="AQ79:AV79"/>
    <mergeCell ref="AW79:BB79"/>
    <mergeCell ref="BC79:BH79"/>
    <mergeCell ref="A80:AJ80"/>
    <mergeCell ref="AK80:AP80"/>
    <mergeCell ref="AQ80:AV80"/>
    <mergeCell ref="AW80:BB80"/>
    <mergeCell ref="BC80:BH80"/>
    <mergeCell ref="A78:D78"/>
    <mergeCell ref="E78:T78"/>
    <mergeCell ref="U78:X78"/>
    <mergeCell ref="Y78:AD78"/>
    <mergeCell ref="AE78:AJ78"/>
    <mergeCell ref="AK78:AP78"/>
    <mergeCell ref="AQ78:AV78"/>
    <mergeCell ref="AW78:BB78"/>
    <mergeCell ref="BC78:BH78"/>
    <mergeCell ref="A88:D88"/>
    <mergeCell ref="E88:T88"/>
    <mergeCell ref="U88:X88"/>
    <mergeCell ref="Y88:AD88"/>
    <mergeCell ref="AE88:AJ88"/>
    <mergeCell ref="AK88:AP88"/>
    <mergeCell ref="AQ88:AV88"/>
    <mergeCell ref="AW88:BB88"/>
    <mergeCell ref="BC88:BH88"/>
    <mergeCell ref="A81:AD81"/>
    <mergeCell ref="AE81:BH81"/>
    <mergeCell ref="A82:AD84"/>
    <mergeCell ref="AE82:BH84"/>
    <mergeCell ref="A85:BH85"/>
    <mergeCell ref="A86:I86"/>
    <mergeCell ref="J86:BQ86"/>
    <mergeCell ref="A87:H87"/>
    <mergeCell ref="I87:AN87"/>
    <mergeCell ref="AO87:AV87"/>
    <mergeCell ref="AW87:BH87"/>
    <mergeCell ref="A90:D90"/>
    <mergeCell ref="E90:T90"/>
    <mergeCell ref="U90:X90"/>
    <mergeCell ref="Y90:AD90"/>
    <mergeCell ref="AE90:AJ90"/>
    <mergeCell ref="AK90:AP90"/>
    <mergeCell ref="AQ90:AV90"/>
    <mergeCell ref="AW90:BB90"/>
    <mergeCell ref="BC90:BH90"/>
    <mergeCell ref="A89:D89"/>
    <mergeCell ref="E89:T89"/>
    <mergeCell ref="U89:X89"/>
    <mergeCell ref="Y89:AD89"/>
    <mergeCell ref="AE89:AJ89"/>
    <mergeCell ref="AK89:AP89"/>
    <mergeCell ref="AQ89:AV89"/>
    <mergeCell ref="AW89:BB89"/>
    <mergeCell ref="BC89:BH89"/>
    <mergeCell ref="A92:D92"/>
    <mergeCell ref="E92:T92"/>
    <mergeCell ref="U92:X92"/>
    <mergeCell ref="Y92:AD92"/>
    <mergeCell ref="AE92:AJ92"/>
    <mergeCell ref="AK92:AP92"/>
    <mergeCell ref="AQ92:AV92"/>
    <mergeCell ref="AW92:BB92"/>
    <mergeCell ref="BC92:BH92"/>
    <mergeCell ref="A91:D91"/>
    <mergeCell ref="E91:T91"/>
    <mergeCell ref="U91:X91"/>
    <mergeCell ref="Y91:AD91"/>
    <mergeCell ref="AE91:AJ91"/>
    <mergeCell ref="AK91:AP91"/>
    <mergeCell ref="AQ91:AV91"/>
    <mergeCell ref="AW91:BB91"/>
    <mergeCell ref="BC91:BH91"/>
    <mergeCell ref="A94:D94"/>
    <mergeCell ref="E94:T94"/>
    <mergeCell ref="U94:X94"/>
    <mergeCell ref="Y94:AD94"/>
    <mergeCell ref="AE94:AJ94"/>
    <mergeCell ref="AK94:AP94"/>
    <mergeCell ref="AQ94:AV94"/>
    <mergeCell ref="AW94:BB94"/>
    <mergeCell ref="BC94:BH94"/>
    <mergeCell ref="A93:D93"/>
    <mergeCell ref="E93:T93"/>
    <mergeCell ref="U93:X93"/>
    <mergeCell ref="Y93:AD93"/>
    <mergeCell ref="AE93:AJ93"/>
    <mergeCell ref="AK93:AP93"/>
    <mergeCell ref="AQ93:AV93"/>
    <mergeCell ref="AW93:BB93"/>
    <mergeCell ref="BC93:BH93"/>
    <mergeCell ref="A96:D96"/>
    <mergeCell ref="E96:T96"/>
    <mergeCell ref="U96:X96"/>
    <mergeCell ref="Y96:AD96"/>
    <mergeCell ref="AE96:AJ96"/>
    <mergeCell ref="AK96:AP96"/>
    <mergeCell ref="AQ96:AV96"/>
    <mergeCell ref="AW96:BB96"/>
    <mergeCell ref="BC96:BH96"/>
    <mergeCell ref="A95:D95"/>
    <mergeCell ref="E95:T95"/>
    <mergeCell ref="U95:X95"/>
    <mergeCell ref="Y95:AD95"/>
    <mergeCell ref="AE95:AJ95"/>
    <mergeCell ref="AK95:AP95"/>
    <mergeCell ref="AQ95:AV95"/>
    <mergeCell ref="AW95:BB95"/>
    <mergeCell ref="BC95:BH95"/>
    <mergeCell ref="A98:D98"/>
    <mergeCell ref="E98:T98"/>
    <mergeCell ref="U98:X98"/>
    <mergeCell ref="Y98:AD98"/>
    <mergeCell ref="AE98:AJ98"/>
    <mergeCell ref="AK98:AP98"/>
    <mergeCell ref="AQ98:AV98"/>
    <mergeCell ref="AW98:BB98"/>
    <mergeCell ref="BC98:BH98"/>
    <mergeCell ref="A97:D97"/>
    <mergeCell ref="E97:T97"/>
    <mergeCell ref="U97:X97"/>
    <mergeCell ref="Y97:AD97"/>
    <mergeCell ref="AE97:AJ97"/>
    <mergeCell ref="AK97:AP97"/>
    <mergeCell ref="AQ97:AV97"/>
    <mergeCell ref="AW97:BB97"/>
    <mergeCell ref="BC97:BH97"/>
    <mergeCell ref="A100:D100"/>
    <mergeCell ref="E100:T100"/>
    <mergeCell ref="U100:X100"/>
    <mergeCell ref="Y100:AD100"/>
    <mergeCell ref="AE100:AJ100"/>
    <mergeCell ref="AK100:AP100"/>
    <mergeCell ref="AQ100:AV100"/>
    <mergeCell ref="AW100:BB100"/>
    <mergeCell ref="BC100:BH100"/>
    <mergeCell ref="A99:D99"/>
    <mergeCell ref="E99:T99"/>
    <mergeCell ref="U99:X99"/>
    <mergeCell ref="Y99:AD99"/>
    <mergeCell ref="AE99:AJ99"/>
    <mergeCell ref="AK99:AP99"/>
    <mergeCell ref="AQ99:AV99"/>
    <mergeCell ref="AW99:BB99"/>
    <mergeCell ref="BC99:BH99"/>
    <mergeCell ref="A102:D102"/>
    <mergeCell ref="E102:T102"/>
    <mergeCell ref="U102:X102"/>
    <mergeCell ref="Y102:AD102"/>
    <mergeCell ref="AE102:AJ102"/>
    <mergeCell ref="AK102:AP102"/>
    <mergeCell ref="AQ102:AV102"/>
    <mergeCell ref="AW102:BB102"/>
    <mergeCell ref="BC102:BH102"/>
    <mergeCell ref="A101:D101"/>
    <mergeCell ref="E101:T101"/>
    <mergeCell ref="U101:X101"/>
    <mergeCell ref="Y101:AD101"/>
    <mergeCell ref="AE101:AJ101"/>
    <mergeCell ref="AK101:AP101"/>
    <mergeCell ref="AQ101:AV101"/>
    <mergeCell ref="AW101:BB101"/>
    <mergeCell ref="BC101:BH101"/>
    <mergeCell ref="A104:D104"/>
    <mergeCell ref="E104:T104"/>
    <mergeCell ref="U104:X104"/>
    <mergeCell ref="Y104:AD104"/>
    <mergeCell ref="AE104:AJ104"/>
    <mergeCell ref="AK104:AP104"/>
    <mergeCell ref="AQ104:AV104"/>
    <mergeCell ref="AW104:BB104"/>
    <mergeCell ref="BC104:BH104"/>
    <mergeCell ref="A103:D103"/>
    <mergeCell ref="E103:T103"/>
    <mergeCell ref="U103:X103"/>
    <mergeCell ref="Y103:AD103"/>
    <mergeCell ref="AE103:AJ103"/>
    <mergeCell ref="AK103:AP103"/>
    <mergeCell ref="AQ103:AV103"/>
    <mergeCell ref="AW103:BB103"/>
    <mergeCell ref="BC103:BH103"/>
    <mergeCell ref="A106:D106"/>
    <mergeCell ref="E106:T106"/>
    <mergeCell ref="U106:X106"/>
    <mergeCell ref="Y106:AD106"/>
    <mergeCell ref="AE106:AJ106"/>
    <mergeCell ref="AK106:AP106"/>
    <mergeCell ref="AQ106:AV106"/>
    <mergeCell ref="AW106:BB106"/>
    <mergeCell ref="BC106:BH106"/>
    <mergeCell ref="A105:D105"/>
    <mergeCell ref="E105:T105"/>
    <mergeCell ref="U105:X105"/>
    <mergeCell ref="Y105:AD105"/>
    <mergeCell ref="AE105:AJ105"/>
    <mergeCell ref="AK105:AP105"/>
    <mergeCell ref="AQ105:AV105"/>
    <mergeCell ref="AW105:BB105"/>
    <mergeCell ref="BC105:BH105"/>
    <mergeCell ref="A109:AD109"/>
    <mergeCell ref="AE109:BH109"/>
    <mergeCell ref="A110:AD112"/>
    <mergeCell ref="AE110:BH112"/>
    <mergeCell ref="A113:BH113"/>
    <mergeCell ref="A114:I114"/>
    <mergeCell ref="J114:BQ114"/>
    <mergeCell ref="A115:H115"/>
    <mergeCell ref="I115:AN115"/>
    <mergeCell ref="AO115:AV115"/>
    <mergeCell ref="AW115:BH115"/>
    <mergeCell ref="A107:AJ107"/>
    <mergeCell ref="AK107:AP107"/>
    <mergeCell ref="AQ107:AV107"/>
    <mergeCell ref="AW107:BB107"/>
    <mergeCell ref="BC107:BH107"/>
    <mergeCell ref="A108:AJ108"/>
    <mergeCell ref="AK108:AP108"/>
    <mergeCell ref="AQ108:AV108"/>
    <mergeCell ref="AW108:BB108"/>
    <mergeCell ref="BC108:BH108"/>
    <mergeCell ref="A117:D117"/>
    <mergeCell ref="E117:T117"/>
    <mergeCell ref="U117:X117"/>
    <mergeCell ref="Y117:AD117"/>
    <mergeCell ref="AE117:AJ117"/>
    <mergeCell ref="AK117:AP117"/>
    <mergeCell ref="AQ117:AV117"/>
    <mergeCell ref="AW117:BB117"/>
    <mergeCell ref="BC117:BH117"/>
    <mergeCell ref="A116:D116"/>
    <mergeCell ref="E116:T116"/>
    <mergeCell ref="U116:X116"/>
    <mergeCell ref="Y116:AD116"/>
    <mergeCell ref="AE116:AJ116"/>
    <mergeCell ref="AK116:AP116"/>
    <mergeCell ref="AQ116:AV116"/>
    <mergeCell ref="AW116:BB116"/>
    <mergeCell ref="BC116:BH116"/>
    <mergeCell ref="A119:D119"/>
    <mergeCell ref="E119:T119"/>
    <mergeCell ref="U119:X119"/>
    <mergeCell ref="Y119:AD119"/>
    <mergeCell ref="AE119:AJ119"/>
    <mergeCell ref="AK119:AP119"/>
    <mergeCell ref="AQ119:AV119"/>
    <mergeCell ref="AW119:BB119"/>
    <mergeCell ref="BC119:BH119"/>
    <mergeCell ref="A118:D118"/>
    <mergeCell ref="E118:T118"/>
    <mergeCell ref="U118:X118"/>
    <mergeCell ref="Y118:AD118"/>
    <mergeCell ref="AE118:AJ118"/>
    <mergeCell ref="AK118:AP118"/>
    <mergeCell ref="AQ118:AV118"/>
    <mergeCell ref="AW118:BB118"/>
    <mergeCell ref="BC118:BH118"/>
    <mergeCell ref="A121:D121"/>
    <mergeCell ref="E121:T121"/>
    <mergeCell ref="U121:X121"/>
    <mergeCell ref="Y121:AD121"/>
    <mergeCell ref="AE121:AJ121"/>
    <mergeCell ref="AK121:AP121"/>
    <mergeCell ref="AQ121:AV121"/>
    <mergeCell ref="AW121:BB121"/>
    <mergeCell ref="BC121:BH121"/>
    <mergeCell ref="A120:D120"/>
    <mergeCell ref="E120:T120"/>
    <mergeCell ref="U120:X120"/>
    <mergeCell ref="Y120:AD120"/>
    <mergeCell ref="AE120:AJ120"/>
    <mergeCell ref="AK120:AP120"/>
    <mergeCell ref="AQ120:AV120"/>
    <mergeCell ref="AW120:BB120"/>
    <mergeCell ref="BC120:BH120"/>
    <mergeCell ref="A123:D123"/>
    <mergeCell ref="E123:T123"/>
    <mergeCell ref="U123:X123"/>
    <mergeCell ref="Y123:AD123"/>
    <mergeCell ref="AE123:AJ123"/>
    <mergeCell ref="AK123:AP123"/>
    <mergeCell ref="AQ123:AV123"/>
    <mergeCell ref="AW123:BB123"/>
    <mergeCell ref="BC123:BH123"/>
    <mergeCell ref="A122:D122"/>
    <mergeCell ref="E122:T122"/>
    <mergeCell ref="U122:X122"/>
    <mergeCell ref="Y122:AD122"/>
    <mergeCell ref="AE122:AJ122"/>
    <mergeCell ref="AK122:AP122"/>
    <mergeCell ref="AQ122:AV122"/>
    <mergeCell ref="AW122:BB122"/>
    <mergeCell ref="BC122:BH122"/>
    <mergeCell ref="A125:D125"/>
    <mergeCell ref="E125:T125"/>
    <mergeCell ref="U125:X125"/>
    <mergeCell ref="Y125:AD125"/>
    <mergeCell ref="AE125:AJ125"/>
    <mergeCell ref="AK125:AP125"/>
    <mergeCell ref="AQ125:AV125"/>
    <mergeCell ref="AW125:BB125"/>
    <mergeCell ref="BC125:BH125"/>
    <mergeCell ref="A124:D124"/>
    <mergeCell ref="E124:T124"/>
    <mergeCell ref="U124:X124"/>
    <mergeCell ref="Y124:AD124"/>
    <mergeCell ref="AE124:AJ124"/>
    <mergeCell ref="AK124:AP124"/>
    <mergeCell ref="AQ124:AV124"/>
    <mergeCell ref="AW124:BB124"/>
    <mergeCell ref="BC124:BH124"/>
    <mergeCell ref="A127:D127"/>
    <mergeCell ref="E127:T127"/>
    <mergeCell ref="U127:X127"/>
    <mergeCell ref="Y127:AD127"/>
    <mergeCell ref="AE127:AJ127"/>
    <mergeCell ref="AK127:AP127"/>
    <mergeCell ref="AQ127:AV127"/>
    <mergeCell ref="AW127:BB127"/>
    <mergeCell ref="BC127:BH127"/>
    <mergeCell ref="A126:D126"/>
    <mergeCell ref="E126:T126"/>
    <mergeCell ref="U126:X126"/>
    <mergeCell ref="Y126:AD126"/>
    <mergeCell ref="AE126:AJ126"/>
    <mergeCell ref="AK126:AP126"/>
    <mergeCell ref="AQ126:AV126"/>
    <mergeCell ref="AW126:BB126"/>
    <mergeCell ref="BC126:BH126"/>
    <mergeCell ref="A129:D129"/>
    <mergeCell ref="E129:T129"/>
    <mergeCell ref="U129:X129"/>
    <mergeCell ref="Y129:AD129"/>
    <mergeCell ref="AE129:AJ129"/>
    <mergeCell ref="AK129:AP129"/>
    <mergeCell ref="AQ129:AV129"/>
    <mergeCell ref="AW129:BB129"/>
    <mergeCell ref="BC129:BH129"/>
    <mergeCell ref="A128:D128"/>
    <mergeCell ref="E128:T128"/>
    <mergeCell ref="U128:X128"/>
    <mergeCell ref="Y128:AD128"/>
    <mergeCell ref="AE128:AJ128"/>
    <mergeCell ref="AK128:AP128"/>
    <mergeCell ref="AQ128:AV128"/>
    <mergeCell ref="AW128:BB128"/>
    <mergeCell ref="BC128:BH128"/>
    <mergeCell ref="A131:D131"/>
    <mergeCell ref="E131:T131"/>
    <mergeCell ref="U131:X131"/>
    <mergeCell ref="Y131:AD131"/>
    <mergeCell ref="AE131:AJ131"/>
    <mergeCell ref="AK131:AP131"/>
    <mergeCell ref="AQ131:AV131"/>
    <mergeCell ref="AW131:BB131"/>
    <mergeCell ref="BC131:BH131"/>
    <mergeCell ref="A130:D130"/>
    <mergeCell ref="E130:T130"/>
    <mergeCell ref="U130:X130"/>
    <mergeCell ref="Y130:AD130"/>
    <mergeCell ref="AE130:AJ130"/>
    <mergeCell ref="AK130:AP130"/>
    <mergeCell ref="AQ130:AV130"/>
    <mergeCell ref="AW130:BB130"/>
    <mergeCell ref="BC130:BH130"/>
    <mergeCell ref="A133:D133"/>
    <mergeCell ref="E133:T133"/>
    <mergeCell ref="U133:X133"/>
    <mergeCell ref="Y133:AD133"/>
    <mergeCell ref="AE133:AJ133"/>
    <mergeCell ref="AK133:AP133"/>
    <mergeCell ref="AQ133:AV133"/>
    <mergeCell ref="AW133:BB133"/>
    <mergeCell ref="BC133:BH133"/>
    <mergeCell ref="A132:D132"/>
    <mergeCell ref="E132:T132"/>
    <mergeCell ref="U132:X132"/>
    <mergeCell ref="Y132:AD132"/>
    <mergeCell ref="AE132:AJ132"/>
    <mergeCell ref="AK132:AP132"/>
    <mergeCell ref="AQ132:AV132"/>
    <mergeCell ref="AW132:BB132"/>
    <mergeCell ref="BC132:BH132"/>
    <mergeCell ref="A135:AJ135"/>
    <mergeCell ref="AK135:AP135"/>
    <mergeCell ref="AQ135:AV135"/>
    <mergeCell ref="AW135:BB135"/>
    <mergeCell ref="BC135:BH135"/>
    <mergeCell ref="A136:AJ136"/>
    <mergeCell ref="AK136:AP136"/>
    <mergeCell ref="AQ136:AV136"/>
    <mergeCell ref="AW136:BB136"/>
    <mergeCell ref="BC136:BH136"/>
    <mergeCell ref="A134:D134"/>
    <mergeCell ref="E134:T134"/>
    <mergeCell ref="U134:X134"/>
    <mergeCell ref="Y134:AD134"/>
    <mergeCell ref="AE134:AJ134"/>
    <mergeCell ref="AK134:AP134"/>
    <mergeCell ref="AQ134:AV134"/>
    <mergeCell ref="AW134:BB134"/>
    <mergeCell ref="BC134:BH134"/>
    <mergeCell ref="A144:D144"/>
    <mergeCell ref="E144:T144"/>
    <mergeCell ref="U144:X144"/>
    <mergeCell ref="Y144:AD144"/>
    <mergeCell ref="AE144:AJ144"/>
    <mergeCell ref="AK144:AP144"/>
    <mergeCell ref="AQ144:AV144"/>
    <mergeCell ref="AW144:BB144"/>
    <mergeCell ref="BC144:BH144"/>
    <mergeCell ref="A137:AD137"/>
    <mergeCell ref="AE137:BH137"/>
    <mergeCell ref="A138:AD140"/>
    <mergeCell ref="AE138:BH140"/>
    <mergeCell ref="A141:BH141"/>
    <mergeCell ref="A142:I142"/>
    <mergeCell ref="J142:BQ142"/>
    <mergeCell ref="A143:H143"/>
    <mergeCell ref="I143:AN143"/>
    <mergeCell ref="AO143:AV143"/>
    <mergeCell ref="AW143:BH143"/>
    <mergeCell ref="A146:D146"/>
    <mergeCell ref="E146:T146"/>
    <mergeCell ref="U146:X146"/>
    <mergeCell ref="Y146:AD146"/>
    <mergeCell ref="AE146:AJ146"/>
    <mergeCell ref="AK146:AP146"/>
    <mergeCell ref="AQ146:AV146"/>
    <mergeCell ref="AW146:BB146"/>
    <mergeCell ref="BC146:BH146"/>
    <mergeCell ref="A145:D145"/>
    <mergeCell ref="E145:T145"/>
    <mergeCell ref="U145:X145"/>
    <mergeCell ref="Y145:AD145"/>
    <mergeCell ref="AE145:AJ145"/>
    <mergeCell ref="AK145:AP145"/>
    <mergeCell ref="AQ145:AV145"/>
    <mergeCell ref="AW145:BB145"/>
    <mergeCell ref="BC145:BH145"/>
    <mergeCell ref="A148:D148"/>
    <mergeCell ref="E148:T148"/>
    <mergeCell ref="U148:X148"/>
    <mergeCell ref="Y148:AD148"/>
    <mergeCell ref="AE148:AJ148"/>
    <mergeCell ref="AK148:AP148"/>
    <mergeCell ref="AQ148:AV148"/>
    <mergeCell ref="AW148:BB148"/>
    <mergeCell ref="BC148:BH148"/>
    <mergeCell ref="A147:D147"/>
    <mergeCell ref="E147:T147"/>
    <mergeCell ref="U147:X147"/>
    <mergeCell ref="Y147:AD147"/>
    <mergeCell ref="AE147:AJ147"/>
    <mergeCell ref="AK147:AP147"/>
    <mergeCell ref="AQ147:AV147"/>
    <mergeCell ref="AW147:BB147"/>
    <mergeCell ref="BC147:BH147"/>
    <mergeCell ref="A150:D150"/>
    <mergeCell ref="E150:T150"/>
    <mergeCell ref="U150:X150"/>
    <mergeCell ref="Y150:AD150"/>
    <mergeCell ref="AE150:AJ150"/>
    <mergeCell ref="AK150:AP150"/>
    <mergeCell ref="AQ150:AV150"/>
    <mergeCell ref="AW150:BB150"/>
    <mergeCell ref="BC150:BH150"/>
    <mergeCell ref="A149:D149"/>
    <mergeCell ref="E149:T149"/>
    <mergeCell ref="U149:X149"/>
    <mergeCell ref="Y149:AD149"/>
    <mergeCell ref="AE149:AJ149"/>
    <mergeCell ref="AK149:AP149"/>
    <mergeCell ref="AQ149:AV149"/>
    <mergeCell ref="AW149:BB149"/>
    <mergeCell ref="BC149:BH149"/>
    <mergeCell ref="A152:D152"/>
    <mergeCell ref="E152:T152"/>
    <mergeCell ref="U152:X152"/>
    <mergeCell ref="Y152:AD152"/>
    <mergeCell ref="AE152:AJ152"/>
    <mergeCell ref="AK152:AP152"/>
    <mergeCell ref="AQ152:AV152"/>
    <mergeCell ref="AW152:BB152"/>
    <mergeCell ref="BC152:BH152"/>
    <mergeCell ref="A151:D151"/>
    <mergeCell ref="E151:T151"/>
    <mergeCell ref="U151:X151"/>
    <mergeCell ref="Y151:AD151"/>
    <mergeCell ref="AE151:AJ151"/>
    <mergeCell ref="AK151:AP151"/>
    <mergeCell ref="AQ151:AV151"/>
    <mergeCell ref="AW151:BB151"/>
    <mergeCell ref="BC151:BH151"/>
    <mergeCell ref="A154:D154"/>
    <mergeCell ref="E154:T154"/>
    <mergeCell ref="U154:X154"/>
    <mergeCell ref="Y154:AD154"/>
    <mergeCell ref="AE154:AJ154"/>
    <mergeCell ref="AK154:AP154"/>
    <mergeCell ref="AQ154:AV154"/>
    <mergeCell ref="AW154:BB154"/>
    <mergeCell ref="BC154:BH154"/>
    <mergeCell ref="A153:D153"/>
    <mergeCell ref="E153:T153"/>
    <mergeCell ref="U153:X153"/>
    <mergeCell ref="Y153:AD153"/>
    <mergeCell ref="AE153:AJ153"/>
    <mergeCell ref="AK153:AP153"/>
    <mergeCell ref="AQ153:AV153"/>
    <mergeCell ref="AW153:BB153"/>
    <mergeCell ref="BC153:BH153"/>
    <mergeCell ref="A156:D156"/>
    <mergeCell ref="E156:T156"/>
    <mergeCell ref="U156:X156"/>
    <mergeCell ref="Y156:AD156"/>
    <mergeCell ref="AE156:AJ156"/>
    <mergeCell ref="AK156:AP156"/>
    <mergeCell ref="AQ156:AV156"/>
    <mergeCell ref="AW156:BB156"/>
    <mergeCell ref="BC156:BH156"/>
    <mergeCell ref="A155:D155"/>
    <mergeCell ref="E155:T155"/>
    <mergeCell ref="U155:X155"/>
    <mergeCell ref="Y155:AD155"/>
    <mergeCell ref="AE155:AJ155"/>
    <mergeCell ref="AK155:AP155"/>
    <mergeCell ref="AQ155:AV155"/>
    <mergeCell ref="AW155:BB155"/>
    <mergeCell ref="BC155:BH155"/>
    <mergeCell ref="A158:D158"/>
    <mergeCell ref="E158:T158"/>
    <mergeCell ref="U158:X158"/>
    <mergeCell ref="Y158:AD158"/>
    <mergeCell ref="AE158:AJ158"/>
    <mergeCell ref="AK158:AP158"/>
    <mergeCell ref="AQ158:AV158"/>
    <mergeCell ref="AW158:BB158"/>
    <mergeCell ref="BC158:BH158"/>
    <mergeCell ref="A157:D157"/>
    <mergeCell ref="E157:T157"/>
    <mergeCell ref="U157:X157"/>
    <mergeCell ref="Y157:AD157"/>
    <mergeCell ref="AE157:AJ157"/>
    <mergeCell ref="AK157:AP157"/>
    <mergeCell ref="AQ157:AV157"/>
    <mergeCell ref="AW157:BB157"/>
    <mergeCell ref="BC157:BH157"/>
    <mergeCell ref="A160:D160"/>
    <mergeCell ref="E160:T160"/>
    <mergeCell ref="U160:X160"/>
    <mergeCell ref="Y160:AD160"/>
    <mergeCell ref="AE160:AJ160"/>
    <mergeCell ref="AK160:AP160"/>
    <mergeCell ref="AQ160:AV160"/>
    <mergeCell ref="AW160:BB160"/>
    <mergeCell ref="BC160:BH160"/>
    <mergeCell ref="A159:D159"/>
    <mergeCell ref="E159:T159"/>
    <mergeCell ref="U159:X159"/>
    <mergeCell ref="Y159:AD159"/>
    <mergeCell ref="AE159:AJ159"/>
    <mergeCell ref="AK159:AP159"/>
    <mergeCell ref="AQ159:AV159"/>
    <mergeCell ref="AW159:BB159"/>
    <mergeCell ref="BC159:BH159"/>
    <mergeCell ref="A162:D162"/>
    <mergeCell ref="E162:T162"/>
    <mergeCell ref="U162:X162"/>
    <mergeCell ref="Y162:AD162"/>
    <mergeCell ref="AE162:AJ162"/>
    <mergeCell ref="AK162:AP162"/>
    <mergeCell ref="AQ162:AV162"/>
    <mergeCell ref="AW162:BB162"/>
    <mergeCell ref="BC162:BH162"/>
    <mergeCell ref="A161:D161"/>
    <mergeCell ref="E161:T161"/>
    <mergeCell ref="U161:X161"/>
    <mergeCell ref="Y161:AD161"/>
    <mergeCell ref="AE161:AJ161"/>
    <mergeCell ref="AK161:AP161"/>
    <mergeCell ref="AQ161:AV161"/>
    <mergeCell ref="AW161:BB161"/>
    <mergeCell ref="BC161:BH161"/>
    <mergeCell ref="A165:AD165"/>
    <mergeCell ref="AE165:BH165"/>
    <mergeCell ref="A166:AD168"/>
    <mergeCell ref="AE166:BH168"/>
    <mergeCell ref="A169:BH169"/>
    <mergeCell ref="A170:I170"/>
    <mergeCell ref="J170:BQ170"/>
    <mergeCell ref="A171:H171"/>
    <mergeCell ref="I171:AN171"/>
    <mergeCell ref="AO171:AV171"/>
    <mergeCell ref="AW171:BH171"/>
    <mergeCell ref="A163:AJ163"/>
    <mergeCell ref="AK163:AP163"/>
    <mergeCell ref="AQ163:AV163"/>
    <mergeCell ref="AW163:BB163"/>
    <mergeCell ref="BC163:BH163"/>
    <mergeCell ref="A164:AJ164"/>
    <mergeCell ref="AK164:AP164"/>
    <mergeCell ref="AQ164:AV164"/>
    <mergeCell ref="AW164:BB164"/>
    <mergeCell ref="BC164:BH164"/>
    <mergeCell ref="A173:D173"/>
    <mergeCell ref="E173:T173"/>
    <mergeCell ref="U173:X173"/>
    <mergeCell ref="Y173:AD173"/>
    <mergeCell ref="AE173:AJ173"/>
    <mergeCell ref="AK173:AP173"/>
    <mergeCell ref="AQ173:AV173"/>
    <mergeCell ref="AW173:BB173"/>
    <mergeCell ref="BC173:BH173"/>
    <mergeCell ref="A172:D172"/>
    <mergeCell ref="E172:T172"/>
    <mergeCell ref="U172:X172"/>
    <mergeCell ref="Y172:AD172"/>
    <mergeCell ref="AE172:AJ172"/>
    <mergeCell ref="AK172:AP172"/>
    <mergeCell ref="AQ172:AV172"/>
    <mergeCell ref="AW172:BB172"/>
    <mergeCell ref="BC172:BH172"/>
    <mergeCell ref="A175:D175"/>
    <mergeCell ref="E175:T175"/>
    <mergeCell ref="U175:X175"/>
    <mergeCell ref="Y175:AD175"/>
    <mergeCell ref="AE175:AJ175"/>
    <mergeCell ref="AK175:AP175"/>
    <mergeCell ref="AQ175:AV175"/>
    <mergeCell ref="AW175:BB175"/>
    <mergeCell ref="BC175:BH175"/>
    <mergeCell ref="A174:D174"/>
    <mergeCell ref="E174:T174"/>
    <mergeCell ref="U174:X174"/>
    <mergeCell ref="Y174:AD174"/>
    <mergeCell ref="AE174:AJ174"/>
    <mergeCell ref="AK174:AP174"/>
    <mergeCell ref="AQ174:AV174"/>
    <mergeCell ref="AW174:BB174"/>
    <mergeCell ref="BC174:BH174"/>
    <mergeCell ref="A177:D177"/>
    <mergeCell ref="E177:T177"/>
    <mergeCell ref="U177:X177"/>
    <mergeCell ref="Y177:AD177"/>
    <mergeCell ref="AE177:AJ177"/>
    <mergeCell ref="AK177:AP177"/>
    <mergeCell ref="AQ177:AV177"/>
    <mergeCell ref="AW177:BB177"/>
    <mergeCell ref="BC177:BH177"/>
    <mergeCell ref="A176:D176"/>
    <mergeCell ref="E176:T176"/>
    <mergeCell ref="U176:X176"/>
    <mergeCell ref="Y176:AD176"/>
    <mergeCell ref="AE176:AJ176"/>
    <mergeCell ref="AK176:AP176"/>
    <mergeCell ref="AQ176:AV176"/>
    <mergeCell ref="AW176:BB176"/>
    <mergeCell ref="BC176:BH176"/>
    <mergeCell ref="A179:D179"/>
    <mergeCell ref="E179:T179"/>
    <mergeCell ref="U179:X179"/>
    <mergeCell ref="Y179:AD179"/>
    <mergeCell ref="AE179:AJ179"/>
    <mergeCell ref="AK179:AP179"/>
    <mergeCell ref="AQ179:AV179"/>
    <mergeCell ref="AW179:BB179"/>
    <mergeCell ref="BC179:BH179"/>
    <mergeCell ref="A178:D178"/>
    <mergeCell ref="E178:T178"/>
    <mergeCell ref="U178:X178"/>
    <mergeCell ref="Y178:AD178"/>
    <mergeCell ref="AE178:AJ178"/>
    <mergeCell ref="AK178:AP178"/>
    <mergeCell ref="AQ178:AV178"/>
    <mergeCell ref="AW178:BB178"/>
    <mergeCell ref="BC178:BH178"/>
    <mergeCell ref="A181:D181"/>
    <mergeCell ref="E181:T181"/>
    <mergeCell ref="U181:X181"/>
    <mergeCell ref="Y181:AD181"/>
    <mergeCell ref="AE181:AJ181"/>
    <mergeCell ref="AK181:AP181"/>
    <mergeCell ref="AQ181:AV181"/>
    <mergeCell ref="AW181:BB181"/>
    <mergeCell ref="BC181:BH181"/>
    <mergeCell ref="A180:D180"/>
    <mergeCell ref="E180:T180"/>
    <mergeCell ref="U180:X180"/>
    <mergeCell ref="Y180:AD180"/>
    <mergeCell ref="AE180:AJ180"/>
    <mergeCell ref="AK180:AP180"/>
    <mergeCell ref="AQ180:AV180"/>
    <mergeCell ref="AW180:BB180"/>
    <mergeCell ref="BC180:BH180"/>
    <mergeCell ref="A183:D183"/>
    <mergeCell ref="E183:T183"/>
    <mergeCell ref="U183:X183"/>
    <mergeCell ref="Y183:AD183"/>
    <mergeCell ref="AE183:AJ183"/>
    <mergeCell ref="AK183:AP183"/>
    <mergeCell ref="AQ183:AV183"/>
    <mergeCell ref="AW183:BB183"/>
    <mergeCell ref="BC183:BH183"/>
    <mergeCell ref="A182:D182"/>
    <mergeCell ref="E182:T182"/>
    <mergeCell ref="U182:X182"/>
    <mergeCell ref="Y182:AD182"/>
    <mergeCell ref="AE182:AJ182"/>
    <mergeCell ref="AK182:AP182"/>
    <mergeCell ref="AQ182:AV182"/>
    <mergeCell ref="AW182:BB182"/>
    <mergeCell ref="BC182:BH182"/>
    <mergeCell ref="A185:D185"/>
    <mergeCell ref="E185:T185"/>
    <mergeCell ref="U185:X185"/>
    <mergeCell ref="Y185:AD185"/>
    <mergeCell ref="AE185:AJ185"/>
    <mergeCell ref="AK185:AP185"/>
    <mergeCell ref="AQ185:AV185"/>
    <mergeCell ref="AW185:BB185"/>
    <mergeCell ref="BC185:BH185"/>
    <mergeCell ref="A184:D184"/>
    <mergeCell ref="E184:T184"/>
    <mergeCell ref="U184:X184"/>
    <mergeCell ref="Y184:AD184"/>
    <mergeCell ref="AE184:AJ184"/>
    <mergeCell ref="AK184:AP184"/>
    <mergeCell ref="AQ184:AV184"/>
    <mergeCell ref="AW184:BB184"/>
    <mergeCell ref="BC184:BH184"/>
    <mergeCell ref="A187:D187"/>
    <mergeCell ref="E187:T187"/>
    <mergeCell ref="U187:X187"/>
    <mergeCell ref="Y187:AD187"/>
    <mergeCell ref="AE187:AJ187"/>
    <mergeCell ref="AK187:AP187"/>
    <mergeCell ref="AQ187:AV187"/>
    <mergeCell ref="AW187:BB187"/>
    <mergeCell ref="BC187:BH187"/>
    <mergeCell ref="A186:D186"/>
    <mergeCell ref="E186:T186"/>
    <mergeCell ref="U186:X186"/>
    <mergeCell ref="Y186:AD186"/>
    <mergeCell ref="AE186:AJ186"/>
    <mergeCell ref="AK186:AP186"/>
    <mergeCell ref="AQ186:AV186"/>
    <mergeCell ref="AW186:BB186"/>
    <mergeCell ref="BC186:BH186"/>
    <mergeCell ref="A189:D189"/>
    <mergeCell ref="E189:T189"/>
    <mergeCell ref="U189:X189"/>
    <mergeCell ref="Y189:AD189"/>
    <mergeCell ref="AE189:AJ189"/>
    <mergeCell ref="AK189:AP189"/>
    <mergeCell ref="AQ189:AV189"/>
    <mergeCell ref="AW189:BB189"/>
    <mergeCell ref="BC189:BH189"/>
    <mergeCell ref="A188:D188"/>
    <mergeCell ref="E188:T188"/>
    <mergeCell ref="U188:X188"/>
    <mergeCell ref="Y188:AD188"/>
    <mergeCell ref="AE188:AJ188"/>
    <mergeCell ref="AK188:AP188"/>
    <mergeCell ref="AQ188:AV188"/>
    <mergeCell ref="AW188:BB188"/>
    <mergeCell ref="BC188:BH188"/>
    <mergeCell ref="A191:AJ191"/>
    <mergeCell ref="AK191:AP191"/>
    <mergeCell ref="AQ191:AV191"/>
    <mergeCell ref="AW191:BB191"/>
    <mergeCell ref="BC191:BH191"/>
    <mergeCell ref="A192:AJ192"/>
    <mergeCell ref="AK192:AP192"/>
    <mergeCell ref="AQ192:AV192"/>
    <mergeCell ref="AW192:BB192"/>
    <mergeCell ref="BC192:BH192"/>
    <mergeCell ref="A190:D190"/>
    <mergeCell ref="E190:T190"/>
    <mergeCell ref="U190:X190"/>
    <mergeCell ref="Y190:AD190"/>
    <mergeCell ref="AE190:AJ190"/>
    <mergeCell ref="AK190:AP190"/>
    <mergeCell ref="AQ190:AV190"/>
    <mergeCell ref="AW190:BB190"/>
    <mergeCell ref="BC190:BH190"/>
    <mergeCell ref="A200:D200"/>
    <mergeCell ref="E200:T200"/>
    <mergeCell ref="U200:X200"/>
    <mergeCell ref="Y200:AD200"/>
    <mergeCell ref="AE200:AJ200"/>
    <mergeCell ref="AK200:AP200"/>
    <mergeCell ref="AQ200:AV200"/>
    <mergeCell ref="AW200:BB200"/>
    <mergeCell ref="BC200:BH200"/>
    <mergeCell ref="A193:AD193"/>
    <mergeCell ref="AE193:BH193"/>
    <mergeCell ref="A194:AD196"/>
    <mergeCell ref="AE194:BH196"/>
    <mergeCell ref="A197:BH197"/>
    <mergeCell ref="A198:I198"/>
    <mergeCell ref="J198:BQ198"/>
    <mergeCell ref="A199:H199"/>
    <mergeCell ref="I199:AN199"/>
    <mergeCell ref="AO199:AV199"/>
    <mergeCell ref="AW199:BH199"/>
    <mergeCell ref="A202:D202"/>
    <mergeCell ref="E202:T202"/>
    <mergeCell ref="U202:X202"/>
    <mergeCell ref="Y202:AD202"/>
    <mergeCell ref="AE202:AJ202"/>
    <mergeCell ref="AK202:AP202"/>
    <mergeCell ref="AQ202:AV202"/>
    <mergeCell ref="AW202:BB202"/>
    <mergeCell ref="BC202:BH202"/>
    <mergeCell ref="A201:D201"/>
    <mergeCell ref="E201:T201"/>
    <mergeCell ref="U201:X201"/>
    <mergeCell ref="Y201:AD201"/>
    <mergeCell ref="AE201:AJ201"/>
    <mergeCell ref="AK201:AP201"/>
    <mergeCell ref="AQ201:AV201"/>
    <mergeCell ref="AW201:BB201"/>
    <mergeCell ref="BC201:BH201"/>
    <mergeCell ref="A204:D204"/>
    <mergeCell ref="E204:T204"/>
    <mergeCell ref="U204:X204"/>
    <mergeCell ref="Y204:AD204"/>
    <mergeCell ref="AE204:AJ204"/>
    <mergeCell ref="AK204:AP204"/>
    <mergeCell ref="AQ204:AV204"/>
    <mergeCell ref="AW204:BB204"/>
    <mergeCell ref="BC204:BH204"/>
    <mergeCell ref="A203:D203"/>
    <mergeCell ref="E203:T203"/>
    <mergeCell ref="U203:X203"/>
    <mergeCell ref="Y203:AD203"/>
    <mergeCell ref="AE203:AJ203"/>
    <mergeCell ref="AK203:AP203"/>
    <mergeCell ref="AQ203:AV203"/>
    <mergeCell ref="AW203:BB203"/>
    <mergeCell ref="BC203:BH203"/>
    <mergeCell ref="A206:D206"/>
    <mergeCell ref="E206:T206"/>
    <mergeCell ref="U206:X206"/>
    <mergeCell ref="Y206:AD206"/>
    <mergeCell ref="AE206:AJ206"/>
    <mergeCell ref="AK206:AP206"/>
    <mergeCell ref="AQ206:AV206"/>
    <mergeCell ref="AW206:BB206"/>
    <mergeCell ref="BC206:BH206"/>
    <mergeCell ref="A205:D205"/>
    <mergeCell ref="E205:T205"/>
    <mergeCell ref="U205:X205"/>
    <mergeCell ref="Y205:AD205"/>
    <mergeCell ref="AE205:AJ205"/>
    <mergeCell ref="AK205:AP205"/>
    <mergeCell ref="AQ205:AV205"/>
    <mergeCell ref="AW205:BB205"/>
    <mergeCell ref="BC205:BH205"/>
    <mergeCell ref="A208:D208"/>
    <mergeCell ref="E208:T208"/>
    <mergeCell ref="U208:X208"/>
    <mergeCell ref="Y208:AD208"/>
    <mergeCell ref="AE208:AJ208"/>
    <mergeCell ref="AK208:AP208"/>
    <mergeCell ref="AQ208:AV208"/>
    <mergeCell ref="AW208:BB208"/>
    <mergeCell ref="BC208:BH208"/>
    <mergeCell ref="A207:D207"/>
    <mergeCell ref="E207:T207"/>
    <mergeCell ref="U207:X207"/>
    <mergeCell ref="Y207:AD207"/>
    <mergeCell ref="AE207:AJ207"/>
    <mergeCell ref="AK207:AP207"/>
    <mergeCell ref="AQ207:AV207"/>
    <mergeCell ref="AW207:BB207"/>
    <mergeCell ref="BC207:BH207"/>
    <mergeCell ref="A210:D210"/>
    <mergeCell ref="E210:T210"/>
    <mergeCell ref="U210:X210"/>
    <mergeCell ref="Y210:AD210"/>
    <mergeCell ref="AE210:AJ210"/>
    <mergeCell ref="AK210:AP210"/>
    <mergeCell ref="AQ210:AV210"/>
    <mergeCell ref="AW210:BB210"/>
    <mergeCell ref="BC210:BH210"/>
    <mergeCell ref="A209:D209"/>
    <mergeCell ref="E209:T209"/>
    <mergeCell ref="U209:X209"/>
    <mergeCell ref="Y209:AD209"/>
    <mergeCell ref="AE209:AJ209"/>
    <mergeCell ref="AK209:AP209"/>
    <mergeCell ref="AQ209:AV209"/>
    <mergeCell ref="AW209:BB209"/>
    <mergeCell ref="BC209:BH209"/>
    <mergeCell ref="A212:D212"/>
    <mergeCell ref="E212:T212"/>
    <mergeCell ref="U212:X212"/>
    <mergeCell ref="Y212:AD212"/>
    <mergeCell ref="AE212:AJ212"/>
    <mergeCell ref="AK212:AP212"/>
    <mergeCell ref="AQ212:AV212"/>
    <mergeCell ref="AW212:BB212"/>
    <mergeCell ref="BC212:BH212"/>
    <mergeCell ref="A211:D211"/>
    <mergeCell ref="E211:T211"/>
    <mergeCell ref="U211:X211"/>
    <mergeCell ref="Y211:AD211"/>
    <mergeCell ref="AE211:AJ211"/>
    <mergeCell ref="AK211:AP211"/>
    <mergeCell ref="AQ211:AV211"/>
    <mergeCell ref="AW211:BB211"/>
    <mergeCell ref="BC211:BH211"/>
    <mergeCell ref="A214:D214"/>
    <mergeCell ref="E214:T214"/>
    <mergeCell ref="U214:X214"/>
    <mergeCell ref="Y214:AD214"/>
    <mergeCell ref="AE214:AJ214"/>
    <mergeCell ref="AK214:AP214"/>
    <mergeCell ref="AQ214:AV214"/>
    <mergeCell ref="AW214:BB214"/>
    <mergeCell ref="BC214:BH214"/>
    <mergeCell ref="A213:D213"/>
    <mergeCell ref="E213:T213"/>
    <mergeCell ref="U213:X213"/>
    <mergeCell ref="Y213:AD213"/>
    <mergeCell ref="AE213:AJ213"/>
    <mergeCell ref="AK213:AP213"/>
    <mergeCell ref="AQ213:AV213"/>
    <mergeCell ref="AW213:BB213"/>
    <mergeCell ref="BC213:BH213"/>
    <mergeCell ref="A216:D216"/>
    <mergeCell ref="E216:T216"/>
    <mergeCell ref="U216:X216"/>
    <mergeCell ref="Y216:AD216"/>
    <mergeCell ref="AE216:AJ216"/>
    <mergeCell ref="AK216:AP216"/>
    <mergeCell ref="AQ216:AV216"/>
    <mergeCell ref="AW216:BB216"/>
    <mergeCell ref="BC216:BH216"/>
    <mergeCell ref="A215:D215"/>
    <mergeCell ref="E215:T215"/>
    <mergeCell ref="U215:X215"/>
    <mergeCell ref="Y215:AD215"/>
    <mergeCell ref="AE215:AJ215"/>
    <mergeCell ref="AK215:AP215"/>
    <mergeCell ref="AQ215:AV215"/>
    <mergeCell ref="AW215:BB215"/>
    <mergeCell ref="BC215:BH215"/>
    <mergeCell ref="A218:D218"/>
    <mergeCell ref="E218:T218"/>
    <mergeCell ref="U218:X218"/>
    <mergeCell ref="Y218:AD218"/>
    <mergeCell ref="AE218:AJ218"/>
    <mergeCell ref="AK218:AP218"/>
    <mergeCell ref="AQ218:AV218"/>
    <mergeCell ref="AW218:BB218"/>
    <mergeCell ref="BC218:BH218"/>
    <mergeCell ref="A217:D217"/>
    <mergeCell ref="E217:T217"/>
    <mergeCell ref="U217:X217"/>
    <mergeCell ref="Y217:AD217"/>
    <mergeCell ref="AE217:AJ217"/>
    <mergeCell ref="AK217:AP217"/>
    <mergeCell ref="AQ217:AV217"/>
    <mergeCell ref="AW217:BB217"/>
    <mergeCell ref="BC217:BH217"/>
    <mergeCell ref="A221:AD221"/>
    <mergeCell ref="AE221:BH221"/>
    <mergeCell ref="A222:AD224"/>
    <mergeCell ref="AE222:BH224"/>
    <mergeCell ref="A225:BH225"/>
    <mergeCell ref="A226:I226"/>
    <mergeCell ref="J226:BQ226"/>
    <mergeCell ref="A227:H227"/>
    <mergeCell ref="I227:AN227"/>
    <mergeCell ref="AO227:AV227"/>
    <mergeCell ref="AW227:BH227"/>
    <mergeCell ref="A219:AJ219"/>
    <mergeCell ref="AK219:AP219"/>
    <mergeCell ref="AQ219:AV219"/>
    <mergeCell ref="AW219:BB219"/>
    <mergeCell ref="BC219:BH219"/>
    <mergeCell ref="A220:AJ220"/>
    <mergeCell ref="AK220:AP220"/>
    <mergeCell ref="AQ220:AV220"/>
    <mergeCell ref="AW220:BB220"/>
    <mergeCell ref="BC220:BH220"/>
    <mergeCell ref="A229:D229"/>
    <mergeCell ref="E229:T229"/>
    <mergeCell ref="U229:X229"/>
    <mergeCell ref="Y229:AD229"/>
    <mergeCell ref="AE229:AJ229"/>
    <mergeCell ref="AK229:AP229"/>
    <mergeCell ref="AQ229:AV229"/>
    <mergeCell ref="AW229:BB229"/>
    <mergeCell ref="BC229:BH229"/>
    <mergeCell ref="A228:D228"/>
    <mergeCell ref="E228:T228"/>
    <mergeCell ref="U228:X228"/>
    <mergeCell ref="Y228:AD228"/>
    <mergeCell ref="AE228:AJ228"/>
    <mergeCell ref="AK228:AP228"/>
    <mergeCell ref="AQ228:AV228"/>
    <mergeCell ref="AW228:BB228"/>
    <mergeCell ref="BC228:BH228"/>
    <mergeCell ref="A231:D231"/>
    <mergeCell ref="E231:T231"/>
    <mergeCell ref="U231:X231"/>
    <mergeCell ref="Y231:AD231"/>
    <mergeCell ref="AE231:AJ231"/>
    <mergeCell ref="AK231:AP231"/>
    <mergeCell ref="AQ231:AV231"/>
    <mergeCell ref="AW231:BB231"/>
    <mergeCell ref="BC231:BH231"/>
    <mergeCell ref="A230:D230"/>
    <mergeCell ref="E230:T230"/>
    <mergeCell ref="U230:X230"/>
    <mergeCell ref="Y230:AD230"/>
    <mergeCell ref="AE230:AJ230"/>
    <mergeCell ref="AK230:AP230"/>
    <mergeCell ref="AQ230:AV230"/>
    <mergeCell ref="AW230:BB230"/>
    <mergeCell ref="BC230:BH230"/>
    <mergeCell ref="A233:D233"/>
    <mergeCell ref="E233:T233"/>
    <mergeCell ref="U233:X233"/>
    <mergeCell ref="Y233:AD233"/>
    <mergeCell ref="AE233:AJ233"/>
    <mergeCell ref="AK233:AP233"/>
    <mergeCell ref="AQ233:AV233"/>
    <mergeCell ref="AW233:BB233"/>
    <mergeCell ref="BC233:BH233"/>
    <mergeCell ref="A232:D232"/>
    <mergeCell ref="E232:T232"/>
    <mergeCell ref="U232:X232"/>
    <mergeCell ref="Y232:AD232"/>
    <mergeCell ref="AE232:AJ232"/>
    <mergeCell ref="AK232:AP232"/>
    <mergeCell ref="AQ232:AV232"/>
    <mergeCell ref="AW232:BB232"/>
    <mergeCell ref="BC232:BH232"/>
    <mergeCell ref="A235:D235"/>
    <mergeCell ref="E235:T235"/>
    <mergeCell ref="U235:X235"/>
    <mergeCell ref="Y235:AD235"/>
    <mergeCell ref="AE235:AJ235"/>
    <mergeCell ref="AK235:AP235"/>
    <mergeCell ref="AQ235:AV235"/>
    <mergeCell ref="AW235:BB235"/>
    <mergeCell ref="BC235:BH235"/>
    <mergeCell ref="A234:D234"/>
    <mergeCell ref="E234:T234"/>
    <mergeCell ref="U234:X234"/>
    <mergeCell ref="Y234:AD234"/>
    <mergeCell ref="AE234:AJ234"/>
    <mergeCell ref="AK234:AP234"/>
    <mergeCell ref="AQ234:AV234"/>
    <mergeCell ref="AW234:BB234"/>
    <mergeCell ref="BC234:BH234"/>
    <mergeCell ref="A237:D237"/>
    <mergeCell ref="E237:T237"/>
    <mergeCell ref="U237:X237"/>
    <mergeCell ref="Y237:AD237"/>
    <mergeCell ref="AE237:AJ237"/>
    <mergeCell ref="AK237:AP237"/>
    <mergeCell ref="AQ237:AV237"/>
    <mergeCell ref="AW237:BB237"/>
    <mergeCell ref="BC237:BH237"/>
    <mergeCell ref="A236:D236"/>
    <mergeCell ref="E236:T236"/>
    <mergeCell ref="U236:X236"/>
    <mergeCell ref="Y236:AD236"/>
    <mergeCell ref="AE236:AJ236"/>
    <mergeCell ref="AK236:AP236"/>
    <mergeCell ref="AQ236:AV236"/>
    <mergeCell ref="AW236:BB236"/>
    <mergeCell ref="BC236:BH236"/>
    <mergeCell ref="A239:D239"/>
    <mergeCell ref="E239:T239"/>
    <mergeCell ref="U239:X239"/>
    <mergeCell ref="Y239:AD239"/>
    <mergeCell ref="AE239:AJ239"/>
    <mergeCell ref="AK239:AP239"/>
    <mergeCell ref="AQ239:AV239"/>
    <mergeCell ref="AW239:BB239"/>
    <mergeCell ref="BC239:BH239"/>
    <mergeCell ref="A238:D238"/>
    <mergeCell ref="E238:T238"/>
    <mergeCell ref="U238:X238"/>
    <mergeCell ref="Y238:AD238"/>
    <mergeCell ref="AE238:AJ238"/>
    <mergeCell ref="AK238:AP238"/>
    <mergeCell ref="AQ238:AV238"/>
    <mergeCell ref="AW238:BB238"/>
    <mergeCell ref="BC238:BH238"/>
    <mergeCell ref="A241:D241"/>
    <mergeCell ref="E241:T241"/>
    <mergeCell ref="U241:X241"/>
    <mergeCell ref="Y241:AD241"/>
    <mergeCell ref="AE241:AJ241"/>
    <mergeCell ref="AK241:AP241"/>
    <mergeCell ref="AQ241:AV241"/>
    <mergeCell ref="AW241:BB241"/>
    <mergeCell ref="BC241:BH241"/>
    <mergeCell ref="A240:D240"/>
    <mergeCell ref="E240:T240"/>
    <mergeCell ref="U240:X240"/>
    <mergeCell ref="Y240:AD240"/>
    <mergeCell ref="AE240:AJ240"/>
    <mergeCell ref="AK240:AP240"/>
    <mergeCell ref="AQ240:AV240"/>
    <mergeCell ref="AW240:BB240"/>
    <mergeCell ref="BC240:BH240"/>
    <mergeCell ref="A243:D243"/>
    <mergeCell ref="E243:T243"/>
    <mergeCell ref="U243:X243"/>
    <mergeCell ref="Y243:AD243"/>
    <mergeCell ref="AE243:AJ243"/>
    <mergeCell ref="AK243:AP243"/>
    <mergeCell ref="AQ243:AV243"/>
    <mergeCell ref="AW243:BB243"/>
    <mergeCell ref="BC243:BH243"/>
    <mergeCell ref="A242:D242"/>
    <mergeCell ref="E242:T242"/>
    <mergeCell ref="U242:X242"/>
    <mergeCell ref="Y242:AD242"/>
    <mergeCell ref="AE242:AJ242"/>
    <mergeCell ref="AK242:AP242"/>
    <mergeCell ref="AQ242:AV242"/>
    <mergeCell ref="AW242:BB242"/>
    <mergeCell ref="BC242:BH242"/>
    <mergeCell ref="A245:D245"/>
    <mergeCell ref="E245:T245"/>
    <mergeCell ref="U245:X245"/>
    <mergeCell ref="Y245:AD245"/>
    <mergeCell ref="AE245:AJ245"/>
    <mergeCell ref="AK245:AP245"/>
    <mergeCell ref="AQ245:AV245"/>
    <mergeCell ref="AW245:BB245"/>
    <mergeCell ref="BC245:BH245"/>
    <mergeCell ref="A244:D244"/>
    <mergeCell ref="E244:T244"/>
    <mergeCell ref="U244:X244"/>
    <mergeCell ref="Y244:AD244"/>
    <mergeCell ref="AE244:AJ244"/>
    <mergeCell ref="AK244:AP244"/>
    <mergeCell ref="AQ244:AV244"/>
    <mergeCell ref="AW244:BB244"/>
    <mergeCell ref="BC244:BH244"/>
    <mergeCell ref="A247:AJ247"/>
    <mergeCell ref="AK247:AP247"/>
    <mergeCell ref="AQ247:AV247"/>
    <mergeCell ref="AW247:BB247"/>
    <mergeCell ref="BC247:BH247"/>
    <mergeCell ref="A248:AJ248"/>
    <mergeCell ref="AK248:AP248"/>
    <mergeCell ref="AQ248:AV248"/>
    <mergeCell ref="AW248:BB248"/>
    <mergeCell ref="BC248:BH248"/>
    <mergeCell ref="A246:D246"/>
    <mergeCell ref="E246:T246"/>
    <mergeCell ref="U246:X246"/>
    <mergeCell ref="Y246:AD246"/>
    <mergeCell ref="AE246:AJ246"/>
    <mergeCell ref="AK246:AP246"/>
    <mergeCell ref="AQ246:AV246"/>
    <mergeCell ref="AW246:BB246"/>
    <mergeCell ref="BC246:BH246"/>
    <mergeCell ref="A256:D256"/>
    <mergeCell ref="E256:T256"/>
    <mergeCell ref="U256:X256"/>
    <mergeCell ref="Y256:AD256"/>
    <mergeCell ref="AE256:AJ256"/>
    <mergeCell ref="AK256:AP256"/>
    <mergeCell ref="AQ256:AV256"/>
    <mergeCell ref="AW256:BB256"/>
    <mergeCell ref="BC256:BH256"/>
    <mergeCell ref="A249:AD249"/>
    <mergeCell ref="AE249:BH249"/>
    <mergeCell ref="A250:AD252"/>
    <mergeCell ref="AE250:BH252"/>
    <mergeCell ref="A253:BH253"/>
    <mergeCell ref="A254:I254"/>
    <mergeCell ref="J254:BQ254"/>
    <mergeCell ref="A255:H255"/>
    <mergeCell ref="I255:AN255"/>
    <mergeCell ref="AO255:AV255"/>
    <mergeCell ref="AW255:BH255"/>
    <mergeCell ref="A258:D258"/>
    <mergeCell ref="E258:T258"/>
    <mergeCell ref="U258:X258"/>
    <mergeCell ref="Y258:AD258"/>
    <mergeCell ref="AE258:AJ258"/>
    <mergeCell ref="AK258:AP258"/>
    <mergeCell ref="AQ258:AV258"/>
    <mergeCell ref="AW258:BB258"/>
    <mergeCell ref="BC258:BH258"/>
    <mergeCell ref="A257:D257"/>
    <mergeCell ref="E257:T257"/>
    <mergeCell ref="U257:X257"/>
    <mergeCell ref="Y257:AD257"/>
    <mergeCell ref="AE257:AJ257"/>
    <mergeCell ref="AK257:AP257"/>
    <mergeCell ref="AQ257:AV257"/>
    <mergeCell ref="AW257:BB257"/>
    <mergeCell ref="BC257:BH257"/>
    <mergeCell ref="A260:D260"/>
    <mergeCell ref="E260:T260"/>
    <mergeCell ref="U260:X260"/>
    <mergeCell ref="Y260:AD260"/>
    <mergeCell ref="AE260:AJ260"/>
    <mergeCell ref="AK260:AP260"/>
    <mergeCell ref="AQ260:AV260"/>
    <mergeCell ref="AW260:BB260"/>
    <mergeCell ref="BC260:BH260"/>
    <mergeCell ref="A259:D259"/>
    <mergeCell ref="E259:T259"/>
    <mergeCell ref="U259:X259"/>
    <mergeCell ref="Y259:AD259"/>
    <mergeCell ref="AE259:AJ259"/>
    <mergeCell ref="AK259:AP259"/>
    <mergeCell ref="AQ259:AV259"/>
    <mergeCell ref="AW259:BB259"/>
    <mergeCell ref="BC259:BH259"/>
    <mergeCell ref="A262:D262"/>
    <mergeCell ref="E262:T262"/>
    <mergeCell ref="U262:X262"/>
    <mergeCell ref="Y262:AD262"/>
    <mergeCell ref="AE262:AJ262"/>
    <mergeCell ref="AK262:AP262"/>
    <mergeCell ref="AQ262:AV262"/>
    <mergeCell ref="AW262:BB262"/>
    <mergeCell ref="BC262:BH262"/>
    <mergeCell ref="A261:D261"/>
    <mergeCell ref="E261:T261"/>
    <mergeCell ref="U261:X261"/>
    <mergeCell ref="Y261:AD261"/>
    <mergeCell ref="AE261:AJ261"/>
    <mergeCell ref="AK261:AP261"/>
    <mergeCell ref="AQ261:AV261"/>
    <mergeCell ref="AW261:BB261"/>
    <mergeCell ref="BC261:BH261"/>
    <mergeCell ref="A264:D264"/>
    <mergeCell ref="E264:T264"/>
    <mergeCell ref="U264:X264"/>
    <mergeCell ref="Y264:AD264"/>
    <mergeCell ref="AE264:AJ264"/>
    <mergeCell ref="AK264:AP264"/>
    <mergeCell ref="AQ264:AV264"/>
    <mergeCell ref="AW264:BB264"/>
    <mergeCell ref="BC264:BH264"/>
    <mergeCell ref="A263:D263"/>
    <mergeCell ref="E263:T263"/>
    <mergeCell ref="U263:X263"/>
    <mergeCell ref="Y263:AD263"/>
    <mergeCell ref="AE263:AJ263"/>
    <mergeCell ref="AK263:AP263"/>
    <mergeCell ref="AQ263:AV263"/>
    <mergeCell ref="AW263:BB263"/>
    <mergeCell ref="BC263:BH263"/>
    <mergeCell ref="A266:D266"/>
    <mergeCell ref="E266:T266"/>
    <mergeCell ref="U266:X266"/>
    <mergeCell ref="Y266:AD266"/>
    <mergeCell ref="AE266:AJ266"/>
    <mergeCell ref="AK266:AP266"/>
    <mergeCell ref="AQ266:AV266"/>
    <mergeCell ref="AW266:BB266"/>
    <mergeCell ref="BC266:BH266"/>
    <mergeCell ref="A265:D265"/>
    <mergeCell ref="E265:T265"/>
    <mergeCell ref="U265:X265"/>
    <mergeCell ref="Y265:AD265"/>
    <mergeCell ref="AE265:AJ265"/>
    <mergeCell ref="AK265:AP265"/>
    <mergeCell ref="AQ265:AV265"/>
    <mergeCell ref="AW265:BB265"/>
    <mergeCell ref="BC265:BH265"/>
    <mergeCell ref="A268:D268"/>
    <mergeCell ref="E268:T268"/>
    <mergeCell ref="U268:X268"/>
    <mergeCell ref="Y268:AD268"/>
    <mergeCell ref="AE268:AJ268"/>
    <mergeCell ref="AK268:AP268"/>
    <mergeCell ref="AQ268:AV268"/>
    <mergeCell ref="AW268:BB268"/>
    <mergeCell ref="BC268:BH268"/>
    <mergeCell ref="A267:D267"/>
    <mergeCell ref="E267:T267"/>
    <mergeCell ref="U267:X267"/>
    <mergeCell ref="Y267:AD267"/>
    <mergeCell ref="AE267:AJ267"/>
    <mergeCell ref="AK267:AP267"/>
    <mergeCell ref="AQ267:AV267"/>
    <mergeCell ref="AW267:BB267"/>
    <mergeCell ref="BC267:BH267"/>
    <mergeCell ref="A270:D270"/>
    <mergeCell ref="E270:T270"/>
    <mergeCell ref="U270:X270"/>
    <mergeCell ref="Y270:AD270"/>
    <mergeCell ref="AE270:AJ270"/>
    <mergeCell ref="AK270:AP270"/>
    <mergeCell ref="AQ270:AV270"/>
    <mergeCell ref="AW270:BB270"/>
    <mergeCell ref="BC270:BH270"/>
    <mergeCell ref="A269:D269"/>
    <mergeCell ref="E269:T269"/>
    <mergeCell ref="U269:X269"/>
    <mergeCell ref="Y269:AD269"/>
    <mergeCell ref="AE269:AJ269"/>
    <mergeCell ref="AK269:AP269"/>
    <mergeCell ref="AQ269:AV269"/>
    <mergeCell ref="AW269:BB269"/>
    <mergeCell ref="BC269:BH269"/>
    <mergeCell ref="A272:D272"/>
    <mergeCell ref="E272:T272"/>
    <mergeCell ref="U272:X272"/>
    <mergeCell ref="Y272:AD272"/>
    <mergeCell ref="AE272:AJ272"/>
    <mergeCell ref="AK272:AP272"/>
    <mergeCell ref="AQ272:AV272"/>
    <mergeCell ref="AW272:BB272"/>
    <mergeCell ref="BC272:BH272"/>
    <mergeCell ref="A271:D271"/>
    <mergeCell ref="E271:T271"/>
    <mergeCell ref="U271:X271"/>
    <mergeCell ref="Y271:AD271"/>
    <mergeCell ref="AE271:AJ271"/>
    <mergeCell ref="AK271:AP271"/>
    <mergeCell ref="AQ271:AV271"/>
    <mergeCell ref="AW271:BB271"/>
    <mergeCell ref="BC271:BH271"/>
    <mergeCell ref="A274:D274"/>
    <mergeCell ref="E274:T274"/>
    <mergeCell ref="U274:X274"/>
    <mergeCell ref="Y274:AD274"/>
    <mergeCell ref="AE274:AJ274"/>
    <mergeCell ref="AK274:AP274"/>
    <mergeCell ref="AQ274:AV274"/>
    <mergeCell ref="AW274:BB274"/>
    <mergeCell ref="BC274:BH274"/>
    <mergeCell ref="A273:D273"/>
    <mergeCell ref="E273:T273"/>
    <mergeCell ref="U273:X273"/>
    <mergeCell ref="Y273:AD273"/>
    <mergeCell ref="AE273:AJ273"/>
    <mergeCell ref="AK273:AP273"/>
    <mergeCell ref="AQ273:AV273"/>
    <mergeCell ref="AW273:BB273"/>
    <mergeCell ref="BC273:BH273"/>
    <mergeCell ref="A277:AD277"/>
    <mergeCell ref="AE277:BH277"/>
    <mergeCell ref="A278:AD280"/>
    <mergeCell ref="AE278:BH280"/>
    <mergeCell ref="A281:BH281"/>
    <mergeCell ref="A282:I282"/>
    <mergeCell ref="J282:BQ282"/>
    <mergeCell ref="A283:H283"/>
    <mergeCell ref="I283:AN283"/>
    <mergeCell ref="AO283:AV283"/>
    <mergeCell ref="AW283:BH283"/>
    <mergeCell ref="A275:AJ275"/>
    <mergeCell ref="AK275:AP275"/>
    <mergeCell ref="AQ275:AV275"/>
    <mergeCell ref="AW275:BB275"/>
    <mergeCell ref="BC275:BH275"/>
    <mergeCell ref="A276:AJ276"/>
    <mergeCell ref="AK276:AP276"/>
    <mergeCell ref="AQ276:AV276"/>
    <mergeCell ref="AW276:BB276"/>
    <mergeCell ref="BC276:BH276"/>
    <mergeCell ref="A285:D285"/>
    <mergeCell ref="E285:T285"/>
    <mergeCell ref="U285:X285"/>
    <mergeCell ref="Y285:AD285"/>
    <mergeCell ref="AE285:AJ285"/>
    <mergeCell ref="AK285:AP285"/>
    <mergeCell ref="AQ285:AV285"/>
    <mergeCell ref="AW285:BB285"/>
    <mergeCell ref="BC285:BH285"/>
    <mergeCell ref="A284:D284"/>
    <mergeCell ref="E284:T284"/>
    <mergeCell ref="U284:X284"/>
    <mergeCell ref="Y284:AD284"/>
    <mergeCell ref="AE284:AJ284"/>
    <mergeCell ref="AK284:AP284"/>
    <mergeCell ref="AQ284:AV284"/>
    <mergeCell ref="AW284:BB284"/>
    <mergeCell ref="BC284:BH284"/>
    <mergeCell ref="A287:D287"/>
    <mergeCell ref="E287:T287"/>
    <mergeCell ref="U287:X287"/>
    <mergeCell ref="Y287:AD287"/>
    <mergeCell ref="AE287:AJ287"/>
    <mergeCell ref="AK287:AP287"/>
    <mergeCell ref="AQ287:AV287"/>
    <mergeCell ref="AW287:BB287"/>
    <mergeCell ref="BC287:BH287"/>
    <mergeCell ref="A286:D286"/>
    <mergeCell ref="E286:T286"/>
    <mergeCell ref="U286:X286"/>
    <mergeCell ref="Y286:AD286"/>
    <mergeCell ref="AE286:AJ286"/>
    <mergeCell ref="AK286:AP286"/>
    <mergeCell ref="AQ286:AV286"/>
    <mergeCell ref="AW286:BB286"/>
    <mergeCell ref="BC286:BH286"/>
    <mergeCell ref="A289:D289"/>
    <mergeCell ref="E289:T289"/>
    <mergeCell ref="U289:X289"/>
    <mergeCell ref="Y289:AD289"/>
    <mergeCell ref="AE289:AJ289"/>
    <mergeCell ref="AK289:AP289"/>
    <mergeCell ref="AQ289:AV289"/>
    <mergeCell ref="AW289:BB289"/>
    <mergeCell ref="BC289:BH289"/>
    <mergeCell ref="A288:D288"/>
    <mergeCell ref="E288:T288"/>
    <mergeCell ref="U288:X288"/>
    <mergeCell ref="Y288:AD288"/>
    <mergeCell ref="AE288:AJ288"/>
    <mergeCell ref="AK288:AP288"/>
    <mergeCell ref="AQ288:AV288"/>
    <mergeCell ref="AW288:BB288"/>
    <mergeCell ref="BC288:BH288"/>
    <mergeCell ref="A291:D291"/>
    <mergeCell ref="E291:T291"/>
    <mergeCell ref="U291:X291"/>
    <mergeCell ref="Y291:AD291"/>
    <mergeCell ref="AE291:AJ291"/>
    <mergeCell ref="AK291:AP291"/>
    <mergeCell ref="AQ291:AV291"/>
    <mergeCell ref="AW291:BB291"/>
    <mergeCell ref="BC291:BH291"/>
    <mergeCell ref="A290:D290"/>
    <mergeCell ref="E290:T290"/>
    <mergeCell ref="U290:X290"/>
    <mergeCell ref="Y290:AD290"/>
    <mergeCell ref="AE290:AJ290"/>
    <mergeCell ref="AK290:AP290"/>
    <mergeCell ref="AQ290:AV290"/>
    <mergeCell ref="AW290:BB290"/>
    <mergeCell ref="BC290:BH290"/>
    <mergeCell ref="A293:D293"/>
    <mergeCell ref="E293:T293"/>
    <mergeCell ref="U293:X293"/>
    <mergeCell ref="Y293:AD293"/>
    <mergeCell ref="AE293:AJ293"/>
    <mergeCell ref="AK293:AP293"/>
    <mergeCell ref="AQ293:AV293"/>
    <mergeCell ref="AW293:BB293"/>
    <mergeCell ref="BC293:BH293"/>
    <mergeCell ref="A292:D292"/>
    <mergeCell ref="E292:T292"/>
    <mergeCell ref="U292:X292"/>
    <mergeCell ref="Y292:AD292"/>
    <mergeCell ref="AE292:AJ292"/>
    <mergeCell ref="AK292:AP292"/>
    <mergeCell ref="AQ292:AV292"/>
    <mergeCell ref="AW292:BB292"/>
    <mergeCell ref="BC292:BH292"/>
    <mergeCell ref="A295:D295"/>
    <mergeCell ref="E295:T295"/>
    <mergeCell ref="U295:X295"/>
    <mergeCell ref="Y295:AD295"/>
    <mergeCell ref="AE295:AJ295"/>
    <mergeCell ref="AK295:AP295"/>
    <mergeCell ref="AQ295:AV295"/>
    <mergeCell ref="AW295:BB295"/>
    <mergeCell ref="BC295:BH295"/>
    <mergeCell ref="A294:D294"/>
    <mergeCell ref="E294:T294"/>
    <mergeCell ref="U294:X294"/>
    <mergeCell ref="Y294:AD294"/>
    <mergeCell ref="AE294:AJ294"/>
    <mergeCell ref="AK294:AP294"/>
    <mergeCell ref="AQ294:AV294"/>
    <mergeCell ref="AW294:BB294"/>
    <mergeCell ref="BC294:BH294"/>
    <mergeCell ref="A297:D297"/>
    <mergeCell ref="E297:T297"/>
    <mergeCell ref="U297:X297"/>
    <mergeCell ref="Y297:AD297"/>
    <mergeCell ref="AE297:AJ297"/>
    <mergeCell ref="AK297:AP297"/>
    <mergeCell ref="AQ297:AV297"/>
    <mergeCell ref="AW297:BB297"/>
    <mergeCell ref="BC297:BH297"/>
    <mergeCell ref="A296:D296"/>
    <mergeCell ref="E296:T296"/>
    <mergeCell ref="U296:X296"/>
    <mergeCell ref="Y296:AD296"/>
    <mergeCell ref="AE296:AJ296"/>
    <mergeCell ref="AK296:AP296"/>
    <mergeCell ref="AQ296:AV296"/>
    <mergeCell ref="AW296:BB296"/>
    <mergeCell ref="BC296:BH296"/>
    <mergeCell ref="A299:D299"/>
    <mergeCell ref="E299:T299"/>
    <mergeCell ref="U299:X299"/>
    <mergeCell ref="Y299:AD299"/>
    <mergeCell ref="AE299:AJ299"/>
    <mergeCell ref="AK299:AP299"/>
    <mergeCell ref="AQ299:AV299"/>
    <mergeCell ref="AW299:BB299"/>
    <mergeCell ref="BC299:BH299"/>
    <mergeCell ref="A298:D298"/>
    <mergeCell ref="E298:T298"/>
    <mergeCell ref="U298:X298"/>
    <mergeCell ref="Y298:AD298"/>
    <mergeCell ref="AE298:AJ298"/>
    <mergeCell ref="AK298:AP298"/>
    <mergeCell ref="AQ298:AV298"/>
    <mergeCell ref="AW298:BB298"/>
    <mergeCell ref="BC298:BH298"/>
    <mergeCell ref="A301:D301"/>
    <mergeCell ref="E301:T301"/>
    <mergeCell ref="U301:X301"/>
    <mergeCell ref="Y301:AD301"/>
    <mergeCell ref="AE301:AJ301"/>
    <mergeCell ref="AK301:AP301"/>
    <mergeCell ref="AQ301:AV301"/>
    <mergeCell ref="AW301:BB301"/>
    <mergeCell ref="BC301:BH301"/>
    <mergeCell ref="A300:D300"/>
    <mergeCell ref="E300:T300"/>
    <mergeCell ref="U300:X300"/>
    <mergeCell ref="Y300:AD300"/>
    <mergeCell ref="AE300:AJ300"/>
    <mergeCell ref="AK300:AP300"/>
    <mergeCell ref="AQ300:AV300"/>
    <mergeCell ref="AW300:BB300"/>
    <mergeCell ref="BC300:BH300"/>
    <mergeCell ref="A303:AJ303"/>
    <mergeCell ref="AK303:AP303"/>
    <mergeCell ref="AQ303:AV303"/>
    <mergeCell ref="AW303:BB303"/>
    <mergeCell ref="BC303:BH303"/>
    <mergeCell ref="A304:AJ304"/>
    <mergeCell ref="AK304:AP304"/>
    <mergeCell ref="AQ304:AV304"/>
    <mergeCell ref="AW304:BB304"/>
    <mergeCell ref="BC304:BH304"/>
    <mergeCell ref="A302:D302"/>
    <mergeCell ref="E302:T302"/>
    <mergeCell ref="U302:X302"/>
    <mergeCell ref="Y302:AD302"/>
    <mergeCell ref="AE302:AJ302"/>
    <mergeCell ref="AK302:AP302"/>
    <mergeCell ref="AQ302:AV302"/>
    <mergeCell ref="AW302:BB302"/>
    <mergeCell ref="BC302:BH302"/>
    <mergeCell ref="A312:D312"/>
    <mergeCell ref="E312:T312"/>
    <mergeCell ref="U312:X312"/>
    <mergeCell ref="Y312:AD312"/>
    <mergeCell ref="AE312:AJ312"/>
    <mergeCell ref="AK312:AP312"/>
    <mergeCell ref="AQ312:AV312"/>
    <mergeCell ref="AW312:BB312"/>
    <mergeCell ref="BC312:BH312"/>
    <mergeCell ref="A305:AD305"/>
    <mergeCell ref="AE305:BH305"/>
    <mergeCell ref="A306:AD308"/>
    <mergeCell ref="AE306:BH308"/>
    <mergeCell ref="A309:BH309"/>
    <mergeCell ref="A310:I310"/>
    <mergeCell ref="J310:BQ310"/>
    <mergeCell ref="A311:H311"/>
    <mergeCell ref="I311:AN311"/>
    <mergeCell ref="AO311:AV311"/>
    <mergeCell ref="AW311:BH311"/>
    <mergeCell ref="A314:D314"/>
    <mergeCell ref="E314:T314"/>
    <mergeCell ref="U314:X314"/>
    <mergeCell ref="Y314:AD314"/>
    <mergeCell ref="AE314:AJ314"/>
    <mergeCell ref="AK314:AP314"/>
    <mergeCell ref="AQ314:AV314"/>
    <mergeCell ref="AW314:BB314"/>
    <mergeCell ref="BC314:BH314"/>
    <mergeCell ref="A313:D313"/>
    <mergeCell ref="E313:T313"/>
    <mergeCell ref="U313:X313"/>
    <mergeCell ref="Y313:AD313"/>
    <mergeCell ref="AE313:AJ313"/>
    <mergeCell ref="AK313:AP313"/>
    <mergeCell ref="AQ313:AV313"/>
    <mergeCell ref="AW313:BB313"/>
    <mergeCell ref="BC313:BH313"/>
    <mergeCell ref="A316:D316"/>
    <mergeCell ref="E316:T316"/>
    <mergeCell ref="U316:X316"/>
    <mergeCell ref="Y316:AD316"/>
    <mergeCell ref="AE316:AJ316"/>
    <mergeCell ref="AK316:AP316"/>
    <mergeCell ref="AQ316:AV316"/>
    <mergeCell ref="AW316:BB316"/>
    <mergeCell ref="BC316:BH316"/>
    <mergeCell ref="A315:D315"/>
    <mergeCell ref="E315:T315"/>
    <mergeCell ref="U315:X315"/>
    <mergeCell ref="Y315:AD315"/>
    <mergeCell ref="AE315:AJ315"/>
    <mergeCell ref="AK315:AP315"/>
    <mergeCell ref="AQ315:AV315"/>
    <mergeCell ref="AW315:BB315"/>
    <mergeCell ref="BC315:BH315"/>
    <mergeCell ref="A318:D318"/>
    <mergeCell ref="E318:T318"/>
    <mergeCell ref="U318:X318"/>
    <mergeCell ref="Y318:AD318"/>
    <mergeCell ref="AE318:AJ318"/>
    <mergeCell ref="AK318:AP318"/>
    <mergeCell ref="AQ318:AV318"/>
    <mergeCell ref="AW318:BB318"/>
    <mergeCell ref="BC318:BH318"/>
    <mergeCell ref="A317:D317"/>
    <mergeCell ref="E317:T317"/>
    <mergeCell ref="U317:X317"/>
    <mergeCell ref="Y317:AD317"/>
    <mergeCell ref="AE317:AJ317"/>
    <mergeCell ref="AK317:AP317"/>
    <mergeCell ref="AQ317:AV317"/>
    <mergeCell ref="AW317:BB317"/>
    <mergeCell ref="BC317:BH317"/>
    <mergeCell ref="A320:D320"/>
    <mergeCell ref="E320:T320"/>
    <mergeCell ref="U320:X320"/>
    <mergeCell ref="Y320:AD320"/>
    <mergeCell ref="AE320:AJ320"/>
    <mergeCell ref="AK320:AP320"/>
    <mergeCell ref="AQ320:AV320"/>
    <mergeCell ref="AW320:BB320"/>
    <mergeCell ref="BC320:BH320"/>
    <mergeCell ref="A319:D319"/>
    <mergeCell ref="E319:T319"/>
    <mergeCell ref="U319:X319"/>
    <mergeCell ref="Y319:AD319"/>
    <mergeCell ref="AE319:AJ319"/>
    <mergeCell ref="AK319:AP319"/>
    <mergeCell ref="AQ319:AV319"/>
    <mergeCell ref="AW319:BB319"/>
    <mergeCell ref="BC319:BH319"/>
    <mergeCell ref="A322:D322"/>
    <mergeCell ref="E322:T322"/>
    <mergeCell ref="U322:X322"/>
    <mergeCell ref="Y322:AD322"/>
    <mergeCell ref="AE322:AJ322"/>
    <mergeCell ref="AK322:AP322"/>
    <mergeCell ref="AQ322:AV322"/>
    <mergeCell ref="AW322:BB322"/>
    <mergeCell ref="BC322:BH322"/>
    <mergeCell ref="A321:D321"/>
    <mergeCell ref="E321:T321"/>
    <mergeCell ref="U321:X321"/>
    <mergeCell ref="Y321:AD321"/>
    <mergeCell ref="AE321:AJ321"/>
    <mergeCell ref="AK321:AP321"/>
    <mergeCell ref="AQ321:AV321"/>
    <mergeCell ref="AW321:BB321"/>
    <mergeCell ref="BC321:BH321"/>
    <mergeCell ref="A324:D324"/>
    <mergeCell ref="E324:T324"/>
    <mergeCell ref="U324:X324"/>
    <mergeCell ref="Y324:AD324"/>
    <mergeCell ref="AE324:AJ324"/>
    <mergeCell ref="AK324:AP324"/>
    <mergeCell ref="AQ324:AV324"/>
    <mergeCell ref="AW324:BB324"/>
    <mergeCell ref="BC324:BH324"/>
    <mergeCell ref="A323:D323"/>
    <mergeCell ref="E323:T323"/>
    <mergeCell ref="U323:X323"/>
    <mergeCell ref="Y323:AD323"/>
    <mergeCell ref="AE323:AJ323"/>
    <mergeCell ref="AK323:AP323"/>
    <mergeCell ref="AQ323:AV323"/>
    <mergeCell ref="AW323:BB323"/>
    <mergeCell ref="BC323:BH323"/>
    <mergeCell ref="A326:D326"/>
    <mergeCell ref="E326:T326"/>
    <mergeCell ref="U326:X326"/>
    <mergeCell ref="Y326:AD326"/>
    <mergeCell ref="AE326:AJ326"/>
    <mergeCell ref="AK326:AP326"/>
    <mergeCell ref="AQ326:AV326"/>
    <mergeCell ref="AW326:BB326"/>
    <mergeCell ref="BC326:BH326"/>
    <mergeCell ref="A325:D325"/>
    <mergeCell ref="E325:T325"/>
    <mergeCell ref="U325:X325"/>
    <mergeCell ref="Y325:AD325"/>
    <mergeCell ref="AE325:AJ325"/>
    <mergeCell ref="AK325:AP325"/>
    <mergeCell ref="AQ325:AV325"/>
    <mergeCell ref="AW325:BB325"/>
    <mergeCell ref="BC325:BH325"/>
    <mergeCell ref="A328:D328"/>
    <mergeCell ref="E328:T328"/>
    <mergeCell ref="U328:X328"/>
    <mergeCell ref="Y328:AD328"/>
    <mergeCell ref="AE328:AJ328"/>
    <mergeCell ref="AK328:AP328"/>
    <mergeCell ref="AQ328:AV328"/>
    <mergeCell ref="AW328:BB328"/>
    <mergeCell ref="BC328:BH328"/>
    <mergeCell ref="A327:D327"/>
    <mergeCell ref="E327:T327"/>
    <mergeCell ref="U327:X327"/>
    <mergeCell ref="Y327:AD327"/>
    <mergeCell ref="AE327:AJ327"/>
    <mergeCell ref="AK327:AP327"/>
    <mergeCell ref="AQ327:AV327"/>
    <mergeCell ref="AW327:BB327"/>
    <mergeCell ref="BC327:BH327"/>
    <mergeCell ref="A330:D330"/>
    <mergeCell ref="E330:T330"/>
    <mergeCell ref="U330:X330"/>
    <mergeCell ref="Y330:AD330"/>
    <mergeCell ref="AE330:AJ330"/>
    <mergeCell ref="AK330:AP330"/>
    <mergeCell ref="AQ330:AV330"/>
    <mergeCell ref="AW330:BB330"/>
    <mergeCell ref="BC330:BH330"/>
    <mergeCell ref="A329:D329"/>
    <mergeCell ref="E329:T329"/>
    <mergeCell ref="U329:X329"/>
    <mergeCell ref="Y329:AD329"/>
    <mergeCell ref="AE329:AJ329"/>
    <mergeCell ref="AK329:AP329"/>
    <mergeCell ref="AQ329:AV329"/>
    <mergeCell ref="AW329:BB329"/>
    <mergeCell ref="BC329:BH329"/>
    <mergeCell ref="A333:AD333"/>
    <mergeCell ref="AE333:BH333"/>
    <mergeCell ref="A334:AD336"/>
    <mergeCell ref="AE334:BH336"/>
    <mergeCell ref="A337:BH337"/>
    <mergeCell ref="A338:I338"/>
    <mergeCell ref="J338:BQ338"/>
    <mergeCell ref="A339:H339"/>
    <mergeCell ref="I339:AN339"/>
    <mergeCell ref="AO339:AV339"/>
    <mergeCell ref="AW339:BH339"/>
    <mergeCell ref="A331:AJ331"/>
    <mergeCell ref="AK331:AP331"/>
    <mergeCell ref="AQ331:AV331"/>
    <mergeCell ref="AW331:BB331"/>
    <mergeCell ref="BC331:BH331"/>
    <mergeCell ref="A332:AJ332"/>
    <mergeCell ref="AK332:AP332"/>
    <mergeCell ref="AQ332:AV332"/>
    <mergeCell ref="AW332:BB332"/>
    <mergeCell ref="BC332:BH332"/>
    <mergeCell ref="A341:D341"/>
    <mergeCell ref="E341:T341"/>
    <mergeCell ref="U341:X341"/>
    <mergeCell ref="Y341:AD341"/>
    <mergeCell ref="AE341:AJ341"/>
    <mergeCell ref="AK341:AP341"/>
    <mergeCell ref="AQ341:AV341"/>
    <mergeCell ref="AW341:BB341"/>
    <mergeCell ref="BC341:BH341"/>
    <mergeCell ref="A340:D340"/>
    <mergeCell ref="E340:T340"/>
    <mergeCell ref="U340:X340"/>
    <mergeCell ref="Y340:AD340"/>
    <mergeCell ref="AE340:AJ340"/>
    <mergeCell ref="AK340:AP340"/>
    <mergeCell ref="AQ340:AV340"/>
    <mergeCell ref="AW340:BB340"/>
    <mergeCell ref="BC340:BH340"/>
    <mergeCell ref="A343:D343"/>
    <mergeCell ref="E343:T343"/>
    <mergeCell ref="U343:X343"/>
    <mergeCell ref="Y343:AD343"/>
    <mergeCell ref="AE343:AJ343"/>
    <mergeCell ref="AK343:AP343"/>
    <mergeCell ref="AQ343:AV343"/>
    <mergeCell ref="AW343:BB343"/>
    <mergeCell ref="BC343:BH343"/>
    <mergeCell ref="A342:D342"/>
    <mergeCell ref="E342:T342"/>
    <mergeCell ref="U342:X342"/>
    <mergeCell ref="Y342:AD342"/>
    <mergeCell ref="AE342:AJ342"/>
    <mergeCell ref="AK342:AP342"/>
    <mergeCell ref="AQ342:AV342"/>
    <mergeCell ref="AW342:BB342"/>
    <mergeCell ref="BC342:BH342"/>
    <mergeCell ref="A345:D345"/>
    <mergeCell ref="E345:T345"/>
    <mergeCell ref="U345:X345"/>
    <mergeCell ref="Y345:AD345"/>
    <mergeCell ref="AE345:AJ345"/>
    <mergeCell ref="AK345:AP345"/>
    <mergeCell ref="AQ345:AV345"/>
    <mergeCell ref="AW345:BB345"/>
    <mergeCell ref="BC345:BH345"/>
    <mergeCell ref="A344:D344"/>
    <mergeCell ref="E344:T344"/>
    <mergeCell ref="U344:X344"/>
    <mergeCell ref="Y344:AD344"/>
    <mergeCell ref="AE344:AJ344"/>
    <mergeCell ref="AK344:AP344"/>
    <mergeCell ref="AQ344:AV344"/>
    <mergeCell ref="AW344:BB344"/>
    <mergeCell ref="BC344:BH344"/>
    <mergeCell ref="A347:D347"/>
    <mergeCell ref="E347:T347"/>
    <mergeCell ref="U347:X347"/>
    <mergeCell ref="Y347:AD347"/>
    <mergeCell ref="AE347:AJ347"/>
    <mergeCell ref="AK347:AP347"/>
    <mergeCell ref="AQ347:AV347"/>
    <mergeCell ref="AW347:BB347"/>
    <mergeCell ref="BC347:BH347"/>
    <mergeCell ref="A346:D346"/>
    <mergeCell ref="E346:T346"/>
    <mergeCell ref="U346:X346"/>
    <mergeCell ref="Y346:AD346"/>
    <mergeCell ref="AE346:AJ346"/>
    <mergeCell ref="AK346:AP346"/>
    <mergeCell ref="AQ346:AV346"/>
    <mergeCell ref="AW346:BB346"/>
    <mergeCell ref="BC346:BH346"/>
    <mergeCell ref="A349:D349"/>
    <mergeCell ref="E349:T349"/>
    <mergeCell ref="U349:X349"/>
    <mergeCell ref="Y349:AD349"/>
    <mergeCell ref="AE349:AJ349"/>
    <mergeCell ref="AK349:AP349"/>
    <mergeCell ref="AQ349:AV349"/>
    <mergeCell ref="AW349:BB349"/>
    <mergeCell ref="BC349:BH349"/>
    <mergeCell ref="A348:D348"/>
    <mergeCell ref="E348:T348"/>
    <mergeCell ref="U348:X348"/>
    <mergeCell ref="Y348:AD348"/>
    <mergeCell ref="AE348:AJ348"/>
    <mergeCell ref="AK348:AP348"/>
    <mergeCell ref="AQ348:AV348"/>
    <mergeCell ref="AW348:BB348"/>
    <mergeCell ref="BC348:BH348"/>
    <mergeCell ref="A351:D351"/>
    <mergeCell ref="E351:T351"/>
    <mergeCell ref="U351:X351"/>
    <mergeCell ref="Y351:AD351"/>
    <mergeCell ref="AE351:AJ351"/>
    <mergeCell ref="AK351:AP351"/>
    <mergeCell ref="AQ351:AV351"/>
    <mergeCell ref="AW351:BB351"/>
    <mergeCell ref="BC351:BH351"/>
    <mergeCell ref="A350:D350"/>
    <mergeCell ref="E350:T350"/>
    <mergeCell ref="U350:X350"/>
    <mergeCell ref="Y350:AD350"/>
    <mergeCell ref="AE350:AJ350"/>
    <mergeCell ref="AK350:AP350"/>
    <mergeCell ref="AQ350:AV350"/>
    <mergeCell ref="AW350:BB350"/>
    <mergeCell ref="BC350:BH350"/>
    <mergeCell ref="A353:D353"/>
    <mergeCell ref="E353:T353"/>
    <mergeCell ref="U353:X353"/>
    <mergeCell ref="Y353:AD353"/>
    <mergeCell ref="AE353:AJ353"/>
    <mergeCell ref="AK353:AP353"/>
    <mergeCell ref="AQ353:AV353"/>
    <mergeCell ref="AW353:BB353"/>
    <mergeCell ref="BC353:BH353"/>
    <mergeCell ref="A352:D352"/>
    <mergeCell ref="E352:T352"/>
    <mergeCell ref="U352:X352"/>
    <mergeCell ref="Y352:AD352"/>
    <mergeCell ref="AE352:AJ352"/>
    <mergeCell ref="AK352:AP352"/>
    <mergeCell ref="AQ352:AV352"/>
    <mergeCell ref="AW352:BB352"/>
    <mergeCell ref="BC352:BH352"/>
    <mergeCell ref="A355:D355"/>
    <mergeCell ref="E355:T355"/>
    <mergeCell ref="U355:X355"/>
    <mergeCell ref="Y355:AD355"/>
    <mergeCell ref="AE355:AJ355"/>
    <mergeCell ref="AK355:AP355"/>
    <mergeCell ref="AQ355:AV355"/>
    <mergeCell ref="AW355:BB355"/>
    <mergeCell ref="BC355:BH355"/>
    <mergeCell ref="A354:D354"/>
    <mergeCell ref="E354:T354"/>
    <mergeCell ref="U354:X354"/>
    <mergeCell ref="Y354:AD354"/>
    <mergeCell ref="AE354:AJ354"/>
    <mergeCell ref="AK354:AP354"/>
    <mergeCell ref="AQ354:AV354"/>
    <mergeCell ref="AW354:BB354"/>
    <mergeCell ref="BC354:BH354"/>
    <mergeCell ref="A357:D357"/>
    <mergeCell ref="E357:T357"/>
    <mergeCell ref="U357:X357"/>
    <mergeCell ref="Y357:AD357"/>
    <mergeCell ref="AE357:AJ357"/>
    <mergeCell ref="AK357:AP357"/>
    <mergeCell ref="AQ357:AV357"/>
    <mergeCell ref="AW357:BB357"/>
    <mergeCell ref="BC357:BH357"/>
    <mergeCell ref="A356:D356"/>
    <mergeCell ref="E356:T356"/>
    <mergeCell ref="U356:X356"/>
    <mergeCell ref="Y356:AD356"/>
    <mergeCell ref="AE356:AJ356"/>
    <mergeCell ref="AK356:AP356"/>
    <mergeCell ref="AQ356:AV356"/>
    <mergeCell ref="AW356:BB356"/>
    <mergeCell ref="BC356:BH356"/>
    <mergeCell ref="A359:AJ359"/>
    <mergeCell ref="AK359:AP359"/>
    <mergeCell ref="AQ359:AV359"/>
    <mergeCell ref="AW359:BB359"/>
    <mergeCell ref="BC359:BH359"/>
    <mergeCell ref="A360:AJ360"/>
    <mergeCell ref="AK360:AP360"/>
    <mergeCell ref="AQ360:AV360"/>
    <mergeCell ref="AW360:BB360"/>
    <mergeCell ref="BC360:BH360"/>
    <mergeCell ref="A358:D358"/>
    <mergeCell ref="E358:T358"/>
    <mergeCell ref="U358:X358"/>
    <mergeCell ref="Y358:AD358"/>
    <mergeCell ref="AE358:AJ358"/>
    <mergeCell ref="AK358:AP358"/>
    <mergeCell ref="AQ358:AV358"/>
    <mergeCell ref="AW358:BB358"/>
    <mergeCell ref="BC358:BH358"/>
    <mergeCell ref="A368:D368"/>
    <mergeCell ref="E368:T368"/>
    <mergeCell ref="U368:X368"/>
    <mergeCell ref="Y368:AD368"/>
    <mergeCell ref="AE368:AJ368"/>
    <mergeCell ref="AK368:AP368"/>
    <mergeCell ref="AQ368:AV368"/>
    <mergeCell ref="AW368:BB368"/>
    <mergeCell ref="BC368:BH368"/>
    <mergeCell ref="A361:AD361"/>
    <mergeCell ref="AE361:BH361"/>
    <mergeCell ref="A362:AD364"/>
    <mergeCell ref="AE362:BH364"/>
    <mergeCell ref="A365:BH365"/>
    <mergeCell ref="A366:I366"/>
    <mergeCell ref="J366:BQ366"/>
    <mergeCell ref="A367:H367"/>
    <mergeCell ref="I367:AN367"/>
    <mergeCell ref="AO367:AV367"/>
    <mergeCell ref="AW367:BH367"/>
    <mergeCell ref="A370:D370"/>
    <mergeCell ref="E370:T370"/>
    <mergeCell ref="U370:X370"/>
    <mergeCell ref="Y370:AD370"/>
    <mergeCell ref="AE370:AJ370"/>
    <mergeCell ref="AK370:AP370"/>
    <mergeCell ref="AQ370:AV370"/>
    <mergeCell ref="AW370:BB370"/>
    <mergeCell ref="BC370:BH370"/>
    <mergeCell ref="A369:D369"/>
    <mergeCell ref="E369:T369"/>
    <mergeCell ref="U369:X369"/>
    <mergeCell ref="Y369:AD369"/>
    <mergeCell ref="AE369:AJ369"/>
    <mergeCell ref="AK369:AP369"/>
    <mergeCell ref="AQ369:AV369"/>
    <mergeCell ref="AW369:BB369"/>
    <mergeCell ref="BC369:BH369"/>
    <mergeCell ref="A372:D372"/>
    <mergeCell ref="E372:T372"/>
    <mergeCell ref="U372:X372"/>
    <mergeCell ref="Y372:AD372"/>
    <mergeCell ref="AE372:AJ372"/>
    <mergeCell ref="AK372:AP372"/>
    <mergeCell ref="AQ372:AV372"/>
    <mergeCell ref="AW372:BB372"/>
    <mergeCell ref="BC372:BH372"/>
    <mergeCell ref="A371:D371"/>
    <mergeCell ref="E371:T371"/>
    <mergeCell ref="U371:X371"/>
    <mergeCell ref="Y371:AD371"/>
    <mergeCell ref="AE371:AJ371"/>
    <mergeCell ref="AK371:AP371"/>
    <mergeCell ref="AQ371:AV371"/>
    <mergeCell ref="AW371:BB371"/>
    <mergeCell ref="BC371:BH371"/>
    <mergeCell ref="A374:D374"/>
    <mergeCell ref="E374:T374"/>
    <mergeCell ref="U374:X374"/>
    <mergeCell ref="Y374:AD374"/>
    <mergeCell ref="AE374:AJ374"/>
    <mergeCell ref="AK374:AP374"/>
    <mergeCell ref="AQ374:AV374"/>
    <mergeCell ref="AW374:BB374"/>
    <mergeCell ref="BC374:BH374"/>
    <mergeCell ref="A373:D373"/>
    <mergeCell ref="E373:T373"/>
    <mergeCell ref="U373:X373"/>
    <mergeCell ref="Y373:AD373"/>
    <mergeCell ref="AE373:AJ373"/>
    <mergeCell ref="AK373:AP373"/>
    <mergeCell ref="AQ373:AV373"/>
    <mergeCell ref="AW373:BB373"/>
    <mergeCell ref="BC373:BH373"/>
    <mergeCell ref="A376:D376"/>
    <mergeCell ref="E376:T376"/>
    <mergeCell ref="U376:X376"/>
    <mergeCell ref="Y376:AD376"/>
    <mergeCell ref="AE376:AJ376"/>
    <mergeCell ref="AK376:AP376"/>
    <mergeCell ref="AQ376:AV376"/>
    <mergeCell ref="AW376:BB376"/>
    <mergeCell ref="BC376:BH376"/>
    <mergeCell ref="A375:D375"/>
    <mergeCell ref="E375:T375"/>
    <mergeCell ref="U375:X375"/>
    <mergeCell ref="Y375:AD375"/>
    <mergeCell ref="AE375:AJ375"/>
    <mergeCell ref="AK375:AP375"/>
    <mergeCell ref="AQ375:AV375"/>
    <mergeCell ref="AW375:BB375"/>
    <mergeCell ref="BC375:BH375"/>
    <mergeCell ref="A378:D378"/>
    <mergeCell ref="E378:T378"/>
    <mergeCell ref="U378:X378"/>
    <mergeCell ref="Y378:AD378"/>
    <mergeCell ref="AE378:AJ378"/>
    <mergeCell ref="AK378:AP378"/>
    <mergeCell ref="AQ378:AV378"/>
    <mergeCell ref="AW378:BB378"/>
    <mergeCell ref="BC378:BH378"/>
    <mergeCell ref="A377:D377"/>
    <mergeCell ref="E377:T377"/>
    <mergeCell ref="U377:X377"/>
    <mergeCell ref="Y377:AD377"/>
    <mergeCell ref="AE377:AJ377"/>
    <mergeCell ref="AK377:AP377"/>
    <mergeCell ref="AQ377:AV377"/>
    <mergeCell ref="AW377:BB377"/>
    <mergeCell ref="BC377:BH377"/>
    <mergeCell ref="A380:D380"/>
    <mergeCell ref="E380:T380"/>
    <mergeCell ref="U380:X380"/>
    <mergeCell ref="Y380:AD380"/>
    <mergeCell ref="AE380:AJ380"/>
    <mergeCell ref="AK380:AP380"/>
    <mergeCell ref="AQ380:AV380"/>
    <mergeCell ref="AW380:BB380"/>
    <mergeCell ref="BC380:BH380"/>
    <mergeCell ref="A379:D379"/>
    <mergeCell ref="E379:T379"/>
    <mergeCell ref="U379:X379"/>
    <mergeCell ref="Y379:AD379"/>
    <mergeCell ref="AE379:AJ379"/>
    <mergeCell ref="AK379:AP379"/>
    <mergeCell ref="AQ379:AV379"/>
    <mergeCell ref="AW379:BB379"/>
    <mergeCell ref="BC379:BH379"/>
    <mergeCell ref="A382:D382"/>
    <mergeCell ref="E382:T382"/>
    <mergeCell ref="U382:X382"/>
    <mergeCell ref="Y382:AD382"/>
    <mergeCell ref="AE382:AJ382"/>
    <mergeCell ref="AK382:AP382"/>
    <mergeCell ref="AQ382:AV382"/>
    <mergeCell ref="AW382:BB382"/>
    <mergeCell ref="BC382:BH382"/>
    <mergeCell ref="A381:D381"/>
    <mergeCell ref="E381:T381"/>
    <mergeCell ref="U381:X381"/>
    <mergeCell ref="Y381:AD381"/>
    <mergeCell ref="AE381:AJ381"/>
    <mergeCell ref="AK381:AP381"/>
    <mergeCell ref="AQ381:AV381"/>
    <mergeCell ref="AW381:BB381"/>
    <mergeCell ref="BC381:BH381"/>
    <mergeCell ref="A384:D384"/>
    <mergeCell ref="E384:T384"/>
    <mergeCell ref="U384:X384"/>
    <mergeCell ref="Y384:AD384"/>
    <mergeCell ref="AE384:AJ384"/>
    <mergeCell ref="AK384:AP384"/>
    <mergeCell ref="AQ384:AV384"/>
    <mergeCell ref="AW384:BB384"/>
    <mergeCell ref="BC384:BH384"/>
    <mergeCell ref="A383:D383"/>
    <mergeCell ref="E383:T383"/>
    <mergeCell ref="U383:X383"/>
    <mergeCell ref="Y383:AD383"/>
    <mergeCell ref="AE383:AJ383"/>
    <mergeCell ref="AK383:AP383"/>
    <mergeCell ref="AQ383:AV383"/>
    <mergeCell ref="AW383:BB383"/>
    <mergeCell ref="BC383:BH383"/>
    <mergeCell ref="A386:D386"/>
    <mergeCell ref="E386:T386"/>
    <mergeCell ref="U386:X386"/>
    <mergeCell ref="Y386:AD386"/>
    <mergeCell ref="AE386:AJ386"/>
    <mergeCell ref="AK386:AP386"/>
    <mergeCell ref="AQ386:AV386"/>
    <mergeCell ref="AW386:BB386"/>
    <mergeCell ref="BC386:BH386"/>
    <mergeCell ref="A385:D385"/>
    <mergeCell ref="E385:T385"/>
    <mergeCell ref="U385:X385"/>
    <mergeCell ref="Y385:AD385"/>
    <mergeCell ref="AE385:AJ385"/>
    <mergeCell ref="AK385:AP385"/>
    <mergeCell ref="AQ385:AV385"/>
    <mergeCell ref="AW385:BB385"/>
    <mergeCell ref="BC385:BH385"/>
    <mergeCell ref="A389:AD389"/>
    <mergeCell ref="AE389:BH389"/>
    <mergeCell ref="A390:AD392"/>
    <mergeCell ref="AE390:BH392"/>
    <mergeCell ref="A393:BH393"/>
    <mergeCell ref="A394:I394"/>
    <mergeCell ref="J394:BQ394"/>
    <mergeCell ref="A395:H395"/>
    <mergeCell ref="I395:AN395"/>
    <mergeCell ref="AO395:AV395"/>
    <mergeCell ref="AW395:BH395"/>
    <mergeCell ref="A387:AJ387"/>
    <mergeCell ref="AK387:AP387"/>
    <mergeCell ref="AQ387:AV387"/>
    <mergeCell ref="AW387:BB387"/>
    <mergeCell ref="BC387:BH387"/>
    <mergeCell ref="A388:AJ388"/>
    <mergeCell ref="AK388:AP388"/>
    <mergeCell ref="AQ388:AV388"/>
    <mergeCell ref="AW388:BB388"/>
    <mergeCell ref="BC388:BH388"/>
    <mergeCell ref="A397:D397"/>
    <mergeCell ref="E397:T397"/>
    <mergeCell ref="U397:X397"/>
    <mergeCell ref="Y397:AD397"/>
    <mergeCell ref="AE397:AJ397"/>
    <mergeCell ref="AK397:AP397"/>
    <mergeCell ref="AQ397:AV397"/>
    <mergeCell ref="AW397:BB397"/>
    <mergeCell ref="BC397:BH397"/>
    <mergeCell ref="A396:D396"/>
    <mergeCell ref="E396:T396"/>
    <mergeCell ref="U396:X396"/>
    <mergeCell ref="Y396:AD396"/>
    <mergeCell ref="AE396:AJ396"/>
    <mergeCell ref="AK396:AP396"/>
    <mergeCell ref="AQ396:AV396"/>
    <mergeCell ref="AW396:BB396"/>
    <mergeCell ref="BC396:BH396"/>
    <mergeCell ref="A399:D399"/>
    <mergeCell ref="E399:T399"/>
    <mergeCell ref="U399:X399"/>
    <mergeCell ref="Y399:AD399"/>
    <mergeCell ref="AE399:AJ399"/>
    <mergeCell ref="AK399:AP399"/>
    <mergeCell ref="AQ399:AV399"/>
    <mergeCell ref="AW399:BB399"/>
    <mergeCell ref="BC399:BH399"/>
    <mergeCell ref="A398:D398"/>
    <mergeCell ref="E398:T398"/>
    <mergeCell ref="U398:X398"/>
    <mergeCell ref="Y398:AD398"/>
    <mergeCell ref="AE398:AJ398"/>
    <mergeCell ref="AK398:AP398"/>
    <mergeCell ref="AQ398:AV398"/>
    <mergeCell ref="AW398:BB398"/>
    <mergeCell ref="BC398:BH398"/>
    <mergeCell ref="A401:D401"/>
    <mergeCell ref="E401:T401"/>
    <mergeCell ref="U401:X401"/>
    <mergeCell ref="Y401:AD401"/>
    <mergeCell ref="AE401:AJ401"/>
    <mergeCell ref="AK401:AP401"/>
    <mergeCell ref="AQ401:AV401"/>
    <mergeCell ref="AW401:BB401"/>
    <mergeCell ref="BC401:BH401"/>
    <mergeCell ref="A400:D400"/>
    <mergeCell ref="E400:T400"/>
    <mergeCell ref="U400:X400"/>
    <mergeCell ref="Y400:AD400"/>
    <mergeCell ref="AE400:AJ400"/>
    <mergeCell ref="AK400:AP400"/>
    <mergeCell ref="AQ400:AV400"/>
    <mergeCell ref="AW400:BB400"/>
    <mergeCell ref="BC400:BH400"/>
    <mergeCell ref="A403:D403"/>
    <mergeCell ref="E403:T403"/>
    <mergeCell ref="U403:X403"/>
    <mergeCell ref="Y403:AD403"/>
    <mergeCell ref="AE403:AJ403"/>
    <mergeCell ref="AK403:AP403"/>
    <mergeCell ref="AQ403:AV403"/>
    <mergeCell ref="AW403:BB403"/>
    <mergeCell ref="BC403:BH403"/>
    <mergeCell ref="A402:D402"/>
    <mergeCell ref="E402:T402"/>
    <mergeCell ref="U402:X402"/>
    <mergeCell ref="Y402:AD402"/>
    <mergeCell ref="AE402:AJ402"/>
    <mergeCell ref="AK402:AP402"/>
    <mergeCell ref="AQ402:AV402"/>
    <mergeCell ref="AW402:BB402"/>
    <mergeCell ref="BC402:BH402"/>
    <mergeCell ref="A405:D405"/>
    <mergeCell ref="E405:T405"/>
    <mergeCell ref="U405:X405"/>
    <mergeCell ref="Y405:AD405"/>
    <mergeCell ref="AE405:AJ405"/>
    <mergeCell ref="AK405:AP405"/>
    <mergeCell ref="AQ405:AV405"/>
    <mergeCell ref="AW405:BB405"/>
    <mergeCell ref="BC405:BH405"/>
    <mergeCell ref="A404:D404"/>
    <mergeCell ref="E404:T404"/>
    <mergeCell ref="U404:X404"/>
    <mergeCell ref="Y404:AD404"/>
    <mergeCell ref="AE404:AJ404"/>
    <mergeCell ref="AK404:AP404"/>
    <mergeCell ref="AQ404:AV404"/>
    <mergeCell ref="AW404:BB404"/>
    <mergeCell ref="BC404:BH404"/>
    <mergeCell ref="A407:D407"/>
    <mergeCell ref="E407:T407"/>
    <mergeCell ref="U407:X407"/>
    <mergeCell ref="Y407:AD407"/>
    <mergeCell ref="AE407:AJ407"/>
    <mergeCell ref="AK407:AP407"/>
    <mergeCell ref="AQ407:AV407"/>
    <mergeCell ref="AW407:BB407"/>
    <mergeCell ref="BC407:BH407"/>
    <mergeCell ref="A406:D406"/>
    <mergeCell ref="E406:T406"/>
    <mergeCell ref="U406:X406"/>
    <mergeCell ref="Y406:AD406"/>
    <mergeCell ref="AE406:AJ406"/>
    <mergeCell ref="AK406:AP406"/>
    <mergeCell ref="AQ406:AV406"/>
    <mergeCell ref="AW406:BB406"/>
    <mergeCell ref="BC406:BH406"/>
    <mergeCell ref="A409:D409"/>
    <mergeCell ref="E409:T409"/>
    <mergeCell ref="U409:X409"/>
    <mergeCell ref="Y409:AD409"/>
    <mergeCell ref="AE409:AJ409"/>
    <mergeCell ref="AK409:AP409"/>
    <mergeCell ref="AQ409:AV409"/>
    <mergeCell ref="AW409:BB409"/>
    <mergeCell ref="BC409:BH409"/>
    <mergeCell ref="A408:D408"/>
    <mergeCell ref="E408:T408"/>
    <mergeCell ref="U408:X408"/>
    <mergeCell ref="Y408:AD408"/>
    <mergeCell ref="AE408:AJ408"/>
    <mergeCell ref="AK408:AP408"/>
    <mergeCell ref="AQ408:AV408"/>
    <mergeCell ref="AW408:BB408"/>
    <mergeCell ref="BC408:BH408"/>
    <mergeCell ref="A411:D411"/>
    <mergeCell ref="E411:T411"/>
    <mergeCell ref="U411:X411"/>
    <mergeCell ref="Y411:AD411"/>
    <mergeCell ref="AE411:AJ411"/>
    <mergeCell ref="AK411:AP411"/>
    <mergeCell ref="AQ411:AV411"/>
    <mergeCell ref="AW411:BB411"/>
    <mergeCell ref="BC411:BH411"/>
    <mergeCell ref="A410:D410"/>
    <mergeCell ref="E410:T410"/>
    <mergeCell ref="U410:X410"/>
    <mergeCell ref="Y410:AD410"/>
    <mergeCell ref="AE410:AJ410"/>
    <mergeCell ref="AK410:AP410"/>
    <mergeCell ref="AQ410:AV410"/>
    <mergeCell ref="AW410:BB410"/>
    <mergeCell ref="BC410:BH410"/>
    <mergeCell ref="A413:D413"/>
    <mergeCell ref="E413:T413"/>
    <mergeCell ref="U413:X413"/>
    <mergeCell ref="Y413:AD413"/>
    <mergeCell ref="AE413:AJ413"/>
    <mergeCell ref="AK413:AP413"/>
    <mergeCell ref="AQ413:AV413"/>
    <mergeCell ref="AW413:BB413"/>
    <mergeCell ref="BC413:BH413"/>
    <mergeCell ref="A412:D412"/>
    <mergeCell ref="E412:T412"/>
    <mergeCell ref="U412:X412"/>
    <mergeCell ref="Y412:AD412"/>
    <mergeCell ref="AE412:AJ412"/>
    <mergeCell ref="AK412:AP412"/>
    <mergeCell ref="AQ412:AV412"/>
    <mergeCell ref="AW412:BB412"/>
    <mergeCell ref="BC412:BH412"/>
    <mergeCell ref="A415:AJ415"/>
    <mergeCell ref="AK415:AP415"/>
    <mergeCell ref="AQ415:AV415"/>
    <mergeCell ref="AW415:BB415"/>
    <mergeCell ref="BC415:BH415"/>
    <mergeCell ref="A416:AJ416"/>
    <mergeCell ref="AK416:AP416"/>
    <mergeCell ref="AQ416:AV416"/>
    <mergeCell ref="AW416:BB416"/>
    <mergeCell ref="BC416:BH416"/>
    <mergeCell ref="A414:D414"/>
    <mergeCell ref="E414:T414"/>
    <mergeCell ref="U414:X414"/>
    <mergeCell ref="Y414:AD414"/>
    <mergeCell ref="AE414:AJ414"/>
    <mergeCell ref="AK414:AP414"/>
    <mergeCell ref="AQ414:AV414"/>
    <mergeCell ref="AW414:BB414"/>
    <mergeCell ref="BC414:BH414"/>
    <mergeCell ref="A424:D424"/>
    <mergeCell ref="E424:T424"/>
    <mergeCell ref="U424:X424"/>
    <mergeCell ref="Y424:AD424"/>
    <mergeCell ref="AE424:AJ424"/>
    <mergeCell ref="AK424:AP424"/>
    <mergeCell ref="AQ424:AV424"/>
    <mergeCell ref="AW424:BB424"/>
    <mergeCell ref="BC424:BH424"/>
    <mergeCell ref="A417:AD417"/>
    <mergeCell ref="AE417:BH417"/>
    <mergeCell ref="A418:AD420"/>
    <mergeCell ref="AE418:BH420"/>
    <mergeCell ref="A421:BH421"/>
    <mergeCell ref="A422:I422"/>
    <mergeCell ref="J422:BQ422"/>
    <mergeCell ref="A423:H423"/>
    <mergeCell ref="I423:AN423"/>
    <mergeCell ref="AO423:AV423"/>
    <mergeCell ref="AW423:BH423"/>
    <mergeCell ref="A426:D426"/>
    <mergeCell ref="E426:T426"/>
    <mergeCell ref="U426:X426"/>
    <mergeCell ref="Y426:AD426"/>
    <mergeCell ref="AE426:AJ426"/>
    <mergeCell ref="AK426:AP426"/>
    <mergeCell ref="AQ426:AV426"/>
    <mergeCell ref="AW426:BB426"/>
    <mergeCell ref="BC426:BH426"/>
    <mergeCell ref="A425:D425"/>
    <mergeCell ref="E425:T425"/>
    <mergeCell ref="U425:X425"/>
    <mergeCell ref="Y425:AD425"/>
    <mergeCell ref="AE425:AJ425"/>
    <mergeCell ref="AK425:AP425"/>
    <mergeCell ref="AQ425:AV425"/>
    <mergeCell ref="AW425:BB425"/>
    <mergeCell ref="BC425:BH425"/>
    <mergeCell ref="A428:D428"/>
    <mergeCell ref="E428:T428"/>
    <mergeCell ref="U428:X428"/>
    <mergeCell ref="Y428:AD428"/>
    <mergeCell ref="AE428:AJ428"/>
    <mergeCell ref="AK428:AP428"/>
    <mergeCell ref="AQ428:AV428"/>
    <mergeCell ref="AW428:BB428"/>
    <mergeCell ref="BC428:BH428"/>
    <mergeCell ref="A427:D427"/>
    <mergeCell ref="E427:T427"/>
    <mergeCell ref="U427:X427"/>
    <mergeCell ref="Y427:AD427"/>
    <mergeCell ref="AE427:AJ427"/>
    <mergeCell ref="AK427:AP427"/>
    <mergeCell ref="AQ427:AV427"/>
    <mergeCell ref="AW427:BB427"/>
    <mergeCell ref="BC427:BH427"/>
    <mergeCell ref="A430:D430"/>
    <mergeCell ref="E430:T430"/>
    <mergeCell ref="U430:X430"/>
    <mergeCell ref="Y430:AD430"/>
    <mergeCell ref="AE430:AJ430"/>
    <mergeCell ref="AK430:AP430"/>
    <mergeCell ref="AQ430:AV430"/>
    <mergeCell ref="AW430:BB430"/>
    <mergeCell ref="BC430:BH430"/>
    <mergeCell ref="A429:D429"/>
    <mergeCell ref="E429:T429"/>
    <mergeCell ref="U429:X429"/>
    <mergeCell ref="Y429:AD429"/>
    <mergeCell ref="AE429:AJ429"/>
    <mergeCell ref="AK429:AP429"/>
    <mergeCell ref="AQ429:AV429"/>
    <mergeCell ref="AW429:BB429"/>
    <mergeCell ref="BC429:BH429"/>
    <mergeCell ref="A432:D432"/>
    <mergeCell ref="E432:T432"/>
    <mergeCell ref="U432:X432"/>
    <mergeCell ref="Y432:AD432"/>
    <mergeCell ref="AE432:AJ432"/>
    <mergeCell ref="AK432:AP432"/>
    <mergeCell ref="AQ432:AV432"/>
    <mergeCell ref="AW432:BB432"/>
    <mergeCell ref="BC432:BH432"/>
    <mergeCell ref="A431:D431"/>
    <mergeCell ref="E431:T431"/>
    <mergeCell ref="U431:X431"/>
    <mergeCell ref="Y431:AD431"/>
    <mergeCell ref="AE431:AJ431"/>
    <mergeCell ref="AK431:AP431"/>
    <mergeCell ref="AQ431:AV431"/>
    <mergeCell ref="AW431:BB431"/>
    <mergeCell ref="BC431:BH431"/>
    <mergeCell ref="A434:D434"/>
    <mergeCell ref="E434:T434"/>
    <mergeCell ref="U434:X434"/>
    <mergeCell ref="Y434:AD434"/>
    <mergeCell ref="AE434:AJ434"/>
    <mergeCell ref="AK434:AP434"/>
    <mergeCell ref="AQ434:AV434"/>
    <mergeCell ref="AW434:BB434"/>
    <mergeCell ref="BC434:BH434"/>
    <mergeCell ref="A433:D433"/>
    <mergeCell ref="E433:T433"/>
    <mergeCell ref="U433:X433"/>
    <mergeCell ref="Y433:AD433"/>
    <mergeCell ref="AE433:AJ433"/>
    <mergeCell ref="AK433:AP433"/>
    <mergeCell ref="AQ433:AV433"/>
    <mergeCell ref="AW433:BB433"/>
    <mergeCell ref="BC433:BH433"/>
    <mergeCell ref="A436:D436"/>
    <mergeCell ref="E436:T436"/>
    <mergeCell ref="U436:X436"/>
    <mergeCell ref="Y436:AD436"/>
    <mergeCell ref="AE436:AJ436"/>
    <mergeCell ref="AK436:AP436"/>
    <mergeCell ref="AQ436:AV436"/>
    <mergeCell ref="AW436:BB436"/>
    <mergeCell ref="BC436:BH436"/>
    <mergeCell ref="A435:D435"/>
    <mergeCell ref="E435:T435"/>
    <mergeCell ref="U435:X435"/>
    <mergeCell ref="Y435:AD435"/>
    <mergeCell ref="AE435:AJ435"/>
    <mergeCell ref="AK435:AP435"/>
    <mergeCell ref="AQ435:AV435"/>
    <mergeCell ref="AW435:BB435"/>
    <mergeCell ref="BC435:BH435"/>
    <mergeCell ref="A438:D438"/>
    <mergeCell ref="E438:T438"/>
    <mergeCell ref="U438:X438"/>
    <mergeCell ref="Y438:AD438"/>
    <mergeCell ref="AE438:AJ438"/>
    <mergeCell ref="AK438:AP438"/>
    <mergeCell ref="AQ438:AV438"/>
    <mergeCell ref="AW438:BB438"/>
    <mergeCell ref="BC438:BH438"/>
    <mergeCell ref="A437:D437"/>
    <mergeCell ref="E437:T437"/>
    <mergeCell ref="U437:X437"/>
    <mergeCell ref="Y437:AD437"/>
    <mergeCell ref="AE437:AJ437"/>
    <mergeCell ref="AK437:AP437"/>
    <mergeCell ref="AQ437:AV437"/>
    <mergeCell ref="AW437:BB437"/>
    <mergeCell ref="BC437:BH437"/>
    <mergeCell ref="A440:D440"/>
    <mergeCell ref="E440:T440"/>
    <mergeCell ref="U440:X440"/>
    <mergeCell ref="Y440:AD440"/>
    <mergeCell ref="AE440:AJ440"/>
    <mergeCell ref="AK440:AP440"/>
    <mergeCell ref="AQ440:AV440"/>
    <mergeCell ref="AW440:BB440"/>
    <mergeCell ref="BC440:BH440"/>
    <mergeCell ref="A439:D439"/>
    <mergeCell ref="E439:T439"/>
    <mergeCell ref="U439:X439"/>
    <mergeCell ref="Y439:AD439"/>
    <mergeCell ref="AE439:AJ439"/>
    <mergeCell ref="AK439:AP439"/>
    <mergeCell ref="AQ439:AV439"/>
    <mergeCell ref="AW439:BB439"/>
    <mergeCell ref="BC439:BH439"/>
    <mergeCell ref="A442:D442"/>
    <mergeCell ref="E442:T442"/>
    <mergeCell ref="U442:X442"/>
    <mergeCell ref="Y442:AD442"/>
    <mergeCell ref="AE442:AJ442"/>
    <mergeCell ref="AK442:AP442"/>
    <mergeCell ref="AQ442:AV442"/>
    <mergeCell ref="AW442:BB442"/>
    <mergeCell ref="BC442:BH442"/>
    <mergeCell ref="A441:D441"/>
    <mergeCell ref="E441:T441"/>
    <mergeCell ref="U441:X441"/>
    <mergeCell ref="Y441:AD441"/>
    <mergeCell ref="AE441:AJ441"/>
    <mergeCell ref="AK441:AP441"/>
    <mergeCell ref="AQ441:AV441"/>
    <mergeCell ref="AW441:BB441"/>
    <mergeCell ref="BC441:BH441"/>
    <mergeCell ref="A445:AD445"/>
    <mergeCell ref="AE445:BH445"/>
    <mergeCell ref="A446:AD448"/>
    <mergeCell ref="AE446:BH448"/>
    <mergeCell ref="A449:BH449"/>
    <mergeCell ref="A450:I450"/>
    <mergeCell ref="J450:BQ450"/>
    <mergeCell ref="A451:H451"/>
    <mergeCell ref="I451:AN451"/>
    <mergeCell ref="AO451:AV451"/>
    <mergeCell ref="AW451:BH451"/>
    <mergeCell ref="A443:AJ443"/>
    <mergeCell ref="AK443:AP443"/>
    <mergeCell ref="AQ443:AV443"/>
    <mergeCell ref="AW443:BB443"/>
    <mergeCell ref="BC443:BH443"/>
    <mergeCell ref="A444:AJ444"/>
    <mergeCell ref="AK444:AP444"/>
    <mergeCell ref="AQ444:AV444"/>
    <mergeCell ref="AW444:BB444"/>
    <mergeCell ref="BC444:BH444"/>
    <mergeCell ref="A453:D453"/>
    <mergeCell ref="E453:T453"/>
    <mergeCell ref="U453:X453"/>
    <mergeCell ref="Y453:AD453"/>
    <mergeCell ref="AE453:AJ453"/>
    <mergeCell ref="AK453:AP453"/>
    <mergeCell ref="AQ453:AV453"/>
    <mergeCell ref="AW453:BB453"/>
    <mergeCell ref="BC453:BH453"/>
    <mergeCell ref="A452:D452"/>
    <mergeCell ref="E452:T452"/>
    <mergeCell ref="U452:X452"/>
    <mergeCell ref="Y452:AD452"/>
    <mergeCell ref="AE452:AJ452"/>
    <mergeCell ref="AK452:AP452"/>
    <mergeCell ref="AQ452:AV452"/>
    <mergeCell ref="AW452:BB452"/>
    <mergeCell ref="BC452:BH452"/>
    <mergeCell ref="A455:D455"/>
    <mergeCell ref="E455:T455"/>
    <mergeCell ref="U455:X455"/>
    <mergeCell ref="Y455:AD455"/>
    <mergeCell ref="AE455:AJ455"/>
    <mergeCell ref="AK455:AP455"/>
    <mergeCell ref="AQ455:AV455"/>
    <mergeCell ref="AW455:BB455"/>
    <mergeCell ref="BC455:BH455"/>
    <mergeCell ref="A454:D454"/>
    <mergeCell ref="E454:T454"/>
    <mergeCell ref="U454:X454"/>
    <mergeCell ref="Y454:AD454"/>
    <mergeCell ref="AE454:AJ454"/>
    <mergeCell ref="AK454:AP454"/>
    <mergeCell ref="AQ454:AV454"/>
    <mergeCell ref="AW454:BB454"/>
    <mergeCell ref="BC454:BH454"/>
    <mergeCell ref="A457:D457"/>
    <mergeCell ref="E457:T457"/>
    <mergeCell ref="U457:X457"/>
    <mergeCell ref="Y457:AD457"/>
    <mergeCell ref="AE457:AJ457"/>
    <mergeCell ref="AK457:AP457"/>
    <mergeCell ref="AQ457:AV457"/>
    <mergeCell ref="AW457:BB457"/>
    <mergeCell ref="BC457:BH457"/>
    <mergeCell ref="A456:D456"/>
    <mergeCell ref="E456:T456"/>
    <mergeCell ref="U456:X456"/>
    <mergeCell ref="Y456:AD456"/>
    <mergeCell ref="AE456:AJ456"/>
    <mergeCell ref="AK456:AP456"/>
    <mergeCell ref="AQ456:AV456"/>
    <mergeCell ref="AW456:BB456"/>
    <mergeCell ref="BC456:BH456"/>
    <mergeCell ref="A459:D459"/>
    <mergeCell ref="E459:T459"/>
    <mergeCell ref="U459:X459"/>
    <mergeCell ref="Y459:AD459"/>
    <mergeCell ref="AE459:AJ459"/>
    <mergeCell ref="AK459:AP459"/>
    <mergeCell ref="AQ459:AV459"/>
    <mergeCell ref="AW459:BB459"/>
    <mergeCell ref="BC459:BH459"/>
    <mergeCell ref="A458:D458"/>
    <mergeCell ref="E458:T458"/>
    <mergeCell ref="U458:X458"/>
    <mergeCell ref="Y458:AD458"/>
    <mergeCell ref="AE458:AJ458"/>
    <mergeCell ref="AK458:AP458"/>
    <mergeCell ref="AQ458:AV458"/>
    <mergeCell ref="AW458:BB458"/>
    <mergeCell ref="BC458:BH458"/>
    <mergeCell ref="A461:D461"/>
    <mergeCell ref="E461:T461"/>
    <mergeCell ref="U461:X461"/>
    <mergeCell ref="Y461:AD461"/>
    <mergeCell ref="AE461:AJ461"/>
    <mergeCell ref="AK461:AP461"/>
    <mergeCell ref="AQ461:AV461"/>
    <mergeCell ref="AW461:BB461"/>
    <mergeCell ref="BC461:BH461"/>
    <mergeCell ref="A460:D460"/>
    <mergeCell ref="E460:T460"/>
    <mergeCell ref="U460:X460"/>
    <mergeCell ref="Y460:AD460"/>
    <mergeCell ref="AE460:AJ460"/>
    <mergeCell ref="AK460:AP460"/>
    <mergeCell ref="AQ460:AV460"/>
    <mergeCell ref="AW460:BB460"/>
    <mergeCell ref="BC460:BH460"/>
    <mergeCell ref="A463:D463"/>
    <mergeCell ref="E463:T463"/>
    <mergeCell ref="U463:X463"/>
    <mergeCell ref="Y463:AD463"/>
    <mergeCell ref="AE463:AJ463"/>
    <mergeCell ref="AK463:AP463"/>
    <mergeCell ref="AQ463:AV463"/>
    <mergeCell ref="AW463:BB463"/>
    <mergeCell ref="BC463:BH463"/>
    <mergeCell ref="A462:D462"/>
    <mergeCell ref="E462:T462"/>
    <mergeCell ref="U462:X462"/>
    <mergeCell ref="Y462:AD462"/>
    <mergeCell ref="AE462:AJ462"/>
    <mergeCell ref="AK462:AP462"/>
    <mergeCell ref="AQ462:AV462"/>
    <mergeCell ref="AW462:BB462"/>
    <mergeCell ref="BC462:BH462"/>
    <mergeCell ref="A465:D465"/>
    <mergeCell ref="E465:T465"/>
    <mergeCell ref="U465:X465"/>
    <mergeCell ref="Y465:AD465"/>
    <mergeCell ref="AE465:AJ465"/>
    <mergeCell ref="AK465:AP465"/>
    <mergeCell ref="AQ465:AV465"/>
    <mergeCell ref="AW465:BB465"/>
    <mergeCell ref="BC465:BH465"/>
    <mergeCell ref="A464:D464"/>
    <mergeCell ref="E464:T464"/>
    <mergeCell ref="U464:X464"/>
    <mergeCell ref="Y464:AD464"/>
    <mergeCell ref="AE464:AJ464"/>
    <mergeCell ref="AK464:AP464"/>
    <mergeCell ref="AQ464:AV464"/>
    <mergeCell ref="AW464:BB464"/>
    <mergeCell ref="BC464:BH464"/>
    <mergeCell ref="A467:D467"/>
    <mergeCell ref="E467:T467"/>
    <mergeCell ref="U467:X467"/>
    <mergeCell ref="Y467:AD467"/>
    <mergeCell ref="AE467:AJ467"/>
    <mergeCell ref="AK467:AP467"/>
    <mergeCell ref="AQ467:AV467"/>
    <mergeCell ref="AW467:BB467"/>
    <mergeCell ref="BC467:BH467"/>
    <mergeCell ref="A466:D466"/>
    <mergeCell ref="E466:T466"/>
    <mergeCell ref="U466:X466"/>
    <mergeCell ref="Y466:AD466"/>
    <mergeCell ref="AE466:AJ466"/>
    <mergeCell ref="AK466:AP466"/>
    <mergeCell ref="AQ466:AV466"/>
    <mergeCell ref="AW466:BB466"/>
    <mergeCell ref="BC466:BH466"/>
    <mergeCell ref="A469:D469"/>
    <mergeCell ref="E469:T469"/>
    <mergeCell ref="U469:X469"/>
    <mergeCell ref="Y469:AD469"/>
    <mergeCell ref="AE469:AJ469"/>
    <mergeCell ref="AK469:AP469"/>
    <mergeCell ref="AQ469:AV469"/>
    <mergeCell ref="AW469:BB469"/>
    <mergeCell ref="BC469:BH469"/>
    <mergeCell ref="A468:D468"/>
    <mergeCell ref="E468:T468"/>
    <mergeCell ref="U468:X468"/>
    <mergeCell ref="Y468:AD468"/>
    <mergeCell ref="AE468:AJ468"/>
    <mergeCell ref="AK468:AP468"/>
    <mergeCell ref="AQ468:AV468"/>
    <mergeCell ref="AW468:BB468"/>
    <mergeCell ref="BC468:BH468"/>
    <mergeCell ref="A471:AJ471"/>
    <mergeCell ref="AK471:AP471"/>
    <mergeCell ref="AQ471:AV471"/>
    <mergeCell ref="AW471:BB471"/>
    <mergeCell ref="BC471:BH471"/>
    <mergeCell ref="A472:AJ472"/>
    <mergeCell ref="AK472:AP472"/>
    <mergeCell ref="AQ472:AV472"/>
    <mergeCell ref="AW472:BB472"/>
    <mergeCell ref="BC472:BH472"/>
    <mergeCell ref="A470:D470"/>
    <mergeCell ref="E470:T470"/>
    <mergeCell ref="U470:X470"/>
    <mergeCell ref="Y470:AD470"/>
    <mergeCell ref="AE470:AJ470"/>
    <mergeCell ref="AK470:AP470"/>
    <mergeCell ref="AQ470:AV470"/>
    <mergeCell ref="AW470:BB470"/>
    <mergeCell ref="BC470:BH470"/>
    <mergeCell ref="A480:D480"/>
    <mergeCell ref="E480:T480"/>
    <mergeCell ref="U480:X480"/>
    <mergeCell ref="Y480:AD480"/>
    <mergeCell ref="AE480:AJ480"/>
    <mergeCell ref="AK480:AP480"/>
    <mergeCell ref="AQ480:AV480"/>
    <mergeCell ref="AW480:BB480"/>
    <mergeCell ref="BC480:BH480"/>
    <mergeCell ref="A473:AD473"/>
    <mergeCell ref="AE473:BH473"/>
    <mergeCell ref="A474:AD476"/>
    <mergeCell ref="AE474:BH476"/>
    <mergeCell ref="A477:BH477"/>
    <mergeCell ref="A478:I478"/>
    <mergeCell ref="J478:BQ478"/>
    <mergeCell ref="A479:H479"/>
    <mergeCell ref="I479:AN479"/>
    <mergeCell ref="AO479:AV479"/>
    <mergeCell ref="AW479:BH479"/>
    <mergeCell ref="A482:D482"/>
    <mergeCell ref="E482:T482"/>
    <mergeCell ref="U482:X482"/>
    <mergeCell ref="Y482:AD482"/>
    <mergeCell ref="AE482:AJ482"/>
    <mergeCell ref="AK482:AP482"/>
    <mergeCell ref="AQ482:AV482"/>
    <mergeCell ref="AW482:BB482"/>
    <mergeCell ref="BC482:BH482"/>
    <mergeCell ref="A481:D481"/>
    <mergeCell ref="E481:T481"/>
    <mergeCell ref="U481:X481"/>
    <mergeCell ref="Y481:AD481"/>
    <mergeCell ref="AE481:AJ481"/>
    <mergeCell ref="AK481:AP481"/>
    <mergeCell ref="AQ481:AV481"/>
    <mergeCell ref="AW481:BB481"/>
    <mergeCell ref="BC481:BH481"/>
    <mergeCell ref="A484:D484"/>
    <mergeCell ref="E484:T484"/>
    <mergeCell ref="U484:X484"/>
    <mergeCell ref="Y484:AD484"/>
    <mergeCell ref="AE484:AJ484"/>
    <mergeCell ref="AK484:AP484"/>
    <mergeCell ref="AQ484:AV484"/>
    <mergeCell ref="AW484:BB484"/>
    <mergeCell ref="BC484:BH484"/>
    <mergeCell ref="A483:D483"/>
    <mergeCell ref="E483:T483"/>
    <mergeCell ref="U483:X483"/>
    <mergeCell ref="Y483:AD483"/>
    <mergeCell ref="AE483:AJ483"/>
    <mergeCell ref="AK483:AP483"/>
    <mergeCell ref="AQ483:AV483"/>
    <mergeCell ref="AW483:BB483"/>
    <mergeCell ref="BC483:BH483"/>
    <mergeCell ref="A486:D486"/>
    <mergeCell ref="E486:T486"/>
    <mergeCell ref="U486:X486"/>
    <mergeCell ref="Y486:AD486"/>
    <mergeCell ref="AE486:AJ486"/>
    <mergeCell ref="AK486:AP486"/>
    <mergeCell ref="AQ486:AV486"/>
    <mergeCell ref="AW486:BB486"/>
    <mergeCell ref="BC486:BH486"/>
    <mergeCell ref="A485:D485"/>
    <mergeCell ref="E485:T485"/>
    <mergeCell ref="U485:X485"/>
    <mergeCell ref="Y485:AD485"/>
    <mergeCell ref="AE485:AJ485"/>
    <mergeCell ref="AK485:AP485"/>
    <mergeCell ref="AQ485:AV485"/>
    <mergeCell ref="AW485:BB485"/>
    <mergeCell ref="BC485:BH485"/>
    <mergeCell ref="A488:D488"/>
    <mergeCell ref="E488:T488"/>
    <mergeCell ref="U488:X488"/>
    <mergeCell ref="Y488:AD488"/>
    <mergeCell ref="AE488:AJ488"/>
    <mergeCell ref="AK488:AP488"/>
    <mergeCell ref="AQ488:AV488"/>
    <mergeCell ref="AW488:BB488"/>
    <mergeCell ref="BC488:BH488"/>
    <mergeCell ref="A487:D487"/>
    <mergeCell ref="E487:T487"/>
    <mergeCell ref="U487:X487"/>
    <mergeCell ref="Y487:AD487"/>
    <mergeCell ref="AE487:AJ487"/>
    <mergeCell ref="AK487:AP487"/>
    <mergeCell ref="AQ487:AV487"/>
    <mergeCell ref="AW487:BB487"/>
    <mergeCell ref="BC487:BH487"/>
    <mergeCell ref="A490:D490"/>
    <mergeCell ref="E490:T490"/>
    <mergeCell ref="U490:X490"/>
    <mergeCell ref="Y490:AD490"/>
    <mergeCell ref="AE490:AJ490"/>
    <mergeCell ref="AK490:AP490"/>
    <mergeCell ref="AQ490:AV490"/>
    <mergeCell ref="AW490:BB490"/>
    <mergeCell ref="BC490:BH490"/>
    <mergeCell ref="A489:D489"/>
    <mergeCell ref="E489:T489"/>
    <mergeCell ref="U489:X489"/>
    <mergeCell ref="Y489:AD489"/>
    <mergeCell ref="AE489:AJ489"/>
    <mergeCell ref="AK489:AP489"/>
    <mergeCell ref="AQ489:AV489"/>
    <mergeCell ref="AW489:BB489"/>
    <mergeCell ref="BC489:BH489"/>
    <mergeCell ref="A492:D492"/>
    <mergeCell ref="E492:T492"/>
    <mergeCell ref="U492:X492"/>
    <mergeCell ref="Y492:AD492"/>
    <mergeCell ref="AE492:AJ492"/>
    <mergeCell ref="AK492:AP492"/>
    <mergeCell ref="AQ492:AV492"/>
    <mergeCell ref="AW492:BB492"/>
    <mergeCell ref="BC492:BH492"/>
    <mergeCell ref="A491:D491"/>
    <mergeCell ref="E491:T491"/>
    <mergeCell ref="U491:X491"/>
    <mergeCell ref="Y491:AD491"/>
    <mergeCell ref="AE491:AJ491"/>
    <mergeCell ref="AK491:AP491"/>
    <mergeCell ref="AQ491:AV491"/>
    <mergeCell ref="AW491:BB491"/>
    <mergeCell ref="BC491:BH491"/>
    <mergeCell ref="A494:D494"/>
    <mergeCell ref="E494:T494"/>
    <mergeCell ref="U494:X494"/>
    <mergeCell ref="Y494:AD494"/>
    <mergeCell ref="AE494:AJ494"/>
    <mergeCell ref="AK494:AP494"/>
    <mergeCell ref="AQ494:AV494"/>
    <mergeCell ref="AW494:BB494"/>
    <mergeCell ref="BC494:BH494"/>
    <mergeCell ref="A493:D493"/>
    <mergeCell ref="E493:T493"/>
    <mergeCell ref="U493:X493"/>
    <mergeCell ref="Y493:AD493"/>
    <mergeCell ref="AE493:AJ493"/>
    <mergeCell ref="AK493:AP493"/>
    <mergeCell ref="AQ493:AV493"/>
    <mergeCell ref="AW493:BB493"/>
    <mergeCell ref="BC493:BH493"/>
    <mergeCell ref="A496:D496"/>
    <mergeCell ref="E496:T496"/>
    <mergeCell ref="U496:X496"/>
    <mergeCell ref="Y496:AD496"/>
    <mergeCell ref="AE496:AJ496"/>
    <mergeCell ref="AK496:AP496"/>
    <mergeCell ref="AQ496:AV496"/>
    <mergeCell ref="AW496:BB496"/>
    <mergeCell ref="BC496:BH496"/>
    <mergeCell ref="A495:D495"/>
    <mergeCell ref="E495:T495"/>
    <mergeCell ref="U495:X495"/>
    <mergeCell ref="Y495:AD495"/>
    <mergeCell ref="AE495:AJ495"/>
    <mergeCell ref="AK495:AP495"/>
    <mergeCell ref="AQ495:AV495"/>
    <mergeCell ref="AW495:BB495"/>
    <mergeCell ref="BC495:BH495"/>
    <mergeCell ref="A498:D498"/>
    <mergeCell ref="E498:T498"/>
    <mergeCell ref="U498:X498"/>
    <mergeCell ref="Y498:AD498"/>
    <mergeCell ref="AE498:AJ498"/>
    <mergeCell ref="AK498:AP498"/>
    <mergeCell ref="AQ498:AV498"/>
    <mergeCell ref="AW498:BB498"/>
    <mergeCell ref="BC498:BH498"/>
    <mergeCell ref="A497:D497"/>
    <mergeCell ref="E497:T497"/>
    <mergeCell ref="U497:X497"/>
    <mergeCell ref="Y497:AD497"/>
    <mergeCell ref="AE497:AJ497"/>
    <mergeCell ref="AK497:AP497"/>
    <mergeCell ref="AQ497:AV497"/>
    <mergeCell ref="AW497:BB497"/>
    <mergeCell ref="BC497:BH497"/>
    <mergeCell ref="A501:AD501"/>
    <mergeCell ref="AE501:BH501"/>
    <mergeCell ref="A502:AD504"/>
    <mergeCell ref="AE502:BH504"/>
    <mergeCell ref="A505:BH505"/>
    <mergeCell ref="A506:I506"/>
    <mergeCell ref="J506:BQ506"/>
    <mergeCell ref="A507:H507"/>
    <mergeCell ref="I507:AN507"/>
    <mergeCell ref="AO507:AV507"/>
    <mergeCell ref="AW507:BH507"/>
    <mergeCell ref="A499:AJ499"/>
    <mergeCell ref="AK499:AP499"/>
    <mergeCell ref="AQ499:AV499"/>
    <mergeCell ref="AW499:BB499"/>
    <mergeCell ref="BC499:BH499"/>
    <mergeCell ref="A500:AJ500"/>
    <mergeCell ref="AK500:AP500"/>
    <mergeCell ref="AQ500:AV500"/>
    <mergeCell ref="AW500:BB500"/>
    <mergeCell ref="BC500:BH500"/>
    <mergeCell ref="A509:D509"/>
    <mergeCell ref="E509:T509"/>
    <mergeCell ref="U509:X509"/>
    <mergeCell ref="Y509:AD509"/>
    <mergeCell ref="AE509:AJ509"/>
    <mergeCell ref="AK509:AP509"/>
    <mergeCell ref="AQ509:AV509"/>
    <mergeCell ref="AW509:BB509"/>
    <mergeCell ref="BC509:BH509"/>
    <mergeCell ref="A508:D508"/>
    <mergeCell ref="E508:T508"/>
    <mergeCell ref="U508:X508"/>
    <mergeCell ref="Y508:AD508"/>
    <mergeCell ref="AE508:AJ508"/>
    <mergeCell ref="AK508:AP508"/>
    <mergeCell ref="AQ508:AV508"/>
    <mergeCell ref="AW508:BB508"/>
    <mergeCell ref="BC508:BH508"/>
    <mergeCell ref="A511:D511"/>
    <mergeCell ref="E511:T511"/>
    <mergeCell ref="U511:X511"/>
    <mergeCell ref="Y511:AD511"/>
    <mergeCell ref="AE511:AJ511"/>
    <mergeCell ref="AK511:AP511"/>
    <mergeCell ref="AQ511:AV511"/>
    <mergeCell ref="AW511:BB511"/>
    <mergeCell ref="BC511:BH511"/>
    <mergeCell ref="A510:D510"/>
    <mergeCell ref="E510:T510"/>
    <mergeCell ref="U510:X510"/>
    <mergeCell ref="Y510:AD510"/>
    <mergeCell ref="AE510:AJ510"/>
    <mergeCell ref="AK510:AP510"/>
    <mergeCell ref="AQ510:AV510"/>
    <mergeCell ref="AW510:BB510"/>
    <mergeCell ref="BC510:BH510"/>
    <mergeCell ref="A513:D513"/>
    <mergeCell ref="E513:T513"/>
    <mergeCell ref="U513:X513"/>
    <mergeCell ref="Y513:AD513"/>
    <mergeCell ref="AE513:AJ513"/>
    <mergeCell ref="AK513:AP513"/>
    <mergeCell ref="AQ513:AV513"/>
    <mergeCell ref="AW513:BB513"/>
    <mergeCell ref="BC513:BH513"/>
    <mergeCell ref="A512:D512"/>
    <mergeCell ref="E512:T512"/>
    <mergeCell ref="U512:X512"/>
    <mergeCell ref="Y512:AD512"/>
    <mergeCell ref="AE512:AJ512"/>
    <mergeCell ref="AK512:AP512"/>
    <mergeCell ref="AQ512:AV512"/>
    <mergeCell ref="AW512:BB512"/>
    <mergeCell ref="BC512:BH512"/>
    <mergeCell ref="A515:D515"/>
    <mergeCell ref="E515:T515"/>
    <mergeCell ref="U515:X515"/>
    <mergeCell ref="Y515:AD515"/>
    <mergeCell ref="AE515:AJ515"/>
    <mergeCell ref="AK515:AP515"/>
    <mergeCell ref="AQ515:AV515"/>
    <mergeCell ref="AW515:BB515"/>
    <mergeCell ref="BC515:BH515"/>
    <mergeCell ref="A514:D514"/>
    <mergeCell ref="E514:T514"/>
    <mergeCell ref="U514:X514"/>
    <mergeCell ref="Y514:AD514"/>
    <mergeCell ref="AE514:AJ514"/>
    <mergeCell ref="AK514:AP514"/>
    <mergeCell ref="AQ514:AV514"/>
    <mergeCell ref="AW514:BB514"/>
    <mergeCell ref="BC514:BH514"/>
    <mergeCell ref="A517:D517"/>
    <mergeCell ref="E517:T517"/>
    <mergeCell ref="U517:X517"/>
    <mergeCell ref="Y517:AD517"/>
    <mergeCell ref="AE517:AJ517"/>
    <mergeCell ref="AK517:AP517"/>
    <mergeCell ref="AQ517:AV517"/>
    <mergeCell ref="AW517:BB517"/>
    <mergeCell ref="BC517:BH517"/>
    <mergeCell ref="A516:D516"/>
    <mergeCell ref="E516:T516"/>
    <mergeCell ref="U516:X516"/>
    <mergeCell ref="Y516:AD516"/>
    <mergeCell ref="AE516:AJ516"/>
    <mergeCell ref="AK516:AP516"/>
    <mergeCell ref="AQ516:AV516"/>
    <mergeCell ref="AW516:BB516"/>
    <mergeCell ref="BC516:BH516"/>
    <mergeCell ref="A519:D519"/>
    <mergeCell ref="E519:T519"/>
    <mergeCell ref="U519:X519"/>
    <mergeCell ref="Y519:AD519"/>
    <mergeCell ref="AE519:AJ519"/>
    <mergeCell ref="AK519:AP519"/>
    <mergeCell ref="AQ519:AV519"/>
    <mergeCell ref="AW519:BB519"/>
    <mergeCell ref="BC519:BH519"/>
    <mergeCell ref="A518:D518"/>
    <mergeCell ref="E518:T518"/>
    <mergeCell ref="U518:X518"/>
    <mergeCell ref="Y518:AD518"/>
    <mergeCell ref="AE518:AJ518"/>
    <mergeCell ref="AK518:AP518"/>
    <mergeCell ref="AQ518:AV518"/>
    <mergeCell ref="AW518:BB518"/>
    <mergeCell ref="BC518:BH518"/>
    <mergeCell ref="A521:D521"/>
    <mergeCell ref="E521:T521"/>
    <mergeCell ref="U521:X521"/>
    <mergeCell ref="Y521:AD521"/>
    <mergeCell ref="AE521:AJ521"/>
    <mergeCell ref="AK521:AP521"/>
    <mergeCell ref="AQ521:AV521"/>
    <mergeCell ref="AW521:BB521"/>
    <mergeCell ref="BC521:BH521"/>
    <mergeCell ref="A520:D520"/>
    <mergeCell ref="E520:T520"/>
    <mergeCell ref="U520:X520"/>
    <mergeCell ref="Y520:AD520"/>
    <mergeCell ref="AE520:AJ520"/>
    <mergeCell ref="AK520:AP520"/>
    <mergeCell ref="AQ520:AV520"/>
    <mergeCell ref="AW520:BB520"/>
    <mergeCell ref="BC520:BH520"/>
    <mergeCell ref="A523:D523"/>
    <mergeCell ref="E523:T523"/>
    <mergeCell ref="U523:X523"/>
    <mergeCell ref="Y523:AD523"/>
    <mergeCell ref="AE523:AJ523"/>
    <mergeCell ref="AK523:AP523"/>
    <mergeCell ref="AQ523:AV523"/>
    <mergeCell ref="AW523:BB523"/>
    <mergeCell ref="BC523:BH523"/>
    <mergeCell ref="A522:D522"/>
    <mergeCell ref="E522:T522"/>
    <mergeCell ref="U522:X522"/>
    <mergeCell ref="Y522:AD522"/>
    <mergeCell ref="AE522:AJ522"/>
    <mergeCell ref="AK522:AP522"/>
    <mergeCell ref="AQ522:AV522"/>
    <mergeCell ref="AW522:BB522"/>
    <mergeCell ref="BC522:BH522"/>
    <mergeCell ref="A525:D525"/>
    <mergeCell ref="E525:T525"/>
    <mergeCell ref="U525:X525"/>
    <mergeCell ref="Y525:AD525"/>
    <mergeCell ref="AE525:AJ525"/>
    <mergeCell ref="AK525:AP525"/>
    <mergeCell ref="AQ525:AV525"/>
    <mergeCell ref="AW525:BB525"/>
    <mergeCell ref="BC525:BH525"/>
    <mergeCell ref="A524:D524"/>
    <mergeCell ref="E524:T524"/>
    <mergeCell ref="U524:X524"/>
    <mergeCell ref="Y524:AD524"/>
    <mergeCell ref="AE524:AJ524"/>
    <mergeCell ref="AK524:AP524"/>
    <mergeCell ref="AQ524:AV524"/>
    <mergeCell ref="AW524:BB524"/>
    <mergeCell ref="BC524:BH524"/>
    <mergeCell ref="A527:AJ527"/>
    <mergeCell ref="AK527:AP527"/>
    <mergeCell ref="AQ527:AV527"/>
    <mergeCell ref="AW527:BB527"/>
    <mergeCell ref="BC527:BH527"/>
    <mergeCell ref="A528:AJ528"/>
    <mergeCell ref="AK528:AP528"/>
    <mergeCell ref="AQ528:AV528"/>
    <mergeCell ref="AW528:BB528"/>
    <mergeCell ref="BC528:BH528"/>
    <mergeCell ref="A526:D526"/>
    <mergeCell ref="E526:T526"/>
    <mergeCell ref="U526:X526"/>
    <mergeCell ref="Y526:AD526"/>
    <mergeCell ref="AE526:AJ526"/>
    <mergeCell ref="AK526:AP526"/>
    <mergeCell ref="AQ526:AV526"/>
    <mergeCell ref="AW526:BB526"/>
    <mergeCell ref="BC526:BH526"/>
    <mergeCell ref="A536:D536"/>
    <mergeCell ref="E536:T536"/>
    <mergeCell ref="U536:X536"/>
    <mergeCell ref="Y536:AD536"/>
    <mergeCell ref="AE536:AJ536"/>
    <mergeCell ref="AK536:AP536"/>
    <mergeCell ref="AQ536:AV536"/>
    <mergeCell ref="AW536:BB536"/>
    <mergeCell ref="BC536:BH536"/>
    <mergeCell ref="A529:AD529"/>
    <mergeCell ref="AE529:BH529"/>
    <mergeCell ref="A530:AD532"/>
    <mergeCell ref="AE530:BH532"/>
    <mergeCell ref="A533:BH533"/>
    <mergeCell ref="A534:I534"/>
    <mergeCell ref="J534:BQ534"/>
    <mergeCell ref="A535:H535"/>
    <mergeCell ref="I535:AN535"/>
    <mergeCell ref="AO535:AV535"/>
    <mergeCell ref="AW535:BH535"/>
    <mergeCell ref="A538:D538"/>
    <mergeCell ref="E538:T538"/>
    <mergeCell ref="U538:X538"/>
    <mergeCell ref="Y538:AD538"/>
    <mergeCell ref="AE538:AJ538"/>
    <mergeCell ref="AK538:AP538"/>
    <mergeCell ref="AQ538:AV538"/>
    <mergeCell ref="AW538:BB538"/>
    <mergeCell ref="BC538:BH538"/>
    <mergeCell ref="A537:D537"/>
    <mergeCell ref="E537:T537"/>
    <mergeCell ref="U537:X537"/>
    <mergeCell ref="Y537:AD537"/>
    <mergeCell ref="AE537:AJ537"/>
    <mergeCell ref="AK537:AP537"/>
    <mergeCell ref="AQ537:AV537"/>
    <mergeCell ref="AW537:BB537"/>
    <mergeCell ref="BC537:BH537"/>
    <mergeCell ref="A540:D540"/>
    <mergeCell ref="E540:T540"/>
    <mergeCell ref="U540:X540"/>
    <mergeCell ref="Y540:AD540"/>
    <mergeCell ref="AE540:AJ540"/>
    <mergeCell ref="AK540:AP540"/>
    <mergeCell ref="AQ540:AV540"/>
    <mergeCell ref="AW540:BB540"/>
    <mergeCell ref="BC540:BH540"/>
    <mergeCell ref="A539:D539"/>
    <mergeCell ref="E539:T539"/>
    <mergeCell ref="U539:X539"/>
    <mergeCell ref="Y539:AD539"/>
    <mergeCell ref="AE539:AJ539"/>
    <mergeCell ref="AK539:AP539"/>
    <mergeCell ref="AQ539:AV539"/>
    <mergeCell ref="AW539:BB539"/>
    <mergeCell ref="BC539:BH539"/>
    <mergeCell ref="A542:D542"/>
    <mergeCell ref="E542:T542"/>
    <mergeCell ref="U542:X542"/>
    <mergeCell ref="Y542:AD542"/>
    <mergeCell ref="AE542:AJ542"/>
    <mergeCell ref="AK542:AP542"/>
    <mergeCell ref="AQ542:AV542"/>
    <mergeCell ref="AW542:BB542"/>
    <mergeCell ref="BC542:BH542"/>
    <mergeCell ref="A541:D541"/>
    <mergeCell ref="E541:T541"/>
    <mergeCell ref="U541:X541"/>
    <mergeCell ref="Y541:AD541"/>
    <mergeCell ref="AE541:AJ541"/>
    <mergeCell ref="AK541:AP541"/>
    <mergeCell ref="AQ541:AV541"/>
    <mergeCell ref="AW541:BB541"/>
    <mergeCell ref="BC541:BH541"/>
    <mergeCell ref="A544:D544"/>
    <mergeCell ref="E544:T544"/>
    <mergeCell ref="U544:X544"/>
    <mergeCell ref="Y544:AD544"/>
    <mergeCell ref="AE544:AJ544"/>
    <mergeCell ref="AK544:AP544"/>
    <mergeCell ref="AQ544:AV544"/>
    <mergeCell ref="AW544:BB544"/>
    <mergeCell ref="BC544:BH544"/>
    <mergeCell ref="A543:D543"/>
    <mergeCell ref="E543:T543"/>
    <mergeCell ref="U543:X543"/>
    <mergeCell ref="Y543:AD543"/>
    <mergeCell ref="AE543:AJ543"/>
    <mergeCell ref="AK543:AP543"/>
    <mergeCell ref="AQ543:AV543"/>
    <mergeCell ref="AW543:BB543"/>
    <mergeCell ref="BC543:BH543"/>
    <mergeCell ref="A546:D546"/>
    <mergeCell ref="E546:T546"/>
    <mergeCell ref="U546:X546"/>
    <mergeCell ref="Y546:AD546"/>
    <mergeCell ref="AE546:AJ546"/>
    <mergeCell ref="AK546:AP546"/>
    <mergeCell ref="AQ546:AV546"/>
    <mergeCell ref="AW546:BB546"/>
    <mergeCell ref="BC546:BH546"/>
    <mergeCell ref="A545:D545"/>
    <mergeCell ref="E545:T545"/>
    <mergeCell ref="U545:X545"/>
    <mergeCell ref="Y545:AD545"/>
    <mergeCell ref="AE545:AJ545"/>
    <mergeCell ref="AK545:AP545"/>
    <mergeCell ref="AQ545:AV545"/>
    <mergeCell ref="AW545:BB545"/>
    <mergeCell ref="BC545:BH545"/>
    <mergeCell ref="A548:D548"/>
    <mergeCell ref="E548:T548"/>
    <mergeCell ref="U548:X548"/>
    <mergeCell ref="Y548:AD548"/>
    <mergeCell ref="AE548:AJ548"/>
    <mergeCell ref="AK548:AP548"/>
    <mergeCell ref="AQ548:AV548"/>
    <mergeCell ref="AW548:BB548"/>
    <mergeCell ref="BC548:BH548"/>
    <mergeCell ref="A547:D547"/>
    <mergeCell ref="E547:T547"/>
    <mergeCell ref="U547:X547"/>
    <mergeCell ref="Y547:AD547"/>
    <mergeCell ref="AE547:AJ547"/>
    <mergeCell ref="AK547:AP547"/>
    <mergeCell ref="AQ547:AV547"/>
    <mergeCell ref="AW547:BB547"/>
    <mergeCell ref="BC547:BH547"/>
    <mergeCell ref="A550:D550"/>
    <mergeCell ref="E550:T550"/>
    <mergeCell ref="U550:X550"/>
    <mergeCell ref="Y550:AD550"/>
    <mergeCell ref="AE550:AJ550"/>
    <mergeCell ref="AK550:AP550"/>
    <mergeCell ref="AQ550:AV550"/>
    <mergeCell ref="AW550:BB550"/>
    <mergeCell ref="BC550:BH550"/>
    <mergeCell ref="A549:D549"/>
    <mergeCell ref="E549:T549"/>
    <mergeCell ref="U549:X549"/>
    <mergeCell ref="Y549:AD549"/>
    <mergeCell ref="AE549:AJ549"/>
    <mergeCell ref="AK549:AP549"/>
    <mergeCell ref="AQ549:AV549"/>
    <mergeCell ref="AW549:BB549"/>
    <mergeCell ref="BC549:BH549"/>
    <mergeCell ref="A552:D552"/>
    <mergeCell ref="E552:T552"/>
    <mergeCell ref="U552:X552"/>
    <mergeCell ref="Y552:AD552"/>
    <mergeCell ref="AE552:AJ552"/>
    <mergeCell ref="AK552:AP552"/>
    <mergeCell ref="AQ552:AV552"/>
    <mergeCell ref="AW552:BB552"/>
    <mergeCell ref="BC552:BH552"/>
    <mergeCell ref="A551:D551"/>
    <mergeCell ref="E551:T551"/>
    <mergeCell ref="U551:X551"/>
    <mergeCell ref="Y551:AD551"/>
    <mergeCell ref="AE551:AJ551"/>
    <mergeCell ref="AK551:AP551"/>
    <mergeCell ref="AQ551:AV551"/>
    <mergeCell ref="AW551:BB551"/>
    <mergeCell ref="BC551:BH551"/>
    <mergeCell ref="A554:D554"/>
    <mergeCell ref="E554:T554"/>
    <mergeCell ref="U554:X554"/>
    <mergeCell ref="Y554:AD554"/>
    <mergeCell ref="AE554:AJ554"/>
    <mergeCell ref="AK554:AP554"/>
    <mergeCell ref="AQ554:AV554"/>
    <mergeCell ref="AW554:BB554"/>
    <mergeCell ref="BC554:BH554"/>
    <mergeCell ref="A553:D553"/>
    <mergeCell ref="E553:T553"/>
    <mergeCell ref="U553:X553"/>
    <mergeCell ref="Y553:AD553"/>
    <mergeCell ref="AE553:AJ553"/>
    <mergeCell ref="AK553:AP553"/>
    <mergeCell ref="AQ553:AV553"/>
    <mergeCell ref="AW553:BB553"/>
    <mergeCell ref="BC553:BH553"/>
    <mergeCell ref="A557:AD557"/>
    <mergeCell ref="AE557:BH557"/>
    <mergeCell ref="A558:AD560"/>
    <mergeCell ref="AE558:BH560"/>
    <mergeCell ref="A561:BH561"/>
    <mergeCell ref="A562:I562"/>
    <mergeCell ref="J562:BQ562"/>
    <mergeCell ref="A563:H563"/>
    <mergeCell ref="I563:AN563"/>
    <mergeCell ref="AO563:AV563"/>
    <mergeCell ref="AW563:BH563"/>
    <mergeCell ref="A555:AJ555"/>
    <mergeCell ref="AK555:AP555"/>
    <mergeCell ref="AQ555:AV555"/>
    <mergeCell ref="AW555:BB555"/>
    <mergeCell ref="BC555:BH555"/>
    <mergeCell ref="A556:AJ556"/>
    <mergeCell ref="AK556:AP556"/>
    <mergeCell ref="AQ556:AV556"/>
    <mergeCell ref="AW556:BB556"/>
    <mergeCell ref="BC556:BH556"/>
    <mergeCell ref="A565:D565"/>
    <mergeCell ref="E565:T565"/>
    <mergeCell ref="U565:X565"/>
    <mergeCell ref="Y565:AD565"/>
    <mergeCell ref="AE565:AJ565"/>
    <mergeCell ref="AK565:AP565"/>
    <mergeCell ref="AQ565:AV565"/>
    <mergeCell ref="AW565:BB565"/>
    <mergeCell ref="BC565:BH565"/>
    <mergeCell ref="A564:D564"/>
    <mergeCell ref="E564:T564"/>
    <mergeCell ref="U564:X564"/>
    <mergeCell ref="Y564:AD564"/>
    <mergeCell ref="AE564:AJ564"/>
    <mergeCell ref="AK564:AP564"/>
    <mergeCell ref="AQ564:AV564"/>
    <mergeCell ref="AW564:BB564"/>
    <mergeCell ref="BC564:BH564"/>
    <mergeCell ref="A567:D567"/>
    <mergeCell ref="E567:T567"/>
    <mergeCell ref="U567:X567"/>
    <mergeCell ref="Y567:AD567"/>
    <mergeCell ref="AE567:AJ567"/>
    <mergeCell ref="AK567:AP567"/>
    <mergeCell ref="AQ567:AV567"/>
    <mergeCell ref="AW567:BB567"/>
    <mergeCell ref="BC567:BH567"/>
    <mergeCell ref="A566:D566"/>
    <mergeCell ref="E566:T566"/>
    <mergeCell ref="U566:X566"/>
    <mergeCell ref="Y566:AD566"/>
    <mergeCell ref="AE566:AJ566"/>
    <mergeCell ref="AK566:AP566"/>
    <mergeCell ref="AQ566:AV566"/>
    <mergeCell ref="AW566:BB566"/>
    <mergeCell ref="BC566:BH566"/>
    <mergeCell ref="A569:D569"/>
    <mergeCell ref="E569:T569"/>
    <mergeCell ref="U569:X569"/>
    <mergeCell ref="Y569:AD569"/>
    <mergeCell ref="AE569:AJ569"/>
    <mergeCell ref="AK569:AP569"/>
    <mergeCell ref="AQ569:AV569"/>
    <mergeCell ref="AW569:BB569"/>
    <mergeCell ref="BC569:BH569"/>
    <mergeCell ref="A568:D568"/>
    <mergeCell ref="E568:T568"/>
    <mergeCell ref="U568:X568"/>
    <mergeCell ref="Y568:AD568"/>
    <mergeCell ref="AE568:AJ568"/>
    <mergeCell ref="AK568:AP568"/>
    <mergeCell ref="AQ568:AV568"/>
    <mergeCell ref="AW568:BB568"/>
    <mergeCell ref="BC568:BH568"/>
    <mergeCell ref="A571:D571"/>
    <mergeCell ref="E571:T571"/>
    <mergeCell ref="U571:X571"/>
    <mergeCell ref="Y571:AD571"/>
    <mergeCell ref="AE571:AJ571"/>
    <mergeCell ref="AK571:AP571"/>
    <mergeCell ref="AQ571:AV571"/>
    <mergeCell ref="AW571:BB571"/>
    <mergeCell ref="BC571:BH571"/>
    <mergeCell ref="A570:D570"/>
    <mergeCell ref="E570:T570"/>
    <mergeCell ref="U570:X570"/>
    <mergeCell ref="Y570:AD570"/>
    <mergeCell ref="AE570:AJ570"/>
    <mergeCell ref="AK570:AP570"/>
    <mergeCell ref="AQ570:AV570"/>
    <mergeCell ref="AW570:BB570"/>
    <mergeCell ref="BC570:BH570"/>
    <mergeCell ref="A573:D573"/>
    <mergeCell ref="E573:T573"/>
    <mergeCell ref="U573:X573"/>
    <mergeCell ref="Y573:AD573"/>
    <mergeCell ref="AE573:AJ573"/>
    <mergeCell ref="AK573:AP573"/>
    <mergeCell ref="AQ573:AV573"/>
    <mergeCell ref="AW573:BB573"/>
    <mergeCell ref="BC573:BH573"/>
    <mergeCell ref="A572:D572"/>
    <mergeCell ref="E572:T572"/>
    <mergeCell ref="U572:X572"/>
    <mergeCell ref="Y572:AD572"/>
    <mergeCell ref="AE572:AJ572"/>
    <mergeCell ref="AK572:AP572"/>
    <mergeCell ref="AQ572:AV572"/>
    <mergeCell ref="AW572:BB572"/>
    <mergeCell ref="BC572:BH572"/>
    <mergeCell ref="A575:D575"/>
    <mergeCell ref="E575:T575"/>
    <mergeCell ref="U575:X575"/>
    <mergeCell ref="Y575:AD575"/>
    <mergeCell ref="AE575:AJ575"/>
    <mergeCell ref="AK575:AP575"/>
    <mergeCell ref="AQ575:AV575"/>
    <mergeCell ref="AW575:BB575"/>
    <mergeCell ref="BC575:BH575"/>
    <mergeCell ref="A574:D574"/>
    <mergeCell ref="E574:T574"/>
    <mergeCell ref="U574:X574"/>
    <mergeCell ref="Y574:AD574"/>
    <mergeCell ref="AE574:AJ574"/>
    <mergeCell ref="AK574:AP574"/>
    <mergeCell ref="AQ574:AV574"/>
    <mergeCell ref="AW574:BB574"/>
    <mergeCell ref="BC574:BH574"/>
    <mergeCell ref="A577:D577"/>
    <mergeCell ref="E577:T577"/>
    <mergeCell ref="U577:X577"/>
    <mergeCell ref="Y577:AD577"/>
    <mergeCell ref="AE577:AJ577"/>
    <mergeCell ref="AK577:AP577"/>
    <mergeCell ref="AQ577:AV577"/>
    <mergeCell ref="AW577:BB577"/>
    <mergeCell ref="BC577:BH577"/>
    <mergeCell ref="A576:D576"/>
    <mergeCell ref="E576:T576"/>
    <mergeCell ref="U576:X576"/>
    <mergeCell ref="Y576:AD576"/>
    <mergeCell ref="AE576:AJ576"/>
    <mergeCell ref="AK576:AP576"/>
    <mergeCell ref="AQ576:AV576"/>
    <mergeCell ref="AW576:BB576"/>
    <mergeCell ref="BC576:BH576"/>
    <mergeCell ref="A579:D579"/>
    <mergeCell ref="E579:T579"/>
    <mergeCell ref="U579:X579"/>
    <mergeCell ref="Y579:AD579"/>
    <mergeCell ref="AE579:AJ579"/>
    <mergeCell ref="AK579:AP579"/>
    <mergeCell ref="AQ579:AV579"/>
    <mergeCell ref="AW579:BB579"/>
    <mergeCell ref="BC579:BH579"/>
    <mergeCell ref="A578:D578"/>
    <mergeCell ref="E578:T578"/>
    <mergeCell ref="U578:X578"/>
    <mergeCell ref="Y578:AD578"/>
    <mergeCell ref="AE578:AJ578"/>
    <mergeCell ref="AK578:AP578"/>
    <mergeCell ref="AQ578:AV578"/>
    <mergeCell ref="AW578:BB578"/>
    <mergeCell ref="BC578:BH578"/>
    <mergeCell ref="A581:D581"/>
    <mergeCell ref="E581:T581"/>
    <mergeCell ref="U581:X581"/>
    <mergeCell ref="Y581:AD581"/>
    <mergeCell ref="AE581:AJ581"/>
    <mergeCell ref="AK581:AP581"/>
    <mergeCell ref="AQ581:AV581"/>
    <mergeCell ref="AW581:BB581"/>
    <mergeCell ref="BC581:BH581"/>
    <mergeCell ref="A580:D580"/>
    <mergeCell ref="E580:T580"/>
    <mergeCell ref="U580:X580"/>
    <mergeCell ref="Y580:AD580"/>
    <mergeCell ref="AE580:AJ580"/>
    <mergeCell ref="AK580:AP580"/>
    <mergeCell ref="AQ580:AV580"/>
    <mergeCell ref="AW580:BB580"/>
    <mergeCell ref="BC580:BH580"/>
    <mergeCell ref="A585:AD585"/>
    <mergeCell ref="AE585:BH585"/>
    <mergeCell ref="A586:AD588"/>
    <mergeCell ref="AE586:BH588"/>
    <mergeCell ref="A583:AJ583"/>
    <mergeCell ref="AK583:AP583"/>
    <mergeCell ref="AQ583:AV583"/>
    <mergeCell ref="AW583:BB583"/>
    <mergeCell ref="BC583:BH583"/>
    <mergeCell ref="A584:AJ584"/>
    <mergeCell ref="AK584:AP584"/>
    <mergeCell ref="AQ584:AV584"/>
    <mergeCell ref="AW584:BB584"/>
    <mergeCell ref="BC584:BH584"/>
    <mergeCell ref="A582:D582"/>
    <mergeCell ref="E582:T582"/>
    <mergeCell ref="U582:X582"/>
    <mergeCell ref="Y582:AD582"/>
    <mergeCell ref="AE582:AJ582"/>
    <mergeCell ref="AK582:AP582"/>
    <mergeCell ref="AQ582:AV582"/>
    <mergeCell ref="AW582:BB582"/>
    <mergeCell ref="BC582:BH582"/>
  </mergeCells>
  <phoneticPr fontId="4" type="noConversion"/>
  <printOptions horizontalCentered="1"/>
  <pageMargins left="0" right="0" top="0.78740157480314965" bottom="0.39370078740157483" header="0.51181102362204722" footer="0.51181102362204722"/>
  <pageSetup paperSize="9" scale="83" fitToHeight="0" orientation="portrait" r:id="rId1"/>
  <headerFooter alignWithMargins="0"/>
  <rowBreaks count="20" manualBreakCount="20">
    <brk id="28" max="59" man="1"/>
    <brk id="56" max="59" man="1"/>
    <brk id="84" max="59" man="1"/>
    <brk id="112" max="59" man="1"/>
    <brk id="140" max="59" man="1"/>
    <brk id="168" max="59" man="1"/>
    <brk id="196" max="59" man="1"/>
    <brk id="224" max="59" man="1"/>
    <brk id="252" max="59" man="1"/>
    <brk id="280" max="59" man="1"/>
    <brk id="308" max="59" man="1"/>
    <brk id="336" max="59" man="1"/>
    <brk id="364" max="59" man="1"/>
    <brk id="392" max="59" man="1"/>
    <brk id="420" max="59" man="1"/>
    <brk id="448" max="59" man="1"/>
    <brk id="476" max="59" man="1"/>
    <brk id="504" max="59" man="1"/>
    <brk id="532" max="59" man="1"/>
    <brk id="560" max="5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2</vt:i4>
      </vt:variant>
    </vt:vector>
  </HeadingPairs>
  <TitlesOfParts>
    <vt:vector size="5" baseType="lpstr">
      <vt:lpstr>封面</vt:lpstr>
      <vt:lpstr>日報</vt:lpstr>
      <vt:lpstr>施工項目</vt:lpstr>
      <vt:lpstr>日報!Print_Area</vt:lpstr>
      <vt:lpstr>施工項目!Print_Area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朴子社宅</cp:lastModifiedBy>
  <cp:lastPrinted>2025-10-01T06:34:11Z</cp:lastPrinted>
  <dcterms:created xsi:type="dcterms:W3CDTF">2006-09-06T03:45:10Z</dcterms:created>
  <dcterms:modified xsi:type="dcterms:W3CDTF">2025-10-02T02:26:05Z</dcterms:modified>
</cp:coreProperties>
</file>