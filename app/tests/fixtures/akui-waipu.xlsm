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S1\Office_2T\41_施工案29\建_11437_霈柏_外埔國小廁所整修工程_契_預算總表要依校方送計畫預算架構\51_監造品管\21_施工日報表\"/>
    </mc:Choice>
  </mc:AlternateContent>
  <xr:revisionPtr revIDLastSave="0" documentId="13_ncr:1_{0282000F-9E01-4E82-A799-8EBEF7B89FED}" xr6:coauthVersionLast="47" xr6:coauthVersionMax="47" xr10:uidLastSave="{00000000-0000-0000-0000-000000000000}"/>
  <bookViews>
    <workbookView xWindow="14295" yWindow="0" windowWidth="14610" windowHeight="15585" tabRatio="915" activeTab="3" xr2:uid="{CE244A60-B17F-4CFF-ACCB-36E72D3F86A1}"/>
  </bookViews>
  <sheets>
    <sheet name="標單" sheetId="1" r:id="rId1"/>
    <sheet name="出工表" sheetId="2" r:id="rId2"/>
    <sheet name="數量表" sheetId="3" r:id="rId3"/>
    <sheet name="日誌" sheetId="6" r:id="rId4"/>
    <sheet name="封面" sheetId="15" r:id="rId5"/>
    <sheet name="封面 (2)" sheetId="13" state="hidden" r:id="rId6"/>
    <sheet name="工作表3" sheetId="11" state="hidden" r:id="rId7"/>
    <sheet name="封面 (3)" sheetId="14" state="hidden" r:id="rId8"/>
    <sheet name="工作表4" sheetId="12" state="hidden" r:id="rId9"/>
    <sheet name="工期表" sheetId="16" r:id="rId10"/>
    <sheet name="施工預定進度表" sheetId="17" r:id="rId11"/>
  </sheets>
  <definedNames>
    <definedName name="_xlnm.Print_Area" localSheetId="3">日誌!$A$1:$J$74</definedName>
    <definedName name="_xlnm.Print_Area" localSheetId="4">封面!$A$1:$S$36</definedName>
    <definedName name="_xlnm.Print_Area" localSheetId="10">施工預定進度表!$A$2:$AL$24</definedName>
    <definedName name="_xlnm.Print_Area" localSheetId="2">數量表!$A$1:$HA$50</definedName>
    <definedName name="_xlnm.Print_Titles" localSheetId="3">日誌!$1:$9</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 i="6" l="1"/>
  <c r="B10" i="3"/>
  <c r="E4" i="16" s="1"/>
  <c r="E7" i="3"/>
  <c r="GX14" i="3"/>
  <c r="GX15" i="3"/>
  <c r="GX16" i="3"/>
  <c r="GX17" i="3"/>
  <c r="GX18" i="3"/>
  <c r="GX19" i="3"/>
  <c r="GX20" i="3"/>
  <c r="GX21" i="3"/>
  <c r="GX22" i="3"/>
  <c r="GX23" i="3"/>
  <c r="GX24" i="3"/>
  <c r="GX25" i="3"/>
  <c r="GX26" i="3"/>
  <c r="GX27" i="3"/>
  <c r="GX28" i="3"/>
  <c r="GX29" i="3"/>
  <c r="GX30" i="3"/>
  <c r="GX31" i="3"/>
  <c r="GX32" i="3"/>
  <c r="GX33" i="3"/>
  <c r="GX34" i="3"/>
  <c r="GX35" i="3"/>
  <c r="GX36" i="3"/>
  <c r="GX37" i="3"/>
  <c r="GX38" i="3"/>
  <c r="GX39" i="3"/>
  <c r="GX40" i="3"/>
  <c r="GX41" i="3"/>
  <c r="GX42" i="3"/>
  <c r="GX43" i="3"/>
  <c r="GX44" i="3"/>
  <c r="GX13" i="3"/>
  <c r="I24" i="17"/>
  <c r="J24" i="17" s="1"/>
  <c r="K24" i="17" s="1"/>
  <c r="L24" i="17" s="1"/>
  <c r="M24" i="17" s="1"/>
  <c r="N24" i="17" s="1"/>
  <c r="O24" i="17" s="1"/>
  <c r="P24" i="17" s="1"/>
  <c r="Q24" i="17" s="1"/>
  <c r="R24" i="17" s="1"/>
  <c r="S24" i="17" s="1"/>
  <c r="T24" i="17" s="1"/>
  <c r="U24" i="17" s="1"/>
  <c r="V24" i="17" s="1"/>
  <c r="W24" i="17" s="1"/>
  <c r="X24" i="17" s="1"/>
  <c r="Y24" i="17" s="1"/>
  <c r="Z24" i="17" s="1"/>
  <c r="AA24" i="17" s="1"/>
  <c r="AB24" i="17" s="1"/>
  <c r="AC24" i="17" s="1"/>
  <c r="AD24" i="17" s="1"/>
  <c r="AE24" i="17" s="1"/>
  <c r="AF24" i="17" s="1"/>
  <c r="AG24" i="17" s="1"/>
  <c r="AH24" i="17" s="1"/>
  <c r="AI24" i="17" s="1"/>
  <c r="AJ24" i="17" s="1"/>
  <c r="AK24" i="17" s="1"/>
  <c r="AL24" i="17" s="1"/>
  <c r="F22" i="17"/>
  <c r="F21" i="17"/>
  <c r="F20" i="17"/>
  <c r="F19" i="17"/>
  <c r="F18" i="17"/>
  <c r="F17" i="17"/>
  <c r="F16" i="17"/>
  <c r="F15" i="17"/>
  <c r="F14" i="17"/>
  <c r="F13" i="17"/>
  <c r="F12" i="17"/>
  <c r="F11" i="17"/>
  <c r="F10" i="17"/>
  <c r="F9" i="17"/>
  <c r="F8" i="17"/>
  <c r="F7" i="17"/>
  <c r="F6" i="17"/>
  <c r="F5" i="17"/>
  <c r="G307" i="16"/>
  <c r="C307" i="16"/>
  <c r="B307" i="16"/>
  <c r="A307" i="16"/>
  <c r="G306" i="16"/>
  <c r="C306" i="16"/>
  <c r="B306" i="16"/>
  <c r="A306" i="16"/>
  <c r="G305" i="16"/>
  <c r="C305" i="16"/>
  <c r="B305" i="16"/>
  <c r="A305" i="16"/>
  <c r="G304" i="16"/>
  <c r="C304" i="16"/>
  <c r="B304" i="16"/>
  <c r="A304" i="16"/>
  <c r="G303" i="16"/>
  <c r="C303" i="16"/>
  <c r="B303" i="16"/>
  <c r="A303" i="16"/>
  <c r="G302" i="16"/>
  <c r="C302" i="16"/>
  <c r="B302" i="16"/>
  <c r="A302" i="16"/>
  <c r="G301" i="16"/>
  <c r="C301" i="16"/>
  <c r="B301" i="16"/>
  <c r="A301" i="16"/>
  <c r="G300" i="16"/>
  <c r="C300" i="16"/>
  <c r="B300" i="16"/>
  <c r="A300" i="16"/>
  <c r="G299" i="16"/>
  <c r="C299" i="16"/>
  <c r="B299" i="16"/>
  <c r="A299" i="16"/>
  <c r="G298" i="16"/>
  <c r="C298" i="16"/>
  <c r="B298" i="16"/>
  <c r="A298" i="16"/>
  <c r="G297" i="16"/>
  <c r="C297" i="16"/>
  <c r="B297" i="16"/>
  <c r="A297" i="16"/>
  <c r="G296" i="16"/>
  <c r="C296" i="16"/>
  <c r="B296" i="16"/>
  <c r="A296" i="16"/>
  <c r="G295" i="16"/>
  <c r="C295" i="16"/>
  <c r="B295" i="16"/>
  <c r="A295" i="16"/>
  <c r="G294" i="16"/>
  <c r="C294" i="16"/>
  <c r="B294" i="16"/>
  <c r="A294" i="16"/>
  <c r="G293" i="16"/>
  <c r="C293" i="16"/>
  <c r="B293" i="16"/>
  <c r="A293" i="16"/>
  <c r="G292" i="16"/>
  <c r="C292" i="16"/>
  <c r="B292" i="16"/>
  <c r="A292" i="16"/>
  <c r="G291" i="16"/>
  <c r="C291" i="16"/>
  <c r="B291" i="16"/>
  <c r="A291" i="16"/>
  <c r="G290" i="16"/>
  <c r="C290" i="16"/>
  <c r="B290" i="16"/>
  <c r="A290" i="16"/>
  <c r="G289" i="16"/>
  <c r="C289" i="16"/>
  <c r="B289" i="16"/>
  <c r="A289" i="16"/>
  <c r="G288" i="16"/>
  <c r="C288" i="16"/>
  <c r="B288" i="16"/>
  <c r="A288" i="16"/>
  <c r="G287" i="16"/>
  <c r="C287" i="16"/>
  <c r="B287" i="16"/>
  <c r="A287" i="16"/>
  <c r="G286" i="16"/>
  <c r="C286" i="16"/>
  <c r="B286" i="16"/>
  <c r="A286" i="16"/>
  <c r="G285" i="16"/>
  <c r="C285" i="16"/>
  <c r="B285" i="16"/>
  <c r="A285" i="16"/>
  <c r="G284" i="16"/>
  <c r="C284" i="16"/>
  <c r="B284" i="16"/>
  <c r="A284" i="16"/>
  <c r="G283" i="16"/>
  <c r="C283" i="16"/>
  <c r="B283" i="16"/>
  <c r="A283" i="16"/>
  <c r="G282" i="16"/>
  <c r="C282" i="16"/>
  <c r="B282" i="16"/>
  <c r="A282" i="16"/>
  <c r="G281" i="16"/>
  <c r="C281" i="16"/>
  <c r="B281" i="16"/>
  <c r="A281" i="16"/>
  <c r="G280" i="16"/>
  <c r="C280" i="16"/>
  <c r="B280" i="16"/>
  <c r="A280" i="16"/>
  <c r="G279" i="16"/>
  <c r="C279" i="16"/>
  <c r="B279" i="16"/>
  <c r="A279" i="16"/>
  <c r="G278" i="16"/>
  <c r="C278" i="16"/>
  <c r="B278" i="16"/>
  <c r="A278" i="16"/>
  <c r="G277" i="16"/>
  <c r="C277" i="16"/>
  <c r="B277" i="16"/>
  <c r="A277" i="16"/>
  <c r="G276" i="16"/>
  <c r="C276" i="16"/>
  <c r="B276" i="16"/>
  <c r="A276" i="16"/>
  <c r="G275" i="16"/>
  <c r="C275" i="16"/>
  <c r="B275" i="16"/>
  <c r="A275" i="16"/>
  <c r="G274" i="16"/>
  <c r="C274" i="16"/>
  <c r="B274" i="16"/>
  <c r="A274" i="16"/>
  <c r="G273" i="16"/>
  <c r="C273" i="16"/>
  <c r="B273" i="16"/>
  <c r="A273" i="16"/>
  <c r="G272" i="16"/>
  <c r="C272" i="16"/>
  <c r="B272" i="16"/>
  <c r="A272" i="16"/>
  <c r="G271" i="16"/>
  <c r="C271" i="16"/>
  <c r="B271" i="16"/>
  <c r="A271" i="16"/>
  <c r="G270" i="16"/>
  <c r="C270" i="16"/>
  <c r="B270" i="16"/>
  <c r="A270" i="16"/>
  <c r="G269" i="16"/>
  <c r="C269" i="16"/>
  <c r="B269" i="16"/>
  <c r="A269" i="16"/>
  <c r="G268" i="16"/>
  <c r="C268" i="16"/>
  <c r="B268" i="16"/>
  <c r="A268" i="16"/>
  <c r="G267" i="16"/>
  <c r="C267" i="16"/>
  <c r="B267" i="16"/>
  <c r="A267" i="16"/>
  <c r="G266" i="16"/>
  <c r="C266" i="16"/>
  <c r="B266" i="16"/>
  <c r="A266" i="16"/>
  <c r="G265" i="16"/>
  <c r="C265" i="16"/>
  <c r="B265" i="16"/>
  <c r="A265" i="16"/>
  <c r="G264" i="16"/>
  <c r="C264" i="16"/>
  <c r="B264" i="16"/>
  <c r="A264" i="16"/>
  <c r="G263" i="16"/>
  <c r="C263" i="16"/>
  <c r="B263" i="16"/>
  <c r="A263" i="16"/>
  <c r="G262" i="16"/>
  <c r="C262" i="16"/>
  <c r="B262" i="16"/>
  <c r="A262" i="16"/>
  <c r="G261" i="16"/>
  <c r="C261" i="16"/>
  <c r="B261" i="16"/>
  <c r="A261" i="16"/>
  <c r="G260" i="16"/>
  <c r="C260" i="16"/>
  <c r="B260" i="16"/>
  <c r="A260" i="16"/>
  <c r="G259" i="16"/>
  <c r="C259" i="16"/>
  <c r="B259" i="16"/>
  <c r="A259" i="16"/>
  <c r="G258" i="16"/>
  <c r="C258" i="16"/>
  <c r="B258" i="16"/>
  <c r="A258" i="16"/>
  <c r="G257" i="16"/>
  <c r="C257" i="16"/>
  <c r="B257" i="16"/>
  <c r="A257" i="16"/>
  <c r="G256" i="16"/>
  <c r="C256" i="16"/>
  <c r="B256" i="16"/>
  <c r="A256" i="16"/>
  <c r="G255" i="16"/>
  <c r="C255" i="16"/>
  <c r="B255" i="16"/>
  <c r="A255" i="16"/>
  <c r="G254" i="16"/>
  <c r="C254" i="16"/>
  <c r="B254" i="16"/>
  <c r="A254" i="16"/>
  <c r="G253" i="16"/>
  <c r="C253" i="16"/>
  <c r="B253" i="16"/>
  <c r="A253" i="16"/>
  <c r="G252" i="16"/>
  <c r="C252" i="16"/>
  <c r="B252" i="16"/>
  <c r="A252" i="16"/>
  <c r="G251" i="16"/>
  <c r="C251" i="16"/>
  <c r="B251" i="16"/>
  <c r="A251" i="16"/>
  <c r="G250" i="16"/>
  <c r="C250" i="16"/>
  <c r="B250" i="16"/>
  <c r="A250" i="16"/>
  <c r="G249" i="16"/>
  <c r="C249" i="16"/>
  <c r="B249" i="16"/>
  <c r="A249" i="16"/>
  <c r="G248" i="16"/>
  <c r="C248" i="16"/>
  <c r="B248" i="16"/>
  <c r="A248" i="16"/>
  <c r="G247" i="16"/>
  <c r="C247" i="16"/>
  <c r="B247" i="16"/>
  <c r="A247" i="16"/>
  <c r="G246" i="16"/>
  <c r="C246" i="16"/>
  <c r="B246" i="16"/>
  <c r="A246" i="16"/>
  <c r="G245" i="16"/>
  <c r="C245" i="16"/>
  <c r="B245" i="16"/>
  <c r="A245" i="16"/>
  <c r="G244" i="16"/>
  <c r="C244" i="16"/>
  <c r="B244" i="16"/>
  <c r="A244" i="16"/>
  <c r="G243" i="16"/>
  <c r="C243" i="16"/>
  <c r="B243" i="16"/>
  <c r="A243" i="16"/>
  <c r="G242" i="16"/>
  <c r="C242" i="16"/>
  <c r="B242" i="16"/>
  <c r="A242" i="16"/>
  <c r="G241" i="16"/>
  <c r="C241" i="16"/>
  <c r="B241" i="16"/>
  <c r="A241" i="16"/>
  <c r="G240" i="16"/>
  <c r="C240" i="16"/>
  <c r="B240" i="16"/>
  <c r="A240" i="16"/>
  <c r="G239" i="16"/>
  <c r="C239" i="16"/>
  <c r="B239" i="16"/>
  <c r="A239" i="16"/>
  <c r="G238" i="16"/>
  <c r="C238" i="16"/>
  <c r="B238" i="16"/>
  <c r="A238" i="16"/>
  <c r="G237" i="16"/>
  <c r="C237" i="16"/>
  <c r="B237" i="16"/>
  <c r="A237" i="16"/>
  <c r="G236" i="16"/>
  <c r="C236" i="16"/>
  <c r="B236" i="16"/>
  <c r="A236" i="16"/>
  <c r="G235" i="16"/>
  <c r="C235" i="16"/>
  <c r="B235" i="16"/>
  <c r="A235" i="16"/>
  <c r="G234" i="16"/>
  <c r="C234" i="16"/>
  <c r="B234" i="16"/>
  <c r="A234" i="16"/>
  <c r="G233" i="16"/>
  <c r="C233" i="16"/>
  <c r="B233" i="16"/>
  <c r="A233" i="16"/>
  <c r="G232" i="16"/>
  <c r="C232" i="16"/>
  <c r="B232" i="16"/>
  <c r="A232" i="16"/>
  <c r="G231" i="16"/>
  <c r="C231" i="16"/>
  <c r="B231" i="16"/>
  <c r="A231" i="16"/>
  <c r="G230" i="16"/>
  <c r="C230" i="16"/>
  <c r="B230" i="16"/>
  <c r="A230" i="16"/>
  <c r="G229" i="16"/>
  <c r="C229" i="16"/>
  <c r="B229" i="16"/>
  <c r="A229" i="16"/>
  <c r="G228" i="16"/>
  <c r="C228" i="16"/>
  <c r="B228" i="16"/>
  <c r="A228" i="16"/>
  <c r="G227" i="16"/>
  <c r="C227" i="16"/>
  <c r="B227" i="16"/>
  <c r="A227" i="16"/>
  <c r="G226" i="16"/>
  <c r="C226" i="16"/>
  <c r="B226" i="16"/>
  <c r="A226" i="16"/>
  <c r="G225" i="16"/>
  <c r="C225" i="16"/>
  <c r="B225" i="16"/>
  <c r="A225" i="16"/>
  <c r="G224" i="16"/>
  <c r="C224" i="16"/>
  <c r="B224" i="16"/>
  <c r="A224" i="16"/>
  <c r="G223" i="16"/>
  <c r="C223" i="16"/>
  <c r="B223" i="16"/>
  <c r="A223" i="16"/>
  <c r="G222" i="16"/>
  <c r="C222" i="16"/>
  <c r="B222" i="16"/>
  <c r="A222" i="16"/>
  <c r="G221" i="16"/>
  <c r="C221" i="16"/>
  <c r="B221" i="16"/>
  <c r="A221" i="16"/>
  <c r="G220" i="16"/>
  <c r="C220" i="16"/>
  <c r="B220" i="16"/>
  <c r="A220" i="16"/>
  <c r="G219" i="16"/>
  <c r="C219" i="16"/>
  <c r="B219" i="16"/>
  <c r="A219" i="16"/>
  <c r="G218" i="16"/>
  <c r="C218" i="16"/>
  <c r="B218" i="16"/>
  <c r="A218" i="16"/>
  <c r="G217" i="16"/>
  <c r="C217" i="16"/>
  <c r="B217" i="16"/>
  <c r="A217" i="16"/>
  <c r="G216" i="16"/>
  <c r="C216" i="16"/>
  <c r="B216" i="16"/>
  <c r="A216" i="16"/>
  <c r="G215" i="16"/>
  <c r="C215" i="16"/>
  <c r="B215" i="16"/>
  <c r="A215" i="16"/>
  <c r="G214" i="16"/>
  <c r="C214" i="16"/>
  <c r="B214" i="16"/>
  <c r="A214" i="16"/>
  <c r="G213" i="16"/>
  <c r="C213" i="16"/>
  <c r="B213" i="16"/>
  <c r="A213" i="16"/>
  <c r="G212" i="16"/>
  <c r="C212" i="16"/>
  <c r="B212" i="16"/>
  <c r="A212" i="16"/>
  <c r="G211" i="16"/>
  <c r="C211" i="16"/>
  <c r="B211" i="16"/>
  <c r="A211" i="16"/>
  <c r="G210" i="16"/>
  <c r="C210" i="16"/>
  <c r="B210" i="16"/>
  <c r="A210" i="16"/>
  <c r="G209" i="16"/>
  <c r="C209" i="16"/>
  <c r="B209" i="16"/>
  <c r="A209" i="16"/>
  <c r="G208" i="16"/>
  <c r="C208" i="16"/>
  <c r="B208" i="16"/>
  <c r="A208" i="16"/>
  <c r="G207" i="16"/>
  <c r="C207" i="16"/>
  <c r="B207" i="16"/>
  <c r="A207" i="16"/>
  <c r="G206" i="16"/>
  <c r="C206" i="16"/>
  <c r="B206" i="16"/>
  <c r="A206" i="16"/>
  <c r="G205" i="16"/>
  <c r="C205" i="16"/>
  <c r="B205" i="16"/>
  <c r="A205" i="16"/>
  <c r="G204" i="16"/>
  <c r="C204" i="16"/>
  <c r="B204" i="16"/>
  <c r="A204" i="16"/>
  <c r="G203" i="16"/>
  <c r="C203" i="16"/>
  <c r="B203" i="16"/>
  <c r="A203" i="16"/>
  <c r="G202" i="16"/>
  <c r="C202" i="16"/>
  <c r="B202" i="16"/>
  <c r="A202" i="16"/>
  <c r="G201" i="16"/>
  <c r="C201" i="16"/>
  <c r="B201" i="16"/>
  <c r="A201" i="16"/>
  <c r="G200" i="16"/>
  <c r="C200" i="16"/>
  <c r="B200" i="16"/>
  <c r="A200" i="16"/>
  <c r="G199" i="16"/>
  <c r="C199" i="16"/>
  <c r="B199" i="16"/>
  <c r="A199" i="16"/>
  <c r="G198" i="16"/>
  <c r="C198" i="16"/>
  <c r="B198" i="16"/>
  <c r="A198" i="16"/>
  <c r="G197" i="16"/>
  <c r="C197" i="16"/>
  <c r="B197" i="16"/>
  <c r="A197" i="16"/>
  <c r="G196" i="16"/>
  <c r="C196" i="16"/>
  <c r="B196" i="16"/>
  <c r="A196" i="16"/>
  <c r="G195" i="16"/>
  <c r="C195" i="16"/>
  <c r="B195" i="16"/>
  <c r="A195" i="16"/>
  <c r="G194" i="16"/>
  <c r="C194" i="16"/>
  <c r="B194" i="16"/>
  <c r="A194" i="16"/>
  <c r="G193" i="16"/>
  <c r="C193" i="16"/>
  <c r="B193" i="16"/>
  <c r="A193" i="16"/>
  <c r="G192" i="16"/>
  <c r="C192" i="16"/>
  <c r="B192" i="16"/>
  <c r="A192" i="16"/>
  <c r="G191" i="16"/>
  <c r="C191" i="16"/>
  <c r="B191" i="16"/>
  <c r="A191" i="16"/>
  <c r="G190" i="16"/>
  <c r="C190" i="16"/>
  <c r="B190" i="16"/>
  <c r="A190" i="16"/>
  <c r="G189" i="16"/>
  <c r="C189" i="16"/>
  <c r="B189" i="16"/>
  <c r="A189" i="16"/>
  <c r="G188" i="16"/>
  <c r="C188" i="16"/>
  <c r="B188" i="16"/>
  <c r="A188" i="16"/>
  <c r="G187" i="16"/>
  <c r="C187" i="16"/>
  <c r="B187" i="16"/>
  <c r="A187" i="16"/>
  <c r="G186" i="16"/>
  <c r="C186" i="16"/>
  <c r="B186" i="16"/>
  <c r="A186" i="16"/>
  <c r="G185" i="16"/>
  <c r="C185" i="16"/>
  <c r="B185" i="16"/>
  <c r="A185" i="16"/>
  <c r="G184" i="16"/>
  <c r="C184" i="16"/>
  <c r="B184" i="16"/>
  <c r="A184" i="16"/>
  <c r="G183" i="16"/>
  <c r="C183" i="16"/>
  <c r="B183" i="16"/>
  <c r="A183" i="16"/>
  <c r="G182" i="16"/>
  <c r="C182" i="16"/>
  <c r="B182" i="16"/>
  <c r="A182" i="16"/>
  <c r="G181" i="16"/>
  <c r="C181" i="16"/>
  <c r="B181" i="16"/>
  <c r="A181" i="16"/>
  <c r="G180" i="16"/>
  <c r="C180" i="16"/>
  <c r="B180" i="16"/>
  <c r="A180" i="16"/>
  <c r="G179" i="16"/>
  <c r="C179" i="16"/>
  <c r="B179" i="16"/>
  <c r="A179" i="16"/>
  <c r="G178" i="16"/>
  <c r="C178" i="16"/>
  <c r="B178" i="16"/>
  <c r="A178" i="16"/>
  <c r="G177" i="16"/>
  <c r="C177" i="16"/>
  <c r="B177" i="16"/>
  <c r="A177" i="16"/>
  <c r="G176" i="16"/>
  <c r="C176" i="16"/>
  <c r="B176" i="16"/>
  <c r="A176" i="16"/>
  <c r="G175" i="16"/>
  <c r="C175" i="16"/>
  <c r="B175" i="16"/>
  <c r="A175" i="16"/>
  <c r="G174" i="16"/>
  <c r="C174" i="16"/>
  <c r="B174" i="16"/>
  <c r="A174" i="16"/>
  <c r="G173" i="16"/>
  <c r="C173" i="16"/>
  <c r="B173" i="16"/>
  <c r="A173" i="16"/>
  <c r="G172" i="16"/>
  <c r="C172" i="16"/>
  <c r="B172" i="16"/>
  <c r="A172" i="16"/>
  <c r="G171" i="16"/>
  <c r="C171" i="16"/>
  <c r="B171" i="16"/>
  <c r="A171" i="16"/>
  <c r="G170" i="16"/>
  <c r="C170" i="16"/>
  <c r="B170" i="16"/>
  <c r="A170" i="16"/>
  <c r="G169" i="16"/>
  <c r="C169" i="16"/>
  <c r="B169" i="16"/>
  <c r="A169" i="16"/>
  <c r="G168" i="16"/>
  <c r="C168" i="16"/>
  <c r="B168" i="16"/>
  <c r="A168" i="16"/>
  <c r="G167" i="16"/>
  <c r="C167" i="16"/>
  <c r="B167" i="16"/>
  <c r="A167" i="16"/>
  <c r="G166" i="16"/>
  <c r="C166" i="16"/>
  <c r="B166" i="16"/>
  <c r="A166" i="16"/>
  <c r="G165" i="16"/>
  <c r="C165" i="16"/>
  <c r="B165" i="16"/>
  <c r="A165" i="16"/>
  <c r="G164" i="16"/>
  <c r="C164" i="16"/>
  <c r="B164" i="16"/>
  <c r="A164" i="16"/>
  <c r="G163" i="16"/>
  <c r="C163" i="16"/>
  <c r="B163" i="16"/>
  <c r="A163" i="16"/>
  <c r="G162" i="16"/>
  <c r="C162" i="16"/>
  <c r="B162" i="16"/>
  <c r="A162" i="16"/>
  <c r="G161" i="16"/>
  <c r="C161" i="16"/>
  <c r="B161" i="16"/>
  <c r="A161" i="16"/>
  <c r="G160" i="16"/>
  <c r="C160" i="16"/>
  <c r="B160" i="16"/>
  <c r="A160" i="16"/>
  <c r="G159" i="16"/>
  <c r="C159" i="16"/>
  <c r="B159" i="16"/>
  <c r="A159" i="16"/>
  <c r="G158" i="16"/>
  <c r="C158" i="16"/>
  <c r="B158" i="16"/>
  <c r="A158" i="16"/>
  <c r="G157" i="16"/>
  <c r="C157" i="16"/>
  <c r="B157" i="16"/>
  <c r="A157" i="16"/>
  <c r="G156" i="16"/>
  <c r="C156" i="16"/>
  <c r="B156" i="16"/>
  <c r="A156" i="16"/>
  <c r="G155" i="16"/>
  <c r="C155" i="16"/>
  <c r="B155" i="16"/>
  <c r="A155" i="16"/>
  <c r="G154" i="16"/>
  <c r="C154" i="16"/>
  <c r="B154" i="16"/>
  <c r="A154" i="16"/>
  <c r="G153" i="16"/>
  <c r="C153" i="16"/>
  <c r="B153" i="16"/>
  <c r="A153" i="16"/>
  <c r="G152" i="16"/>
  <c r="C152" i="16"/>
  <c r="B152" i="16"/>
  <c r="A152" i="16"/>
  <c r="G151" i="16"/>
  <c r="C151" i="16"/>
  <c r="B151" i="16"/>
  <c r="A151" i="16"/>
  <c r="G150" i="16"/>
  <c r="C150" i="16"/>
  <c r="B150" i="16"/>
  <c r="A150" i="16"/>
  <c r="G149" i="16"/>
  <c r="C149" i="16"/>
  <c r="B149" i="16"/>
  <c r="A149" i="16"/>
  <c r="G148" i="16"/>
  <c r="C148" i="16"/>
  <c r="B148" i="16"/>
  <c r="A148" i="16"/>
  <c r="G147" i="16"/>
  <c r="C147" i="16"/>
  <c r="B147" i="16"/>
  <c r="A147" i="16"/>
  <c r="G146" i="16"/>
  <c r="C146" i="16"/>
  <c r="B146" i="16"/>
  <c r="A146" i="16"/>
  <c r="G145" i="16"/>
  <c r="C145" i="16"/>
  <c r="B145" i="16"/>
  <c r="A145" i="16"/>
  <c r="G144" i="16"/>
  <c r="C144" i="16"/>
  <c r="B144" i="16"/>
  <c r="A144" i="16"/>
  <c r="G143" i="16"/>
  <c r="C143" i="16"/>
  <c r="B143" i="16"/>
  <c r="A143" i="16"/>
  <c r="G142" i="16"/>
  <c r="C142" i="16"/>
  <c r="B142" i="16"/>
  <c r="A142" i="16"/>
  <c r="G141" i="16"/>
  <c r="C141" i="16"/>
  <c r="B141" i="16"/>
  <c r="A141" i="16"/>
  <c r="G140" i="16"/>
  <c r="C140" i="16"/>
  <c r="B140" i="16"/>
  <c r="A140" i="16"/>
  <c r="G139" i="16"/>
  <c r="C139" i="16"/>
  <c r="B139" i="16"/>
  <c r="A139" i="16"/>
  <c r="G138" i="16"/>
  <c r="C138" i="16"/>
  <c r="B138" i="16"/>
  <c r="A138" i="16"/>
  <c r="G137" i="16"/>
  <c r="C137" i="16"/>
  <c r="B137" i="16"/>
  <c r="A137" i="16"/>
  <c r="G136" i="16"/>
  <c r="C136" i="16"/>
  <c r="B136" i="16"/>
  <c r="A136" i="16"/>
  <c r="G135" i="16"/>
  <c r="C135" i="16"/>
  <c r="B135" i="16"/>
  <c r="A135" i="16"/>
  <c r="G134" i="16"/>
  <c r="C134" i="16"/>
  <c r="B134" i="16"/>
  <c r="A134" i="16"/>
  <c r="G133" i="16"/>
  <c r="C133" i="16"/>
  <c r="B133" i="16"/>
  <c r="A133" i="16"/>
  <c r="G132" i="16"/>
  <c r="C132" i="16"/>
  <c r="B132" i="16"/>
  <c r="A132" i="16"/>
  <c r="G131" i="16"/>
  <c r="C131" i="16"/>
  <c r="B131" i="16"/>
  <c r="A131" i="16"/>
  <c r="G130" i="16"/>
  <c r="C130" i="16"/>
  <c r="B130" i="16"/>
  <c r="A130" i="16"/>
  <c r="G129" i="16"/>
  <c r="C129" i="16"/>
  <c r="B129" i="16"/>
  <c r="A129" i="16"/>
  <c r="G128" i="16"/>
  <c r="C128" i="16"/>
  <c r="B128" i="16"/>
  <c r="A128" i="16"/>
  <c r="G127" i="16"/>
  <c r="C127" i="16"/>
  <c r="B127" i="16"/>
  <c r="A127" i="16"/>
  <c r="G126" i="16"/>
  <c r="C126" i="16"/>
  <c r="B126" i="16"/>
  <c r="A126" i="16"/>
  <c r="G125" i="16"/>
  <c r="C125" i="16"/>
  <c r="B125" i="16"/>
  <c r="A125" i="16"/>
  <c r="G124" i="16"/>
  <c r="C124" i="16"/>
  <c r="B124" i="16"/>
  <c r="A124" i="16"/>
  <c r="G123" i="16"/>
  <c r="C123" i="16"/>
  <c r="B123" i="16"/>
  <c r="A123" i="16"/>
  <c r="G122" i="16"/>
  <c r="C122" i="16"/>
  <c r="B122" i="16"/>
  <c r="A122" i="16"/>
  <c r="G121" i="16"/>
  <c r="C121" i="16"/>
  <c r="B121" i="16"/>
  <c r="A121" i="16"/>
  <c r="G120" i="16"/>
  <c r="C120" i="16"/>
  <c r="B120" i="16"/>
  <c r="A120" i="16"/>
  <c r="G119" i="16"/>
  <c r="C119" i="16"/>
  <c r="B119" i="16"/>
  <c r="A119" i="16"/>
  <c r="G118" i="16"/>
  <c r="C118" i="16"/>
  <c r="B118" i="16"/>
  <c r="A118" i="16"/>
  <c r="G117" i="16"/>
  <c r="C117" i="16"/>
  <c r="B117" i="16"/>
  <c r="A117" i="16"/>
  <c r="G116" i="16"/>
  <c r="C116" i="16"/>
  <c r="B116" i="16"/>
  <c r="A116" i="16"/>
  <c r="G115" i="16"/>
  <c r="C115" i="16"/>
  <c r="B115" i="16"/>
  <c r="A115" i="16"/>
  <c r="G114" i="16"/>
  <c r="C114" i="16"/>
  <c r="B114" i="16"/>
  <c r="A114" i="16"/>
  <c r="G113" i="16"/>
  <c r="C113" i="16"/>
  <c r="B113" i="16"/>
  <c r="A113" i="16"/>
  <c r="G112" i="16"/>
  <c r="C112" i="16"/>
  <c r="B112" i="16"/>
  <c r="A112" i="16"/>
  <c r="G111" i="16"/>
  <c r="C111" i="16"/>
  <c r="B111" i="16"/>
  <c r="A111" i="16"/>
  <c r="G110" i="16"/>
  <c r="C110" i="16"/>
  <c r="B110" i="16"/>
  <c r="A110" i="16"/>
  <c r="G109" i="16"/>
  <c r="C109" i="16"/>
  <c r="B109" i="16"/>
  <c r="A109" i="16"/>
  <c r="G108" i="16"/>
  <c r="C108" i="16"/>
  <c r="B108" i="16"/>
  <c r="A108" i="16"/>
  <c r="G107" i="16"/>
  <c r="C107" i="16"/>
  <c r="B107" i="16"/>
  <c r="A107" i="16"/>
  <c r="G106" i="16"/>
  <c r="C106" i="16"/>
  <c r="B106" i="16"/>
  <c r="A106" i="16"/>
  <c r="G105" i="16"/>
  <c r="C105" i="16"/>
  <c r="B105" i="16"/>
  <c r="A105" i="16"/>
  <c r="G104" i="16"/>
  <c r="C104" i="16"/>
  <c r="B104" i="16"/>
  <c r="A104" i="16"/>
  <c r="G103" i="16"/>
  <c r="C103" i="16"/>
  <c r="B103" i="16"/>
  <c r="A103" i="16"/>
  <c r="G102" i="16"/>
  <c r="C102" i="16"/>
  <c r="B102" i="16"/>
  <c r="A102" i="16"/>
  <c r="G101" i="16"/>
  <c r="C101" i="16"/>
  <c r="B101" i="16"/>
  <c r="A101" i="16"/>
  <c r="G100" i="16"/>
  <c r="C100" i="16"/>
  <c r="B100" i="16"/>
  <c r="A100" i="16"/>
  <c r="G99" i="16"/>
  <c r="C99" i="16"/>
  <c r="B99" i="16"/>
  <c r="A99" i="16"/>
  <c r="G98" i="16"/>
  <c r="C98" i="16"/>
  <c r="B98" i="16"/>
  <c r="A98" i="16"/>
  <c r="G97" i="16"/>
  <c r="C97" i="16"/>
  <c r="B97" i="16"/>
  <c r="A97" i="16"/>
  <c r="G96" i="16"/>
  <c r="C96" i="16"/>
  <c r="B96" i="16"/>
  <c r="A96" i="16"/>
  <c r="G95" i="16"/>
  <c r="C95" i="16"/>
  <c r="B95" i="16"/>
  <c r="A95" i="16"/>
  <c r="G94" i="16"/>
  <c r="C94" i="16"/>
  <c r="B94" i="16"/>
  <c r="A94" i="16"/>
  <c r="G93" i="16"/>
  <c r="C93" i="16"/>
  <c r="B93" i="16"/>
  <c r="A93" i="16"/>
  <c r="G92" i="16"/>
  <c r="C92" i="16"/>
  <c r="B92" i="16"/>
  <c r="A92" i="16"/>
  <c r="G91" i="16"/>
  <c r="C91" i="16"/>
  <c r="B91" i="16"/>
  <c r="A91" i="16"/>
  <c r="G90" i="16"/>
  <c r="C90" i="16"/>
  <c r="B90" i="16"/>
  <c r="A90" i="16"/>
  <c r="G89" i="16"/>
  <c r="C89" i="16"/>
  <c r="B89" i="16"/>
  <c r="A89" i="16"/>
  <c r="G88" i="16"/>
  <c r="C88" i="16"/>
  <c r="B88" i="16"/>
  <c r="A88" i="16"/>
  <c r="G87" i="16"/>
  <c r="C87" i="16"/>
  <c r="B87" i="16"/>
  <c r="A87" i="16"/>
  <c r="G86" i="16"/>
  <c r="C86" i="16"/>
  <c r="B86" i="16"/>
  <c r="A86" i="16"/>
  <c r="G85" i="16"/>
  <c r="C85" i="16"/>
  <c r="B85" i="16"/>
  <c r="A85" i="16"/>
  <c r="G84" i="16"/>
  <c r="C84" i="16"/>
  <c r="B84" i="16"/>
  <c r="A84" i="16"/>
  <c r="G83" i="16"/>
  <c r="C83" i="16"/>
  <c r="B83" i="16"/>
  <c r="A83" i="16"/>
  <c r="G82" i="16"/>
  <c r="C82" i="16"/>
  <c r="B82" i="16"/>
  <c r="A82" i="16"/>
  <c r="G81" i="16"/>
  <c r="C81" i="16"/>
  <c r="B81" i="16"/>
  <c r="A81" i="16"/>
  <c r="G80" i="16"/>
  <c r="C80" i="16"/>
  <c r="B80" i="16"/>
  <c r="A80" i="16"/>
  <c r="G79" i="16"/>
  <c r="C79" i="16"/>
  <c r="B79" i="16"/>
  <c r="A79" i="16"/>
  <c r="G78" i="16"/>
  <c r="C78" i="16"/>
  <c r="B78" i="16"/>
  <c r="A78" i="16"/>
  <c r="G77" i="16"/>
  <c r="C77" i="16"/>
  <c r="B77" i="16"/>
  <c r="A77" i="16"/>
  <c r="G76" i="16"/>
  <c r="C76" i="16"/>
  <c r="B76" i="16"/>
  <c r="A76" i="16"/>
  <c r="G75" i="16"/>
  <c r="C75" i="16"/>
  <c r="B75" i="16"/>
  <c r="A75" i="16"/>
  <c r="G74" i="16"/>
  <c r="C74" i="16"/>
  <c r="B74" i="16"/>
  <c r="A74" i="16"/>
  <c r="G73" i="16"/>
  <c r="C73" i="16"/>
  <c r="B73" i="16"/>
  <c r="A73" i="16"/>
  <c r="G72" i="16"/>
  <c r="C72" i="16"/>
  <c r="B72" i="16"/>
  <c r="A72" i="16"/>
  <c r="G71" i="16"/>
  <c r="C71" i="16"/>
  <c r="B71" i="16"/>
  <c r="A71" i="16"/>
  <c r="G70" i="16"/>
  <c r="C70" i="16"/>
  <c r="B70" i="16"/>
  <c r="A70" i="16"/>
  <c r="G69" i="16"/>
  <c r="C69" i="16"/>
  <c r="B69" i="16"/>
  <c r="A69" i="16"/>
  <c r="G68" i="16"/>
  <c r="C68" i="16"/>
  <c r="B68" i="16"/>
  <c r="A68" i="16"/>
  <c r="G67" i="16"/>
  <c r="C67" i="16"/>
  <c r="B67" i="16"/>
  <c r="A67" i="16"/>
  <c r="G66" i="16"/>
  <c r="C66" i="16"/>
  <c r="B66" i="16"/>
  <c r="A66" i="16"/>
  <c r="G65" i="16"/>
  <c r="C65" i="16"/>
  <c r="B65" i="16"/>
  <c r="A65" i="16"/>
  <c r="G64" i="16"/>
  <c r="C64" i="16"/>
  <c r="B64" i="16"/>
  <c r="A64" i="16"/>
  <c r="G63" i="16"/>
  <c r="C63" i="16"/>
  <c r="B63" i="16"/>
  <c r="A63" i="16"/>
  <c r="G62" i="16"/>
  <c r="C62" i="16"/>
  <c r="B62" i="16"/>
  <c r="A62" i="16"/>
  <c r="G61" i="16"/>
  <c r="C61" i="16"/>
  <c r="B61" i="16"/>
  <c r="A61" i="16"/>
  <c r="G60" i="16"/>
  <c r="C60" i="16"/>
  <c r="B60" i="16"/>
  <c r="A60" i="16"/>
  <c r="G59" i="16"/>
  <c r="C59" i="16"/>
  <c r="B59" i="16"/>
  <c r="A59" i="16"/>
  <c r="G58" i="16"/>
  <c r="C58" i="16"/>
  <c r="B58" i="16"/>
  <c r="A58" i="16"/>
  <c r="G57" i="16"/>
  <c r="C57" i="16"/>
  <c r="B57" i="16"/>
  <c r="A57" i="16"/>
  <c r="G56" i="16"/>
  <c r="C56" i="16"/>
  <c r="B56" i="16"/>
  <c r="A56" i="16"/>
  <c r="G55" i="16"/>
  <c r="C55" i="16"/>
  <c r="B55" i="16"/>
  <c r="A55" i="16"/>
  <c r="G54" i="16"/>
  <c r="C54" i="16"/>
  <c r="B54" i="16"/>
  <c r="A54" i="16"/>
  <c r="G53" i="16"/>
  <c r="C53" i="16"/>
  <c r="B53" i="16"/>
  <c r="A53" i="16"/>
  <c r="G52" i="16"/>
  <c r="C52" i="16"/>
  <c r="B52" i="16"/>
  <c r="A52" i="16"/>
  <c r="G51" i="16"/>
  <c r="C51" i="16"/>
  <c r="B51" i="16"/>
  <c r="A51" i="16"/>
  <c r="G50" i="16"/>
  <c r="C50" i="16"/>
  <c r="B50" i="16"/>
  <c r="A50" i="16"/>
  <c r="G49" i="16"/>
  <c r="C49" i="16"/>
  <c r="B49" i="16"/>
  <c r="A49" i="16"/>
  <c r="G48" i="16"/>
  <c r="C48" i="16"/>
  <c r="B48" i="16"/>
  <c r="A48" i="16"/>
  <c r="G47" i="16"/>
  <c r="C47" i="16"/>
  <c r="B47" i="16"/>
  <c r="A47" i="16"/>
  <c r="G46" i="16"/>
  <c r="C46" i="16"/>
  <c r="B46" i="16"/>
  <c r="A46" i="16"/>
  <c r="G45" i="16"/>
  <c r="C45" i="16"/>
  <c r="B45" i="16"/>
  <c r="A45" i="16"/>
  <c r="G44" i="16"/>
  <c r="C44" i="16"/>
  <c r="B44" i="16"/>
  <c r="A44" i="16"/>
  <c r="G43" i="16"/>
  <c r="C43" i="16"/>
  <c r="B43" i="16"/>
  <c r="A43" i="16"/>
  <c r="G42" i="16"/>
  <c r="C42" i="16"/>
  <c r="B42" i="16"/>
  <c r="A42" i="16"/>
  <c r="G41" i="16"/>
  <c r="C41" i="16"/>
  <c r="B41" i="16"/>
  <c r="A41" i="16"/>
  <c r="G40" i="16"/>
  <c r="C40" i="16"/>
  <c r="B40" i="16"/>
  <c r="A40" i="16"/>
  <c r="G39" i="16"/>
  <c r="C39" i="16"/>
  <c r="B39" i="16"/>
  <c r="A39" i="16"/>
  <c r="G38" i="16"/>
  <c r="C38" i="16"/>
  <c r="B38" i="16"/>
  <c r="A38" i="16"/>
  <c r="G37" i="16"/>
  <c r="C37" i="16"/>
  <c r="B37" i="16"/>
  <c r="A37" i="16"/>
  <c r="G36" i="16"/>
  <c r="C36" i="16"/>
  <c r="B36" i="16"/>
  <c r="A36" i="16"/>
  <c r="G35" i="16"/>
  <c r="C35" i="16"/>
  <c r="B35" i="16"/>
  <c r="A35" i="16"/>
  <c r="G34" i="16"/>
  <c r="C34" i="16"/>
  <c r="B34" i="16"/>
  <c r="A34" i="16"/>
  <c r="G33" i="16"/>
  <c r="C33" i="16"/>
  <c r="B33" i="16"/>
  <c r="A33" i="16"/>
  <c r="G32" i="16"/>
  <c r="C32" i="16"/>
  <c r="B32" i="16"/>
  <c r="A32" i="16"/>
  <c r="G31" i="16"/>
  <c r="C31" i="16"/>
  <c r="B31" i="16"/>
  <c r="A31" i="16"/>
  <c r="G30" i="16"/>
  <c r="C30" i="16"/>
  <c r="B30" i="16"/>
  <c r="A30" i="16"/>
  <c r="G29" i="16"/>
  <c r="C29" i="16"/>
  <c r="B29" i="16"/>
  <c r="A29" i="16"/>
  <c r="G28" i="16"/>
  <c r="C28" i="16"/>
  <c r="B28" i="16"/>
  <c r="A28" i="16"/>
  <c r="G27" i="16"/>
  <c r="C27" i="16"/>
  <c r="B27" i="16"/>
  <c r="A27" i="16"/>
  <c r="G26" i="16"/>
  <c r="C26" i="16"/>
  <c r="B26" i="16"/>
  <c r="A26" i="16"/>
  <c r="G25" i="16"/>
  <c r="C25" i="16"/>
  <c r="B25" i="16"/>
  <c r="A25" i="16"/>
  <c r="G24" i="16"/>
  <c r="C24" i="16"/>
  <c r="B24" i="16"/>
  <c r="A24" i="16"/>
  <c r="G23" i="16"/>
  <c r="C23" i="16"/>
  <c r="B23" i="16"/>
  <c r="A23" i="16"/>
  <c r="G22" i="16"/>
  <c r="C22" i="16"/>
  <c r="B22" i="16"/>
  <c r="A22" i="16"/>
  <c r="G21" i="16"/>
  <c r="C21" i="16"/>
  <c r="B21" i="16"/>
  <c r="A21" i="16"/>
  <c r="G20" i="16"/>
  <c r="C20" i="16"/>
  <c r="B20" i="16"/>
  <c r="A20" i="16"/>
  <c r="G19" i="16"/>
  <c r="C19" i="16"/>
  <c r="B19" i="16"/>
  <c r="A19" i="16"/>
  <c r="G18" i="16"/>
  <c r="C18" i="16"/>
  <c r="B18" i="16"/>
  <c r="A18" i="16"/>
  <c r="G17" i="16"/>
  <c r="C17" i="16"/>
  <c r="B17" i="16"/>
  <c r="A17" i="16"/>
  <c r="G16" i="16"/>
  <c r="C16" i="16"/>
  <c r="B16" i="16"/>
  <c r="A16" i="16"/>
  <c r="G15" i="16"/>
  <c r="C15" i="16"/>
  <c r="B15" i="16"/>
  <c r="A15" i="16"/>
  <c r="G14" i="16"/>
  <c r="C14" i="16"/>
  <c r="B14" i="16"/>
  <c r="A14" i="16"/>
  <c r="G13" i="16"/>
  <c r="C13" i="16"/>
  <c r="B13" i="16"/>
  <c r="A13" i="16"/>
  <c r="G12" i="16"/>
  <c r="C12" i="16"/>
  <c r="B12" i="16"/>
  <c r="A12" i="16"/>
  <c r="G11" i="16"/>
  <c r="C11" i="16"/>
  <c r="B11" i="16"/>
  <c r="A11" i="16"/>
  <c r="G10" i="16"/>
  <c r="C10" i="16"/>
  <c r="B10" i="16"/>
  <c r="A10" i="16"/>
  <c r="G9" i="16"/>
  <c r="C9" i="16"/>
  <c r="B9" i="16"/>
  <c r="A9" i="16"/>
  <c r="G8" i="16"/>
  <c r="C8" i="16"/>
  <c r="B8" i="16"/>
  <c r="A8" i="16"/>
  <c r="B5" i="16"/>
  <c r="B4" i="16"/>
  <c r="G3" i="16"/>
  <c r="E3" i="16"/>
  <c r="B3" i="16"/>
  <c r="E31" i="14"/>
  <c r="E30" i="14"/>
  <c r="A10" i="14"/>
  <c r="A4" i="14"/>
  <c r="E31" i="13"/>
  <c r="E30" i="13"/>
  <c r="A10" i="13"/>
  <c r="A4" i="13"/>
  <c r="H36" i="15"/>
  <c r="H35" i="15"/>
  <c r="H34" i="15"/>
  <c r="B9" i="15"/>
  <c r="B3" i="15"/>
  <c r="A72" i="6"/>
  <c r="A70" i="6"/>
  <c r="A68" i="6"/>
  <c r="I59" i="6"/>
  <c r="H59" i="6"/>
  <c r="G59" i="6"/>
  <c r="F59" i="6"/>
  <c r="E59" i="6"/>
  <c r="D59" i="6"/>
  <c r="C59" i="6"/>
  <c r="B59" i="6"/>
  <c r="A59" i="6"/>
  <c r="I58" i="6"/>
  <c r="H58" i="6"/>
  <c r="G58" i="6"/>
  <c r="F58" i="6"/>
  <c r="E58" i="6"/>
  <c r="D58" i="6"/>
  <c r="C58" i="6"/>
  <c r="B58" i="6"/>
  <c r="A58" i="6"/>
  <c r="I57" i="6"/>
  <c r="H57" i="6"/>
  <c r="G57" i="6"/>
  <c r="F57" i="6"/>
  <c r="E57" i="6"/>
  <c r="D57" i="6"/>
  <c r="C57" i="6"/>
  <c r="B57" i="6"/>
  <c r="A57" i="6"/>
  <c r="A47" i="6"/>
  <c r="A46" i="6"/>
  <c r="A45" i="6"/>
  <c r="A44" i="6"/>
  <c r="A43" i="6"/>
  <c r="A42" i="6"/>
  <c r="I41" i="6"/>
  <c r="H41" i="6"/>
  <c r="A41" i="6"/>
  <c r="I40" i="6"/>
  <c r="H40" i="6"/>
  <c r="A40" i="6"/>
  <c r="I39" i="6"/>
  <c r="H39" i="6"/>
  <c r="A39" i="6"/>
  <c r="I38" i="6"/>
  <c r="H38" i="6"/>
  <c r="A38" i="6"/>
  <c r="I37" i="6"/>
  <c r="H37" i="6"/>
  <c r="A37" i="6"/>
  <c r="I36" i="6"/>
  <c r="H36" i="6"/>
  <c r="A36" i="6"/>
  <c r="I35" i="6"/>
  <c r="H35" i="6"/>
  <c r="A35" i="6"/>
  <c r="I34" i="6"/>
  <c r="H34" i="6"/>
  <c r="A34" i="6"/>
  <c r="I33" i="6"/>
  <c r="H33" i="6"/>
  <c r="A33" i="6"/>
  <c r="I32" i="6"/>
  <c r="H32" i="6"/>
  <c r="A32" i="6"/>
  <c r="I31" i="6"/>
  <c r="H31" i="6"/>
  <c r="A31" i="6"/>
  <c r="I30" i="6"/>
  <c r="H30" i="6"/>
  <c r="A30" i="6"/>
  <c r="I29" i="6"/>
  <c r="H29" i="6"/>
  <c r="A29" i="6"/>
  <c r="I28" i="6"/>
  <c r="H28" i="6"/>
  <c r="A28" i="6"/>
  <c r="I27" i="6"/>
  <c r="H27" i="6"/>
  <c r="A27" i="6"/>
  <c r="I26" i="6"/>
  <c r="H26" i="6"/>
  <c r="A26" i="6"/>
  <c r="I25" i="6"/>
  <c r="H25" i="6"/>
  <c r="A25" i="6"/>
  <c r="I24" i="6"/>
  <c r="H24" i="6"/>
  <c r="A24" i="6"/>
  <c r="I23" i="6"/>
  <c r="H23" i="6"/>
  <c r="A23" i="6"/>
  <c r="I22" i="6"/>
  <c r="H22" i="6"/>
  <c r="A22" i="6"/>
  <c r="I21" i="6"/>
  <c r="H21" i="6"/>
  <c r="A21" i="6"/>
  <c r="I20" i="6"/>
  <c r="H20" i="6"/>
  <c r="A20" i="6"/>
  <c r="I19" i="6"/>
  <c r="H19" i="6"/>
  <c r="A19" i="6"/>
  <c r="I18" i="6"/>
  <c r="H18" i="6"/>
  <c r="A18" i="6"/>
  <c r="I17" i="6"/>
  <c r="H17" i="6"/>
  <c r="A17" i="6"/>
  <c r="I16" i="6"/>
  <c r="H16" i="6"/>
  <c r="A16" i="6"/>
  <c r="I15" i="6"/>
  <c r="H15" i="6"/>
  <c r="A15" i="6"/>
  <c r="H14" i="6"/>
  <c r="A14" i="6"/>
  <c r="I13" i="6"/>
  <c r="H13" i="6"/>
  <c r="A13" i="6"/>
  <c r="I12" i="6"/>
  <c r="H12" i="6"/>
  <c r="A12" i="6"/>
  <c r="I11" i="6"/>
  <c r="H11" i="6"/>
  <c r="A11" i="6"/>
  <c r="I10" i="6"/>
  <c r="H10" i="6"/>
  <c r="A10" i="6"/>
  <c r="J7" i="6"/>
  <c r="C7" i="6"/>
  <c r="D6" i="6"/>
  <c r="J5" i="6"/>
  <c r="I6" i="6" s="1"/>
  <c r="C5" i="6"/>
  <c r="I4" i="6"/>
  <c r="C4" i="6"/>
  <c r="C3" i="6"/>
  <c r="C2" i="6"/>
  <c r="GZ50" i="3"/>
  <c r="HA50" i="3" s="1"/>
  <c r="GY50" i="3"/>
  <c r="D50" i="3"/>
  <c r="C50" i="3"/>
  <c r="B50" i="3"/>
  <c r="GZ49" i="3"/>
  <c r="HA49" i="3" s="1"/>
  <c r="GY49" i="3"/>
  <c r="D49" i="3"/>
  <c r="C49" i="3"/>
  <c r="B49" i="3"/>
  <c r="GZ48" i="3"/>
  <c r="HA48" i="3" s="1"/>
  <c r="GY48" i="3"/>
  <c r="D48" i="3"/>
  <c r="C48" i="3"/>
  <c r="B48" i="3"/>
  <c r="GZ47" i="3"/>
  <c r="HA47" i="3" s="1"/>
  <c r="GY47" i="3"/>
  <c r="D47" i="3"/>
  <c r="C47" i="3"/>
  <c r="B47" i="3"/>
  <c r="GZ46" i="3"/>
  <c r="HA46" i="3" s="1"/>
  <c r="GY46" i="3"/>
  <c r="D46" i="3"/>
  <c r="C46" i="3"/>
  <c r="B46" i="3"/>
  <c r="GZ45" i="3"/>
  <c r="HA45" i="3" s="1"/>
  <c r="GY45" i="3"/>
  <c r="D45" i="3"/>
  <c r="C45" i="3"/>
  <c r="B45" i="3"/>
  <c r="GZ44" i="3"/>
  <c r="HA44" i="3" s="1"/>
  <c r="GY44" i="3"/>
  <c r="D44" i="3"/>
  <c r="C44" i="3"/>
  <c r="B44" i="3"/>
  <c r="GZ43" i="3"/>
  <c r="HA43" i="3" s="1"/>
  <c r="GY43" i="3"/>
  <c r="D43" i="3"/>
  <c r="C43" i="3"/>
  <c r="B43" i="3"/>
  <c r="GZ42" i="3"/>
  <c r="HA42" i="3" s="1"/>
  <c r="GY42" i="3"/>
  <c r="D42" i="3"/>
  <c r="C42" i="3"/>
  <c r="B42" i="3"/>
  <c r="GZ41" i="3"/>
  <c r="HA41" i="3" s="1"/>
  <c r="GY41" i="3"/>
  <c r="D41" i="3"/>
  <c r="C41" i="3"/>
  <c r="B41" i="3"/>
  <c r="GZ40" i="3"/>
  <c r="HA40" i="3" s="1"/>
  <c r="GY40" i="3"/>
  <c r="D40" i="3"/>
  <c r="C40" i="3"/>
  <c r="B40" i="3"/>
  <c r="GZ39" i="3"/>
  <c r="HA39" i="3" s="1"/>
  <c r="GY39" i="3"/>
  <c r="D39" i="3"/>
  <c r="C39" i="3"/>
  <c r="B39" i="3"/>
  <c r="GZ38" i="3"/>
  <c r="HA38" i="3" s="1"/>
  <c r="GY38" i="3"/>
  <c r="D38" i="3"/>
  <c r="C38" i="3"/>
  <c r="B38" i="3"/>
  <c r="GZ37" i="3"/>
  <c r="HA37" i="3" s="1"/>
  <c r="GY37" i="3"/>
  <c r="D37" i="3"/>
  <c r="C37" i="3"/>
  <c r="B37" i="3"/>
  <c r="GZ36" i="3"/>
  <c r="HA36" i="3" s="1"/>
  <c r="GY36" i="3"/>
  <c r="D36" i="3"/>
  <c r="C36" i="3"/>
  <c r="B36" i="3"/>
  <c r="GZ35" i="3"/>
  <c r="HA35" i="3" s="1"/>
  <c r="GY35" i="3"/>
  <c r="D35" i="3"/>
  <c r="C35" i="3"/>
  <c r="B35" i="3"/>
  <c r="GZ34" i="3"/>
  <c r="HA34" i="3" s="1"/>
  <c r="GY34" i="3"/>
  <c r="D34" i="3"/>
  <c r="C34" i="3"/>
  <c r="B34" i="3"/>
  <c r="GZ33" i="3"/>
  <c r="HA33" i="3" s="1"/>
  <c r="GY33" i="3"/>
  <c r="D33" i="3"/>
  <c r="C33" i="3"/>
  <c r="B33" i="3"/>
  <c r="GZ32" i="3"/>
  <c r="HA32" i="3" s="1"/>
  <c r="GY32" i="3"/>
  <c r="D32" i="3"/>
  <c r="C32" i="3"/>
  <c r="B32" i="3"/>
  <c r="GZ31" i="3"/>
  <c r="HA31" i="3" s="1"/>
  <c r="GY31" i="3"/>
  <c r="D31" i="3"/>
  <c r="C31" i="3"/>
  <c r="B31" i="3"/>
  <c r="GZ30" i="3"/>
  <c r="HA30" i="3" s="1"/>
  <c r="GY30" i="3"/>
  <c r="D30" i="3"/>
  <c r="C30" i="3"/>
  <c r="B30" i="3"/>
  <c r="GZ29" i="3"/>
  <c r="HA29" i="3" s="1"/>
  <c r="GY29" i="3"/>
  <c r="D29" i="3"/>
  <c r="C29" i="3"/>
  <c r="B29" i="3"/>
  <c r="GZ28" i="3"/>
  <c r="HA28" i="3" s="1"/>
  <c r="GY28" i="3"/>
  <c r="D28" i="3"/>
  <c r="C28" i="3"/>
  <c r="B28" i="3"/>
  <c r="GZ27" i="3"/>
  <c r="HA27" i="3" s="1"/>
  <c r="GY27" i="3"/>
  <c r="D27" i="3"/>
  <c r="C27" i="3"/>
  <c r="B27" i="3"/>
  <c r="GZ26" i="3"/>
  <c r="HA26" i="3" s="1"/>
  <c r="GY26" i="3"/>
  <c r="D26" i="3"/>
  <c r="C26" i="3"/>
  <c r="B26" i="3"/>
  <c r="GZ25" i="3"/>
  <c r="HA25" i="3" s="1"/>
  <c r="GY25" i="3"/>
  <c r="D25" i="3"/>
  <c r="C25" i="3"/>
  <c r="B25" i="3"/>
  <c r="GZ24" i="3"/>
  <c r="HA24" i="3" s="1"/>
  <c r="GY24" i="3"/>
  <c r="D24" i="3"/>
  <c r="C24" i="3"/>
  <c r="B24" i="3"/>
  <c r="GZ23" i="3"/>
  <c r="HA23" i="3" s="1"/>
  <c r="GY23" i="3"/>
  <c r="D23" i="3"/>
  <c r="C23" i="3"/>
  <c r="B23" i="3"/>
  <c r="GZ22" i="3"/>
  <c r="HA22" i="3" s="1"/>
  <c r="GY22" i="3"/>
  <c r="D22" i="3"/>
  <c r="C22" i="3"/>
  <c r="B22" i="3"/>
  <c r="GZ21" i="3"/>
  <c r="HA21" i="3" s="1"/>
  <c r="GY21" i="3"/>
  <c r="D21" i="3"/>
  <c r="C21" i="3"/>
  <c r="B21" i="3"/>
  <c r="GZ20" i="3"/>
  <c r="HA20" i="3" s="1"/>
  <c r="GY20" i="3"/>
  <c r="D20" i="3"/>
  <c r="C20" i="3"/>
  <c r="B20" i="3"/>
  <c r="GZ19" i="3"/>
  <c r="HA19" i="3" s="1"/>
  <c r="GY19" i="3"/>
  <c r="D19" i="3"/>
  <c r="C19" i="3"/>
  <c r="B19" i="3"/>
  <c r="GZ18" i="3"/>
  <c r="HA18" i="3" s="1"/>
  <c r="GY18" i="3"/>
  <c r="D18" i="3"/>
  <c r="C18" i="3"/>
  <c r="B18" i="3"/>
  <c r="GZ17" i="3"/>
  <c r="HA17" i="3" s="1"/>
  <c r="GY17" i="3"/>
  <c r="D17" i="3"/>
  <c r="C17" i="3"/>
  <c r="B17" i="3"/>
  <c r="GZ16" i="3"/>
  <c r="HA16" i="3" s="1"/>
  <c r="GY16" i="3"/>
  <c r="D16" i="3"/>
  <c r="C16" i="3"/>
  <c r="B16" i="3"/>
  <c r="GZ15" i="3"/>
  <c r="HA15" i="3" s="1"/>
  <c r="GY15" i="3"/>
  <c r="D15" i="3"/>
  <c r="C15" i="3"/>
  <c r="B15" i="3"/>
  <c r="GZ14" i="3"/>
  <c r="HA14" i="3" s="1"/>
  <c r="GY14" i="3"/>
  <c r="D14" i="3"/>
  <c r="C14" i="3"/>
  <c r="B14" i="3"/>
  <c r="GZ13" i="3"/>
  <c r="HA13" i="3" s="1"/>
  <c r="GY13" i="3"/>
  <c r="D13" i="3"/>
  <c r="C13" i="3"/>
  <c r="B13" i="3"/>
  <c r="G39" i="1"/>
  <c r="G46" i="1" s="1"/>
  <c r="G21" i="6" l="1"/>
  <c r="K21" i="6" s="1"/>
  <c r="B38" i="6"/>
  <c r="G14" i="6"/>
  <c r="K14" i="6" s="1"/>
  <c r="B19" i="6"/>
  <c r="F21" i="6"/>
  <c r="G26" i="6"/>
  <c r="K26" i="6" s="1"/>
  <c r="B31" i="6"/>
  <c r="F33" i="6"/>
  <c r="G38" i="6"/>
  <c r="K38" i="6" s="1"/>
  <c r="F45" i="6"/>
  <c r="F7" i="3"/>
  <c r="G12" i="6"/>
  <c r="K12" i="6" s="1"/>
  <c r="F19" i="6"/>
  <c r="B29" i="6"/>
  <c r="F31" i="6"/>
  <c r="G36" i="6"/>
  <c r="K36" i="6" s="1"/>
  <c r="F43" i="6"/>
  <c r="G10" i="6"/>
  <c r="K10" i="6" s="1"/>
  <c r="B15" i="6"/>
  <c r="F17" i="6"/>
  <c r="G22" i="6"/>
  <c r="K22" i="6" s="1"/>
  <c r="B27" i="6"/>
  <c r="F29" i="6"/>
  <c r="G34" i="6"/>
  <c r="K34" i="6" s="1"/>
  <c r="B39" i="6"/>
  <c r="F41" i="6"/>
  <c r="G46" i="6"/>
  <c r="F10" i="6"/>
  <c r="G15" i="6"/>
  <c r="K15" i="6" s="1"/>
  <c r="B20" i="6"/>
  <c r="F22" i="6"/>
  <c r="G27" i="6"/>
  <c r="K27" i="6" s="1"/>
  <c r="B32" i="6"/>
  <c r="F34" i="6"/>
  <c r="G39" i="6"/>
  <c r="K39" i="6" s="1"/>
  <c r="B44" i="6"/>
  <c r="F46" i="6"/>
  <c r="B43" i="6"/>
  <c r="B14" i="6"/>
  <c r="B26" i="6"/>
  <c r="G33" i="6"/>
  <c r="K33" i="6" s="1"/>
  <c r="F40" i="6"/>
  <c r="G45" i="6"/>
  <c r="F14" i="6"/>
  <c r="B24" i="6"/>
  <c r="F38" i="6"/>
  <c r="B41" i="6"/>
  <c r="B37" i="6"/>
  <c r="B11" i="6"/>
  <c r="F13" i="6"/>
  <c r="G18" i="6"/>
  <c r="K18" i="6" s="1"/>
  <c r="B23" i="6"/>
  <c r="F25" i="6"/>
  <c r="G30" i="6"/>
  <c r="K30" i="6" s="1"/>
  <c r="B35" i="6"/>
  <c r="F37" i="6"/>
  <c r="G42" i="6"/>
  <c r="B47" i="6"/>
  <c r="F16" i="6"/>
  <c r="F28" i="6"/>
  <c r="B12" i="6"/>
  <c r="G19" i="6"/>
  <c r="K19" i="6" s="1"/>
  <c r="B36" i="6"/>
  <c r="G43" i="6"/>
  <c r="B10" i="6"/>
  <c r="G17" i="6"/>
  <c r="K17" i="6" s="1"/>
  <c r="F24" i="6"/>
  <c r="B34" i="6"/>
  <c r="G41" i="6"/>
  <c r="K41" i="6" s="1"/>
  <c r="B46" i="6"/>
  <c r="B18" i="6"/>
  <c r="F20" i="6"/>
  <c r="G25" i="6"/>
  <c r="K25" i="6" s="1"/>
  <c r="F32" i="6"/>
  <c r="G37" i="6"/>
  <c r="K37" i="6" s="1"/>
  <c r="G11" i="6"/>
  <c r="K11" i="6" s="1"/>
  <c r="B16" i="6"/>
  <c r="F18" i="6"/>
  <c r="G23" i="6"/>
  <c r="K23" i="6" s="1"/>
  <c r="F30" i="6"/>
  <c r="G35" i="6"/>
  <c r="K35" i="6" s="1"/>
  <c r="B40" i="6"/>
  <c r="F42" i="6"/>
  <c r="G47" i="6"/>
  <c r="F26" i="6"/>
  <c r="G31" i="6"/>
  <c r="K31" i="6" s="1"/>
  <c r="B17" i="6"/>
  <c r="G24" i="6"/>
  <c r="K24" i="6" s="1"/>
  <c r="F12" i="6"/>
  <c r="B22" i="6"/>
  <c r="G29" i="6"/>
  <c r="K29" i="6" s="1"/>
  <c r="F36" i="6"/>
  <c r="B13" i="6"/>
  <c r="F15" i="6"/>
  <c r="G20" i="6"/>
  <c r="K20" i="6" s="1"/>
  <c r="B25" i="6"/>
  <c r="F27" i="6"/>
  <c r="G32" i="6"/>
  <c r="K32" i="6" s="1"/>
  <c r="F39" i="6"/>
  <c r="G44" i="6"/>
  <c r="G13" i="6"/>
  <c r="K13" i="6" s="1"/>
  <c r="B30" i="6"/>
  <c r="B42" i="6"/>
  <c r="F44" i="6"/>
  <c r="B28" i="6"/>
  <c r="F11" i="6"/>
  <c r="G16" i="6"/>
  <c r="K16" i="6" s="1"/>
  <c r="B21" i="6"/>
  <c r="F23" i="6"/>
  <c r="G28" i="6"/>
  <c r="K28" i="6" s="1"/>
  <c r="B33" i="6"/>
  <c r="F35" i="6"/>
  <c r="G40" i="6"/>
  <c r="K40" i="6" s="1"/>
  <c r="B45" i="6"/>
  <c r="F47" i="6"/>
  <c r="E50" i="3"/>
  <c r="H87" i="16"/>
  <c r="H43" i="16"/>
  <c r="H109" i="16"/>
  <c r="H151" i="16"/>
  <c r="H233" i="16"/>
  <c r="H242" i="16"/>
  <c r="H101" i="16"/>
  <c r="H9" i="16"/>
  <c r="H30" i="16"/>
  <c r="H52" i="16"/>
  <c r="H60" i="16"/>
  <c r="H63" i="16"/>
  <c r="H55" i="16"/>
  <c r="H65" i="16"/>
  <c r="H71" i="16"/>
  <c r="H126" i="16"/>
  <c r="H263" i="16"/>
  <c r="H137" i="16"/>
  <c r="H143" i="16"/>
  <c r="H170" i="16"/>
  <c r="B6" i="3"/>
  <c r="G4" i="16" s="1"/>
  <c r="H25" i="16"/>
  <c r="H14" i="16"/>
  <c r="H20" i="16"/>
  <c r="H35" i="16"/>
  <c r="H38" i="16"/>
  <c r="H79" i="16"/>
  <c r="H198" i="16"/>
  <c r="H207" i="16"/>
  <c r="H96" i="16"/>
  <c r="H107" i="16"/>
  <c r="H121" i="16"/>
  <c r="H135" i="16"/>
  <c r="H181" i="16"/>
  <c r="H17" i="16"/>
  <c r="H58" i="16"/>
  <c r="H74" i="16"/>
  <c r="H124" i="16"/>
  <c r="H149" i="16"/>
  <c r="H157" i="16"/>
  <c r="H165" i="16"/>
  <c r="H176" i="16"/>
  <c r="H228" i="16"/>
  <c r="H251" i="16"/>
  <c r="BO50" i="3"/>
  <c r="E63" i="6"/>
  <c r="C65" i="6" s="1"/>
  <c r="H15" i="16"/>
  <c r="H83" i="16"/>
  <c r="H88" i="16"/>
  <c r="H179" i="16"/>
  <c r="H39" i="16"/>
  <c r="H91" i="16"/>
  <c r="H133" i="16"/>
  <c r="H163" i="16"/>
  <c r="H64" i="16"/>
  <c r="H97" i="16"/>
  <c r="H147" i="16"/>
  <c r="H45" i="16"/>
  <c r="H150" i="16"/>
  <c r="H169" i="16"/>
  <c r="H177" i="16"/>
  <c r="H209" i="16"/>
  <c r="H255" i="16"/>
  <c r="H299" i="16"/>
  <c r="CM46" i="3"/>
  <c r="H12" i="16"/>
  <c r="H44" i="16"/>
  <c r="H66" i="16"/>
  <c r="H99" i="16"/>
  <c r="H138" i="16"/>
  <c r="H50" i="16"/>
  <c r="H61" i="16"/>
  <c r="H116" i="16"/>
  <c r="H23" i="16"/>
  <c r="H42" i="16"/>
  <c r="H293" i="16"/>
  <c r="H13" i="16"/>
  <c r="H18" i="16"/>
  <c r="H37" i="16"/>
  <c r="H158" i="16"/>
  <c r="DS47" i="3"/>
  <c r="DY45" i="3"/>
  <c r="H21" i="16"/>
  <c r="H29" i="16"/>
  <c r="H81" i="16"/>
  <c r="H106" i="16"/>
  <c r="H114" i="16"/>
  <c r="H128" i="16"/>
  <c r="H161" i="16"/>
  <c r="H215" i="16"/>
  <c r="H273" i="16"/>
  <c r="H28" i="16"/>
  <c r="H47" i="16"/>
  <c r="H257" i="16"/>
  <c r="H53" i="16"/>
  <c r="H69" i="16"/>
  <c r="H113" i="16"/>
  <c r="H119" i="16"/>
  <c r="H246" i="16"/>
  <c r="H10" i="16"/>
  <c r="H78" i="16"/>
  <c r="H86" i="16"/>
  <c r="H174" i="16"/>
  <c r="BG45" i="3"/>
  <c r="H48" i="16"/>
  <c r="H111" i="16"/>
  <c r="H125" i="16"/>
  <c r="FL48" i="3"/>
  <c r="H8" i="16"/>
  <c r="H16" i="16"/>
  <c r="H24" i="16"/>
  <c r="H40" i="16"/>
  <c r="H62" i="16"/>
  <c r="H70" i="16"/>
  <c r="H84" i="16"/>
  <c r="H89" i="16"/>
  <c r="H92" i="16"/>
  <c r="H131" i="16"/>
  <c r="H145" i="16"/>
  <c r="H156" i="16"/>
  <c r="H172" i="16"/>
  <c r="H192" i="16"/>
  <c r="H224" i="16"/>
  <c r="FO47" i="3"/>
  <c r="H141" i="16"/>
  <c r="H102" i="16"/>
  <c r="H152" i="16"/>
  <c r="H269" i="16"/>
  <c r="H31" i="16"/>
  <c r="H94" i="16"/>
  <c r="H188" i="16"/>
  <c r="H275" i="16"/>
  <c r="H26" i="16"/>
  <c r="H56" i="16"/>
  <c r="H108" i="16"/>
  <c r="H136" i="16"/>
  <c r="H194" i="16"/>
  <c r="H34" i="16"/>
  <c r="H27" i="16"/>
  <c r="H32" i="16"/>
  <c r="H73" i="16"/>
  <c r="H76" i="16"/>
  <c r="S45" i="3"/>
  <c r="BO45" i="3"/>
  <c r="ED45" i="3"/>
  <c r="DC46" i="3"/>
  <c r="G47" i="3"/>
  <c r="ET47" i="3"/>
  <c r="GE48" i="3"/>
  <c r="T45" i="3"/>
  <c r="BU45" i="3"/>
  <c r="EL45" i="3"/>
  <c r="DG46" i="3"/>
  <c r="AC47" i="3"/>
  <c r="FN47" i="3"/>
  <c r="CC45" i="3"/>
  <c r="AB45" i="3"/>
  <c r="CG45" i="3"/>
  <c r="EU45" i="3"/>
  <c r="M46" i="3"/>
  <c r="EI46" i="3"/>
  <c r="AQ47" i="3"/>
  <c r="GE47" i="3"/>
  <c r="AM45" i="3"/>
  <c r="CM45" i="3"/>
  <c r="FB45" i="3"/>
  <c r="T46" i="3"/>
  <c r="EN46" i="3"/>
  <c r="BB47" i="3"/>
  <c r="GL47" i="3"/>
  <c r="AR48" i="3"/>
  <c r="BL45" i="3"/>
  <c r="AD47" i="3"/>
  <c r="AN45" i="3"/>
  <c r="FG45" i="3"/>
  <c r="AI46" i="3"/>
  <c r="FA46" i="3"/>
  <c r="CA47" i="3"/>
  <c r="AS48" i="3"/>
  <c r="DZ45" i="3"/>
  <c r="L46" i="3"/>
  <c r="DA45" i="3"/>
  <c r="FS46" i="3"/>
  <c r="O50" i="3"/>
  <c r="FK48" i="3"/>
  <c r="EG47" i="3"/>
  <c r="ET45" i="3"/>
  <c r="EE46" i="3"/>
  <c r="CP45" i="3"/>
  <c r="FQ45" i="3"/>
  <c r="BH48" i="3"/>
  <c r="AP45" i="3"/>
  <c r="DB45" i="3"/>
  <c r="FR45" i="3"/>
  <c r="AY46" i="3"/>
  <c r="FW46" i="3"/>
  <c r="CI47" i="3"/>
  <c r="DA48" i="3"/>
  <c r="T50" i="3"/>
  <c r="O45" i="3"/>
  <c r="CN46" i="3"/>
  <c r="AO45" i="3"/>
  <c r="AW46" i="3"/>
  <c r="F8" i="16"/>
  <c r="E8" i="16"/>
  <c r="AS45" i="3"/>
  <c r="DH45" i="3"/>
  <c r="GF45" i="3"/>
  <c r="BO46" i="3"/>
  <c r="GA46" i="3"/>
  <c r="CY47" i="3"/>
  <c r="DB48" i="3"/>
  <c r="P45" i="3"/>
  <c r="Y45" i="3"/>
  <c r="FI50" i="3"/>
  <c r="CV50" i="3"/>
  <c r="AS50" i="3"/>
  <c r="Q45" i="3"/>
  <c r="GV48" i="3"/>
  <c r="FO48" i="3"/>
  <c r="EL48" i="3"/>
  <c r="DK48" i="3"/>
  <c r="CC48" i="3"/>
  <c r="AW48" i="3"/>
  <c r="DZ50" i="3"/>
  <c r="BP50" i="3"/>
  <c r="GE50" i="3"/>
  <c r="EX48" i="3"/>
  <c r="CQ48" i="3"/>
  <c r="AG48" i="3"/>
  <c r="FF47" i="3"/>
  <c r="DK47" i="3"/>
  <c r="BO47" i="3"/>
  <c r="AB47" i="3"/>
  <c r="FO46" i="3"/>
  <c r="DZ46" i="3"/>
  <c r="CI46" i="3"/>
  <c r="AT46" i="3"/>
  <c r="FP45" i="3"/>
  <c r="EQ45" i="3"/>
  <c r="DU45" i="3"/>
  <c r="CZ45" i="3"/>
  <c r="CB45" i="3"/>
  <c r="BF45" i="3"/>
  <c r="AL45" i="3"/>
  <c r="N45" i="3"/>
  <c r="G45" i="3"/>
  <c r="FD50" i="3"/>
  <c r="EW48" i="3"/>
  <c r="CP48" i="3"/>
  <c r="AA48" i="3"/>
  <c r="FE47" i="3"/>
  <c r="DJ47" i="3"/>
  <c r="BN47" i="3"/>
  <c r="AA47" i="3"/>
  <c r="FH46" i="3"/>
  <c r="DS46" i="3"/>
  <c r="CG46" i="3"/>
  <c r="AM46" i="3"/>
  <c r="GW45" i="3"/>
  <c r="FO45" i="3"/>
  <c r="EP45" i="3"/>
  <c r="DT45" i="3"/>
  <c r="CY45" i="3"/>
  <c r="CA45" i="3"/>
  <c r="BC45" i="3"/>
  <c r="AG45" i="3"/>
  <c r="M45" i="3"/>
  <c r="FC46" i="3"/>
  <c r="FH45" i="3"/>
  <c r="DO45" i="3"/>
  <c r="BY45" i="3"/>
  <c r="AC45" i="3"/>
  <c r="ES50" i="3"/>
  <c r="GW48" i="3"/>
  <c r="EQ48" i="3"/>
  <c r="CD48" i="3"/>
  <c r="W48" i="3"/>
  <c r="FC47" i="3"/>
  <c r="DF47" i="3"/>
  <c r="BK47" i="3"/>
  <c r="O47" i="3"/>
  <c r="FG46" i="3"/>
  <c r="DQ46" i="3"/>
  <c r="CF46" i="3"/>
  <c r="AK46" i="3"/>
  <c r="GS45" i="3"/>
  <c r="FN45" i="3"/>
  <c r="EO45" i="3"/>
  <c r="DQ45" i="3"/>
  <c r="CU45" i="3"/>
  <c r="BZ45" i="3"/>
  <c r="BB45" i="3"/>
  <c r="AF45" i="3"/>
  <c r="K45" i="3"/>
  <c r="BU46" i="3"/>
  <c r="EM45" i="3"/>
  <c r="BA45" i="3"/>
  <c r="DW50" i="3"/>
  <c r="GU48" i="3"/>
  <c r="EK48" i="3"/>
  <c r="CB48" i="3"/>
  <c r="V48" i="3"/>
  <c r="GM47" i="3"/>
  <c r="EU47" i="3"/>
  <c r="DE47" i="3"/>
  <c r="BJ47" i="3"/>
  <c r="N47" i="3"/>
  <c r="DN46" i="3"/>
  <c r="AJ46" i="3"/>
  <c r="GM45" i="3"/>
  <c r="CT45" i="3"/>
  <c r="DV50" i="3"/>
  <c r="GT48" i="3"/>
  <c r="EE48" i="3"/>
  <c r="CA48" i="3"/>
  <c r="O48" i="3"/>
  <c r="CU50" i="3"/>
  <c r="GM48" i="3"/>
  <c r="EC48" i="3"/>
  <c r="BW48" i="3"/>
  <c r="M48" i="3"/>
  <c r="GK47" i="3"/>
  <c r="EI47" i="3"/>
  <c r="CU47" i="3"/>
  <c r="BA47" i="3"/>
  <c r="GK46" i="3"/>
  <c r="EZ46" i="3"/>
  <c r="DE46" i="3"/>
  <c r="BQ46" i="3"/>
  <c r="AE46" i="3"/>
  <c r="GK45" i="3"/>
  <c r="FD45" i="3"/>
  <c r="EH45" i="3"/>
  <c r="DM45" i="3"/>
  <c r="CO45" i="3"/>
  <c r="BS45" i="3"/>
  <c r="AY45" i="3"/>
  <c r="AA45" i="3"/>
  <c r="BZ50" i="3"/>
  <c r="GF48" i="3"/>
  <c r="DS48" i="3"/>
  <c r="BI48" i="3"/>
  <c r="J48" i="3"/>
  <c r="GG47" i="3"/>
  <c r="EH47" i="3"/>
  <c r="CT47" i="3"/>
  <c r="AY47" i="3"/>
  <c r="GH46" i="3"/>
  <c r="EO46" i="3"/>
  <c r="DD46" i="3"/>
  <c r="BP46" i="3"/>
  <c r="AA46" i="3"/>
  <c r="GG45" i="3"/>
  <c r="FC45" i="3"/>
  <c r="EG45" i="3"/>
  <c r="DL45" i="3"/>
  <c r="CN45" i="3"/>
  <c r="BP45" i="3"/>
  <c r="AT45" i="3"/>
  <c r="Z45" i="3"/>
  <c r="BK50" i="3"/>
  <c r="FU48" i="3"/>
  <c r="DL48" i="3"/>
  <c r="AY48" i="3"/>
  <c r="FS47" i="3"/>
  <c r="EF47" i="3"/>
  <c r="CH47" i="3"/>
  <c r="AP47" i="3"/>
  <c r="FY46" i="3"/>
  <c r="EK46" i="3"/>
  <c r="CY46" i="3"/>
  <c r="BK46" i="3"/>
  <c r="S46" i="3"/>
  <c r="FY45" i="3"/>
  <c r="FA45" i="3"/>
  <c r="EC45" i="3"/>
  <c r="DG45" i="3"/>
  <c r="CL45" i="3"/>
  <c r="BN45" i="3"/>
  <c r="AH50" i="3"/>
  <c r="FM48" i="3"/>
  <c r="DG48" i="3"/>
  <c r="AT48" i="3"/>
  <c r="FR47" i="3"/>
  <c r="EE47" i="3"/>
  <c r="CG47" i="3"/>
  <c r="AE47" i="3"/>
  <c r="FX46" i="3"/>
  <c r="EJ46" i="3"/>
  <c r="CU46" i="3"/>
  <c r="BF46" i="3"/>
  <c r="O46" i="3"/>
  <c r="FU45" i="3"/>
  <c r="EY45" i="3"/>
  <c r="EA45" i="3"/>
  <c r="DC45" i="3"/>
  <c r="CH45" i="3"/>
  <c r="BM45" i="3"/>
  <c r="CC47" i="3"/>
  <c r="AZ45" i="3"/>
  <c r="DN45" i="3"/>
  <c r="GL45" i="3"/>
  <c r="BT46" i="3"/>
  <c r="GM46" i="3"/>
  <c r="DR47" i="3"/>
  <c r="DQ48" i="3"/>
  <c r="GQ50" i="3"/>
  <c r="S50" i="3"/>
  <c r="BQ50" i="3"/>
  <c r="EK50" i="3"/>
  <c r="AD45" i="3"/>
  <c r="AQ45" i="3"/>
  <c r="BD45" i="3"/>
  <c r="BQ45" i="3"/>
  <c r="CD45" i="3"/>
  <c r="CQ45" i="3"/>
  <c r="DE45" i="3"/>
  <c r="DR45" i="3"/>
  <c r="EE45" i="3"/>
  <c r="ER45" i="3"/>
  <c r="FE45" i="3"/>
  <c r="FS45" i="3"/>
  <c r="GN45" i="3"/>
  <c r="U46" i="3"/>
  <c r="AU46" i="3"/>
  <c r="BR46" i="3"/>
  <c r="CO46" i="3"/>
  <c r="DO46" i="3"/>
  <c r="EL46" i="3"/>
  <c r="FI46" i="3"/>
  <c r="GI46" i="3"/>
  <c r="I47" i="3"/>
  <c r="AK47" i="3"/>
  <c r="BL47" i="3"/>
  <c r="CK47" i="3"/>
  <c r="DM47" i="3"/>
  <c r="EO47" i="3"/>
  <c r="FP47" i="3"/>
  <c r="GO47" i="3"/>
  <c r="X48" i="3"/>
  <c r="BF48" i="3"/>
  <c r="CG48" i="3"/>
  <c r="DM48" i="3"/>
  <c r="EU48" i="3"/>
  <c r="FV48" i="3"/>
  <c r="U50" i="3"/>
  <c r="CE50" i="3"/>
  <c r="ET50" i="3"/>
  <c r="GL50" i="3"/>
  <c r="FZ50" i="3"/>
  <c r="FN50" i="3"/>
  <c r="FB50" i="3"/>
  <c r="EP50" i="3"/>
  <c r="ED50" i="3"/>
  <c r="DR50" i="3"/>
  <c r="DF50" i="3"/>
  <c r="CT50" i="3"/>
  <c r="CH50" i="3"/>
  <c r="BV50" i="3"/>
  <c r="BJ50" i="3"/>
  <c r="AX50" i="3"/>
  <c r="AL50" i="3"/>
  <c r="Z50" i="3"/>
  <c r="N50" i="3"/>
  <c r="GW50" i="3"/>
  <c r="GK50" i="3"/>
  <c r="FY50" i="3"/>
  <c r="FM50" i="3"/>
  <c r="FA50" i="3"/>
  <c r="EO50" i="3"/>
  <c r="EC50" i="3"/>
  <c r="DQ50" i="3"/>
  <c r="DE50" i="3"/>
  <c r="CS50" i="3"/>
  <c r="CG50" i="3"/>
  <c r="BU50" i="3"/>
  <c r="BI50" i="3"/>
  <c r="AW50" i="3"/>
  <c r="AK50" i="3"/>
  <c r="Y50" i="3"/>
  <c r="M50" i="3"/>
  <c r="GV50" i="3"/>
  <c r="GJ50" i="3"/>
  <c r="FX50" i="3"/>
  <c r="FL50" i="3"/>
  <c r="EZ50" i="3"/>
  <c r="EN50" i="3"/>
  <c r="EB50" i="3"/>
  <c r="DP50" i="3"/>
  <c r="DD50" i="3"/>
  <c r="CR50" i="3"/>
  <c r="CF50" i="3"/>
  <c r="BT50" i="3"/>
  <c r="BH50" i="3"/>
  <c r="AV50" i="3"/>
  <c r="AJ50" i="3"/>
  <c r="X50" i="3"/>
  <c r="L50" i="3"/>
  <c r="GT50" i="3"/>
  <c r="GH50" i="3"/>
  <c r="FV50" i="3"/>
  <c r="FJ50" i="3"/>
  <c r="GI50" i="3"/>
  <c r="FR50" i="3"/>
  <c r="EY50" i="3"/>
  <c r="EJ50" i="3"/>
  <c r="DU50" i="3"/>
  <c r="DC50" i="3"/>
  <c r="CN50" i="3"/>
  <c r="BY50" i="3"/>
  <c r="BG50" i="3"/>
  <c r="AR50" i="3"/>
  <c r="AC50" i="3"/>
  <c r="K50" i="3"/>
  <c r="GP48" i="3"/>
  <c r="GD48" i="3"/>
  <c r="FR48" i="3"/>
  <c r="FF48" i="3"/>
  <c r="ET48" i="3"/>
  <c r="EH48" i="3"/>
  <c r="DV48" i="3"/>
  <c r="DJ48" i="3"/>
  <c r="CX48" i="3"/>
  <c r="CL48" i="3"/>
  <c r="BZ48" i="3"/>
  <c r="BN48" i="3"/>
  <c r="BB48" i="3"/>
  <c r="AP48" i="3"/>
  <c r="AD48" i="3"/>
  <c r="R48" i="3"/>
  <c r="GV47" i="3"/>
  <c r="GJ47" i="3"/>
  <c r="FX47" i="3"/>
  <c r="FL47" i="3"/>
  <c r="EZ47" i="3"/>
  <c r="EN47" i="3"/>
  <c r="EB47" i="3"/>
  <c r="DP47" i="3"/>
  <c r="DD47" i="3"/>
  <c r="CR47" i="3"/>
  <c r="CF47" i="3"/>
  <c r="BT47" i="3"/>
  <c r="BH47" i="3"/>
  <c r="AV47" i="3"/>
  <c r="AJ47" i="3"/>
  <c r="X47" i="3"/>
  <c r="L47" i="3"/>
  <c r="GP46" i="3"/>
  <c r="GD46" i="3"/>
  <c r="FR46" i="3"/>
  <c r="FF46" i="3"/>
  <c r="ET46" i="3"/>
  <c r="EH46" i="3"/>
  <c r="DV46" i="3"/>
  <c r="DJ46" i="3"/>
  <c r="CX46" i="3"/>
  <c r="CL46" i="3"/>
  <c r="BZ46" i="3"/>
  <c r="BN46" i="3"/>
  <c r="BB46" i="3"/>
  <c r="AP46" i="3"/>
  <c r="AD46" i="3"/>
  <c r="R46" i="3"/>
  <c r="GV45" i="3"/>
  <c r="GJ45" i="3"/>
  <c r="FX45" i="3"/>
  <c r="FL45" i="3"/>
  <c r="GG50" i="3"/>
  <c r="FQ50" i="3"/>
  <c r="EX50" i="3"/>
  <c r="EI50" i="3"/>
  <c r="DT50" i="3"/>
  <c r="DB50" i="3"/>
  <c r="CM50" i="3"/>
  <c r="BX50" i="3"/>
  <c r="BF50" i="3"/>
  <c r="AQ50" i="3"/>
  <c r="AB50" i="3"/>
  <c r="J50" i="3"/>
  <c r="GO48" i="3"/>
  <c r="GC48" i="3"/>
  <c r="FQ48" i="3"/>
  <c r="FE48" i="3"/>
  <c r="ES48" i="3"/>
  <c r="EG48" i="3"/>
  <c r="DU48" i="3"/>
  <c r="DI48" i="3"/>
  <c r="CW48" i="3"/>
  <c r="CK48" i="3"/>
  <c r="BY48" i="3"/>
  <c r="BM48" i="3"/>
  <c r="BA48" i="3"/>
  <c r="AO48" i="3"/>
  <c r="AC48" i="3"/>
  <c r="Q48" i="3"/>
  <c r="E48" i="3"/>
  <c r="GU47" i="3"/>
  <c r="GI47" i="3"/>
  <c r="FW47" i="3"/>
  <c r="FK47" i="3"/>
  <c r="EY47" i="3"/>
  <c r="EM47" i="3"/>
  <c r="EA47" i="3"/>
  <c r="DO47" i="3"/>
  <c r="DC47" i="3"/>
  <c r="CQ47" i="3"/>
  <c r="CE47" i="3"/>
  <c r="BS47" i="3"/>
  <c r="BG47" i="3"/>
  <c r="AU47" i="3"/>
  <c r="AI47" i="3"/>
  <c r="W47" i="3"/>
  <c r="K47" i="3"/>
  <c r="GO46" i="3"/>
  <c r="GC46" i="3"/>
  <c r="FQ46" i="3"/>
  <c r="FE46" i="3"/>
  <c r="ES46" i="3"/>
  <c r="EG46" i="3"/>
  <c r="DU46" i="3"/>
  <c r="DI46" i="3"/>
  <c r="CW46" i="3"/>
  <c r="CK46" i="3"/>
  <c r="BY46" i="3"/>
  <c r="BM46" i="3"/>
  <c r="BA46" i="3"/>
  <c r="AO46" i="3"/>
  <c r="AC46" i="3"/>
  <c r="Q46" i="3"/>
  <c r="E46" i="3"/>
  <c r="GU45" i="3"/>
  <c r="GI45" i="3"/>
  <c r="FW45" i="3"/>
  <c r="GF50" i="3"/>
  <c r="FP50" i="3"/>
  <c r="EW50" i="3"/>
  <c r="EH50" i="3"/>
  <c r="DS50" i="3"/>
  <c r="DA50" i="3"/>
  <c r="CL50" i="3"/>
  <c r="BW50" i="3"/>
  <c r="BE50" i="3"/>
  <c r="AP50" i="3"/>
  <c r="AA50" i="3"/>
  <c r="I50" i="3"/>
  <c r="GN48" i="3"/>
  <c r="GB48" i="3"/>
  <c r="FP48" i="3"/>
  <c r="FD48" i="3"/>
  <c r="ER48" i="3"/>
  <c r="EF48" i="3"/>
  <c r="DT48" i="3"/>
  <c r="DH48" i="3"/>
  <c r="CV48" i="3"/>
  <c r="CJ48" i="3"/>
  <c r="BX48" i="3"/>
  <c r="BL48" i="3"/>
  <c r="AZ48" i="3"/>
  <c r="AN48" i="3"/>
  <c r="AB48" i="3"/>
  <c r="P48" i="3"/>
  <c r="GT47" i="3"/>
  <c r="GH47" i="3"/>
  <c r="FV47" i="3"/>
  <c r="FJ47" i="3"/>
  <c r="EX47" i="3"/>
  <c r="EL47" i="3"/>
  <c r="DZ47" i="3"/>
  <c r="DN47" i="3"/>
  <c r="DB47" i="3"/>
  <c r="CP47" i="3"/>
  <c r="CD47" i="3"/>
  <c r="BR47" i="3"/>
  <c r="BF47" i="3"/>
  <c r="AT47" i="3"/>
  <c r="AH47" i="3"/>
  <c r="V47" i="3"/>
  <c r="J47" i="3"/>
  <c r="GN46" i="3"/>
  <c r="GB46" i="3"/>
  <c r="FP46" i="3"/>
  <c r="FD46" i="3"/>
  <c r="ER46" i="3"/>
  <c r="EF46" i="3"/>
  <c r="DT46" i="3"/>
  <c r="DH46" i="3"/>
  <c r="CV46" i="3"/>
  <c r="CJ46" i="3"/>
  <c r="BX46" i="3"/>
  <c r="BL46" i="3"/>
  <c r="AZ46" i="3"/>
  <c r="AN46" i="3"/>
  <c r="AB46" i="3"/>
  <c r="P46" i="3"/>
  <c r="GT45" i="3"/>
  <c r="GH45" i="3"/>
  <c r="FV45" i="3"/>
  <c r="GU50" i="3"/>
  <c r="GD50" i="3"/>
  <c r="FK50" i="3"/>
  <c r="EU50" i="3"/>
  <c r="EF50" i="3"/>
  <c r="DN50" i="3"/>
  <c r="CY50" i="3"/>
  <c r="CJ50" i="3"/>
  <c r="BR50" i="3"/>
  <c r="BC50" i="3"/>
  <c r="AN50" i="3"/>
  <c r="V50" i="3"/>
  <c r="G50" i="3"/>
  <c r="GL48" i="3"/>
  <c r="FZ48" i="3"/>
  <c r="FN48" i="3"/>
  <c r="FB48" i="3"/>
  <c r="EP48" i="3"/>
  <c r="ED48" i="3"/>
  <c r="DR48" i="3"/>
  <c r="DF48" i="3"/>
  <c r="CT48" i="3"/>
  <c r="CH48" i="3"/>
  <c r="BV48" i="3"/>
  <c r="BJ48" i="3"/>
  <c r="AX48" i="3"/>
  <c r="AL48" i="3"/>
  <c r="Z48" i="3"/>
  <c r="N48" i="3"/>
  <c r="GR47" i="3"/>
  <c r="GF47" i="3"/>
  <c r="FT47" i="3"/>
  <c r="FH47" i="3"/>
  <c r="EV47" i="3"/>
  <c r="EJ47" i="3"/>
  <c r="DX47" i="3"/>
  <c r="DL47" i="3"/>
  <c r="CZ47" i="3"/>
  <c r="CN47" i="3"/>
  <c r="CB47" i="3"/>
  <c r="BP47" i="3"/>
  <c r="BD47" i="3"/>
  <c r="AR47" i="3"/>
  <c r="AF47" i="3"/>
  <c r="T47" i="3"/>
  <c r="H47" i="3"/>
  <c r="GL46" i="3"/>
  <c r="FZ46" i="3"/>
  <c r="FN46" i="3"/>
  <c r="FB46" i="3"/>
  <c r="EP46" i="3"/>
  <c r="ED46" i="3"/>
  <c r="DR46" i="3"/>
  <c r="DF46" i="3"/>
  <c r="CT46" i="3"/>
  <c r="CH46" i="3"/>
  <c r="BV46" i="3"/>
  <c r="BJ46" i="3"/>
  <c r="AX46" i="3"/>
  <c r="AL46" i="3"/>
  <c r="Z46" i="3"/>
  <c r="N46" i="3"/>
  <c r="GO50" i="3"/>
  <c r="FU50" i="3"/>
  <c r="FE50" i="3"/>
  <c r="EM50" i="3"/>
  <c r="DX50" i="3"/>
  <c r="DI50" i="3"/>
  <c r="CQ50" i="3"/>
  <c r="CB50" i="3"/>
  <c r="FT50" i="3"/>
  <c r="ER50" i="3"/>
  <c r="DM50" i="3"/>
  <c r="CO50" i="3"/>
  <c r="BN50" i="3"/>
  <c r="AO50" i="3"/>
  <c r="R50" i="3"/>
  <c r="GS48" i="3"/>
  <c r="FY48" i="3"/>
  <c r="FI48" i="3"/>
  <c r="EO48" i="3"/>
  <c r="DY48" i="3"/>
  <c r="DE48" i="3"/>
  <c r="CO48" i="3"/>
  <c r="BU48" i="3"/>
  <c r="BE48" i="3"/>
  <c r="AK48" i="3"/>
  <c r="U48" i="3"/>
  <c r="GW47" i="3"/>
  <c r="GC47" i="3"/>
  <c r="FM47" i="3"/>
  <c r="ES47" i="3"/>
  <c r="EC47" i="3"/>
  <c r="DI47" i="3"/>
  <c r="CS47" i="3"/>
  <c r="BY47" i="3"/>
  <c r="BI47" i="3"/>
  <c r="AO47" i="3"/>
  <c r="Y47" i="3"/>
  <c r="E47" i="3"/>
  <c r="GW46" i="3"/>
  <c r="GG46" i="3"/>
  <c r="FM46" i="3"/>
  <c r="EW46" i="3"/>
  <c r="EC46" i="3"/>
  <c r="DM46" i="3"/>
  <c r="CS46" i="3"/>
  <c r="CC46" i="3"/>
  <c r="BI46" i="3"/>
  <c r="AS46" i="3"/>
  <c r="Y46" i="3"/>
  <c r="I46" i="3"/>
  <c r="GR45" i="3"/>
  <c r="GC45" i="3"/>
  <c r="GS50" i="3"/>
  <c r="FS50" i="3"/>
  <c r="EQ50" i="3"/>
  <c r="DL50" i="3"/>
  <c r="CK50" i="3"/>
  <c r="BM50" i="3"/>
  <c r="AM50" i="3"/>
  <c r="Q50" i="3"/>
  <c r="GR48" i="3"/>
  <c r="FX48" i="3"/>
  <c r="FH48" i="3"/>
  <c r="EN48" i="3"/>
  <c r="DX48" i="3"/>
  <c r="DD48" i="3"/>
  <c r="CN48" i="3"/>
  <c r="BT48" i="3"/>
  <c r="BD48" i="3"/>
  <c r="AJ48" i="3"/>
  <c r="T48" i="3"/>
  <c r="GS47" i="3"/>
  <c r="GB47" i="3"/>
  <c r="FI47" i="3"/>
  <c r="ER47" i="3"/>
  <c r="DY47" i="3"/>
  <c r="DH47" i="3"/>
  <c r="CO47" i="3"/>
  <c r="BX47" i="3"/>
  <c r="BE47" i="3"/>
  <c r="AN47" i="3"/>
  <c r="U47" i="3"/>
  <c r="GV46" i="3"/>
  <c r="GF46" i="3"/>
  <c r="FL46" i="3"/>
  <c r="EV46" i="3"/>
  <c r="EB46" i="3"/>
  <c r="DL46" i="3"/>
  <c r="CR46" i="3"/>
  <c r="CB46" i="3"/>
  <c r="BH46" i="3"/>
  <c r="AR46" i="3"/>
  <c r="X46" i="3"/>
  <c r="H46" i="3"/>
  <c r="GQ45" i="3"/>
  <c r="GB45" i="3"/>
  <c r="FM45" i="3"/>
  <c r="EZ45" i="3"/>
  <c r="EN45" i="3"/>
  <c r="EB45" i="3"/>
  <c r="DP45" i="3"/>
  <c r="DD45" i="3"/>
  <c r="CR45" i="3"/>
  <c r="CF45" i="3"/>
  <c r="BT45" i="3"/>
  <c r="BH45" i="3"/>
  <c r="AV45" i="3"/>
  <c r="AJ45" i="3"/>
  <c r="X45" i="3"/>
  <c r="L45" i="3"/>
  <c r="GR50" i="3"/>
  <c r="FO50" i="3"/>
  <c r="EL50" i="3"/>
  <c r="DK50" i="3"/>
  <c r="CI50" i="3"/>
  <c r="BL50" i="3"/>
  <c r="AI50" i="3"/>
  <c r="P50" i="3"/>
  <c r="GQ48" i="3"/>
  <c r="FW48" i="3"/>
  <c r="FG48" i="3"/>
  <c r="EM48" i="3"/>
  <c r="DW48" i="3"/>
  <c r="DC48" i="3"/>
  <c r="CM48" i="3"/>
  <c r="BS48" i="3"/>
  <c r="BC48" i="3"/>
  <c r="AI48" i="3"/>
  <c r="S48" i="3"/>
  <c r="GQ47" i="3"/>
  <c r="GA47" i="3"/>
  <c r="FG47" i="3"/>
  <c r="EQ47" i="3"/>
  <c r="DW47" i="3"/>
  <c r="DG47" i="3"/>
  <c r="CM47" i="3"/>
  <c r="BW47" i="3"/>
  <c r="BC47" i="3"/>
  <c r="AM47" i="3"/>
  <c r="S47" i="3"/>
  <c r="GU46" i="3"/>
  <c r="GE46" i="3"/>
  <c r="FK46" i="3"/>
  <c r="EU46" i="3"/>
  <c r="EA46" i="3"/>
  <c r="DK46" i="3"/>
  <c r="CQ46" i="3"/>
  <c r="CA46" i="3"/>
  <c r="BG46" i="3"/>
  <c r="AQ46" i="3"/>
  <c r="W46" i="3"/>
  <c r="G46" i="3"/>
  <c r="GP45" i="3"/>
  <c r="GA45" i="3"/>
  <c r="GP50" i="3"/>
  <c r="FH50" i="3"/>
  <c r="EG50" i="3"/>
  <c r="DH50" i="3"/>
  <c r="CD50" i="3"/>
  <c r="BD50" i="3"/>
  <c r="AG50" i="3"/>
  <c r="H50" i="3"/>
  <c r="GN50" i="3"/>
  <c r="FG50" i="3"/>
  <c r="EE50" i="3"/>
  <c r="DG50" i="3"/>
  <c r="CC50" i="3"/>
  <c r="BB50" i="3"/>
  <c r="AF50" i="3"/>
  <c r="GJ48" i="3"/>
  <c r="FT48" i="3"/>
  <c r="EZ48" i="3"/>
  <c r="EJ48" i="3"/>
  <c r="DP48" i="3"/>
  <c r="CZ48" i="3"/>
  <c r="CF48" i="3"/>
  <c r="BP48" i="3"/>
  <c r="AV48" i="3"/>
  <c r="AF48" i="3"/>
  <c r="L48" i="3"/>
  <c r="GN47" i="3"/>
  <c r="FU47" i="3"/>
  <c r="FD47" i="3"/>
  <c r="EK47" i="3"/>
  <c r="DT47" i="3"/>
  <c r="DA47" i="3"/>
  <c r="CJ47" i="3"/>
  <c r="BQ47" i="3"/>
  <c r="AZ47" i="3"/>
  <c r="AG47" i="3"/>
  <c r="P47" i="3"/>
  <c r="GR46" i="3"/>
  <c r="GM50" i="3"/>
  <c r="FF50" i="3"/>
  <c r="EA50" i="3"/>
  <c r="CZ50" i="3"/>
  <c r="CA50" i="3"/>
  <c r="BA50" i="3"/>
  <c r="AE50" i="3"/>
  <c r="GI48" i="3"/>
  <c r="FS48" i="3"/>
  <c r="EY48" i="3"/>
  <c r="EI48" i="3"/>
  <c r="DO48" i="3"/>
  <c r="CY48" i="3"/>
  <c r="CE48" i="3"/>
  <c r="BO48" i="3"/>
  <c r="AU48" i="3"/>
  <c r="AE48" i="3"/>
  <c r="K48" i="3"/>
  <c r="GC50" i="3"/>
  <c r="FC50" i="3"/>
  <c r="DY50" i="3"/>
  <c r="CW50" i="3"/>
  <c r="BS50" i="3"/>
  <c r="AY50" i="3"/>
  <c r="W50" i="3"/>
  <c r="E45" i="3"/>
  <c r="R45" i="3"/>
  <c r="AE45" i="3"/>
  <c r="AR45" i="3"/>
  <c r="BE45" i="3"/>
  <c r="BR45" i="3"/>
  <c r="CE45" i="3"/>
  <c r="CS45" i="3"/>
  <c r="DF45" i="3"/>
  <c r="DS45" i="3"/>
  <c r="EF45" i="3"/>
  <c r="ES45" i="3"/>
  <c r="FF45" i="3"/>
  <c r="FT45" i="3"/>
  <c r="GO45" i="3"/>
  <c r="V46" i="3"/>
  <c r="AV46" i="3"/>
  <c r="BS46" i="3"/>
  <c r="CP46" i="3"/>
  <c r="DP46" i="3"/>
  <c r="EM46" i="3"/>
  <c r="FJ46" i="3"/>
  <c r="GJ46" i="3"/>
  <c r="M47" i="3"/>
  <c r="AL47" i="3"/>
  <c r="BM47" i="3"/>
  <c r="CL47" i="3"/>
  <c r="DQ47" i="3"/>
  <c r="EP47" i="3"/>
  <c r="FQ47" i="3"/>
  <c r="GP47" i="3"/>
  <c r="Y48" i="3"/>
  <c r="BG48" i="3"/>
  <c r="CI48" i="3"/>
  <c r="DN48" i="3"/>
  <c r="EV48" i="3"/>
  <c r="GA48" i="3"/>
  <c r="AD50" i="3"/>
  <c r="CP50" i="3"/>
  <c r="EV50" i="3"/>
  <c r="H45" i="3"/>
  <c r="U45" i="3"/>
  <c r="AH45" i="3"/>
  <c r="AU45" i="3"/>
  <c r="BI45" i="3"/>
  <c r="BV45" i="3"/>
  <c r="CI45" i="3"/>
  <c r="CV45" i="3"/>
  <c r="DI45" i="3"/>
  <c r="DV45" i="3"/>
  <c r="EI45" i="3"/>
  <c r="EV45" i="3"/>
  <c r="FI45" i="3"/>
  <c r="FZ45" i="3"/>
  <c r="AF46" i="3"/>
  <c r="BC46" i="3"/>
  <c r="BW46" i="3"/>
  <c r="CZ46" i="3"/>
  <c r="DW46" i="3"/>
  <c r="EQ46" i="3"/>
  <c r="FT46" i="3"/>
  <c r="GQ46" i="3"/>
  <c r="Q47" i="3"/>
  <c r="AS47" i="3"/>
  <c r="BU47" i="3"/>
  <c r="CV47" i="3"/>
  <c r="DU47" i="3"/>
  <c r="EW47" i="3"/>
  <c r="FY47" i="3"/>
  <c r="G48" i="3"/>
  <c r="AH48" i="3"/>
  <c r="BK48" i="3"/>
  <c r="CR48" i="3"/>
  <c r="DZ48" i="3"/>
  <c r="FA48" i="3"/>
  <c r="GG48" i="3"/>
  <c r="AT50" i="3"/>
  <c r="CX50" i="3"/>
  <c r="FW50" i="3"/>
  <c r="I45" i="3"/>
  <c r="V45" i="3"/>
  <c r="AI45" i="3"/>
  <c r="AW45" i="3"/>
  <c r="BJ45" i="3"/>
  <c r="BW45" i="3"/>
  <c r="CJ45" i="3"/>
  <c r="CW45" i="3"/>
  <c r="DJ45" i="3"/>
  <c r="DW45" i="3"/>
  <c r="EJ45" i="3"/>
  <c r="EW45" i="3"/>
  <c r="FJ45" i="3"/>
  <c r="GD45" i="3"/>
  <c r="J46" i="3"/>
  <c r="AG46" i="3"/>
  <c r="BD46" i="3"/>
  <c r="CD46" i="3"/>
  <c r="DA46" i="3"/>
  <c r="DX46" i="3"/>
  <c r="EX46" i="3"/>
  <c r="FU46" i="3"/>
  <c r="GS46" i="3"/>
  <c r="R47" i="3"/>
  <c r="AW47" i="3"/>
  <c r="BV47" i="3"/>
  <c r="CW47" i="3"/>
  <c r="DV47" i="3"/>
  <c r="FA47" i="3"/>
  <c r="FZ47" i="3"/>
  <c r="H48" i="3"/>
  <c r="AM48" i="3"/>
  <c r="BQ48" i="3"/>
  <c r="CS48" i="3"/>
  <c r="EA48" i="3"/>
  <c r="FC48" i="3"/>
  <c r="GH48" i="3"/>
  <c r="AU50" i="3"/>
  <c r="DJ50" i="3"/>
  <c r="GA50" i="3"/>
  <c r="J45" i="3"/>
  <c r="W45" i="3"/>
  <c r="AK45" i="3"/>
  <c r="AX45" i="3"/>
  <c r="BK45" i="3"/>
  <c r="BX45" i="3"/>
  <c r="CK45" i="3"/>
  <c r="CX45" i="3"/>
  <c r="DK45" i="3"/>
  <c r="DX45" i="3"/>
  <c r="EK45" i="3"/>
  <c r="EX45" i="3"/>
  <c r="FK45" i="3"/>
  <c r="GE45" i="3"/>
  <c r="K46" i="3"/>
  <c r="AH46" i="3"/>
  <c r="BE46" i="3"/>
  <c r="CE46" i="3"/>
  <c r="DB46" i="3"/>
  <c r="DY46" i="3"/>
  <c r="EY46" i="3"/>
  <c r="FV46" i="3"/>
  <c r="GT46" i="3"/>
  <c r="Z47" i="3"/>
  <c r="AX47" i="3"/>
  <c r="BZ47" i="3"/>
  <c r="CX47" i="3"/>
  <c r="ED47" i="3"/>
  <c r="FB47" i="3"/>
  <c r="GD47" i="3"/>
  <c r="I48" i="3"/>
  <c r="AQ48" i="3"/>
  <c r="BR48" i="3"/>
  <c r="CU48" i="3"/>
  <c r="EB48" i="3"/>
  <c r="FJ48" i="3"/>
  <c r="GK48" i="3"/>
  <c r="AZ50" i="3"/>
  <c r="DO50" i="3"/>
  <c r="GB50" i="3"/>
  <c r="H120" i="16"/>
  <c r="H130" i="16"/>
  <c r="H142" i="16"/>
  <c r="H201" i="16"/>
  <c r="H245" i="16"/>
  <c r="H281" i="16"/>
  <c r="H305" i="16"/>
  <c r="H171" i="16"/>
  <c r="H182" i="16"/>
  <c r="H184" i="16"/>
  <c r="H197" i="16"/>
  <c r="H203" i="16"/>
  <c r="H49" i="16"/>
  <c r="H75" i="16"/>
  <c r="H103" i="16"/>
  <c r="H115" i="16"/>
  <c r="H132" i="16"/>
  <c r="H153" i="16"/>
  <c r="H164" i="16"/>
  <c r="H191" i="16"/>
  <c r="H216" i="16"/>
  <c r="H218" i="16"/>
  <c r="H243" i="16"/>
  <c r="H261" i="16"/>
  <c r="H307" i="16"/>
  <c r="H304" i="16"/>
  <c r="H301" i="16"/>
  <c r="H298" i="16"/>
  <c r="H295" i="16"/>
  <c r="H292" i="16"/>
  <c r="H289" i="16"/>
  <c r="H286" i="16"/>
  <c r="H283" i="16"/>
  <c r="H280" i="16"/>
  <c r="H277" i="16"/>
  <c r="H274" i="16"/>
  <c r="H271" i="16"/>
  <c r="H268" i="16"/>
  <c r="H265" i="16"/>
  <c r="H262" i="16"/>
  <c r="H259" i="16"/>
  <c r="H256" i="16"/>
  <c r="H253" i="16"/>
  <c r="H250" i="16"/>
  <c r="H247" i="16"/>
  <c r="H244" i="16"/>
  <c r="H241" i="16"/>
  <c r="H238" i="16"/>
  <c r="H235" i="16"/>
  <c r="H232" i="16"/>
  <c r="H229" i="16"/>
  <c r="H226" i="16"/>
  <c r="H223" i="16"/>
  <c r="H220" i="16"/>
  <c r="H217" i="16"/>
  <c r="H214" i="16"/>
  <c r="H211" i="16"/>
  <c r="H208" i="16"/>
  <c r="H205" i="16"/>
  <c r="H202" i="16"/>
  <c r="H199" i="16"/>
  <c r="H196" i="16"/>
  <c r="H193" i="16"/>
  <c r="H190" i="16"/>
  <c r="H187" i="16"/>
  <c r="H306" i="16"/>
  <c r="H303" i="16"/>
  <c r="H300" i="16"/>
  <c r="H297" i="16"/>
  <c r="H294" i="16"/>
  <c r="H291" i="16"/>
  <c r="H288" i="16"/>
  <c r="H285" i="16"/>
  <c r="H282" i="16"/>
  <c r="H279" i="16"/>
  <c r="H276" i="16"/>
  <c r="H302" i="16"/>
  <c r="H296" i="16"/>
  <c r="H290" i="16"/>
  <c r="H284" i="16"/>
  <c r="H278" i="16"/>
  <c r="H267" i="16"/>
  <c r="H258" i="16"/>
  <c r="H249" i="16"/>
  <c r="H240" i="16"/>
  <c r="H231" i="16"/>
  <c r="H222" i="16"/>
  <c r="H213" i="16"/>
  <c r="H204" i="16"/>
  <c r="H195" i="16"/>
  <c r="H186" i="16"/>
  <c r="H178" i="16"/>
  <c r="H167" i="16"/>
  <c r="H272" i="16"/>
  <c r="H270" i="16"/>
  <c r="H266" i="16"/>
  <c r="H227" i="16"/>
  <c r="H225" i="16"/>
  <c r="H221" i="16"/>
  <c r="H206" i="16"/>
  <c r="H189" i="16"/>
  <c r="H185" i="16"/>
  <c r="H159" i="16"/>
  <c r="H148" i="16"/>
  <c r="H134" i="16"/>
  <c r="H123" i="16"/>
  <c r="H112" i="16"/>
  <c r="H98" i="16"/>
  <c r="H264" i="16"/>
  <c r="H260" i="16"/>
  <c r="H254" i="16"/>
  <c r="H252" i="16"/>
  <c r="H248" i="16"/>
  <c r="H219" i="16"/>
  <c r="H200" i="16"/>
  <c r="H180" i="16"/>
  <c r="H175" i="16"/>
  <c r="H162" i="16"/>
  <c r="H154" i="16"/>
  <c r="H140" i="16"/>
  <c r="H129" i="16"/>
  <c r="H118" i="16"/>
  <c r="H104" i="16"/>
  <c r="H93" i="16"/>
  <c r="H82" i="16"/>
  <c r="H68" i="16"/>
  <c r="H57" i="16"/>
  <c r="H46" i="16"/>
  <c r="H236" i="16"/>
  <c r="H234" i="16"/>
  <c r="H230" i="16"/>
  <c r="H183" i="16"/>
  <c r="H160" i="16"/>
  <c r="H146" i="16"/>
  <c r="H11" i="16"/>
  <c r="H22" i="16"/>
  <c r="H36" i="16"/>
  <c r="H41" i="16"/>
  <c r="H54" i="16"/>
  <c r="H59" i="16"/>
  <c r="H80" i="16"/>
  <c r="H85" i="16"/>
  <c r="H110" i="16"/>
  <c r="H117" i="16"/>
  <c r="H122" i="16"/>
  <c r="H127" i="16"/>
  <c r="H144" i="16"/>
  <c r="H155" i="16"/>
  <c r="H173" i="16"/>
  <c r="H210" i="16"/>
  <c r="H212" i="16"/>
  <c r="H239" i="16"/>
  <c r="H287" i="16"/>
  <c r="H19" i="16"/>
  <c r="H33" i="16"/>
  <c r="H51" i="16"/>
  <c r="H67" i="16"/>
  <c r="H72" i="16"/>
  <c r="H77" i="16"/>
  <c r="H90" i="16"/>
  <c r="H95" i="16"/>
  <c r="H100" i="16"/>
  <c r="H105" i="16"/>
  <c r="H139" i="16"/>
  <c r="H166" i="16"/>
  <c r="H168" i="16"/>
  <c r="H237" i="16"/>
  <c r="F9" i="16" l="1"/>
  <c r="G7" i="3"/>
  <c r="E9" i="16"/>
  <c r="GX49" i="3"/>
  <c r="GX48" i="3"/>
  <c r="GX46" i="3"/>
  <c r="GX45" i="3"/>
  <c r="GX47" i="3"/>
  <c r="GX50" i="3"/>
  <c r="C66" i="6"/>
  <c r="G64" i="6"/>
  <c r="BX8" i="3"/>
  <c r="EV8" i="3"/>
  <c r="FV8" i="3"/>
  <c r="FE8" i="3"/>
  <c r="FM8" i="3"/>
  <c r="CW8" i="3"/>
  <c r="AE8" i="3"/>
  <c r="DJ8" i="3"/>
  <c r="GP8" i="3"/>
  <c r="GL8" i="3"/>
  <c r="FO8" i="3"/>
  <c r="AX8" i="3"/>
  <c r="FT8" i="3"/>
  <c r="ES8" i="3"/>
  <c r="AR8" i="3"/>
  <c r="X8" i="3"/>
  <c r="AJ8" i="3"/>
  <c r="GB8" i="3"/>
  <c r="DI8" i="3"/>
  <c r="FF8" i="3"/>
  <c r="EI8" i="3"/>
  <c r="DY8" i="3"/>
  <c r="BM8" i="3"/>
  <c r="EC8" i="3"/>
  <c r="FC8" i="3"/>
  <c r="GK8" i="3"/>
  <c r="CA8" i="3"/>
  <c r="CB8" i="3"/>
  <c r="AS8" i="3"/>
  <c r="FR8" i="3"/>
  <c r="Y8" i="3"/>
  <c r="DB8" i="3"/>
  <c r="BG8" i="3"/>
  <c r="GG8" i="3"/>
  <c r="AV8" i="3"/>
  <c r="GQ8" i="3"/>
  <c r="GR8" i="3"/>
  <c r="I44" i="6"/>
  <c r="K44" i="6" s="1"/>
  <c r="H44" i="6"/>
  <c r="GH8" i="3"/>
  <c r="EE8" i="3"/>
  <c r="DC8" i="3"/>
  <c r="FY8" i="3"/>
  <c r="CT8" i="3"/>
  <c r="EM8" i="3"/>
  <c r="DT8" i="3"/>
  <c r="DU8" i="3"/>
  <c r="P8" i="3"/>
  <c r="AP8" i="3"/>
  <c r="DA8" i="3"/>
  <c r="AN8" i="3"/>
  <c r="FB8" i="3"/>
  <c r="GC8" i="3"/>
  <c r="CJ8" i="3"/>
  <c r="BW8" i="3"/>
  <c r="I42" i="6"/>
  <c r="K42" i="6" s="1"/>
  <c r="H42" i="6"/>
  <c r="E8" i="3"/>
  <c r="E10" i="3" s="1"/>
  <c r="BH8" i="3"/>
  <c r="GT8" i="3"/>
  <c r="DR8" i="3"/>
  <c r="EA8" i="3"/>
  <c r="GM8" i="3"/>
  <c r="AC8" i="3"/>
  <c r="EP8" i="3"/>
  <c r="I46" i="6"/>
  <c r="K46" i="6" s="1"/>
  <c r="H46" i="6"/>
  <c r="EQ8" i="3"/>
  <c r="O8" i="3"/>
  <c r="CM8" i="3"/>
  <c r="CY8" i="3"/>
  <c r="BT8" i="3"/>
  <c r="DE8" i="3"/>
  <c r="BL8" i="3"/>
  <c r="CF8" i="3"/>
  <c r="FL8" i="3"/>
  <c r="CQ8" i="3"/>
  <c r="DN8" i="3"/>
  <c r="FU8" i="3"/>
  <c r="AA8" i="3"/>
  <c r="K8" i="3"/>
  <c r="DO8" i="3"/>
  <c r="GW8" i="3"/>
  <c r="CP8" i="3"/>
  <c r="GS8" i="3"/>
  <c r="AM8" i="3"/>
  <c r="EX8" i="3"/>
  <c r="BV8" i="3"/>
  <c r="DS8" i="3"/>
  <c r="CR8" i="3"/>
  <c r="FX8" i="3"/>
  <c r="CD8" i="3"/>
  <c r="AZ8" i="3"/>
  <c r="Z8" i="3"/>
  <c r="AY8" i="3"/>
  <c r="AF8" i="3"/>
  <c r="FH8" i="3"/>
  <c r="Q8" i="3"/>
  <c r="EU8" i="3"/>
  <c r="GO8" i="3"/>
  <c r="FG8" i="3"/>
  <c r="DV8" i="3"/>
  <c r="DZ8" i="3"/>
  <c r="DF8" i="3"/>
  <c r="GJ8" i="3"/>
  <c r="BQ8" i="3"/>
  <c r="F8" i="3"/>
  <c r="AT8" i="3"/>
  <c r="BS8" i="3"/>
  <c r="BB8" i="3"/>
  <c r="ET8" i="3"/>
  <c r="CG8" i="3"/>
  <c r="EL8" i="3"/>
  <c r="ED8" i="3"/>
  <c r="W8" i="3"/>
  <c r="FQ8" i="3"/>
  <c r="FK8" i="3"/>
  <c r="EF8" i="3"/>
  <c r="AI8" i="3"/>
  <c r="GV8" i="3"/>
  <c r="BD8" i="3"/>
  <c r="BP8" i="3"/>
  <c r="CO8" i="3"/>
  <c r="BZ8" i="3"/>
  <c r="G8" i="3"/>
  <c r="AO8" i="3"/>
  <c r="AB8" i="3"/>
  <c r="BU8" i="3"/>
  <c r="BO8" i="3"/>
  <c r="R8" i="3"/>
  <c r="CV8" i="3"/>
  <c r="I47" i="6"/>
  <c r="K47" i="6" s="1"/>
  <c r="H47" i="6"/>
  <c r="AW8" i="3"/>
  <c r="CI8" i="3"/>
  <c r="V8" i="3"/>
  <c r="DX8" i="3"/>
  <c r="FJ8" i="3"/>
  <c r="H43" i="6"/>
  <c r="I43" i="6"/>
  <c r="K43" i="6" s="1"/>
  <c r="DK8" i="3"/>
  <c r="EW8" i="3"/>
  <c r="AH8" i="3"/>
  <c r="CE8" i="3"/>
  <c r="EB8" i="3"/>
  <c r="FW8" i="3"/>
  <c r="AQ8" i="3"/>
  <c r="BN8" i="3"/>
  <c r="CN8" i="3"/>
  <c r="DM8" i="3"/>
  <c r="CU8" i="3"/>
  <c r="M8" i="3"/>
  <c r="N8" i="3"/>
  <c r="CC8" i="3"/>
  <c r="T8" i="3"/>
  <c r="S8" i="3"/>
  <c r="CH8" i="3"/>
  <c r="AK8" i="3"/>
  <c r="EY8" i="3"/>
  <c r="BY8" i="3"/>
  <c r="EK8" i="3"/>
  <c r="BI8" i="3"/>
  <c r="DD8" i="3"/>
  <c r="I8" i="3"/>
  <c r="AU8" i="3"/>
  <c r="CS8" i="3"/>
  <c r="CX8" i="3"/>
  <c r="EJ8" i="3"/>
  <c r="FZ8" i="3"/>
  <c r="U8" i="3"/>
  <c r="BR8" i="3"/>
  <c r="EN8" i="3"/>
  <c r="GI8" i="3"/>
  <c r="H45" i="6"/>
  <c r="I45" i="6"/>
  <c r="K45" i="6" s="1"/>
  <c r="GN8" i="3"/>
  <c r="AD8" i="3"/>
  <c r="CL8" i="3"/>
  <c r="DL8" i="3"/>
  <c r="EH8" i="3"/>
  <c r="DQ8" i="3"/>
  <c r="AG8" i="3"/>
  <c r="AL8" i="3"/>
  <c r="GF8" i="3"/>
  <c r="FN8" i="3"/>
  <c r="BK8" i="3"/>
  <c r="ER8" i="3"/>
  <c r="FA8" i="3"/>
  <c r="BA8" i="3"/>
  <c r="CZ8" i="3"/>
  <c r="GE8" i="3"/>
  <c r="BJ8" i="3"/>
  <c r="FP8" i="3"/>
  <c r="J8" i="3"/>
  <c r="GD8" i="3"/>
  <c r="DP8" i="3"/>
  <c r="CK8" i="3"/>
  <c r="DW8" i="3"/>
  <c r="FI8" i="3"/>
  <c r="H8" i="3"/>
  <c r="BE8" i="3"/>
  <c r="GA8" i="3"/>
  <c r="L8" i="3"/>
  <c r="EZ8" i="3"/>
  <c r="GU8" i="3"/>
  <c r="FS8" i="3"/>
  <c r="DG8" i="3"/>
  <c r="EG8" i="3"/>
  <c r="FD8" i="3"/>
  <c r="EO8" i="3"/>
  <c r="BC8" i="3"/>
  <c r="BF8" i="3"/>
  <c r="DH8" i="3"/>
  <c r="E10" i="16" l="1"/>
  <c r="H7" i="3"/>
  <c r="F10" i="16"/>
  <c r="D8" i="16"/>
  <c r="F10" i="3"/>
  <c r="F11" i="16" l="1"/>
  <c r="E11" i="16"/>
  <c r="I7" i="3"/>
  <c r="D9" i="16"/>
  <c r="G10" i="3"/>
  <c r="F12" i="16" l="1"/>
  <c r="J7" i="3"/>
  <c r="E12" i="16"/>
  <c r="D10" i="16"/>
  <c r="H10" i="3"/>
  <c r="E13" i="16" l="1"/>
  <c r="K7" i="3"/>
  <c r="F13" i="16"/>
  <c r="D11" i="16"/>
  <c r="I10" i="3"/>
  <c r="F14" i="16" l="1"/>
  <c r="L7" i="3"/>
  <c r="E14" i="16"/>
  <c r="D12" i="16"/>
  <c r="J10" i="3"/>
  <c r="F15" i="16" l="1"/>
  <c r="M7" i="3"/>
  <c r="E15" i="16"/>
  <c r="D13" i="16"/>
  <c r="K10" i="3"/>
  <c r="E16" i="16" l="1"/>
  <c r="N7" i="3"/>
  <c r="F16" i="16"/>
  <c r="D14" i="16"/>
  <c r="L10" i="3"/>
  <c r="F17" i="16" l="1"/>
  <c r="O7" i="3"/>
  <c r="E17" i="16"/>
  <c r="D15" i="16"/>
  <c r="M10" i="3"/>
  <c r="F18" i="16" l="1"/>
  <c r="P7" i="3"/>
  <c r="E18" i="16"/>
  <c r="D16" i="16"/>
  <c r="N10" i="3"/>
  <c r="E19" i="16" l="1"/>
  <c r="Q7" i="3"/>
  <c r="F19" i="16"/>
  <c r="O10" i="3"/>
  <c r="D17" i="16"/>
  <c r="E20" i="16" l="1"/>
  <c r="R7" i="3"/>
  <c r="F20" i="16"/>
  <c r="D18" i="16"/>
  <c r="P10" i="3"/>
  <c r="F21" i="16" l="1"/>
  <c r="S7" i="3"/>
  <c r="E21" i="16"/>
  <c r="D19" i="16"/>
  <c r="Q10" i="3"/>
  <c r="E22" i="16" l="1"/>
  <c r="F22" i="16"/>
  <c r="T7" i="3"/>
  <c r="D20" i="16"/>
  <c r="R10" i="3"/>
  <c r="E23" i="16" l="1"/>
  <c r="F23" i="16"/>
  <c r="U7" i="3"/>
  <c r="D21" i="16"/>
  <c r="S10" i="3"/>
  <c r="F24" i="16" l="1"/>
  <c r="V7" i="3"/>
  <c r="E24" i="16"/>
  <c r="D22" i="16"/>
  <c r="T10" i="3"/>
  <c r="E25" i="16" l="1"/>
  <c r="W7" i="3"/>
  <c r="F25" i="16"/>
  <c r="D23" i="16"/>
  <c r="U10" i="3"/>
  <c r="F26" i="16" l="1"/>
  <c r="X7" i="3"/>
  <c r="E26" i="16"/>
  <c r="D24" i="16"/>
  <c r="V10" i="3"/>
  <c r="F27" i="16" l="1"/>
  <c r="Y7" i="3"/>
  <c r="E28" i="16" s="1"/>
  <c r="E27" i="16"/>
  <c r="D25" i="16"/>
  <c r="W10" i="3"/>
  <c r="Z7" i="3" l="1"/>
  <c r="F29" i="16" s="1"/>
  <c r="F28" i="16"/>
  <c r="X10" i="3"/>
  <c r="D26" i="16"/>
  <c r="AA7" i="3" l="1"/>
  <c r="F30" i="16" s="1"/>
  <c r="E29" i="16"/>
  <c r="D27" i="16"/>
  <c r="Y10" i="3"/>
  <c r="AB7" i="3" l="1"/>
  <c r="E31" i="16" s="1"/>
  <c r="E30" i="16"/>
  <c r="D28" i="16"/>
  <c r="Z10" i="3"/>
  <c r="AC7" i="3" l="1"/>
  <c r="F32" i="16" s="1"/>
  <c r="F31" i="16"/>
  <c r="AA10" i="3"/>
  <c r="D29" i="16"/>
  <c r="AD7" i="3" l="1"/>
  <c r="F33" i="16" s="1"/>
  <c r="E32" i="16"/>
  <c r="D30" i="16"/>
  <c r="AB10" i="3"/>
  <c r="AE7" i="3" l="1"/>
  <c r="E34" i="16" s="1"/>
  <c r="E33" i="16"/>
  <c r="D31" i="16"/>
  <c r="AC10" i="3"/>
  <c r="AF7" i="3" l="1"/>
  <c r="F35" i="16" s="1"/>
  <c r="F34" i="16"/>
  <c r="D32" i="16"/>
  <c r="AD10" i="3"/>
  <c r="AG7" i="3" l="1"/>
  <c r="F36" i="16" s="1"/>
  <c r="E35" i="16"/>
  <c r="D33" i="16"/>
  <c r="AE10" i="3"/>
  <c r="E36" i="16" l="1"/>
  <c r="AH7" i="3"/>
  <c r="E37" i="16" s="1"/>
  <c r="D34" i="16"/>
  <c r="AF10" i="3"/>
  <c r="AI7" i="3" l="1"/>
  <c r="F38" i="16" s="1"/>
  <c r="F37" i="16"/>
  <c r="D35" i="16"/>
  <c r="AG10" i="3"/>
  <c r="AJ7" i="3" l="1"/>
  <c r="E39" i="16" s="1"/>
  <c r="E38" i="16"/>
  <c r="D36" i="16"/>
  <c r="AH10" i="3"/>
  <c r="F39" i="16" l="1"/>
  <c r="AK7" i="3"/>
  <c r="F40" i="16" s="1"/>
  <c r="D37" i="16"/>
  <c r="AI10" i="3"/>
  <c r="AL7" i="3" l="1"/>
  <c r="F41" i="16" s="1"/>
  <c r="E40" i="16"/>
  <c r="D38" i="16"/>
  <c r="AJ10" i="3"/>
  <c r="AM7" i="3" l="1"/>
  <c r="E42" i="16" s="1"/>
  <c r="E41" i="16"/>
  <c r="D39" i="16"/>
  <c r="AK10" i="3"/>
  <c r="AN7" i="3" l="1"/>
  <c r="E43" i="16" s="1"/>
  <c r="F42" i="16"/>
  <c r="D40" i="16"/>
  <c r="AL10" i="3"/>
  <c r="AO7" i="3" l="1"/>
  <c r="E44" i="16" s="1"/>
  <c r="F43" i="16"/>
  <c r="D41" i="16"/>
  <c r="AM10" i="3"/>
  <c r="F44" i="16" l="1"/>
  <c r="AP7" i="3"/>
  <c r="F45" i="16" s="1"/>
  <c r="D42" i="16"/>
  <c r="AN10" i="3"/>
  <c r="AQ7" i="3" l="1"/>
  <c r="E46" i="16" s="1"/>
  <c r="E45" i="16"/>
  <c r="D43" i="16"/>
  <c r="AO10" i="3"/>
  <c r="F46" i="16" l="1"/>
  <c r="AR7" i="3"/>
  <c r="F47" i="16" s="1"/>
  <c r="D44" i="16"/>
  <c r="AP10" i="3"/>
  <c r="AS7" i="3" l="1"/>
  <c r="F48" i="16" s="1"/>
  <c r="E47" i="16"/>
  <c r="D45" i="16"/>
  <c r="AQ10" i="3"/>
  <c r="E48" i="16" l="1"/>
  <c r="AT7" i="3"/>
  <c r="F49" i="16" s="1"/>
  <c r="D46" i="16"/>
  <c r="AR10" i="3"/>
  <c r="AU7" i="3" l="1"/>
  <c r="F50" i="16" s="1"/>
  <c r="E49" i="16"/>
  <c r="D47" i="16"/>
  <c r="AS10" i="3"/>
  <c r="AV7" i="3" l="1"/>
  <c r="E51" i="16" s="1"/>
  <c r="E50" i="16"/>
  <c r="D48" i="16"/>
  <c r="AT10" i="3"/>
  <c r="F51" i="16" l="1"/>
  <c r="AW7" i="3"/>
  <c r="AX7" i="3" s="1"/>
  <c r="D49" i="16"/>
  <c r="AU10" i="3"/>
  <c r="E52" i="16" l="1"/>
  <c r="F52" i="16"/>
  <c r="D50" i="16"/>
  <c r="AV10" i="3"/>
  <c r="F53" i="16"/>
  <c r="E53" i="16"/>
  <c r="AY7" i="3"/>
  <c r="D51" i="16" l="1"/>
  <c r="AW10" i="3"/>
  <c r="E54" i="16"/>
  <c r="F54" i="16"/>
  <c r="AZ7" i="3"/>
  <c r="D52" i="16" l="1"/>
  <c r="AX10" i="3"/>
  <c r="F55" i="16"/>
  <c r="E55" i="16"/>
  <c r="BA7" i="3"/>
  <c r="D53" i="16" l="1"/>
  <c r="AY10" i="3"/>
  <c r="F56" i="16"/>
  <c r="E56" i="16"/>
  <c r="BB7" i="3"/>
  <c r="D54" i="16" l="1"/>
  <c r="AZ10" i="3"/>
  <c r="F57" i="16"/>
  <c r="E57" i="16"/>
  <c r="BC7" i="3"/>
  <c r="E58" i="16" l="1"/>
  <c r="F58" i="16"/>
  <c r="BD7" i="3"/>
  <c r="D55" i="16"/>
  <c r="BA10" i="3"/>
  <c r="F59" i="16" l="1"/>
  <c r="E59" i="16"/>
  <c r="BE7" i="3"/>
  <c r="D56" i="16"/>
  <c r="BB10" i="3"/>
  <c r="D57" i="16" l="1"/>
  <c r="BC10" i="3"/>
  <c r="E60" i="16"/>
  <c r="F60" i="16"/>
  <c r="BF7" i="3"/>
  <c r="E61" i="16" l="1"/>
  <c r="F61" i="16"/>
  <c r="BG7" i="3"/>
  <c r="D58" i="16"/>
  <c r="BD10" i="3"/>
  <c r="D59" i="16" l="1"/>
  <c r="BE10" i="3"/>
  <c r="F62" i="16"/>
  <c r="E62" i="16"/>
  <c r="BH7" i="3"/>
  <c r="D60" i="16" l="1"/>
  <c r="BF10" i="3"/>
  <c r="E63" i="16"/>
  <c r="F63" i="16"/>
  <c r="BI7" i="3"/>
  <c r="F64" i="16" l="1"/>
  <c r="E64" i="16"/>
  <c r="BJ7" i="3"/>
  <c r="D61" i="16"/>
  <c r="BG10" i="3"/>
  <c r="D62" i="16" l="1"/>
  <c r="BH10" i="3"/>
  <c r="F65" i="16"/>
  <c r="E65" i="16"/>
  <c r="BK7" i="3"/>
  <c r="F66" i="16" l="1"/>
  <c r="E66" i="16"/>
  <c r="BL7" i="3"/>
  <c r="D63" i="16"/>
  <c r="BI10" i="3"/>
  <c r="D64" i="16" l="1"/>
  <c r="BJ10" i="3"/>
  <c r="F67" i="16"/>
  <c r="E67" i="16"/>
  <c r="BM7" i="3"/>
  <c r="D65" i="16" l="1"/>
  <c r="BK10" i="3"/>
  <c r="F68" i="16"/>
  <c r="E68" i="16"/>
  <c r="BN7" i="3"/>
  <c r="D66" i="16" l="1"/>
  <c r="BL10" i="3"/>
  <c r="F69" i="16"/>
  <c r="E69" i="16"/>
  <c r="BO7" i="3"/>
  <c r="E70" i="16" l="1"/>
  <c r="F70" i="16"/>
  <c r="BP7" i="3"/>
  <c r="D67" i="16"/>
  <c r="BM10" i="3"/>
  <c r="D68" i="16" l="1"/>
  <c r="BN10" i="3"/>
  <c r="F71" i="16"/>
  <c r="E71" i="16"/>
  <c r="BQ7" i="3"/>
  <c r="D69" i="16" l="1"/>
  <c r="BO10" i="3"/>
  <c r="F72" i="16"/>
  <c r="E72" i="16"/>
  <c r="BR7" i="3"/>
  <c r="E73" i="16" l="1"/>
  <c r="F73" i="16"/>
  <c r="BS7" i="3"/>
  <c r="D70" i="16"/>
  <c r="BP10" i="3"/>
  <c r="D71" i="16" l="1"/>
  <c r="BQ10" i="3"/>
  <c r="F74" i="16"/>
  <c r="E74" i="16"/>
  <c r="BT7" i="3"/>
  <c r="F75" i="16" l="1"/>
  <c r="E75" i="16"/>
  <c r="BU7" i="3"/>
  <c r="D72" i="16"/>
  <c r="BR10" i="3"/>
  <c r="D73" i="16" l="1"/>
  <c r="BS10" i="3"/>
  <c r="F76" i="16"/>
  <c r="E76" i="16"/>
  <c r="BV7" i="3"/>
  <c r="D74" i="16" l="1"/>
  <c r="BT10" i="3"/>
  <c r="F77" i="16"/>
  <c r="E77" i="16"/>
  <c r="BW7" i="3"/>
  <c r="D75" i="16" l="1"/>
  <c r="BU10" i="3"/>
  <c r="F78" i="16"/>
  <c r="E78" i="16"/>
  <c r="BX7" i="3"/>
  <c r="D76" i="16" l="1"/>
  <c r="BV10" i="3"/>
  <c r="F79" i="16"/>
  <c r="E79" i="16"/>
  <c r="BY7" i="3"/>
  <c r="F80" i="16" l="1"/>
  <c r="E80" i="16"/>
  <c r="BZ7" i="3"/>
  <c r="D77" i="16"/>
  <c r="BW10" i="3"/>
  <c r="D78" i="16" l="1"/>
  <c r="BX10" i="3"/>
  <c r="F81" i="16"/>
  <c r="E81" i="16"/>
  <c r="CA7" i="3"/>
  <c r="D79" i="16" l="1"/>
  <c r="BY10" i="3"/>
  <c r="F82" i="16"/>
  <c r="E82" i="16"/>
  <c r="CB7" i="3"/>
  <c r="D80" i="16" l="1"/>
  <c r="BZ10" i="3"/>
  <c r="F83" i="16"/>
  <c r="E83" i="16"/>
  <c r="CC7" i="3"/>
  <c r="E84" i="16" l="1"/>
  <c r="F84" i="16"/>
  <c r="CD7" i="3"/>
  <c r="D81" i="16"/>
  <c r="CA10" i="3"/>
  <c r="D82" i="16" l="1"/>
  <c r="CB10" i="3"/>
  <c r="F85" i="16"/>
  <c r="E85" i="16"/>
  <c r="CE7" i="3"/>
  <c r="D83" i="16" l="1"/>
  <c r="CC10" i="3"/>
  <c r="F86" i="16"/>
  <c r="E86" i="16"/>
  <c r="CF7" i="3"/>
  <c r="F87" i="16" l="1"/>
  <c r="E87" i="16"/>
  <c r="CG7" i="3"/>
  <c r="D84" i="16"/>
  <c r="CD10" i="3"/>
  <c r="D85" i="16" l="1"/>
  <c r="CE10" i="3"/>
  <c r="F88" i="16"/>
  <c r="E88" i="16"/>
  <c r="CH7" i="3"/>
  <c r="D86" i="16" l="1"/>
  <c r="CF10" i="3"/>
  <c r="F89" i="16"/>
  <c r="E89" i="16"/>
  <c r="CI7" i="3"/>
  <c r="D87" i="16" l="1"/>
  <c r="CG10" i="3"/>
  <c r="F90" i="16"/>
  <c r="E90" i="16"/>
  <c r="CJ7" i="3"/>
  <c r="D88" i="16" l="1"/>
  <c r="CH10" i="3"/>
  <c r="F91" i="16"/>
  <c r="E91" i="16"/>
  <c r="CK7" i="3"/>
  <c r="F92" i="16" l="1"/>
  <c r="E92" i="16"/>
  <c r="CL7" i="3"/>
  <c r="D89" i="16"/>
  <c r="CI10" i="3"/>
  <c r="D90" i="16" l="1"/>
  <c r="CJ10" i="3"/>
  <c r="F93" i="16"/>
  <c r="E93" i="16"/>
  <c r="CM7" i="3"/>
  <c r="E94" i="16" l="1"/>
  <c r="F94" i="16"/>
  <c r="CN7" i="3"/>
  <c r="D91" i="16"/>
  <c r="CK10" i="3"/>
  <c r="F95" i="16" l="1"/>
  <c r="E95" i="16"/>
  <c r="CO7" i="3"/>
  <c r="D92" i="16"/>
  <c r="CL10" i="3"/>
  <c r="D93" i="16" l="1"/>
  <c r="CM10" i="3"/>
  <c r="E96" i="16"/>
  <c r="F96" i="16"/>
  <c r="CP7" i="3"/>
  <c r="F97" i="16" l="1"/>
  <c r="E97" i="16"/>
  <c r="CQ7" i="3"/>
  <c r="D94" i="16"/>
  <c r="CN10" i="3"/>
  <c r="D95" i="16" l="1"/>
  <c r="CO10" i="3"/>
  <c r="F98" i="16"/>
  <c r="E98" i="16"/>
  <c r="CR7" i="3"/>
  <c r="D96" i="16" l="1"/>
  <c r="CP10" i="3"/>
  <c r="F99" i="16"/>
  <c r="E99" i="16"/>
  <c r="CS7" i="3"/>
  <c r="D97" i="16" l="1"/>
  <c r="CQ10" i="3"/>
  <c r="F100" i="16"/>
  <c r="E100" i="16"/>
  <c r="CT7" i="3"/>
  <c r="D98" i="16" l="1"/>
  <c r="CR10" i="3"/>
  <c r="F101" i="16"/>
  <c r="E101" i="16"/>
  <c r="CU7" i="3"/>
  <c r="E102" i="16" l="1"/>
  <c r="F102" i="16"/>
  <c r="CV7" i="3"/>
  <c r="D99" i="16"/>
  <c r="CS10" i="3"/>
  <c r="D100" i="16" l="1"/>
  <c r="CT10" i="3"/>
  <c r="E103" i="16"/>
  <c r="F103" i="16"/>
  <c r="CW7" i="3"/>
  <c r="D101" i="16" l="1"/>
  <c r="CU10" i="3"/>
  <c r="F104" i="16"/>
  <c r="E104" i="16"/>
  <c r="CX7" i="3"/>
  <c r="F105" i="16" l="1"/>
  <c r="E105" i="16"/>
  <c r="CY7" i="3"/>
  <c r="D102" i="16"/>
  <c r="CV10" i="3"/>
  <c r="D103" i="16" l="1"/>
  <c r="CW10" i="3"/>
  <c r="F106" i="16"/>
  <c r="E106" i="16"/>
  <c r="CZ7" i="3"/>
  <c r="D104" i="16" l="1"/>
  <c r="CX10" i="3"/>
  <c r="F107" i="16"/>
  <c r="E107" i="16"/>
  <c r="DA7" i="3"/>
  <c r="D105" i="16" l="1"/>
  <c r="CY10" i="3"/>
  <c r="F108" i="16"/>
  <c r="E108" i="16"/>
  <c r="DB7" i="3"/>
  <c r="D106" i="16" l="1"/>
  <c r="CZ10" i="3"/>
  <c r="E109" i="16"/>
  <c r="F109" i="16"/>
  <c r="DC7" i="3"/>
  <c r="F110" i="16" l="1"/>
  <c r="E110" i="16"/>
  <c r="DD7" i="3"/>
  <c r="D107" i="16"/>
  <c r="DA10" i="3"/>
  <c r="D108" i="16" l="1"/>
  <c r="DB10" i="3"/>
  <c r="F111" i="16"/>
  <c r="E111" i="16"/>
  <c r="DE7" i="3"/>
  <c r="D109" i="16" l="1"/>
  <c r="DC10" i="3"/>
  <c r="F112" i="16"/>
  <c r="E112" i="16"/>
  <c r="DF7" i="3"/>
  <c r="D110" i="16" l="1"/>
  <c r="DD10" i="3"/>
  <c r="F113" i="16"/>
  <c r="E113" i="16"/>
  <c r="DG7" i="3"/>
  <c r="D111" i="16" l="1"/>
  <c r="DE10" i="3"/>
  <c r="E114" i="16"/>
  <c r="F114" i="16"/>
  <c r="DH7" i="3"/>
  <c r="D112" i="16" l="1"/>
  <c r="DF10" i="3"/>
  <c r="F115" i="16"/>
  <c r="E115" i="16"/>
  <c r="DI7" i="3"/>
  <c r="DG10" i="3" l="1"/>
  <c r="D113" i="16"/>
  <c r="F116" i="16"/>
  <c r="E116" i="16"/>
  <c r="DJ7" i="3"/>
  <c r="F117" i="16" l="1"/>
  <c r="E117" i="16"/>
  <c r="DK7" i="3"/>
  <c r="D114" i="16"/>
  <c r="DH10" i="3"/>
  <c r="D115" i="16" l="1"/>
  <c r="DI10" i="3"/>
  <c r="E118" i="16"/>
  <c r="F118" i="16"/>
  <c r="DL7" i="3"/>
  <c r="D116" i="16" l="1"/>
  <c r="DJ10" i="3"/>
  <c r="F119" i="16"/>
  <c r="E119" i="16"/>
  <c r="DM7" i="3"/>
  <c r="D117" i="16" l="1"/>
  <c r="DK10" i="3"/>
  <c r="E120" i="16"/>
  <c r="F120" i="16"/>
  <c r="DN7" i="3"/>
  <c r="D118" i="16" l="1"/>
  <c r="DL10" i="3"/>
  <c r="F121" i="16"/>
  <c r="E121" i="16"/>
  <c r="DO7" i="3"/>
  <c r="D119" i="16" l="1"/>
  <c r="DM10" i="3"/>
  <c r="F122" i="16"/>
  <c r="E122" i="16"/>
  <c r="DP7" i="3"/>
  <c r="D120" i="16" l="1"/>
  <c r="DN10" i="3"/>
  <c r="F123" i="16"/>
  <c r="E123" i="16"/>
  <c r="DQ7" i="3"/>
  <c r="D121" i="16" l="1"/>
  <c r="DO10" i="3"/>
  <c r="F124" i="16"/>
  <c r="E124" i="16"/>
  <c r="DR7" i="3"/>
  <c r="D122" i="16" l="1"/>
  <c r="DP10" i="3"/>
  <c r="F125" i="16"/>
  <c r="E125" i="16"/>
  <c r="DS7" i="3"/>
  <c r="D123" i="16" l="1"/>
  <c r="DQ10" i="3"/>
  <c r="E126" i="16"/>
  <c r="F126" i="16"/>
  <c r="DT7" i="3"/>
  <c r="D124" i="16" l="1"/>
  <c r="DR10" i="3"/>
  <c r="F127" i="16"/>
  <c r="E127" i="16"/>
  <c r="DU7" i="3"/>
  <c r="F128" i="16" l="1"/>
  <c r="E128" i="16"/>
  <c r="DV7" i="3"/>
  <c r="D125" i="16"/>
  <c r="DS10" i="3"/>
  <c r="D126" i="16" l="1"/>
  <c r="DT10" i="3"/>
  <c r="F129" i="16"/>
  <c r="E129" i="16"/>
  <c r="DW7" i="3"/>
  <c r="D127" i="16" l="1"/>
  <c r="DU10" i="3"/>
  <c r="F130" i="16"/>
  <c r="E130" i="16"/>
  <c r="DX7" i="3"/>
  <c r="F131" i="16" l="1"/>
  <c r="E131" i="16"/>
  <c r="DY7" i="3"/>
  <c r="D128" i="16"/>
  <c r="DV10" i="3"/>
  <c r="D129" i="16" l="1"/>
  <c r="DW10" i="3"/>
  <c r="F132" i="16"/>
  <c r="DZ7" i="3"/>
  <c r="E132" i="16"/>
  <c r="DX10" i="3" l="1"/>
  <c r="D130" i="16"/>
  <c r="F133" i="16"/>
  <c r="E133" i="16"/>
  <c r="EA7" i="3"/>
  <c r="F134" i="16" l="1"/>
  <c r="E134" i="16"/>
  <c r="EB7" i="3"/>
  <c r="D131" i="16"/>
  <c r="DY10" i="3"/>
  <c r="D132" i="16" l="1"/>
  <c r="DZ10" i="3"/>
  <c r="F135" i="16"/>
  <c r="E135" i="16"/>
  <c r="EC7" i="3"/>
  <c r="D133" i="16" l="1"/>
  <c r="EA10" i="3"/>
  <c r="F136" i="16"/>
  <c r="E136" i="16"/>
  <c r="ED7" i="3"/>
  <c r="F137" i="16" l="1"/>
  <c r="E137" i="16"/>
  <c r="EE7" i="3"/>
  <c r="D134" i="16"/>
  <c r="EB10" i="3"/>
  <c r="D135" i="16" l="1"/>
  <c r="EC10" i="3"/>
  <c r="F138" i="16"/>
  <c r="E138" i="16"/>
  <c r="EF7" i="3"/>
  <c r="D136" i="16" l="1"/>
  <c r="ED10" i="3"/>
  <c r="E139" i="16"/>
  <c r="F139" i="16"/>
  <c r="EG7" i="3"/>
  <c r="EE10" i="3" l="1"/>
  <c r="D137" i="16"/>
  <c r="F140" i="16"/>
  <c r="E140" i="16"/>
  <c r="EH7" i="3"/>
  <c r="F141" i="16" l="1"/>
  <c r="E141" i="16"/>
  <c r="EI7" i="3"/>
  <c r="D138" i="16"/>
  <c r="EF10" i="3"/>
  <c r="F142" i="16" l="1"/>
  <c r="E142" i="16"/>
  <c r="EJ7" i="3"/>
  <c r="D139" i="16"/>
  <c r="EG10" i="3"/>
  <c r="D140" i="16" l="1"/>
  <c r="EH10" i="3"/>
  <c r="F143" i="16"/>
  <c r="E143" i="16"/>
  <c r="EK7" i="3"/>
  <c r="F144" i="16" l="1"/>
  <c r="E144" i="16"/>
  <c r="EL7" i="3"/>
  <c r="D141" i="16"/>
  <c r="EI10" i="3"/>
  <c r="D142" i="16" l="1"/>
  <c r="EJ10" i="3"/>
  <c r="E145" i="16"/>
  <c r="F145" i="16"/>
  <c r="EM7" i="3"/>
  <c r="D143" i="16" l="1"/>
  <c r="EK10" i="3"/>
  <c r="F146" i="16"/>
  <c r="E146" i="16"/>
  <c r="EN7" i="3"/>
  <c r="F147" i="16" l="1"/>
  <c r="E147" i="16"/>
  <c r="EO7" i="3"/>
  <c r="D144" i="16"/>
  <c r="EL10" i="3"/>
  <c r="D145" i="16" l="1"/>
  <c r="EM10" i="3"/>
  <c r="F148" i="16"/>
  <c r="E148" i="16"/>
  <c r="EP7" i="3"/>
  <c r="F149" i="16" l="1"/>
  <c r="E149" i="16"/>
  <c r="EQ7" i="3"/>
  <c r="D146" i="16"/>
  <c r="EN10" i="3"/>
  <c r="E150" i="16" l="1"/>
  <c r="F150" i="16"/>
  <c r="ER7" i="3"/>
  <c r="D147" i="16"/>
  <c r="EO10" i="3"/>
  <c r="D148" i="16" l="1"/>
  <c r="EP10" i="3"/>
  <c r="E151" i="16"/>
  <c r="F151" i="16"/>
  <c r="ES7" i="3"/>
  <c r="D149" i="16" l="1"/>
  <c r="EQ10" i="3"/>
  <c r="F152" i="16"/>
  <c r="E152" i="16"/>
  <c r="ET7" i="3"/>
  <c r="D150" i="16" l="1"/>
  <c r="ER10" i="3"/>
  <c r="F153" i="16"/>
  <c r="E153" i="16"/>
  <c r="EU7" i="3"/>
  <c r="D151" i="16" l="1"/>
  <c r="ES10" i="3"/>
  <c r="F154" i="16"/>
  <c r="E154" i="16"/>
  <c r="EV7" i="3"/>
  <c r="D152" i="16" l="1"/>
  <c r="ET10" i="3"/>
  <c r="F155" i="16"/>
  <c r="E155" i="16"/>
  <c r="EW7" i="3"/>
  <c r="D153" i="16" l="1"/>
  <c r="EU10" i="3"/>
  <c r="E156" i="16"/>
  <c r="F156" i="16"/>
  <c r="EX7" i="3"/>
  <c r="F157" i="16" l="1"/>
  <c r="E157" i="16"/>
  <c r="EY7" i="3"/>
  <c r="D154" i="16"/>
  <c r="EV10" i="3"/>
  <c r="D155" i="16" l="1"/>
  <c r="EW10" i="3"/>
  <c r="F158" i="16"/>
  <c r="E158" i="16"/>
  <c r="EZ7" i="3"/>
  <c r="D156" i="16" l="1"/>
  <c r="EX10" i="3"/>
  <c r="F159" i="16"/>
  <c r="E159" i="16"/>
  <c r="FA7" i="3"/>
  <c r="D157" i="16" l="1"/>
  <c r="EY10" i="3"/>
  <c r="F160" i="16"/>
  <c r="E160" i="16"/>
  <c r="FB7" i="3"/>
  <c r="F161" i="16" l="1"/>
  <c r="E161" i="16"/>
  <c r="FC7" i="3"/>
  <c r="D158" i="16"/>
  <c r="EZ10" i="3"/>
  <c r="D159" i="16" l="1"/>
  <c r="FA10" i="3"/>
  <c r="E162" i="16"/>
  <c r="F162" i="16"/>
  <c r="FD7" i="3"/>
  <c r="D160" i="16" l="1"/>
  <c r="FB10" i="3"/>
  <c r="F163" i="16"/>
  <c r="E163" i="16"/>
  <c r="FE7" i="3"/>
  <c r="D161" i="16" l="1"/>
  <c r="FC10" i="3"/>
  <c r="F164" i="16"/>
  <c r="E164" i="16"/>
  <c r="FF7" i="3"/>
  <c r="D162" i="16" l="1"/>
  <c r="FD10" i="3"/>
  <c r="E165" i="16"/>
  <c r="F165" i="16"/>
  <c r="FG7" i="3"/>
  <c r="F166" i="16" l="1"/>
  <c r="E166" i="16"/>
  <c r="FH7" i="3"/>
  <c r="D163" i="16"/>
  <c r="FE10" i="3"/>
  <c r="D164" i="16" l="1"/>
  <c r="FF10" i="3"/>
  <c r="F167" i="16"/>
  <c r="E167" i="16"/>
  <c r="FI7" i="3"/>
  <c r="E168" i="16" l="1"/>
  <c r="F168" i="16"/>
  <c r="FJ7" i="3"/>
  <c r="D165" i="16"/>
  <c r="FG10" i="3"/>
  <c r="D166" i="16" l="1"/>
  <c r="FH10" i="3"/>
  <c r="E169" i="16"/>
  <c r="F169" i="16"/>
  <c r="FK7" i="3"/>
  <c r="D167" i="16" l="1"/>
  <c r="FI10" i="3"/>
  <c r="F170" i="16"/>
  <c r="E170" i="16"/>
  <c r="FL7" i="3"/>
  <c r="D168" i="16" l="1"/>
  <c r="FJ10" i="3"/>
  <c r="E171" i="16"/>
  <c r="F171" i="16"/>
  <c r="FM7" i="3"/>
  <c r="D169" i="16" l="1"/>
  <c r="FK10" i="3"/>
  <c r="F172" i="16"/>
  <c r="E172" i="16"/>
  <c r="FN7" i="3"/>
  <c r="D170" i="16" l="1"/>
  <c r="FL10" i="3"/>
  <c r="F173" i="16"/>
  <c r="E173" i="16"/>
  <c r="FO7" i="3"/>
  <c r="D171" i="16" l="1"/>
  <c r="FM10" i="3"/>
  <c r="E174" i="16"/>
  <c r="F174" i="16"/>
  <c r="FP7" i="3"/>
  <c r="F175" i="16" l="1"/>
  <c r="E175" i="16"/>
  <c r="FQ7" i="3"/>
  <c r="D172" i="16"/>
  <c r="FN10" i="3"/>
  <c r="D173" i="16" l="1"/>
  <c r="FO10" i="3"/>
  <c r="E176" i="16"/>
  <c r="F176" i="16"/>
  <c r="FR7" i="3"/>
  <c r="E177" i="16" l="1"/>
  <c r="F177" i="16"/>
  <c r="FS7" i="3"/>
  <c r="D174" i="16"/>
  <c r="FP10" i="3"/>
  <c r="D175" i="16" l="1"/>
  <c r="FQ10" i="3"/>
  <c r="F178" i="16"/>
  <c r="E178" i="16"/>
  <c r="FT7" i="3"/>
  <c r="D176" i="16" l="1"/>
  <c r="FR10" i="3"/>
  <c r="E179" i="16"/>
  <c r="F179" i="16"/>
  <c r="FU7" i="3"/>
  <c r="E180" i="16" l="1"/>
  <c r="F180" i="16"/>
  <c r="FV7" i="3"/>
  <c r="D177" i="16"/>
  <c r="FS10" i="3"/>
  <c r="D178" i="16" l="1"/>
  <c r="FT10" i="3"/>
  <c r="E181" i="16"/>
  <c r="F181" i="16"/>
  <c r="FW7" i="3"/>
  <c r="D179" i="16" l="1"/>
  <c r="FU10" i="3"/>
  <c r="F182" i="16"/>
  <c r="E182" i="16"/>
  <c r="FX7" i="3"/>
  <c r="D180" i="16" l="1"/>
  <c r="FV10" i="3"/>
  <c r="E183" i="16"/>
  <c r="F183" i="16"/>
  <c r="FY7" i="3"/>
  <c r="D181" i="16" l="1"/>
  <c r="FW10" i="3"/>
  <c r="E184" i="16"/>
  <c r="F184" i="16"/>
  <c r="FZ7" i="3"/>
  <c r="F185" i="16" l="1"/>
  <c r="E185" i="16"/>
  <c r="GA7" i="3"/>
  <c r="D182" i="16"/>
  <c r="FX10" i="3"/>
  <c r="D183" i="16" l="1"/>
  <c r="FY10" i="3"/>
  <c r="E186" i="16"/>
  <c r="F186" i="16"/>
  <c r="GB7" i="3"/>
  <c r="F187" i="16" l="1"/>
  <c r="E187" i="16"/>
  <c r="GC7" i="3"/>
  <c r="D184" i="16"/>
  <c r="FZ10" i="3"/>
  <c r="D185" i="16" l="1"/>
  <c r="GA10" i="3"/>
  <c r="F188" i="16"/>
  <c r="E188" i="16"/>
  <c r="GD7" i="3"/>
  <c r="D186" i="16" l="1"/>
  <c r="GB10" i="3"/>
  <c r="E189" i="16"/>
  <c r="F189" i="16"/>
  <c r="GE7" i="3"/>
  <c r="F190" i="16" l="1"/>
  <c r="E190" i="16"/>
  <c r="GF7" i="3"/>
  <c r="D187" i="16"/>
  <c r="GC10" i="3"/>
  <c r="D188" i="16" l="1"/>
  <c r="GD10" i="3"/>
  <c r="F191" i="16"/>
  <c r="E191" i="16"/>
  <c r="GG7" i="3"/>
  <c r="D189" i="16" l="1"/>
  <c r="GE10" i="3"/>
  <c r="E192" i="16"/>
  <c r="F192" i="16"/>
  <c r="GH7" i="3"/>
  <c r="D190" i="16" l="1"/>
  <c r="GF10" i="3"/>
  <c r="F193" i="16"/>
  <c r="E193" i="16"/>
  <c r="GI7" i="3"/>
  <c r="D191" i="16" l="1"/>
  <c r="GG10" i="3"/>
  <c r="F194" i="16"/>
  <c r="E194" i="16"/>
  <c r="GJ7" i="3"/>
  <c r="D192" i="16" l="1"/>
  <c r="GH10" i="3"/>
  <c r="E195" i="16"/>
  <c r="F195" i="16"/>
  <c r="GK7" i="3"/>
  <c r="D193" i="16" l="1"/>
  <c r="GI10" i="3"/>
  <c r="F196" i="16"/>
  <c r="E196" i="16"/>
  <c r="GL7" i="3"/>
  <c r="D194" i="16" l="1"/>
  <c r="GJ10" i="3"/>
  <c r="F197" i="16"/>
  <c r="E197" i="16"/>
  <c r="GM7" i="3"/>
  <c r="D195" i="16" l="1"/>
  <c r="GK10" i="3"/>
  <c r="E198" i="16"/>
  <c r="F198" i="16"/>
  <c r="GN7" i="3"/>
  <c r="D196" i="16" l="1"/>
  <c r="GL10" i="3"/>
  <c r="F199" i="16"/>
  <c r="E199" i="16"/>
  <c r="GO7" i="3"/>
  <c r="D197" i="16" l="1"/>
  <c r="GM10" i="3"/>
  <c r="F200" i="16"/>
  <c r="E200" i="16"/>
  <c r="GP7" i="3"/>
  <c r="D198" i="16" l="1"/>
  <c r="GN10" i="3"/>
  <c r="E201" i="16"/>
  <c r="F201" i="16"/>
  <c r="GQ7" i="3"/>
  <c r="D199" i="16" l="1"/>
  <c r="GO10" i="3"/>
  <c r="F202" i="16"/>
  <c r="E202" i="16"/>
  <c r="GR7" i="3"/>
  <c r="F203" i="16" l="1"/>
  <c r="E203" i="16"/>
  <c r="GS7" i="3"/>
  <c r="D200" i="16"/>
  <c r="GP10" i="3"/>
  <c r="E204" i="16" l="1"/>
  <c r="F204" i="16"/>
  <c r="GT7" i="3"/>
  <c r="D201" i="16"/>
  <c r="GQ10" i="3"/>
  <c r="D202" i="16" l="1"/>
  <c r="GR10" i="3"/>
  <c r="F205" i="16"/>
  <c r="E205" i="16"/>
  <c r="GU7" i="3"/>
  <c r="F206" i="16" l="1"/>
  <c r="E206" i="16"/>
  <c r="GV7" i="3"/>
  <c r="D203" i="16"/>
  <c r="GS10" i="3"/>
  <c r="G5" i="6" l="1"/>
  <c r="D204" i="16"/>
  <c r="GT10" i="3"/>
  <c r="E207" i="16"/>
  <c r="F207" i="16"/>
  <c r="GW7" i="3"/>
  <c r="E5" i="16" s="1"/>
  <c r="E5" i="6" l="1"/>
  <c r="F208" i="16"/>
  <c r="E208" i="16"/>
  <c r="D205" i="16"/>
  <c r="GU10" i="3"/>
  <c r="D206" i="16" l="1"/>
  <c r="GV10" i="3"/>
  <c r="F209" i="16"/>
  <c r="E209" i="16"/>
  <c r="D207" i="16" l="1"/>
  <c r="GW10" i="3"/>
  <c r="G7" i="6" s="1"/>
  <c r="E210" i="16"/>
  <c r="F210" i="16"/>
  <c r="G5" i="16" l="1"/>
  <c r="D208" i="16"/>
  <c r="F211" i="16"/>
  <c r="E211" i="16"/>
  <c r="D209" i="16" l="1"/>
  <c r="E212" i="16"/>
  <c r="F212" i="16"/>
  <c r="E213" i="16" l="1"/>
  <c r="F213" i="16"/>
  <c r="D210" i="16"/>
  <c r="D211" i="16" l="1"/>
  <c r="F214" i="16"/>
  <c r="E214" i="16"/>
  <c r="F215" i="16" l="1"/>
  <c r="E215" i="16"/>
  <c r="D212" i="16"/>
  <c r="D213" i="16" l="1"/>
  <c r="E216" i="16"/>
  <c r="F216" i="16"/>
  <c r="F217" i="16" l="1"/>
  <c r="E217" i="16"/>
  <c r="D214" i="16"/>
  <c r="D215" i="16" l="1"/>
  <c r="F218" i="16"/>
  <c r="E218" i="16"/>
  <c r="D216" i="16" l="1"/>
  <c r="E219" i="16"/>
  <c r="F219" i="16"/>
  <c r="D217" i="16" l="1"/>
  <c r="F220" i="16"/>
  <c r="E220" i="16"/>
  <c r="D218" i="16" l="1"/>
  <c r="F221" i="16"/>
  <c r="E221" i="16"/>
  <c r="D219" i="16" l="1"/>
  <c r="E222" i="16"/>
  <c r="F222" i="16"/>
  <c r="D220" i="16" l="1"/>
  <c r="F223" i="16"/>
  <c r="E223" i="16"/>
  <c r="D221" i="16" l="1"/>
  <c r="F224" i="16"/>
  <c r="E224" i="16"/>
  <c r="D222" i="16" l="1"/>
  <c r="E225" i="16"/>
  <c r="F225" i="16"/>
  <c r="D223" i="16" l="1"/>
  <c r="F226" i="16"/>
  <c r="E226" i="16"/>
  <c r="D224" i="16" l="1"/>
  <c r="F227" i="16"/>
  <c r="E227" i="16"/>
  <c r="D225" i="16" l="1"/>
  <c r="E228" i="16"/>
  <c r="F228" i="16"/>
  <c r="D226" i="16" l="1"/>
  <c r="F229" i="16"/>
  <c r="E229" i="16"/>
  <c r="D227" i="16" l="1"/>
  <c r="F230" i="16"/>
  <c r="E230" i="16"/>
  <c r="E231" i="16" l="1"/>
  <c r="F231" i="16"/>
  <c r="D228" i="16"/>
  <c r="D229" i="16" l="1"/>
  <c r="F232" i="16"/>
  <c r="E232" i="16"/>
  <c r="D230" i="16" l="1"/>
  <c r="F233" i="16"/>
  <c r="E233" i="16"/>
  <c r="D231" i="16" l="1"/>
  <c r="E234" i="16"/>
  <c r="F234" i="16"/>
  <c r="D232" i="16" l="1"/>
  <c r="F235" i="16"/>
  <c r="E235" i="16"/>
  <c r="F236" i="16" l="1"/>
  <c r="E236" i="16"/>
  <c r="D233" i="16"/>
  <c r="D234" i="16" l="1"/>
  <c r="E237" i="16"/>
  <c r="F237" i="16"/>
  <c r="D235" i="16" l="1"/>
  <c r="F238" i="16"/>
  <c r="E238" i="16"/>
  <c r="D236" i="16" l="1"/>
  <c r="E239" i="16"/>
  <c r="F239" i="16"/>
  <c r="D237" i="16" l="1"/>
  <c r="E240" i="16"/>
  <c r="F240" i="16"/>
  <c r="F241" i="16" l="1"/>
  <c r="E241" i="16"/>
  <c r="D238" i="16"/>
  <c r="D239" i="16" l="1"/>
  <c r="F242" i="16"/>
  <c r="E242" i="16"/>
  <c r="E243" i="16" l="1"/>
  <c r="F243" i="16"/>
  <c r="D240" i="16"/>
  <c r="D241" i="16" l="1"/>
  <c r="F244" i="16"/>
  <c r="E244" i="16"/>
  <c r="E245" i="16" l="1"/>
  <c r="F245" i="16"/>
  <c r="D242" i="16"/>
  <c r="D243" i="16" l="1"/>
  <c r="E246" i="16"/>
  <c r="F246" i="16"/>
  <c r="D244" i="16" l="1"/>
  <c r="F247" i="16"/>
  <c r="E247" i="16"/>
  <c r="F248" i="16" l="1"/>
  <c r="E248" i="16"/>
  <c r="D245" i="16"/>
  <c r="E249" i="16" l="1"/>
  <c r="F249" i="16"/>
  <c r="D246" i="16"/>
  <c r="D247" i="16" l="1"/>
  <c r="F250" i="16"/>
  <c r="E250" i="16"/>
  <c r="D248" i="16" l="1"/>
  <c r="F251" i="16"/>
  <c r="E251" i="16"/>
  <c r="E252" i="16" l="1"/>
  <c r="F252" i="16"/>
  <c r="D249" i="16"/>
  <c r="D250" i="16" l="1"/>
  <c r="F253" i="16"/>
  <c r="E253" i="16"/>
  <c r="F254" i="16" l="1"/>
  <c r="E254" i="16"/>
  <c r="D251" i="16"/>
  <c r="E255" i="16" l="1"/>
  <c r="F255" i="16"/>
  <c r="D252" i="16"/>
  <c r="F256" i="16" l="1"/>
  <c r="E256" i="16"/>
  <c r="D253" i="16"/>
  <c r="F257" i="16" l="1"/>
  <c r="E257" i="16"/>
  <c r="D254" i="16"/>
  <c r="E258" i="16" l="1"/>
  <c r="F258" i="16"/>
  <c r="D255" i="16"/>
  <c r="D256" i="16" l="1"/>
  <c r="F259" i="16"/>
  <c r="E259" i="16"/>
  <c r="F260" i="16" l="1"/>
  <c r="E260" i="16"/>
  <c r="D257" i="16"/>
  <c r="D258" i="16" l="1"/>
  <c r="E261" i="16"/>
  <c r="F261" i="16"/>
  <c r="F262" i="16" l="1"/>
  <c r="E262" i="16"/>
  <c r="D259" i="16"/>
  <c r="D260" i="16" l="1"/>
  <c r="F263" i="16"/>
  <c r="E263" i="16"/>
  <c r="E264" i="16" l="1"/>
  <c r="F264" i="16"/>
  <c r="D261" i="16"/>
  <c r="D262" i="16" l="1"/>
  <c r="F265" i="16"/>
  <c r="E265" i="16"/>
  <c r="F266" i="16" l="1"/>
  <c r="E266" i="16"/>
  <c r="D263" i="16"/>
  <c r="D264" i="16" l="1"/>
  <c r="E267" i="16"/>
  <c r="F267" i="16"/>
  <c r="F268" i="16" l="1"/>
  <c r="E268" i="16"/>
  <c r="D265" i="16"/>
  <c r="D266" i="16" l="1"/>
  <c r="F269" i="16"/>
  <c r="E269" i="16"/>
  <c r="E270" i="16" l="1"/>
  <c r="F270" i="16"/>
  <c r="D267" i="16"/>
  <c r="D268" i="16" l="1"/>
  <c r="F271" i="16"/>
  <c r="E271" i="16"/>
  <c r="F272" i="16" l="1"/>
  <c r="E272" i="16"/>
  <c r="D269" i="16"/>
  <c r="D270" i="16" l="1"/>
  <c r="E273" i="16"/>
  <c r="F273" i="16"/>
  <c r="F274" i="16" l="1"/>
  <c r="E274" i="16"/>
  <c r="D271" i="16"/>
  <c r="D272" i="16" l="1"/>
  <c r="E275" i="16"/>
  <c r="F275" i="16"/>
  <c r="D273" i="16" l="1"/>
  <c r="E276" i="16"/>
  <c r="F276" i="16"/>
  <c r="D274" i="16" l="1"/>
  <c r="F277" i="16"/>
  <c r="E277" i="16"/>
  <c r="F278" i="16" l="1"/>
  <c r="E278" i="16"/>
  <c r="D275" i="16"/>
  <c r="D276" i="16" l="1"/>
  <c r="E279" i="16"/>
  <c r="F279" i="16"/>
  <c r="D277" i="16" l="1"/>
  <c r="F280" i="16"/>
  <c r="E280" i="16"/>
  <c r="F281" i="16" l="1"/>
  <c r="E281" i="16"/>
  <c r="D278" i="16"/>
  <c r="D279" i="16" l="1"/>
  <c r="E282" i="16"/>
  <c r="F282" i="16"/>
  <c r="F283" i="16" l="1"/>
  <c r="E283" i="16"/>
  <c r="D280" i="16"/>
  <c r="D281" i="16" l="1"/>
  <c r="F284" i="16"/>
  <c r="E284" i="16"/>
  <c r="E285" i="16" l="1"/>
  <c r="F285" i="16"/>
  <c r="D282" i="16"/>
  <c r="D283" i="16" l="1"/>
  <c r="F286" i="16"/>
  <c r="E286" i="16"/>
  <c r="D284" i="16" l="1"/>
  <c r="E287" i="16"/>
  <c r="F287" i="16"/>
  <c r="D285" i="16" l="1"/>
  <c r="E288" i="16"/>
  <c r="F288" i="16"/>
  <c r="D286" i="16" l="1"/>
  <c r="F289" i="16"/>
  <c r="E289" i="16"/>
  <c r="F290" i="16" l="1"/>
  <c r="E290" i="16"/>
  <c r="D287" i="16"/>
  <c r="D288" i="16" l="1"/>
  <c r="E291" i="16"/>
  <c r="F291" i="16"/>
  <c r="D289" i="16" l="1"/>
  <c r="F292" i="16"/>
  <c r="E292" i="16"/>
  <c r="D290" i="16" l="1"/>
  <c r="F293" i="16"/>
  <c r="E293" i="16"/>
  <c r="D291" i="16" l="1"/>
  <c r="E294" i="16"/>
  <c r="F294" i="16"/>
  <c r="F295" i="16" l="1"/>
  <c r="E295" i="16"/>
  <c r="D292" i="16"/>
  <c r="F296" i="16" l="1"/>
  <c r="E296" i="16"/>
  <c r="D293" i="16"/>
  <c r="D294" i="16" l="1"/>
  <c r="E297" i="16"/>
  <c r="F297" i="16"/>
  <c r="F298" i="16" l="1"/>
  <c r="E298" i="16"/>
  <c r="D295" i="16"/>
  <c r="D296" i="16" l="1"/>
  <c r="E299" i="16"/>
  <c r="F299" i="16"/>
  <c r="D297" i="16" l="1"/>
  <c r="E300" i="16"/>
  <c r="F300" i="16"/>
  <c r="D298" i="16" l="1"/>
  <c r="F301" i="16"/>
  <c r="E301" i="16"/>
  <c r="F302" i="16" l="1"/>
  <c r="E302" i="16"/>
  <c r="D299" i="16"/>
  <c r="D300" i="16" l="1"/>
  <c r="E303" i="16"/>
  <c r="F303" i="16"/>
  <c r="D301" i="16" l="1"/>
  <c r="F304" i="16"/>
  <c r="E304" i="16"/>
  <c r="F305" i="16" l="1"/>
  <c r="E305" i="16"/>
  <c r="D302" i="16"/>
  <c r="D303" i="16" l="1"/>
  <c r="E306" i="16"/>
  <c r="F306" i="16"/>
  <c r="D304" i="16" l="1"/>
  <c r="F307" i="16"/>
  <c r="E307" i="16"/>
  <c r="D305" i="16" l="1"/>
  <c r="D306" i="16" l="1"/>
  <c r="D307" i="16"/>
</calcChain>
</file>

<file path=xl/sharedStrings.xml><?xml version="1.0" encoding="utf-8"?>
<sst xmlns="http://schemas.openxmlformats.org/spreadsheetml/2006/main" count="592" uniqueCount="243">
  <si>
    <t>監造單位</t>
    <phoneticPr fontId="4" type="noConversion"/>
  </si>
  <si>
    <t>承攬廠商</t>
    <phoneticPr fontId="4" type="noConversion"/>
  </si>
  <si>
    <t>工程名稱</t>
  </si>
  <si>
    <t>會計科目</t>
  </si>
  <si>
    <t>施工地點</t>
  </si>
  <si>
    <t>一</t>
  </si>
  <si>
    <t>M2</t>
  </si>
  <si>
    <t>M</t>
  </si>
  <si>
    <t>式</t>
  </si>
  <si>
    <t>二</t>
  </si>
  <si>
    <t>組</t>
  </si>
  <si>
    <t>甲方通知辦理事項</t>
  </si>
  <si>
    <t>工程名稱</t>
    <phoneticPr fontId="4" type="noConversion"/>
  </si>
  <si>
    <t>開工日期</t>
    <phoneticPr fontId="4" type="noConversion"/>
  </si>
  <si>
    <t>A.</t>
  </si>
  <si>
    <t>B.</t>
  </si>
  <si>
    <t>工程編號</t>
  </si>
  <si>
    <t xml:space="preserve"> </t>
    <phoneticPr fontId="5" type="noConversion"/>
  </si>
  <si>
    <t>壹</t>
  </si>
  <si>
    <t>三</t>
  </si>
  <si>
    <t>四</t>
  </si>
  <si>
    <t>五</t>
  </si>
  <si>
    <t>六</t>
  </si>
  <si>
    <t>貳</t>
  </si>
  <si>
    <t>：</t>
    <phoneticPr fontId="4" type="noConversion"/>
  </si>
  <si>
    <t>監造單位</t>
  </si>
  <si>
    <t>承攬廠商</t>
  </si>
  <si>
    <t>日期</t>
  </si>
  <si>
    <t>星期</t>
  </si>
  <si>
    <t>日</t>
  </si>
  <si>
    <t>報表編號</t>
  </si>
  <si>
    <t>施工天數</t>
  </si>
  <si>
    <t>預定進度</t>
  </si>
  <si>
    <t>實際進度</t>
  </si>
  <si>
    <t>受潮汐影響施工期間日誌</t>
    <phoneticPr fontId="4" type="noConversion"/>
  </si>
  <si>
    <t>( 115/03/01~115/05/31)</t>
    <phoneticPr fontId="3" type="noConversion"/>
  </si>
  <si>
    <t>受潮汐影響施工彙整資料</t>
    <phoneticPr fontId="4" type="noConversion"/>
  </si>
  <si>
    <t>公 共 工 程 施 工 日 誌</t>
    <phoneticPr fontId="4" type="noConversion"/>
  </si>
  <si>
    <t>報表編號：</t>
    <phoneticPr fontId="4" type="noConversion"/>
  </si>
  <si>
    <t>本日天氣：</t>
    <phoneticPr fontId="4" type="noConversion"/>
  </si>
  <si>
    <t>填報日期：</t>
    <phoneticPr fontId="4" type="noConversion"/>
  </si>
  <si>
    <t>核定工期</t>
    <phoneticPr fontId="4" type="noConversion"/>
  </si>
  <si>
    <t>工期展延天數</t>
    <phoneticPr fontId="4" type="noConversion"/>
  </si>
  <si>
    <t>預定完工日期</t>
    <phoneticPr fontId="4" type="noConversion"/>
  </si>
  <si>
    <t>預定進度(％)</t>
    <phoneticPr fontId="4" type="noConversion"/>
  </si>
  <si>
    <t>實際進度(％)</t>
    <phoneticPr fontId="4" type="noConversion"/>
  </si>
  <si>
    <t>契約金額</t>
    <phoneticPr fontId="4" type="noConversion"/>
  </si>
  <si>
    <t>一、依施工計畫書執行按圖施工概況（含約定之重要施工項目及完成數量等）：</t>
    <phoneticPr fontId="4" type="noConversion"/>
  </si>
  <si>
    <t>項次</t>
    <phoneticPr fontId="4" type="noConversion"/>
  </si>
  <si>
    <t>施工項目</t>
    <phoneticPr fontId="4" type="noConversion"/>
  </si>
  <si>
    <t>單位</t>
    <phoneticPr fontId="4" type="noConversion"/>
  </si>
  <si>
    <t>契約數量</t>
    <phoneticPr fontId="4" type="noConversion"/>
  </si>
  <si>
    <t>本日完成數量</t>
    <phoneticPr fontId="4" type="noConversion"/>
  </si>
  <si>
    <t>累計完成數量</t>
    <phoneticPr fontId="4" type="noConversion"/>
  </si>
  <si>
    <t>備註</t>
    <phoneticPr fontId="4" type="noConversion"/>
  </si>
  <si>
    <t>二、工地材料管理概況(含約定之重要材料使用狀況及數量等):</t>
    <phoneticPr fontId="4" type="noConversion"/>
  </si>
  <si>
    <t>材料名稱</t>
    <phoneticPr fontId="4" type="noConversion"/>
  </si>
  <si>
    <t>本日使用數量</t>
    <phoneticPr fontId="4" type="noConversion"/>
  </si>
  <si>
    <t>累計使用數量</t>
    <phoneticPr fontId="4" type="noConversion"/>
  </si>
  <si>
    <t>三、工地人員及機具管理(含約定之出工人數及機具使用情形及數量):</t>
    <phoneticPr fontId="4" type="noConversion"/>
  </si>
  <si>
    <t>工別</t>
    <phoneticPr fontId="4" type="noConversion"/>
  </si>
  <si>
    <t>本日人數</t>
    <phoneticPr fontId="4" type="noConversion"/>
  </si>
  <si>
    <t>累計人數</t>
    <phoneticPr fontId="4" type="noConversion"/>
  </si>
  <si>
    <t>車輛名稱</t>
    <phoneticPr fontId="4" type="noConversion"/>
  </si>
  <si>
    <t>本日數量</t>
    <phoneticPr fontId="4" type="noConversion"/>
  </si>
  <si>
    <t>累計數量</t>
    <phoneticPr fontId="4" type="noConversion"/>
  </si>
  <si>
    <t>機具名稱</t>
    <phoneticPr fontId="4" type="noConversion"/>
  </si>
  <si>
    <t>四、本日施工項目是否有須依「營造業專業工程特定施工項目應置之技術士總類、比率或人數標準表」規定應設置技術士之專業工程：□有□無 （此項如勾選“有”，則應填寫後附「公共工程施工日誌之技術士簽章表」）</t>
    <phoneticPr fontId="4" type="noConversion"/>
  </si>
  <si>
    <t>五、工地勞工安全衛生事項督導、公共環境與安全之維護及其他工地行政事務：</t>
    <phoneticPr fontId="4" type="noConversion"/>
  </si>
  <si>
    <t xml:space="preserve"> (ㄧ) 施工前檢查事項：</t>
    <phoneticPr fontId="3" type="noConversion"/>
  </si>
  <si>
    <t>1.實施勤前教育(含工地預防災變及危害告知)：</t>
    <phoneticPr fontId="3" type="noConversion"/>
  </si>
  <si>
    <t>2.確認新進勞工是否提報勞工保險(或其他商業保險)資料及安全衛生教育訓練紀錄：</t>
    <phoneticPr fontId="3" type="noConversion"/>
  </si>
  <si>
    <t>3.檢查勞工個人防護具：</t>
    <phoneticPr fontId="3" type="noConversion"/>
  </si>
  <si>
    <t xml:space="preserve">(二) 其他事項： </t>
    <phoneticPr fontId="3" type="noConversion"/>
  </si>
  <si>
    <t>六、施工取樣試驗紀錄：</t>
    <phoneticPr fontId="4" type="noConversion"/>
  </si>
  <si>
    <t>七、通知分包商辦理事項：</t>
    <phoneticPr fontId="4" type="noConversion"/>
  </si>
  <si>
    <t>八、重要事項紀錄：</t>
    <phoneticPr fontId="4" type="noConversion"/>
  </si>
  <si>
    <t>簽章：【工地主任】 (註3)：</t>
    <phoneticPr fontId="4" type="noConversion"/>
  </si>
  <si>
    <t>註：1.依營造業法第32條第1項第2款規定，工地主任應按日填報施工日誌
2.本施工日誌格式僅供參考，惟原則應包含上開欄位，各機關亦得依工程性質及契約約定事項自行增訂之。
3.本工程依營造業法第30條規定須置工地主任者，由工地主任簽章；依上開規定免置工地主任者，則由營造業法第32條第2項所定之人員簽章。廠商非屬營造業者，由工地負責人簽章。
4.契約工期如有修正，應填修正後之契約工期，含展延工期及不計工期天數；如有依契約變更設計，預定進度及實際進度應填變更設計後計算之進度。
5.上開重要事項記錄包含（1）主辦機關及監造單位指示（2）工地遇緊急異常狀況之通報處理情形（3）本日是否由專任工程人員督察按圖施工、解決施工技術問題等。
6.上開施工前檢查事項所列工作應由職業安全衛生管理辦法第3條規定所置職業安全衛生人員於每日施工前辦理(檢查紀錄參考範例如附工地職業安全衛生施工前檢查紀錄表)，工地主任負責督導及確認該事項完成後於施工日誌填載。
7.公共工程屬建築物者，請依內政部最新訂頒之「建築物施工日誌」填寫。</t>
    <phoneticPr fontId="4" type="noConversion"/>
  </si>
  <si>
    <t>契約單價</t>
  </si>
  <si>
    <t>施工日報表</t>
    <phoneticPr fontId="4" type="noConversion"/>
  </si>
  <si>
    <t>契約編號：</t>
    <phoneticPr fontId="4" type="noConversion"/>
  </si>
  <si>
    <t>報表期間：</t>
    <phoneticPr fontId="4" type="noConversion"/>
  </si>
  <si>
    <t>承包廠商：</t>
    <phoneticPr fontId="4" type="noConversion"/>
  </si>
  <si>
    <t>監造單位：</t>
    <phoneticPr fontId="4" type="noConversion"/>
  </si>
  <si>
    <t>承辦人員：</t>
    <phoneticPr fontId="4" type="noConversion"/>
  </si>
  <si>
    <t>工期類型</t>
  </si>
  <si>
    <t>日曆天</t>
  </si>
  <si>
    <t>114-116年度D棟老舊廁所整修工程－施工預定進度表</t>
  </si>
  <si>
    <t>契約編號</t>
  </si>
  <si>
    <t>wpes1150713</t>
  </si>
  <si>
    <t>契約金額</t>
  </si>
  <si>
    <t>工程期限</t>
  </si>
  <si>
    <t>200日曆天</t>
  </si>
  <si>
    <t>開工日期</t>
  </si>
  <si>
    <t>預定完工</t>
  </si>
  <si>
    <t>工程地點：臺中市外埔區外埔路878號</t>
  </si>
  <si>
    <t>項次</t>
  </si>
  <si>
    <t>項目及說明</t>
  </si>
  <si>
    <t>單位</t>
  </si>
  <si>
    <t>數量</t>
  </si>
  <si>
    <t>契約金額(元)</t>
  </si>
  <si>
    <t>權重(%)</t>
  </si>
  <si>
    <t>預定開始</t>
  </si>
  <si>
    <t>預定完成</t>
  </si>
  <si>
    <t>民國115年8月</t>
  </si>
  <si>
    <t>民國115年9月</t>
  </si>
  <si>
    <t>民國115年10月</t>
  </si>
  <si>
    <t>民國115年11月</t>
  </si>
  <si>
    <t>民國115年12月</t>
  </si>
  <si>
    <t>民國116年1月</t>
  </si>
  <si>
    <t>民國116年2月</t>
  </si>
  <si>
    <t>開工準備、施工圍籬、安全隔離、動線及測量</t>
  </si>
  <si>
    <t>式</t>
  </si>
  <si>
    <t>材料設備送審、樣品核定及材料檢驗</t>
  </si>
  <si>
    <t>既有設備、面層、管線拆除清運及抽水肥</t>
  </si>
  <si>
    <t>地坪與蹲便台階增築及砌磚</t>
  </si>
  <si>
    <t>樓板穿管孔洞封補及防水加強</t>
  </si>
  <si>
    <t>地坪與牆面水泥砂漿粉刷</t>
  </si>
  <si>
    <t>地坪及牆面防水層、落水頭與閉水試驗</t>
  </si>
  <si>
    <t>地坪止滑磁磚鋪貼</t>
  </si>
  <si>
    <t>牆面磁磚、陽角收邊、抿石子及馬賽克</t>
  </si>
  <si>
    <t>牆面及平頂水泥漆</t>
  </si>
  <si>
    <t>熱固性樹脂板隔間、門片及附屬五金</t>
  </si>
  <si>
    <t>洗手台、拖布盆、人造石及石材檯面</t>
  </si>
  <si>
    <t>輕鋼架及天花板</t>
  </si>
  <si>
    <t>衛生設備及無障礙扶手</t>
  </si>
  <si>
    <t>電氣照明及緊急求救系統</t>
  </si>
  <si>
    <t>給排水系統配管與安裝</t>
  </si>
  <si>
    <t>指標系統、拖把夾、門窗及雜項</t>
  </si>
  <si>
    <t>品質文件、設備測試、缺失改善及竣工資料</t>
  </si>
  <si>
    <t>註：實際累計進度應依核定估驗或工地實際完成數量填報；隱蔽工程未完成自主檢查及監造查驗點前，不得進入下一施工階段。</t>
  </si>
  <si>
    <t>材料檢驗費</t>
  </si>
  <si>
    <t>本期預定進度(%)</t>
  </si>
  <si>
    <t>累積進度(%)</t>
  </si>
  <si>
    <t>註：本期預定進度為各查核日期間之預定完成百分比；累積進度依「前期累積進度＋本期預定進度」逐期加總，最終應為100.00%。</t>
  </si>
  <si>
    <t>呂罡銘建築師事務所 呂罡銘建築師</t>
  </si>
  <si>
    <t>臺中市外埔區外埔國民小學</t>
  </si>
  <si>
    <t>阿奎營造有限公司</t>
  </si>
  <si>
    <t>114-116年度D棟老舊廁所整修工程</t>
  </si>
  <si>
    <t>臺中市外埔區大同里外埔路878號</t>
  </si>
  <si>
    <t>單價</t>
  </si>
  <si>
    <t>複價</t>
  </si>
  <si>
    <t>調整後單價</t>
  </si>
  <si>
    <t>直接工程費</t>
  </si>
  <si>
    <t>乙種施工圍籬、警示帶、安全警示燈等安全措施(租用)</t>
  </si>
  <si>
    <t>工程告示牌與職安衛告示牌(租用)</t>
  </si>
  <si>
    <t>施工動線開闢與損壞復原，既有設備管線遷移與復原；測量與放樣</t>
  </si>
  <si>
    <t>既有污水處理設施抽水肥(含清潔孔開挖與復原)</t>
  </si>
  <si>
    <t>地坪與蹲便台階增築</t>
  </si>
  <si>
    <t>砌1/2B磚牆</t>
  </si>
  <si>
    <t>施工範圍內樓板穿管處與既有無用穿管及孔洞需以水泥砂漿封閉並刷彈性防水材；樓板防水層試水</t>
  </si>
  <si>
    <t>地坪、牆面1:3水泥砂漿粉刷(含地坪硬底)</t>
  </si>
  <si>
    <t>地坪及牆面(H=1.5m)防水層粉刷</t>
  </si>
  <si>
    <t>安裝不銹鋼方形地板落水頭(10cm*10cm,連工帶料，含洗手台與拖布盆落水頭)</t>
  </si>
  <si>
    <t>地坪貼止滑石英磚30cm*30cm，本色水泥勾縫(連工帶料)</t>
  </si>
  <si>
    <t>地坪貼60cm*60cm止滑石英磚，本色水泥勾縫(連工帶料)</t>
  </si>
  <si>
    <t>牆面貼石英磚30*60cm，白色水泥抹縫(連工帶料)</t>
  </si>
  <si>
    <t>安裝鋁合金陽角收邊條</t>
  </si>
  <si>
    <t>施做抿石子(1~2分霓虹石，抿石子專用泥)</t>
  </si>
  <si>
    <t>牆面與平頂水泥漆粉刷(含清潔，批土整平，一底漆二度面漆)</t>
  </si>
  <si>
    <t>安裝13mm熱固性樹脂板隔間含門片(頂面H=200cm以上)</t>
  </si>
  <si>
    <t>廁間安裝不鏽鋼掛鈎與置物板</t>
  </si>
  <si>
    <t>間</t>
  </si>
  <si>
    <t>13mm熱固性樹脂板小便斗隔屏</t>
  </si>
  <si>
    <t>片</t>
  </si>
  <si>
    <t>新設砌磚洗手台與拖布盆工程6座(連工帶料，責任施工)</t>
  </si>
  <si>
    <t>新設人造石洗手台與浴櫃工程(連工帶料，責任施工)</t>
  </si>
  <si>
    <t>貼深色石材檯面(石材，t=2cm，倒圓角)</t>
  </si>
  <si>
    <t>才</t>
  </si>
  <si>
    <t>安裝輕鋼架、金屬烤漆透空網與耐燃一級貼皮天花板(含必要之側封板與窗簾盒批土刷漆)</t>
  </si>
  <si>
    <t>廁所安裝衛生設備(連工帶料)</t>
  </si>
  <si>
    <t>安裝開關、插座與燈具(連工帶料)</t>
  </si>
  <si>
    <t>給排水系統配管與安裝(連工帶料)</t>
  </si>
  <si>
    <t>施做緊急求救按鈕(含閃光與蜂嗚警報器、線材、五金配件, 各層樓每間廁所皆有求救鈕，連工帶料，責任施工)</t>
  </si>
  <si>
    <t>施做獨立拖布盆2座(砌磚粉刷貼磁磚，H=35cm)</t>
  </si>
  <si>
    <t>安裝廁所指標系統、拖把夾(連工帶料，責任施工)</t>
  </si>
  <si>
    <t>牆壁面貼圖案排版釉面馬賽克(方型馬賽克寬1.8cm，12色以上排版，含排版費，白色抺縫，連工帶料)</t>
  </si>
  <si>
    <t>門窗工程及雜項工程</t>
  </si>
  <si>
    <t>小計(壹)</t>
  </si>
  <si>
    <t>職業安全衛生管理費(約直接工程費之0.8%)</t>
  </si>
  <si>
    <t>參</t>
  </si>
  <si>
    <t>工程品質管理費(約直接工程費之1%)</t>
  </si>
  <si>
    <t>肆</t>
  </si>
  <si>
    <t>伍</t>
  </si>
  <si>
    <t>管理費及利潤(約直接工程費之7%)</t>
  </si>
  <si>
    <t>陸</t>
  </si>
  <si>
    <t>營造綜合保險費(約直接工程費之0.5%)</t>
  </si>
  <si>
    <t>柒</t>
  </si>
  <si>
    <t>營業稅(壹~陸之5%)</t>
  </si>
  <si>
    <t>發包工程費合計(壹~柒)</t>
  </si>
  <si>
    <t>上午</t>
  </si>
  <si>
    <t>下午</t>
  </si>
  <si>
    <t>技工</t>
  </si>
  <si>
    <t>普工</t>
  </si>
  <si>
    <t>水電工</t>
  </si>
  <si>
    <t>小貨車</t>
  </si>
  <si>
    <t>3.5T貨車</t>
  </si>
  <si>
    <t>抽水肥車</t>
  </si>
  <si>
    <t>電動破碎機</t>
  </si>
  <si>
    <t>混凝土切割機</t>
  </si>
  <si>
    <t>砂漿攪拌機</t>
  </si>
  <si>
    <t>施工取樣試驗紀錄</t>
  </si>
  <si>
    <t>重要事項紀錄</t>
  </si>
  <si>
    <t/>
  </si>
  <si>
    <t>預定完工日期</t>
  </si>
  <si>
    <t>施工期限</t>
  </si>
  <si>
    <t>本日進度</t>
  </si>
  <si>
    <t>展延天數</t>
  </si>
  <si>
    <t>施工項目</t>
  </si>
  <si>
    <t>契約數量</t>
  </si>
  <si>
    <t>契約複價</t>
  </si>
  <si>
    <t>進度權重</t>
  </si>
  <si>
    <t>115.08.12-115.08.31</t>
  </si>
  <si>
    <t>115.09.01-115.09.30</t>
  </si>
  <si>
    <t>115.10.01-115.10.31</t>
  </si>
  <si>
    <t>115.11.01-115.11.30</t>
  </si>
  <si>
    <t>115.12.01-115.12.31</t>
  </si>
  <si>
    <t>116.01.01-116.01.31</t>
  </si>
  <si>
    <t>116.02.01-116.02.27</t>
  </si>
  <si>
    <t>工期表</t>
  </si>
  <si>
    <t>契約工期</t>
  </si>
  <si>
    <t>原定竣工日期</t>
  </si>
  <si>
    <t>展延工期合計</t>
  </si>
  <si>
    <t>修正竣工日期</t>
  </si>
  <si>
    <t>填報截止日期</t>
  </si>
  <si>
    <t>截至累積天數</t>
  </si>
  <si>
    <t>截至實際進度</t>
  </si>
  <si>
    <t>累積進度</t>
  </si>
  <si>
    <t>天數</t>
  </si>
  <si>
    <t>累積天數</t>
  </si>
  <si>
    <t>累積展延工期</t>
  </si>
  <si>
    <t>竣工日期</t>
  </si>
  <si>
    <t>每日判定</t>
    <phoneticPr fontId="3" type="noConversion"/>
  </si>
  <si>
    <t>不計工期</t>
    <phoneticPr fontId="3" type="noConversion"/>
  </si>
  <si>
    <t>累積數量</t>
    <phoneticPr fontId="3" type="noConversion"/>
  </si>
  <si>
    <t>營造業專業工程特定施工項目</t>
    <phoneticPr fontId="3" type="noConversion"/>
  </si>
  <si>
    <t>呂罡銘建築師事務所</t>
    <phoneticPr fontId="3" type="noConversion"/>
  </si>
  <si>
    <t>晴</t>
    <phoneticPr fontId="4" type="noConversion"/>
  </si>
  <si>
    <t>本工程本日開工</t>
    <phoneticPr fontId="4" type="noConversion"/>
  </si>
  <si>
    <t>既有地坪、磁磚、衛生設備、給排水設施、搗擺及天花板等拆除(含切割)及運棄(含合法證明);環境保護與清潔</t>
    <phoneticPr fontId="3" type="noConversion"/>
  </si>
  <si>
    <t>既有地坪、磁磚、衛生設備、給排水設施、搗擺及天花板等拆除(含切割)</t>
    <phoneticPr fontId="4" type="noConversion"/>
  </si>
  <si>
    <t>今日配合學校課程安排不出工</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</si>
</sst>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1" formatCode="_-* #,##0_-;\-* #,##0_-;_-* &quot;-&quot;_-;_-@_-"/>
    <numFmt numFmtId="43" formatCode="_-* #,##0.00_-;\-* #,##0.00_-;_-* &quot;-&quot;??_-;_-@_-"/>
    <numFmt numFmtId="176" formatCode="_-* #,##0.0_-;\-* #,##0.0_-;_-* &quot;-&quot;_-;_-@_-"/>
    <numFmt numFmtId="177" formatCode="_-* #,##0_-;\-* #,##0_-;_-* &quot;-&quot;??_-;_-@_-"/>
    <numFmt numFmtId="178" formatCode="[$-404]e&quot;年&quot;m&quot;月&quot;d&quot;日  (&quot;aaaa&quot;)&quot;;@\ "/>
    <numFmt numFmtId="179" formatCode="0.0_);[Red]\(0.0\)"/>
    <numFmt numFmtId="180" formatCode="[$-404]e&quot;年&quot;m&quot;月&quot;d&quot;日(&quot;aaa&quot;)&quot;;@\ "/>
    <numFmt numFmtId="181" formatCode="0;\ \-0;\ \-;\ @"/>
    <numFmt numFmtId="182" formatCode="[$-404]m/d;@"/>
    <numFmt numFmtId="183" formatCode="[$-F800]dddd\,\ mmmm\ dd\,\ yyyy"/>
    <numFmt numFmtId="184" formatCode="[$-404]aaa;@"/>
    <numFmt numFmtId="185" formatCode="0_);[Red]\(0\)"/>
    <numFmt numFmtId="186" formatCode="0.0;\ \-0.0;\ \-;\ @"/>
    <numFmt numFmtId="187" formatCode="&quot;$&quot;#,##0_);[Red]\(&quot;$&quot;#,##0\)"/>
    <numFmt numFmtId="188" formatCode="[$-404]e&quot;年&quot;m&quot;月&quot;d&quot;日&quot;;@"/>
    <numFmt numFmtId="189" formatCode="[$-404]e&quot;年&quot;m&quot;月&quot;d&quot;日 (&quot;aaa&quot;)&quot;;@\ "/>
    <numFmt numFmtId="190" formatCode="#,###"/>
    <numFmt numFmtId="191" formatCode="0.00;\ \-0.00;\ \-;\ @"/>
    <numFmt numFmtId="192" formatCode="_-* #,##0.00_-;\-* #,##0.00_-;_-* &quot;-&quot;_-;_-@_-"/>
    <numFmt numFmtId="193" formatCode="0_ "/>
    <numFmt numFmtId="194" formatCode="###"/>
    <numFmt numFmtId="195" formatCode="_ "/>
    <numFmt numFmtId="196" formatCode="0.00_);[Red]\(0.00\)"/>
    <numFmt numFmtId="197" formatCode="#\ &quot;日曆天&quot;"/>
    <numFmt numFmtId="198" formatCode="[$-404]e/mm/dd"/>
    <numFmt numFmtId="199" formatCode="m/d"/>
    <numFmt numFmtId="200" formatCode="&quot;剩餘工期 &quot;#&quot; 日曆天&quot;"/>
    <numFmt numFmtId="201" formatCode="0.000000%"/>
    <numFmt numFmtId="202" formatCode="0.000000_);[Red]\(0.000000\)"/>
    <numFmt numFmtId="203" formatCode="0.0"/>
    <numFmt numFmtId="204" formatCode="_-* #,##0.000000_-;\-* #,##0.000000_-;_-* &quot;-&quot;_-;_-@_-"/>
    <numFmt numFmtId="205" formatCode="&quot;累計工期 &quot;0.##&quot; 日曆天&quot;"/>
  </numFmts>
  <fonts count="59">
    <font>
      <sz val="12"/>
      <color theme="1"/>
      <name val="Noto Serif TC"/>
      <family val="2"/>
      <charset val="136"/>
      <scheme val="minor"/>
    </font>
    <font>
      <sz val="12"/>
      <color theme="1"/>
      <name val="Noto Serif TC"/>
      <family val="2"/>
      <charset val="136"/>
      <scheme val="minor"/>
    </font>
    <font>
      <sz val="12"/>
      <color theme="1"/>
      <name val="芫荽"/>
      <family val="3"/>
      <charset val="136"/>
    </font>
    <font>
      <sz val="9"/>
      <name val="Noto Serif TC"/>
      <family val="2"/>
      <charset val="136"/>
      <scheme val="minor"/>
    </font>
    <font>
      <sz val="9"/>
      <name val="新細明體"/>
      <family val="1"/>
      <charset val="136"/>
    </font>
    <font>
      <sz val="9"/>
      <name val="細明體"/>
      <family val="3"/>
      <charset val="136"/>
    </font>
    <font>
      <sz val="12"/>
      <name val="新細明體"/>
      <family val="1"/>
      <charset val="136"/>
    </font>
    <font>
      <sz val="12"/>
      <color theme="1"/>
      <name val="標楷體"/>
      <family val="4"/>
      <charset val="136"/>
    </font>
    <font>
      <sz val="14"/>
      <color theme="1"/>
      <name val="芫荽"/>
      <family val="3"/>
      <charset val="136"/>
    </font>
    <font>
      <b/>
      <sz val="14"/>
      <color theme="1"/>
      <name val="芫荽"/>
      <family val="3"/>
      <charset val="136"/>
    </font>
    <font>
      <sz val="14"/>
      <name val="芫荽"/>
      <family val="3"/>
      <charset val="136"/>
    </font>
    <font>
      <sz val="12"/>
      <name val="標楷體"/>
      <family val="4"/>
      <charset val="136"/>
    </font>
    <font>
      <sz val="24"/>
      <name val="Times New Roman"/>
      <family val="1"/>
    </font>
    <font>
      <sz val="10"/>
      <name val="Arial"/>
      <family val="2"/>
    </font>
    <font>
      <b/>
      <sz val="14"/>
      <name val="微軟正黑體"/>
      <family val="2"/>
      <charset val="136"/>
    </font>
    <font>
      <b/>
      <sz val="14"/>
      <color theme="1"/>
      <name val="微軟正黑體"/>
      <family val="2"/>
      <charset val="136"/>
    </font>
    <font>
      <sz val="12"/>
      <name val="微軟正黑體"/>
      <family val="2"/>
      <charset val="136"/>
    </font>
    <font>
      <sz val="12"/>
      <color theme="1"/>
      <name val="微軟正黑體"/>
      <family val="2"/>
      <charset val="136"/>
    </font>
    <font>
      <sz val="14"/>
      <name val="微軟正黑體"/>
      <family val="2"/>
      <charset val="136"/>
    </font>
    <font>
      <sz val="12"/>
      <color theme="1" tint="4.9989318521683403E-2"/>
      <name val="微軟正黑體"/>
      <family val="2"/>
      <charset val="136"/>
    </font>
    <font>
      <sz val="11"/>
      <name val="Carlito"/>
    </font>
    <font>
      <sz val="14"/>
      <name val="Noto Sans TC"/>
      <family val="2"/>
      <charset val="136"/>
    </font>
    <font>
      <sz val="16"/>
      <name val="Noto Sans TC"/>
      <family val="2"/>
      <charset val="136"/>
    </font>
    <font>
      <sz val="12"/>
      <name val="Noto Sans TC"/>
      <family val="2"/>
      <charset val="136"/>
    </font>
    <font>
      <sz val="26"/>
      <name val="Noto Sans TC"/>
      <family val="2"/>
      <charset val="136"/>
    </font>
    <font>
      <sz val="25"/>
      <name val="Noto Sans TC"/>
      <family val="2"/>
      <charset val="136"/>
    </font>
    <font>
      <sz val="28"/>
      <name val="Noto Sans TC"/>
      <family val="2"/>
      <charset val="136"/>
    </font>
    <font>
      <i/>
      <sz val="12"/>
      <name val="Noto Sans TC"/>
      <family val="2"/>
      <charset val="136"/>
    </font>
    <font>
      <sz val="20"/>
      <name val="Noto Sans TC"/>
      <family val="2"/>
      <charset val="136"/>
    </font>
    <font>
      <sz val="18"/>
      <name val="Noto Sans TC"/>
      <family val="2"/>
      <charset val="136"/>
    </font>
    <font>
      <sz val="12"/>
      <color theme="1"/>
      <name val="Tahoma"/>
      <family val="2"/>
    </font>
    <font>
      <sz val="12"/>
      <color theme="1" tint="4.9989318521683403E-2"/>
      <name val="Tahoma"/>
      <family val="2"/>
    </font>
    <font>
      <sz val="12"/>
      <name val="Tahoma"/>
      <family val="2"/>
    </font>
    <font>
      <sz val="12"/>
      <color theme="1" tint="4.9989318521683403E-2"/>
      <name val="Microsoft JhengHei"/>
      <family val="2"/>
      <charset val="136"/>
    </font>
    <font>
      <sz val="11"/>
      <color theme="1"/>
      <name val="Calibri"/>
      <family val="2"/>
    </font>
    <font>
      <b/>
      <sz val="16"/>
      <color rgb="FFFFFFFF"/>
      <name val="Calibri"/>
      <family val="2"/>
    </font>
    <font>
      <b/>
      <sz val="11"/>
      <color theme="1"/>
      <name val="Calibri"/>
      <family val="2"/>
    </font>
    <font>
      <i/>
      <sz val="9"/>
      <color theme="1"/>
      <name val="Calibri"/>
      <family val="2"/>
    </font>
    <font>
      <b/>
      <sz val="10"/>
      <color rgb="FFFFFFFF"/>
      <name val="Calibri"/>
      <family val="2"/>
    </font>
    <font>
      <sz val="10"/>
      <color theme="1"/>
      <name val="Calibri"/>
      <family val="2"/>
    </font>
    <font>
      <b/>
      <sz val="10"/>
      <color theme="1"/>
      <name val="Calibri"/>
      <family val="2"/>
    </font>
    <font>
      <sz val="12"/>
      <color theme="1"/>
      <name val="Calibri"/>
      <family val="2"/>
    </font>
    <font>
      <b/>
      <sz val="12"/>
      <color theme="1" tint="4.9989318521683403E-2"/>
      <name val="標楷體"/>
      <family val="4"/>
      <charset val="136"/>
    </font>
    <font>
      <b/>
      <sz val="12"/>
      <color theme="1"/>
      <name val="標楷體"/>
      <family val="4"/>
      <charset val="136"/>
    </font>
    <font>
      <b/>
      <sz val="12"/>
      <name val="標楷體"/>
      <family val="4"/>
      <charset val="136"/>
    </font>
    <font>
      <b/>
      <sz val="18"/>
      <name val="標楷體"/>
      <family val="4"/>
      <charset val="136"/>
    </font>
    <font>
      <sz val="14"/>
      <name val="標楷體"/>
      <family val="4"/>
      <charset val="136"/>
    </font>
    <font>
      <b/>
      <sz val="15"/>
      <name val="標楷體"/>
      <family val="4"/>
      <charset val="136"/>
    </font>
    <font>
      <sz val="22"/>
      <name val="標楷體"/>
      <family val="4"/>
      <charset val="136"/>
    </font>
    <font>
      <sz val="9"/>
      <name val="標楷體"/>
      <family val="4"/>
      <charset val="136"/>
    </font>
    <font>
      <sz val="12"/>
      <color theme="2"/>
      <name val="標楷體"/>
      <family val="4"/>
      <charset val="136"/>
    </font>
    <font>
      <sz val="16"/>
      <name val="標楷體"/>
      <family val="4"/>
      <charset val="136"/>
    </font>
    <font>
      <sz val="36"/>
      <name val="標楷體"/>
      <family val="4"/>
      <charset val="136"/>
    </font>
    <font>
      <sz val="18"/>
      <name val="標楷體"/>
      <family val="4"/>
      <charset val="136"/>
    </font>
    <font>
      <sz val="25"/>
      <name val="標楷體"/>
      <family val="4"/>
      <charset val="136"/>
    </font>
    <font>
      <sz val="26"/>
      <name val="標楷體"/>
      <family val="4"/>
      <charset val="136"/>
    </font>
    <font>
      <sz val="48"/>
      <name val="標楷體"/>
      <family val="4"/>
      <charset val="136"/>
    </font>
    <font>
      <sz val="20"/>
      <name val="標楷體"/>
      <family val="4"/>
      <charset val="136"/>
    </font>
    <font>
      <sz val="14"/>
      <color rgb="FF000000"/>
      <name val="Noto Sans TC"/>
      <family val="1"/>
      <charset val="136"/>
    </font>
  </fonts>
  <fills count="29">
    <fill>
      <patternFill patternType="none"/>
    </fill>
    <fill>
      <patternFill patternType="gray125"/>
    </fill>
    <fill>
      <patternFill patternType="solid">
        <fgColor rgb="FFB7C2D1"/>
        <bgColor indexed="64"/>
      </patternFill>
    </fill>
    <fill>
      <patternFill patternType="solid">
        <fgColor theme="0"/>
        <bgColor indexed="64"/>
      </patternFill>
    </fill>
    <fill>
      <patternFill patternType="solid">
        <fgColor rgb="FFCFC3CA"/>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1B2A55"/>
        <bgColor indexed="64"/>
      </patternFill>
    </fill>
    <fill>
      <patternFill patternType="solid">
        <fgColor indexed="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2" tint="-0.499984740745262"/>
        <bgColor indexed="64"/>
      </patternFill>
    </fill>
    <fill>
      <patternFill patternType="none"/>
    </fill>
    <fill>
      <patternFill patternType="solid">
        <fgColor rgb="FF1F4E78"/>
      </patternFill>
    </fill>
    <fill>
      <patternFill patternType="solid">
        <fgColor rgb="FFD9EAF7"/>
      </patternFill>
    </fill>
    <fill>
      <patternFill patternType="solid">
        <fgColor rgb="FFFFF9C4"/>
      </patternFill>
    </fill>
    <fill>
      <patternFill patternType="solid">
        <fgColor rgb="FFDDEBF7"/>
      </patternFill>
    </fill>
    <fill>
      <patternFill patternType="solid">
        <fgColor rgb="FFF4CCCC"/>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F9F3FF"/>
        <bgColor indexed="64"/>
      </patternFill>
    </fill>
    <fill>
      <patternFill patternType="solid">
        <fgColor theme="8" tint="0.59999389629810485"/>
        <bgColor indexed="64"/>
      </patternFill>
    </fill>
  </fills>
  <borders count="78">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0" tint="-0.34998626667073579"/>
      </bottom>
      <diagonal/>
    </border>
    <border>
      <left/>
      <right/>
      <top/>
      <bottom style="medium">
        <color indexed="64"/>
      </bottom>
      <diagonal/>
    </border>
    <border>
      <left/>
      <right style="thin">
        <color theme="0" tint="-0.34998626667073579"/>
      </right>
      <top/>
      <bottom style="medium">
        <color indexed="64"/>
      </bottom>
      <diagonal/>
    </border>
    <border>
      <left style="thin">
        <color theme="0" tint="-0.34998626667073579"/>
      </left>
      <right style="thin">
        <color theme="0" tint="-0.34998626667073579"/>
      </right>
      <top/>
      <bottom style="medium">
        <color indexed="64"/>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left>
      <right/>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tint="-0.34998626667073579"/>
      </left>
      <right style="thin">
        <color theme="0" tint="-0.34998626667073579"/>
      </right>
      <top/>
      <bottom style="medium">
        <color theme="1" tint="4.9989318521683403E-2"/>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medium">
        <color indexed="64"/>
      </top>
      <bottom style="thin">
        <color theme="0" tint="-0.499984740745262"/>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theme="2" tint="-0.499984740745262"/>
      </left>
      <right style="thin">
        <color theme="2" tint="-0.499984740745262"/>
      </right>
      <top style="medium">
        <color indexed="64"/>
      </top>
      <bottom style="thin">
        <color theme="2" tint="-0.499984740745262"/>
      </bottom>
      <diagonal/>
    </border>
    <border>
      <left style="thin">
        <color theme="2" tint="-0.499984740745262"/>
      </left>
      <right style="thin">
        <color theme="0" tint="-0.499984740745262"/>
      </right>
      <top style="medium">
        <color indexed="64"/>
      </top>
      <bottom style="thin">
        <color theme="2" tint="-0.499984740745262"/>
      </bottom>
      <diagonal/>
    </border>
    <border>
      <left style="medium">
        <color indexed="64"/>
      </left>
      <right style="thin">
        <color theme="2" tint="-0.499984740745262"/>
      </right>
      <top style="medium">
        <color indexed="64"/>
      </top>
      <bottom style="thin">
        <color theme="2" tint="-0.499984740745262"/>
      </bottom>
      <diagonal/>
    </border>
    <border>
      <left style="thin">
        <color theme="0" tint="-0.34998626667073579"/>
      </left>
      <right/>
      <top/>
      <bottom/>
      <diagonal/>
    </border>
    <border>
      <left/>
      <right style="medium">
        <color indexed="64"/>
      </right>
      <top/>
      <bottom/>
      <diagonal/>
    </border>
    <border>
      <left style="thin">
        <color theme="0" tint="-0.49995422223578601"/>
      </left>
      <right style="medium">
        <color indexed="64"/>
      </right>
      <top style="medium">
        <color indexed="64"/>
      </top>
      <bottom style="thin">
        <color theme="0" tint="-0.49995422223578601"/>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medium">
        <color indexed="64"/>
      </left>
      <right style="thin">
        <color theme="0" tint="-0.34998626667073579"/>
      </right>
      <top style="medium">
        <color indexed="64"/>
      </top>
      <bottom style="medium">
        <color indexed="64"/>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indexed="64"/>
      </left>
      <right style="thin">
        <color theme="0" tint="-0.34998626667073579"/>
      </right>
      <top style="medium">
        <color indexed="64"/>
      </top>
      <bottom/>
      <diagonal/>
    </border>
    <border>
      <left style="thin">
        <color theme="0" tint="-0.34998626667073579"/>
      </left>
      <right style="thin">
        <color theme="0" tint="-0.34998626667073579"/>
      </right>
      <top style="medium">
        <color indexed="64"/>
      </top>
      <bottom/>
      <diagonal/>
    </border>
    <border>
      <left style="thin">
        <color theme="0" tint="-0.34998626667073579"/>
      </left>
      <right style="medium">
        <color indexed="64"/>
      </right>
      <top style="medium">
        <color indexed="64"/>
      </top>
      <bottom/>
      <diagonal/>
    </border>
    <border>
      <left style="medium">
        <color indexed="64"/>
      </left>
      <right style="thin">
        <color theme="0" tint="-0.34998626667073579"/>
      </right>
      <top/>
      <bottom style="medium">
        <color indexed="64"/>
      </bottom>
      <diagonal/>
    </border>
    <border>
      <left style="thin">
        <color theme="0" tint="-0.34998626667073579"/>
      </left>
      <right style="medium">
        <color indexed="64"/>
      </right>
      <top/>
      <bottom style="medium">
        <color indexed="64"/>
      </bottom>
      <diagonal/>
    </border>
    <border>
      <left style="medium">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style="medium">
        <color indexed="64"/>
      </right>
      <top/>
      <bottom/>
      <diagonal/>
    </border>
    <border>
      <left style="thin">
        <color theme="0" tint="-0.34998626667073579"/>
      </left>
      <right/>
      <top/>
      <bottom style="medium">
        <color indexed="64"/>
      </bottom>
      <diagonal/>
    </border>
    <border>
      <left/>
      <right style="thin">
        <color theme="0" tint="-0.34998626667073579"/>
      </right>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diagonal/>
    </border>
    <border>
      <left style="thin">
        <color rgb="FF7F8C8D"/>
      </left>
      <right style="thin">
        <color rgb="FF7F8C8D"/>
      </right>
      <top style="thin">
        <color rgb="FF7F8C8D"/>
      </top>
      <bottom style="thin">
        <color rgb="FF7F8C8D"/>
      </bottom>
      <diagonal/>
    </border>
    <border>
      <left style="thin">
        <color rgb="FFC9D5E8"/>
      </left>
      <right style="thin">
        <color rgb="FFC9D5E8"/>
      </right>
      <top style="thin">
        <color rgb="FFC9D5E8"/>
      </top>
      <bottom style="thin">
        <color rgb="FFC9D5E8"/>
      </bottom>
      <diagonal/>
    </border>
    <border>
      <left style="thick">
        <color theme="3" tint="-0.499984740745262"/>
      </left>
      <right style="thin">
        <color rgb="FFC9D5E8"/>
      </right>
      <top style="thick">
        <color theme="3" tint="-0.499984740745262"/>
      </top>
      <bottom style="thin">
        <color rgb="FFC9D5E8"/>
      </bottom>
      <diagonal/>
    </border>
    <border>
      <left style="thin">
        <color rgb="FFC9D5E8"/>
      </left>
      <right style="thin">
        <color rgb="FFC9D5E8"/>
      </right>
      <top style="thick">
        <color theme="3" tint="-0.499984740745262"/>
      </top>
      <bottom style="thin">
        <color rgb="FFC9D5E8"/>
      </bottom>
      <diagonal/>
    </border>
    <border>
      <left style="thin">
        <color rgb="FFC9D5E8"/>
      </left>
      <right style="thick">
        <color theme="3" tint="-0.499984740745262"/>
      </right>
      <top style="thick">
        <color theme="3" tint="-0.499984740745262"/>
      </top>
      <bottom style="thin">
        <color rgb="FFC9D5E8"/>
      </bottom>
      <diagonal/>
    </border>
    <border>
      <left style="thick">
        <color theme="3" tint="-0.499984740745262"/>
      </left>
      <right style="thin">
        <color rgb="FFC9D5E8"/>
      </right>
      <top style="thin">
        <color rgb="FFC9D5E8"/>
      </top>
      <bottom style="thin">
        <color rgb="FFC9D5E8"/>
      </bottom>
      <diagonal/>
    </border>
    <border>
      <left style="thin">
        <color rgb="FFC9D5E8"/>
      </left>
      <right style="thick">
        <color theme="3" tint="-0.499984740745262"/>
      </right>
      <top style="thin">
        <color rgb="FFC9D5E8"/>
      </top>
      <bottom style="thin">
        <color rgb="FFC9D5E8"/>
      </bottom>
      <diagonal/>
    </border>
    <border>
      <left style="thick">
        <color theme="3" tint="-0.499984740745262"/>
      </left>
      <right style="thin">
        <color rgb="FFC9D5E8"/>
      </right>
      <top style="thin">
        <color rgb="FFC9D5E8"/>
      </top>
      <bottom style="thick">
        <color theme="3" tint="-0.499984740745262"/>
      </bottom>
      <diagonal/>
    </border>
    <border>
      <left style="thin">
        <color rgb="FFC9D5E8"/>
      </left>
      <right style="thin">
        <color rgb="FFC9D5E8"/>
      </right>
      <top style="thin">
        <color rgb="FFC9D5E8"/>
      </top>
      <bottom style="thick">
        <color theme="3" tint="-0.499984740745262"/>
      </bottom>
      <diagonal/>
    </border>
    <border>
      <left style="thin">
        <color rgb="FFC9D5E8"/>
      </left>
      <right style="thick">
        <color theme="3" tint="-0.499984740745262"/>
      </right>
      <top style="thin">
        <color rgb="FFC9D5E8"/>
      </top>
      <bottom style="thick">
        <color theme="3" tint="-0.499984740745262"/>
      </bottom>
      <diagonal/>
    </border>
    <border>
      <left style="thin">
        <color rgb="FF7F8C8D"/>
      </left>
      <right/>
      <top style="thin">
        <color rgb="FF7F8C8D"/>
      </top>
      <bottom style="thin">
        <color rgb="FF7F8C8D"/>
      </bottom>
      <diagonal/>
    </border>
    <border>
      <left style="thin">
        <color theme="0" tint="-0.34998626667073579"/>
      </left>
      <right/>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style="thin">
        <color theme="0" tint="-0.34998626667073579"/>
      </left>
      <right style="medium">
        <color indexed="64"/>
      </right>
      <top/>
      <bottom style="thin">
        <color theme="0" tint="-0.34998626667073579"/>
      </bottom>
      <diagonal/>
    </border>
    <border>
      <left style="medium">
        <color indexed="64"/>
      </left>
      <right style="thin">
        <color theme="0" tint="-0.34998626667073579"/>
      </right>
      <top/>
      <bottom style="thin">
        <color theme="0" tint="-0.34998626667073579"/>
      </bottom>
      <diagonal/>
    </border>
    <border>
      <left style="medium">
        <color theme="1" tint="4.9989318521683403E-2"/>
      </left>
      <right style="thin">
        <color theme="0" tint="-0.34998626667073579"/>
      </right>
      <top style="thin">
        <color theme="0" tint="-0.34998626667073579"/>
      </top>
      <bottom style="thin">
        <color theme="0" tint="-0.34998626667073579"/>
      </bottom>
      <diagonal/>
    </border>
    <border>
      <left style="medium">
        <color theme="1" tint="4.9989318521683403E-2"/>
      </left>
      <right style="thin">
        <color theme="0" tint="-0.34998626667073579"/>
      </right>
      <top/>
      <bottom style="medium">
        <color theme="1" tint="4.9989318521683403E-2"/>
      </bottom>
      <diagonal/>
    </border>
    <border>
      <left style="thin">
        <color theme="0" tint="-0.34998626667073579"/>
      </left>
      <right style="medium">
        <color indexed="64"/>
      </right>
      <top/>
      <bottom style="medium">
        <color theme="1" tint="4.9989318521683403E-2"/>
      </bottom>
      <diagonal/>
    </border>
    <border>
      <left style="medium">
        <color theme="1" tint="4.9989318521683403E-2"/>
      </left>
      <right/>
      <top/>
      <bottom/>
      <diagonal/>
    </border>
    <border>
      <left style="medium">
        <color theme="1" tint="0.14993743705557422"/>
      </left>
      <right style="medium">
        <color theme="1" tint="0.14996795556505021"/>
      </right>
      <top style="medium">
        <color theme="1" tint="0.14993743705557422"/>
      </top>
      <bottom style="medium">
        <color theme="1" tint="0.14993743705557422"/>
      </bottom>
      <diagonal/>
    </border>
    <border>
      <left style="medium">
        <color theme="1" tint="0.14993743705557422"/>
      </left>
      <right style="medium">
        <color theme="1" tint="0.14993743705557422"/>
      </right>
      <top style="medium">
        <color theme="1" tint="0.14993743705557422"/>
      </top>
      <bottom style="medium">
        <color theme="1" tint="0.14993743705557422"/>
      </bottom>
      <diagonal/>
    </border>
  </borders>
  <cellStyleXfs count="13">
    <xf numFmtId="0" fontId="0" fillId="0" borderId="0">
      <alignment vertical="center"/>
    </xf>
    <xf numFmtId="43"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6" fillId="0" borderId="0"/>
    <xf numFmtId="0" fontId="6" fillId="0" borderId="0"/>
    <xf numFmtId="0" fontId="6" fillId="0" borderId="0">
      <alignment vertical="center"/>
    </xf>
    <xf numFmtId="0" fontId="6" fillId="0" borderId="0">
      <alignment vertical="center"/>
    </xf>
    <xf numFmtId="0" fontId="13" fillId="0" borderId="0"/>
    <xf numFmtId="0" fontId="20" fillId="0" borderId="0"/>
    <xf numFmtId="0" fontId="6" fillId="0" borderId="0"/>
    <xf numFmtId="0" fontId="46" fillId="0" borderId="41" xfId="6" applyFont="1" applyBorder="1" applyAlignment="1">
      <alignment horizontal="left" vertical="justify" wrapText="1"/>
    </xf>
    <xf numFmtId="0" fontId="46" fillId="0" borderId="40" xfId="6" applyFont="1" applyBorder="1" applyAlignment="1">
      <alignment horizontal="left" vertical="justify" wrapText="1"/>
    </xf>
  </cellStyleXfs>
  <cellXfs count="371">
    <xf numFmtId="0" fontId="0" fillId="0" borderId="0" xfId="0">
      <alignment vertical="center"/>
    </xf>
    <xf numFmtId="0" fontId="2" fillId="2" borderId="0" xfId="3" applyFont="1" applyFill="1">
      <alignment vertical="center"/>
    </xf>
    <xf numFmtId="0" fontId="2" fillId="4" borderId="0" xfId="3" applyFont="1" applyFill="1">
      <alignment vertical="center"/>
    </xf>
    <xf numFmtId="0" fontId="2" fillId="2" borderId="0" xfId="3" applyFont="1" applyFill="1" applyAlignment="1">
      <alignment horizontal="center"/>
    </xf>
    <xf numFmtId="0" fontId="2" fillId="4" borderId="0" xfId="3" applyFont="1" applyFill="1" applyAlignment="1">
      <alignment horizontal="center"/>
    </xf>
    <xf numFmtId="0" fontId="2" fillId="2" borderId="0" xfId="3" applyFont="1" applyFill="1" applyAlignment="1"/>
    <xf numFmtId="0" fontId="2" fillId="4" borderId="0" xfId="3" applyFont="1" applyFill="1" applyAlignment="1"/>
    <xf numFmtId="0" fontId="9" fillId="2" borderId="0" xfId="3" applyFont="1" applyFill="1" applyAlignment="1">
      <alignment horizontal="center" vertical="center"/>
    </xf>
    <xf numFmtId="0" fontId="8" fillId="2" borderId="0" xfId="3" applyFont="1" applyFill="1">
      <alignment vertical="center"/>
    </xf>
    <xf numFmtId="0" fontId="10" fillId="2" borderId="0" xfId="3" applyFont="1" applyFill="1" applyAlignment="1">
      <alignment horizontal="center" vertical="center"/>
    </xf>
    <xf numFmtId="176" fontId="8" fillId="2" borderId="0" xfId="3" applyNumberFormat="1" applyFont="1" applyFill="1" applyAlignment="1">
      <alignment horizontal="center" vertical="center"/>
    </xf>
    <xf numFmtId="176" fontId="8" fillId="2" borderId="0" xfId="3" applyNumberFormat="1" applyFont="1" applyFill="1">
      <alignment vertical="center"/>
    </xf>
    <xf numFmtId="41" fontId="8" fillId="2" borderId="0" xfId="3" applyNumberFormat="1" applyFont="1" applyFill="1">
      <alignment vertical="center"/>
    </xf>
    <xf numFmtId="0" fontId="7" fillId="0" borderId="0" xfId="0" applyFont="1">
      <alignment vertical="center"/>
    </xf>
    <xf numFmtId="0" fontId="14" fillId="2" borderId="0" xfId="3" applyFont="1" applyFill="1" applyAlignment="1">
      <alignment horizontal="center" vertical="center" wrapText="1"/>
    </xf>
    <xf numFmtId="0" fontId="15" fillId="2" borderId="0" xfId="3" applyFont="1" applyFill="1" applyAlignment="1">
      <alignment vertical="center" wrapText="1"/>
    </xf>
    <xf numFmtId="176" fontId="15" fillId="2" borderId="0" xfId="3" applyNumberFormat="1" applyFont="1" applyFill="1" applyAlignment="1">
      <alignment horizontal="center" vertical="center" wrapText="1"/>
    </xf>
    <xf numFmtId="41" fontId="15" fillId="2" borderId="0" xfId="3" applyNumberFormat="1" applyFont="1" applyFill="1" applyAlignment="1">
      <alignment horizontal="center" vertical="center" wrapText="1"/>
    </xf>
    <xf numFmtId="0" fontId="16" fillId="2" borderId="1" xfId="0" applyFont="1" applyFill="1" applyBorder="1" applyAlignment="1">
      <alignment horizontal="center" vertical="center"/>
    </xf>
    <xf numFmtId="0" fontId="17" fillId="2" borderId="1" xfId="3" applyFont="1" applyFill="1" applyBorder="1" applyAlignment="1">
      <alignment horizontal="left" vertical="center"/>
    </xf>
    <xf numFmtId="0" fontId="14" fillId="3" borderId="0" xfId="3" applyFont="1" applyFill="1" applyAlignment="1">
      <alignment horizontal="center" vertical="center" wrapText="1"/>
    </xf>
    <xf numFmtId="0" fontId="15" fillId="3" borderId="0" xfId="3" applyFont="1" applyFill="1" applyAlignment="1">
      <alignment horizontal="center" vertical="center" wrapText="1"/>
    </xf>
    <xf numFmtId="176" fontId="15" fillId="3" borderId="0" xfId="3" applyNumberFormat="1" applyFont="1" applyFill="1" applyAlignment="1">
      <alignment horizontal="center" vertical="center" wrapText="1"/>
    </xf>
    <xf numFmtId="41" fontId="15" fillId="3" borderId="0" xfId="3" applyNumberFormat="1" applyFont="1" applyFill="1" applyAlignment="1">
      <alignment horizontal="center" vertical="center" wrapText="1"/>
    </xf>
    <xf numFmtId="0" fontId="16" fillId="2" borderId="2" xfId="0" applyFont="1" applyFill="1" applyBorder="1" applyAlignment="1">
      <alignment horizontal="center" vertical="center"/>
    </xf>
    <xf numFmtId="0" fontId="17" fillId="2" borderId="2" xfId="3" applyFont="1" applyFill="1" applyBorder="1" applyAlignment="1">
      <alignment horizontal="left" vertical="center"/>
    </xf>
    <xf numFmtId="0" fontId="18" fillId="0" borderId="15" xfId="0" applyFont="1" applyBorder="1" applyAlignment="1" applyProtection="1">
      <alignment horizontal="center" vertical="center" wrapText="1" shrinkToFit="1"/>
      <protection locked="0"/>
    </xf>
    <xf numFmtId="49" fontId="18" fillId="0" borderId="15" xfId="0" applyNumberFormat="1" applyFont="1" applyBorder="1" applyAlignment="1" applyProtection="1">
      <alignment horizontal="left" vertical="center" wrapText="1"/>
      <protection locked="0"/>
    </xf>
    <xf numFmtId="49" fontId="16" fillId="2" borderId="0" xfId="0" applyNumberFormat="1" applyFont="1" applyFill="1" applyAlignment="1">
      <alignment wrapText="1"/>
    </xf>
    <xf numFmtId="0" fontId="17" fillId="2" borderId="0" xfId="3" applyFont="1" applyFill="1" applyAlignment="1">
      <alignment horizontal="center"/>
    </xf>
    <xf numFmtId="0" fontId="17" fillId="2" borderId="0" xfId="3" applyFont="1" applyFill="1" applyAlignment="1"/>
    <xf numFmtId="49" fontId="18" fillId="0" borderId="17" xfId="0" applyNumberFormat="1" applyFont="1" applyBorder="1" applyAlignment="1" applyProtection="1">
      <alignment horizontal="center" shrinkToFit="1"/>
      <protection locked="0"/>
    </xf>
    <xf numFmtId="0" fontId="18" fillId="0" borderId="17" xfId="0" applyFont="1" applyBorder="1" applyAlignment="1" applyProtection="1">
      <alignment horizontal="left" indent="1" shrinkToFit="1"/>
      <protection locked="0"/>
    </xf>
    <xf numFmtId="0" fontId="18" fillId="0" borderId="17" xfId="0" applyFont="1" applyBorder="1" applyAlignment="1" applyProtection="1">
      <alignment horizontal="center" shrinkToFit="1"/>
      <protection locked="0"/>
    </xf>
    <xf numFmtId="192" fontId="18" fillId="0" borderId="17" xfId="0" applyNumberFormat="1" applyFont="1" applyBorder="1" applyAlignment="1" applyProtection="1">
      <alignment shrinkToFit="1"/>
      <protection locked="0"/>
    </xf>
    <xf numFmtId="0" fontId="17" fillId="0" borderId="0" xfId="0" applyFont="1">
      <alignment vertical="center"/>
    </xf>
    <xf numFmtId="0" fontId="23" fillId="0" borderId="0" xfId="0" applyFont="1">
      <alignment vertical="center"/>
    </xf>
    <xf numFmtId="0" fontId="21" fillId="0" borderId="0" xfId="7" applyFont="1" applyAlignment="1">
      <alignment horizontal="center" vertical="center"/>
    </xf>
    <xf numFmtId="0" fontId="27" fillId="0" borderId="0" xfId="0" applyFont="1">
      <alignment vertical="center"/>
    </xf>
    <xf numFmtId="0" fontId="23" fillId="0" borderId="0" xfId="7" applyFont="1">
      <alignment vertical="center"/>
    </xf>
    <xf numFmtId="188" fontId="29" fillId="0" borderId="0" xfId="0" applyNumberFormat="1" applyFont="1">
      <alignment vertical="center"/>
    </xf>
    <xf numFmtId="188" fontId="29" fillId="0" borderId="0" xfId="0" applyNumberFormat="1" applyFont="1" applyAlignment="1">
      <alignment horizontal="left" vertical="center" indent="1"/>
    </xf>
    <xf numFmtId="188" fontId="29" fillId="0" borderId="0" xfId="0" applyNumberFormat="1" applyFont="1" applyAlignment="1">
      <alignment horizontal="left" vertical="center" indent="2"/>
    </xf>
    <xf numFmtId="0" fontId="22" fillId="0" borderId="0" xfId="0" applyFont="1" applyAlignment="1">
      <alignment horizontal="center" vertical="center"/>
    </xf>
    <xf numFmtId="0" fontId="30" fillId="15" borderId="0" xfId="0" applyFont="1" applyFill="1">
      <alignment vertical="center"/>
    </xf>
    <xf numFmtId="181" fontId="31" fillId="0" borderId="45" xfId="5" applyNumberFormat="1" applyFont="1" applyBorder="1" applyAlignment="1">
      <alignment horizontal="center" vertical="center" wrapText="1"/>
    </xf>
    <xf numFmtId="181" fontId="31" fillId="0" borderId="46" xfId="5" applyNumberFormat="1" applyFont="1" applyBorder="1" applyAlignment="1">
      <alignment horizontal="center" vertical="center" wrapText="1"/>
    </xf>
    <xf numFmtId="182" fontId="32" fillId="0" borderId="46" xfId="5" quotePrefix="1" applyNumberFormat="1" applyFont="1" applyBorder="1" applyAlignment="1">
      <alignment horizontal="center" wrapText="1"/>
    </xf>
    <xf numFmtId="0" fontId="32" fillId="0" borderId="46" xfId="5" applyFont="1" applyBorder="1" applyAlignment="1">
      <alignment horizontal="center" wrapText="1"/>
    </xf>
    <xf numFmtId="181" fontId="31" fillId="10" borderId="0" xfId="5" applyNumberFormat="1" applyFont="1" applyFill="1" applyAlignment="1">
      <alignment horizontal="center" vertical="distributed"/>
    </xf>
    <xf numFmtId="182" fontId="32" fillId="0" borderId="3" xfId="5" quotePrefix="1" applyNumberFormat="1" applyFont="1" applyBorder="1" applyAlignment="1">
      <alignment horizontal="center" wrapText="1"/>
    </xf>
    <xf numFmtId="10" fontId="32" fillId="0" borderId="3" xfId="5" applyNumberFormat="1" applyFont="1" applyBorder="1" applyAlignment="1">
      <alignment horizontal="center" wrapText="1"/>
    </xf>
    <xf numFmtId="0" fontId="32" fillId="0" borderId="3" xfId="5" applyFont="1" applyBorder="1" applyAlignment="1">
      <alignment horizontal="center" wrapText="1"/>
    </xf>
    <xf numFmtId="181" fontId="33" fillId="10" borderId="0" xfId="5" applyNumberFormat="1" applyFont="1" applyFill="1" applyAlignment="1">
      <alignment horizontal="center" vertical="distributed"/>
    </xf>
    <xf numFmtId="199" fontId="38" fillId="17" borderId="49" xfId="12" applyNumberFormat="1" applyFont="1" applyFill="1" applyBorder="1" applyAlignment="1">
      <alignment horizontal="center" vertical="center"/>
    </xf>
    <xf numFmtId="199" fontId="38" fillId="17" borderId="54" xfId="12" applyNumberFormat="1" applyFont="1" applyFill="1" applyBorder="1" applyAlignment="1">
      <alignment horizontal="center" vertical="center"/>
    </xf>
    <xf numFmtId="198" fontId="39" fillId="16" borderId="49" xfId="12" applyNumberFormat="1" applyFont="1" applyFill="1" applyBorder="1" applyAlignment="1">
      <alignment horizontal="center" vertical="center"/>
    </xf>
    <xf numFmtId="0" fontId="39" fillId="19" borderId="49" xfId="12" applyFont="1" applyFill="1" applyBorder="1" applyAlignment="1"/>
    <xf numFmtId="0" fontId="39" fillId="16" borderId="49" xfId="12" applyFont="1" applyFill="1" applyBorder="1" applyAlignment="1"/>
    <xf numFmtId="0" fontId="39" fillId="16" borderId="54" xfId="12" applyFont="1" applyFill="1" applyBorder="1" applyAlignment="1"/>
    <xf numFmtId="0" fontId="39" fillId="19" borderId="54" xfId="12" applyFont="1" applyFill="1" applyBorder="1" applyAlignment="1"/>
    <xf numFmtId="2" fontId="40" fillId="20" borderId="49" xfId="12" applyNumberFormat="1" applyFont="1" applyFill="1" applyBorder="1" applyAlignment="1">
      <alignment horizontal="center"/>
    </xf>
    <xf numFmtId="2" fontId="40" fillId="20" borderId="54" xfId="12" applyNumberFormat="1" applyFont="1" applyFill="1" applyBorder="1" applyAlignment="1">
      <alignment horizontal="center"/>
    </xf>
    <xf numFmtId="2" fontId="40" fillId="22" borderId="56" xfId="12" applyNumberFormat="1" applyFont="1" applyFill="1" applyBorder="1" applyAlignment="1">
      <alignment horizontal="center"/>
    </xf>
    <xf numFmtId="2" fontId="40" fillId="22" borderId="57" xfId="12" applyNumberFormat="1" applyFont="1" applyFill="1" applyBorder="1" applyAlignment="1">
      <alignment horizontal="center"/>
    </xf>
    <xf numFmtId="0" fontId="41" fillId="16" borderId="53" xfId="12" applyFont="1" applyFill="1" applyBorder="1" applyAlignment="1">
      <alignment horizontal="center" vertical="center"/>
    </xf>
    <xf numFmtId="0" fontId="41" fillId="16" borderId="49" xfId="12" applyFont="1" applyFill="1" applyBorder="1" applyAlignment="1">
      <alignment horizontal="center" vertical="center"/>
    </xf>
    <xf numFmtId="3" fontId="41" fillId="16" borderId="49" xfId="12" applyNumberFormat="1" applyFont="1" applyFill="1" applyBorder="1" applyAlignment="1">
      <alignment horizontal="right" vertical="center"/>
    </xf>
    <xf numFmtId="2" fontId="41" fillId="16" borderId="49" xfId="12" applyNumberFormat="1" applyFont="1" applyFill="1" applyBorder="1" applyAlignment="1">
      <alignment horizontal="center" vertical="center"/>
    </xf>
    <xf numFmtId="0" fontId="41" fillId="16" borderId="49" xfId="12" applyFont="1" applyFill="1" applyBorder="1" applyAlignment="1">
      <alignment vertical="center" wrapText="1"/>
    </xf>
    <xf numFmtId="0" fontId="34" fillId="16" borderId="59" xfId="11" applyFont="1" applyFill="1" applyBorder="1" applyAlignment="1"/>
    <xf numFmtId="0" fontId="44" fillId="0" borderId="0" xfId="0" applyFont="1">
      <alignment vertical="center"/>
    </xf>
    <xf numFmtId="0" fontId="44" fillId="0" borderId="9" xfId="0" applyFont="1" applyBorder="1">
      <alignment vertical="center"/>
    </xf>
    <xf numFmtId="191" fontId="44" fillId="0" borderId="22" xfId="0" applyNumberFormat="1" applyFont="1" applyBorder="1">
      <alignment vertical="center"/>
    </xf>
    <xf numFmtId="196" fontId="44" fillId="0" borderId="0" xfId="0" applyNumberFormat="1" applyFont="1">
      <alignment vertical="center"/>
    </xf>
    <xf numFmtId="182" fontId="44" fillId="0" borderId="47" xfId="5" quotePrefix="1" applyNumberFormat="1" applyFont="1" applyBorder="1" applyAlignment="1">
      <alignment horizontal="center" wrapText="1"/>
    </xf>
    <xf numFmtId="184" fontId="44" fillId="0" borderId="47" xfId="5" applyNumberFormat="1" applyFont="1" applyBorder="1" applyAlignment="1">
      <alignment horizontal="center" wrapText="1"/>
    </xf>
    <xf numFmtId="185" fontId="44" fillId="0" borderId="47" xfId="5" applyNumberFormat="1" applyFont="1" applyBorder="1" applyAlignment="1">
      <alignment horizontal="center" wrapText="1"/>
    </xf>
    <xf numFmtId="0" fontId="44" fillId="0" borderId="47" xfId="5" applyFont="1" applyBorder="1" applyAlignment="1">
      <alignment horizontal="center" wrapText="1"/>
    </xf>
    <xf numFmtId="10" fontId="44" fillId="0" borderId="47" xfId="5" applyNumberFormat="1" applyFont="1" applyBorder="1" applyAlignment="1">
      <alignment horizontal="center" wrapText="1"/>
    </xf>
    <xf numFmtId="0" fontId="43" fillId="0" borderId="0" xfId="0" applyFont="1" applyAlignment="1">
      <alignment horizontal="center" vertical="center"/>
    </xf>
    <xf numFmtId="0" fontId="43" fillId="0" borderId="0" xfId="0" applyFont="1" applyAlignment="1">
      <alignment vertical="center" shrinkToFit="1"/>
    </xf>
    <xf numFmtId="191" fontId="43" fillId="0" borderId="0" xfId="0" applyNumberFormat="1" applyFont="1" applyAlignment="1">
      <alignment horizontal="center" vertical="center"/>
    </xf>
    <xf numFmtId="181" fontId="42" fillId="13" borderId="10" xfId="3" applyNumberFormat="1" applyFont="1" applyFill="1" applyBorder="1" applyAlignment="1">
      <alignment horizontal="center" vertical="center" shrinkToFit="1"/>
    </xf>
    <xf numFmtId="49" fontId="42" fillId="13" borderId="11" xfId="3" applyNumberFormat="1" applyFont="1" applyFill="1" applyBorder="1" applyAlignment="1">
      <alignment horizontal="left" vertical="center" shrinkToFit="1"/>
    </xf>
    <xf numFmtId="191" fontId="43" fillId="13" borderId="0" xfId="0" applyNumberFormat="1" applyFont="1" applyFill="1" applyAlignment="1">
      <alignment horizontal="center" vertical="center"/>
    </xf>
    <xf numFmtId="181" fontId="42" fillId="13" borderId="12" xfId="5" applyNumberFormat="1" applyFont="1" applyFill="1" applyBorder="1" applyAlignment="1">
      <alignment horizontal="center" vertical="center"/>
    </xf>
    <xf numFmtId="41" fontId="42" fillId="13" borderId="13" xfId="5" applyNumberFormat="1" applyFont="1" applyFill="1" applyBorder="1" applyAlignment="1">
      <alignment horizontal="left" vertical="center" shrinkToFit="1"/>
    </xf>
    <xf numFmtId="181" fontId="42" fillId="13" borderId="12" xfId="5" applyNumberFormat="1" applyFont="1" applyFill="1" applyBorder="1" applyAlignment="1">
      <alignment horizontal="center" vertical="center" wrapText="1"/>
    </xf>
    <xf numFmtId="187" fontId="42" fillId="13" borderId="13" xfId="1" applyNumberFormat="1" applyFont="1" applyFill="1" applyBorder="1" applyAlignment="1">
      <alignment horizontal="left" vertical="center" shrinkToFit="1"/>
    </xf>
    <xf numFmtId="41" fontId="42" fillId="13" borderId="13" xfId="5" applyNumberFormat="1" applyFont="1" applyFill="1" applyBorder="1" applyAlignment="1">
      <alignment vertical="center" shrinkToFit="1"/>
    </xf>
    <xf numFmtId="183" fontId="42" fillId="13" borderId="13" xfId="5" applyNumberFormat="1" applyFont="1" applyFill="1" applyBorder="1" applyAlignment="1">
      <alignment horizontal="left" vertical="center" shrinkToFit="1"/>
    </xf>
    <xf numFmtId="0" fontId="42" fillId="13" borderId="13" xfId="5" applyFont="1" applyFill="1" applyBorder="1" applyAlignment="1">
      <alignment horizontal="left" vertical="center" shrinkToFit="1"/>
    </xf>
    <xf numFmtId="0" fontId="43" fillId="13" borderId="0" xfId="0" applyFont="1" applyFill="1" applyAlignment="1">
      <alignment horizontal="center" vertical="center"/>
    </xf>
    <xf numFmtId="0" fontId="43" fillId="0" borderId="47" xfId="0" applyFont="1" applyBorder="1" applyAlignment="1">
      <alignment horizontal="center" vertical="center"/>
    </xf>
    <xf numFmtId="0" fontId="44" fillId="0" borderId="47" xfId="0" applyFont="1" applyBorder="1">
      <alignment vertical="center"/>
    </xf>
    <xf numFmtId="191" fontId="44" fillId="0" borderId="47" xfId="0" applyNumberFormat="1" applyFont="1" applyBorder="1">
      <alignment vertical="center"/>
    </xf>
    <xf numFmtId="196" fontId="44" fillId="0" borderId="47" xfId="0" applyNumberFormat="1" applyFont="1" applyBorder="1">
      <alignment vertical="center"/>
    </xf>
    <xf numFmtId="0" fontId="43" fillId="13" borderId="0" xfId="0" applyFont="1" applyFill="1" applyAlignment="1">
      <alignment horizontal="right" vertical="center" shrinkToFit="1"/>
    </xf>
    <xf numFmtId="191" fontId="43" fillId="7" borderId="0" xfId="0" applyNumberFormat="1" applyFont="1" applyFill="1" applyAlignment="1">
      <alignment horizontal="center" vertical="center"/>
    </xf>
    <xf numFmtId="181" fontId="42" fillId="7" borderId="47" xfId="5" applyNumberFormat="1" applyFont="1" applyFill="1" applyBorder="1" applyAlignment="1">
      <alignment horizontal="center" vertical="center" wrapText="1"/>
    </xf>
    <xf numFmtId="0" fontId="44" fillId="0" borderId="0" xfId="0" applyFont="1" applyAlignment="1">
      <alignment horizontal="center" vertical="center"/>
    </xf>
    <xf numFmtId="201" fontId="44" fillId="0" borderId="47" xfId="2" applyNumberFormat="1" applyFont="1" applyFill="1" applyBorder="1">
      <alignment vertical="center"/>
    </xf>
    <xf numFmtId="201" fontId="44" fillId="0" borderId="0" xfId="2" applyNumberFormat="1" applyFont="1" applyFill="1">
      <alignment vertical="center"/>
    </xf>
    <xf numFmtId="201" fontId="7" fillId="0" borderId="0" xfId="2" applyNumberFormat="1" applyFont="1" applyFill="1">
      <alignment vertical="center"/>
    </xf>
    <xf numFmtId="181" fontId="42" fillId="5" borderId="47" xfId="5" applyNumberFormat="1" applyFont="1" applyFill="1" applyBorder="1" applyAlignment="1">
      <alignment horizontal="center" vertical="distributed"/>
    </xf>
    <xf numFmtId="181" fontId="42" fillId="5" borderId="47" xfId="5" applyNumberFormat="1" applyFont="1" applyFill="1" applyBorder="1" applyAlignment="1">
      <alignment horizontal="center" vertical="distributed" justifyLastLine="1"/>
    </xf>
    <xf numFmtId="181" fontId="44" fillId="5" borderId="47" xfId="5" applyNumberFormat="1" applyFont="1" applyFill="1" applyBorder="1" applyAlignment="1">
      <alignment horizontal="center" vertical="center" wrapText="1"/>
    </xf>
    <xf numFmtId="181" fontId="42" fillId="5" borderId="47" xfId="5" applyNumberFormat="1" applyFont="1" applyFill="1" applyBorder="1" applyAlignment="1">
      <alignment horizontal="center" vertical="center" wrapText="1"/>
    </xf>
    <xf numFmtId="182" fontId="44" fillId="14" borderId="60" xfId="5" quotePrefix="1" applyNumberFormat="1" applyFont="1" applyFill="1" applyBorder="1" applyAlignment="1">
      <alignment horizontal="center" wrapText="1"/>
    </xf>
    <xf numFmtId="182" fontId="44" fillId="14" borderId="61" xfId="5" quotePrefix="1" applyNumberFormat="1" applyFont="1" applyFill="1" applyBorder="1" applyAlignment="1">
      <alignment horizontal="center" wrapText="1"/>
    </xf>
    <xf numFmtId="182" fontId="44" fillId="14" borderId="62" xfId="5" quotePrefix="1" applyNumberFormat="1" applyFont="1" applyFill="1" applyBorder="1" applyAlignment="1">
      <alignment horizontal="center" wrapText="1"/>
    </xf>
    <xf numFmtId="184" fontId="44" fillId="14" borderId="63" xfId="5" applyNumberFormat="1" applyFont="1" applyFill="1" applyBorder="1" applyAlignment="1">
      <alignment horizontal="center" wrapText="1"/>
    </xf>
    <xf numFmtId="184" fontId="44" fillId="14" borderId="64" xfId="5" applyNumberFormat="1" applyFont="1" applyFill="1" applyBorder="1" applyAlignment="1">
      <alignment horizontal="center" wrapText="1"/>
    </xf>
    <xf numFmtId="184" fontId="44" fillId="14" borderId="65" xfId="5" applyNumberFormat="1" applyFont="1" applyFill="1" applyBorder="1" applyAlignment="1">
      <alignment horizontal="center" wrapText="1"/>
    </xf>
    <xf numFmtId="185" fontId="44" fillId="14" borderId="63" xfId="5" applyNumberFormat="1" applyFont="1" applyFill="1" applyBorder="1" applyAlignment="1">
      <alignment horizontal="center" wrapText="1"/>
    </xf>
    <xf numFmtId="185" fontId="44" fillId="14" borderId="64" xfId="5" applyNumberFormat="1" applyFont="1" applyFill="1" applyBorder="1" applyAlignment="1">
      <alignment horizontal="center" wrapText="1"/>
    </xf>
    <xf numFmtId="185" fontId="44" fillId="14" borderId="65" xfId="5" applyNumberFormat="1" applyFont="1" applyFill="1" applyBorder="1" applyAlignment="1">
      <alignment horizontal="center" wrapText="1"/>
    </xf>
    <xf numFmtId="10" fontId="44" fillId="14" borderId="63" xfId="5" applyNumberFormat="1" applyFont="1" applyFill="1" applyBorder="1" applyAlignment="1">
      <alignment horizontal="center" wrapText="1"/>
    </xf>
    <xf numFmtId="10" fontId="44" fillId="14" borderId="64" xfId="5" applyNumberFormat="1" applyFont="1" applyFill="1" applyBorder="1" applyAlignment="1">
      <alignment horizontal="center" wrapText="1"/>
    </xf>
    <xf numFmtId="10" fontId="44" fillId="14" borderId="65" xfId="5" applyNumberFormat="1" applyFont="1" applyFill="1" applyBorder="1" applyAlignment="1">
      <alignment horizontal="center" wrapText="1"/>
    </xf>
    <xf numFmtId="0" fontId="43" fillId="10" borderId="0" xfId="0" applyFont="1" applyFill="1" applyAlignment="1">
      <alignment horizontal="center" vertical="center"/>
    </xf>
    <xf numFmtId="0" fontId="44" fillId="0" borderId="47" xfId="0" applyFont="1" applyBorder="1" applyAlignment="1">
      <alignment horizontal="center" vertical="center"/>
    </xf>
    <xf numFmtId="0" fontId="44" fillId="0" borderId="41" xfId="0" applyFont="1" applyBorder="1" applyAlignment="1">
      <alignment horizontal="center" vertical="center"/>
    </xf>
    <xf numFmtId="191" fontId="44" fillId="0" borderId="59" xfId="0" applyNumberFormat="1" applyFont="1" applyBorder="1" applyAlignment="1">
      <alignment horizontal="center" vertical="center"/>
    </xf>
    <xf numFmtId="196" fontId="44" fillId="0" borderId="47" xfId="0" applyNumberFormat="1" applyFont="1" applyBorder="1" applyAlignment="1">
      <alignment horizontal="center" vertical="center"/>
    </xf>
    <xf numFmtId="179" fontId="7" fillId="0" borderId="69" xfId="0" applyNumberFormat="1" applyFont="1" applyBorder="1">
      <alignment vertical="center"/>
    </xf>
    <xf numFmtId="43" fontId="44" fillId="6" borderId="0" xfId="1" applyFont="1" applyFill="1" applyAlignment="1">
      <alignment horizontal="center" vertical="center"/>
    </xf>
    <xf numFmtId="179" fontId="7" fillId="6" borderId="0" xfId="1" applyNumberFormat="1" applyFont="1" applyFill="1">
      <alignment vertical="center"/>
    </xf>
    <xf numFmtId="202" fontId="7" fillId="6" borderId="0" xfId="1" applyNumberFormat="1" applyFont="1" applyFill="1">
      <alignment vertical="center"/>
    </xf>
    <xf numFmtId="43" fontId="43" fillId="0" borderId="0" xfId="1" applyFont="1" applyFill="1" applyAlignment="1">
      <alignment horizontal="right" vertical="center"/>
    </xf>
    <xf numFmtId="201" fontId="43" fillId="0" borderId="0" xfId="2" applyNumberFormat="1" applyFont="1" applyFill="1" applyAlignment="1">
      <alignment horizontal="right" vertical="center"/>
    </xf>
    <xf numFmtId="177" fontId="7" fillId="0" borderId="0" xfId="1" applyNumberFormat="1" applyFont="1" applyFill="1">
      <alignment vertical="center"/>
    </xf>
    <xf numFmtId="14" fontId="30" fillId="15" borderId="0" xfId="0" applyNumberFormat="1" applyFont="1" applyFill="1">
      <alignment vertical="center"/>
    </xf>
    <xf numFmtId="14" fontId="31" fillId="10" borderId="0" xfId="5" applyNumberFormat="1" applyFont="1" applyFill="1" applyAlignment="1">
      <alignment horizontal="center" vertical="distributed"/>
    </xf>
    <xf numFmtId="14" fontId="32" fillId="0" borderId="3" xfId="5" applyNumberFormat="1" applyFont="1" applyBorder="1" applyAlignment="1">
      <alignment horizontal="center" wrapText="1"/>
    </xf>
    <xf numFmtId="0" fontId="11" fillId="0" borderId="0" xfId="0" applyFont="1">
      <alignment vertical="center"/>
    </xf>
    <xf numFmtId="0" fontId="11" fillId="11" borderId="0" xfId="0" applyFont="1" applyFill="1">
      <alignment vertical="center"/>
    </xf>
    <xf numFmtId="0" fontId="46" fillId="0" borderId="0" xfId="6" applyFont="1" applyAlignment="1">
      <alignment horizontal="left" vertical="center" shrinkToFit="1"/>
    </xf>
    <xf numFmtId="188" fontId="47" fillId="0" borderId="0" xfId="6" applyNumberFormat="1" applyFont="1" applyAlignment="1">
      <alignment horizontal="center" vertical="center"/>
    </xf>
    <xf numFmtId="0" fontId="46" fillId="0" borderId="0" xfId="6" applyFont="1">
      <alignment vertical="center"/>
    </xf>
    <xf numFmtId="14" fontId="46" fillId="0" borderId="0" xfId="6" applyNumberFormat="1" applyFont="1" applyAlignment="1">
      <alignment horizontal="distributed" vertical="distributed" justifyLastLine="1"/>
    </xf>
    <xf numFmtId="0" fontId="46" fillId="0" borderId="7" xfId="6" applyFont="1" applyBorder="1" applyAlignment="1">
      <alignment horizontal="distributed" vertical="center" justifyLastLine="1" shrinkToFit="1"/>
    </xf>
    <xf numFmtId="0" fontId="46" fillId="0" borderId="8" xfId="6" applyFont="1" applyBorder="1" applyAlignment="1">
      <alignment horizontal="distributed" vertical="center" justifyLastLine="1" shrinkToFit="1"/>
    </xf>
    <xf numFmtId="197" fontId="46" fillId="0" borderId="26" xfId="6" applyNumberFormat="1" applyFont="1" applyBorder="1" applyAlignment="1">
      <alignment horizontal="distributed" vertical="distributed" justifyLastLine="1" shrinkToFit="1"/>
    </xf>
    <xf numFmtId="0" fontId="46" fillId="0" borderId="30" xfId="6" applyFont="1" applyBorder="1" applyAlignment="1">
      <alignment horizontal="distributed" vertical="center" justifyLastLine="1" shrinkToFit="1"/>
    </xf>
    <xf numFmtId="177" fontId="46" fillId="0" borderId="31" xfId="1" applyNumberFormat="1" applyFont="1" applyFill="1" applyBorder="1" applyAlignment="1">
      <alignment vertical="distributed" justifyLastLine="1"/>
    </xf>
    <xf numFmtId="10" fontId="11" fillId="0" borderId="0" xfId="0" applyNumberFormat="1" applyFont="1">
      <alignment vertical="center"/>
    </xf>
    <xf numFmtId="191" fontId="46" fillId="0" borderId="25" xfId="6" applyNumberFormat="1" applyFont="1" applyBorder="1" applyAlignment="1">
      <alignment horizontal="center" vertical="center" justifyLastLine="1" shrinkToFit="1"/>
    </xf>
    <xf numFmtId="0" fontId="46" fillId="0" borderId="8" xfId="6" applyFont="1" applyBorder="1" applyAlignment="1">
      <alignment horizontal="center" vertical="center" justifyLastLine="1"/>
    </xf>
    <xf numFmtId="0" fontId="46" fillId="0" borderId="8" xfId="6" applyFont="1" applyBorder="1" applyAlignment="1">
      <alignment horizontal="distributed" vertical="center" justifyLastLine="1"/>
    </xf>
    <xf numFmtId="0" fontId="46" fillId="0" borderId="26" xfId="6" applyFont="1" applyBorder="1" applyAlignment="1">
      <alignment horizontal="distributed" vertical="center" justifyLastLine="1"/>
    </xf>
    <xf numFmtId="41" fontId="46" fillId="0" borderId="25" xfId="0" applyNumberFormat="1" applyFont="1" applyBorder="1" applyAlignment="1">
      <alignment horizontal="center" vertical="center"/>
    </xf>
    <xf numFmtId="41" fontId="46" fillId="0" borderId="8" xfId="1" applyNumberFormat="1" applyFont="1" applyFill="1" applyBorder="1" applyAlignment="1">
      <alignment horizontal="center" vertical="center"/>
    </xf>
    <xf numFmtId="192" fontId="46" fillId="0" borderId="8" xfId="1" applyNumberFormat="1" applyFont="1" applyFill="1" applyBorder="1" applyAlignment="1">
      <alignment horizontal="center" vertical="center"/>
    </xf>
    <xf numFmtId="192" fontId="46" fillId="0" borderId="8" xfId="0" applyNumberFormat="1" applyFont="1" applyBorder="1">
      <alignment vertical="center"/>
    </xf>
    <xf numFmtId="0" fontId="46" fillId="0" borderId="26" xfId="0" applyFont="1" applyBorder="1">
      <alignment vertical="center"/>
    </xf>
    <xf numFmtId="43" fontId="11" fillId="11" borderId="0" xfId="0" applyNumberFormat="1" applyFont="1" applyFill="1">
      <alignment vertical="center"/>
    </xf>
    <xf numFmtId="0" fontId="48" fillId="11" borderId="0" xfId="0" applyFont="1" applyFill="1" applyAlignment="1">
      <alignment horizontal="center" vertical="center"/>
    </xf>
    <xf numFmtId="0" fontId="46" fillId="11" borderId="0" xfId="0" applyFont="1" applyFill="1">
      <alignment vertical="center"/>
    </xf>
    <xf numFmtId="0" fontId="11" fillId="11" borderId="0" xfId="0" applyFont="1" applyFill="1" applyAlignment="1">
      <alignment vertical="center" wrapText="1"/>
    </xf>
    <xf numFmtId="0" fontId="11" fillId="11" borderId="0" xfId="0" applyFont="1" applyFill="1" applyAlignment="1">
      <alignment horizontal="center" vertical="center"/>
    </xf>
    <xf numFmtId="0" fontId="46" fillId="0" borderId="8" xfId="6" applyFont="1" applyBorder="1" applyAlignment="1">
      <alignment horizontal="center" vertical="distributed" justifyLastLine="1"/>
    </xf>
    <xf numFmtId="0" fontId="46" fillId="0" borderId="26" xfId="6" applyFont="1" applyBorder="1" applyAlignment="1">
      <alignment horizontal="center" vertical="distributed" wrapText="1" justifyLastLine="1"/>
    </xf>
    <xf numFmtId="0" fontId="46" fillId="0" borderId="8" xfId="6" applyFont="1" applyBorder="1" applyAlignment="1">
      <alignment horizontal="center" vertical="center"/>
    </xf>
    <xf numFmtId="0" fontId="46" fillId="0" borderId="26" xfId="6" applyFont="1" applyBorder="1" applyAlignment="1">
      <alignment horizontal="center" vertical="center"/>
    </xf>
    <xf numFmtId="0" fontId="46" fillId="0" borderId="30" xfId="6" applyFont="1" applyBorder="1" applyAlignment="1">
      <alignment horizontal="center" vertical="center"/>
    </xf>
    <xf numFmtId="0" fontId="46" fillId="0" borderId="31" xfId="6" applyFont="1" applyBorder="1" applyAlignment="1">
      <alignment horizontal="center" vertical="center"/>
    </xf>
    <xf numFmtId="0" fontId="46" fillId="0" borderId="25" xfId="6" applyFont="1" applyBorder="1" applyAlignment="1">
      <alignment horizontal="distributed" vertical="distributed" wrapText="1" justifyLastLine="1"/>
    </xf>
    <xf numFmtId="194" fontId="46" fillId="0" borderId="8" xfId="6" applyNumberFormat="1" applyFont="1" applyBorder="1" applyAlignment="1">
      <alignment horizontal="distributed" vertical="distributed" justifyLastLine="1"/>
    </xf>
    <xf numFmtId="0" fontId="46" fillId="0" borderId="8" xfId="6" applyFont="1" applyBorder="1" applyAlignment="1">
      <alignment horizontal="distributed" vertical="distributed" wrapText="1"/>
    </xf>
    <xf numFmtId="0" fontId="46" fillId="0" borderId="8" xfId="6" applyFont="1" applyBorder="1" applyAlignment="1">
      <alignment horizontal="distributed" vertical="distributed" wrapText="1" justifyLastLine="1"/>
    </xf>
    <xf numFmtId="0" fontId="46" fillId="0" borderId="26" xfId="6" applyFont="1" applyBorder="1" applyAlignment="1">
      <alignment horizontal="distributed" vertical="distributed" wrapText="1" justifyLastLine="1"/>
    </xf>
    <xf numFmtId="194" fontId="46" fillId="0" borderId="25" xfId="6" applyNumberFormat="1" applyFont="1" applyBorder="1" applyAlignment="1">
      <alignment horizontal="distributed" vertical="distributed" wrapText="1" justifyLastLine="1"/>
    </xf>
    <xf numFmtId="186" fontId="46" fillId="0" borderId="8" xfId="6" applyNumberFormat="1" applyFont="1" applyBorder="1" applyAlignment="1">
      <alignment horizontal="center" vertical="center"/>
    </xf>
    <xf numFmtId="194" fontId="46" fillId="0" borderId="8" xfId="6" applyNumberFormat="1" applyFont="1" applyBorder="1" applyAlignment="1">
      <alignment horizontal="distributed" vertical="distributed" wrapText="1" justifyLastLine="1"/>
    </xf>
    <xf numFmtId="0" fontId="46" fillId="0" borderId="26" xfId="6" applyFont="1" applyBorder="1" applyAlignment="1">
      <alignment horizontal="left" vertical="center" wrapText="1"/>
    </xf>
    <xf numFmtId="194" fontId="46" fillId="0" borderId="29" xfId="6" applyNumberFormat="1" applyFont="1" applyBorder="1" applyAlignment="1">
      <alignment horizontal="distributed" vertical="distributed" wrapText="1" justifyLastLine="1"/>
    </xf>
    <xf numFmtId="186" fontId="46" fillId="0" borderId="30" xfId="6" applyNumberFormat="1" applyFont="1" applyBorder="1" applyAlignment="1">
      <alignment horizontal="center" vertical="center"/>
    </xf>
    <xf numFmtId="194" fontId="46" fillId="0" borderId="30" xfId="6" applyNumberFormat="1" applyFont="1" applyBorder="1" applyAlignment="1">
      <alignment horizontal="distributed" vertical="distributed" wrapText="1" justifyLastLine="1"/>
    </xf>
    <xf numFmtId="0" fontId="46" fillId="0" borderId="31" xfId="6" applyFont="1" applyBorder="1" applyAlignment="1">
      <alignment horizontal="left" vertical="distributed" wrapText="1" justifyLastLine="1"/>
    </xf>
    <xf numFmtId="0" fontId="46" fillId="0" borderId="0" xfId="6" applyFont="1" applyAlignment="1">
      <alignment vertical="justify" wrapText="1"/>
    </xf>
    <xf numFmtId="0" fontId="46" fillId="0" borderId="23" xfId="6" applyFont="1" applyBorder="1" applyAlignment="1">
      <alignment vertical="justify" wrapText="1"/>
    </xf>
    <xf numFmtId="0" fontId="11" fillId="3" borderId="47" xfId="0" applyFont="1" applyFill="1" applyBorder="1" applyAlignment="1">
      <alignment horizontal="left" vertical="center"/>
    </xf>
    <xf numFmtId="0" fontId="46" fillId="0" borderId="70" xfId="0" applyFont="1" applyBorder="1" applyAlignment="1">
      <alignment horizontal="left" vertical="center"/>
    </xf>
    <xf numFmtId="204" fontId="46" fillId="0" borderId="8" xfId="0" applyNumberFormat="1" applyFont="1" applyBorder="1">
      <alignment vertical="center"/>
    </xf>
    <xf numFmtId="0" fontId="11" fillId="11" borderId="3" xfId="0" applyFont="1" applyFill="1" applyBorder="1">
      <alignment vertical="center"/>
    </xf>
    <xf numFmtId="0" fontId="46" fillId="3" borderId="75" xfId="0" applyFont="1" applyFill="1" applyBorder="1" applyAlignment="1">
      <alignment horizontal="left" vertical="center"/>
    </xf>
    <xf numFmtId="41" fontId="46" fillId="0" borderId="38" xfId="0" applyNumberFormat="1" applyFont="1" applyBorder="1" applyAlignment="1">
      <alignment horizontal="center" vertical="center"/>
    </xf>
    <xf numFmtId="41" fontId="46" fillId="0" borderId="6" xfId="1" applyNumberFormat="1" applyFont="1" applyFill="1" applyBorder="1" applyAlignment="1">
      <alignment horizontal="center" vertical="center"/>
    </xf>
    <xf numFmtId="192" fontId="46" fillId="0" borderId="6" xfId="1" applyNumberFormat="1" applyFont="1" applyFill="1" applyBorder="1" applyAlignment="1">
      <alignment horizontal="center" vertical="center"/>
    </xf>
    <xf numFmtId="204" fontId="46" fillId="0" borderId="6" xfId="0" applyNumberFormat="1" applyFont="1" applyBorder="1">
      <alignment vertical="center"/>
    </xf>
    <xf numFmtId="0" fontId="46" fillId="0" borderId="39" xfId="0" applyFont="1" applyBorder="1">
      <alignment vertical="center"/>
    </xf>
    <xf numFmtId="0" fontId="7" fillId="10" borderId="77" xfId="0" applyFont="1" applyFill="1" applyBorder="1" applyAlignment="1">
      <alignment horizontal="center" vertical="center"/>
    </xf>
    <xf numFmtId="0" fontId="7" fillId="10" borderId="77" xfId="0" applyFont="1" applyFill="1" applyBorder="1" applyAlignment="1">
      <alignment vertical="center" wrapText="1"/>
    </xf>
    <xf numFmtId="203" fontId="7" fillId="10" borderId="77" xfId="0" applyNumberFormat="1" applyFont="1" applyFill="1" applyBorder="1" applyAlignment="1">
      <alignment horizontal="center" vertical="center"/>
    </xf>
    <xf numFmtId="0" fontId="7" fillId="10" borderId="76" xfId="0" applyFont="1" applyFill="1" applyBorder="1" applyAlignment="1">
      <alignment horizontal="center" vertical="center"/>
    </xf>
    <xf numFmtId="0" fontId="44" fillId="23" borderId="47" xfId="5" applyFont="1" applyFill="1" applyBorder="1" applyAlignment="1">
      <alignment horizontal="center" wrapText="1"/>
    </xf>
    <xf numFmtId="181" fontId="44" fillId="24" borderId="47" xfId="5" applyNumberFormat="1" applyFont="1" applyFill="1" applyBorder="1" applyAlignment="1">
      <alignment horizontal="center" vertical="center" wrapText="1"/>
    </xf>
    <xf numFmtId="181" fontId="42" fillId="25" borderId="47" xfId="5" applyNumberFormat="1" applyFont="1" applyFill="1" applyBorder="1" applyAlignment="1">
      <alignment horizontal="center" vertical="center" wrapText="1"/>
    </xf>
    <xf numFmtId="0" fontId="44" fillId="25" borderId="63" xfId="5" applyFont="1" applyFill="1" applyBorder="1" applyAlignment="1">
      <alignment horizontal="center" wrapText="1"/>
    </xf>
    <xf numFmtId="0" fontId="44" fillId="25" borderId="64" xfId="5" applyFont="1" applyFill="1" applyBorder="1" applyAlignment="1">
      <alignment horizontal="center" wrapText="1"/>
    </xf>
    <xf numFmtId="0" fontId="44" fillId="25" borderId="65" xfId="5" applyFont="1" applyFill="1" applyBorder="1" applyAlignment="1">
      <alignment horizontal="center" wrapText="1"/>
    </xf>
    <xf numFmtId="10" fontId="44" fillId="24" borderId="63" xfId="5" applyNumberFormat="1" applyFont="1" applyFill="1" applyBorder="1" applyAlignment="1">
      <alignment horizontal="center" wrapText="1"/>
    </xf>
    <xf numFmtId="10" fontId="44" fillId="24" borderId="64" xfId="5" applyNumberFormat="1" applyFont="1" applyFill="1" applyBorder="1" applyAlignment="1">
      <alignment horizontal="center" wrapText="1"/>
    </xf>
    <xf numFmtId="10" fontId="44" fillId="24" borderId="65" xfId="5" applyNumberFormat="1" applyFont="1" applyFill="1" applyBorder="1" applyAlignment="1">
      <alignment horizontal="center" wrapText="1"/>
    </xf>
    <xf numFmtId="181" fontId="44" fillId="26" borderId="47" xfId="5" applyNumberFormat="1" applyFont="1" applyFill="1" applyBorder="1" applyAlignment="1">
      <alignment horizontal="center" vertical="center" wrapText="1"/>
    </xf>
    <xf numFmtId="10" fontId="44" fillId="26" borderId="66" xfId="5" applyNumberFormat="1" applyFont="1" applyFill="1" applyBorder="1" applyAlignment="1">
      <alignment horizontal="center" wrapText="1"/>
    </xf>
    <xf numFmtId="10" fontId="44" fillId="26" borderId="67" xfId="5" applyNumberFormat="1" applyFont="1" applyFill="1" applyBorder="1" applyAlignment="1">
      <alignment horizontal="center" wrapText="1"/>
    </xf>
    <xf numFmtId="10" fontId="44" fillId="26" borderId="68" xfId="5" applyNumberFormat="1" applyFont="1" applyFill="1" applyBorder="1" applyAlignment="1">
      <alignment horizontal="center" wrapText="1"/>
    </xf>
    <xf numFmtId="180" fontId="11" fillId="9" borderId="21" xfId="0" applyNumberFormat="1" applyFont="1" applyFill="1" applyBorder="1" applyAlignment="1">
      <alignment horizontal="left" vertical="center"/>
    </xf>
    <xf numFmtId="178" fontId="11" fillId="0" borderId="19" xfId="0" applyNumberFormat="1" applyFont="1" applyBorder="1" applyAlignment="1">
      <alignment horizontal="center" vertical="center"/>
    </xf>
    <xf numFmtId="178" fontId="11" fillId="0" borderId="20" xfId="0" applyNumberFormat="1" applyFont="1" applyBorder="1" applyAlignment="1">
      <alignment horizontal="center" vertical="center"/>
    </xf>
    <xf numFmtId="179" fontId="11" fillId="0" borderId="16" xfId="0" applyNumberFormat="1" applyFont="1" applyBorder="1" applyAlignment="1">
      <alignment horizontal="center" vertical="center" wrapText="1"/>
    </xf>
    <xf numFmtId="0" fontId="11" fillId="0" borderId="16" xfId="0" applyFont="1" applyBorder="1" applyAlignment="1">
      <alignment horizontal="left" vertical="center" wrapText="1"/>
    </xf>
    <xf numFmtId="0" fontId="11" fillId="0" borderId="16" xfId="0" applyFont="1" applyBorder="1" applyAlignment="1">
      <alignment horizontal="center" vertical="center"/>
    </xf>
    <xf numFmtId="0" fontId="11" fillId="0" borderId="24" xfId="0" applyFont="1" applyBorder="1" applyAlignment="1">
      <alignment horizontal="left" vertical="center" wrapText="1"/>
    </xf>
    <xf numFmtId="0" fontId="50" fillId="9" borderId="0" xfId="0" applyFont="1" applyFill="1">
      <alignment vertical="center"/>
    </xf>
    <xf numFmtId="180" fontId="11" fillId="8" borderId="0" xfId="0" applyNumberFormat="1" applyFont="1" applyFill="1" applyAlignment="1">
      <alignment horizontal="left" vertical="center"/>
    </xf>
    <xf numFmtId="0" fontId="11" fillId="8" borderId="0" xfId="0" applyFont="1" applyFill="1" applyAlignment="1">
      <alignment horizontal="center" vertical="center"/>
    </xf>
    <xf numFmtId="179" fontId="11" fillId="8" borderId="0" xfId="0" applyNumberFormat="1" applyFont="1" applyFill="1" applyAlignment="1">
      <alignment horizontal="center" vertical="center"/>
    </xf>
    <xf numFmtId="0" fontId="11" fillId="8" borderId="0" xfId="0" applyFont="1" applyFill="1">
      <alignment vertical="center"/>
    </xf>
    <xf numFmtId="0" fontId="11" fillId="8" borderId="0" xfId="0" applyFont="1" applyFill="1" applyAlignment="1">
      <alignment horizontal="left" vertical="center" wrapText="1"/>
    </xf>
    <xf numFmtId="0" fontId="11" fillId="8" borderId="0" xfId="0" applyFont="1" applyFill="1" applyAlignment="1">
      <alignment vertical="center" wrapText="1"/>
    </xf>
    <xf numFmtId="0" fontId="50" fillId="9" borderId="0" xfId="0" applyFont="1" applyFill="1" applyAlignment="1">
      <alignment horizontal="left" vertical="center"/>
    </xf>
    <xf numFmtId="0" fontId="11" fillId="9" borderId="0" xfId="0" applyFont="1" applyFill="1" applyAlignment="1">
      <alignment horizontal="left" vertical="center"/>
    </xf>
    <xf numFmtId="178" fontId="11" fillId="23" borderId="5" xfId="0" applyNumberFormat="1" applyFont="1" applyFill="1" applyBorder="1" applyAlignment="1">
      <alignment horizontal="center" vertical="center" wrapText="1"/>
    </xf>
    <xf numFmtId="178" fontId="11" fillId="23" borderId="6" xfId="0" applyNumberFormat="1" applyFont="1" applyFill="1" applyBorder="1" applyAlignment="1">
      <alignment horizontal="center" vertical="center" wrapText="1"/>
    </xf>
    <xf numFmtId="179" fontId="11" fillId="23" borderId="6" xfId="0" applyNumberFormat="1" applyFont="1" applyFill="1" applyBorder="1" applyAlignment="1">
      <alignment horizontal="center" vertical="center" wrapText="1"/>
    </xf>
    <xf numFmtId="179" fontId="11" fillId="23" borderId="6" xfId="0" applyNumberFormat="1" applyFont="1" applyFill="1" applyBorder="1" applyAlignment="1">
      <alignment horizontal="center" vertical="center" wrapText="1" shrinkToFit="1"/>
    </xf>
    <xf numFmtId="0" fontId="11" fillId="23" borderId="6" xfId="0" applyFont="1" applyFill="1" applyBorder="1" applyAlignment="1">
      <alignment horizontal="center" vertical="center" wrapText="1" shrinkToFit="1"/>
    </xf>
    <xf numFmtId="0" fontId="11" fillId="23" borderId="6" xfId="4" applyFont="1" applyFill="1" applyBorder="1" applyAlignment="1">
      <alignment horizontal="center" vertical="center" wrapText="1" shrinkToFit="1"/>
    </xf>
    <xf numFmtId="0" fontId="11" fillId="23" borderId="4" xfId="4" applyFont="1" applyFill="1" applyBorder="1" applyAlignment="1">
      <alignment horizontal="center" vertical="center" wrapText="1" shrinkToFit="1"/>
    </xf>
    <xf numFmtId="180" fontId="11" fillId="23" borderId="5" xfId="0" applyNumberFormat="1" applyFont="1" applyFill="1" applyBorder="1" applyAlignment="1">
      <alignment horizontal="center" vertical="center"/>
    </xf>
    <xf numFmtId="0" fontId="51" fillId="0" borderId="0" xfId="10" applyFont="1"/>
    <xf numFmtId="0" fontId="53" fillId="0" borderId="0" xfId="10" applyFont="1" applyAlignment="1">
      <alignment vertical="center"/>
    </xf>
    <xf numFmtId="0" fontId="52" fillId="0" borderId="0" xfId="10" applyFont="1" applyAlignment="1">
      <alignment vertical="center"/>
    </xf>
    <xf numFmtId="0" fontId="53" fillId="0" borderId="0" xfId="10" applyFont="1"/>
    <xf numFmtId="0" fontId="56" fillId="0" borderId="0" xfId="10" applyFont="1" applyAlignment="1">
      <alignment horizontal="center" vertical="center"/>
    </xf>
    <xf numFmtId="0" fontId="57" fillId="0" borderId="0" xfId="10" applyFont="1" applyAlignment="1">
      <alignment horizontal="left"/>
    </xf>
    <xf numFmtId="0" fontId="51" fillId="0" borderId="0" xfId="10" applyFont="1" applyAlignment="1">
      <alignment horizontal="left"/>
    </xf>
    <xf numFmtId="0" fontId="11" fillId="12" borderId="0" xfId="10" applyFont="1" applyFill="1"/>
    <xf numFmtId="0" fontId="11" fillId="0" borderId="0" xfId="10" applyFont="1"/>
    <xf numFmtId="176" fontId="46" fillId="0" borderId="8" xfId="0" applyNumberFormat="1" applyFont="1" applyBorder="1">
      <alignment vertical="center"/>
    </xf>
    <xf numFmtId="0" fontId="7" fillId="27" borderId="69" xfId="0" applyFont="1" applyFill="1" applyBorder="1">
      <alignment vertical="center"/>
    </xf>
    <xf numFmtId="203" fontId="7" fillId="27" borderId="69" xfId="0" applyNumberFormat="1" applyFont="1" applyFill="1" applyBorder="1">
      <alignment vertical="center"/>
    </xf>
    <xf numFmtId="0" fontId="7" fillId="28" borderId="77" xfId="0" applyFont="1" applyFill="1" applyBorder="1" applyAlignment="1">
      <alignment horizontal="center" vertical="center"/>
    </xf>
    <xf numFmtId="0" fontId="7" fillId="28" borderId="77" xfId="0" applyFont="1" applyFill="1" applyBorder="1" applyAlignment="1">
      <alignment vertical="center" wrapText="1"/>
    </xf>
    <xf numFmtId="203" fontId="7" fillId="28" borderId="77" xfId="0" applyNumberFormat="1" applyFont="1" applyFill="1" applyBorder="1" applyAlignment="1">
      <alignment horizontal="center" vertical="center"/>
    </xf>
    <xf numFmtId="0" fontId="7" fillId="28" borderId="76" xfId="0" applyFont="1" applyFill="1" applyBorder="1" applyAlignment="1">
      <alignment horizontal="center" vertical="center"/>
    </xf>
    <xf numFmtId="196" fontId="7" fillId="0" borderId="69" xfId="0" applyNumberFormat="1" applyFont="1" applyBorder="1">
      <alignment vertical="center"/>
    </xf>
    <xf numFmtId="0" fontId="46" fillId="0" borderId="42" xfId="6" applyFont="1" applyBorder="1" applyAlignment="1">
      <alignment horizontal="left" vertical="justify" wrapText="1"/>
    </xf>
    <xf numFmtId="0" fontId="46" fillId="0" borderId="40" xfId="6" applyFont="1" applyBorder="1" applyAlignment="1">
      <alignment horizontal="left" vertical="justify" wrapText="1" indent="2"/>
    </xf>
    <xf numFmtId="0" fontId="46" fillId="0" borderId="22" xfId="6" applyFont="1" applyBorder="1" applyAlignment="1">
      <alignment horizontal="left" vertical="justify" wrapText="1" indent="2"/>
    </xf>
    <xf numFmtId="0" fontId="46" fillId="0" borderId="38" xfId="6" applyFont="1" applyBorder="1" applyAlignment="1">
      <alignment horizontal="left" vertical="justify" wrapText="1"/>
    </xf>
    <xf numFmtId="0" fontId="46" fillId="0" borderId="43" xfId="6" applyFont="1" applyBorder="1" applyAlignment="1">
      <alignment horizontal="left" vertical="justify" wrapText="1"/>
    </xf>
    <xf numFmtId="0" fontId="46" fillId="0" borderId="5" xfId="6" applyFont="1" applyBorder="1" applyAlignment="1">
      <alignment horizontal="left" vertical="justify" wrapText="1"/>
    </xf>
    <xf numFmtId="0" fontId="46" fillId="0" borderId="6" xfId="6" applyFont="1" applyBorder="1" applyAlignment="1">
      <alignment horizontal="left" vertical="justify" wrapText="1"/>
    </xf>
    <xf numFmtId="0" fontId="46" fillId="0" borderId="39" xfId="6" applyFont="1" applyBorder="1" applyAlignment="1">
      <alignment horizontal="left" vertical="justify" wrapText="1"/>
    </xf>
    <xf numFmtId="195" fontId="46" fillId="0" borderId="38" xfId="6" applyNumberFormat="1" applyFont="1" applyBorder="1" applyAlignment="1">
      <alignment horizontal="left" vertical="justify" wrapText="1" indent="2"/>
    </xf>
    <xf numFmtId="195" fontId="46" fillId="0" borderId="6" xfId="6" applyNumberFormat="1" applyFont="1" applyBorder="1" applyAlignment="1">
      <alignment horizontal="left" vertical="justify" wrapText="1" indent="2"/>
    </xf>
    <xf numFmtId="195" fontId="46" fillId="0" borderId="39" xfId="6" applyNumberFormat="1" applyFont="1" applyBorder="1" applyAlignment="1">
      <alignment horizontal="left" vertical="justify" wrapText="1" indent="2"/>
    </xf>
    <xf numFmtId="0" fontId="46" fillId="0" borderId="41" xfId="6" applyFont="1" applyBorder="1" applyAlignment="1">
      <alignment horizontal="left" vertical="justify" wrapText="1" indent="2"/>
    </xf>
    <xf numFmtId="0" fontId="46" fillId="0" borderId="44" xfId="6" applyFont="1" applyBorder="1" applyAlignment="1">
      <alignment horizontal="left" vertical="justify" wrapText="1"/>
    </xf>
    <xf numFmtId="0" fontId="46" fillId="0" borderId="22" xfId="6" applyFont="1" applyBorder="1" applyAlignment="1">
      <alignment horizontal="left" vertical="justify" wrapText="1"/>
    </xf>
    <xf numFmtId="0" fontId="46" fillId="0" borderId="35" xfId="6" applyFont="1" applyBorder="1" applyAlignment="1">
      <alignment horizontal="left" vertical="justify" wrapText="1" indent="1"/>
    </xf>
    <xf numFmtId="0" fontId="46" fillId="0" borderId="36" xfId="6" applyFont="1" applyBorder="1" applyAlignment="1">
      <alignment horizontal="left" vertical="justify" wrapText="1" indent="1"/>
    </xf>
    <xf numFmtId="0" fontId="46" fillId="0" borderId="37" xfId="6" applyFont="1" applyBorder="1" applyAlignment="1">
      <alignment horizontal="left" vertical="justify" wrapText="1" indent="1"/>
    </xf>
    <xf numFmtId="195" fontId="46" fillId="0" borderId="38" xfId="6" applyNumberFormat="1" applyFont="1" applyBorder="1" applyAlignment="1">
      <alignment horizontal="left" vertical="top" wrapText="1" indent="2"/>
    </xf>
    <xf numFmtId="195" fontId="46" fillId="0" borderId="6" xfId="6" applyNumberFormat="1" applyFont="1" applyBorder="1" applyAlignment="1">
      <alignment horizontal="left" vertical="top" wrapText="1" indent="2"/>
    </xf>
    <xf numFmtId="195" fontId="46" fillId="0" borderId="39" xfId="6" applyNumberFormat="1" applyFont="1" applyBorder="1" applyAlignment="1">
      <alignment horizontal="left" vertical="top" wrapText="1" indent="2"/>
    </xf>
    <xf numFmtId="0" fontId="46" fillId="0" borderId="32" xfId="6" applyFont="1" applyBorder="1" applyAlignment="1">
      <alignment horizontal="left" vertical="center" indent="1"/>
    </xf>
    <xf numFmtId="0" fontId="46" fillId="0" borderId="33" xfId="6" applyFont="1" applyBorder="1" applyAlignment="1">
      <alignment horizontal="left" vertical="center" indent="1"/>
    </xf>
    <xf numFmtId="0" fontId="46" fillId="0" borderId="34" xfId="6" applyFont="1" applyBorder="1" applyAlignment="1">
      <alignment horizontal="left" vertical="center" indent="1"/>
    </xf>
    <xf numFmtId="0" fontId="49" fillId="0" borderId="0" xfId="6" applyFont="1" applyAlignment="1">
      <alignment horizontal="left" wrapText="1"/>
    </xf>
    <xf numFmtId="0" fontId="45" fillId="0" borderId="0" xfId="6" applyFont="1" applyAlignment="1">
      <alignment horizontal="center" vertical="top"/>
    </xf>
    <xf numFmtId="0" fontId="46" fillId="0" borderId="0" xfId="6" applyFont="1" applyAlignment="1">
      <alignment horizontal="distributed" vertical="center" justifyLastLine="1" shrinkToFit="1"/>
    </xf>
    <xf numFmtId="0" fontId="46" fillId="0" borderId="0" xfId="6" applyFont="1" applyAlignment="1">
      <alignment horizontal="center" vertical="center"/>
    </xf>
    <xf numFmtId="0" fontId="46" fillId="0" borderId="32" xfId="6" applyFont="1" applyBorder="1" applyAlignment="1">
      <alignment horizontal="left" vertical="top" wrapText="1" indent="1"/>
    </xf>
    <xf numFmtId="0" fontId="46" fillId="0" borderId="33" xfId="6" applyFont="1" applyBorder="1" applyAlignment="1">
      <alignment horizontal="left" vertical="top" wrapText="1" indent="1"/>
    </xf>
    <xf numFmtId="0" fontId="46" fillId="0" borderId="34" xfId="6" applyFont="1" applyBorder="1" applyAlignment="1">
      <alignment horizontal="left" vertical="top" wrapText="1" indent="1"/>
    </xf>
    <xf numFmtId="195" fontId="46" fillId="0" borderId="38" xfId="6" applyNumberFormat="1" applyFont="1" applyBorder="1" applyAlignment="1">
      <alignment horizontal="left" vertical="top" wrapText="1" indent="1"/>
    </xf>
    <xf numFmtId="195" fontId="46" fillId="0" borderId="6" xfId="6" applyNumberFormat="1" applyFont="1" applyBorder="1" applyAlignment="1">
      <alignment horizontal="left" vertical="top" wrapText="1" indent="1"/>
    </xf>
    <xf numFmtId="195" fontId="46" fillId="0" borderId="39" xfId="6" applyNumberFormat="1" applyFont="1" applyBorder="1" applyAlignment="1">
      <alignment horizontal="left" vertical="top" wrapText="1" indent="1"/>
    </xf>
    <xf numFmtId="0" fontId="46" fillId="0" borderId="8" xfId="6" applyFont="1" applyBorder="1" applyAlignment="1">
      <alignment horizontal="distributed" vertical="center" justifyLastLine="1" shrinkToFit="1"/>
    </xf>
    <xf numFmtId="188" fontId="46" fillId="0" borderId="8" xfId="6" applyNumberFormat="1" applyFont="1" applyBorder="1" applyAlignment="1">
      <alignment horizontal="distributed" vertical="center" justifyLastLine="1" shrinkToFit="1"/>
    </xf>
    <xf numFmtId="188" fontId="46" fillId="0" borderId="26" xfId="6" applyNumberFormat="1" applyFont="1" applyBorder="1" applyAlignment="1">
      <alignment horizontal="distributed" vertical="center" justifyLastLine="1" shrinkToFit="1"/>
    </xf>
    <xf numFmtId="0" fontId="46" fillId="0" borderId="29" xfId="6" applyFont="1" applyBorder="1" applyAlignment="1">
      <alignment horizontal="distributed" vertical="center" justifyLastLine="1" shrinkToFit="1"/>
    </xf>
    <xf numFmtId="0" fontId="46" fillId="0" borderId="30" xfId="6" applyFont="1" applyBorder="1" applyAlignment="1">
      <alignment horizontal="distributed" vertical="center" justifyLastLine="1" shrinkToFit="1"/>
    </xf>
    <xf numFmtId="10" fontId="46" fillId="0" borderId="30" xfId="2" applyNumberFormat="1" applyFont="1" applyFill="1" applyBorder="1" applyAlignment="1">
      <alignment horizontal="distributed" vertical="distributed" justifyLastLine="1" shrinkToFit="1"/>
    </xf>
    <xf numFmtId="188" fontId="46" fillId="0" borderId="0" xfId="6" applyNumberFormat="1" applyFont="1" applyAlignment="1">
      <alignment horizontal="left" vertical="center"/>
    </xf>
    <xf numFmtId="189" fontId="46" fillId="0" borderId="0" xfId="6" applyNumberFormat="1" applyFont="1" applyAlignment="1">
      <alignment horizontal="distributed" vertical="distributed" justifyLastLine="1" shrinkToFit="1"/>
    </xf>
    <xf numFmtId="0" fontId="46" fillId="0" borderId="25" xfId="6" applyFont="1" applyBorder="1" applyAlignment="1">
      <alignment horizontal="distributed" vertical="center" justifyLastLine="1" shrinkToFit="1"/>
    </xf>
    <xf numFmtId="0" fontId="46" fillId="0" borderId="27" xfId="6" applyFont="1" applyBorder="1" applyAlignment="1">
      <alignment horizontal="distributed" vertical="center" justifyLastLine="1" shrinkToFit="1"/>
    </xf>
    <xf numFmtId="0" fontId="46" fillId="0" borderId="7" xfId="6" applyFont="1" applyBorder="1" applyAlignment="1">
      <alignment horizontal="distributed" vertical="center" justifyLastLine="1" shrinkToFit="1"/>
    </xf>
    <xf numFmtId="41" fontId="46" fillId="0" borderId="7" xfId="6" applyNumberFormat="1" applyFont="1" applyBorder="1" applyAlignment="1">
      <alignment horizontal="distributed" vertical="center" justifyLastLine="1" shrinkToFit="1"/>
    </xf>
    <xf numFmtId="190" fontId="46" fillId="0" borderId="7" xfId="6" applyNumberFormat="1" applyFont="1" applyBorder="1" applyAlignment="1">
      <alignment horizontal="distributed" vertical="center" justifyLastLine="1" shrinkToFit="1"/>
    </xf>
    <xf numFmtId="190" fontId="46" fillId="0" borderId="28" xfId="6" applyNumberFormat="1" applyFont="1" applyBorder="1" applyAlignment="1">
      <alignment horizontal="distributed" vertical="center" justifyLastLine="1" shrinkToFit="1"/>
    </xf>
    <xf numFmtId="197" fontId="46" fillId="0" borderId="8" xfId="6" applyNumberFormat="1" applyFont="1" applyBorder="1" applyAlignment="1">
      <alignment horizontal="distributed" vertical="center" justifyLastLine="1" shrinkToFit="1"/>
    </xf>
    <xf numFmtId="205" fontId="46" fillId="13" borderId="8" xfId="6" applyNumberFormat="1" applyFont="1" applyFill="1" applyBorder="1" applyAlignment="1">
      <alignment horizontal="distributed" vertical="center" justifyLastLine="1" shrinkToFit="1"/>
    </xf>
    <xf numFmtId="200" fontId="46" fillId="13" borderId="8" xfId="6" applyNumberFormat="1" applyFont="1" applyFill="1" applyBorder="1" applyAlignment="1">
      <alignment horizontal="distributed" vertical="center" justifyLastLine="1" shrinkToFit="1"/>
    </xf>
    <xf numFmtId="0" fontId="46" fillId="0" borderId="8" xfId="0" applyFont="1" applyBorder="1" applyAlignment="1">
      <alignment horizontal="left" vertical="center" wrapText="1"/>
    </xf>
    <xf numFmtId="0" fontId="46" fillId="0" borderId="27" xfId="6" applyFont="1" applyBorder="1" applyAlignment="1">
      <alignment horizontal="left" vertical="center"/>
    </xf>
    <xf numFmtId="0" fontId="46" fillId="0" borderId="7" xfId="6" applyFont="1" applyBorder="1" applyAlignment="1">
      <alignment horizontal="left" vertical="center"/>
    </xf>
    <xf numFmtId="0" fontId="46" fillId="0" borderId="7" xfId="6" applyFont="1" applyBorder="1" applyAlignment="1">
      <alignment horizontal="center" vertical="center"/>
    </xf>
    <xf numFmtId="0" fontId="46" fillId="0" borderId="7" xfId="6" applyFont="1" applyBorder="1" applyAlignment="1">
      <alignment horizontal="distributed" vertical="distributed" justifyLastLine="1"/>
    </xf>
    <xf numFmtId="0" fontId="46" fillId="0" borderId="28" xfId="6" applyFont="1" applyBorder="1" applyAlignment="1">
      <alignment horizontal="distributed" vertical="distributed" justifyLastLine="1"/>
    </xf>
    <xf numFmtId="0" fontId="11" fillId="11" borderId="8" xfId="0" applyFont="1" applyFill="1" applyBorder="1" applyAlignment="1">
      <alignment vertical="center" wrapText="1"/>
    </xf>
    <xf numFmtId="41" fontId="8" fillId="2" borderId="0" xfId="3" applyNumberFormat="1" applyFont="1" applyFill="1">
      <alignment vertical="center"/>
    </xf>
    <xf numFmtId="176" fontId="8" fillId="2" borderId="0" xfId="3" applyNumberFormat="1" applyFont="1" applyFill="1">
      <alignment vertical="center"/>
    </xf>
    <xf numFmtId="0" fontId="46" fillId="0" borderId="27" xfId="6" applyFont="1" applyBorder="1" applyAlignment="1">
      <alignment horizontal="left" vertical="center" indent="1"/>
    </xf>
    <xf numFmtId="0" fontId="46" fillId="0" borderId="7" xfId="6" applyFont="1" applyBorder="1" applyAlignment="1">
      <alignment horizontal="left" vertical="center" indent="1"/>
    </xf>
    <xf numFmtId="0" fontId="46" fillId="0" borderId="28" xfId="6" applyFont="1" applyBorder="1" applyAlignment="1">
      <alignment horizontal="left" vertical="center" indent="1"/>
    </xf>
    <xf numFmtId="0" fontId="46" fillId="0" borderId="25" xfId="6" applyFont="1" applyBorder="1" applyAlignment="1">
      <alignment horizontal="center" vertical="center"/>
    </xf>
    <xf numFmtId="0" fontId="46" fillId="0" borderId="8" xfId="6" applyFont="1" applyBorder="1" applyAlignment="1">
      <alignment horizontal="center" vertical="center"/>
    </xf>
    <xf numFmtId="0" fontId="46" fillId="0" borderId="8" xfId="6" applyFont="1" applyBorder="1" applyAlignment="1">
      <alignment horizontal="center" vertical="center" wrapText="1"/>
    </xf>
    <xf numFmtId="193" fontId="46" fillId="0" borderId="8" xfId="6" applyNumberFormat="1" applyFont="1" applyBorder="1" applyAlignment="1">
      <alignment horizontal="center" vertical="center"/>
    </xf>
    <xf numFmtId="0" fontId="46" fillId="0" borderId="29" xfId="6" applyFont="1" applyBorder="1" applyAlignment="1">
      <alignment horizontal="center" vertical="center"/>
    </xf>
    <xf numFmtId="0" fontId="46" fillId="0" borderId="30" xfId="6" applyFont="1" applyBorder="1" applyAlignment="1">
      <alignment horizontal="center" vertical="center"/>
    </xf>
    <xf numFmtId="0" fontId="46" fillId="0" borderId="30" xfId="6" applyFont="1" applyBorder="1" applyAlignment="1">
      <alignment horizontal="center" vertical="center" wrapText="1"/>
    </xf>
    <xf numFmtId="193" fontId="46" fillId="0" borderId="30" xfId="6" applyNumberFormat="1" applyFont="1" applyBorder="1" applyAlignment="1">
      <alignment horizontal="center" vertical="center"/>
    </xf>
    <xf numFmtId="0" fontId="46" fillId="0" borderId="72" xfId="6" applyFont="1" applyBorder="1" applyAlignment="1">
      <alignment horizontal="left" vertical="center" wrapText="1" indent="1"/>
    </xf>
    <xf numFmtId="0" fontId="46" fillId="0" borderId="8" xfId="6" applyFont="1" applyBorder="1" applyAlignment="1">
      <alignment horizontal="left" vertical="center" wrapText="1" indent="1"/>
    </xf>
    <xf numFmtId="0" fontId="46" fillId="0" borderId="26" xfId="6" applyFont="1" applyBorder="1" applyAlignment="1">
      <alignment horizontal="left" vertical="center" wrapText="1" indent="1"/>
    </xf>
    <xf numFmtId="0" fontId="46" fillId="0" borderId="73" xfId="6" applyFont="1" applyBorder="1" applyAlignment="1">
      <alignment horizontal="left" vertical="center" wrapText="1" indent="1"/>
    </xf>
    <xf numFmtId="0" fontId="46" fillId="0" borderId="14" xfId="6" applyFont="1" applyBorder="1" applyAlignment="1">
      <alignment horizontal="left" vertical="center" wrapText="1" indent="1"/>
    </xf>
    <xf numFmtId="0" fontId="46" fillId="0" borderId="74" xfId="6" applyFont="1" applyBorder="1" applyAlignment="1">
      <alignment horizontal="left" vertical="center" wrapText="1" indent="1"/>
    </xf>
    <xf numFmtId="0" fontId="46" fillId="0" borderId="71" xfId="6" applyFont="1" applyBorder="1" applyAlignment="1">
      <alignment horizontal="left" vertical="center" indent="1"/>
    </xf>
    <xf numFmtId="0" fontId="46" fillId="0" borderId="9" xfId="6" applyFont="1" applyBorder="1" applyAlignment="1">
      <alignment horizontal="left" vertical="center" indent="1"/>
    </xf>
    <xf numFmtId="0" fontId="46" fillId="0" borderId="70" xfId="6" applyFont="1" applyBorder="1" applyAlignment="1">
      <alignment horizontal="left" vertical="center" indent="1"/>
    </xf>
    <xf numFmtId="0" fontId="46" fillId="0" borderId="25" xfId="6" applyFont="1" applyBorder="1" applyAlignment="1">
      <alignment horizontal="center" vertical="distributed" wrapText="1" justifyLastLine="1"/>
    </xf>
    <xf numFmtId="0" fontId="46" fillId="0" borderId="8" xfId="6" applyFont="1" applyBorder="1" applyAlignment="1">
      <alignment horizontal="center" vertical="distributed" wrapText="1" justifyLastLine="1"/>
    </xf>
    <xf numFmtId="49" fontId="18" fillId="0" borderId="18" xfId="0" applyNumberFormat="1" applyFont="1" applyBorder="1" applyAlignment="1" applyProtection="1">
      <alignment horizontal="left" vertical="center" wrapText="1"/>
      <protection locked="0"/>
    </xf>
    <xf numFmtId="0" fontId="57" fillId="0" borderId="0" xfId="10" applyFont="1" applyAlignment="1">
      <alignment horizontal="center"/>
    </xf>
    <xf numFmtId="10" fontId="57" fillId="0" borderId="0" xfId="10" applyNumberFormat="1" applyFont="1" applyAlignment="1">
      <alignment horizontal="left"/>
    </xf>
    <xf numFmtId="0" fontId="57" fillId="0" borderId="0" xfId="10" applyFont="1" applyAlignment="1">
      <alignment horizontal="left"/>
    </xf>
    <xf numFmtId="0" fontId="52" fillId="0" borderId="0" xfId="10" applyFont="1" applyAlignment="1">
      <alignment horizontal="center" vertical="center"/>
    </xf>
    <xf numFmtId="49" fontId="54" fillId="0" borderId="0" xfId="10" applyNumberFormat="1" applyFont="1" applyAlignment="1">
      <alignment horizontal="center" vertical="center" wrapText="1"/>
    </xf>
    <xf numFmtId="0" fontId="54" fillId="0" borderId="0" xfId="10" applyFont="1" applyAlignment="1">
      <alignment horizontal="center" vertical="center" wrapText="1"/>
    </xf>
    <xf numFmtId="49" fontId="55" fillId="0" borderId="0" xfId="10" applyNumberFormat="1" applyFont="1" applyAlignment="1">
      <alignment horizontal="center" vertical="center" wrapText="1"/>
    </xf>
    <xf numFmtId="0" fontId="56" fillId="0" borderId="0" xfId="10" applyFont="1" applyAlignment="1">
      <alignment horizontal="center" vertical="center"/>
    </xf>
    <xf numFmtId="0" fontId="24" fillId="0" borderId="0" xfId="7" applyFont="1" applyAlignment="1">
      <alignment horizontal="center" vertical="top" wrapText="1" shrinkToFit="1"/>
    </xf>
    <xf numFmtId="0" fontId="24" fillId="0" borderId="0" xfId="7" applyFont="1" applyAlignment="1">
      <alignment horizontal="center" vertical="top" shrinkToFit="1"/>
    </xf>
    <xf numFmtId="49" fontId="25" fillId="0" borderId="0" xfId="7" applyNumberFormat="1" applyFont="1" applyAlignment="1">
      <alignment horizontal="center" vertical="center" wrapText="1"/>
    </xf>
    <xf numFmtId="0" fontId="25" fillId="0" borderId="0" xfId="7" applyFont="1" applyAlignment="1">
      <alignment horizontal="center" vertical="center" wrapText="1"/>
    </xf>
    <xf numFmtId="0" fontId="26" fillId="0" borderId="0" xfId="7" applyFont="1" applyAlignment="1">
      <alignment horizontal="center" vertical="center" wrapText="1" shrinkToFit="1"/>
    </xf>
    <xf numFmtId="0" fontId="26" fillId="0" borderId="0" xfId="7" applyFont="1" applyAlignment="1">
      <alignment horizontal="center" vertical="center" shrinkToFit="1"/>
    </xf>
    <xf numFmtId="0" fontId="12" fillId="0" borderId="0" xfId="7" applyFont="1" applyAlignment="1">
      <alignment horizontal="center" vertical="center" shrinkToFit="1"/>
    </xf>
    <xf numFmtId="0" fontId="28" fillId="0" borderId="0" xfId="7" applyFont="1" applyAlignment="1">
      <alignment horizontal="center" vertical="center"/>
    </xf>
    <xf numFmtId="0" fontId="7" fillId="0" borderId="0" xfId="0" applyFont="1">
      <alignment vertical="center"/>
    </xf>
    <xf numFmtId="181" fontId="19" fillId="0" borderId="0" xfId="3" applyNumberFormat="1" applyFont="1" applyAlignment="1">
      <alignment horizontal="center" vertical="center" shrinkToFit="1"/>
    </xf>
    <xf numFmtId="0" fontId="30" fillId="15" borderId="0" xfId="0" applyFont="1" applyFill="1">
      <alignment vertical="center"/>
    </xf>
    <xf numFmtId="0" fontId="32" fillId="0" borderId="45" xfId="5" applyFont="1" applyBorder="1" applyAlignment="1">
      <alignment horizontal="left" wrapText="1"/>
    </xf>
    <xf numFmtId="0" fontId="38" fillId="17" borderId="51" xfId="12" applyFont="1" applyFill="1" applyBorder="1" applyAlignment="1">
      <alignment horizontal="center" vertical="center" wrapText="1"/>
    </xf>
    <xf numFmtId="0" fontId="38" fillId="17" borderId="52" xfId="12" applyFont="1" applyFill="1" applyBorder="1" applyAlignment="1">
      <alignment horizontal="center" vertical="center" wrapText="1"/>
    </xf>
    <xf numFmtId="0" fontId="35" fillId="17" borderId="47" xfId="12" applyFont="1" applyFill="1" applyBorder="1" applyAlignment="1">
      <alignment horizontal="center" vertical="center"/>
    </xf>
    <xf numFmtId="0" fontId="36" fillId="18" borderId="48" xfId="12" applyFont="1" applyFill="1" applyBorder="1" applyAlignment="1">
      <alignment horizontal="center" vertical="center"/>
    </xf>
    <xf numFmtId="0" fontId="34" fillId="16" borderId="48" xfId="12" applyFont="1" applyFill="1" applyBorder="1" applyAlignment="1">
      <alignment horizontal="center" vertical="center"/>
    </xf>
    <xf numFmtId="3" fontId="34" fillId="16" borderId="48" xfId="12" applyNumberFormat="1" applyFont="1" applyFill="1" applyBorder="1" applyAlignment="1">
      <alignment horizontal="center" vertical="center"/>
    </xf>
    <xf numFmtId="198" fontId="34" fillId="16" borderId="48" xfId="12" applyNumberFormat="1" applyFont="1" applyFill="1" applyBorder="1" applyAlignment="1">
      <alignment horizontal="center" vertical="center"/>
    </xf>
    <xf numFmtId="0" fontId="34" fillId="16" borderId="58" xfId="12" applyFont="1" applyFill="1" applyBorder="1" applyAlignment="1">
      <alignment horizontal="center" vertical="center"/>
    </xf>
    <xf numFmtId="0" fontId="40" fillId="20" borderId="53" xfId="12" applyFont="1" applyFill="1" applyBorder="1" applyAlignment="1">
      <alignment horizontal="right" indent="1"/>
    </xf>
    <xf numFmtId="0" fontId="40" fillId="20" borderId="49" xfId="12" applyFont="1" applyFill="1" applyBorder="1" applyAlignment="1">
      <alignment horizontal="right" indent="1"/>
    </xf>
    <xf numFmtId="0" fontId="40" fillId="21" borderId="55" xfId="12" applyFont="1" applyFill="1" applyBorder="1" applyAlignment="1">
      <alignment horizontal="right" indent="1"/>
    </xf>
    <xf numFmtId="0" fontId="40" fillId="21" borderId="56" xfId="12" applyFont="1" applyFill="1" applyBorder="1" applyAlignment="1">
      <alignment horizontal="right" indent="1"/>
    </xf>
    <xf numFmtId="0" fontId="37" fillId="16" borderId="47" xfId="12" applyFont="1" applyFill="1" applyBorder="1" applyAlignment="1">
      <alignment vertical="center" wrapText="1"/>
    </xf>
    <xf numFmtId="0" fontId="34" fillId="16" borderId="47" xfId="12" applyFont="1" applyFill="1" applyBorder="1" applyAlignment="1">
      <alignment wrapText="1"/>
    </xf>
    <xf numFmtId="0" fontId="34" fillId="16" borderId="47" xfId="11" applyFont="1" applyFill="1" applyBorder="1" applyAlignment="1"/>
    <xf numFmtId="0" fontId="38" fillId="17" borderId="50" xfId="12" applyFont="1" applyFill="1" applyBorder="1" applyAlignment="1">
      <alignment horizontal="center" vertical="center" wrapText="1"/>
    </xf>
    <xf numFmtId="0" fontId="38" fillId="17" borderId="53" xfId="12" applyFont="1" applyFill="1" applyBorder="1" applyAlignment="1">
      <alignment horizontal="center" vertical="center" wrapText="1"/>
    </xf>
    <xf numFmtId="0" fontId="38" fillId="17" borderId="49" xfId="12" applyFont="1" applyFill="1" applyBorder="1" applyAlignment="1">
      <alignment horizontal="center" vertical="center" wrapText="1"/>
    </xf>
  </cellXfs>
  <cellStyles count="11">
    <cellStyle name="Normal" xfId="9" xr:uid="{DE03E07E-FE7C-4711-A130-67F8940E89C2}"/>
    <cellStyle name="一般" xfId="0" builtinId="0"/>
    <cellStyle name="一般 2" xfId="8" xr:uid="{970A3C8A-56A1-4786-9BB4-FD8007CC1311}"/>
    <cellStyle name="一般 5" xfId="3" xr:uid="{D842A099-615C-473D-9FE3-37D744A172A2}"/>
    <cellStyle name="一般_990806-日報表" xfId="5" xr:uid="{7B52B2F2-68B2-4A0E-BC49-AB0646AD9C8A}"/>
    <cellStyle name="一般_施工日誌-欣隆(970926依工程需求修改)" xfId="6" xr:uid="{BA690AEF-87AF-455A-9457-EC81FCDA03A3}"/>
    <cellStyle name="一般_監工日誌" xfId="7" xr:uid="{7F6AE31D-87F4-4D98-A5DE-69E9D2B811EA}"/>
    <cellStyle name="一般_慶褔里監工日報表" xfId="4" xr:uid="{26C50CA9-ACA6-4C06-8A77-7A747F529952}"/>
    <cellStyle name="一般_巒大8林班野溪整治工程01月下旬監工誌-7+" xfId="10" xr:uid="{9E274701-8542-4679-B4C1-B0708EDDB430}"/>
    <cellStyle name="千分位" xfId="1" builtinId="3"/>
    <cellStyle name="百分比" xfId="2" builtinId="5"/>
  </cellStyles>
  <dxfs count="0"/>
  <tableStyles count="0" defaultTableStyle="TableStyleMedium2" defaultPivotStyle="PivotStyleLight16"/>
  <colors>
    <mruColors>
      <color rgb="FFF9F3FF"/>
      <color rgb="FFF0E1FF"/>
      <color rgb="FFFFFFCC"/>
      <color rgb="FFFDE6B9"/>
      <color rgb="FF0000FF"/>
      <color rgb="FF1B2A55"/>
      <color rgb="FFC8E0C6"/>
      <color rgb="FFFFFFE1"/>
      <color rgb="FFFDDF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3639995727845648"/>
          <c:y val="0"/>
          <c:w val="0.63600042721543526"/>
          <c:h val="0.97251962574759598"/>
        </c:manualLayout>
      </c:layout>
      <c:scatterChart>
        <c:scatterStyle val="smoothMarker"/>
        <c:varyColors val="0"/>
        <c:ser>
          <c:idx val="2"/>
          <c:order val="0"/>
          <c:marker>
            <c:symbol val="none"/>
          </c:marker>
          <c:yVal>
            <c:numLit>
              <c:formatCode>General</c:formatCode>
              <c:ptCount val="9"/>
              <c:pt idx="0">
                <c:v>2.9899999999999999E-2</c:v>
              </c:pt>
              <c:pt idx="1">
                <c:v>7.3099999999999998E-2</c:v>
              </c:pt>
              <c:pt idx="2">
                <c:v>0.1454</c:v>
              </c:pt>
              <c:pt idx="3">
                <c:v>0.30769999999999997</c:v>
              </c:pt>
              <c:pt idx="4">
                <c:v>0.49239999999999995</c:v>
              </c:pt>
              <c:pt idx="5">
                <c:v>0.68169999999999997</c:v>
              </c:pt>
              <c:pt idx="6">
                <c:v>0.88329999999999997</c:v>
              </c:pt>
              <c:pt idx="7">
                <c:v>0.95099999999999996</c:v>
              </c:pt>
              <c:pt idx="8">
                <c:v>1</c:v>
              </c:pt>
            </c:numLit>
          </c:yVal>
          <c:smooth val="1"/>
          <c:extLst>
            <c:ext xmlns:c16="http://schemas.microsoft.com/office/drawing/2014/chart" uri="{C3380CC4-5D6E-409C-BE32-E72D297353CC}">
              <c16:uniqueId val="{00000000-761F-470E-B4EC-1EAB3308A9F7}"/>
            </c:ext>
          </c:extLst>
        </c:ser>
        <c:ser>
          <c:idx val="3"/>
          <c:order val="1"/>
          <c:tx>
            <c:v>數列2</c:v>
          </c:tx>
          <c:spPr>
            <a:ln>
              <a:solidFill>
                <a:srgbClr val="00B050"/>
              </a:solidFill>
            </a:ln>
          </c:spPr>
          <c:marker>
            <c:symbol val="none"/>
          </c:marker>
          <c:yVal>
            <c:numLit>
              <c:formatCode>General</c:formatCode>
              <c:ptCount val="1"/>
              <c:pt idx="0">
                <c:v>1</c:v>
              </c:pt>
            </c:numLit>
          </c:yVal>
          <c:smooth val="1"/>
          <c:extLst>
            <c:ext xmlns:c16="http://schemas.microsoft.com/office/drawing/2014/chart" uri="{C3380CC4-5D6E-409C-BE32-E72D297353CC}">
              <c16:uniqueId val="{00000001-761F-470E-B4EC-1EAB3308A9F7}"/>
            </c:ext>
          </c:extLst>
        </c:ser>
        <c:ser>
          <c:idx val="1"/>
          <c:order val="3"/>
          <c:tx>
            <c:v>數列2</c:v>
          </c:tx>
          <c:spPr>
            <a:ln>
              <a:solidFill>
                <a:srgbClr val="00B050"/>
              </a:solidFill>
            </a:ln>
          </c:spPr>
          <c:marker>
            <c:symbol val="none"/>
          </c:marker>
          <c:yVal>
            <c:numLit>
              <c:formatCode>General</c:formatCode>
              <c:ptCount val="1"/>
              <c:pt idx="0">
                <c:v>1</c:v>
              </c:pt>
            </c:numLit>
          </c:yVal>
          <c:smooth val="1"/>
          <c:extLst>
            <c:ext xmlns:c16="http://schemas.microsoft.com/office/drawing/2014/chart" uri="{C3380CC4-5D6E-409C-BE32-E72D297353CC}">
              <c16:uniqueId val="{00000002-761F-470E-B4EC-1EAB3308A9F7}"/>
            </c:ext>
          </c:extLst>
        </c:ser>
        <c:dLbls>
          <c:showLegendKey val="0"/>
          <c:showVal val="0"/>
          <c:showCatName val="0"/>
          <c:showSerName val="0"/>
          <c:showPercent val="0"/>
          <c:showBubbleSize val="0"/>
        </c:dLbls>
        <c:axId val="735136511"/>
        <c:axId val="1"/>
      </c:scatterChart>
      <c:scatterChart>
        <c:scatterStyle val="smoothMarker"/>
        <c:varyColors val="0"/>
        <c:ser>
          <c:idx val="0"/>
          <c:order val="2"/>
          <c:spPr>
            <a:ln>
              <a:solidFill>
                <a:srgbClr val="00B050"/>
              </a:solidFill>
            </a:ln>
          </c:spPr>
          <c:marker>
            <c:symbol val="none"/>
          </c:marker>
          <c:yVal>
            <c:numLit>
              <c:formatCode>General</c:formatCode>
              <c:ptCount val="9"/>
              <c:pt idx="0">
                <c:v>0.05</c:v>
              </c:pt>
              <c:pt idx="1">
                <c:v>0.12</c:v>
              </c:pt>
              <c:pt idx="2">
                <c:v>0.25</c:v>
              </c:pt>
              <c:pt idx="3">
                <c:v>0.4</c:v>
              </c:pt>
              <c:pt idx="4">
                <c:v>0.57999999999999996</c:v>
              </c:pt>
              <c:pt idx="5">
                <c:v>0.75</c:v>
              </c:pt>
              <c:pt idx="6">
                <c:v>0.88</c:v>
              </c:pt>
              <c:pt idx="7">
                <c:v>0.96</c:v>
              </c:pt>
              <c:pt idx="8">
                <c:v>1</c:v>
              </c:pt>
            </c:numLit>
          </c:yVal>
          <c:smooth val="1"/>
          <c:extLst>
            <c:ext xmlns:c16="http://schemas.microsoft.com/office/drawing/2014/chart" uri="{C3380CC4-5D6E-409C-BE32-E72D297353CC}">
              <c16:uniqueId val="{00000003-761F-470E-B4EC-1EAB3308A9F7}"/>
            </c:ext>
          </c:extLst>
        </c:ser>
        <c:dLbls>
          <c:showLegendKey val="0"/>
          <c:showVal val="0"/>
          <c:showCatName val="0"/>
          <c:showSerName val="0"/>
          <c:showPercent val="0"/>
          <c:showBubbleSize val="0"/>
        </c:dLbls>
        <c:axId val="3"/>
        <c:axId val="4"/>
      </c:scatterChart>
      <c:valAx>
        <c:axId val="735136511"/>
        <c:scaling>
          <c:orientation val="minMax"/>
        </c:scaling>
        <c:delete val="1"/>
        <c:axPos val="b"/>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735136511"/>
        <c:crosses val="autoZero"/>
        <c:crossBetween val="midCat"/>
      </c:valAx>
      <c:valAx>
        <c:axId val="3"/>
        <c:scaling>
          <c:orientation val="minMax"/>
        </c:scaling>
        <c:delete val="1"/>
        <c:axPos val="b"/>
        <c:majorTickMark val="out"/>
        <c:minorTickMark val="none"/>
        <c:tickLblPos val="nextTo"/>
        <c:crossAx val="4"/>
        <c:crosses val="autoZero"/>
        <c:crossBetween val="midCat"/>
      </c:valAx>
      <c:valAx>
        <c:axId val="4"/>
        <c:scaling>
          <c:orientation val="minMax"/>
        </c:scaling>
        <c:delete val="1"/>
        <c:axPos val="r"/>
        <c:numFmt formatCode="General" sourceLinked="1"/>
        <c:majorTickMark val="out"/>
        <c:minorTickMark val="none"/>
        <c:tickLblPos val="nextTo"/>
        <c:crossAx val="3"/>
        <c:crosses val="max"/>
        <c:crossBetween val="midCat"/>
      </c:valAx>
      <c:spPr>
        <a:noFill/>
        <a:ln w="25400">
          <a:noFill/>
        </a:ln>
      </c:spPr>
    </c:plotArea>
    <c:plotVisOnly val="1"/>
    <c:dispBlanksAs val="gap"/>
    <c:showDLblsOverMax val="0"/>
  </c:chart>
  <c:spPr>
    <a:noFill/>
    <a:ln w="9525">
      <a:noFill/>
    </a:ln>
  </c:spPr>
  <c:txPr>
    <a:bodyPr/>
    <a:lstStyle/>
    <a:p>
      <a:pPr>
        <a:defRPr>
          <a:solidFill>
            <a:schemeClr val="dk1"/>
          </a:solidFill>
          <a:latin typeface="+mn-lt"/>
          <a:ea typeface="+mn-ea"/>
          <a:cs typeface="+mn-cs"/>
        </a:defRPr>
      </a:pPr>
      <a:endParaRPr lang="zh-TW"/>
    </a:p>
  </c:txPr>
  <c:printSettings>
    <c:headerFooter/>
    <c:pageMargins b="0.75000000000000033" l="0.70000000000000029" r="0.70000000000000029" t="0.75000000000000033" header="0.30000000000000016" footer="0.30000000000000016"/>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546639693801854E-2"/>
          <c:y val="1.0866190225579542E-2"/>
          <c:w val="0.97992124875172548"/>
          <c:h val="0.97608398646562489"/>
        </c:manualLayout>
      </c:layout>
      <c:lineChart>
        <c:grouping val="standard"/>
        <c:varyColors val="0"/>
        <c:ser>
          <c:idx val="1"/>
          <c:order val="0"/>
          <c:tx>
            <c:v>實際累計進度</c:v>
          </c:tx>
          <c:spPr>
            <a:ln w="28575" cap="rnd">
              <a:solidFill>
                <a:schemeClr val="accent2"/>
              </a:solidFill>
              <a:round/>
            </a:ln>
            <a:effectLst/>
          </c:spPr>
          <c:marker>
            <c:symbol val="none"/>
          </c:marker>
          <c:dLbls>
            <c:dLbl>
              <c:idx val="29"/>
              <c:layout>
                <c:manualLayout>
                  <c:x val="-1.3287965032589233E-16"/>
                  <c:y val="2.42063540626480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697-403A-9CB9-AA3AE2B23C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施工預定進度表!$I$4:$AL$4</c:f>
              <c:numCache>
                <c:formatCode>m/d</c:formatCode>
                <c:ptCount val="30"/>
                <c:pt idx="0">
                  <c:v>46246</c:v>
                </c:pt>
                <c:pt idx="1">
                  <c:v>46253</c:v>
                </c:pt>
                <c:pt idx="2">
                  <c:v>46260</c:v>
                </c:pt>
                <c:pt idx="3">
                  <c:v>46267</c:v>
                </c:pt>
                <c:pt idx="4">
                  <c:v>46274</c:v>
                </c:pt>
                <c:pt idx="5">
                  <c:v>46281</c:v>
                </c:pt>
                <c:pt idx="6">
                  <c:v>46288</c:v>
                </c:pt>
                <c:pt idx="7">
                  <c:v>46295</c:v>
                </c:pt>
                <c:pt idx="8">
                  <c:v>46302</c:v>
                </c:pt>
                <c:pt idx="9">
                  <c:v>46309</c:v>
                </c:pt>
                <c:pt idx="10">
                  <c:v>46316</c:v>
                </c:pt>
                <c:pt idx="11">
                  <c:v>46323</c:v>
                </c:pt>
                <c:pt idx="12">
                  <c:v>46330</c:v>
                </c:pt>
                <c:pt idx="13">
                  <c:v>46337</c:v>
                </c:pt>
                <c:pt idx="14">
                  <c:v>46344</c:v>
                </c:pt>
                <c:pt idx="15">
                  <c:v>46351</c:v>
                </c:pt>
                <c:pt idx="16">
                  <c:v>46358</c:v>
                </c:pt>
                <c:pt idx="17">
                  <c:v>46365</c:v>
                </c:pt>
                <c:pt idx="18">
                  <c:v>46372</c:v>
                </c:pt>
                <c:pt idx="19">
                  <c:v>46379</c:v>
                </c:pt>
                <c:pt idx="20">
                  <c:v>46386</c:v>
                </c:pt>
                <c:pt idx="21">
                  <c:v>46393</c:v>
                </c:pt>
                <c:pt idx="22">
                  <c:v>46400</c:v>
                </c:pt>
                <c:pt idx="23">
                  <c:v>46407</c:v>
                </c:pt>
                <c:pt idx="24">
                  <c:v>46414</c:v>
                </c:pt>
                <c:pt idx="25">
                  <c:v>46421</c:v>
                </c:pt>
                <c:pt idx="26">
                  <c:v>46428</c:v>
                </c:pt>
                <c:pt idx="27">
                  <c:v>46435</c:v>
                </c:pt>
                <c:pt idx="28">
                  <c:v>46442</c:v>
                </c:pt>
                <c:pt idx="29">
                  <c:v>46445</c:v>
                </c:pt>
              </c:numCache>
            </c:numRef>
          </c:cat>
          <c:val>
            <c:numRef>
              <c:f>施工預定進度表!$I$24:$AL$24</c:f>
              <c:numCache>
                <c:formatCode>0.00</c:formatCode>
                <c:ptCount val="30"/>
                <c:pt idx="0">
                  <c:v>0</c:v>
                </c:pt>
                <c:pt idx="1">
                  <c:v>0.96</c:v>
                </c:pt>
                <c:pt idx="2">
                  <c:v>3.88</c:v>
                </c:pt>
                <c:pt idx="3">
                  <c:v>6.0299999999999994</c:v>
                </c:pt>
                <c:pt idx="4">
                  <c:v>8.17</c:v>
                </c:pt>
                <c:pt idx="5">
                  <c:v>10.89</c:v>
                </c:pt>
                <c:pt idx="6">
                  <c:v>13.040000000000001</c:v>
                </c:pt>
                <c:pt idx="7">
                  <c:v>14.57</c:v>
                </c:pt>
                <c:pt idx="8">
                  <c:v>17.61</c:v>
                </c:pt>
                <c:pt idx="9">
                  <c:v>20.91</c:v>
                </c:pt>
                <c:pt idx="10">
                  <c:v>24.09</c:v>
                </c:pt>
                <c:pt idx="11">
                  <c:v>26.75</c:v>
                </c:pt>
                <c:pt idx="12">
                  <c:v>29.63</c:v>
                </c:pt>
                <c:pt idx="13">
                  <c:v>32.26</c:v>
                </c:pt>
                <c:pt idx="14">
                  <c:v>34.15</c:v>
                </c:pt>
                <c:pt idx="15">
                  <c:v>37.979999999999997</c:v>
                </c:pt>
                <c:pt idx="16">
                  <c:v>41.51</c:v>
                </c:pt>
                <c:pt idx="17">
                  <c:v>44.28</c:v>
                </c:pt>
                <c:pt idx="18">
                  <c:v>47.29</c:v>
                </c:pt>
                <c:pt idx="19">
                  <c:v>50.91</c:v>
                </c:pt>
                <c:pt idx="20">
                  <c:v>55.3</c:v>
                </c:pt>
                <c:pt idx="21">
                  <c:v>61.129999999999995</c:v>
                </c:pt>
                <c:pt idx="22">
                  <c:v>67.849999999999994</c:v>
                </c:pt>
                <c:pt idx="23">
                  <c:v>76.489999999999995</c:v>
                </c:pt>
                <c:pt idx="24">
                  <c:v>85.89</c:v>
                </c:pt>
                <c:pt idx="25">
                  <c:v>93.26</c:v>
                </c:pt>
                <c:pt idx="26">
                  <c:v>97.92</c:v>
                </c:pt>
                <c:pt idx="27">
                  <c:v>99.73</c:v>
                </c:pt>
                <c:pt idx="28">
                  <c:v>99.990000000000009</c:v>
                </c:pt>
                <c:pt idx="29">
                  <c:v>100.00000000000001</c:v>
                </c:pt>
              </c:numCache>
            </c:numRef>
          </c:val>
          <c:smooth val="0"/>
          <c:extLst>
            <c:ext xmlns:c16="http://schemas.microsoft.com/office/drawing/2014/chart" uri="{C3380CC4-5D6E-409C-BE32-E72D297353CC}">
              <c16:uniqueId val="{00000001-2697-403A-9CB9-AA3AE2B23C43}"/>
            </c:ext>
          </c:extLst>
        </c:ser>
        <c:dLbls>
          <c:dLblPos val="t"/>
          <c:showLegendKey val="0"/>
          <c:showVal val="1"/>
          <c:showCatName val="0"/>
          <c:showSerName val="0"/>
          <c:showPercent val="0"/>
          <c:showBubbleSize val="0"/>
        </c:dLbls>
        <c:smooth val="0"/>
        <c:axId val="48650112"/>
        <c:axId val="48672768"/>
      </c:lineChart>
      <c:dateAx>
        <c:axId val="48650112"/>
        <c:scaling>
          <c:orientation val="minMax"/>
        </c:scaling>
        <c:delete val="1"/>
        <c:axPos val="b"/>
        <c:numFmt formatCode="m/d" sourceLinked="1"/>
        <c:majorTickMark val="out"/>
        <c:minorTickMark val="none"/>
        <c:tickLblPos val="nextTo"/>
        <c:crossAx val="48672768"/>
        <c:crosses val="autoZero"/>
        <c:auto val="1"/>
        <c:lblOffset val="100"/>
        <c:baseTimeUnit val="days"/>
      </c:dateAx>
      <c:valAx>
        <c:axId val="48672768"/>
        <c:scaling>
          <c:orientation val="minMax"/>
          <c:max val="100"/>
        </c:scaling>
        <c:delete val="1"/>
        <c:axPos val="l"/>
        <c:numFmt formatCode="0.00" sourceLinked="1"/>
        <c:majorTickMark val="none"/>
        <c:minorTickMark val="none"/>
        <c:tickLblPos val="nextTo"/>
        <c:crossAx val="48650112"/>
        <c:crosses val="autoZero"/>
        <c:crossBetween val="between"/>
      </c:valAx>
      <c:spPr>
        <a:noFill/>
        <a:ln>
          <a:noFill/>
        </a:ln>
        <a:effectLst/>
      </c:spPr>
    </c:plotArea>
    <c:plotVisOnly val="1"/>
    <c:dispBlanksAs val="zero"/>
    <c:showDLblsOverMax val="1"/>
  </c:chart>
  <c:spPr>
    <a:no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1</xdr:row>
          <xdr:rowOff>38100</xdr:rowOff>
        </xdr:from>
        <xdr:to>
          <xdr:col>10</xdr:col>
          <xdr:colOff>1495425</xdr:colOff>
          <xdr:row>2</xdr:row>
          <xdr:rowOff>190500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0" i="0" u="none" strike="noStrike" baseline="0">
                  <a:solidFill>
                    <a:srgbClr val="000000"/>
                  </a:solidFill>
                  <a:latin typeface="Noto Sans TC"/>
                </a:rPr>
                <a:t>PrevDay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9525</xdr:rowOff>
        </xdr:from>
        <xdr:to>
          <xdr:col>10</xdr:col>
          <xdr:colOff>1524000</xdr:colOff>
          <xdr:row>4</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0" i="0" u="none" strike="noStrike" baseline="0">
                  <a:solidFill>
                    <a:srgbClr val="000000"/>
                  </a:solidFill>
                  <a:latin typeface="Noto Sans TC"/>
                </a:rPr>
                <a:t>NextDay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257175</xdr:colOff>
          <xdr:row>5</xdr:row>
          <xdr:rowOff>85725</xdr:rowOff>
        </xdr:from>
        <xdr:to>
          <xdr:col>11</xdr:col>
          <xdr:colOff>104775</xdr:colOff>
          <xdr:row>8</xdr:row>
          <xdr:rowOff>28575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0" i="0" u="none" strike="noStrike" baseline="0">
                  <a:solidFill>
                    <a:srgbClr val="000000"/>
                  </a:solidFill>
                  <a:latin typeface="Noto Sans TC"/>
                </a:rPr>
                <a:t>選擇PDF或紙本</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575423</xdr:colOff>
      <xdr:row>29</xdr:row>
      <xdr:rowOff>99060</xdr:rowOff>
    </xdr:from>
    <xdr:to>
      <xdr:col>15</xdr:col>
      <xdr:colOff>647700</xdr:colOff>
      <xdr:row>29</xdr:row>
      <xdr:rowOff>289560</xdr:rowOff>
    </xdr:to>
    <xdr:sp macro="" textlink="">
      <xdr:nvSpPr>
        <xdr:cNvPr id="2" name="矩形 1">
          <a:extLst>
            <a:ext uri="{FF2B5EF4-FFF2-40B4-BE49-F238E27FC236}">
              <a16:creationId xmlns:a16="http://schemas.microsoft.com/office/drawing/2014/main" id="{00000000-0008-0000-0600-000002000000}"/>
            </a:ext>
          </a:extLst>
        </xdr:cNvPr>
        <xdr:cNvSpPr/>
      </xdr:nvSpPr>
      <xdr:spPr>
        <a:xfrm>
          <a:off x="4804523" y="5250180"/>
          <a:ext cx="5954917" cy="190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twoCellAnchor>
    <xdr:from>
      <xdr:col>0</xdr:col>
      <xdr:colOff>0</xdr:colOff>
      <xdr:row>47</xdr:row>
      <xdr:rowOff>152400</xdr:rowOff>
    </xdr:from>
    <xdr:to>
      <xdr:col>17</xdr:col>
      <xdr:colOff>426720</xdr:colOff>
      <xdr:row>53</xdr:row>
      <xdr:rowOff>144780</xdr:rowOff>
    </xdr:to>
    <xdr:graphicFrame macro="">
      <xdr:nvGraphicFramePr>
        <xdr:cNvPr id="3" name="圖表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7621</xdr:colOff>
      <xdr:row>20</xdr:row>
      <xdr:rowOff>76200</xdr:rowOff>
    </xdr:from>
    <xdr:to>
      <xdr:col>7</xdr:col>
      <xdr:colOff>647701</xdr:colOff>
      <xdr:row>20</xdr:row>
      <xdr:rowOff>281939</xdr:rowOff>
    </xdr:to>
    <xdr:sp macro="" textlink="">
      <xdr:nvSpPr>
        <xdr:cNvPr id="4" name="矩形 3">
          <a:extLst>
            <a:ext uri="{FF2B5EF4-FFF2-40B4-BE49-F238E27FC236}">
              <a16:creationId xmlns:a16="http://schemas.microsoft.com/office/drawing/2014/main" id="{00000000-0008-0000-0600-000004000000}"/>
            </a:ext>
          </a:extLst>
        </xdr:cNvPr>
        <xdr:cNvSpPr/>
      </xdr:nvSpPr>
      <xdr:spPr>
        <a:xfrm>
          <a:off x="4815841" y="2072640"/>
          <a:ext cx="640080" cy="20573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twoCellAnchor>
    <xdr:from>
      <xdr:col>7</xdr:col>
      <xdr:colOff>373380</xdr:colOff>
      <xdr:row>21</xdr:row>
      <xdr:rowOff>83820</xdr:rowOff>
    </xdr:from>
    <xdr:to>
      <xdr:col>8</xdr:col>
      <xdr:colOff>647700</xdr:colOff>
      <xdr:row>21</xdr:row>
      <xdr:rowOff>281940</xdr:rowOff>
    </xdr:to>
    <xdr:sp macro="" textlink="">
      <xdr:nvSpPr>
        <xdr:cNvPr id="5" name="矩形 4">
          <a:extLst>
            <a:ext uri="{FF2B5EF4-FFF2-40B4-BE49-F238E27FC236}">
              <a16:creationId xmlns:a16="http://schemas.microsoft.com/office/drawing/2014/main" id="{00000000-0008-0000-0600-000005000000}"/>
            </a:ext>
          </a:extLst>
        </xdr:cNvPr>
        <xdr:cNvSpPr/>
      </xdr:nvSpPr>
      <xdr:spPr>
        <a:xfrm>
          <a:off x="5181600" y="2430780"/>
          <a:ext cx="937260" cy="1981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twoCellAnchor>
    <xdr:from>
      <xdr:col>8</xdr:col>
      <xdr:colOff>342900</xdr:colOff>
      <xdr:row>22</xdr:row>
      <xdr:rowOff>91440</xdr:rowOff>
    </xdr:from>
    <xdr:to>
      <xdr:col>10</xdr:col>
      <xdr:colOff>0</xdr:colOff>
      <xdr:row>22</xdr:row>
      <xdr:rowOff>274320</xdr:rowOff>
    </xdr:to>
    <xdr:sp macro="" textlink="">
      <xdr:nvSpPr>
        <xdr:cNvPr id="6" name="矩形 5">
          <a:extLst>
            <a:ext uri="{FF2B5EF4-FFF2-40B4-BE49-F238E27FC236}">
              <a16:creationId xmlns:a16="http://schemas.microsoft.com/office/drawing/2014/main" id="{00000000-0008-0000-0600-000006000000}"/>
            </a:ext>
          </a:extLst>
        </xdr:cNvPr>
        <xdr:cNvSpPr/>
      </xdr:nvSpPr>
      <xdr:spPr>
        <a:xfrm>
          <a:off x="5814060" y="2788920"/>
          <a:ext cx="982980" cy="1828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twoCellAnchor>
    <xdr:from>
      <xdr:col>9</xdr:col>
      <xdr:colOff>342900</xdr:colOff>
      <xdr:row>23</xdr:row>
      <xdr:rowOff>106680</xdr:rowOff>
    </xdr:from>
    <xdr:to>
      <xdr:col>11</xdr:col>
      <xdr:colOff>0</xdr:colOff>
      <xdr:row>23</xdr:row>
      <xdr:rowOff>289560</xdr:rowOff>
    </xdr:to>
    <xdr:sp macro="" textlink="">
      <xdr:nvSpPr>
        <xdr:cNvPr id="7" name="矩形 6">
          <a:extLst>
            <a:ext uri="{FF2B5EF4-FFF2-40B4-BE49-F238E27FC236}">
              <a16:creationId xmlns:a16="http://schemas.microsoft.com/office/drawing/2014/main" id="{00000000-0008-0000-0600-000007000000}"/>
            </a:ext>
          </a:extLst>
        </xdr:cNvPr>
        <xdr:cNvSpPr/>
      </xdr:nvSpPr>
      <xdr:spPr>
        <a:xfrm>
          <a:off x="6477000" y="3154680"/>
          <a:ext cx="982980" cy="1828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twoCellAnchor>
    <xdr:from>
      <xdr:col>10</xdr:col>
      <xdr:colOff>449580</xdr:colOff>
      <xdr:row>24</xdr:row>
      <xdr:rowOff>76200</xdr:rowOff>
    </xdr:from>
    <xdr:to>
      <xdr:col>14</xdr:col>
      <xdr:colOff>0</xdr:colOff>
      <xdr:row>24</xdr:row>
      <xdr:rowOff>259080</xdr:rowOff>
    </xdr:to>
    <xdr:sp macro="" textlink="">
      <xdr:nvSpPr>
        <xdr:cNvPr id="8" name="矩形 7">
          <a:extLst>
            <a:ext uri="{FF2B5EF4-FFF2-40B4-BE49-F238E27FC236}">
              <a16:creationId xmlns:a16="http://schemas.microsoft.com/office/drawing/2014/main" id="{00000000-0008-0000-0600-000008000000}"/>
            </a:ext>
          </a:extLst>
        </xdr:cNvPr>
        <xdr:cNvSpPr/>
      </xdr:nvSpPr>
      <xdr:spPr>
        <a:xfrm>
          <a:off x="7246620" y="3474720"/>
          <a:ext cx="2202180" cy="1828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twoCellAnchor>
    <xdr:from>
      <xdr:col>13</xdr:col>
      <xdr:colOff>0</xdr:colOff>
      <xdr:row>25</xdr:row>
      <xdr:rowOff>68580</xdr:rowOff>
    </xdr:from>
    <xdr:to>
      <xdr:col>14</xdr:col>
      <xdr:colOff>7620</xdr:colOff>
      <xdr:row>25</xdr:row>
      <xdr:rowOff>243840</xdr:rowOff>
    </xdr:to>
    <xdr:sp macro="" textlink="">
      <xdr:nvSpPr>
        <xdr:cNvPr id="9" name="矩形 8">
          <a:extLst>
            <a:ext uri="{FF2B5EF4-FFF2-40B4-BE49-F238E27FC236}">
              <a16:creationId xmlns:a16="http://schemas.microsoft.com/office/drawing/2014/main" id="{00000000-0008-0000-0600-000009000000}"/>
            </a:ext>
          </a:extLst>
        </xdr:cNvPr>
        <xdr:cNvSpPr/>
      </xdr:nvSpPr>
      <xdr:spPr>
        <a:xfrm>
          <a:off x="8785860" y="3817620"/>
          <a:ext cx="670560" cy="1752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twoCellAnchor>
    <xdr:from>
      <xdr:col>13</xdr:col>
      <xdr:colOff>0</xdr:colOff>
      <xdr:row>26</xdr:row>
      <xdr:rowOff>99060</xdr:rowOff>
    </xdr:from>
    <xdr:to>
      <xdr:col>14</xdr:col>
      <xdr:colOff>655320</xdr:colOff>
      <xdr:row>26</xdr:row>
      <xdr:rowOff>274320</xdr:rowOff>
    </xdr:to>
    <xdr:sp macro="" textlink="">
      <xdr:nvSpPr>
        <xdr:cNvPr id="10" name="矩形 9">
          <a:extLst>
            <a:ext uri="{FF2B5EF4-FFF2-40B4-BE49-F238E27FC236}">
              <a16:creationId xmlns:a16="http://schemas.microsoft.com/office/drawing/2014/main" id="{00000000-0008-0000-0600-00000A000000}"/>
            </a:ext>
          </a:extLst>
        </xdr:cNvPr>
        <xdr:cNvSpPr/>
      </xdr:nvSpPr>
      <xdr:spPr>
        <a:xfrm>
          <a:off x="8785860" y="4198620"/>
          <a:ext cx="1318260" cy="1752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twoCellAnchor>
    <xdr:from>
      <xdr:col>13</xdr:col>
      <xdr:colOff>655320</xdr:colOff>
      <xdr:row>27</xdr:row>
      <xdr:rowOff>99060</xdr:rowOff>
    </xdr:from>
    <xdr:to>
      <xdr:col>15</xdr:col>
      <xdr:colOff>0</xdr:colOff>
      <xdr:row>27</xdr:row>
      <xdr:rowOff>274320</xdr:rowOff>
    </xdr:to>
    <xdr:sp macro="" textlink="">
      <xdr:nvSpPr>
        <xdr:cNvPr id="11" name="矩形 10">
          <a:extLst>
            <a:ext uri="{FF2B5EF4-FFF2-40B4-BE49-F238E27FC236}">
              <a16:creationId xmlns:a16="http://schemas.microsoft.com/office/drawing/2014/main" id="{00000000-0008-0000-0600-00000B000000}"/>
            </a:ext>
          </a:extLst>
        </xdr:cNvPr>
        <xdr:cNvSpPr/>
      </xdr:nvSpPr>
      <xdr:spPr>
        <a:xfrm>
          <a:off x="9441180" y="4549140"/>
          <a:ext cx="670560" cy="1752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twoCellAnchor>
    <xdr:from>
      <xdr:col>14</xdr:col>
      <xdr:colOff>655320</xdr:colOff>
      <xdr:row>28</xdr:row>
      <xdr:rowOff>68580</xdr:rowOff>
    </xdr:from>
    <xdr:to>
      <xdr:col>16</xdr:col>
      <xdr:colOff>0</xdr:colOff>
      <xdr:row>28</xdr:row>
      <xdr:rowOff>243840</xdr:rowOff>
    </xdr:to>
    <xdr:sp macro="" textlink="">
      <xdr:nvSpPr>
        <xdr:cNvPr id="12" name="矩形 11">
          <a:extLst>
            <a:ext uri="{FF2B5EF4-FFF2-40B4-BE49-F238E27FC236}">
              <a16:creationId xmlns:a16="http://schemas.microsoft.com/office/drawing/2014/main" id="{00000000-0008-0000-0600-00000C000000}"/>
            </a:ext>
          </a:extLst>
        </xdr:cNvPr>
        <xdr:cNvSpPr/>
      </xdr:nvSpPr>
      <xdr:spPr>
        <a:xfrm>
          <a:off x="10104120" y="4869180"/>
          <a:ext cx="670560" cy="1752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latin typeface="微軟正黑體" panose="020B0604030504040204" pitchFamily="34" charset="-120"/>
            <a:ea typeface="微軟正黑體" panose="020B0604030504040204" pitchFamily="34" charset="-12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805542</xdr:colOff>
      <xdr:row>3</xdr:row>
      <xdr:rowOff>272142</xdr:rowOff>
    </xdr:from>
    <xdr:to>
      <xdr:col>37</xdr:col>
      <xdr:colOff>435428</xdr:colOff>
      <xdr:row>22</xdr:row>
      <xdr:rowOff>21771</xdr:rowOff>
    </xdr:to>
    <xdr:graphicFrame macro="">
      <xdr:nvGraphicFramePr>
        <xdr:cNvPr id="2" name="Chart">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自訂 2">
      <a:dk1>
        <a:sysClr val="windowText" lastClr="000000"/>
      </a:dk1>
      <a:lt1>
        <a:sysClr val="window" lastClr="FFFFFF"/>
      </a:lt1>
      <a:dk2>
        <a:srgbClr val="464646"/>
      </a:dk2>
      <a:lt2>
        <a:srgbClr val="FFFFFF"/>
      </a:lt2>
      <a:accent1>
        <a:srgbClr val="6AAEDA"/>
      </a:accent1>
      <a:accent2>
        <a:srgbClr val="66CAC5"/>
      </a:accent2>
      <a:accent3>
        <a:srgbClr val="ED6566"/>
      </a:accent3>
      <a:accent4>
        <a:srgbClr val="FEC444"/>
      </a:accent4>
      <a:accent5>
        <a:srgbClr val="C86DAA"/>
      </a:accent5>
      <a:accent6>
        <a:srgbClr val="92D050"/>
      </a:accent6>
      <a:hlink>
        <a:srgbClr val="A05024"/>
      </a:hlink>
      <a:folHlink>
        <a:srgbClr val="FEC037"/>
      </a:folHlink>
    </a:clrScheme>
    <a:fontScheme name="思源體">
      <a:majorFont>
        <a:latin typeface="Arial"/>
        <a:ea typeface="Noto Sans TC ExtraBold"/>
        <a:cs typeface=""/>
      </a:majorFont>
      <a:minorFont>
        <a:latin typeface="Arial"/>
        <a:ea typeface="Noto Serif TC"/>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B1367-758F-4F8F-8FC9-11FB479F3FA1}">
  <sheetPr codeName="工作表1"/>
  <dimension ref="A1:AY46"/>
  <sheetViews>
    <sheetView zoomScale="70" zoomScaleNormal="70" workbookViewId="0">
      <selection activeCell="C10" sqref="C10"/>
    </sheetView>
  </sheetViews>
  <sheetFormatPr defaultColWidth="8.75" defaultRowHeight="19.5"/>
  <cols>
    <col min="1" max="1" width="3.5" style="1" customWidth="1"/>
    <col min="2" max="2" width="11.125" style="7" customWidth="1"/>
    <col min="3" max="3" width="95.125" style="8" customWidth="1"/>
    <col min="4" max="4" width="8.625" style="9" customWidth="1"/>
    <col min="5" max="5" width="14.125" style="10" customWidth="1"/>
    <col min="6" max="6" width="18" style="11" customWidth="1"/>
    <col min="7" max="7" width="20.25" style="12" customWidth="1"/>
    <col min="8" max="8" width="10.25" style="1" customWidth="1"/>
    <col min="9" max="9" width="8.75" style="1"/>
    <col min="10" max="10" width="17.625" style="1" customWidth="1"/>
  </cols>
  <sheetData>
    <row r="1" spans="1:51" ht="23.1" customHeight="1">
      <c r="B1" s="14"/>
      <c r="C1" s="15"/>
      <c r="D1" s="14"/>
      <c r="E1" s="16"/>
      <c r="F1" s="16"/>
      <c r="G1" s="17"/>
      <c r="H1" s="18" t="s">
        <v>0</v>
      </c>
      <c r="I1" s="19" t="s">
        <v>237</v>
      </c>
      <c r="J1" s="19"/>
    </row>
    <row r="2" spans="1:51" s="2" customFormat="1" ht="23.1" customHeight="1">
      <c r="A2" s="1"/>
      <c r="B2" s="20"/>
      <c r="C2" s="21" t="s">
        <v>137</v>
      </c>
      <c r="D2" s="20"/>
      <c r="E2" s="22"/>
      <c r="F2" s="22"/>
      <c r="G2" s="23"/>
      <c r="H2" s="24" t="s">
        <v>1</v>
      </c>
      <c r="I2" s="25" t="s">
        <v>138</v>
      </c>
      <c r="J2" s="2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spans="1:51" s="4" customFormat="1" ht="29.45" customHeight="1">
      <c r="A3" s="3"/>
      <c r="B3" s="26" t="s">
        <v>2</v>
      </c>
      <c r="C3" s="308" t="s">
        <v>139</v>
      </c>
      <c r="D3" s="309"/>
      <c r="E3" s="332"/>
      <c r="F3" s="26" t="s">
        <v>3</v>
      </c>
      <c r="G3" s="27"/>
      <c r="H3" s="28"/>
      <c r="I3" s="29"/>
      <c r="J3" s="29"/>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row>
    <row r="4" spans="1:51" s="6" customFormat="1" ht="23.1" customHeight="1">
      <c r="A4" s="5"/>
      <c r="B4" s="26" t="s">
        <v>4</v>
      </c>
      <c r="C4" s="308" t="s">
        <v>140</v>
      </c>
      <c r="D4" s="309"/>
      <c r="E4" s="332"/>
      <c r="F4" s="26" t="s">
        <v>90</v>
      </c>
      <c r="G4" s="27" t="s">
        <v>17</v>
      </c>
      <c r="H4" s="28"/>
      <c r="I4" s="30"/>
      <c r="J4" s="3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row>
    <row r="5" spans="1:51" s="6" customFormat="1" ht="23.1" customHeight="1">
      <c r="B5" s="31" t="s">
        <v>97</v>
      </c>
      <c r="C5" s="32" t="s">
        <v>98</v>
      </c>
      <c r="D5" s="33" t="s">
        <v>99</v>
      </c>
      <c r="E5" s="34" t="s">
        <v>100</v>
      </c>
      <c r="F5" s="34" t="s">
        <v>141</v>
      </c>
      <c r="G5" s="34" t="s">
        <v>142</v>
      </c>
      <c r="I5" s="25" t="s">
        <v>143</v>
      </c>
    </row>
    <row r="6" spans="1:51">
      <c r="B6" s="31" t="s">
        <v>18</v>
      </c>
      <c r="C6" s="32" t="s">
        <v>144</v>
      </c>
    </row>
    <row r="7" spans="1:51" ht="18.75">
      <c r="B7" s="31">
        <v>1</v>
      </c>
      <c r="C7" s="32" t="s">
        <v>145</v>
      </c>
      <c r="D7" s="33" t="s">
        <v>8</v>
      </c>
      <c r="E7" s="34">
        <v>1</v>
      </c>
      <c r="F7" s="34">
        <v>4908</v>
      </c>
      <c r="G7" s="34">
        <v>4908</v>
      </c>
      <c r="I7" s="25">
        <v>4818</v>
      </c>
    </row>
    <row r="8" spans="1:51" ht="18.75">
      <c r="B8" s="31">
        <v>2</v>
      </c>
      <c r="C8" s="32" t="s">
        <v>146</v>
      </c>
      <c r="D8" s="33" t="s">
        <v>8</v>
      </c>
      <c r="E8" s="34">
        <v>1</v>
      </c>
      <c r="F8" s="34">
        <v>4908</v>
      </c>
      <c r="G8" s="34">
        <v>4908</v>
      </c>
      <c r="I8" s="25">
        <v>4818</v>
      </c>
    </row>
    <row r="9" spans="1:51" ht="18.75">
      <c r="B9" s="31">
        <v>3</v>
      </c>
      <c r="C9" s="32" t="s">
        <v>147</v>
      </c>
      <c r="D9" s="33" t="s">
        <v>8</v>
      </c>
      <c r="E9" s="34">
        <v>1</v>
      </c>
      <c r="F9" s="34">
        <v>9800</v>
      </c>
      <c r="G9" s="34">
        <v>9800</v>
      </c>
      <c r="I9" s="25">
        <v>9619</v>
      </c>
    </row>
    <row r="10" spans="1:51" ht="18.75">
      <c r="B10" s="31">
        <v>4</v>
      </c>
      <c r="C10" s="32" t="s">
        <v>240</v>
      </c>
      <c r="D10" s="33" t="s">
        <v>8</v>
      </c>
      <c r="E10" s="34">
        <v>1</v>
      </c>
      <c r="F10" s="34">
        <v>433100</v>
      </c>
      <c r="G10" s="34">
        <v>433100</v>
      </c>
      <c r="I10" s="25">
        <v>425120</v>
      </c>
    </row>
    <row r="11" spans="1:51" ht="18.75">
      <c r="B11" s="31">
        <v>5</v>
      </c>
      <c r="C11" s="32" t="s">
        <v>148</v>
      </c>
      <c r="D11" s="33" t="s">
        <v>8</v>
      </c>
      <c r="E11" s="34">
        <v>1</v>
      </c>
      <c r="F11" s="34">
        <v>8834</v>
      </c>
      <c r="G11" s="34">
        <v>8834</v>
      </c>
      <c r="I11" s="25">
        <v>8671</v>
      </c>
    </row>
    <row r="12" spans="1:51" ht="18.75">
      <c r="B12" s="31">
        <v>6</v>
      </c>
      <c r="C12" s="32" t="s">
        <v>149</v>
      </c>
      <c r="D12" s="33" t="s">
        <v>8</v>
      </c>
      <c r="E12" s="34">
        <v>1</v>
      </c>
      <c r="F12" s="34">
        <v>82420</v>
      </c>
      <c r="G12" s="34">
        <v>82420</v>
      </c>
      <c r="I12" s="25">
        <v>80901</v>
      </c>
    </row>
    <row r="13" spans="1:51" ht="18.75">
      <c r="B13" s="31">
        <v>7</v>
      </c>
      <c r="C13" s="32" t="s">
        <v>150</v>
      </c>
      <c r="D13" s="33" t="s">
        <v>6</v>
      </c>
      <c r="E13" s="34">
        <v>73</v>
      </c>
      <c r="F13" s="34">
        <v>982</v>
      </c>
      <c r="G13" s="34">
        <v>71686</v>
      </c>
      <c r="I13" s="25">
        <v>964</v>
      </c>
    </row>
    <row r="14" spans="1:51" ht="18.75">
      <c r="B14" s="31">
        <v>8</v>
      </c>
      <c r="C14" s="32" t="s">
        <v>151</v>
      </c>
      <c r="D14" s="33" t="s">
        <v>8</v>
      </c>
      <c r="E14" s="34">
        <v>1</v>
      </c>
      <c r="F14" s="34">
        <v>9816</v>
      </c>
      <c r="G14" s="34">
        <v>9816</v>
      </c>
      <c r="I14" s="25">
        <v>9635</v>
      </c>
    </row>
    <row r="15" spans="1:51" ht="18.75">
      <c r="B15" s="31">
        <v>9</v>
      </c>
      <c r="C15" s="32" t="s">
        <v>152</v>
      </c>
      <c r="D15" s="33" t="s">
        <v>6</v>
      </c>
      <c r="E15" s="34">
        <v>951</v>
      </c>
      <c r="F15" s="34">
        <v>491</v>
      </c>
      <c r="G15" s="34">
        <v>466941</v>
      </c>
      <c r="I15" s="25">
        <v>482</v>
      </c>
    </row>
    <row r="16" spans="1:51" ht="18.75">
      <c r="B16" s="31">
        <v>10</v>
      </c>
      <c r="C16" s="32" t="s">
        <v>153</v>
      </c>
      <c r="D16" s="33" t="s">
        <v>6</v>
      </c>
      <c r="E16" s="34">
        <v>516</v>
      </c>
      <c r="F16" s="34">
        <v>442</v>
      </c>
      <c r="G16" s="34">
        <v>228072</v>
      </c>
      <c r="I16" s="25">
        <v>434</v>
      </c>
    </row>
    <row r="17" spans="2:9" ht="18.75">
      <c r="B17" s="31">
        <v>11</v>
      </c>
      <c r="C17" s="32" t="s">
        <v>154</v>
      </c>
      <c r="D17" s="33" t="s">
        <v>10</v>
      </c>
      <c r="E17" s="34">
        <v>41</v>
      </c>
      <c r="F17" s="34">
        <v>589</v>
      </c>
      <c r="G17" s="34">
        <v>24149</v>
      </c>
      <c r="I17" s="25">
        <v>578</v>
      </c>
    </row>
    <row r="18" spans="2:9" ht="18.75">
      <c r="B18" s="31">
        <v>12</v>
      </c>
      <c r="C18" s="32" t="s">
        <v>155</v>
      </c>
      <c r="D18" s="33" t="s">
        <v>6</v>
      </c>
      <c r="E18" s="34">
        <v>204</v>
      </c>
      <c r="F18" s="34">
        <v>785</v>
      </c>
      <c r="G18" s="34">
        <v>160140</v>
      </c>
      <c r="I18" s="25">
        <v>771</v>
      </c>
    </row>
    <row r="19" spans="2:9" ht="18.75">
      <c r="B19" s="31">
        <v>13</v>
      </c>
      <c r="C19" s="32" t="s">
        <v>156</v>
      </c>
      <c r="D19" s="33" t="s">
        <v>6</v>
      </c>
      <c r="E19" s="34">
        <v>11</v>
      </c>
      <c r="F19" s="34">
        <v>1178</v>
      </c>
      <c r="G19" s="34">
        <v>12958</v>
      </c>
      <c r="I19" s="25">
        <v>1156</v>
      </c>
    </row>
    <row r="20" spans="2:9" ht="18.75">
      <c r="B20" s="31">
        <v>14</v>
      </c>
      <c r="C20" s="32" t="s">
        <v>157</v>
      </c>
      <c r="D20" s="33" t="s">
        <v>6</v>
      </c>
      <c r="E20" s="34">
        <v>603</v>
      </c>
      <c r="F20" s="34">
        <v>982</v>
      </c>
      <c r="G20" s="34">
        <v>592146</v>
      </c>
      <c r="I20" s="25">
        <v>964</v>
      </c>
    </row>
    <row r="21" spans="2:9" ht="18.75">
      <c r="B21" s="31">
        <v>15</v>
      </c>
      <c r="C21" s="32" t="s">
        <v>158</v>
      </c>
      <c r="D21" s="33" t="s">
        <v>7</v>
      </c>
      <c r="E21" s="34">
        <v>206</v>
      </c>
      <c r="F21" s="34">
        <v>393</v>
      </c>
      <c r="G21" s="34">
        <v>80958</v>
      </c>
      <c r="I21" s="25">
        <v>386</v>
      </c>
    </row>
    <row r="22" spans="2:9" ht="18.75">
      <c r="B22" s="31">
        <v>16</v>
      </c>
      <c r="C22" s="32" t="s">
        <v>159</v>
      </c>
      <c r="D22" s="33" t="s">
        <v>6</v>
      </c>
      <c r="E22" s="34">
        <v>8</v>
      </c>
      <c r="F22" s="34">
        <v>1080</v>
      </c>
      <c r="G22" s="34">
        <v>8640</v>
      </c>
      <c r="I22" s="25">
        <v>1060</v>
      </c>
    </row>
    <row r="23" spans="2:9" ht="18.75">
      <c r="B23" s="31">
        <v>17</v>
      </c>
      <c r="C23" s="32" t="s">
        <v>160</v>
      </c>
      <c r="D23" s="33" t="s">
        <v>6</v>
      </c>
      <c r="E23" s="34">
        <v>385</v>
      </c>
      <c r="F23" s="34">
        <v>167</v>
      </c>
      <c r="G23" s="34">
        <v>64295</v>
      </c>
      <c r="I23" s="25">
        <v>164</v>
      </c>
    </row>
    <row r="24" spans="2:9" ht="18.75">
      <c r="B24" s="31">
        <v>18</v>
      </c>
      <c r="C24" s="32" t="s">
        <v>161</v>
      </c>
      <c r="D24" s="33" t="s">
        <v>6</v>
      </c>
      <c r="E24" s="34">
        <v>201</v>
      </c>
      <c r="F24" s="34">
        <v>3040</v>
      </c>
      <c r="G24" s="34">
        <v>611040</v>
      </c>
      <c r="I24" s="25">
        <v>2984</v>
      </c>
    </row>
    <row r="25" spans="2:9" ht="18.75">
      <c r="B25" s="31">
        <v>19</v>
      </c>
      <c r="C25" s="32" t="s">
        <v>162</v>
      </c>
      <c r="D25" s="33" t="s">
        <v>163</v>
      </c>
      <c r="E25" s="34">
        <v>33</v>
      </c>
      <c r="F25" s="34">
        <v>589</v>
      </c>
      <c r="G25" s="34">
        <v>19437</v>
      </c>
      <c r="I25" s="25">
        <v>578</v>
      </c>
    </row>
    <row r="26" spans="2:9" ht="18.75">
      <c r="B26" s="31">
        <v>20</v>
      </c>
      <c r="C26" s="32" t="s">
        <v>164</v>
      </c>
      <c r="D26" s="33" t="s">
        <v>165</v>
      </c>
      <c r="E26" s="34">
        <v>12</v>
      </c>
      <c r="F26" s="34">
        <v>1865</v>
      </c>
      <c r="G26" s="34">
        <v>22380</v>
      </c>
      <c r="I26" s="25">
        <v>1831</v>
      </c>
    </row>
    <row r="27" spans="2:9" ht="18.75">
      <c r="B27" s="31">
        <v>21</v>
      </c>
      <c r="C27" s="32" t="s">
        <v>166</v>
      </c>
      <c r="D27" s="33" t="s">
        <v>8</v>
      </c>
      <c r="E27" s="34">
        <v>1</v>
      </c>
      <c r="F27" s="34">
        <v>267577</v>
      </c>
      <c r="G27" s="34">
        <v>267577</v>
      </c>
      <c r="I27" s="25">
        <v>262647</v>
      </c>
    </row>
    <row r="28" spans="2:9" ht="18.75">
      <c r="B28" s="31">
        <v>22</v>
      </c>
      <c r="C28" s="32" t="s">
        <v>167</v>
      </c>
      <c r="D28" s="33" t="s">
        <v>8</v>
      </c>
      <c r="E28" s="34">
        <v>1</v>
      </c>
      <c r="F28" s="34">
        <v>38281</v>
      </c>
      <c r="G28" s="34">
        <v>38281</v>
      </c>
      <c r="I28" s="25">
        <v>37576</v>
      </c>
    </row>
    <row r="29" spans="2:9" ht="18.75">
      <c r="B29" s="31">
        <v>23</v>
      </c>
      <c r="C29" s="32" t="s">
        <v>168</v>
      </c>
      <c r="D29" s="33" t="s">
        <v>169</v>
      </c>
      <c r="E29" s="34">
        <v>67</v>
      </c>
      <c r="F29" s="34">
        <v>784</v>
      </c>
      <c r="G29" s="34">
        <v>52528</v>
      </c>
      <c r="I29" s="25">
        <v>770</v>
      </c>
    </row>
    <row r="30" spans="2:9" ht="18.75">
      <c r="B30" s="31">
        <v>24</v>
      </c>
      <c r="C30" s="32" t="s">
        <v>170</v>
      </c>
      <c r="D30" s="33" t="s">
        <v>8</v>
      </c>
      <c r="E30" s="34">
        <v>1</v>
      </c>
      <c r="F30" s="34">
        <v>75581</v>
      </c>
      <c r="G30" s="34">
        <v>75581</v>
      </c>
      <c r="I30" s="25">
        <v>74188</v>
      </c>
    </row>
    <row r="31" spans="2:9" ht="18.75">
      <c r="B31" s="31">
        <v>25</v>
      </c>
      <c r="C31" s="32" t="s">
        <v>171</v>
      </c>
      <c r="D31" s="33" t="s">
        <v>8</v>
      </c>
      <c r="E31" s="34">
        <v>1</v>
      </c>
      <c r="F31" s="34">
        <v>473120</v>
      </c>
      <c r="G31" s="34">
        <v>473120</v>
      </c>
      <c r="I31" s="25">
        <v>464402</v>
      </c>
    </row>
    <row r="32" spans="2:9" ht="18.75">
      <c r="B32" s="31">
        <v>26</v>
      </c>
      <c r="C32" s="32" t="s">
        <v>172</v>
      </c>
      <c r="D32" s="33" t="s">
        <v>8</v>
      </c>
      <c r="E32" s="34">
        <v>1</v>
      </c>
      <c r="F32" s="34">
        <v>122696</v>
      </c>
      <c r="G32" s="34">
        <v>122696</v>
      </c>
      <c r="I32" s="25">
        <v>120435</v>
      </c>
    </row>
    <row r="33" spans="2:9" ht="18.75">
      <c r="B33" s="31">
        <v>27</v>
      </c>
      <c r="C33" s="32" t="s">
        <v>173</v>
      </c>
      <c r="D33" s="33" t="s">
        <v>8</v>
      </c>
      <c r="E33" s="34">
        <v>1</v>
      </c>
      <c r="F33" s="34">
        <v>189542</v>
      </c>
      <c r="G33" s="34">
        <v>189542</v>
      </c>
      <c r="I33" s="25">
        <v>186050</v>
      </c>
    </row>
    <row r="34" spans="2:9" ht="18.75">
      <c r="B34" s="31">
        <v>28</v>
      </c>
      <c r="C34" s="32" t="s">
        <v>174</v>
      </c>
      <c r="D34" s="33" t="s">
        <v>8</v>
      </c>
      <c r="E34" s="34">
        <v>1</v>
      </c>
      <c r="F34" s="34">
        <v>58306</v>
      </c>
      <c r="G34" s="34">
        <v>58306</v>
      </c>
      <c r="I34" s="25">
        <v>57232</v>
      </c>
    </row>
    <row r="35" spans="2:9" ht="18.75">
      <c r="B35" s="31">
        <v>29</v>
      </c>
      <c r="C35" s="32" t="s">
        <v>175</v>
      </c>
      <c r="D35" s="33" t="s">
        <v>8</v>
      </c>
      <c r="E35" s="34">
        <v>1</v>
      </c>
      <c r="F35" s="34">
        <v>11524</v>
      </c>
      <c r="G35" s="34">
        <v>11524</v>
      </c>
      <c r="I35" s="25">
        <v>11312</v>
      </c>
    </row>
    <row r="36" spans="2:9" ht="18.75">
      <c r="B36" s="31">
        <v>30</v>
      </c>
      <c r="C36" s="32" t="s">
        <v>176</v>
      </c>
      <c r="D36" s="33" t="s">
        <v>8</v>
      </c>
      <c r="E36" s="34">
        <v>1</v>
      </c>
      <c r="F36" s="34">
        <v>44657</v>
      </c>
      <c r="G36" s="34">
        <v>44657</v>
      </c>
      <c r="I36" s="25">
        <v>43834</v>
      </c>
    </row>
    <row r="37" spans="2:9" ht="18.75">
      <c r="B37" s="31">
        <v>31</v>
      </c>
      <c r="C37" s="32" t="s">
        <v>177</v>
      </c>
      <c r="D37" s="33" t="s">
        <v>169</v>
      </c>
      <c r="E37" s="34">
        <v>212</v>
      </c>
      <c r="F37" s="34">
        <v>442</v>
      </c>
      <c r="G37" s="34">
        <v>93704</v>
      </c>
      <c r="I37" s="25">
        <v>434</v>
      </c>
    </row>
    <row r="38" spans="2:9" ht="18.75">
      <c r="B38" s="31">
        <v>32</v>
      </c>
      <c r="C38" s="32" t="s">
        <v>178</v>
      </c>
      <c r="D38" s="33" t="s">
        <v>8</v>
      </c>
      <c r="E38" s="34">
        <v>1</v>
      </c>
      <c r="F38" s="34">
        <v>151466</v>
      </c>
      <c r="G38" s="34">
        <v>151466</v>
      </c>
      <c r="I38" s="25">
        <v>148675</v>
      </c>
    </row>
    <row r="39" spans="2:9">
      <c r="B39" s="31" t="s">
        <v>179</v>
      </c>
      <c r="G39" s="34">
        <f>SUM(G7:G38)</f>
        <v>4495610</v>
      </c>
    </row>
    <row r="40" spans="2:9" ht="18.75">
      <c r="B40" s="31" t="s">
        <v>23</v>
      </c>
      <c r="C40" s="32" t="s">
        <v>180</v>
      </c>
      <c r="D40" s="33" t="s">
        <v>8</v>
      </c>
      <c r="E40" s="34">
        <v>1</v>
      </c>
      <c r="F40" s="34">
        <v>35965</v>
      </c>
      <c r="G40" s="34">
        <v>35965</v>
      </c>
      <c r="I40" s="25">
        <v>35302</v>
      </c>
    </row>
    <row r="41" spans="2:9" ht="18.75">
      <c r="B41" s="31" t="s">
        <v>181</v>
      </c>
      <c r="C41" s="32" t="s">
        <v>182</v>
      </c>
      <c r="D41" s="33" t="s">
        <v>8</v>
      </c>
      <c r="E41" s="34">
        <v>1</v>
      </c>
      <c r="F41" s="34">
        <v>44956</v>
      </c>
      <c r="G41" s="34">
        <v>44956</v>
      </c>
      <c r="I41" s="25">
        <v>44128</v>
      </c>
    </row>
    <row r="42" spans="2:9" ht="18.75">
      <c r="B42" s="31" t="s">
        <v>183</v>
      </c>
      <c r="C42" s="32" t="s">
        <v>132</v>
      </c>
      <c r="D42" s="33" t="s">
        <v>8</v>
      </c>
      <c r="E42" s="34">
        <v>1</v>
      </c>
      <c r="F42" s="34">
        <v>19631</v>
      </c>
      <c r="G42" s="34">
        <v>19631</v>
      </c>
      <c r="I42" s="25">
        <v>19269</v>
      </c>
    </row>
    <row r="43" spans="2:9" ht="18.75">
      <c r="B43" s="31" t="s">
        <v>184</v>
      </c>
      <c r="C43" s="32" t="s">
        <v>185</v>
      </c>
      <c r="D43" s="33" t="s">
        <v>8</v>
      </c>
      <c r="E43" s="34">
        <v>1</v>
      </c>
      <c r="F43" s="34">
        <v>314693</v>
      </c>
      <c r="G43" s="34">
        <v>314693</v>
      </c>
      <c r="I43" s="25">
        <v>308895</v>
      </c>
    </row>
    <row r="44" spans="2:9" ht="18.75">
      <c r="B44" s="31" t="s">
        <v>186</v>
      </c>
      <c r="C44" s="32" t="s">
        <v>187</v>
      </c>
      <c r="D44" s="33" t="s">
        <v>8</v>
      </c>
      <c r="E44" s="34">
        <v>1</v>
      </c>
      <c r="F44" s="34">
        <v>22478</v>
      </c>
      <c r="G44" s="34">
        <v>22478</v>
      </c>
      <c r="I44" s="25">
        <v>22064</v>
      </c>
    </row>
    <row r="45" spans="2:9" ht="18.75">
      <c r="B45" s="31" t="s">
        <v>188</v>
      </c>
      <c r="C45" s="32" t="s">
        <v>189</v>
      </c>
      <c r="D45" s="33" t="s">
        <v>8</v>
      </c>
      <c r="E45" s="34">
        <v>1</v>
      </c>
      <c r="F45" s="34">
        <v>246667</v>
      </c>
      <c r="G45" s="34">
        <v>246667</v>
      </c>
      <c r="I45" s="25">
        <v>242122</v>
      </c>
    </row>
    <row r="46" spans="2:9">
      <c r="C46" s="32" t="s">
        <v>190</v>
      </c>
      <c r="G46" s="34">
        <f>SUM(G7:G45)</f>
        <v>9675610</v>
      </c>
    </row>
  </sheetData>
  <mergeCells count="2">
    <mergeCell ref="C3:E3"/>
    <mergeCell ref="C4:E4"/>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2D7DC-9714-4A2E-B42A-5E9A8CB0B571}">
  <sheetPr codeName="工作表2"/>
  <dimension ref="A1:S300"/>
  <sheetViews>
    <sheetView showGridLines="0" zoomScaleNormal="100" workbookViewId="0">
      <pane xSplit="3" ySplit="1" topLeftCell="D16" activePane="bottomRight" state="frozen"/>
      <selection activeCell="G36" sqref="B1:J60"/>
      <selection pane="topRight" activeCell="G36" sqref="B1:J60"/>
      <selection pane="bottomLeft" activeCell="G36" sqref="B1:J60"/>
      <selection pane="bottomRight" activeCell="P17" sqref="P17"/>
    </sheetView>
  </sheetViews>
  <sheetFormatPr defaultColWidth="8.75" defaultRowHeight="34.700000000000003" customHeight="1"/>
  <cols>
    <col min="1" max="1" width="18.5" style="218" customWidth="1"/>
    <col min="2" max="3" width="3.875" style="219" customWidth="1"/>
    <col min="4" max="5" width="5.125" style="220" customWidth="1"/>
    <col min="6" max="7" width="8.125" style="220" hidden="1" customWidth="1"/>
    <col min="8" max="8" width="5.875" style="220" customWidth="1"/>
    <col min="9" max="9" width="6.875" style="220" customWidth="1"/>
    <col min="10" max="10" width="4.375" style="220" customWidth="1"/>
    <col min="11" max="11" width="8.125" style="220" hidden="1" customWidth="1"/>
    <col min="12" max="12" width="4.375" style="220" customWidth="1"/>
    <col min="13" max="13" width="5.375" style="220" customWidth="1"/>
    <col min="14" max="15" width="8.125" style="221" hidden="1" customWidth="1"/>
    <col min="16" max="16" width="21.5" style="222" customWidth="1"/>
    <col min="17" max="17" width="19.125" style="221" customWidth="1"/>
    <col min="18" max="18" width="63.75" style="223" customWidth="1"/>
    <col min="19" max="19" width="212.25" style="217" customWidth="1"/>
    <col min="20" max="16384" width="8.75" style="13"/>
  </cols>
  <sheetData>
    <row r="1" spans="1:19" s="225" customFormat="1" ht="51.6" customHeight="1" thickBot="1">
      <c r="A1" s="233" t="s">
        <v>27</v>
      </c>
      <c r="B1" s="226" t="s">
        <v>191</v>
      </c>
      <c r="C1" s="227" t="s">
        <v>192</v>
      </c>
      <c r="D1" s="228" t="s">
        <v>193</v>
      </c>
      <c r="E1" s="228" t="s">
        <v>194</v>
      </c>
      <c r="F1" s="228" t="s">
        <v>195</v>
      </c>
      <c r="G1" s="228"/>
      <c r="H1" s="229" t="s">
        <v>196</v>
      </c>
      <c r="I1" s="229" t="s">
        <v>197</v>
      </c>
      <c r="J1" s="229" t="s">
        <v>198</v>
      </c>
      <c r="K1" s="229"/>
      <c r="L1" s="229" t="s">
        <v>199</v>
      </c>
      <c r="M1" s="229" t="s">
        <v>200</v>
      </c>
      <c r="N1" s="230" t="s">
        <v>201</v>
      </c>
      <c r="O1" s="230"/>
      <c r="P1" s="231" t="s">
        <v>202</v>
      </c>
      <c r="Q1" s="231" t="s">
        <v>11</v>
      </c>
      <c r="R1" s="232" t="s">
        <v>203</v>
      </c>
      <c r="S1" s="224"/>
    </row>
    <row r="2" spans="1:19" ht="27" customHeight="1">
      <c r="A2" s="210">
        <v>46246</v>
      </c>
      <c r="B2" s="211" t="s">
        <v>238</v>
      </c>
      <c r="C2" s="211" t="s">
        <v>238</v>
      </c>
      <c r="D2" s="213">
        <v>0</v>
      </c>
      <c r="E2" s="213">
        <v>1</v>
      </c>
      <c r="F2" s="213"/>
      <c r="G2" s="213"/>
      <c r="H2" s="213">
        <v>1</v>
      </c>
      <c r="I2" s="213"/>
      <c r="J2" s="213"/>
      <c r="K2" s="213"/>
      <c r="L2" s="213"/>
      <c r="M2" s="213"/>
      <c r="N2" s="213"/>
      <c r="O2" s="213"/>
      <c r="P2" s="214"/>
      <c r="Q2" s="215"/>
      <c r="R2" s="216" t="s">
        <v>239</v>
      </c>
    </row>
    <row r="3" spans="1:19" ht="27" customHeight="1">
      <c r="A3" s="210">
        <v>46247</v>
      </c>
      <c r="B3" s="211" t="s">
        <v>238</v>
      </c>
      <c r="C3" s="211" t="s">
        <v>238</v>
      </c>
      <c r="D3" s="213">
        <v>2</v>
      </c>
      <c r="E3" s="213">
        <v>3</v>
      </c>
      <c r="F3" s="213"/>
      <c r="G3" s="213"/>
      <c r="H3" s="213">
        <v>1</v>
      </c>
      <c r="I3" s="213"/>
      <c r="J3" s="213"/>
      <c r="K3" s="213"/>
      <c r="L3" s="213"/>
      <c r="M3" s="213"/>
      <c r="N3" s="213"/>
      <c r="O3" s="213"/>
      <c r="P3" s="214"/>
      <c r="Q3" s="215"/>
      <c r="R3" s="216" t="s">
        <v>241</v>
      </c>
    </row>
    <row r="4" spans="1:19" ht="27" customHeight="1">
      <c r="A4" s="210">
        <v>46248</v>
      </c>
      <c r="B4" s="211" t="s">
        <v>238</v>
      </c>
      <c r="C4" s="211" t="s">
        <v>238</v>
      </c>
      <c r="D4" s="213">
        <v>2</v>
      </c>
      <c r="E4" s="213">
        <v>3</v>
      </c>
      <c r="F4" s="213"/>
      <c r="G4" s="213"/>
      <c r="H4" s="213">
        <v>1</v>
      </c>
      <c r="I4" s="213"/>
      <c r="J4" s="213"/>
      <c r="K4" s="213"/>
      <c r="L4" s="213"/>
      <c r="M4" s="213"/>
      <c r="N4" s="213"/>
      <c r="O4" s="213"/>
      <c r="P4" s="214"/>
      <c r="Q4" s="215"/>
      <c r="R4" s="216" t="s">
        <v>241</v>
      </c>
    </row>
    <row r="5" spans="1:19" ht="27" customHeight="1">
      <c r="A5" s="210">
        <v>46249</v>
      </c>
      <c r="B5" s="211" t="s">
        <v>238</v>
      </c>
      <c r="C5" s="211" t="s">
        <v>238</v>
      </c>
      <c r="D5" s="213">
        <v>2</v>
      </c>
      <c r="E5" s="213">
        <v>3</v>
      </c>
      <c r="F5" s="213"/>
      <c r="G5" s="213"/>
      <c r="H5" s="213">
        <v>1</v>
      </c>
      <c r="I5" s="213"/>
      <c r="J5" s="213"/>
      <c r="K5" s="213"/>
      <c r="L5" s="213"/>
      <c r="M5" s="213"/>
      <c r="N5" s="213"/>
      <c r="O5" s="213"/>
      <c r="P5" s="214"/>
      <c r="Q5" s="215"/>
      <c r="R5" s="216" t="s">
        <v>241</v>
      </c>
    </row>
    <row r="6" spans="1:19" ht="27" customHeight="1">
      <c r="A6" s="210">
        <v>46250</v>
      </c>
      <c r="B6" s="211" t="s">
        <v>238</v>
      </c>
      <c r="C6" s="211" t="s">
        <v>238</v>
      </c>
      <c r="D6" s="213">
        <v>2</v>
      </c>
      <c r="E6" s="213">
        <v>3</v>
      </c>
      <c r="F6" s="213"/>
      <c r="G6" s="213"/>
      <c r="H6" s="213">
        <v>1</v>
      </c>
      <c r="I6" s="213"/>
      <c r="J6" s="213"/>
      <c r="K6" s="213"/>
      <c r="L6" s="213"/>
      <c r="M6" s="213"/>
      <c r="N6" s="213"/>
      <c r="O6" s="213"/>
      <c r="P6" s="214"/>
      <c r="Q6" s="215"/>
      <c r="R6" s="216" t="s">
        <v>241</v>
      </c>
    </row>
    <row r="7" spans="1:19" ht="27" customHeight="1">
      <c r="A7" s="210">
        <v>46251</v>
      </c>
      <c r="B7" s="211" t="s">
        <v>238</v>
      </c>
      <c r="C7" s="211" t="s">
        <v>238</v>
      </c>
      <c r="D7" s="213">
        <v>2</v>
      </c>
      <c r="E7" s="213">
        <v>3</v>
      </c>
      <c r="F7" s="213"/>
      <c r="G7" s="213"/>
      <c r="H7" s="213">
        <v>1</v>
      </c>
      <c r="I7" s="213"/>
      <c r="J7" s="213"/>
      <c r="K7" s="213"/>
      <c r="L7" s="213"/>
      <c r="M7" s="213"/>
      <c r="N7" s="213"/>
      <c r="O7" s="213"/>
      <c r="P7" s="214"/>
      <c r="Q7" s="215"/>
      <c r="R7" s="216" t="s">
        <v>241</v>
      </c>
    </row>
    <row r="8" spans="1:19" ht="27" customHeight="1">
      <c r="A8" s="210">
        <v>46252</v>
      </c>
      <c r="B8" s="211" t="s">
        <v>238</v>
      </c>
      <c r="C8" s="211" t="s">
        <v>238</v>
      </c>
      <c r="D8" s="213">
        <v>2</v>
      </c>
      <c r="E8" s="213">
        <v>3</v>
      </c>
      <c r="F8" s="213"/>
      <c r="G8" s="213"/>
      <c r="H8" s="213">
        <v>1</v>
      </c>
      <c r="I8" s="213"/>
      <c r="J8" s="213"/>
      <c r="K8" s="213"/>
      <c r="L8" s="213"/>
      <c r="M8" s="213"/>
      <c r="N8" s="213"/>
      <c r="O8" s="213"/>
      <c r="P8" s="214"/>
      <c r="Q8" s="215"/>
      <c r="R8" s="216" t="s">
        <v>241</v>
      </c>
    </row>
    <row r="9" spans="1:19" ht="27" customHeight="1">
      <c r="A9" s="210">
        <v>46253</v>
      </c>
      <c r="B9" s="211" t="s">
        <v>238</v>
      </c>
      <c r="C9" s="211" t="s">
        <v>238</v>
      </c>
      <c r="D9" s="213">
        <v>2</v>
      </c>
      <c r="E9" s="213">
        <v>3</v>
      </c>
      <c r="F9" s="213"/>
      <c r="G9" s="213"/>
      <c r="H9" s="213">
        <v>1</v>
      </c>
      <c r="I9" s="213"/>
      <c r="J9" s="213"/>
      <c r="K9" s="213"/>
      <c r="L9" s="213"/>
      <c r="M9" s="213"/>
      <c r="N9" s="213"/>
      <c r="O9" s="213"/>
      <c r="P9" s="214"/>
      <c r="Q9" s="215"/>
      <c r="R9" s="216" t="s">
        <v>241</v>
      </c>
    </row>
    <row r="10" spans="1:19" ht="27" customHeight="1">
      <c r="A10" s="210">
        <v>46254</v>
      </c>
      <c r="B10" s="211" t="s">
        <v>238</v>
      </c>
      <c r="C10" s="211" t="s">
        <v>238</v>
      </c>
      <c r="D10" s="213">
        <v>2</v>
      </c>
      <c r="E10" s="213">
        <v>3</v>
      </c>
      <c r="F10" s="213"/>
      <c r="G10" s="213"/>
      <c r="H10" s="213">
        <v>1</v>
      </c>
      <c r="I10" s="213"/>
      <c r="J10" s="213"/>
      <c r="K10" s="213"/>
      <c r="L10" s="213"/>
      <c r="M10" s="213"/>
      <c r="N10" s="213"/>
      <c r="O10" s="213"/>
      <c r="P10" s="214"/>
      <c r="Q10" s="215"/>
      <c r="R10" s="216" t="s">
        <v>241</v>
      </c>
    </row>
    <row r="11" spans="1:19" ht="27" customHeight="1">
      <c r="A11" s="210">
        <v>46255</v>
      </c>
      <c r="B11" s="211" t="s">
        <v>238</v>
      </c>
      <c r="C11" s="211" t="s">
        <v>238</v>
      </c>
      <c r="D11" s="213">
        <v>2</v>
      </c>
      <c r="E11" s="213">
        <v>3</v>
      </c>
      <c r="F11" s="213"/>
      <c r="G11" s="213"/>
      <c r="H11" s="213">
        <v>1</v>
      </c>
      <c r="I11" s="213"/>
      <c r="J11" s="213"/>
      <c r="K11" s="213"/>
      <c r="L11" s="213"/>
      <c r="M11" s="213"/>
      <c r="N11" s="213"/>
      <c r="O11" s="213"/>
      <c r="P11" s="214"/>
      <c r="Q11" s="215"/>
      <c r="R11" s="216" t="s">
        <v>241</v>
      </c>
    </row>
    <row r="12" spans="1:19" ht="27" customHeight="1">
      <c r="A12" s="210">
        <v>46256</v>
      </c>
      <c r="B12" s="211" t="s">
        <v>238</v>
      </c>
      <c r="C12" s="211" t="s">
        <v>238</v>
      </c>
      <c r="D12" s="213">
        <v>2</v>
      </c>
      <c r="E12" s="213">
        <v>3</v>
      </c>
      <c r="F12" s="213"/>
      <c r="G12" s="213"/>
      <c r="H12" s="213">
        <v>1</v>
      </c>
      <c r="I12" s="213"/>
      <c r="J12" s="213"/>
      <c r="K12" s="213"/>
      <c r="L12" s="213"/>
      <c r="M12" s="213"/>
      <c r="N12" s="213"/>
      <c r="O12" s="213"/>
      <c r="P12" s="214"/>
      <c r="Q12" s="215"/>
      <c r="R12" s="216" t="s">
        <v>241</v>
      </c>
    </row>
    <row r="13" spans="1:19" ht="27" customHeight="1">
      <c r="A13" s="210">
        <v>46257</v>
      </c>
      <c r="B13" s="211" t="s">
        <v>238</v>
      </c>
      <c r="C13" s="211" t="s">
        <v>238</v>
      </c>
      <c r="D13" s="213">
        <v>2</v>
      </c>
      <c r="E13" s="213">
        <v>3</v>
      </c>
      <c r="F13" s="213"/>
      <c r="G13" s="213"/>
      <c r="H13" s="213">
        <v>1</v>
      </c>
      <c r="I13" s="213"/>
      <c r="J13" s="213"/>
      <c r="K13" s="213"/>
      <c r="L13" s="213"/>
      <c r="M13" s="213"/>
      <c r="N13" s="213"/>
      <c r="O13" s="213"/>
      <c r="P13" s="214"/>
      <c r="Q13" s="215"/>
      <c r="R13" s="216" t="s">
        <v>241</v>
      </c>
    </row>
    <row r="14" spans="1:19" ht="27" customHeight="1">
      <c r="A14" s="210">
        <v>46258</v>
      </c>
      <c r="B14" s="211" t="s">
        <v>238</v>
      </c>
      <c r="C14" s="211" t="s">
        <v>238</v>
      </c>
      <c r="D14" s="213">
        <v>2</v>
      </c>
      <c r="E14" s="213">
        <v>3</v>
      </c>
      <c r="F14" s="213"/>
      <c r="G14" s="213"/>
      <c r="H14" s="213">
        <v>1</v>
      </c>
      <c r="I14" s="213"/>
      <c r="J14" s="213"/>
      <c r="K14" s="213"/>
      <c r="L14" s="213"/>
      <c r="M14" s="213"/>
      <c r="N14" s="213"/>
      <c r="O14" s="213"/>
      <c r="P14" s="214"/>
      <c r="Q14" s="215"/>
      <c r="R14" s="216" t="s">
        <v>241</v>
      </c>
    </row>
    <row r="15" spans="1:19" ht="27" customHeight="1">
      <c r="A15" s="210">
        <v>46259</v>
      </c>
      <c r="B15" s="211" t="s">
        <v>238</v>
      </c>
      <c r="C15" s="211" t="s">
        <v>238</v>
      </c>
      <c r="D15" s="213">
        <v>2</v>
      </c>
      <c r="E15" s="213">
        <v>3</v>
      </c>
      <c r="F15" s="213"/>
      <c r="G15" s="213"/>
      <c r="H15" s="213">
        <v>1</v>
      </c>
      <c r="I15" s="213"/>
      <c r="J15" s="213"/>
      <c r="K15" s="213"/>
      <c r="L15" s="213"/>
      <c r="M15" s="213"/>
      <c r="N15" s="213"/>
      <c r="O15" s="213"/>
      <c r="P15" s="214"/>
      <c r="Q15" s="215"/>
      <c r="R15" s="216" t="s">
        <v>241</v>
      </c>
    </row>
    <row r="16" spans="1:19" ht="27" customHeight="1">
      <c r="A16" s="210">
        <v>46260</v>
      </c>
      <c r="B16" s="211" t="s">
        <v>238</v>
      </c>
      <c r="C16" s="211" t="s">
        <v>238</v>
      </c>
      <c r="D16" s="213">
        <v>2</v>
      </c>
      <c r="E16" s="213">
        <v>3</v>
      </c>
      <c r="F16" s="213"/>
      <c r="G16" s="213"/>
      <c r="H16" s="213">
        <v>1</v>
      </c>
      <c r="I16" s="213"/>
      <c r="J16" s="213"/>
      <c r="K16" s="213"/>
      <c r="L16" s="213"/>
      <c r="M16" s="213"/>
      <c r="N16" s="213"/>
      <c r="O16" s="213"/>
      <c r="P16" s="214"/>
      <c r="Q16" s="215"/>
      <c r="R16" s="216" t="s">
        <v>241</v>
      </c>
    </row>
    <row r="17" spans="1:18" ht="27" customHeight="1">
      <c r="A17" s="210">
        <v>46261</v>
      </c>
      <c r="B17" s="211" t="s">
        <v>238</v>
      </c>
      <c r="C17" s="211" t="s">
        <v>238</v>
      </c>
      <c r="D17" s="213">
        <v>2</v>
      </c>
      <c r="E17" s="213">
        <v>3</v>
      </c>
      <c r="F17" s="213"/>
      <c r="G17" s="213"/>
      <c r="H17" s="213">
        <v>1</v>
      </c>
      <c r="I17" s="213"/>
      <c r="J17" s="213"/>
      <c r="K17" s="213"/>
      <c r="L17" s="213"/>
      <c r="M17" s="213"/>
      <c r="N17" s="213"/>
      <c r="O17" s="213"/>
      <c r="P17" s="214"/>
      <c r="Q17" s="215"/>
      <c r="R17" s="216" t="s">
        <v>241</v>
      </c>
    </row>
    <row r="18" spans="1:18" ht="27" customHeight="1">
      <c r="A18" s="210">
        <v>46262</v>
      </c>
      <c r="B18" s="211" t="s">
        <v>238</v>
      </c>
      <c r="C18" s="211" t="s">
        <v>238</v>
      </c>
      <c r="D18" s="213">
        <v>2</v>
      </c>
      <c r="E18" s="213">
        <v>3</v>
      </c>
      <c r="F18" s="213"/>
      <c r="G18" s="213"/>
      <c r="H18" s="213">
        <v>1</v>
      </c>
      <c r="I18" s="213"/>
      <c r="J18" s="213"/>
      <c r="K18" s="213"/>
      <c r="L18" s="213"/>
      <c r="M18" s="213"/>
      <c r="N18" s="213"/>
      <c r="O18" s="213"/>
      <c r="P18" s="214"/>
      <c r="Q18" s="215"/>
      <c r="R18" s="216" t="s">
        <v>241</v>
      </c>
    </row>
    <row r="19" spans="1:18" ht="27" customHeight="1">
      <c r="A19" s="210">
        <v>46263</v>
      </c>
      <c r="B19" s="211" t="s">
        <v>238</v>
      </c>
      <c r="C19" s="211" t="s">
        <v>238</v>
      </c>
      <c r="D19" s="213">
        <v>2</v>
      </c>
      <c r="E19" s="213">
        <v>3</v>
      </c>
      <c r="F19" s="213"/>
      <c r="G19" s="213"/>
      <c r="H19" s="213">
        <v>1</v>
      </c>
      <c r="I19" s="213"/>
      <c r="J19" s="213"/>
      <c r="K19" s="213"/>
      <c r="L19" s="213"/>
      <c r="M19" s="213"/>
      <c r="N19" s="213"/>
      <c r="O19" s="213"/>
      <c r="P19" s="214"/>
      <c r="Q19" s="215"/>
      <c r="R19" s="216" t="s">
        <v>241</v>
      </c>
    </row>
    <row r="20" spans="1:18" ht="27" customHeight="1">
      <c r="A20" s="210">
        <v>46264</v>
      </c>
      <c r="B20" s="211" t="s">
        <v>238</v>
      </c>
      <c r="C20" s="211" t="s">
        <v>238</v>
      </c>
      <c r="D20" s="213">
        <v>2</v>
      </c>
      <c r="E20" s="213">
        <v>3</v>
      </c>
      <c r="F20" s="213"/>
      <c r="G20" s="213"/>
      <c r="H20" s="213">
        <v>1</v>
      </c>
      <c r="I20" s="213"/>
      <c r="J20" s="213"/>
      <c r="K20" s="213"/>
      <c r="L20" s="213"/>
      <c r="M20" s="213"/>
      <c r="N20" s="213"/>
      <c r="O20" s="213"/>
      <c r="P20" s="214"/>
      <c r="Q20" s="215"/>
      <c r="R20" s="216" t="s">
        <v>241</v>
      </c>
    </row>
    <row r="21" spans="1:18" ht="27" customHeight="1">
      <c r="A21" s="210">
        <v>46265</v>
      </c>
      <c r="B21" s="211" t="s">
        <v>238</v>
      </c>
      <c r="C21" s="211" t="s">
        <v>238</v>
      </c>
      <c r="D21" s="213">
        <v>2</v>
      </c>
      <c r="E21" s="213">
        <v>3</v>
      </c>
      <c r="F21" s="213"/>
      <c r="G21" s="213"/>
      <c r="H21" s="213">
        <v>1</v>
      </c>
      <c r="I21" s="213"/>
      <c r="J21" s="213"/>
      <c r="K21" s="213"/>
      <c r="L21" s="213"/>
      <c r="M21" s="213"/>
      <c r="N21" s="213"/>
      <c r="O21" s="213"/>
      <c r="P21" s="214"/>
      <c r="Q21" s="215"/>
      <c r="R21" s="216" t="s">
        <v>241</v>
      </c>
    </row>
    <row r="22" spans="1:18" ht="27" customHeight="1">
      <c r="A22" s="210">
        <v>46266</v>
      </c>
      <c r="B22" s="211" t="s">
        <v>238</v>
      </c>
      <c r="C22" s="211" t="s">
        <v>238</v>
      </c>
      <c r="D22" s="213"/>
      <c r="E22" s="213"/>
      <c r="F22" s="213"/>
      <c r="G22" s="213"/>
      <c r="H22" s="213"/>
      <c r="I22" s="213"/>
      <c r="J22" s="213"/>
      <c r="K22" s="213"/>
      <c r="L22" s="213"/>
      <c r="M22" s="213"/>
      <c r="N22" s="213"/>
      <c r="O22" s="213"/>
      <c r="P22" s="214"/>
      <c r="Q22" s="215" t="s">
        <v>242</v>
      </c>
      <c r="R22" s="216" t="s">
        <v>242</v>
      </c>
    </row>
    <row r="23" spans="1:18" ht="27" customHeight="1">
      <c r="A23" s="210">
        <v>46267</v>
      </c>
      <c r="B23" s="211" t="s">
        <v>238</v>
      </c>
      <c r="C23" s="211" t="s">
        <v>238</v>
      </c>
      <c r="D23" s="213"/>
      <c r="E23" s="213"/>
      <c r="F23" s="213"/>
      <c r="G23" s="213"/>
      <c r="H23" s="213"/>
      <c r="I23" s="213"/>
      <c r="J23" s="213"/>
      <c r="K23" s="213"/>
      <c r="L23" s="213"/>
      <c r="M23" s="213"/>
      <c r="N23" s="213"/>
      <c r="O23" s="213"/>
      <c r="P23" s="214"/>
      <c r="Q23" s="215"/>
      <c r="R23" s="216"/>
    </row>
    <row r="24" spans="1:18" ht="27" customHeight="1">
      <c r="A24" s="210">
        <v>46268</v>
      </c>
      <c r="B24" s="211" t="s">
        <v>238</v>
      </c>
      <c r="C24" s="211" t="s">
        <v>238</v>
      </c>
      <c r="D24" s="213"/>
      <c r="E24" s="213"/>
      <c r="F24" s="213"/>
      <c r="G24" s="213"/>
      <c r="H24" s="213"/>
      <c r="I24" s="213"/>
      <c r="J24" s="213"/>
      <c r="K24" s="213"/>
      <c r="L24" s="213"/>
      <c r="M24" s="213"/>
      <c r="N24" s="213"/>
      <c r="O24" s="213"/>
      <c r="P24" s="214"/>
      <c r="Q24" s="215"/>
      <c r="R24" s="216"/>
    </row>
    <row r="25" spans="1:18" ht="27" customHeight="1">
      <c r="A25" s="210">
        <v>46269</v>
      </c>
      <c r="B25" s="211"/>
      <c r="C25" s="212"/>
      <c r="D25" s="213"/>
      <c r="E25" s="213"/>
      <c r="F25" s="213"/>
      <c r="G25" s="213"/>
      <c r="H25" s="213"/>
      <c r="I25" s="213"/>
      <c r="J25" s="213"/>
      <c r="K25" s="213"/>
      <c r="L25" s="213"/>
      <c r="M25" s="213"/>
      <c r="N25" s="213"/>
      <c r="O25" s="213"/>
      <c r="P25" s="214"/>
      <c r="Q25" s="215"/>
      <c r="R25" s="216"/>
    </row>
    <row r="26" spans="1:18" ht="27" customHeight="1">
      <c r="A26" s="210">
        <v>46270</v>
      </c>
      <c r="B26" s="211"/>
      <c r="C26" s="212"/>
      <c r="D26" s="213"/>
      <c r="E26" s="213"/>
      <c r="F26" s="213"/>
      <c r="G26" s="213"/>
      <c r="H26" s="213"/>
      <c r="I26" s="213"/>
      <c r="J26" s="213"/>
      <c r="K26" s="213"/>
      <c r="L26" s="213"/>
      <c r="M26" s="213"/>
      <c r="N26" s="213"/>
      <c r="O26" s="213"/>
      <c r="P26" s="214"/>
      <c r="Q26" s="215"/>
      <c r="R26" s="216"/>
    </row>
    <row r="27" spans="1:18" ht="27" customHeight="1">
      <c r="A27" s="210">
        <v>46271</v>
      </c>
      <c r="B27" s="211"/>
      <c r="C27" s="212"/>
      <c r="D27" s="213"/>
      <c r="E27" s="213"/>
      <c r="F27" s="213"/>
      <c r="G27" s="213"/>
      <c r="H27" s="213"/>
      <c r="I27" s="213"/>
      <c r="J27" s="213"/>
      <c r="K27" s="213"/>
      <c r="L27" s="213"/>
      <c r="M27" s="213"/>
      <c r="N27" s="213"/>
      <c r="O27" s="213"/>
      <c r="P27" s="214"/>
      <c r="Q27" s="215"/>
      <c r="R27" s="216"/>
    </row>
    <row r="28" spans="1:18" ht="27" customHeight="1">
      <c r="A28" s="210">
        <v>46272</v>
      </c>
      <c r="B28" s="211"/>
      <c r="C28" s="212"/>
      <c r="D28" s="213"/>
      <c r="E28" s="213"/>
      <c r="F28" s="213"/>
      <c r="G28" s="213"/>
      <c r="H28" s="213"/>
      <c r="I28" s="213"/>
      <c r="J28" s="213"/>
      <c r="K28" s="213"/>
      <c r="L28" s="213"/>
      <c r="M28" s="213"/>
      <c r="N28" s="213"/>
      <c r="O28" s="213"/>
      <c r="P28" s="214"/>
      <c r="Q28" s="215"/>
      <c r="R28" s="216"/>
    </row>
    <row r="29" spans="1:18" ht="27" customHeight="1">
      <c r="A29" s="210">
        <v>46273</v>
      </c>
      <c r="B29" s="211"/>
      <c r="C29" s="212"/>
      <c r="D29" s="213"/>
      <c r="E29" s="213"/>
      <c r="F29" s="213"/>
      <c r="G29" s="213"/>
      <c r="H29" s="213"/>
      <c r="I29" s="213"/>
      <c r="J29" s="213"/>
      <c r="K29" s="213"/>
      <c r="L29" s="213"/>
      <c r="M29" s="213"/>
      <c r="N29" s="213"/>
      <c r="O29" s="213"/>
      <c r="P29" s="214"/>
      <c r="Q29" s="215"/>
      <c r="R29" s="216"/>
    </row>
    <row r="30" spans="1:18" ht="27" customHeight="1">
      <c r="A30" s="210">
        <v>46274</v>
      </c>
      <c r="B30" s="211"/>
      <c r="C30" s="212"/>
      <c r="D30" s="213"/>
      <c r="E30" s="213"/>
      <c r="F30" s="213"/>
      <c r="G30" s="213"/>
      <c r="H30" s="213"/>
      <c r="I30" s="213"/>
      <c r="J30" s="213"/>
      <c r="K30" s="213"/>
      <c r="L30" s="213"/>
      <c r="M30" s="213"/>
      <c r="N30" s="213"/>
      <c r="O30" s="213"/>
      <c r="P30" s="214"/>
      <c r="Q30" s="215"/>
      <c r="R30" s="216"/>
    </row>
    <row r="31" spans="1:18" ht="27" customHeight="1">
      <c r="A31" s="210">
        <v>46275</v>
      </c>
      <c r="B31" s="211"/>
      <c r="C31" s="212"/>
      <c r="D31" s="213"/>
      <c r="E31" s="213"/>
      <c r="F31" s="213"/>
      <c r="G31" s="213"/>
      <c r="H31" s="213"/>
      <c r="I31" s="213"/>
      <c r="J31" s="213"/>
      <c r="K31" s="213"/>
      <c r="L31" s="213"/>
      <c r="M31" s="213"/>
      <c r="N31" s="213"/>
      <c r="O31" s="213"/>
      <c r="P31" s="214"/>
      <c r="Q31" s="215"/>
      <c r="R31" s="216"/>
    </row>
    <row r="32" spans="1:18" ht="27" customHeight="1">
      <c r="A32" s="210">
        <v>46276</v>
      </c>
      <c r="B32" s="211"/>
      <c r="C32" s="212"/>
      <c r="D32" s="213"/>
      <c r="E32" s="213"/>
      <c r="F32" s="213"/>
      <c r="G32" s="213"/>
      <c r="H32" s="213"/>
      <c r="I32" s="213"/>
      <c r="J32" s="213"/>
      <c r="K32" s="213"/>
      <c r="L32" s="213"/>
      <c r="M32" s="213"/>
      <c r="N32" s="213"/>
      <c r="O32" s="213"/>
      <c r="P32" s="214"/>
      <c r="Q32" s="215"/>
      <c r="R32" s="216"/>
    </row>
    <row r="33" spans="1:18" ht="27" customHeight="1">
      <c r="A33" s="210">
        <v>46277</v>
      </c>
      <c r="B33" s="211"/>
      <c r="C33" s="212"/>
      <c r="D33" s="213"/>
      <c r="E33" s="213"/>
      <c r="F33" s="213"/>
      <c r="G33" s="213"/>
      <c r="H33" s="213"/>
      <c r="I33" s="213"/>
      <c r="J33" s="213"/>
      <c r="K33" s="213"/>
      <c r="L33" s="213"/>
      <c r="M33" s="213"/>
      <c r="N33" s="213"/>
      <c r="O33" s="213"/>
      <c r="P33" s="214"/>
      <c r="Q33" s="215"/>
      <c r="R33" s="216"/>
    </row>
    <row r="34" spans="1:18" ht="27" customHeight="1">
      <c r="A34" s="210">
        <v>46278</v>
      </c>
      <c r="B34" s="211"/>
      <c r="C34" s="212"/>
      <c r="D34" s="213"/>
      <c r="E34" s="213"/>
      <c r="F34" s="213"/>
      <c r="G34" s="213"/>
      <c r="H34" s="213"/>
      <c r="I34" s="213"/>
      <c r="J34" s="213"/>
      <c r="K34" s="213"/>
      <c r="L34" s="213"/>
      <c r="M34" s="213"/>
      <c r="N34" s="213"/>
      <c r="O34" s="213"/>
      <c r="P34" s="214"/>
      <c r="Q34" s="215"/>
      <c r="R34" s="216"/>
    </row>
    <row r="35" spans="1:18" ht="27" customHeight="1">
      <c r="A35" s="210">
        <v>46279</v>
      </c>
      <c r="B35" s="211"/>
      <c r="C35" s="212"/>
      <c r="D35" s="213"/>
      <c r="E35" s="213"/>
      <c r="F35" s="213"/>
      <c r="G35" s="213"/>
      <c r="H35" s="213"/>
      <c r="I35" s="213"/>
      <c r="J35" s="213"/>
      <c r="K35" s="213"/>
      <c r="L35" s="213"/>
      <c r="M35" s="213"/>
      <c r="N35" s="213"/>
      <c r="O35" s="213"/>
      <c r="P35" s="214"/>
      <c r="Q35" s="215"/>
      <c r="R35" s="216"/>
    </row>
    <row r="36" spans="1:18" ht="27" customHeight="1">
      <c r="A36" s="210">
        <v>46280</v>
      </c>
      <c r="B36" s="211"/>
      <c r="C36" s="212"/>
      <c r="D36" s="213"/>
      <c r="E36" s="213"/>
      <c r="F36" s="213"/>
      <c r="G36" s="213"/>
      <c r="H36" s="213"/>
      <c r="I36" s="213"/>
      <c r="J36" s="213"/>
      <c r="K36" s="213"/>
      <c r="L36" s="213"/>
      <c r="M36" s="213"/>
      <c r="N36" s="213"/>
      <c r="O36" s="213"/>
      <c r="P36" s="214"/>
      <c r="Q36" s="215"/>
      <c r="R36" s="216"/>
    </row>
    <row r="37" spans="1:18" ht="27" customHeight="1">
      <c r="A37" s="210">
        <v>46281</v>
      </c>
      <c r="B37" s="211"/>
      <c r="C37" s="212"/>
      <c r="D37" s="213"/>
      <c r="E37" s="213"/>
      <c r="F37" s="213"/>
      <c r="G37" s="213"/>
      <c r="H37" s="213"/>
      <c r="I37" s="213"/>
      <c r="J37" s="213"/>
      <c r="K37" s="213"/>
      <c r="L37" s="213"/>
      <c r="M37" s="213"/>
      <c r="N37" s="213"/>
      <c r="O37" s="213"/>
      <c r="P37" s="214"/>
      <c r="Q37" s="215"/>
      <c r="R37" s="216"/>
    </row>
    <row r="38" spans="1:18" ht="27" customHeight="1">
      <c r="A38" s="210">
        <v>46282</v>
      </c>
      <c r="B38" s="211"/>
      <c r="C38" s="212"/>
      <c r="D38" s="213"/>
      <c r="E38" s="213"/>
      <c r="F38" s="213"/>
      <c r="G38" s="213"/>
      <c r="H38" s="213"/>
      <c r="I38" s="213"/>
      <c r="J38" s="213"/>
      <c r="K38" s="213"/>
      <c r="L38" s="213"/>
      <c r="M38" s="213"/>
      <c r="N38" s="213"/>
      <c r="O38" s="213"/>
      <c r="P38" s="214"/>
      <c r="Q38" s="215"/>
      <c r="R38" s="216"/>
    </row>
    <row r="39" spans="1:18" ht="27" customHeight="1">
      <c r="A39" s="210">
        <v>46283</v>
      </c>
      <c r="B39" s="211"/>
      <c r="C39" s="212"/>
      <c r="D39" s="213"/>
      <c r="E39" s="213"/>
      <c r="F39" s="213"/>
      <c r="G39" s="213"/>
      <c r="H39" s="213"/>
      <c r="I39" s="213"/>
      <c r="J39" s="213"/>
      <c r="K39" s="213"/>
      <c r="L39" s="213"/>
      <c r="M39" s="213"/>
      <c r="N39" s="213"/>
      <c r="O39" s="213"/>
      <c r="P39" s="214"/>
      <c r="Q39" s="215"/>
      <c r="R39" s="216"/>
    </row>
    <row r="40" spans="1:18" ht="27" customHeight="1">
      <c r="A40" s="210">
        <v>46284</v>
      </c>
      <c r="B40" s="211"/>
      <c r="C40" s="212"/>
      <c r="D40" s="213"/>
      <c r="E40" s="213"/>
      <c r="F40" s="213"/>
      <c r="G40" s="213"/>
      <c r="H40" s="213"/>
      <c r="I40" s="213"/>
      <c r="J40" s="213"/>
      <c r="K40" s="213"/>
      <c r="L40" s="213"/>
      <c r="M40" s="213"/>
      <c r="N40" s="213"/>
      <c r="O40" s="213"/>
      <c r="P40" s="214"/>
      <c r="Q40" s="215"/>
      <c r="R40" s="216"/>
    </row>
    <row r="41" spans="1:18" ht="27" customHeight="1">
      <c r="A41" s="210">
        <v>46285</v>
      </c>
      <c r="B41" s="211"/>
      <c r="C41" s="212"/>
      <c r="D41" s="213"/>
      <c r="E41" s="213"/>
      <c r="F41" s="213"/>
      <c r="G41" s="213"/>
      <c r="H41" s="213"/>
      <c r="I41" s="213"/>
      <c r="J41" s="213"/>
      <c r="K41" s="213"/>
      <c r="L41" s="213"/>
      <c r="M41" s="213"/>
      <c r="N41" s="213"/>
      <c r="O41" s="213"/>
      <c r="P41" s="214"/>
      <c r="Q41" s="215"/>
      <c r="R41" s="216"/>
    </row>
    <row r="42" spans="1:18" ht="27" customHeight="1">
      <c r="A42" s="210">
        <v>46286</v>
      </c>
      <c r="B42" s="211"/>
      <c r="C42" s="212"/>
      <c r="D42" s="213"/>
      <c r="E42" s="213"/>
      <c r="F42" s="213"/>
      <c r="G42" s="213"/>
      <c r="H42" s="213"/>
      <c r="I42" s="213"/>
      <c r="J42" s="213"/>
      <c r="K42" s="213"/>
      <c r="L42" s="213"/>
      <c r="M42" s="213"/>
      <c r="N42" s="213"/>
      <c r="O42" s="213"/>
      <c r="P42" s="214"/>
      <c r="Q42" s="215"/>
      <c r="R42" s="216"/>
    </row>
    <row r="43" spans="1:18" ht="27" customHeight="1">
      <c r="A43" s="210">
        <v>46287</v>
      </c>
      <c r="B43" s="211"/>
      <c r="C43" s="212"/>
      <c r="D43" s="213"/>
      <c r="E43" s="213"/>
      <c r="F43" s="213"/>
      <c r="G43" s="213"/>
      <c r="H43" s="213"/>
      <c r="I43" s="213"/>
      <c r="J43" s="213"/>
      <c r="K43" s="213"/>
      <c r="L43" s="213"/>
      <c r="M43" s="213"/>
      <c r="N43" s="213"/>
      <c r="O43" s="213"/>
      <c r="P43" s="214"/>
      <c r="Q43" s="215"/>
      <c r="R43" s="216"/>
    </row>
    <row r="44" spans="1:18" ht="27" customHeight="1">
      <c r="A44" s="210">
        <v>46288</v>
      </c>
      <c r="B44" s="211"/>
      <c r="C44" s="212"/>
      <c r="D44" s="213"/>
      <c r="E44" s="213"/>
      <c r="F44" s="213"/>
      <c r="G44" s="213"/>
      <c r="H44" s="213"/>
      <c r="I44" s="213"/>
      <c r="J44" s="213"/>
      <c r="K44" s="213"/>
      <c r="L44" s="213"/>
      <c r="M44" s="213"/>
      <c r="N44" s="213"/>
      <c r="O44" s="213"/>
      <c r="P44" s="214"/>
      <c r="Q44" s="215"/>
      <c r="R44" s="216"/>
    </row>
    <row r="45" spans="1:18" ht="27" customHeight="1">
      <c r="A45" s="210">
        <v>46289</v>
      </c>
      <c r="B45" s="211"/>
      <c r="C45" s="212"/>
      <c r="D45" s="213"/>
      <c r="E45" s="213"/>
      <c r="F45" s="213"/>
      <c r="G45" s="213"/>
      <c r="H45" s="213"/>
      <c r="I45" s="213"/>
      <c r="J45" s="213"/>
      <c r="K45" s="213"/>
      <c r="L45" s="213"/>
      <c r="M45" s="213"/>
      <c r="N45" s="213"/>
      <c r="O45" s="213"/>
      <c r="P45" s="214"/>
      <c r="Q45" s="215"/>
      <c r="R45" s="216"/>
    </row>
    <row r="46" spans="1:18" ht="27" customHeight="1">
      <c r="A46" s="210">
        <v>46290</v>
      </c>
      <c r="B46" s="211"/>
      <c r="C46" s="212"/>
      <c r="D46" s="213"/>
      <c r="E46" s="213"/>
      <c r="F46" s="213"/>
      <c r="G46" s="213"/>
      <c r="H46" s="213"/>
      <c r="I46" s="213"/>
      <c r="J46" s="213"/>
      <c r="K46" s="213"/>
      <c r="L46" s="213"/>
      <c r="M46" s="213"/>
      <c r="N46" s="213"/>
      <c r="O46" s="213"/>
      <c r="P46" s="214"/>
      <c r="Q46" s="215"/>
      <c r="R46" s="216"/>
    </row>
    <row r="47" spans="1:18" ht="27" customHeight="1">
      <c r="A47" s="210">
        <v>46291</v>
      </c>
      <c r="B47" s="211"/>
      <c r="C47" s="212"/>
      <c r="D47" s="213"/>
      <c r="E47" s="213"/>
      <c r="F47" s="213"/>
      <c r="G47" s="213"/>
      <c r="H47" s="213"/>
      <c r="I47" s="213"/>
      <c r="J47" s="213"/>
      <c r="K47" s="213"/>
      <c r="L47" s="213"/>
      <c r="M47" s="213"/>
      <c r="N47" s="213"/>
      <c r="O47" s="213"/>
      <c r="P47" s="214"/>
      <c r="Q47" s="215"/>
      <c r="R47" s="216"/>
    </row>
    <row r="48" spans="1:18" ht="27" customHeight="1">
      <c r="A48" s="210">
        <v>46292</v>
      </c>
      <c r="B48" s="211"/>
      <c r="C48" s="212"/>
      <c r="D48" s="213"/>
      <c r="E48" s="213"/>
      <c r="F48" s="213"/>
      <c r="G48" s="213"/>
      <c r="H48" s="213"/>
      <c r="I48" s="213"/>
      <c r="J48" s="213"/>
      <c r="K48" s="213"/>
      <c r="L48" s="213"/>
      <c r="M48" s="213"/>
      <c r="N48" s="213"/>
      <c r="O48" s="213"/>
      <c r="P48" s="214"/>
      <c r="Q48" s="215"/>
      <c r="R48" s="216"/>
    </row>
    <row r="49" spans="1:18" ht="27" customHeight="1">
      <c r="A49" s="210">
        <v>46293</v>
      </c>
      <c r="B49" s="211"/>
      <c r="C49" s="212"/>
      <c r="D49" s="213"/>
      <c r="E49" s="213"/>
      <c r="F49" s="213"/>
      <c r="G49" s="213"/>
      <c r="H49" s="213"/>
      <c r="I49" s="213"/>
      <c r="J49" s="213"/>
      <c r="K49" s="213"/>
      <c r="L49" s="213"/>
      <c r="M49" s="213"/>
      <c r="N49" s="213"/>
      <c r="O49" s="213"/>
      <c r="P49" s="214"/>
      <c r="Q49" s="215"/>
      <c r="R49" s="216"/>
    </row>
    <row r="50" spans="1:18" ht="27" customHeight="1">
      <c r="A50" s="210">
        <v>46294</v>
      </c>
      <c r="B50" s="211"/>
      <c r="C50" s="212"/>
      <c r="D50" s="213"/>
      <c r="E50" s="213"/>
      <c r="F50" s="213"/>
      <c r="G50" s="213"/>
      <c r="H50" s="213"/>
      <c r="I50" s="213"/>
      <c r="J50" s="213"/>
      <c r="K50" s="213"/>
      <c r="L50" s="213"/>
      <c r="M50" s="213"/>
      <c r="N50" s="213"/>
      <c r="O50" s="213"/>
      <c r="P50" s="214"/>
      <c r="Q50" s="215"/>
      <c r="R50" s="216"/>
    </row>
    <row r="51" spans="1:18" ht="27" customHeight="1">
      <c r="A51" s="210">
        <v>46295</v>
      </c>
      <c r="B51" s="211"/>
      <c r="C51" s="212"/>
      <c r="D51" s="213"/>
      <c r="E51" s="213"/>
      <c r="F51" s="213"/>
      <c r="G51" s="213"/>
      <c r="H51" s="213"/>
      <c r="I51" s="213"/>
      <c r="J51" s="213"/>
      <c r="K51" s="213"/>
      <c r="L51" s="213"/>
      <c r="M51" s="213"/>
      <c r="N51" s="213"/>
      <c r="O51" s="213"/>
      <c r="P51" s="214"/>
      <c r="Q51" s="215"/>
      <c r="R51" s="216"/>
    </row>
    <row r="52" spans="1:18" ht="27" customHeight="1">
      <c r="A52" s="210">
        <v>46296</v>
      </c>
      <c r="B52" s="211"/>
      <c r="C52" s="212"/>
      <c r="D52" s="213"/>
      <c r="E52" s="213"/>
      <c r="F52" s="213"/>
      <c r="G52" s="213"/>
      <c r="H52" s="213"/>
      <c r="I52" s="213"/>
      <c r="J52" s="213"/>
      <c r="K52" s="213"/>
      <c r="L52" s="213"/>
      <c r="M52" s="213"/>
      <c r="N52" s="213"/>
      <c r="O52" s="213"/>
      <c r="P52" s="214"/>
      <c r="Q52" s="215"/>
      <c r="R52" s="216"/>
    </row>
    <row r="53" spans="1:18" ht="27" customHeight="1">
      <c r="A53" s="210">
        <v>46297</v>
      </c>
      <c r="B53" s="211"/>
      <c r="C53" s="212"/>
      <c r="D53" s="213"/>
      <c r="E53" s="213"/>
      <c r="F53" s="213"/>
      <c r="G53" s="213"/>
      <c r="H53" s="213"/>
      <c r="I53" s="213"/>
      <c r="J53" s="213"/>
      <c r="K53" s="213"/>
      <c r="L53" s="213"/>
      <c r="M53" s="213"/>
      <c r="N53" s="213"/>
      <c r="O53" s="213"/>
      <c r="P53" s="214"/>
      <c r="Q53" s="215"/>
      <c r="R53" s="216"/>
    </row>
    <row r="54" spans="1:18" ht="27" customHeight="1">
      <c r="A54" s="210">
        <v>46298</v>
      </c>
      <c r="B54" s="211"/>
      <c r="C54" s="212"/>
      <c r="D54" s="213"/>
      <c r="E54" s="213"/>
      <c r="F54" s="213"/>
      <c r="G54" s="213"/>
      <c r="H54" s="213"/>
      <c r="I54" s="213"/>
      <c r="J54" s="213"/>
      <c r="K54" s="213"/>
      <c r="L54" s="213"/>
      <c r="M54" s="213"/>
      <c r="N54" s="213"/>
      <c r="O54" s="213"/>
      <c r="P54" s="214"/>
      <c r="Q54" s="215"/>
      <c r="R54" s="216"/>
    </row>
    <row r="55" spans="1:18" ht="27" customHeight="1">
      <c r="A55" s="210">
        <v>46299</v>
      </c>
      <c r="B55" s="211"/>
      <c r="C55" s="212"/>
      <c r="D55" s="213"/>
      <c r="E55" s="213"/>
      <c r="F55" s="213"/>
      <c r="G55" s="213"/>
      <c r="H55" s="213"/>
      <c r="I55" s="213"/>
      <c r="J55" s="213"/>
      <c r="K55" s="213"/>
      <c r="L55" s="213"/>
      <c r="M55" s="213"/>
      <c r="N55" s="213"/>
      <c r="O55" s="213"/>
      <c r="P55" s="214"/>
      <c r="Q55" s="215"/>
      <c r="R55" s="216"/>
    </row>
    <row r="56" spans="1:18" ht="27" customHeight="1">
      <c r="A56" s="210">
        <v>46300</v>
      </c>
      <c r="B56" s="211"/>
      <c r="C56" s="212"/>
      <c r="D56" s="213"/>
      <c r="E56" s="213"/>
      <c r="F56" s="213"/>
      <c r="G56" s="213"/>
      <c r="H56" s="213"/>
      <c r="I56" s="213"/>
      <c r="J56" s="213"/>
      <c r="K56" s="213"/>
      <c r="L56" s="213"/>
      <c r="M56" s="213"/>
      <c r="N56" s="213"/>
      <c r="O56" s="213"/>
      <c r="P56" s="214"/>
      <c r="Q56" s="215"/>
      <c r="R56" s="216"/>
    </row>
    <row r="57" spans="1:18" ht="27" customHeight="1">
      <c r="A57" s="210">
        <v>46301</v>
      </c>
      <c r="B57" s="211"/>
      <c r="C57" s="212"/>
      <c r="D57" s="213"/>
      <c r="E57" s="213"/>
      <c r="F57" s="213"/>
      <c r="G57" s="213"/>
      <c r="H57" s="213"/>
      <c r="I57" s="213"/>
      <c r="J57" s="213"/>
      <c r="K57" s="213"/>
      <c r="L57" s="213"/>
      <c r="M57" s="213"/>
      <c r="N57" s="213"/>
      <c r="O57" s="213"/>
      <c r="P57" s="214"/>
      <c r="Q57" s="215"/>
      <c r="R57" s="216"/>
    </row>
    <row r="58" spans="1:18" ht="27" customHeight="1">
      <c r="A58" s="210">
        <v>46302</v>
      </c>
      <c r="B58" s="211"/>
      <c r="C58" s="212"/>
      <c r="D58" s="213"/>
      <c r="E58" s="213"/>
      <c r="F58" s="213"/>
      <c r="G58" s="213"/>
      <c r="H58" s="213"/>
      <c r="I58" s="213"/>
      <c r="J58" s="213"/>
      <c r="K58" s="213"/>
      <c r="L58" s="213"/>
      <c r="M58" s="213"/>
      <c r="N58" s="213"/>
      <c r="O58" s="213"/>
      <c r="P58" s="214"/>
      <c r="Q58" s="215"/>
      <c r="R58" s="216"/>
    </row>
    <row r="59" spans="1:18" ht="27" customHeight="1">
      <c r="A59" s="210">
        <v>46303</v>
      </c>
      <c r="B59" s="211"/>
      <c r="C59" s="212"/>
      <c r="D59" s="213"/>
      <c r="E59" s="213"/>
      <c r="F59" s="213"/>
      <c r="G59" s="213"/>
      <c r="H59" s="213"/>
      <c r="I59" s="213"/>
      <c r="J59" s="213"/>
      <c r="K59" s="213"/>
      <c r="L59" s="213"/>
      <c r="M59" s="213"/>
      <c r="N59" s="213"/>
      <c r="O59" s="213"/>
      <c r="P59" s="214"/>
      <c r="Q59" s="215"/>
      <c r="R59" s="216"/>
    </row>
    <row r="60" spans="1:18" ht="27" customHeight="1">
      <c r="A60" s="210">
        <v>46304</v>
      </c>
      <c r="B60" s="211"/>
      <c r="C60" s="212"/>
      <c r="D60" s="213"/>
      <c r="E60" s="213"/>
      <c r="F60" s="213"/>
      <c r="G60" s="213"/>
      <c r="H60" s="213"/>
      <c r="I60" s="213"/>
      <c r="J60" s="213"/>
      <c r="K60" s="213"/>
      <c r="L60" s="213"/>
      <c r="M60" s="213"/>
      <c r="N60" s="213"/>
      <c r="O60" s="213"/>
      <c r="P60" s="214"/>
      <c r="Q60" s="215"/>
      <c r="R60" s="216"/>
    </row>
    <row r="61" spans="1:18" ht="27" customHeight="1">
      <c r="A61" s="210">
        <v>46305</v>
      </c>
      <c r="B61" s="211"/>
      <c r="C61" s="212"/>
      <c r="D61" s="213"/>
      <c r="E61" s="213"/>
      <c r="F61" s="213"/>
      <c r="G61" s="213"/>
      <c r="H61" s="213"/>
      <c r="I61" s="213"/>
      <c r="J61" s="213"/>
      <c r="K61" s="213"/>
      <c r="L61" s="213"/>
      <c r="M61" s="213"/>
      <c r="N61" s="213"/>
      <c r="O61" s="213"/>
      <c r="P61" s="214"/>
      <c r="Q61" s="215"/>
      <c r="R61" s="216"/>
    </row>
    <row r="62" spans="1:18" ht="27" customHeight="1">
      <c r="A62" s="210">
        <v>46306</v>
      </c>
      <c r="B62" s="211"/>
      <c r="C62" s="212"/>
      <c r="D62" s="213"/>
      <c r="E62" s="213"/>
      <c r="F62" s="213"/>
      <c r="G62" s="213"/>
      <c r="H62" s="213"/>
      <c r="I62" s="213"/>
      <c r="J62" s="213"/>
      <c r="K62" s="213"/>
      <c r="L62" s="213"/>
      <c r="M62" s="213"/>
      <c r="N62" s="213"/>
      <c r="O62" s="213"/>
      <c r="P62" s="214"/>
      <c r="Q62" s="215"/>
      <c r="R62" s="216"/>
    </row>
    <row r="63" spans="1:18" ht="27" customHeight="1">
      <c r="A63" s="210">
        <v>46307</v>
      </c>
      <c r="B63" s="211"/>
      <c r="C63" s="212"/>
      <c r="D63" s="213"/>
      <c r="E63" s="213"/>
      <c r="F63" s="213"/>
      <c r="G63" s="213"/>
      <c r="H63" s="213"/>
      <c r="I63" s="213"/>
      <c r="J63" s="213"/>
      <c r="K63" s="213"/>
      <c r="L63" s="213"/>
      <c r="M63" s="213"/>
      <c r="N63" s="213"/>
      <c r="O63" s="213"/>
      <c r="P63" s="214"/>
      <c r="Q63" s="215"/>
      <c r="R63" s="216"/>
    </row>
    <row r="64" spans="1:18" ht="27" customHeight="1">
      <c r="A64" s="210">
        <v>46308</v>
      </c>
      <c r="B64" s="211"/>
      <c r="C64" s="212"/>
      <c r="D64" s="213"/>
      <c r="E64" s="213"/>
      <c r="F64" s="213"/>
      <c r="G64" s="213"/>
      <c r="H64" s="213"/>
      <c r="I64" s="213"/>
      <c r="J64" s="213"/>
      <c r="K64" s="213"/>
      <c r="L64" s="213"/>
      <c r="M64" s="213"/>
      <c r="N64" s="213"/>
      <c r="O64" s="213"/>
      <c r="P64" s="214"/>
      <c r="Q64" s="215"/>
      <c r="R64" s="216"/>
    </row>
    <row r="65" spans="1:18" ht="27" customHeight="1">
      <c r="A65" s="210">
        <v>46309</v>
      </c>
      <c r="B65" s="211"/>
      <c r="C65" s="212"/>
      <c r="D65" s="213"/>
      <c r="E65" s="213"/>
      <c r="F65" s="213"/>
      <c r="G65" s="213"/>
      <c r="H65" s="213"/>
      <c r="I65" s="213"/>
      <c r="J65" s="213"/>
      <c r="K65" s="213"/>
      <c r="L65" s="213"/>
      <c r="M65" s="213"/>
      <c r="N65" s="213"/>
      <c r="O65" s="213"/>
      <c r="P65" s="214"/>
      <c r="Q65" s="215"/>
      <c r="R65" s="216"/>
    </row>
    <row r="66" spans="1:18" ht="27" customHeight="1">
      <c r="A66" s="210">
        <v>46310</v>
      </c>
      <c r="B66" s="211"/>
      <c r="C66" s="212"/>
      <c r="D66" s="213"/>
      <c r="E66" s="213"/>
      <c r="F66" s="213"/>
      <c r="G66" s="213"/>
      <c r="H66" s="213"/>
      <c r="I66" s="213"/>
      <c r="J66" s="213"/>
      <c r="K66" s="213"/>
      <c r="L66" s="213"/>
      <c r="M66" s="213"/>
      <c r="N66" s="213"/>
      <c r="O66" s="213"/>
      <c r="P66" s="214"/>
      <c r="Q66" s="215"/>
      <c r="R66" s="216"/>
    </row>
    <row r="67" spans="1:18" ht="27" customHeight="1">
      <c r="A67" s="210">
        <v>46311</v>
      </c>
      <c r="B67" s="211"/>
      <c r="C67" s="212"/>
      <c r="D67" s="213"/>
      <c r="E67" s="213"/>
      <c r="F67" s="213"/>
      <c r="G67" s="213"/>
      <c r="H67" s="213"/>
      <c r="I67" s="213"/>
      <c r="J67" s="213"/>
      <c r="K67" s="213"/>
      <c r="L67" s="213"/>
      <c r="M67" s="213"/>
      <c r="N67" s="213"/>
      <c r="O67" s="213"/>
      <c r="P67" s="214"/>
      <c r="Q67" s="215"/>
      <c r="R67" s="216"/>
    </row>
    <row r="68" spans="1:18" ht="27" customHeight="1">
      <c r="A68" s="210">
        <v>46312</v>
      </c>
      <c r="B68" s="211"/>
      <c r="C68" s="212"/>
      <c r="D68" s="213"/>
      <c r="E68" s="213"/>
      <c r="F68" s="213"/>
      <c r="G68" s="213"/>
      <c r="H68" s="213"/>
      <c r="I68" s="213"/>
      <c r="J68" s="213"/>
      <c r="K68" s="213"/>
      <c r="L68" s="213"/>
      <c r="M68" s="213"/>
      <c r="N68" s="213"/>
      <c r="O68" s="213"/>
      <c r="P68" s="214"/>
      <c r="Q68" s="215"/>
      <c r="R68" s="216"/>
    </row>
    <row r="69" spans="1:18" ht="27" customHeight="1">
      <c r="A69" s="210">
        <v>46313</v>
      </c>
      <c r="B69" s="211"/>
      <c r="C69" s="212"/>
      <c r="D69" s="213"/>
      <c r="E69" s="213"/>
      <c r="F69" s="213"/>
      <c r="G69" s="213"/>
      <c r="H69" s="213"/>
      <c r="I69" s="213"/>
      <c r="J69" s="213"/>
      <c r="K69" s="213"/>
      <c r="L69" s="213"/>
      <c r="M69" s="213"/>
      <c r="N69" s="213"/>
      <c r="O69" s="213"/>
      <c r="P69" s="214"/>
      <c r="Q69" s="215"/>
      <c r="R69" s="216"/>
    </row>
    <row r="70" spans="1:18" ht="27" customHeight="1">
      <c r="A70" s="210">
        <v>46314</v>
      </c>
      <c r="B70" s="211"/>
      <c r="C70" s="212"/>
      <c r="D70" s="213"/>
      <c r="E70" s="213"/>
      <c r="F70" s="213"/>
      <c r="G70" s="213"/>
      <c r="H70" s="213"/>
      <c r="I70" s="213"/>
      <c r="J70" s="213"/>
      <c r="K70" s="213"/>
      <c r="L70" s="213"/>
      <c r="M70" s="213"/>
      <c r="N70" s="213"/>
      <c r="O70" s="213"/>
      <c r="P70" s="214"/>
      <c r="Q70" s="215"/>
      <c r="R70" s="216"/>
    </row>
    <row r="71" spans="1:18" ht="27" customHeight="1">
      <c r="A71" s="210">
        <v>46315</v>
      </c>
      <c r="B71" s="211"/>
      <c r="C71" s="212"/>
      <c r="D71" s="213"/>
      <c r="E71" s="213"/>
      <c r="F71" s="213"/>
      <c r="G71" s="213"/>
      <c r="H71" s="213"/>
      <c r="I71" s="213"/>
      <c r="J71" s="213"/>
      <c r="K71" s="213"/>
      <c r="L71" s="213"/>
      <c r="M71" s="213"/>
      <c r="N71" s="213"/>
      <c r="O71" s="213"/>
      <c r="P71" s="214"/>
      <c r="Q71" s="215"/>
      <c r="R71" s="216"/>
    </row>
    <row r="72" spans="1:18" ht="27" customHeight="1">
      <c r="A72" s="210">
        <v>46316</v>
      </c>
      <c r="B72" s="211"/>
      <c r="C72" s="212"/>
      <c r="D72" s="213"/>
      <c r="E72" s="213"/>
      <c r="F72" s="213"/>
      <c r="G72" s="213"/>
      <c r="H72" s="213"/>
      <c r="I72" s="213"/>
      <c r="J72" s="213"/>
      <c r="K72" s="213"/>
      <c r="L72" s="213"/>
      <c r="M72" s="213"/>
      <c r="N72" s="213"/>
      <c r="O72" s="213"/>
      <c r="P72" s="214"/>
      <c r="Q72" s="215"/>
      <c r="R72" s="216"/>
    </row>
    <row r="73" spans="1:18" ht="27" customHeight="1">
      <c r="A73" s="210">
        <v>46317</v>
      </c>
      <c r="B73" s="211"/>
      <c r="C73" s="212"/>
      <c r="D73" s="213"/>
      <c r="E73" s="213"/>
      <c r="F73" s="213"/>
      <c r="G73" s="213"/>
      <c r="H73" s="213"/>
      <c r="I73" s="213"/>
      <c r="J73" s="213"/>
      <c r="K73" s="213"/>
      <c r="L73" s="213"/>
      <c r="M73" s="213"/>
      <c r="N73" s="213"/>
      <c r="O73" s="213"/>
      <c r="P73" s="214"/>
      <c r="Q73" s="215"/>
      <c r="R73" s="216"/>
    </row>
    <row r="74" spans="1:18" ht="27" customHeight="1">
      <c r="A74" s="210">
        <v>46318</v>
      </c>
      <c r="B74" s="211"/>
      <c r="C74" s="212"/>
      <c r="D74" s="213"/>
      <c r="E74" s="213"/>
      <c r="F74" s="213"/>
      <c r="G74" s="213"/>
      <c r="H74" s="213"/>
      <c r="I74" s="213"/>
      <c r="J74" s="213"/>
      <c r="K74" s="213"/>
      <c r="L74" s="213"/>
      <c r="M74" s="213"/>
      <c r="N74" s="213"/>
      <c r="O74" s="213"/>
      <c r="P74" s="214"/>
      <c r="Q74" s="215"/>
      <c r="R74" s="216"/>
    </row>
    <row r="75" spans="1:18" ht="27" customHeight="1">
      <c r="A75" s="210">
        <v>46319</v>
      </c>
      <c r="B75" s="211"/>
      <c r="C75" s="212"/>
      <c r="D75" s="213"/>
      <c r="E75" s="213"/>
      <c r="F75" s="213"/>
      <c r="G75" s="213"/>
      <c r="H75" s="213"/>
      <c r="I75" s="213"/>
      <c r="J75" s="213"/>
      <c r="K75" s="213"/>
      <c r="L75" s="213"/>
      <c r="M75" s="213"/>
      <c r="N75" s="213"/>
      <c r="O75" s="213"/>
      <c r="P75" s="214"/>
      <c r="Q75" s="215"/>
      <c r="R75" s="216"/>
    </row>
    <row r="76" spans="1:18" ht="27" customHeight="1">
      <c r="A76" s="210">
        <v>46320</v>
      </c>
      <c r="B76" s="211"/>
      <c r="C76" s="212"/>
      <c r="D76" s="213"/>
      <c r="E76" s="213"/>
      <c r="F76" s="213"/>
      <c r="G76" s="213"/>
      <c r="H76" s="213"/>
      <c r="I76" s="213"/>
      <c r="J76" s="213"/>
      <c r="K76" s="213"/>
      <c r="L76" s="213"/>
      <c r="M76" s="213"/>
      <c r="N76" s="213"/>
      <c r="O76" s="213"/>
      <c r="P76" s="214"/>
      <c r="Q76" s="215"/>
      <c r="R76" s="216"/>
    </row>
    <row r="77" spans="1:18" ht="27" customHeight="1">
      <c r="A77" s="210">
        <v>46321</v>
      </c>
      <c r="B77" s="211"/>
      <c r="C77" s="212"/>
      <c r="D77" s="213"/>
      <c r="E77" s="213"/>
      <c r="F77" s="213"/>
      <c r="G77" s="213"/>
      <c r="H77" s="213"/>
      <c r="I77" s="213"/>
      <c r="J77" s="213"/>
      <c r="K77" s="213"/>
      <c r="L77" s="213"/>
      <c r="M77" s="213"/>
      <c r="N77" s="213"/>
      <c r="O77" s="213"/>
      <c r="P77" s="214"/>
      <c r="Q77" s="215"/>
      <c r="R77" s="216"/>
    </row>
    <row r="78" spans="1:18" ht="27" customHeight="1">
      <c r="A78" s="210">
        <v>46322</v>
      </c>
      <c r="B78" s="211"/>
      <c r="C78" s="212"/>
      <c r="D78" s="213"/>
      <c r="E78" s="213"/>
      <c r="F78" s="213"/>
      <c r="G78" s="213"/>
      <c r="H78" s="213"/>
      <c r="I78" s="213"/>
      <c r="J78" s="213"/>
      <c r="K78" s="213"/>
      <c r="L78" s="213"/>
      <c r="M78" s="213"/>
      <c r="N78" s="213"/>
      <c r="O78" s="213"/>
      <c r="P78" s="214"/>
      <c r="Q78" s="215"/>
      <c r="R78" s="216"/>
    </row>
    <row r="79" spans="1:18" ht="27" customHeight="1">
      <c r="A79" s="210">
        <v>46323</v>
      </c>
      <c r="B79" s="211"/>
      <c r="C79" s="212"/>
      <c r="D79" s="213"/>
      <c r="E79" s="213"/>
      <c r="F79" s="213"/>
      <c r="G79" s="213"/>
      <c r="H79" s="213"/>
      <c r="I79" s="213"/>
      <c r="J79" s="213"/>
      <c r="K79" s="213"/>
      <c r="L79" s="213"/>
      <c r="M79" s="213"/>
      <c r="N79" s="213"/>
      <c r="O79" s="213"/>
      <c r="P79" s="214"/>
      <c r="Q79" s="215"/>
      <c r="R79" s="216"/>
    </row>
    <row r="80" spans="1:18" ht="27" customHeight="1">
      <c r="A80" s="210">
        <v>46324</v>
      </c>
      <c r="B80" s="211"/>
      <c r="C80" s="212"/>
      <c r="D80" s="213"/>
      <c r="E80" s="213"/>
      <c r="F80" s="213"/>
      <c r="G80" s="213"/>
      <c r="H80" s="213"/>
      <c r="I80" s="213"/>
      <c r="J80" s="213"/>
      <c r="K80" s="213"/>
      <c r="L80" s="213"/>
      <c r="M80" s="213"/>
      <c r="N80" s="213"/>
      <c r="O80" s="213"/>
      <c r="P80" s="214"/>
      <c r="Q80" s="215"/>
      <c r="R80" s="216"/>
    </row>
    <row r="81" spans="1:18" ht="27" customHeight="1">
      <c r="A81" s="210">
        <v>46325</v>
      </c>
      <c r="B81" s="211"/>
      <c r="C81" s="212"/>
      <c r="D81" s="213"/>
      <c r="E81" s="213"/>
      <c r="F81" s="213"/>
      <c r="G81" s="213"/>
      <c r="H81" s="213"/>
      <c r="I81" s="213"/>
      <c r="J81" s="213"/>
      <c r="K81" s="213"/>
      <c r="L81" s="213"/>
      <c r="M81" s="213"/>
      <c r="N81" s="213"/>
      <c r="O81" s="213"/>
      <c r="P81" s="214"/>
      <c r="Q81" s="215"/>
      <c r="R81" s="216"/>
    </row>
    <row r="82" spans="1:18" ht="27" customHeight="1">
      <c r="A82" s="210">
        <v>46326</v>
      </c>
      <c r="B82" s="211"/>
      <c r="C82" s="212"/>
      <c r="D82" s="213"/>
      <c r="E82" s="213"/>
      <c r="F82" s="213"/>
      <c r="G82" s="213"/>
      <c r="H82" s="213"/>
      <c r="I82" s="213"/>
      <c r="J82" s="213"/>
      <c r="K82" s="213"/>
      <c r="L82" s="213"/>
      <c r="M82" s="213"/>
      <c r="N82" s="213"/>
      <c r="O82" s="213"/>
      <c r="P82" s="214"/>
      <c r="Q82" s="215"/>
      <c r="R82" s="216"/>
    </row>
    <row r="83" spans="1:18" ht="27" customHeight="1">
      <c r="A83" s="210">
        <v>46327</v>
      </c>
      <c r="B83" s="211"/>
      <c r="C83" s="212"/>
      <c r="D83" s="213"/>
      <c r="E83" s="213"/>
      <c r="F83" s="213"/>
      <c r="G83" s="213"/>
      <c r="H83" s="213"/>
      <c r="I83" s="213"/>
      <c r="J83" s="213"/>
      <c r="K83" s="213"/>
      <c r="L83" s="213"/>
      <c r="M83" s="213"/>
      <c r="N83" s="213"/>
      <c r="O83" s="213"/>
      <c r="P83" s="214"/>
      <c r="Q83" s="215"/>
      <c r="R83" s="216"/>
    </row>
    <row r="84" spans="1:18" ht="27" customHeight="1">
      <c r="A84" s="210">
        <v>46328</v>
      </c>
      <c r="B84" s="211"/>
      <c r="C84" s="212"/>
      <c r="D84" s="213"/>
      <c r="E84" s="213"/>
      <c r="F84" s="213"/>
      <c r="G84" s="213"/>
      <c r="H84" s="213"/>
      <c r="I84" s="213"/>
      <c r="J84" s="213"/>
      <c r="K84" s="213"/>
      <c r="L84" s="213"/>
      <c r="M84" s="213"/>
      <c r="N84" s="213"/>
      <c r="O84" s="213"/>
      <c r="P84" s="214"/>
      <c r="Q84" s="215"/>
      <c r="R84" s="216"/>
    </row>
    <row r="85" spans="1:18" ht="27" customHeight="1">
      <c r="A85" s="210">
        <v>46329</v>
      </c>
      <c r="B85" s="211"/>
      <c r="C85" s="212"/>
      <c r="D85" s="213"/>
      <c r="E85" s="213"/>
      <c r="F85" s="213"/>
      <c r="G85" s="213"/>
      <c r="H85" s="213"/>
      <c r="I85" s="213"/>
      <c r="J85" s="213"/>
      <c r="K85" s="213"/>
      <c r="L85" s="213"/>
      <c r="M85" s="213"/>
      <c r="N85" s="213"/>
      <c r="O85" s="213"/>
      <c r="P85" s="214"/>
      <c r="Q85" s="215"/>
      <c r="R85" s="216"/>
    </row>
    <row r="86" spans="1:18" ht="27" customHeight="1">
      <c r="A86" s="210">
        <v>46330</v>
      </c>
      <c r="B86" s="211"/>
      <c r="C86" s="212"/>
      <c r="D86" s="213"/>
      <c r="E86" s="213"/>
      <c r="F86" s="213"/>
      <c r="G86" s="213"/>
      <c r="H86" s="213"/>
      <c r="I86" s="213"/>
      <c r="J86" s="213"/>
      <c r="K86" s="213"/>
      <c r="L86" s="213"/>
      <c r="M86" s="213"/>
      <c r="N86" s="213"/>
      <c r="O86" s="213"/>
      <c r="P86" s="214"/>
      <c r="Q86" s="215"/>
      <c r="R86" s="216"/>
    </row>
    <row r="87" spans="1:18" ht="27" customHeight="1">
      <c r="A87" s="210">
        <v>46331</v>
      </c>
      <c r="B87" s="211"/>
      <c r="C87" s="212"/>
      <c r="D87" s="213"/>
      <c r="E87" s="213"/>
      <c r="F87" s="213"/>
      <c r="G87" s="213"/>
      <c r="H87" s="213"/>
      <c r="I87" s="213"/>
      <c r="J87" s="213"/>
      <c r="K87" s="213"/>
      <c r="L87" s="213"/>
      <c r="M87" s="213"/>
      <c r="N87" s="213"/>
      <c r="O87" s="213"/>
      <c r="P87" s="214"/>
      <c r="Q87" s="215"/>
      <c r="R87" s="216"/>
    </row>
    <row r="88" spans="1:18" ht="27" customHeight="1">
      <c r="A88" s="210">
        <v>46332</v>
      </c>
      <c r="B88" s="211"/>
      <c r="C88" s="212"/>
      <c r="D88" s="213"/>
      <c r="E88" s="213"/>
      <c r="F88" s="213"/>
      <c r="G88" s="213"/>
      <c r="H88" s="213"/>
      <c r="I88" s="213"/>
      <c r="J88" s="213"/>
      <c r="K88" s="213"/>
      <c r="L88" s="213"/>
      <c r="M88" s="213"/>
      <c r="N88" s="213"/>
      <c r="O88" s="213"/>
      <c r="P88" s="214"/>
      <c r="Q88" s="215"/>
      <c r="R88" s="216"/>
    </row>
    <row r="89" spans="1:18" ht="27" customHeight="1">
      <c r="A89" s="210">
        <v>46333</v>
      </c>
      <c r="B89" s="211"/>
      <c r="C89" s="212"/>
      <c r="D89" s="213"/>
      <c r="E89" s="213"/>
      <c r="F89" s="213"/>
      <c r="G89" s="213"/>
      <c r="H89" s="213"/>
      <c r="I89" s="213"/>
      <c r="J89" s="213"/>
      <c r="K89" s="213"/>
      <c r="L89" s="213"/>
      <c r="M89" s="213"/>
      <c r="N89" s="213"/>
      <c r="O89" s="213"/>
      <c r="P89" s="214"/>
      <c r="Q89" s="215"/>
      <c r="R89" s="216"/>
    </row>
    <row r="90" spans="1:18" ht="27" customHeight="1">
      <c r="A90" s="210">
        <v>46334</v>
      </c>
      <c r="B90" s="211"/>
      <c r="C90" s="212"/>
      <c r="D90" s="213"/>
      <c r="E90" s="213"/>
      <c r="F90" s="213"/>
      <c r="G90" s="213"/>
      <c r="H90" s="213"/>
      <c r="I90" s="213"/>
      <c r="J90" s="213"/>
      <c r="K90" s="213"/>
      <c r="L90" s="213"/>
      <c r="M90" s="213"/>
      <c r="N90" s="213"/>
      <c r="O90" s="213"/>
      <c r="P90" s="214"/>
      <c r="Q90" s="215"/>
      <c r="R90" s="216"/>
    </row>
    <row r="91" spans="1:18" ht="27" customHeight="1">
      <c r="A91" s="210">
        <v>46335</v>
      </c>
      <c r="B91" s="211"/>
      <c r="C91" s="212"/>
      <c r="D91" s="213"/>
      <c r="E91" s="213"/>
      <c r="F91" s="213"/>
      <c r="G91" s="213"/>
      <c r="H91" s="213"/>
      <c r="I91" s="213"/>
      <c r="J91" s="213"/>
      <c r="K91" s="213"/>
      <c r="L91" s="213"/>
      <c r="M91" s="213"/>
      <c r="N91" s="213"/>
      <c r="O91" s="213"/>
      <c r="P91" s="214"/>
      <c r="Q91" s="215"/>
      <c r="R91" s="216"/>
    </row>
    <row r="92" spans="1:18" ht="27" customHeight="1">
      <c r="A92" s="210">
        <v>46336</v>
      </c>
      <c r="B92" s="211"/>
      <c r="C92" s="212"/>
      <c r="D92" s="213"/>
      <c r="E92" s="213"/>
      <c r="F92" s="213"/>
      <c r="G92" s="213"/>
      <c r="H92" s="213"/>
      <c r="I92" s="213"/>
      <c r="J92" s="213"/>
      <c r="K92" s="213"/>
      <c r="L92" s="213"/>
      <c r="M92" s="213"/>
      <c r="N92" s="213"/>
      <c r="O92" s="213"/>
      <c r="P92" s="214"/>
      <c r="Q92" s="215"/>
      <c r="R92" s="216"/>
    </row>
    <row r="93" spans="1:18" ht="27" customHeight="1">
      <c r="A93" s="210">
        <v>46337</v>
      </c>
      <c r="B93" s="211"/>
      <c r="C93" s="212"/>
      <c r="D93" s="213"/>
      <c r="E93" s="213"/>
      <c r="F93" s="213"/>
      <c r="G93" s="213"/>
      <c r="H93" s="213"/>
      <c r="I93" s="213"/>
      <c r="J93" s="213"/>
      <c r="K93" s="213"/>
      <c r="L93" s="213"/>
      <c r="M93" s="213"/>
      <c r="N93" s="213"/>
      <c r="O93" s="213"/>
      <c r="P93" s="214"/>
      <c r="Q93" s="215"/>
      <c r="R93" s="216"/>
    </row>
    <row r="94" spans="1:18" ht="27" customHeight="1">
      <c r="A94" s="210">
        <v>46338</v>
      </c>
      <c r="B94" s="211"/>
      <c r="C94" s="212"/>
      <c r="D94" s="213"/>
      <c r="E94" s="213"/>
      <c r="F94" s="213"/>
      <c r="G94" s="213"/>
      <c r="H94" s="213"/>
      <c r="I94" s="213"/>
      <c r="J94" s="213"/>
      <c r="K94" s="213"/>
      <c r="L94" s="213"/>
      <c r="M94" s="213"/>
      <c r="N94" s="213"/>
      <c r="O94" s="213"/>
      <c r="P94" s="214"/>
      <c r="Q94" s="215"/>
      <c r="R94" s="216"/>
    </row>
    <row r="95" spans="1:18" ht="27" customHeight="1">
      <c r="A95" s="210">
        <v>46339</v>
      </c>
      <c r="B95" s="211"/>
      <c r="C95" s="212"/>
      <c r="D95" s="213"/>
      <c r="E95" s="213"/>
      <c r="F95" s="213"/>
      <c r="G95" s="213"/>
      <c r="H95" s="213"/>
      <c r="I95" s="213"/>
      <c r="J95" s="213"/>
      <c r="K95" s="213"/>
      <c r="L95" s="213"/>
      <c r="M95" s="213"/>
      <c r="N95" s="213"/>
      <c r="O95" s="213"/>
      <c r="P95" s="214"/>
      <c r="Q95" s="215"/>
      <c r="R95" s="216"/>
    </row>
    <row r="96" spans="1:18" ht="27" customHeight="1">
      <c r="A96" s="210">
        <v>46340</v>
      </c>
      <c r="B96" s="211"/>
      <c r="C96" s="212"/>
      <c r="D96" s="213"/>
      <c r="E96" s="213"/>
      <c r="F96" s="213"/>
      <c r="G96" s="213"/>
      <c r="H96" s="213"/>
      <c r="I96" s="213"/>
      <c r="J96" s="213"/>
      <c r="K96" s="213"/>
      <c r="L96" s="213"/>
      <c r="M96" s="213"/>
      <c r="N96" s="213"/>
      <c r="O96" s="213"/>
      <c r="P96" s="214"/>
      <c r="Q96" s="215"/>
      <c r="R96" s="216"/>
    </row>
    <row r="97" spans="1:18" ht="27" customHeight="1">
      <c r="A97" s="210">
        <v>46341</v>
      </c>
      <c r="B97" s="211"/>
      <c r="C97" s="212"/>
      <c r="D97" s="213"/>
      <c r="E97" s="213"/>
      <c r="F97" s="213"/>
      <c r="G97" s="213"/>
      <c r="H97" s="213"/>
      <c r="I97" s="213"/>
      <c r="J97" s="213"/>
      <c r="K97" s="213"/>
      <c r="L97" s="213"/>
      <c r="M97" s="213"/>
      <c r="N97" s="213"/>
      <c r="O97" s="213"/>
      <c r="P97" s="214"/>
      <c r="Q97" s="215"/>
      <c r="R97" s="216"/>
    </row>
    <row r="98" spans="1:18" ht="27" customHeight="1">
      <c r="A98" s="210">
        <v>46342</v>
      </c>
      <c r="B98" s="211"/>
      <c r="C98" s="212"/>
      <c r="D98" s="213"/>
      <c r="E98" s="213"/>
      <c r="F98" s="213"/>
      <c r="G98" s="213"/>
      <c r="H98" s="213"/>
      <c r="I98" s="213"/>
      <c r="J98" s="213"/>
      <c r="K98" s="213"/>
      <c r="L98" s="213"/>
      <c r="M98" s="213"/>
      <c r="N98" s="213"/>
      <c r="O98" s="213"/>
      <c r="P98" s="214"/>
      <c r="Q98" s="215"/>
      <c r="R98" s="216"/>
    </row>
    <row r="99" spans="1:18" ht="27" customHeight="1">
      <c r="A99" s="210">
        <v>46343</v>
      </c>
      <c r="B99" s="211"/>
      <c r="C99" s="212"/>
      <c r="D99" s="213"/>
      <c r="E99" s="213"/>
      <c r="F99" s="213"/>
      <c r="G99" s="213"/>
      <c r="H99" s="213"/>
      <c r="I99" s="213"/>
      <c r="J99" s="213"/>
      <c r="K99" s="213"/>
      <c r="L99" s="213"/>
      <c r="M99" s="213"/>
      <c r="N99" s="213"/>
      <c r="O99" s="213"/>
      <c r="P99" s="214"/>
      <c r="Q99" s="215"/>
      <c r="R99" s="216"/>
    </row>
    <row r="100" spans="1:18" ht="27" customHeight="1">
      <c r="A100" s="210">
        <v>46344</v>
      </c>
      <c r="B100" s="211"/>
      <c r="C100" s="212"/>
      <c r="D100" s="213"/>
      <c r="E100" s="213"/>
      <c r="F100" s="213"/>
      <c r="G100" s="213"/>
      <c r="H100" s="213"/>
      <c r="I100" s="213"/>
      <c r="J100" s="213"/>
      <c r="K100" s="213"/>
      <c r="L100" s="213"/>
      <c r="M100" s="213"/>
      <c r="N100" s="213"/>
      <c r="O100" s="213"/>
      <c r="P100" s="214"/>
      <c r="Q100" s="215"/>
      <c r="R100" s="216"/>
    </row>
    <row r="101" spans="1:18" ht="27" customHeight="1">
      <c r="A101" s="210">
        <v>46345</v>
      </c>
      <c r="B101" s="211"/>
      <c r="C101" s="212"/>
      <c r="D101" s="213"/>
      <c r="E101" s="213"/>
      <c r="F101" s="213"/>
      <c r="G101" s="213"/>
      <c r="H101" s="213"/>
      <c r="I101" s="213"/>
      <c r="J101" s="213"/>
      <c r="K101" s="213"/>
      <c r="L101" s="213"/>
      <c r="M101" s="213"/>
      <c r="N101" s="213"/>
      <c r="O101" s="213"/>
      <c r="P101" s="214"/>
      <c r="Q101" s="215"/>
      <c r="R101" s="216"/>
    </row>
    <row r="102" spans="1:18" ht="27" customHeight="1">
      <c r="A102" s="210">
        <v>46346</v>
      </c>
      <c r="B102" s="211"/>
      <c r="C102" s="212"/>
      <c r="D102" s="213"/>
      <c r="E102" s="213"/>
      <c r="F102" s="213"/>
      <c r="G102" s="213"/>
      <c r="H102" s="213"/>
      <c r="I102" s="213"/>
      <c r="J102" s="213"/>
      <c r="K102" s="213"/>
      <c r="L102" s="213"/>
      <c r="M102" s="213"/>
      <c r="N102" s="213"/>
      <c r="O102" s="213"/>
      <c r="P102" s="214"/>
      <c r="Q102" s="215"/>
      <c r="R102" s="216"/>
    </row>
    <row r="103" spans="1:18" ht="27" customHeight="1">
      <c r="A103" s="210">
        <v>46347</v>
      </c>
      <c r="B103" s="211"/>
      <c r="C103" s="212"/>
      <c r="D103" s="213"/>
      <c r="E103" s="213"/>
      <c r="F103" s="213"/>
      <c r="G103" s="213"/>
      <c r="H103" s="213"/>
      <c r="I103" s="213"/>
      <c r="J103" s="213"/>
      <c r="K103" s="213"/>
      <c r="L103" s="213"/>
      <c r="M103" s="213"/>
      <c r="N103" s="213"/>
      <c r="O103" s="213"/>
      <c r="P103" s="214"/>
      <c r="Q103" s="215"/>
      <c r="R103" s="216"/>
    </row>
    <row r="104" spans="1:18" ht="27" customHeight="1">
      <c r="A104" s="210">
        <v>46348</v>
      </c>
      <c r="B104" s="211"/>
      <c r="C104" s="212"/>
      <c r="D104" s="213"/>
      <c r="E104" s="213"/>
      <c r="F104" s="213"/>
      <c r="G104" s="213"/>
      <c r="H104" s="213"/>
      <c r="I104" s="213"/>
      <c r="J104" s="213"/>
      <c r="K104" s="213"/>
      <c r="L104" s="213"/>
      <c r="M104" s="213"/>
      <c r="N104" s="213"/>
      <c r="O104" s="213"/>
      <c r="P104" s="214"/>
      <c r="Q104" s="215"/>
      <c r="R104" s="216"/>
    </row>
    <row r="105" spans="1:18" ht="27" customHeight="1">
      <c r="A105" s="210">
        <v>46349</v>
      </c>
      <c r="B105" s="211"/>
      <c r="C105" s="212"/>
      <c r="D105" s="213"/>
      <c r="E105" s="213"/>
      <c r="F105" s="213"/>
      <c r="G105" s="213"/>
      <c r="H105" s="213"/>
      <c r="I105" s="213"/>
      <c r="J105" s="213"/>
      <c r="K105" s="213"/>
      <c r="L105" s="213"/>
      <c r="M105" s="213"/>
      <c r="N105" s="213"/>
      <c r="O105" s="213"/>
      <c r="P105" s="214"/>
      <c r="Q105" s="215"/>
      <c r="R105" s="216"/>
    </row>
    <row r="106" spans="1:18" ht="27" customHeight="1">
      <c r="A106" s="210">
        <v>46350</v>
      </c>
      <c r="B106" s="211"/>
      <c r="C106" s="212"/>
      <c r="D106" s="213"/>
      <c r="E106" s="213"/>
      <c r="F106" s="213"/>
      <c r="G106" s="213"/>
      <c r="H106" s="213"/>
      <c r="I106" s="213"/>
      <c r="J106" s="213"/>
      <c r="K106" s="213"/>
      <c r="L106" s="213"/>
      <c r="M106" s="213"/>
      <c r="N106" s="213"/>
      <c r="O106" s="213"/>
      <c r="P106" s="214"/>
      <c r="Q106" s="215"/>
      <c r="R106" s="216"/>
    </row>
    <row r="107" spans="1:18" ht="27" customHeight="1">
      <c r="A107" s="210">
        <v>46351</v>
      </c>
      <c r="B107" s="211"/>
      <c r="C107" s="212"/>
      <c r="D107" s="213"/>
      <c r="E107" s="213"/>
      <c r="F107" s="213"/>
      <c r="G107" s="213"/>
      <c r="H107" s="213"/>
      <c r="I107" s="213"/>
      <c r="J107" s="213"/>
      <c r="K107" s="213"/>
      <c r="L107" s="213"/>
      <c r="M107" s="213"/>
      <c r="N107" s="213"/>
      <c r="O107" s="213"/>
      <c r="P107" s="214"/>
      <c r="Q107" s="215"/>
      <c r="R107" s="216"/>
    </row>
    <row r="108" spans="1:18" ht="27" customHeight="1">
      <c r="A108" s="210">
        <v>46352</v>
      </c>
      <c r="B108" s="211"/>
      <c r="C108" s="212"/>
      <c r="D108" s="213"/>
      <c r="E108" s="213"/>
      <c r="F108" s="213"/>
      <c r="G108" s="213"/>
      <c r="H108" s="213"/>
      <c r="I108" s="213"/>
      <c r="J108" s="213"/>
      <c r="K108" s="213"/>
      <c r="L108" s="213"/>
      <c r="M108" s="213"/>
      <c r="N108" s="213"/>
      <c r="O108" s="213"/>
      <c r="P108" s="214"/>
      <c r="Q108" s="215"/>
      <c r="R108" s="216"/>
    </row>
    <row r="109" spans="1:18" ht="27" customHeight="1">
      <c r="A109" s="210">
        <v>46353</v>
      </c>
      <c r="B109" s="211"/>
      <c r="C109" s="212"/>
      <c r="D109" s="213"/>
      <c r="E109" s="213"/>
      <c r="F109" s="213"/>
      <c r="G109" s="213"/>
      <c r="H109" s="213"/>
      <c r="I109" s="213"/>
      <c r="J109" s="213"/>
      <c r="K109" s="213"/>
      <c r="L109" s="213"/>
      <c r="M109" s="213"/>
      <c r="N109" s="213"/>
      <c r="O109" s="213"/>
      <c r="P109" s="214"/>
      <c r="Q109" s="215"/>
      <c r="R109" s="216"/>
    </row>
    <row r="110" spans="1:18" ht="27" customHeight="1">
      <c r="A110" s="210">
        <v>46354</v>
      </c>
      <c r="B110" s="211"/>
      <c r="C110" s="212"/>
      <c r="D110" s="213"/>
      <c r="E110" s="213"/>
      <c r="F110" s="213"/>
      <c r="G110" s="213"/>
      <c r="H110" s="213"/>
      <c r="I110" s="213"/>
      <c r="J110" s="213"/>
      <c r="K110" s="213"/>
      <c r="L110" s="213"/>
      <c r="M110" s="213"/>
      <c r="N110" s="213"/>
      <c r="O110" s="213"/>
      <c r="P110" s="214"/>
      <c r="Q110" s="215"/>
      <c r="R110" s="216"/>
    </row>
    <row r="111" spans="1:18" ht="27" customHeight="1">
      <c r="A111" s="210">
        <v>46355</v>
      </c>
      <c r="B111" s="211"/>
      <c r="C111" s="212"/>
      <c r="D111" s="213"/>
      <c r="E111" s="213"/>
      <c r="F111" s="213"/>
      <c r="G111" s="213"/>
      <c r="H111" s="213"/>
      <c r="I111" s="213"/>
      <c r="J111" s="213"/>
      <c r="K111" s="213"/>
      <c r="L111" s="213"/>
      <c r="M111" s="213"/>
      <c r="N111" s="213"/>
      <c r="O111" s="213"/>
      <c r="P111" s="214"/>
      <c r="Q111" s="215"/>
      <c r="R111" s="216"/>
    </row>
    <row r="112" spans="1:18" ht="27" customHeight="1">
      <c r="A112" s="210">
        <v>46356</v>
      </c>
      <c r="B112" s="211"/>
      <c r="C112" s="212"/>
      <c r="D112" s="213"/>
      <c r="E112" s="213"/>
      <c r="F112" s="213"/>
      <c r="G112" s="213"/>
      <c r="H112" s="213"/>
      <c r="I112" s="213"/>
      <c r="J112" s="213"/>
      <c r="K112" s="213"/>
      <c r="L112" s="213"/>
      <c r="M112" s="213"/>
      <c r="N112" s="213"/>
      <c r="O112" s="213"/>
      <c r="P112" s="214"/>
      <c r="Q112" s="215"/>
      <c r="R112" s="216"/>
    </row>
    <row r="113" spans="1:18" ht="27" customHeight="1">
      <c r="A113" s="210">
        <v>46357</v>
      </c>
      <c r="B113" s="211"/>
      <c r="C113" s="212"/>
      <c r="D113" s="213"/>
      <c r="E113" s="213"/>
      <c r="F113" s="213"/>
      <c r="G113" s="213"/>
      <c r="H113" s="213"/>
      <c r="I113" s="213"/>
      <c r="J113" s="213"/>
      <c r="K113" s="213"/>
      <c r="L113" s="213"/>
      <c r="M113" s="213"/>
      <c r="N113" s="213"/>
      <c r="O113" s="213"/>
      <c r="P113" s="214"/>
      <c r="Q113" s="215"/>
      <c r="R113" s="216"/>
    </row>
    <row r="114" spans="1:18" ht="27" customHeight="1">
      <c r="A114" s="210">
        <v>46358</v>
      </c>
      <c r="B114" s="211"/>
      <c r="C114" s="212"/>
      <c r="D114" s="213"/>
      <c r="E114" s="213"/>
      <c r="F114" s="213"/>
      <c r="G114" s="213"/>
      <c r="H114" s="213"/>
      <c r="I114" s="213"/>
      <c r="J114" s="213"/>
      <c r="K114" s="213"/>
      <c r="L114" s="213"/>
      <c r="M114" s="213"/>
      <c r="N114" s="213"/>
      <c r="O114" s="213"/>
      <c r="P114" s="214"/>
      <c r="Q114" s="215"/>
      <c r="R114" s="216"/>
    </row>
    <row r="115" spans="1:18" ht="27" customHeight="1">
      <c r="A115" s="210">
        <v>46359</v>
      </c>
      <c r="B115" s="211"/>
      <c r="C115" s="212"/>
      <c r="D115" s="213"/>
      <c r="E115" s="213"/>
      <c r="F115" s="213"/>
      <c r="G115" s="213"/>
      <c r="H115" s="213"/>
      <c r="I115" s="213"/>
      <c r="J115" s="213"/>
      <c r="K115" s="213"/>
      <c r="L115" s="213"/>
      <c r="M115" s="213"/>
      <c r="N115" s="213"/>
      <c r="O115" s="213"/>
      <c r="P115" s="214"/>
      <c r="Q115" s="215"/>
      <c r="R115" s="216"/>
    </row>
    <row r="116" spans="1:18" ht="27" customHeight="1">
      <c r="A116" s="210">
        <v>46360</v>
      </c>
      <c r="B116" s="211"/>
      <c r="C116" s="212"/>
      <c r="D116" s="213"/>
      <c r="E116" s="213"/>
      <c r="F116" s="213"/>
      <c r="G116" s="213"/>
      <c r="H116" s="213"/>
      <c r="I116" s="213"/>
      <c r="J116" s="213"/>
      <c r="K116" s="213"/>
      <c r="L116" s="213"/>
      <c r="M116" s="213"/>
      <c r="N116" s="213"/>
      <c r="O116" s="213"/>
      <c r="P116" s="214"/>
      <c r="Q116" s="215"/>
      <c r="R116" s="216"/>
    </row>
    <row r="117" spans="1:18" ht="27" customHeight="1">
      <c r="A117" s="210">
        <v>46361</v>
      </c>
      <c r="B117" s="211"/>
      <c r="C117" s="212"/>
      <c r="D117" s="213"/>
      <c r="E117" s="213"/>
      <c r="F117" s="213"/>
      <c r="G117" s="213"/>
      <c r="H117" s="213"/>
      <c r="I117" s="213"/>
      <c r="J117" s="213"/>
      <c r="K117" s="213"/>
      <c r="L117" s="213"/>
      <c r="M117" s="213"/>
      <c r="N117" s="213"/>
      <c r="O117" s="213"/>
      <c r="P117" s="214"/>
      <c r="Q117" s="215"/>
      <c r="R117" s="216"/>
    </row>
    <row r="118" spans="1:18" ht="27" customHeight="1">
      <c r="A118" s="210">
        <v>46362</v>
      </c>
      <c r="B118" s="211"/>
      <c r="C118" s="212"/>
      <c r="D118" s="213"/>
      <c r="E118" s="213"/>
      <c r="F118" s="213"/>
      <c r="G118" s="213"/>
      <c r="H118" s="213"/>
      <c r="I118" s="213"/>
      <c r="J118" s="213"/>
      <c r="K118" s="213"/>
      <c r="L118" s="213"/>
      <c r="M118" s="213"/>
      <c r="N118" s="213"/>
      <c r="O118" s="213"/>
      <c r="P118" s="214"/>
      <c r="Q118" s="215"/>
      <c r="R118" s="216"/>
    </row>
    <row r="119" spans="1:18" ht="27" customHeight="1">
      <c r="A119" s="210">
        <v>46363</v>
      </c>
      <c r="B119" s="211"/>
      <c r="C119" s="212"/>
      <c r="D119" s="213"/>
      <c r="E119" s="213"/>
      <c r="F119" s="213"/>
      <c r="G119" s="213"/>
      <c r="H119" s="213"/>
      <c r="I119" s="213"/>
      <c r="J119" s="213"/>
      <c r="K119" s="213"/>
      <c r="L119" s="213"/>
      <c r="M119" s="213"/>
      <c r="N119" s="213"/>
      <c r="O119" s="213"/>
      <c r="P119" s="214"/>
      <c r="Q119" s="215"/>
      <c r="R119" s="216"/>
    </row>
    <row r="120" spans="1:18" ht="27" customHeight="1">
      <c r="A120" s="210">
        <v>46364</v>
      </c>
      <c r="B120" s="211"/>
      <c r="C120" s="212"/>
      <c r="D120" s="213"/>
      <c r="E120" s="213"/>
      <c r="F120" s="213"/>
      <c r="G120" s="213"/>
      <c r="H120" s="213"/>
      <c r="I120" s="213"/>
      <c r="J120" s="213"/>
      <c r="K120" s="213"/>
      <c r="L120" s="213"/>
      <c r="M120" s="213"/>
      <c r="N120" s="213"/>
      <c r="O120" s="213"/>
      <c r="P120" s="214"/>
      <c r="Q120" s="215"/>
      <c r="R120" s="216"/>
    </row>
    <row r="121" spans="1:18" ht="27" customHeight="1">
      <c r="A121" s="210">
        <v>46365</v>
      </c>
      <c r="B121" s="211"/>
      <c r="C121" s="212"/>
      <c r="D121" s="213"/>
      <c r="E121" s="213"/>
      <c r="F121" s="213"/>
      <c r="G121" s="213"/>
      <c r="H121" s="213"/>
      <c r="I121" s="213"/>
      <c r="J121" s="213"/>
      <c r="K121" s="213"/>
      <c r="L121" s="213"/>
      <c r="M121" s="213"/>
      <c r="N121" s="213"/>
      <c r="O121" s="213"/>
      <c r="P121" s="214"/>
      <c r="Q121" s="215"/>
      <c r="R121" s="216"/>
    </row>
    <row r="122" spans="1:18" ht="27" customHeight="1">
      <c r="A122" s="210">
        <v>46366</v>
      </c>
      <c r="B122" s="211"/>
      <c r="C122" s="212"/>
      <c r="D122" s="213"/>
      <c r="E122" s="213"/>
      <c r="F122" s="213"/>
      <c r="G122" s="213"/>
      <c r="H122" s="213"/>
      <c r="I122" s="213"/>
      <c r="J122" s="213"/>
      <c r="K122" s="213"/>
      <c r="L122" s="213"/>
      <c r="M122" s="213"/>
      <c r="N122" s="213"/>
      <c r="O122" s="213"/>
      <c r="P122" s="214"/>
      <c r="Q122" s="215"/>
      <c r="R122" s="216"/>
    </row>
    <row r="123" spans="1:18" ht="27" customHeight="1">
      <c r="A123" s="210">
        <v>46367</v>
      </c>
      <c r="B123" s="211"/>
      <c r="C123" s="212"/>
      <c r="D123" s="213"/>
      <c r="E123" s="213"/>
      <c r="F123" s="213"/>
      <c r="G123" s="213"/>
      <c r="H123" s="213"/>
      <c r="I123" s="213"/>
      <c r="J123" s="213"/>
      <c r="K123" s="213"/>
      <c r="L123" s="213"/>
      <c r="M123" s="213"/>
      <c r="N123" s="213"/>
      <c r="O123" s="213"/>
      <c r="P123" s="214"/>
      <c r="Q123" s="215"/>
      <c r="R123" s="216"/>
    </row>
    <row r="124" spans="1:18" ht="27" customHeight="1">
      <c r="A124" s="210">
        <v>46368</v>
      </c>
      <c r="B124" s="211"/>
      <c r="C124" s="212"/>
      <c r="D124" s="213"/>
      <c r="E124" s="213"/>
      <c r="F124" s="213"/>
      <c r="G124" s="213"/>
      <c r="H124" s="213"/>
      <c r="I124" s="213"/>
      <c r="J124" s="213"/>
      <c r="K124" s="213"/>
      <c r="L124" s="213"/>
      <c r="M124" s="213"/>
      <c r="N124" s="213"/>
      <c r="O124" s="213"/>
      <c r="P124" s="214"/>
      <c r="Q124" s="215"/>
      <c r="R124" s="216"/>
    </row>
    <row r="125" spans="1:18" ht="27" customHeight="1">
      <c r="A125" s="210">
        <v>46369</v>
      </c>
      <c r="B125" s="211"/>
      <c r="C125" s="212"/>
      <c r="D125" s="213"/>
      <c r="E125" s="213"/>
      <c r="F125" s="213"/>
      <c r="G125" s="213"/>
      <c r="H125" s="213"/>
      <c r="I125" s="213"/>
      <c r="J125" s="213"/>
      <c r="K125" s="213"/>
      <c r="L125" s="213"/>
      <c r="M125" s="213"/>
      <c r="N125" s="213"/>
      <c r="O125" s="213"/>
      <c r="P125" s="214"/>
      <c r="Q125" s="215"/>
      <c r="R125" s="216"/>
    </row>
    <row r="126" spans="1:18" ht="27" customHeight="1">
      <c r="A126" s="210">
        <v>46370</v>
      </c>
      <c r="B126" s="211"/>
      <c r="C126" s="212"/>
      <c r="D126" s="213"/>
      <c r="E126" s="213"/>
      <c r="F126" s="213"/>
      <c r="G126" s="213"/>
      <c r="H126" s="213"/>
      <c r="I126" s="213"/>
      <c r="J126" s="213"/>
      <c r="K126" s="213"/>
      <c r="L126" s="213"/>
      <c r="M126" s="213"/>
      <c r="N126" s="213"/>
      <c r="O126" s="213"/>
      <c r="P126" s="214"/>
      <c r="Q126" s="215"/>
      <c r="R126" s="216"/>
    </row>
    <row r="127" spans="1:18" ht="27" customHeight="1">
      <c r="A127" s="210">
        <v>46371</v>
      </c>
      <c r="B127" s="211"/>
      <c r="C127" s="212"/>
      <c r="D127" s="213"/>
      <c r="E127" s="213"/>
      <c r="F127" s="213"/>
      <c r="G127" s="213"/>
      <c r="H127" s="213"/>
      <c r="I127" s="213"/>
      <c r="J127" s="213"/>
      <c r="K127" s="213"/>
      <c r="L127" s="213"/>
      <c r="M127" s="213"/>
      <c r="N127" s="213"/>
      <c r="O127" s="213"/>
      <c r="P127" s="214"/>
      <c r="Q127" s="215"/>
      <c r="R127" s="216"/>
    </row>
    <row r="128" spans="1:18" ht="27" customHeight="1">
      <c r="A128" s="210">
        <v>46372</v>
      </c>
      <c r="B128" s="211"/>
      <c r="C128" s="212"/>
      <c r="D128" s="213"/>
      <c r="E128" s="213"/>
      <c r="F128" s="213"/>
      <c r="G128" s="213"/>
      <c r="H128" s="213"/>
      <c r="I128" s="213"/>
      <c r="J128" s="213"/>
      <c r="K128" s="213"/>
      <c r="L128" s="213"/>
      <c r="M128" s="213"/>
      <c r="N128" s="213"/>
      <c r="O128" s="213"/>
      <c r="P128" s="214"/>
      <c r="Q128" s="215"/>
      <c r="R128" s="216"/>
    </row>
    <row r="129" spans="1:18" ht="27" customHeight="1">
      <c r="A129" s="210">
        <v>46373</v>
      </c>
      <c r="B129" s="211"/>
      <c r="C129" s="212"/>
      <c r="D129" s="213"/>
      <c r="E129" s="213"/>
      <c r="F129" s="213"/>
      <c r="G129" s="213"/>
      <c r="H129" s="213"/>
      <c r="I129" s="213"/>
      <c r="J129" s="213"/>
      <c r="K129" s="213"/>
      <c r="L129" s="213"/>
      <c r="M129" s="213"/>
      <c r="N129" s="213"/>
      <c r="O129" s="213"/>
      <c r="P129" s="214"/>
      <c r="Q129" s="215"/>
      <c r="R129" s="216"/>
    </row>
    <row r="130" spans="1:18" ht="27" customHeight="1">
      <c r="A130" s="210">
        <v>46374</v>
      </c>
      <c r="B130" s="211"/>
      <c r="C130" s="212"/>
      <c r="D130" s="213"/>
      <c r="E130" s="213"/>
      <c r="F130" s="213"/>
      <c r="G130" s="213"/>
      <c r="H130" s="213"/>
      <c r="I130" s="213"/>
      <c r="J130" s="213"/>
      <c r="K130" s="213"/>
      <c r="L130" s="213"/>
      <c r="M130" s="213"/>
      <c r="N130" s="213"/>
      <c r="O130" s="213"/>
      <c r="P130" s="214"/>
      <c r="Q130" s="215"/>
      <c r="R130" s="216"/>
    </row>
    <row r="131" spans="1:18" ht="27" customHeight="1">
      <c r="A131" s="210">
        <v>46375</v>
      </c>
      <c r="B131" s="211"/>
      <c r="C131" s="212"/>
      <c r="D131" s="213"/>
      <c r="E131" s="213"/>
      <c r="F131" s="213"/>
      <c r="G131" s="213"/>
      <c r="H131" s="213"/>
      <c r="I131" s="213"/>
      <c r="J131" s="213"/>
      <c r="K131" s="213"/>
      <c r="L131" s="213"/>
      <c r="M131" s="213"/>
      <c r="N131" s="213"/>
      <c r="O131" s="213"/>
      <c r="P131" s="214"/>
      <c r="Q131" s="215"/>
      <c r="R131" s="216"/>
    </row>
    <row r="132" spans="1:18" ht="27" customHeight="1">
      <c r="A132" s="210">
        <v>46376</v>
      </c>
      <c r="B132" s="211"/>
      <c r="C132" s="212"/>
      <c r="D132" s="213"/>
      <c r="E132" s="213"/>
      <c r="F132" s="213"/>
      <c r="G132" s="213"/>
      <c r="H132" s="213"/>
      <c r="I132" s="213"/>
      <c r="J132" s="213"/>
      <c r="K132" s="213"/>
      <c r="L132" s="213"/>
      <c r="M132" s="213"/>
      <c r="N132" s="213"/>
      <c r="O132" s="213"/>
      <c r="P132" s="214"/>
      <c r="Q132" s="215"/>
      <c r="R132" s="216"/>
    </row>
    <row r="133" spans="1:18" ht="27" customHeight="1">
      <c r="A133" s="210">
        <v>46377</v>
      </c>
      <c r="B133" s="211"/>
      <c r="C133" s="212"/>
      <c r="D133" s="213"/>
      <c r="E133" s="213"/>
      <c r="F133" s="213"/>
      <c r="G133" s="213"/>
      <c r="H133" s="213"/>
      <c r="I133" s="213"/>
      <c r="J133" s="213"/>
      <c r="K133" s="213"/>
      <c r="L133" s="213"/>
      <c r="M133" s="213"/>
      <c r="N133" s="213"/>
      <c r="O133" s="213"/>
      <c r="P133" s="214"/>
      <c r="Q133" s="215"/>
      <c r="R133" s="216"/>
    </row>
    <row r="134" spans="1:18" ht="27" customHeight="1">
      <c r="A134" s="210">
        <v>46378</v>
      </c>
      <c r="B134" s="211"/>
      <c r="C134" s="212"/>
      <c r="D134" s="213"/>
      <c r="E134" s="213"/>
      <c r="F134" s="213"/>
      <c r="G134" s="213"/>
      <c r="H134" s="213"/>
      <c r="I134" s="213"/>
      <c r="J134" s="213"/>
      <c r="K134" s="213"/>
      <c r="L134" s="213"/>
      <c r="M134" s="213"/>
      <c r="N134" s="213"/>
      <c r="O134" s="213"/>
      <c r="P134" s="214"/>
      <c r="Q134" s="215"/>
      <c r="R134" s="216"/>
    </row>
    <row r="135" spans="1:18" ht="27" customHeight="1">
      <c r="A135" s="210">
        <v>46379</v>
      </c>
      <c r="B135" s="211"/>
      <c r="C135" s="212"/>
      <c r="D135" s="213"/>
      <c r="E135" s="213"/>
      <c r="F135" s="213"/>
      <c r="G135" s="213"/>
      <c r="H135" s="213"/>
      <c r="I135" s="213"/>
      <c r="J135" s="213"/>
      <c r="K135" s="213"/>
      <c r="L135" s="213"/>
      <c r="M135" s="213"/>
      <c r="N135" s="213"/>
      <c r="O135" s="213"/>
      <c r="P135" s="214"/>
      <c r="Q135" s="215"/>
      <c r="R135" s="216"/>
    </row>
    <row r="136" spans="1:18" ht="27" customHeight="1">
      <c r="A136" s="210">
        <v>46380</v>
      </c>
      <c r="B136" s="211"/>
      <c r="C136" s="212"/>
      <c r="D136" s="213"/>
      <c r="E136" s="213"/>
      <c r="F136" s="213"/>
      <c r="G136" s="213"/>
      <c r="H136" s="213"/>
      <c r="I136" s="213"/>
      <c r="J136" s="213"/>
      <c r="K136" s="213"/>
      <c r="L136" s="213"/>
      <c r="M136" s="213"/>
      <c r="N136" s="213"/>
      <c r="O136" s="213"/>
      <c r="P136" s="214"/>
      <c r="Q136" s="215"/>
      <c r="R136" s="216"/>
    </row>
    <row r="137" spans="1:18" ht="27" customHeight="1">
      <c r="A137" s="210">
        <v>46381</v>
      </c>
      <c r="B137" s="211"/>
      <c r="C137" s="212"/>
      <c r="D137" s="213"/>
      <c r="E137" s="213"/>
      <c r="F137" s="213"/>
      <c r="G137" s="213"/>
      <c r="H137" s="213"/>
      <c r="I137" s="213"/>
      <c r="J137" s="213"/>
      <c r="K137" s="213"/>
      <c r="L137" s="213"/>
      <c r="M137" s="213"/>
      <c r="N137" s="213"/>
      <c r="O137" s="213"/>
      <c r="P137" s="214"/>
      <c r="Q137" s="215"/>
      <c r="R137" s="216"/>
    </row>
    <row r="138" spans="1:18" ht="27" customHeight="1">
      <c r="A138" s="210">
        <v>46382</v>
      </c>
      <c r="B138" s="211"/>
      <c r="C138" s="212"/>
      <c r="D138" s="213"/>
      <c r="E138" s="213"/>
      <c r="F138" s="213"/>
      <c r="G138" s="213"/>
      <c r="H138" s="213"/>
      <c r="I138" s="213"/>
      <c r="J138" s="213"/>
      <c r="K138" s="213"/>
      <c r="L138" s="213"/>
      <c r="M138" s="213"/>
      <c r="N138" s="213"/>
      <c r="O138" s="213"/>
      <c r="P138" s="214"/>
      <c r="Q138" s="215"/>
      <c r="R138" s="216"/>
    </row>
    <row r="139" spans="1:18" ht="27" customHeight="1">
      <c r="A139" s="210">
        <v>46383</v>
      </c>
      <c r="B139" s="211"/>
      <c r="C139" s="212"/>
      <c r="D139" s="213"/>
      <c r="E139" s="213"/>
      <c r="F139" s="213"/>
      <c r="G139" s="213"/>
      <c r="H139" s="213"/>
      <c r="I139" s="213"/>
      <c r="J139" s="213"/>
      <c r="K139" s="213"/>
      <c r="L139" s="213"/>
      <c r="M139" s="213"/>
      <c r="N139" s="213"/>
      <c r="O139" s="213"/>
      <c r="P139" s="214"/>
      <c r="Q139" s="215"/>
      <c r="R139" s="216"/>
    </row>
    <row r="140" spans="1:18" ht="27" customHeight="1">
      <c r="A140" s="210">
        <v>46384</v>
      </c>
      <c r="B140" s="211"/>
      <c r="C140" s="212"/>
      <c r="D140" s="213"/>
      <c r="E140" s="213"/>
      <c r="F140" s="213"/>
      <c r="G140" s="213"/>
      <c r="H140" s="213"/>
      <c r="I140" s="213"/>
      <c r="J140" s="213"/>
      <c r="K140" s="213"/>
      <c r="L140" s="213"/>
      <c r="M140" s="213"/>
      <c r="N140" s="213"/>
      <c r="O140" s="213"/>
      <c r="P140" s="214"/>
      <c r="Q140" s="215"/>
      <c r="R140" s="216"/>
    </row>
    <row r="141" spans="1:18" ht="27" customHeight="1">
      <c r="A141" s="210">
        <v>46385</v>
      </c>
      <c r="B141" s="211"/>
      <c r="C141" s="212"/>
      <c r="D141" s="213"/>
      <c r="E141" s="213"/>
      <c r="F141" s="213"/>
      <c r="G141" s="213"/>
      <c r="H141" s="213"/>
      <c r="I141" s="213"/>
      <c r="J141" s="213"/>
      <c r="K141" s="213"/>
      <c r="L141" s="213"/>
      <c r="M141" s="213"/>
      <c r="N141" s="213"/>
      <c r="O141" s="213"/>
      <c r="P141" s="214"/>
      <c r="Q141" s="215"/>
      <c r="R141" s="216"/>
    </row>
    <row r="142" spans="1:18" ht="27" customHeight="1">
      <c r="A142" s="210">
        <v>46386</v>
      </c>
      <c r="B142" s="211"/>
      <c r="C142" s="212"/>
      <c r="D142" s="213"/>
      <c r="E142" s="213"/>
      <c r="F142" s="213"/>
      <c r="G142" s="213"/>
      <c r="H142" s="213"/>
      <c r="I142" s="213"/>
      <c r="J142" s="213"/>
      <c r="K142" s="213"/>
      <c r="L142" s="213"/>
      <c r="M142" s="213"/>
      <c r="N142" s="213"/>
      <c r="O142" s="213"/>
      <c r="P142" s="214"/>
      <c r="Q142" s="215"/>
      <c r="R142" s="216"/>
    </row>
    <row r="143" spans="1:18" ht="27" customHeight="1">
      <c r="A143" s="210">
        <v>46387</v>
      </c>
      <c r="B143" s="211"/>
      <c r="C143" s="212"/>
      <c r="D143" s="213"/>
      <c r="E143" s="213"/>
      <c r="F143" s="213"/>
      <c r="G143" s="213"/>
      <c r="H143" s="213"/>
      <c r="I143" s="213"/>
      <c r="J143" s="213"/>
      <c r="K143" s="213"/>
      <c r="L143" s="213"/>
      <c r="M143" s="213"/>
      <c r="N143" s="213"/>
      <c r="O143" s="213"/>
      <c r="P143" s="214"/>
      <c r="Q143" s="215"/>
      <c r="R143" s="216"/>
    </row>
    <row r="144" spans="1:18" ht="27" customHeight="1">
      <c r="A144" s="210">
        <v>46388</v>
      </c>
      <c r="B144" s="211"/>
      <c r="C144" s="212"/>
      <c r="D144" s="213"/>
      <c r="E144" s="213"/>
      <c r="F144" s="213"/>
      <c r="G144" s="213"/>
      <c r="H144" s="213"/>
      <c r="I144" s="213"/>
      <c r="J144" s="213"/>
      <c r="K144" s="213"/>
      <c r="L144" s="213"/>
      <c r="M144" s="213"/>
      <c r="N144" s="213"/>
      <c r="O144" s="213"/>
      <c r="P144" s="214"/>
      <c r="Q144" s="215"/>
      <c r="R144" s="216"/>
    </row>
    <row r="145" spans="1:18" ht="27" customHeight="1">
      <c r="A145" s="210">
        <v>46389</v>
      </c>
      <c r="B145" s="211"/>
      <c r="C145" s="212"/>
      <c r="D145" s="213"/>
      <c r="E145" s="213"/>
      <c r="F145" s="213"/>
      <c r="G145" s="213"/>
      <c r="H145" s="213"/>
      <c r="I145" s="213"/>
      <c r="J145" s="213"/>
      <c r="K145" s="213"/>
      <c r="L145" s="213"/>
      <c r="M145" s="213"/>
      <c r="N145" s="213"/>
      <c r="O145" s="213"/>
      <c r="P145" s="214"/>
      <c r="Q145" s="215"/>
      <c r="R145" s="216"/>
    </row>
    <row r="146" spans="1:18" ht="27" customHeight="1">
      <c r="A146" s="210">
        <v>46390</v>
      </c>
      <c r="B146" s="211"/>
      <c r="C146" s="212"/>
      <c r="D146" s="213"/>
      <c r="E146" s="213"/>
      <c r="F146" s="213"/>
      <c r="G146" s="213"/>
      <c r="H146" s="213"/>
      <c r="I146" s="213"/>
      <c r="J146" s="213"/>
      <c r="K146" s="213"/>
      <c r="L146" s="213"/>
      <c r="M146" s="213"/>
      <c r="N146" s="213"/>
      <c r="O146" s="213"/>
      <c r="P146" s="214"/>
      <c r="Q146" s="215"/>
      <c r="R146" s="216"/>
    </row>
    <row r="147" spans="1:18" ht="27" customHeight="1">
      <c r="A147" s="210">
        <v>46391</v>
      </c>
      <c r="B147" s="211"/>
      <c r="C147" s="212"/>
      <c r="D147" s="213"/>
      <c r="E147" s="213"/>
      <c r="F147" s="213"/>
      <c r="G147" s="213"/>
      <c r="H147" s="213"/>
      <c r="I147" s="213"/>
      <c r="J147" s="213"/>
      <c r="K147" s="213"/>
      <c r="L147" s="213"/>
      <c r="M147" s="213"/>
      <c r="N147" s="213"/>
      <c r="O147" s="213"/>
      <c r="P147" s="214"/>
      <c r="Q147" s="215"/>
      <c r="R147" s="216"/>
    </row>
    <row r="148" spans="1:18" ht="27" customHeight="1">
      <c r="A148" s="210">
        <v>46392</v>
      </c>
      <c r="B148" s="211"/>
      <c r="C148" s="212"/>
      <c r="D148" s="213"/>
      <c r="E148" s="213"/>
      <c r="F148" s="213"/>
      <c r="G148" s="213"/>
      <c r="H148" s="213"/>
      <c r="I148" s="213"/>
      <c r="J148" s="213"/>
      <c r="K148" s="213"/>
      <c r="L148" s="213"/>
      <c r="M148" s="213"/>
      <c r="N148" s="213"/>
      <c r="O148" s="213"/>
      <c r="P148" s="214"/>
      <c r="Q148" s="215"/>
      <c r="R148" s="216"/>
    </row>
    <row r="149" spans="1:18" ht="27" customHeight="1">
      <c r="A149" s="210">
        <v>46393</v>
      </c>
      <c r="B149" s="211"/>
      <c r="C149" s="212"/>
      <c r="D149" s="213"/>
      <c r="E149" s="213"/>
      <c r="F149" s="213"/>
      <c r="G149" s="213"/>
      <c r="H149" s="213"/>
      <c r="I149" s="213"/>
      <c r="J149" s="213"/>
      <c r="K149" s="213"/>
      <c r="L149" s="213"/>
      <c r="M149" s="213"/>
      <c r="N149" s="213"/>
      <c r="O149" s="213"/>
      <c r="P149" s="214"/>
      <c r="Q149" s="215"/>
      <c r="R149" s="216"/>
    </row>
    <row r="150" spans="1:18" ht="27" customHeight="1">
      <c r="A150" s="210">
        <v>46394</v>
      </c>
      <c r="B150" s="211"/>
      <c r="C150" s="212"/>
      <c r="D150" s="213"/>
      <c r="E150" s="213"/>
      <c r="F150" s="213"/>
      <c r="G150" s="213"/>
      <c r="H150" s="213"/>
      <c r="I150" s="213"/>
      <c r="J150" s="213"/>
      <c r="K150" s="213"/>
      <c r="L150" s="213"/>
      <c r="M150" s="213"/>
      <c r="N150" s="213"/>
      <c r="O150" s="213"/>
      <c r="P150" s="214"/>
      <c r="Q150" s="215"/>
      <c r="R150" s="216"/>
    </row>
    <row r="151" spans="1:18" ht="27" customHeight="1">
      <c r="A151" s="210">
        <v>46395</v>
      </c>
      <c r="B151" s="211"/>
      <c r="C151" s="212"/>
      <c r="D151" s="213"/>
      <c r="E151" s="213"/>
      <c r="F151" s="213"/>
      <c r="G151" s="213"/>
      <c r="H151" s="213"/>
      <c r="I151" s="213"/>
      <c r="J151" s="213"/>
      <c r="K151" s="213"/>
      <c r="L151" s="213"/>
      <c r="M151" s="213"/>
      <c r="N151" s="213"/>
      <c r="O151" s="213"/>
      <c r="P151" s="214"/>
      <c r="Q151" s="215"/>
      <c r="R151" s="216"/>
    </row>
    <row r="152" spans="1:18" ht="27" customHeight="1">
      <c r="A152" s="210">
        <v>46396</v>
      </c>
      <c r="B152" s="211"/>
      <c r="C152" s="212"/>
      <c r="D152" s="213"/>
      <c r="E152" s="213"/>
      <c r="F152" s="213"/>
      <c r="G152" s="213"/>
      <c r="H152" s="213"/>
      <c r="I152" s="213"/>
      <c r="J152" s="213"/>
      <c r="K152" s="213"/>
      <c r="L152" s="213"/>
      <c r="M152" s="213"/>
      <c r="N152" s="213"/>
      <c r="O152" s="213"/>
      <c r="P152" s="214"/>
      <c r="Q152" s="215"/>
      <c r="R152" s="216"/>
    </row>
    <row r="153" spans="1:18" ht="27" customHeight="1">
      <c r="A153" s="210">
        <v>46397</v>
      </c>
      <c r="B153" s="211"/>
      <c r="C153" s="212"/>
      <c r="D153" s="213"/>
      <c r="E153" s="213"/>
      <c r="F153" s="213"/>
      <c r="G153" s="213"/>
      <c r="H153" s="213"/>
      <c r="I153" s="213"/>
      <c r="J153" s="213"/>
      <c r="K153" s="213"/>
      <c r="L153" s="213"/>
      <c r="M153" s="213"/>
      <c r="N153" s="213"/>
      <c r="O153" s="213"/>
      <c r="P153" s="214"/>
      <c r="Q153" s="215"/>
      <c r="R153" s="216"/>
    </row>
    <row r="154" spans="1:18" ht="27" customHeight="1">
      <c r="A154" s="210">
        <v>46398</v>
      </c>
      <c r="B154" s="211"/>
      <c r="C154" s="212"/>
      <c r="D154" s="213"/>
      <c r="E154" s="213"/>
      <c r="F154" s="213"/>
      <c r="G154" s="213"/>
      <c r="H154" s="213"/>
      <c r="I154" s="213"/>
      <c r="J154" s="213"/>
      <c r="K154" s="213"/>
      <c r="L154" s="213"/>
      <c r="M154" s="213"/>
      <c r="N154" s="213"/>
      <c r="O154" s="213"/>
      <c r="P154" s="214"/>
      <c r="Q154" s="215"/>
      <c r="R154" s="216"/>
    </row>
    <row r="155" spans="1:18" ht="27" customHeight="1">
      <c r="A155" s="210">
        <v>46399</v>
      </c>
      <c r="B155" s="211"/>
      <c r="C155" s="212"/>
      <c r="D155" s="213"/>
      <c r="E155" s="213"/>
      <c r="F155" s="213"/>
      <c r="G155" s="213"/>
      <c r="H155" s="213"/>
      <c r="I155" s="213"/>
      <c r="J155" s="213"/>
      <c r="K155" s="213"/>
      <c r="L155" s="213"/>
      <c r="M155" s="213"/>
      <c r="N155" s="213"/>
      <c r="O155" s="213"/>
      <c r="P155" s="214"/>
      <c r="Q155" s="215"/>
      <c r="R155" s="216"/>
    </row>
    <row r="156" spans="1:18" ht="27" customHeight="1">
      <c r="A156" s="210">
        <v>46400</v>
      </c>
      <c r="B156" s="211"/>
      <c r="C156" s="212"/>
      <c r="D156" s="213"/>
      <c r="E156" s="213"/>
      <c r="F156" s="213"/>
      <c r="G156" s="213"/>
      <c r="H156" s="213"/>
      <c r="I156" s="213"/>
      <c r="J156" s="213"/>
      <c r="K156" s="213"/>
      <c r="L156" s="213"/>
      <c r="M156" s="213"/>
      <c r="N156" s="213"/>
      <c r="O156" s="213"/>
      <c r="P156" s="214"/>
      <c r="Q156" s="215"/>
      <c r="R156" s="216"/>
    </row>
    <row r="157" spans="1:18" ht="27" customHeight="1">
      <c r="A157" s="210">
        <v>46401</v>
      </c>
      <c r="B157" s="211"/>
      <c r="C157" s="212"/>
      <c r="D157" s="213"/>
      <c r="E157" s="213"/>
      <c r="F157" s="213"/>
      <c r="G157" s="213"/>
      <c r="H157" s="213"/>
      <c r="I157" s="213"/>
      <c r="J157" s="213"/>
      <c r="K157" s="213"/>
      <c r="L157" s="213"/>
      <c r="M157" s="213"/>
      <c r="N157" s="213"/>
      <c r="O157" s="213"/>
      <c r="P157" s="214"/>
      <c r="Q157" s="215"/>
      <c r="R157" s="216"/>
    </row>
    <row r="158" spans="1:18" ht="27" customHeight="1">
      <c r="A158" s="210">
        <v>46402</v>
      </c>
      <c r="B158" s="211"/>
      <c r="C158" s="212"/>
      <c r="D158" s="213"/>
      <c r="E158" s="213"/>
      <c r="F158" s="213"/>
      <c r="G158" s="213"/>
      <c r="H158" s="213"/>
      <c r="I158" s="213"/>
      <c r="J158" s="213"/>
      <c r="K158" s="213"/>
      <c r="L158" s="213"/>
      <c r="M158" s="213"/>
      <c r="N158" s="213"/>
      <c r="O158" s="213"/>
      <c r="P158" s="214"/>
      <c r="Q158" s="215"/>
      <c r="R158" s="216"/>
    </row>
    <row r="159" spans="1:18" ht="27" customHeight="1">
      <c r="A159" s="210">
        <v>46403</v>
      </c>
      <c r="B159" s="211"/>
      <c r="C159" s="212"/>
      <c r="D159" s="213"/>
      <c r="E159" s="213"/>
      <c r="F159" s="213"/>
      <c r="G159" s="213"/>
      <c r="H159" s="213"/>
      <c r="I159" s="213"/>
      <c r="J159" s="213"/>
      <c r="K159" s="213"/>
      <c r="L159" s="213"/>
      <c r="M159" s="213"/>
      <c r="N159" s="213"/>
      <c r="O159" s="213"/>
      <c r="P159" s="214"/>
      <c r="Q159" s="215"/>
      <c r="R159" s="216"/>
    </row>
    <row r="160" spans="1:18" ht="27" customHeight="1">
      <c r="A160" s="210">
        <v>46404</v>
      </c>
      <c r="B160" s="211"/>
      <c r="C160" s="212"/>
      <c r="D160" s="213"/>
      <c r="E160" s="213"/>
      <c r="F160" s="213"/>
      <c r="G160" s="213"/>
      <c r="H160" s="213"/>
      <c r="I160" s="213"/>
      <c r="J160" s="213"/>
      <c r="K160" s="213"/>
      <c r="L160" s="213"/>
      <c r="M160" s="213"/>
      <c r="N160" s="213"/>
      <c r="O160" s="213"/>
      <c r="P160" s="214"/>
      <c r="Q160" s="215"/>
      <c r="R160" s="216"/>
    </row>
    <row r="161" spans="1:18" ht="27" customHeight="1">
      <c r="A161" s="210">
        <v>46405</v>
      </c>
      <c r="B161" s="211"/>
      <c r="C161" s="212"/>
      <c r="D161" s="213"/>
      <c r="E161" s="213"/>
      <c r="F161" s="213"/>
      <c r="G161" s="213"/>
      <c r="H161" s="213"/>
      <c r="I161" s="213"/>
      <c r="J161" s="213"/>
      <c r="K161" s="213"/>
      <c r="L161" s="213"/>
      <c r="M161" s="213"/>
      <c r="N161" s="213"/>
      <c r="O161" s="213"/>
      <c r="P161" s="214"/>
      <c r="Q161" s="215"/>
      <c r="R161" s="216"/>
    </row>
    <row r="162" spans="1:18" ht="27" customHeight="1">
      <c r="A162" s="210">
        <v>46406</v>
      </c>
      <c r="B162" s="211"/>
      <c r="C162" s="212"/>
      <c r="D162" s="213"/>
      <c r="E162" s="213"/>
      <c r="F162" s="213"/>
      <c r="G162" s="213"/>
      <c r="H162" s="213"/>
      <c r="I162" s="213"/>
      <c r="J162" s="213"/>
      <c r="K162" s="213"/>
      <c r="L162" s="213"/>
      <c r="M162" s="213"/>
      <c r="N162" s="213"/>
      <c r="O162" s="213"/>
      <c r="P162" s="214"/>
      <c r="Q162" s="215"/>
      <c r="R162" s="216"/>
    </row>
    <row r="163" spans="1:18" ht="27" customHeight="1">
      <c r="A163" s="210">
        <v>46407</v>
      </c>
      <c r="B163" s="211"/>
      <c r="C163" s="212"/>
      <c r="D163" s="213"/>
      <c r="E163" s="213"/>
      <c r="F163" s="213"/>
      <c r="G163" s="213"/>
      <c r="H163" s="213"/>
      <c r="I163" s="213"/>
      <c r="J163" s="213"/>
      <c r="K163" s="213"/>
      <c r="L163" s="213"/>
      <c r="M163" s="213"/>
      <c r="N163" s="213"/>
      <c r="O163" s="213"/>
      <c r="P163" s="214"/>
      <c r="Q163" s="215"/>
      <c r="R163" s="216"/>
    </row>
    <row r="164" spans="1:18" ht="27" customHeight="1">
      <c r="A164" s="210">
        <v>46408</v>
      </c>
      <c r="B164" s="211"/>
      <c r="C164" s="212"/>
      <c r="D164" s="213"/>
      <c r="E164" s="213"/>
      <c r="F164" s="213"/>
      <c r="G164" s="213"/>
      <c r="H164" s="213"/>
      <c r="I164" s="213"/>
      <c r="J164" s="213"/>
      <c r="K164" s="213"/>
      <c r="L164" s="213"/>
      <c r="M164" s="213"/>
      <c r="N164" s="213"/>
      <c r="O164" s="213"/>
      <c r="P164" s="214"/>
      <c r="Q164" s="215"/>
      <c r="R164" s="216"/>
    </row>
    <row r="165" spans="1:18" ht="27" customHeight="1">
      <c r="A165" s="210">
        <v>46409</v>
      </c>
      <c r="B165" s="211"/>
      <c r="C165" s="212"/>
      <c r="D165" s="213"/>
      <c r="E165" s="213"/>
      <c r="F165" s="213"/>
      <c r="G165" s="213"/>
      <c r="H165" s="213"/>
      <c r="I165" s="213"/>
      <c r="J165" s="213"/>
      <c r="K165" s="213"/>
      <c r="L165" s="213"/>
      <c r="M165" s="213"/>
      <c r="N165" s="213"/>
      <c r="O165" s="213"/>
      <c r="P165" s="214"/>
      <c r="Q165" s="215"/>
      <c r="R165" s="216"/>
    </row>
    <row r="166" spans="1:18" ht="27" customHeight="1">
      <c r="A166" s="210">
        <v>46410</v>
      </c>
      <c r="B166" s="211"/>
      <c r="C166" s="212"/>
      <c r="D166" s="213"/>
      <c r="E166" s="213"/>
      <c r="F166" s="213"/>
      <c r="G166" s="213"/>
      <c r="H166" s="213"/>
      <c r="I166" s="213"/>
      <c r="J166" s="213"/>
      <c r="K166" s="213"/>
      <c r="L166" s="213"/>
      <c r="M166" s="213"/>
      <c r="N166" s="213"/>
      <c r="O166" s="213"/>
      <c r="P166" s="214"/>
      <c r="Q166" s="215"/>
      <c r="R166" s="216"/>
    </row>
    <row r="167" spans="1:18" ht="27" customHeight="1">
      <c r="A167" s="210">
        <v>46411</v>
      </c>
      <c r="B167" s="211"/>
      <c r="C167" s="212"/>
      <c r="D167" s="213"/>
      <c r="E167" s="213"/>
      <c r="F167" s="213"/>
      <c r="G167" s="213"/>
      <c r="H167" s="213"/>
      <c r="I167" s="213"/>
      <c r="J167" s="213"/>
      <c r="K167" s="213"/>
      <c r="L167" s="213"/>
      <c r="M167" s="213"/>
      <c r="N167" s="213"/>
      <c r="O167" s="213"/>
      <c r="P167" s="214"/>
      <c r="Q167" s="215"/>
      <c r="R167" s="216"/>
    </row>
    <row r="168" spans="1:18" ht="27" customHeight="1">
      <c r="A168" s="210">
        <v>46412</v>
      </c>
      <c r="B168" s="211"/>
      <c r="C168" s="212"/>
      <c r="D168" s="213"/>
      <c r="E168" s="213"/>
      <c r="F168" s="213"/>
      <c r="G168" s="213"/>
      <c r="H168" s="213"/>
      <c r="I168" s="213"/>
      <c r="J168" s="213"/>
      <c r="K168" s="213"/>
      <c r="L168" s="213"/>
      <c r="M168" s="213"/>
      <c r="N168" s="213"/>
      <c r="O168" s="213"/>
      <c r="P168" s="214"/>
      <c r="Q168" s="215"/>
      <c r="R168" s="216"/>
    </row>
    <row r="169" spans="1:18" ht="27" customHeight="1">
      <c r="A169" s="210">
        <v>46413</v>
      </c>
      <c r="B169" s="211"/>
      <c r="C169" s="212"/>
      <c r="D169" s="213"/>
      <c r="E169" s="213"/>
      <c r="F169" s="213"/>
      <c r="G169" s="213"/>
      <c r="H169" s="213"/>
      <c r="I169" s="213"/>
      <c r="J169" s="213"/>
      <c r="K169" s="213"/>
      <c r="L169" s="213"/>
      <c r="M169" s="213"/>
      <c r="N169" s="213"/>
      <c r="O169" s="213"/>
      <c r="P169" s="214"/>
      <c r="Q169" s="215"/>
      <c r="R169" s="216"/>
    </row>
    <row r="170" spans="1:18" ht="27" customHeight="1">
      <c r="A170" s="210">
        <v>46414</v>
      </c>
      <c r="B170" s="211"/>
      <c r="C170" s="212"/>
      <c r="D170" s="213"/>
      <c r="E170" s="213"/>
      <c r="F170" s="213"/>
      <c r="G170" s="213"/>
      <c r="H170" s="213"/>
      <c r="I170" s="213"/>
      <c r="J170" s="213"/>
      <c r="K170" s="213"/>
      <c r="L170" s="213"/>
      <c r="M170" s="213"/>
      <c r="N170" s="213"/>
      <c r="O170" s="213"/>
      <c r="P170" s="214"/>
      <c r="Q170" s="215"/>
      <c r="R170" s="216"/>
    </row>
    <row r="171" spans="1:18" ht="27" customHeight="1">
      <c r="A171" s="210">
        <v>46415</v>
      </c>
      <c r="B171" s="211"/>
      <c r="C171" s="212"/>
      <c r="D171" s="213"/>
      <c r="E171" s="213"/>
      <c r="F171" s="213"/>
      <c r="G171" s="213"/>
      <c r="H171" s="213"/>
      <c r="I171" s="213"/>
      <c r="J171" s="213"/>
      <c r="K171" s="213"/>
      <c r="L171" s="213"/>
      <c r="M171" s="213"/>
      <c r="N171" s="213"/>
      <c r="O171" s="213"/>
      <c r="P171" s="214"/>
      <c r="Q171" s="215"/>
      <c r="R171" s="216"/>
    </row>
    <row r="172" spans="1:18" ht="27" customHeight="1">
      <c r="A172" s="210">
        <v>46416</v>
      </c>
      <c r="B172" s="211"/>
      <c r="C172" s="212"/>
      <c r="D172" s="213"/>
      <c r="E172" s="213"/>
      <c r="F172" s="213"/>
      <c r="G172" s="213"/>
      <c r="H172" s="213"/>
      <c r="I172" s="213"/>
      <c r="J172" s="213"/>
      <c r="K172" s="213"/>
      <c r="L172" s="213"/>
      <c r="M172" s="213"/>
      <c r="N172" s="213"/>
      <c r="O172" s="213"/>
      <c r="P172" s="214"/>
      <c r="Q172" s="215"/>
      <c r="R172" s="216"/>
    </row>
    <row r="173" spans="1:18" ht="27" customHeight="1">
      <c r="A173" s="210">
        <v>46417</v>
      </c>
      <c r="B173" s="211"/>
      <c r="C173" s="212"/>
      <c r="D173" s="213"/>
      <c r="E173" s="213"/>
      <c r="F173" s="213"/>
      <c r="G173" s="213"/>
      <c r="H173" s="213"/>
      <c r="I173" s="213"/>
      <c r="J173" s="213"/>
      <c r="K173" s="213"/>
      <c r="L173" s="213"/>
      <c r="M173" s="213"/>
      <c r="N173" s="213"/>
      <c r="O173" s="213"/>
      <c r="P173" s="214"/>
      <c r="Q173" s="215"/>
      <c r="R173" s="216"/>
    </row>
    <row r="174" spans="1:18" ht="27" customHeight="1">
      <c r="A174" s="210">
        <v>46418</v>
      </c>
      <c r="B174" s="211"/>
      <c r="C174" s="212"/>
      <c r="D174" s="213"/>
      <c r="E174" s="213"/>
      <c r="F174" s="213"/>
      <c r="G174" s="213"/>
      <c r="H174" s="213"/>
      <c r="I174" s="213"/>
      <c r="J174" s="213"/>
      <c r="K174" s="213"/>
      <c r="L174" s="213"/>
      <c r="M174" s="213"/>
      <c r="N174" s="213"/>
      <c r="O174" s="213"/>
      <c r="P174" s="214"/>
      <c r="Q174" s="215"/>
      <c r="R174" s="216"/>
    </row>
    <row r="175" spans="1:18" ht="27" customHeight="1">
      <c r="A175" s="210">
        <v>46419</v>
      </c>
      <c r="B175" s="211"/>
      <c r="C175" s="212"/>
      <c r="D175" s="213"/>
      <c r="E175" s="213"/>
      <c r="F175" s="213"/>
      <c r="G175" s="213"/>
      <c r="H175" s="213"/>
      <c r="I175" s="213"/>
      <c r="J175" s="213"/>
      <c r="K175" s="213"/>
      <c r="L175" s="213"/>
      <c r="M175" s="213"/>
      <c r="N175" s="213"/>
      <c r="O175" s="213"/>
      <c r="P175" s="214"/>
      <c r="Q175" s="215"/>
      <c r="R175" s="216"/>
    </row>
    <row r="176" spans="1:18" ht="27" customHeight="1">
      <c r="A176" s="210">
        <v>46420</v>
      </c>
      <c r="B176" s="211"/>
      <c r="C176" s="212"/>
      <c r="D176" s="213"/>
      <c r="E176" s="213"/>
      <c r="F176" s="213"/>
      <c r="G176" s="213"/>
      <c r="H176" s="213"/>
      <c r="I176" s="213"/>
      <c r="J176" s="213"/>
      <c r="K176" s="213"/>
      <c r="L176" s="213"/>
      <c r="M176" s="213"/>
      <c r="N176" s="213"/>
      <c r="O176" s="213"/>
      <c r="P176" s="214"/>
      <c r="Q176" s="215"/>
      <c r="R176" s="216"/>
    </row>
    <row r="177" spans="1:18" ht="27" customHeight="1">
      <c r="A177" s="210">
        <v>46421</v>
      </c>
      <c r="B177" s="211"/>
      <c r="C177" s="212"/>
      <c r="D177" s="213"/>
      <c r="E177" s="213"/>
      <c r="F177" s="213"/>
      <c r="G177" s="213"/>
      <c r="H177" s="213"/>
      <c r="I177" s="213"/>
      <c r="J177" s="213"/>
      <c r="K177" s="213"/>
      <c r="L177" s="213"/>
      <c r="M177" s="213"/>
      <c r="N177" s="213"/>
      <c r="O177" s="213"/>
      <c r="P177" s="214"/>
      <c r="Q177" s="215"/>
      <c r="R177" s="216"/>
    </row>
    <row r="178" spans="1:18" ht="27" customHeight="1">
      <c r="A178" s="210">
        <v>46422</v>
      </c>
      <c r="B178" s="211"/>
      <c r="C178" s="212"/>
      <c r="D178" s="213"/>
      <c r="E178" s="213"/>
      <c r="F178" s="213"/>
      <c r="G178" s="213"/>
      <c r="H178" s="213"/>
      <c r="I178" s="213"/>
      <c r="J178" s="213"/>
      <c r="K178" s="213"/>
      <c r="L178" s="213"/>
      <c r="M178" s="213"/>
      <c r="N178" s="213"/>
      <c r="O178" s="213"/>
      <c r="P178" s="214"/>
      <c r="Q178" s="215"/>
      <c r="R178" s="216"/>
    </row>
    <row r="179" spans="1:18" ht="27" customHeight="1">
      <c r="A179" s="210">
        <v>46423</v>
      </c>
      <c r="B179" s="211"/>
      <c r="C179" s="212"/>
      <c r="D179" s="213"/>
      <c r="E179" s="213"/>
      <c r="F179" s="213"/>
      <c r="G179" s="213"/>
      <c r="H179" s="213"/>
      <c r="I179" s="213"/>
      <c r="J179" s="213"/>
      <c r="K179" s="213"/>
      <c r="L179" s="213"/>
      <c r="M179" s="213"/>
      <c r="N179" s="213"/>
      <c r="O179" s="213"/>
      <c r="P179" s="214"/>
      <c r="Q179" s="215"/>
      <c r="R179" s="216"/>
    </row>
    <row r="180" spans="1:18" ht="27" customHeight="1">
      <c r="A180" s="210">
        <v>46424</v>
      </c>
      <c r="B180" s="211"/>
      <c r="C180" s="212"/>
      <c r="D180" s="213"/>
      <c r="E180" s="213"/>
      <c r="F180" s="213"/>
      <c r="G180" s="213"/>
      <c r="H180" s="213"/>
      <c r="I180" s="213"/>
      <c r="J180" s="213"/>
      <c r="K180" s="213"/>
      <c r="L180" s="213"/>
      <c r="M180" s="213"/>
      <c r="N180" s="213"/>
      <c r="O180" s="213"/>
      <c r="P180" s="214"/>
      <c r="Q180" s="215"/>
      <c r="R180" s="216"/>
    </row>
    <row r="181" spans="1:18" ht="27" customHeight="1">
      <c r="A181" s="210">
        <v>46425</v>
      </c>
      <c r="B181" s="211"/>
      <c r="C181" s="212"/>
      <c r="D181" s="213"/>
      <c r="E181" s="213"/>
      <c r="F181" s="213"/>
      <c r="G181" s="213"/>
      <c r="H181" s="213"/>
      <c r="I181" s="213"/>
      <c r="J181" s="213"/>
      <c r="K181" s="213"/>
      <c r="L181" s="213"/>
      <c r="M181" s="213"/>
      <c r="N181" s="213"/>
      <c r="O181" s="213"/>
      <c r="P181" s="214"/>
      <c r="Q181" s="215"/>
      <c r="R181" s="216"/>
    </row>
    <row r="182" spans="1:18" ht="27" customHeight="1">
      <c r="A182" s="210">
        <v>46426</v>
      </c>
      <c r="B182" s="211"/>
      <c r="C182" s="212"/>
      <c r="D182" s="213"/>
      <c r="E182" s="213"/>
      <c r="F182" s="213"/>
      <c r="G182" s="213"/>
      <c r="H182" s="213"/>
      <c r="I182" s="213"/>
      <c r="J182" s="213"/>
      <c r="K182" s="213"/>
      <c r="L182" s="213"/>
      <c r="M182" s="213"/>
      <c r="N182" s="213"/>
      <c r="O182" s="213"/>
      <c r="P182" s="214"/>
      <c r="Q182" s="215"/>
      <c r="R182" s="216"/>
    </row>
    <row r="183" spans="1:18" ht="27" customHeight="1">
      <c r="A183" s="210">
        <v>46427</v>
      </c>
      <c r="B183" s="211"/>
      <c r="C183" s="212"/>
      <c r="D183" s="213"/>
      <c r="E183" s="213"/>
      <c r="F183" s="213"/>
      <c r="G183" s="213"/>
      <c r="H183" s="213"/>
      <c r="I183" s="213"/>
      <c r="J183" s="213"/>
      <c r="K183" s="213"/>
      <c r="L183" s="213"/>
      <c r="M183" s="213"/>
      <c r="N183" s="213"/>
      <c r="O183" s="213"/>
      <c r="P183" s="214"/>
      <c r="Q183" s="215"/>
      <c r="R183" s="216"/>
    </row>
    <row r="184" spans="1:18" ht="27" customHeight="1">
      <c r="A184" s="210">
        <v>46428</v>
      </c>
      <c r="B184" s="211"/>
      <c r="C184" s="212"/>
      <c r="D184" s="213"/>
      <c r="E184" s="213"/>
      <c r="F184" s="213"/>
      <c r="G184" s="213"/>
      <c r="H184" s="213"/>
      <c r="I184" s="213"/>
      <c r="J184" s="213"/>
      <c r="K184" s="213"/>
      <c r="L184" s="213"/>
      <c r="M184" s="213"/>
      <c r="N184" s="213"/>
      <c r="O184" s="213"/>
      <c r="P184" s="214"/>
      <c r="Q184" s="215"/>
      <c r="R184" s="216"/>
    </row>
    <row r="185" spans="1:18" ht="27" customHeight="1">
      <c r="A185" s="210">
        <v>46429</v>
      </c>
      <c r="B185" s="211"/>
      <c r="C185" s="212"/>
      <c r="D185" s="213"/>
      <c r="E185" s="213"/>
      <c r="F185" s="213"/>
      <c r="G185" s="213"/>
      <c r="H185" s="213"/>
      <c r="I185" s="213"/>
      <c r="J185" s="213"/>
      <c r="K185" s="213"/>
      <c r="L185" s="213"/>
      <c r="M185" s="213"/>
      <c r="N185" s="213"/>
      <c r="O185" s="213"/>
      <c r="P185" s="214"/>
      <c r="Q185" s="215"/>
      <c r="R185" s="216"/>
    </row>
    <row r="186" spans="1:18" ht="27" customHeight="1">
      <c r="A186" s="210">
        <v>46430</v>
      </c>
      <c r="B186" s="211"/>
      <c r="C186" s="212"/>
      <c r="D186" s="213"/>
      <c r="E186" s="213"/>
      <c r="F186" s="213"/>
      <c r="G186" s="213"/>
      <c r="H186" s="213"/>
      <c r="I186" s="213"/>
      <c r="J186" s="213"/>
      <c r="K186" s="213"/>
      <c r="L186" s="213"/>
      <c r="M186" s="213"/>
      <c r="N186" s="213"/>
      <c r="O186" s="213"/>
      <c r="P186" s="214"/>
      <c r="Q186" s="215"/>
      <c r="R186" s="216"/>
    </row>
    <row r="187" spans="1:18" ht="27" customHeight="1">
      <c r="A187" s="210">
        <v>46431</v>
      </c>
      <c r="B187" s="211"/>
      <c r="C187" s="212"/>
      <c r="D187" s="213"/>
      <c r="E187" s="213"/>
      <c r="F187" s="213"/>
      <c r="G187" s="213"/>
      <c r="H187" s="213"/>
      <c r="I187" s="213"/>
      <c r="J187" s="213"/>
      <c r="K187" s="213"/>
      <c r="L187" s="213"/>
      <c r="M187" s="213"/>
      <c r="N187" s="213"/>
      <c r="O187" s="213"/>
      <c r="P187" s="214"/>
      <c r="Q187" s="215"/>
      <c r="R187" s="216"/>
    </row>
    <row r="188" spans="1:18" ht="27" customHeight="1">
      <c r="A188" s="210">
        <v>46432</v>
      </c>
      <c r="B188" s="211"/>
      <c r="C188" s="212"/>
      <c r="D188" s="213"/>
      <c r="E188" s="213"/>
      <c r="F188" s="213"/>
      <c r="G188" s="213"/>
      <c r="H188" s="213"/>
      <c r="I188" s="213"/>
      <c r="J188" s="213"/>
      <c r="K188" s="213"/>
      <c r="L188" s="213"/>
      <c r="M188" s="213"/>
      <c r="N188" s="213"/>
      <c r="O188" s="213"/>
      <c r="P188" s="214"/>
      <c r="Q188" s="215"/>
      <c r="R188" s="216"/>
    </row>
    <row r="189" spans="1:18" ht="27" customHeight="1">
      <c r="A189" s="210">
        <v>46433</v>
      </c>
      <c r="B189" s="211"/>
      <c r="C189" s="212"/>
      <c r="D189" s="213"/>
      <c r="E189" s="213"/>
      <c r="F189" s="213"/>
      <c r="G189" s="213"/>
      <c r="H189" s="213"/>
      <c r="I189" s="213"/>
      <c r="J189" s="213"/>
      <c r="K189" s="213"/>
      <c r="L189" s="213"/>
      <c r="M189" s="213"/>
      <c r="N189" s="213"/>
      <c r="O189" s="213"/>
      <c r="P189" s="214"/>
      <c r="Q189" s="215"/>
      <c r="R189" s="216"/>
    </row>
    <row r="190" spans="1:18" ht="27" customHeight="1">
      <c r="A190" s="210">
        <v>46434</v>
      </c>
      <c r="B190" s="211"/>
      <c r="C190" s="212"/>
      <c r="D190" s="213"/>
      <c r="E190" s="213"/>
      <c r="F190" s="213"/>
      <c r="G190" s="213"/>
      <c r="H190" s="213"/>
      <c r="I190" s="213"/>
      <c r="J190" s="213"/>
      <c r="K190" s="213"/>
      <c r="L190" s="213"/>
      <c r="M190" s="213"/>
      <c r="N190" s="213"/>
      <c r="O190" s="213"/>
      <c r="P190" s="214"/>
      <c r="Q190" s="215"/>
      <c r="R190" s="216"/>
    </row>
    <row r="191" spans="1:18" ht="27" customHeight="1">
      <c r="A191" s="210">
        <v>46435</v>
      </c>
      <c r="B191" s="211"/>
      <c r="C191" s="212"/>
      <c r="D191" s="213"/>
      <c r="E191" s="213"/>
      <c r="F191" s="213"/>
      <c r="G191" s="213"/>
      <c r="H191" s="213"/>
      <c r="I191" s="213"/>
      <c r="J191" s="213"/>
      <c r="K191" s="213"/>
      <c r="L191" s="213"/>
      <c r="M191" s="213"/>
      <c r="N191" s="213"/>
      <c r="O191" s="213"/>
      <c r="P191" s="214"/>
      <c r="Q191" s="215"/>
      <c r="R191" s="216"/>
    </row>
    <row r="192" spans="1:18" ht="27" customHeight="1">
      <c r="A192" s="210">
        <v>46436</v>
      </c>
      <c r="B192" s="211"/>
      <c r="C192" s="212"/>
      <c r="D192" s="213"/>
      <c r="E192" s="213"/>
      <c r="F192" s="213"/>
      <c r="G192" s="213"/>
      <c r="H192" s="213"/>
      <c r="I192" s="213"/>
      <c r="J192" s="213"/>
      <c r="K192" s="213"/>
      <c r="L192" s="213"/>
      <c r="M192" s="213"/>
      <c r="N192" s="213"/>
      <c r="O192" s="213"/>
      <c r="P192" s="214"/>
      <c r="Q192" s="215"/>
      <c r="R192" s="216"/>
    </row>
    <row r="193" spans="1:18" ht="27" customHeight="1">
      <c r="A193" s="210">
        <v>46437</v>
      </c>
      <c r="B193" s="211"/>
      <c r="C193" s="212"/>
      <c r="D193" s="213"/>
      <c r="E193" s="213"/>
      <c r="F193" s="213"/>
      <c r="G193" s="213"/>
      <c r="H193" s="213"/>
      <c r="I193" s="213"/>
      <c r="J193" s="213"/>
      <c r="K193" s="213"/>
      <c r="L193" s="213"/>
      <c r="M193" s="213"/>
      <c r="N193" s="213"/>
      <c r="O193" s="213"/>
      <c r="P193" s="214"/>
      <c r="Q193" s="215"/>
      <c r="R193" s="216"/>
    </row>
    <row r="194" spans="1:18" ht="27" customHeight="1">
      <c r="A194" s="210">
        <v>46438</v>
      </c>
      <c r="B194" s="211"/>
      <c r="C194" s="212"/>
      <c r="D194" s="213"/>
      <c r="E194" s="213"/>
      <c r="F194" s="213"/>
      <c r="G194" s="213"/>
      <c r="H194" s="213"/>
      <c r="I194" s="213"/>
      <c r="J194" s="213"/>
      <c r="K194" s="213"/>
      <c r="L194" s="213"/>
      <c r="M194" s="213"/>
      <c r="N194" s="213"/>
      <c r="O194" s="213"/>
      <c r="P194" s="214"/>
      <c r="Q194" s="215"/>
      <c r="R194" s="216"/>
    </row>
    <row r="195" spans="1:18" ht="27" customHeight="1">
      <c r="A195" s="210">
        <v>46439</v>
      </c>
      <c r="B195" s="211"/>
      <c r="C195" s="212"/>
      <c r="D195" s="213"/>
      <c r="E195" s="213"/>
      <c r="F195" s="213"/>
      <c r="G195" s="213"/>
      <c r="H195" s="213"/>
      <c r="I195" s="213"/>
      <c r="J195" s="213"/>
      <c r="K195" s="213"/>
      <c r="L195" s="213"/>
      <c r="M195" s="213"/>
      <c r="N195" s="213"/>
      <c r="O195" s="213"/>
      <c r="P195" s="214"/>
      <c r="Q195" s="215"/>
      <c r="R195" s="216"/>
    </row>
    <row r="196" spans="1:18" ht="27" customHeight="1">
      <c r="A196" s="210">
        <v>46440</v>
      </c>
      <c r="B196" s="211"/>
      <c r="C196" s="212"/>
      <c r="D196" s="213"/>
      <c r="E196" s="213"/>
      <c r="F196" s="213"/>
      <c r="G196" s="213"/>
      <c r="H196" s="213"/>
      <c r="I196" s="213"/>
      <c r="J196" s="213"/>
      <c r="K196" s="213"/>
      <c r="L196" s="213"/>
      <c r="M196" s="213"/>
      <c r="N196" s="213"/>
      <c r="O196" s="213"/>
      <c r="P196" s="214"/>
      <c r="Q196" s="215"/>
      <c r="R196" s="216"/>
    </row>
    <row r="197" spans="1:18" ht="27" customHeight="1">
      <c r="A197" s="210">
        <v>46441</v>
      </c>
      <c r="B197" s="211"/>
      <c r="C197" s="212"/>
      <c r="D197" s="213"/>
      <c r="E197" s="213"/>
      <c r="F197" s="213"/>
      <c r="G197" s="213"/>
      <c r="H197" s="213"/>
      <c r="I197" s="213"/>
      <c r="J197" s="213"/>
      <c r="K197" s="213"/>
      <c r="L197" s="213"/>
      <c r="M197" s="213"/>
      <c r="N197" s="213"/>
      <c r="O197" s="213"/>
      <c r="P197" s="214"/>
      <c r="Q197" s="215"/>
      <c r="R197" s="216"/>
    </row>
    <row r="198" spans="1:18" ht="27" customHeight="1">
      <c r="A198" s="210">
        <v>46442</v>
      </c>
      <c r="B198" s="211"/>
      <c r="C198" s="212"/>
      <c r="D198" s="213"/>
      <c r="E198" s="213"/>
      <c r="F198" s="213"/>
      <c r="G198" s="213"/>
      <c r="H198" s="213"/>
      <c r="I198" s="213"/>
      <c r="J198" s="213"/>
      <c r="K198" s="213"/>
      <c r="L198" s="213"/>
      <c r="M198" s="213"/>
      <c r="N198" s="213"/>
      <c r="O198" s="213"/>
      <c r="P198" s="214"/>
      <c r="Q198" s="215"/>
      <c r="R198" s="216"/>
    </row>
    <row r="199" spans="1:18" ht="27" customHeight="1">
      <c r="A199" s="210">
        <v>46443</v>
      </c>
      <c r="B199" s="211"/>
      <c r="C199" s="212"/>
      <c r="D199" s="213"/>
      <c r="E199" s="213"/>
      <c r="F199" s="213"/>
      <c r="G199" s="213"/>
      <c r="H199" s="213"/>
      <c r="I199" s="213"/>
      <c r="J199" s="213"/>
      <c r="K199" s="213"/>
      <c r="L199" s="213"/>
      <c r="M199" s="213"/>
      <c r="N199" s="213"/>
      <c r="O199" s="213"/>
      <c r="P199" s="214"/>
      <c r="Q199" s="215"/>
      <c r="R199" s="216"/>
    </row>
    <row r="200" spans="1:18" ht="27" customHeight="1">
      <c r="A200" s="210">
        <v>46444</v>
      </c>
      <c r="B200" s="211"/>
      <c r="C200" s="212"/>
      <c r="D200" s="213"/>
      <c r="E200" s="213"/>
      <c r="F200" s="213"/>
      <c r="G200" s="213"/>
      <c r="H200" s="213"/>
      <c r="I200" s="213"/>
      <c r="J200" s="213"/>
      <c r="K200" s="213"/>
      <c r="L200" s="213"/>
      <c r="M200" s="213"/>
      <c r="N200" s="213"/>
      <c r="O200" s="213"/>
      <c r="P200" s="214"/>
      <c r="Q200" s="215"/>
      <c r="R200" s="216"/>
    </row>
    <row r="201" spans="1:18" ht="27" customHeight="1">
      <c r="A201" s="210">
        <v>46445</v>
      </c>
      <c r="B201" s="211"/>
      <c r="C201" s="212"/>
      <c r="D201" s="213"/>
      <c r="E201" s="213"/>
      <c r="F201" s="213"/>
      <c r="G201" s="213"/>
      <c r="H201" s="213"/>
      <c r="I201" s="213"/>
      <c r="J201" s="213"/>
      <c r="K201" s="213"/>
      <c r="L201" s="213"/>
      <c r="M201" s="213"/>
      <c r="N201" s="213"/>
      <c r="O201" s="213"/>
      <c r="P201" s="214"/>
      <c r="Q201" s="215"/>
      <c r="R201" s="216"/>
    </row>
    <row r="202" spans="1:18" ht="27" customHeight="1" thickBot="1">
      <c r="A202" s="210">
        <v>46446</v>
      </c>
      <c r="B202" s="211"/>
      <c r="C202" s="212"/>
      <c r="D202" s="213"/>
      <c r="E202" s="213"/>
      <c r="F202" s="213"/>
      <c r="G202" s="213"/>
      <c r="H202" s="213"/>
      <c r="I202" s="213"/>
      <c r="J202" s="213"/>
      <c r="K202" s="213"/>
      <c r="L202" s="213"/>
      <c r="M202" s="213"/>
      <c r="N202" s="213"/>
      <c r="O202" s="213"/>
      <c r="P202" s="214"/>
      <c r="Q202" s="215"/>
      <c r="R202" s="216"/>
    </row>
    <row r="203" spans="1:18" ht="27" customHeight="1" thickBot="1">
      <c r="A203" s="210">
        <v>46447</v>
      </c>
      <c r="B203" s="211"/>
      <c r="C203" s="212"/>
      <c r="D203" s="213"/>
      <c r="E203" s="213"/>
      <c r="F203" s="213"/>
      <c r="G203" s="213"/>
      <c r="H203" s="213"/>
      <c r="I203" s="213"/>
      <c r="J203" s="213"/>
      <c r="K203" s="213"/>
      <c r="L203" s="213"/>
      <c r="M203" s="213"/>
      <c r="N203" s="213"/>
      <c r="O203" s="213"/>
      <c r="P203" s="214"/>
      <c r="Q203" s="215"/>
      <c r="R203" s="216"/>
    </row>
    <row r="204" spans="1:18" ht="27" customHeight="1" thickBot="1">
      <c r="A204" s="210">
        <v>46448</v>
      </c>
      <c r="B204" s="211"/>
      <c r="C204" s="212"/>
      <c r="D204" s="213"/>
      <c r="E204" s="213"/>
      <c r="F204" s="213"/>
      <c r="G204" s="213"/>
      <c r="H204" s="213"/>
      <c r="I204" s="213"/>
      <c r="J204" s="213"/>
      <c r="K204" s="213"/>
      <c r="L204" s="213"/>
      <c r="M204" s="213"/>
      <c r="N204" s="213"/>
      <c r="O204" s="213"/>
      <c r="P204" s="214"/>
      <c r="Q204" s="215"/>
      <c r="R204" s="216"/>
    </row>
    <row r="205" spans="1:18" ht="27" customHeight="1" thickBot="1">
      <c r="A205" s="210">
        <v>46449</v>
      </c>
      <c r="B205" s="211"/>
      <c r="C205" s="212"/>
      <c r="D205" s="213"/>
      <c r="E205" s="213"/>
      <c r="F205" s="213"/>
      <c r="G205" s="213"/>
      <c r="H205" s="213"/>
      <c r="I205" s="213"/>
      <c r="J205" s="213"/>
      <c r="K205" s="213"/>
      <c r="L205" s="213"/>
      <c r="M205" s="213"/>
      <c r="N205" s="213"/>
      <c r="O205" s="213"/>
      <c r="P205" s="214"/>
      <c r="Q205" s="215"/>
      <c r="R205" s="216"/>
    </row>
    <row r="206" spans="1:18" ht="27" customHeight="1" thickBot="1">
      <c r="A206" s="210">
        <v>46450</v>
      </c>
      <c r="B206" s="211"/>
      <c r="C206" s="212"/>
      <c r="D206" s="213"/>
      <c r="E206" s="213"/>
      <c r="F206" s="213"/>
      <c r="G206" s="213"/>
      <c r="H206" s="213"/>
      <c r="I206" s="213"/>
      <c r="J206" s="213"/>
      <c r="K206" s="213"/>
      <c r="L206" s="213"/>
      <c r="M206" s="213"/>
      <c r="N206" s="213"/>
      <c r="O206" s="213"/>
      <c r="P206" s="214"/>
      <c r="Q206" s="215"/>
      <c r="R206" s="216"/>
    </row>
    <row r="207" spans="1:18" ht="27" customHeight="1" thickBot="1">
      <c r="A207" s="210">
        <v>46451</v>
      </c>
      <c r="B207" s="211"/>
      <c r="C207" s="212"/>
      <c r="D207" s="213"/>
      <c r="E207" s="213"/>
      <c r="F207" s="213"/>
      <c r="G207" s="213"/>
      <c r="H207" s="213"/>
      <c r="I207" s="213"/>
      <c r="J207" s="213"/>
      <c r="K207" s="213"/>
      <c r="L207" s="213"/>
      <c r="M207" s="213"/>
      <c r="N207" s="213"/>
      <c r="O207" s="213"/>
      <c r="P207" s="214"/>
      <c r="Q207" s="215"/>
      <c r="R207" s="216"/>
    </row>
    <row r="208" spans="1:18" ht="27" customHeight="1" thickBot="1">
      <c r="A208" s="210">
        <v>46452</v>
      </c>
      <c r="B208" s="211"/>
      <c r="C208" s="212"/>
      <c r="D208" s="213"/>
      <c r="E208" s="213"/>
      <c r="F208" s="213"/>
      <c r="G208" s="213"/>
      <c r="H208" s="213"/>
      <c r="I208" s="213"/>
      <c r="J208" s="213"/>
      <c r="K208" s="213"/>
      <c r="L208" s="213"/>
      <c r="M208" s="213"/>
      <c r="N208" s="213"/>
      <c r="O208" s="213"/>
      <c r="P208" s="214"/>
      <c r="Q208" s="215"/>
      <c r="R208" s="216"/>
    </row>
    <row r="209" spans="1:18" ht="27" customHeight="1" thickBot="1">
      <c r="A209" s="210">
        <v>46453</v>
      </c>
      <c r="B209" s="211"/>
      <c r="C209" s="212"/>
      <c r="D209" s="213"/>
      <c r="E209" s="213"/>
      <c r="F209" s="213"/>
      <c r="G209" s="213"/>
      <c r="H209" s="213"/>
      <c r="I209" s="213"/>
      <c r="J209" s="213"/>
      <c r="K209" s="213"/>
      <c r="L209" s="213"/>
      <c r="M209" s="213"/>
      <c r="N209" s="213"/>
      <c r="O209" s="213"/>
      <c r="P209" s="214"/>
      <c r="Q209" s="215"/>
      <c r="R209" s="216"/>
    </row>
    <row r="210" spans="1:18" ht="27" customHeight="1" thickBot="1">
      <c r="A210" s="210">
        <v>46454</v>
      </c>
      <c r="B210" s="211"/>
      <c r="C210" s="212"/>
      <c r="D210" s="213"/>
      <c r="E210" s="213"/>
      <c r="F210" s="213"/>
      <c r="G210" s="213"/>
      <c r="H210" s="213"/>
      <c r="I210" s="213"/>
      <c r="J210" s="213"/>
      <c r="K210" s="213"/>
      <c r="L210" s="213"/>
      <c r="M210" s="213"/>
      <c r="N210" s="213"/>
      <c r="O210" s="213"/>
      <c r="P210" s="214"/>
      <c r="Q210" s="215"/>
      <c r="R210" s="216"/>
    </row>
    <row r="211" spans="1:18" ht="27" customHeight="1" thickBot="1">
      <c r="A211" s="210">
        <v>46455</v>
      </c>
      <c r="B211" s="211"/>
      <c r="C211" s="212"/>
      <c r="D211" s="213"/>
      <c r="E211" s="213"/>
      <c r="F211" s="213"/>
      <c r="G211" s="213"/>
      <c r="H211" s="213"/>
      <c r="I211" s="213"/>
      <c r="J211" s="213"/>
      <c r="K211" s="213"/>
      <c r="L211" s="213"/>
      <c r="M211" s="213"/>
      <c r="N211" s="213"/>
      <c r="O211" s="213"/>
      <c r="P211" s="214"/>
      <c r="Q211" s="215"/>
      <c r="R211" s="216"/>
    </row>
    <row r="212" spans="1:18" ht="27" customHeight="1" thickBot="1">
      <c r="A212" s="210">
        <v>46456</v>
      </c>
      <c r="B212" s="211"/>
      <c r="C212" s="212"/>
      <c r="D212" s="213"/>
      <c r="E212" s="213"/>
      <c r="F212" s="213"/>
      <c r="G212" s="213"/>
      <c r="H212" s="213"/>
      <c r="I212" s="213"/>
      <c r="J212" s="213"/>
      <c r="K212" s="213"/>
      <c r="L212" s="213"/>
      <c r="M212" s="213"/>
      <c r="N212" s="213"/>
      <c r="O212" s="213"/>
      <c r="P212" s="214"/>
      <c r="Q212" s="215"/>
      <c r="R212" s="216"/>
    </row>
    <row r="213" spans="1:18" ht="27" customHeight="1" thickBot="1">
      <c r="A213" s="210">
        <v>46457</v>
      </c>
      <c r="B213" s="211"/>
      <c r="C213" s="212"/>
      <c r="D213" s="213"/>
      <c r="E213" s="213"/>
      <c r="F213" s="213"/>
      <c r="G213" s="213"/>
      <c r="H213" s="213"/>
      <c r="I213" s="213"/>
      <c r="J213" s="213"/>
      <c r="K213" s="213"/>
      <c r="L213" s="213"/>
      <c r="M213" s="213"/>
      <c r="N213" s="213"/>
      <c r="O213" s="213"/>
      <c r="P213" s="214"/>
      <c r="Q213" s="215"/>
      <c r="R213" s="216"/>
    </row>
    <row r="214" spans="1:18" ht="27" customHeight="1" thickBot="1">
      <c r="A214" s="210">
        <v>46458</v>
      </c>
      <c r="B214" s="211"/>
      <c r="C214" s="212"/>
      <c r="D214" s="213"/>
      <c r="E214" s="213"/>
      <c r="F214" s="213"/>
      <c r="G214" s="213"/>
      <c r="H214" s="213"/>
      <c r="I214" s="213"/>
      <c r="J214" s="213"/>
      <c r="K214" s="213"/>
      <c r="L214" s="213"/>
      <c r="M214" s="213"/>
      <c r="N214" s="213"/>
      <c r="O214" s="213"/>
      <c r="P214" s="214"/>
      <c r="Q214" s="215"/>
      <c r="R214" s="216"/>
    </row>
    <row r="215" spans="1:18" ht="27" customHeight="1" thickBot="1">
      <c r="A215" s="210">
        <v>46459</v>
      </c>
      <c r="B215" s="211"/>
      <c r="C215" s="212"/>
      <c r="D215" s="213"/>
      <c r="E215" s="213"/>
      <c r="F215" s="213"/>
      <c r="G215" s="213"/>
      <c r="H215" s="213"/>
      <c r="I215" s="213"/>
      <c r="J215" s="213"/>
      <c r="K215" s="213"/>
      <c r="L215" s="213"/>
      <c r="M215" s="213"/>
      <c r="N215" s="213"/>
      <c r="O215" s="213"/>
      <c r="P215" s="214"/>
      <c r="Q215" s="215"/>
      <c r="R215" s="216"/>
    </row>
    <row r="216" spans="1:18" ht="27" customHeight="1" thickBot="1">
      <c r="A216" s="210">
        <v>46460</v>
      </c>
      <c r="B216" s="211"/>
      <c r="C216" s="212"/>
      <c r="D216" s="213"/>
      <c r="E216" s="213"/>
      <c r="F216" s="213"/>
      <c r="G216" s="213"/>
      <c r="H216" s="213"/>
      <c r="I216" s="213"/>
      <c r="J216" s="213"/>
      <c r="K216" s="213"/>
      <c r="L216" s="213"/>
      <c r="M216" s="213"/>
      <c r="N216" s="213"/>
      <c r="O216" s="213"/>
      <c r="P216" s="214"/>
      <c r="Q216" s="215"/>
      <c r="R216" s="216"/>
    </row>
    <row r="217" spans="1:18" ht="27" customHeight="1" thickBot="1">
      <c r="A217" s="210">
        <v>46461</v>
      </c>
      <c r="B217" s="211"/>
      <c r="C217" s="212"/>
      <c r="D217" s="213"/>
      <c r="E217" s="213"/>
      <c r="F217" s="213"/>
      <c r="G217" s="213"/>
      <c r="H217" s="213"/>
      <c r="I217" s="213"/>
      <c r="J217" s="213"/>
      <c r="K217" s="213"/>
      <c r="L217" s="213"/>
      <c r="M217" s="213"/>
      <c r="N217" s="213"/>
      <c r="O217" s="213"/>
      <c r="P217" s="214"/>
      <c r="Q217" s="215"/>
      <c r="R217" s="216"/>
    </row>
    <row r="218" spans="1:18" ht="27" customHeight="1" thickBot="1">
      <c r="A218" s="210">
        <v>46462</v>
      </c>
      <c r="B218" s="211"/>
      <c r="C218" s="212"/>
      <c r="D218" s="213"/>
      <c r="E218" s="213"/>
      <c r="F218" s="213"/>
      <c r="G218" s="213"/>
      <c r="H218" s="213"/>
      <c r="I218" s="213"/>
      <c r="J218" s="213"/>
      <c r="K218" s="213"/>
      <c r="L218" s="213"/>
      <c r="M218" s="213"/>
      <c r="N218" s="213"/>
      <c r="O218" s="213"/>
      <c r="P218" s="214"/>
      <c r="Q218" s="215"/>
      <c r="R218" s="216"/>
    </row>
    <row r="219" spans="1:18" ht="27" customHeight="1" thickBot="1">
      <c r="A219" s="210">
        <v>46463</v>
      </c>
      <c r="B219" s="211"/>
      <c r="C219" s="212"/>
      <c r="D219" s="213"/>
      <c r="E219" s="213"/>
      <c r="F219" s="213"/>
      <c r="G219" s="213"/>
      <c r="H219" s="213"/>
      <c r="I219" s="213"/>
      <c r="J219" s="213"/>
      <c r="K219" s="213"/>
      <c r="L219" s="213"/>
      <c r="M219" s="213"/>
      <c r="N219" s="213"/>
      <c r="O219" s="213"/>
      <c r="P219" s="214"/>
      <c r="Q219" s="215"/>
      <c r="R219" s="216"/>
    </row>
    <row r="220" spans="1:18" ht="27" customHeight="1" thickBot="1">
      <c r="A220" s="210">
        <v>46464</v>
      </c>
      <c r="B220" s="211"/>
      <c r="C220" s="212"/>
      <c r="D220" s="213"/>
      <c r="E220" s="213"/>
      <c r="F220" s="213"/>
      <c r="G220" s="213"/>
      <c r="H220" s="213"/>
      <c r="I220" s="213"/>
      <c r="J220" s="213"/>
      <c r="K220" s="213"/>
      <c r="L220" s="213"/>
      <c r="M220" s="213"/>
      <c r="N220" s="213"/>
      <c r="O220" s="213"/>
      <c r="P220" s="214"/>
      <c r="Q220" s="215"/>
      <c r="R220" s="216"/>
    </row>
    <row r="221" spans="1:18" ht="27" customHeight="1" thickBot="1">
      <c r="A221" s="210">
        <v>46465</v>
      </c>
      <c r="B221" s="211"/>
      <c r="C221" s="212"/>
      <c r="D221" s="213"/>
      <c r="E221" s="213"/>
      <c r="F221" s="213"/>
      <c r="G221" s="213"/>
      <c r="H221" s="213"/>
      <c r="I221" s="213"/>
      <c r="J221" s="213"/>
      <c r="K221" s="213"/>
      <c r="L221" s="213"/>
      <c r="M221" s="213"/>
      <c r="N221" s="213"/>
      <c r="O221" s="213"/>
      <c r="P221" s="214"/>
      <c r="Q221" s="215"/>
      <c r="R221" s="216"/>
    </row>
    <row r="222" spans="1:18" ht="27" customHeight="1" thickBot="1">
      <c r="A222" s="210">
        <v>46466</v>
      </c>
      <c r="B222" s="211"/>
      <c r="C222" s="212"/>
      <c r="D222" s="213"/>
      <c r="E222" s="213"/>
      <c r="F222" s="213"/>
      <c r="G222" s="213"/>
      <c r="H222" s="213"/>
      <c r="I222" s="213"/>
      <c r="J222" s="213"/>
      <c r="K222" s="213"/>
      <c r="L222" s="213"/>
      <c r="M222" s="213"/>
      <c r="N222" s="213"/>
      <c r="O222" s="213"/>
      <c r="P222" s="214"/>
      <c r="Q222" s="215"/>
      <c r="R222" s="216"/>
    </row>
    <row r="223" spans="1:18" ht="27" customHeight="1" thickBot="1">
      <c r="A223" s="210">
        <v>46467</v>
      </c>
      <c r="B223" s="211"/>
      <c r="C223" s="212"/>
      <c r="D223" s="213"/>
      <c r="E223" s="213"/>
      <c r="F223" s="213"/>
      <c r="G223" s="213"/>
      <c r="H223" s="213"/>
      <c r="I223" s="213"/>
      <c r="J223" s="213"/>
      <c r="K223" s="213"/>
      <c r="L223" s="213"/>
      <c r="M223" s="213"/>
      <c r="N223" s="213"/>
      <c r="O223" s="213"/>
      <c r="P223" s="214"/>
      <c r="Q223" s="215"/>
      <c r="R223" s="216"/>
    </row>
    <row r="224" spans="1:18" ht="27" customHeight="1" thickBot="1">
      <c r="A224" s="210">
        <v>46468</v>
      </c>
      <c r="B224" s="211"/>
      <c r="C224" s="212"/>
      <c r="D224" s="213"/>
      <c r="E224" s="213"/>
      <c r="F224" s="213"/>
      <c r="G224" s="213"/>
      <c r="H224" s="213"/>
      <c r="I224" s="213"/>
      <c r="J224" s="213"/>
      <c r="K224" s="213"/>
      <c r="L224" s="213"/>
      <c r="M224" s="213"/>
      <c r="N224" s="213"/>
      <c r="O224" s="213"/>
      <c r="P224" s="214"/>
      <c r="Q224" s="215"/>
      <c r="R224" s="216"/>
    </row>
    <row r="225" spans="1:18" ht="27" customHeight="1" thickBot="1">
      <c r="A225" s="210">
        <v>46469</v>
      </c>
      <c r="B225" s="211"/>
      <c r="C225" s="212"/>
      <c r="D225" s="213"/>
      <c r="E225" s="213"/>
      <c r="F225" s="213"/>
      <c r="G225" s="213"/>
      <c r="H225" s="213"/>
      <c r="I225" s="213"/>
      <c r="J225" s="213"/>
      <c r="K225" s="213"/>
      <c r="L225" s="213"/>
      <c r="M225" s="213"/>
      <c r="N225" s="213"/>
      <c r="O225" s="213"/>
      <c r="P225" s="214"/>
      <c r="Q225" s="215"/>
      <c r="R225" s="216"/>
    </row>
    <row r="226" spans="1:18" ht="27" customHeight="1" thickBot="1">
      <c r="A226" s="210">
        <v>46470</v>
      </c>
      <c r="B226" s="211"/>
      <c r="C226" s="212"/>
      <c r="D226" s="213"/>
      <c r="E226" s="213"/>
      <c r="F226" s="213"/>
      <c r="G226" s="213"/>
      <c r="H226" s="213"/>
      <c r="I226" s="213"/>
      <c r="J226" s="213"/>
      <c r="K226" s="213"/>
      <c r="L226" s="213"/>
      <c r="M226" s="213"/>
      <c r="N226" s="213"/>
      <c r="O226" s="213"/>
      <c r="P226" s="214"/>
      <c r="Q226" s="215"/>
      <c r="R226" s="216"/>
    </row>
    <row r="227" spans="1:18" ht="27" customHeight="1" thickBot="1">
      <c r="A227" s="210">
        <v>46471</v>
      </c>
      <c r="B227" s="211"/>
      <c r="C227" s="212"/>
      <c r="D227" s="213"/>
      <c r="E227" s="213"/>
      <c r="F227" s="213"/>
      <c r="G227" s="213"/>
      <c r="H227" s="213"/>
      <c r="I227" s="213"/>
      <c r="J227" s="213"/>
      <c r="K227" s="213"/>
      <c r="L227" s="213"/>
      <c r="M227" s="213"/>
      <c r="N227" s="213"/>
      <c r="O227" s="213"/>
      <c r="P227" s="214"/>
      <c r="Q227" s="215"/>
      <c r="R227" s="216"/>
    </row>
    <row r="228" spans="1:18" ht="27" customHeight="1" thickBot="1">
      <c r="A228" s="210">
        <v>46472</v>
      </c>
      <c r="B228" s="211"/>
      <c r="C228" s="212"/>
      <c r="D228" s="213"/>
      <c r="E228" s="213"/>
      <c r="F228" s="213"/>
      <c r="G228" s="213"/>
      <c r="H228" s="213"/>
      <c r="I228" s="213"/>
      <c r="J228" s="213"/>
      <c r="K228" s="213"/>
      <c r="L228" s="213"/>
      <c r="M228" s="213"/>
      <c r="N228" s="213"/>
      <c r="O228" s="213"/>
      <c r="P228" s="214"/>
      <c r="Q228" s="215"/>
      <c r="R228" s="216"/>
    </row>
    <row r="229" spans="1:18" ht="27" customHeight="1" thickBot="1">
      <c r="A229" s="210">
        <v>46473</v>
      </c>
      <c r="B229" s="211"/>
      <c r="C229" s="212"/>
      <c r="D229" s="213"/>
      <c r="E229" s="213"/>
      <c r="F229" s="213"/>
      <c r="G229" s="213"/>
      <c r="H229" s="213"/>
      <c r="I229" s="213"/>
      <c r="J229" s="213"/>
      <c r="K229" s="213"/>
      <c r="L229" s="213"/>
      <c r="M229" s="213"/>
      <c r="N229" s="213"/>
      <c r="O229" s="213"/>
      <c r="P229" s="214"/>
      <c r="Q229" s="215"/>
      <c r="R229" s="216"/>
    </row>
    <row r="230" spans="1:18" ht="27" customHeight="1" thickBot="1">
      <c r="A230" s="210">
        <v>46474</v>
      </c>
      <c r="B230" s="211"/>
      <c r="C230" s="212"/>
      <c r="D230" s="213"/>
      <c r="E230" s="213"/>
      <c r="F230" s="213"/>
      <c r="G230" s="213"/>
      <c r="H230" s="213"/>
      <c r="I230" s="213"/>
      <c r="J230" s="213"/>
      <c r="K230" s="213"/>
      <c r="L230" s="213"/>
      <c r="M230" s="213"/>
      <c r="N230" s="213"/>
      <c r="O230" s="213"/>
      <c r="P230" s="214"/>
      <c r="Q230" s="215"/>
      <c r="R230" s="216"/>
    </row>
    <row r="231" spans="1:18" ht="27" customHeight="1" thickBot="1">
      <c r="A231" s="210">
        <v>46475</v>
      </c>
      <c r="B231" s="211"/>
      <c r="C231" s="212"/>
      <c r="D231" s="213"/>
      <c r="E231" s="213"/>
      <c r="F231" s="213"/>
      <c r="G231" s="213"/>
      <c r="H231" s="213"/>
      <c r="I231" s="213"/>
      <c r="J231" s="213"/>
      <c r="K231" s="213"/>
      <c r="L231" s="213"/>
      <c r="M231" s="213"/>
      <c r="N231" s="213"/>
      <c r="O231" s="213"/>
      <c r="P231" s="214"/>
      <c r="Q231" s="215"/>
      <c r="R231" s="216"/>
    </row>
    <row r="232" spans="1:18" ht="27" customHeight="1" thickBot="1">
      <c r="A232" s="210">
        <v>46476</v>
      </c>
      <c r="B232" s="211"/>
      <c r="C232" s="212"/>
      <c r="D232" s="213"/>
      <c r="E232" s="213"/>
      <c r="F232" s="213"/>
      <c r="G232" s="213"/>
      <c r="H232" s="213"/>
      <c r="I232" s="213"/>
      <c r="J232" s="213"/>
      <c r="K232" s="213"/>
      <c r="L232" s="213"/>
      <c r="M232" s="213"/>
      <c r="N232" s="213"/>
      <c r="O232" s="213"/>
      <c r="P232" s="214"/>
      <c r="Q232" s="215"/>
      <c r="R232" s="216"/>
    </row>
    <row r="233" spans="1:18" ht="27" customHeight="1" thickBot="1">
      <c r="A233" s="210">
        <v>46477</v>
      </c>
      <c r="B233" s="211"/>
      <c r="C233" s="212"/>
      <c r="D233" s="213"/>
      <c r="E233" s="213"/>
      <c r="F233" s="213"/>
      <c r="G233" s="213"/>
      <c r="H233" s="213"/>
      <c r="I233" s="213"/>
      <c r="J233" s="213"/>
      <c r="K233" s="213"/>
      <c r="L233" s="213"/>
      <c r="M233" s="213"/>
      <c r="N233" s="213"/>
      <c r="O233" s="213"/>
      <c r="P233" s="214"/>
      <c r="Q233" s="215"/>
      <c r="R233" s="216"/>
    </row>
    <row r="234" spans="1:18" ht="27" customHeight="1" thickBot="1">
      <c r="A234" s="210">
        <v>46478</v>
      </c>
      <c r="B234" s="211"/>
      <c r="C234" s="212"/>
      <c r="D234" s="213"/>
      <c r="E234" s="213"/>
      <c r="F234" s="213"/>
      <c r="G234" s="213"/>
      <c r="H234" s="213"/>
      <c r="I234" s="213"/>
      <c r="J234" s="213"/>
      <c r="K234" s="213"/>
      <c r="L234" s="213"/>
      <c r="M234" s="213"/>
      <c r="N234" s="213"/>
      <c r="O234" s="213"/>
      <c r="P234" s="214"/>
      <c r="Q234" s="215"/>
      <c r="R234" s="216"/>
    </row>
    <row r="235" spans="1:18" ht="27" customHeight="1" thickBot="1">
      <c r="A235" s="210">
        <v>46479</v>
      </c>
      <c r="B235" s="211"/>
      <c r="C235" s="212"/>
      <c r="D235" s="213"/>
      <c r="E235" s="213"/>
      <c r="F235" s="213"/>
      <c r="G235" s="213"/>
      <c r="H235" s="213"/>
      <c r="I235" s="213"/>
      <c r="J235" s="213"/>
      <c r="K235" s="213"/>
      <c r="L235" s="213"/>
      <c r="M235" s="213"/>
      <c r="N235" s="213"/>
      <c r="O235" s="213"/>
      <c r="P235" s="214"/>
      <c r="Q235" s="215"/>
      <c r="R235" s="216"/>
    </row>
    <row r="236" spans="1:18" ht="27" customHeight="1" thickBot="1">
      <c r="A236" s="210">
        <v>46480</v>
      </c>
      <c r="B236" s="211"/>
      <c r="C236" s="212"/>
      <c r="D236" s="213"/>
      <c r="E236" s="213"/>
      <c r="F236" s="213"/>
      <c r="G236" s="213"/>
      <c r="H236" s="213"/>
      <c r="I236" s="213"/>
      <c r="J236" s="213"/>
      <c r="K236" s="213"/>
      <c r="L236" s="213"/>
      <c r="M236" s="213"/>
      <c r="N236" s="213"/>
      <c r="O236" s="213"/>
      <c r="P236" s="214"/>
      <c r="Q236" s="215"/>
      <c r="R236" s="216"/>
    </row>
    <row r="237" spans="1:18" ht="27" customHeight="1" thickBot="1">
      <c r="A237" s="210">
        <v>46481</v>
      </c>
      <c r="B237" s="211"/>
      <c r="C237" s="212"/>
      <c r="D237" s="213"/>
      <c r="E237" s="213"/>
      <c r="F237" s="213"/>
      <c r="G237" s="213"/>
      <c r="H237" s="213"/>
      <c r="I237" s="213"/>
      <c r="J237" s="213"/>
      <c r="K237" s="213"/>
      <c r="L237" s="213"/>
      <c r="M237" s="213"/>
      <c r="N237" s="213"/>
      <c r="O237" s="213"/>
      <c r="P237" s="214"/>
      <c r="Q237" s="215"/>
      <c r="R237" s="216"/>
    </row>
    <row r="238" spans="1:18" ht="27" customHeight="1" thickBot="1">
      <c r="A238" s="210">
        <v>46482</v>
      </c>
      <c r="B238" s="211"/>
      <c r="C238" s="212"/>
      <c r="D238" s="213"/>
      <c r="E238" s="213"/>
      <c r="F238" s="213"/>
      <c r="G238" s="213"/>
      <c r="H238" s="213"/>
      <c r="I238" s="213"/>
      <c r="J238" s="213"/>
      <c r="K238" s="213"/>
      <c r="L238" s="213"/>
      <c r="M238" s="213"/>
      <c r="N238" s="213"/>
      <c r="O238" s="213"/>
      <c r="P238" s="214"/>
      <c r="Q238" s="215"/>
      <c r="R238" s="216"/>
    </row>
    <row r="239" spans="1:18" ht="27" customHeight="1" thickBot="1">
      <c r="A239" s="210">
        <v>46483</v>
      </c>
      <c r="B239" s="211"/>
      <c r="C239" s="212"/>
      <c r="D239" s="213"/>
      <c r="E239" s="213"/>
      <c r="F239" s="213"/>
      <c r="G239" s="213"/>
      <c r="H239" s="213"/>
      <c r="I239" s="213"/>
      <c r="J239" s="213"/>
      <c r="K239" s="213"/>
      <c r="L239" s="213"/>
      <c r="M239" s="213"/>
      <c r="N239" s="213"/>
      <c r="O239" s="213"/>
      <c r="P239" s="214"/>
      <c r="Q239" s="215"/>
      <c r="R239" s="216"/>
    </row>
    <row r="240" spans="1:18" ht="27" customHeight="1" thickBot="1">
      <c r="A240" s="210">
        <v>46484</v>
      </c>
      <c r="B240" s="211"/>
      <c r="C240" s="212"/>
      <c r="D240" s="213"/>
      <c r="E240" s="213"/>
      <c r="F240" s="213"/>
      <c r="G240" s="213"/>
      <c r="H240" s="213"/>
      <c r="I240" s="213"/>
      <c r="J240" s="213"/>
      <c r="K240" s="213"/>
      <c r="L240" s="213"/>
      <c r="M240" s="213"/>
      <c r="N240" s="213"/>
      <c r="O240" s="213"/>
      <c r="P240" s="214"/>
      <c r="Q240" s="215"/>
      <c r="R240" s="216"/>
    </row>
    <row r="241" spans="1:18" ht="27" customHeight="1" thickBot="1">
      <c r="A241" s="210">
        <v>46485</v>
      </c>
      <c r="B241" s="211"/>
      <c r="C241" s="212"/>
      <c r="D241" s="213"/>
      <c r="E241" s="213"/>
      <c r="F241" s="213"/>
      <c r="G241" s="213"/>
      <c r="H241" s="213"/>
      <c r="I241" s="213"/>
      <c r="J241" s="213"/>
      <c r="K241" s="213"/>
      <c r="L241" s="213"/>
      <c r="M241" s="213"/>
      <c r="N241" s="213"/>
      <c r="O241" s="213"/>
      <c r="P241" s="214"/>
      <c r="Q241" s="215"/>
      <c r="R241" s="216"/>
    </row>
    <row r="242" spans="1:18" ht="27" customHeight="1" thickBot="1">
      <c r="A242" s="210">
        <v>46486</v>
      </c>
      <c r="B242" s="211"/>
      <c r="C242" s="212"/>
      <c r="D242" s="213"/>
      <c r="E242" s="213"/>
      <c r="F242" s="213"/>
      <c r="G242" s="213"/>
      <c r="H242" s="213"/>
      <c r="I242" s="213"/>
      <c r="J242" s="213"/>
      <c r="K242" s="213"/>
      <c r="L242" s="213"/>
      <c r="M242" s="213"/>
      <c r="N242" s="213"/>
      <c r="O242" s="213"/>
      <c r="P242" s="214"/>
      <c r="Q242" s="215"/>
      <c r="R242" s="216"/>
    </row>
    <row r="243" spans="1:18" ht="27" customHeight="1" thickBot="1">
      <c r="A243" s="210">
        <v>46487</v>
      </c>
      <c r="B243" s="211"/>
      <c r="C243" s="212"/>
      <c r="D243" s="213"/>
      <c r="E243" s="213"/>
      <c r="F243" s="213"/>
      <c r="G243" s="213"/>
      <c r="H243" s="213"/>
      <c r="I243" s="213"/>
      <c r="J243" s="213"/>
      <c r="K243" s="213"/>
      <c r="L243" s="213"/>
      <c r="M243" s="213"/>
      <c r="N243" s="213"/>
      <c r="O243" s="213"/>
      <c r="P243" s="214"/>
      <c r="Q243" s="215"/>
      <c r="R243" s="216"/>
    </row>
    <row r="244" spans="1:18" ht="27" customHeight="1" thickBot="1">
      <c r="A244" s="210">
        <v>46488</v>
      </c>
      <c r="B244" s="211"/>
      <c r="C244" s="212"/>
      <c r="D244" s="213"/>
      <c r="E244" s="213"/>
      <c r="F244" s="213"/>
      <c r="G244" s="213"/>
      <c r="H244" s="213"/>
      <c r="I244" s="213"/>
      <c r="J244" s="213"/>
      <c r="K244" s="213"/>
      <c r="L244" s="213"/>
      <c r="M244" s="213"/>
      <c r="N244" s="213"/>
      <c r="O244" s="213"/>
      <c r="P244" s="214"/>
      <c r="Q244" s="215"/>
      <c r="R244" s="216"/>
    </row>
    <row r="245" spans="1:18" ht="27" customHeight="1" thickBot="1">
      <c r="A245" s="210">
        <v>46489</v>
      </c>
      <c r="B245" s="211"/>
      <c r="C245" s="212"/>
      <c r="D245" s="213"/>
      <c r="E245" s="213"/>
      <c r="F245" s="213"/>
      <c r="G245" s="213"/>
      <c r="H245" s="213"/>
      <c r="I245" s="213"/>
      <c r="J245" s="213"/>
      <c r="K245" s="213"/>
      <c r="L245" s="213"/>
      <c r="M245" s="213"/>
      <c r="N245" s="213"/>
      <c r="O245" s="213"/>
      <c r="P245" s="214"/>
      <c r="Q245" s="215"/>
      <c r="R245" s="216"/>
    </row>
    <row r="246" spans="1:18" ht="27" customHeight="1" thickBot="1">
      <c r="A246" s="210">
        <v>46490</v>
      </c>
      <c r="B246" s="211"/>
      <c r="C246" s="212"/>
      <c r="D246" s="213"/>
      <c r="E246" s="213"/>
      <c r="F246" s="213"/>
      <c r="G246" s="213"/>
      <c r="H246" s="213"/>
      <c r="I246" s="213"/>
      <c r="J246" s="213"/>
      <c r="K246" s="213"/>
      <c r="L246" s="213"/>
      <c r="M246" s="213"/>
      <c r="N246" s="213"/>
      <c r="O246" s="213"/>
      <c r="P246" s="214"/>
      <c r="Q246" s="215"/>
      <c r="R246" s="216"/>
    </row>
    <row r="247" spans="1:18" ht="27" customHeight="1" thickBot="1">
      <c r="A247" s="210">
        <v>46491</v>
      </c>
      <c r="B247" s="211"/>
      <c r="C247" s="212"/>
      <c r="D247" s="213"/>
      <c r="E247" s="213"/>
      <c r="F247" s="213"/>
      <c r="G247" s="213"/>
      <c r="H247" s="213"/>
      <c r="I247" s="213"/>
      <c r="J247" s="213"/>
      <c r="K247" s="213"/>
      <c r="L247" s="213"/>
      <c r="M247" s="213"/>
      <c r="N247" s="213"/>
      <c r="O247" s="213"/>
      <c r="P247" s="214"/>
      <c r="Q247" s="215"/>
      <c r="R247" s="216"/>
    </row>
    <row r="248" spans="1:18" ht="27" customHeight="1" thickBot="1">
      <c r="A248" s="210">
        <v>46492</v>
      </c>
      <c r="B248" s="211"/>
      <c r="C248" s="212"/>
      <c r="D248" s="213"/>
      <c r="E248" s="213"/>
      <c r="F248" s="213"/>
      <c r="G248" s="213"/>
      <c r="H248" s="213"/>
      <c r="I248" s="213"/>
      <c r="J248" s="213"/>
      <c r="K248" s="213"/>
      <c r="L248" s="213"/>
      <c r="M248" s="213"/>
      <c r="N248" s="213"/>
      <c r="O248" s="213"/>
      <c r="P248" s="214"/>
      <c r="Q248" s="215"/>
      <c r="R248" s="216"/>
    </row>
    <row r="249" spans="1:18" ht="27" customHeight="1" thickBot="1">
      <c r="A249" s="210">
        <v>46493</v>
      </c>
      <c r="B249" s="211"/>
      <c r="C249" s="212"/>
      <c r="D249" s="213"/>
      <c r="E249" s="213"/>
      <c r="F249" s="213"/>
      <c r="G249" s="213"/>
      <c r="H249" s="213"/>
      <c r="I249" s="213"/>
      <c r="J249" s="213"/>
      <c r="K249" s="213"/>
      <c r="L249" s="213"/>
      <c r="M249" s="213"/>
      <c r="N249" s="213"/>
      <c r="O249" s="213"/>
      <c r="P249" s="214"/>
      <c r="Q249" s="215"/>
      <c r="R249" s="216"/>
    </row>
    <row r="250" spans="1:18" ht="27" customHeight="1" thickBot="1">
      <c r="A250" s="210">
        <v>46494</v>
      </c>
      <c r="B250" s="211"/>
      <c r="C250" s="212"/>
      <c r="D250" s="213"/>
      <c r="E250" s="213"/>
      <c r="F250" s="213"/>
      <c r="G250" s="213"/>
      <c r="H250" s="213"/>
      <c r="I250" s="213"/>
      <c r="J250" s="213"/>
      <c r="K250" s="213"/>
      <c r="L250" s="213"/>
      <c r="M250" s="213"/>
      <c r="N250" s="213"/>
      <c r="O250" s="213"/>
      <c r="P250" s="214"/>
      <c r="Q250" s="215"/>
      <c r="R250" s="216"/>
    </row>
    <row r="251" spans="1:18" ht="27" customHeight="1" thickBot="1">
      <c r="A251" s="210">
        <v>46495</v>
      </c>
      <c r="B251" s="211"/>
      <c r="C251" s="212"/>
      <c r="D251" s="213"/>
      <c r="E251" s="213"/>
      <c r="F251" s="213"/>
      <c r="G251" s="213"/>
      <c r="H251" s="213"/>
      <c r="I251" s="213"/>
      <c r="J251" s="213"/>
      <c r="K251" s="213"/>
      <c r="L251" s="213"/>
      <c r="M251" s="213"/>
      <c r="N251" s="213"/>
      <c r="O251" s="213"/>
      <c r="P251" s="214"/>
      <c r="Q251" s="215"/>
      <c r="R251" s="216"/>
    </row>
    <row r="252" spans="1:18" ht="27" customHeight="1" thickBot="1">
      <c r="A252" s="210">
        <v>46496</v>
      </c>
      <c r="B252" s="211"/>
      <c r="C252" s="212"/>
      <c r="D252" s="213"/>
      <c r="E252" s="213"/>
      <c r="F252" s="213"/>
      <c r="G252" s="213"/>
      <c r="H252" s="213"/>
      <c r="I252" s="213"/>
      <c r="J252" s="213"/>
      <c r="K252" s="213"/>
      <c r="L252" s="213"/>
      <c r="M252" s="213"/>
      <c r="N252" s="213"/>
      <c r="O252" s="213"/>
      <c r="P252" s="214"/>
      <c r="Q252" s="215"/>
      <c r="R252" s="216"/>
    </row>
    <row r="253" spans="1:18" ht="27" customHeight="1" thickBot="1">
      <c r="A253" s="210">
        <v>46497</v>
      </c>
      <c r="B253" s="211"/>
      <c r="C253" s="212"/>
      <c r="D253" s="213"/>
      <c r="E253" s="213"/>
      <c r="F253" s="213"/>
      <c r="G253" s="213"/>
      <c r="H253" s="213"/>
      <c r="I253" s="213"/>
      <c r="J253" s="213"/>
      <c r="K253" s="213"/>
      <c r="L253" s="213"/>
      <c r="M253" s="213"/>
      <c r="N253" s="213"/>
      <c r="O253" s="213"/>
      <c r="P253" s="214"/>
      <c r="Q253" s="215"/>
      <c r="R253" s="216"/>
    </row>
    <row r="254" spans="1:18" ht="27" customHeight="1" thickBot="1">
      <c r="A254" s="210">
        <v>46498</v>
      </c>
      <c r="B254" s="211"/>
      <c r="C254" s="212"/>
      <c r="D254" s="213"/>
      <c r="E254" s="213"/>
      <c r="F254" s="213"/>
      <c r="G254" s="213"/>
      <c r="H254" s="213"/>
      <c r="I254" s="213"/>
      <c r="J254" s="213"/>
      <c r="K254" s="213"/>
      <c r="L254" s="213"/>
      <c r="M254" s="213"/>
      <c r="N254" s="213"/>
      <c r="O254" s="213"/>
      <c r="P254" s="214"/>
      <c r="Q254" s="215"/>
      <c r="R254" s="216"/>
    </row>
    <row r="255" spans="1:18" ht="27" customHeight="1" thickBot="1">
      <c r="A255" s="210">
        <v>46499</v>
      </c>
      <c r="B255" s="211"/>
      <c r="C255" s="212"/>
      <c r="D255" s="213"/>
      <c r="E255" s="213"/>
      <c r="F255" s="213"/>
      <c r="G255" s="213"/>
      <c r="H255" s="213"/>
      <c r="I255" s="213"/>
      <c r="J255" s="213"/>
      <c r="K255" s="213"/>
      <c r="L255" s="213"/>
      <c r="M255" s="213"/>
      <c r="N255" s="213"/>
      <c r="O255" s="213"/>
      <c r="P255" s="214"/>
      <c r="Q255" s="215"/>
      <c r="R255" s="216"/>
    </row>
    <row r="256" spans="1:18" ht="27" customHeight="1" thickBot="1">
      <c r="A256" s="210">
        <v>46500</v>
      </c>
      <c r="B256" s="211"/>
      <c r="C256" s="212"/>
      <c r="D256" s="213"/>
      <c r="E256" s="213"/>
      <c r="F256" s="213"/>
      <c r="G256" s="213"/>
      <c r="H256" s="213"/>
      <c r="I256" s="213"/>
      <c r="J256" s="213"/>
      <c r="K256" s="213"/>
      <c r="L256" s="213"/>
      <c r="M256" s="213"/>
      <c r="N256" s="213"/>
      <c r="O256" s="213"/>
      <c r="P256" s="214"/>
      <c r="Q256" s="215"/>
      <c r="R256" s="216"/>
    </row>
    <row r="257" spans="1:18" ht="27" customHeight="1" thickBot="1">
      <c r="A257" s="210">
        <v>46501</v>
      </c>
      <c r="B257" s="211"/>
      <c r="C257" s="212"/>
      <c r="D257" s="213"/>
      <c r="E257" s="213"/>
      <c r="F257" s="213"/>
      <c r="G257" s="213"/>
      <c r="H257" s="213"/>
      <c r="I257" s="213"/>
      <c r="J257" s="213"/>
      <c r="K257" s="213"/>
      <c r="L257" s="213"/>
      <c r="M257" s="213"/>
      <c r="N257" s="213"/>
      <c r="O257" s="213"/>
      <c r="P257" s="214"/>
      <c r="Q257" s="215"/>
      <c r="R257" s="216"/>
    </row>
    <row r="258" spans="1:18" ht="27" customHeight="1" thickBot="1">
      <c r="A258" s="210">
        <v>46502</v>
      </c>
      <c r="B258" s="211"/>
      <c r="C258" s="212"/>
      <c r="D258" s="213"/>
      <c r="E258" s="213"/>
      <c r="F258" s="213"/>
      <c r="G258" s="213"/>
      <c r="H258" s="213"/>
      <c r="I258" s="213"/>
      <c r="J258" s="213"/>
      <c r="K258" s="213"/>
      <c r="L258" s="213"/>
      <c r="M258" s="213"/>
      <c r="N258" s="213"/>
      <c r="O258" s="213"/>
      <c r="P258" s="214"/>
      <c r="Q258" s="215"/>
      <c r="R258" s="216"/>
    </row>
    <row r="259" spans="1:18" ht="27" customHeight="1" thickBot="1">
      <c r="A259" s="210">
        <v>46503</v>
      </c>
      <c r="B259" s="211"/>
      <c r="C259" s="212"/>
      <c r="D259" s="213"/>
      <c r="E259" s="213"/>
      <c r="F259" s="213"/>
      <c r="G259" s="213"/>
      <c r="H259" s="213"/>
      <c r="I259" s="213"/>
      <c r="J259" s="213"/>
      <c r="K259" s="213"/>
      <c r="L259" s="213"/>
      <c r="M259" s="213"/>
      <c r="N259" s="213"/>
      <c r="O259" s="213"/>
      <c r="P259" s="214"/>
      <c r="Q259" s="215"/>
      <c r="R259" s="216"/>
    </row>
    <row r="260" spans="1:18" ht="27" customHeight="1" thickBot="1">
      <c r="A260" s="210">
        <v>46504</v>
      </c>
      <c r="B260" s="211"/>
      <c r="C260" s="212"/>
      <c r="D260" s="213"/>
      <c r="E260" s="213"/>
      <c r="F260" s="213"/>
      <c r="G260" s="213"/>
      <c r="H260" s="213"/>
      <c r="I260" s="213"/>
      <c r="J260" s="213"/>
      <c r="K260" s="213"/>
      <c r="L260" s="213"/>
      <c r="M260" s="213"/>
      <c r="N260" s="213"/>
      <c r="O260" s="213"/>
      <c r="P260" s="214"/>
      <c r="Q260" s="215"/>
      <c r="R260" s="216"/>
    </row>
    <row r="261" spans="1:18" ht="27" customHeight="1" thickBot="1">
      <c r="A261" s="210">
        <v>46505</v>
      </c>
      <c r="B261" s="211"/>
      <c r="C261" s="212"/>
      <c r="D261" s="213"/>
      <c r="E261" s="213"/>
      <c r="F261" s="213"/>
      <c r="G261" s="213"/>
      <c r="H261" s="213"/>
      <c r="I261" s="213"/>
      <c r="J261" s="213"/>
      <c r="K261" s="213"/>
      <c r="L261" s="213"/>
      <c r="M261" s="213"/>
      <c r="N261" s="213"/>
      <c r="O261" s="213"/>
      <c r="P261" s="214"/>
      <c r="Q261" s="215"/>
      <c r="R261" s="216"/>
    </row>
    <row r="262" spans="1:18" ht="27" customHeight="1" thickBot="1">
      <c r="A262" s="210">
        <v>46506</v>
      </c>
      <c r="B262" s="211"/>
      <c r="C262" s="212"/>
      <c r="D262" s="213"/>
      <c r="E262" s="213"/>
      <c r="F262" s="213"/>
      <c r="G262" s="213"/>
      <c r="H262" s="213"/>
      <c r="I262" s="213"/>
      <c r="J262" s="213"/>
      <c r="K262" s="213"/>
      <c r="L262" s="213"/>
      <c r="M262" s="213"/>
      <c r="N262" s="213"/>
      <c r="O262" s="213"/>
      <c r="P262" s="214"/>
      <c r="Q262" s="215"/>
      <c r="R262" s="216"/>
    </row>
    <row r="263" spans="1:18" ht="27" customHeight="1" thickBot="1">
      <c r="A263" s="210">
        <v>46507</v>
      </c>
      <c r="B263" s="211"/>
      <c r="C263" s="212"/>
      <c r="D263" s="213"/>
      <c r="E263" s="213"/>
      <c r="F263" s="213"/>
      <c r="G263" s="213"/>
      <c r="H263" s="213"/>
      <c r="I263" s="213"/>
      <c r="J263" s="213"/>
      <c r="K263" s="213"/>
      <c r="L263" s="213"/>
      <c r="M263" s="213"/>
      <c r="N263" s="213"/>
      <c r="O263" s="213"/>
      <c r="P263" s="214"/>
      <c r="Q263" s="215"/>
      <c r="R263" s="216"/>
    </row>
    <row r="264" spans="1:18" ht="27" customHeight="1" thickBot="1">
      <c r="A264" s="210">
        <v>46508</v>
      </c>
      <c r="B264" s="211"/>
      <c r="C264" s="212"/>
      <c r="D264" s="213"/>
      <c r="E264" s="213"/>
      <c r="F264" s="213"/>
      <c r="G264" s="213"/>
      <c r="H264" s="213"/>
      <c r="I264" s="213"/>
      <c r="J264" s="213"/>
      <c r="K264" s="213"/>
      <c r="L264" s="213"/>
      <c r="M264" s="213"/>
      <c r="N264" s="213"/>
      <c r="O264" s="213"/>
      <c r="P264" s="214"/>
      <c r="Q264" s="215"/>
      <c r="R264" s="216"/>
    </row>
    <row r="265" spans="1:18" ht="27" customHeight="1" thickBot="1">
      <c r="A265" s="210">
        <v>46509</v>
      </c>
      <c r="B265" s="211"/>
      <c r="C265" s="212"/>
      <c r="D265" s="213"/>
      <c r="E265" s="213"/>
      <c r="F265" s="213"/>
      <c r="G265" s="213"/>
      <c r="H265" s="213"/>
      <c r="I265" s="213"/>
      <c r="J265" s="213"/>
      <c r="K265" s="213"/>
      <c r="L265" s="213"/>
      <c r="M265" s="213"/>
      <c r="N265" s="213"/>
      <c r="O265" s="213"/>
      <c r="P265" s="214"/>
      <c r="Q265" s="215"/>
      <c r="R265" s="216"/>
    </row>
    <row r="266" spans="1:18" ht="27" customHeight="1" thickBot="1">
      <c r="A266" s="210">
        <v>46510</v>
      </c>
      <c r="B266" s="211"/>
      <c r="C266" s="212"/>
      <c r="D266" s="213"/>
      <c r="E266" s="213"/>
      <c r="F266" s="213"/>
      <c r="G266" s="213"/>
      <c r="H266" s="213"/>
      <c r="I266" s="213"/>
      <c r="J266" s="213"/>
      <c r="K266" s="213"/>
      <c r="L266" s="213"/>
      <c r="M266" s="213"/>
      <c r="N266" s="213"/>
      <c r="O266" s="213"/>
      <c r="P266" s="214"/>
      <c r="Q266" s="215"/>
      <c r="R266" s="216"/>
    </row>
    <row r="267" spans="1:18" ht="27" customHeight="1" thickBot="1">
      <c r="A267" s="210">
        <v>46511</v>
      </c>
      <c r="B267" s="211"/>
      <c r="C267" s="212"/>
      <c r="D267" s="213"/>
      <c r="E267" s="213"/>
      <c r="F267" s="213"/>
      <c r="G267" s="213"/>
      <c r="H267" s="213"/>
      <c r="I267" s="213"/>
      <c r="J267" s="213"/>
      <c r="K267" s="213"/>
      <c r="L267" s="213"/>
      <c r="M267" s="213"/>
      <c r="N267" s="213"/>
      <c r="O267" s="213"/>
      <c r="P267" s="214"/>
      <c r="Q267" s="215"/>
      <c r="R267" s="216"/>
    </row>
    <row r="268" spans="1:18" ht="27" customHeight="1" thickBot="1">
      <c r="A268" s="210">
        <v>46512</v>
      </c>
      <c r="B268" s="211"/>
      <c r="C268" s="212"/>
      <c r="D268" s="213"/>
      <c r="E268" s="213"/>
      <c r="F268" s="213"/>
      <c r="G268" s="213"/>
      <c r="H268" s="213"/>
      <c r="I268" s="213"/>
      <c r="J268" s="213"/>
      <c r="K268" s="213"/>
      <c r="L268" s="213"/>
      <c r="M268" s="213"/>
      <c r="N268" s="213"/>
      <c r="O268" s="213"/>
      <c r="P268" s="214"/>
      <c r="Q268" s="215"/>
      <c r="R268" s="216"/>
    </row>
    <row r="269" spans="1:18" ht="27" customHeight="1" thickBot="1">
      <c r="A269" s="210">
        <v>46513</v>
      </c>
      <c r="B269" s="211"/>
      <c r="C269" s="212"/>
      <c r="D269" s="213"/>
      <c r="E269" s="213"/>
      <c r="F269" s="213"/>
      <c r="G269" s="213"/>
      <c r="H269" s="213"/>
      <c r="I269" s="213"/>
      <c r="J269" s="213"/>
      <c r="K269" s="213"/>
      <c r="L269" s="213"/>
      <c r="M269" s="213"/>
      <c r="N269" s="213"/>
      <c r="O269" s="213"/>
      <c r="P269" s="214"/>
      <c r="Q269" s="215"/>
      <c r="R269" s="216"/>
    </row>
    <row r="270" spans="1:18" ht="27" customHeight="1" thickBot="1">
      <c r="A270" s="210">
        <v>46514</v>
      </c>
      <c r="B270" s="211"/>
      <c r="C270" s="212"/>
      <c r="D270" s="213"/>
      <c r="E270" s="213"/>
      <c r="F270" s="213"/>
      <c r="G270" s="213"/>
      <c r="H270" s="213"/>
      <c r="I270" s="213"/>
      <c r="J270" s="213"/>
      <c r="K270" s="213"/>
      <c r="L270" s="213"/>
      <c r="M270" s="213"/>
      <c r="N270" s="213"/>
      <c r="O270" s="213"/>
      <c r="P270" s="214"/>
      <c r="Q270" s="215"/>
      <c r="R270" s="216"/>
    </row>
    <row r="271" spans="1:18" ht="27" customHeight="1" thickBot="1">
      <c r="A271" s="210">
        <v>46515</v>
      </c>
      <c r="B271" s="211"/>
      <c r="C271" s="212"/>
      <c r="D271" s="213"/>
      <c r="E271" s="213"/>
      <c r="F271" s="213"/>
      <c r="G271" s="213"/>
      <c r="H271" s="213"/>
      <c r="I271" s="213"/>
      <c r="J271" s="213"/>
      <c r="K271" s="213"/>
      <c r="L271" s="213"/>
      <c r="M271" s="213"/>
      <c r="N271" s="213"/>
      <c r="O271" s="213"/>
      <c r="P271" s="214"/>
      <c r="Q271" s="215"/>
      <c r="R271" s="216"/>
    </row>
    <row r="272" spans="1:18" ht="27" customHeight="1" thickBot="1">
      <c r="A272" s="210">
        <v>46516</v>
      </c>
      <c r="B272" s="211"/>
      <c r="C272" s="212"/>
      <c r="D272" s="213"/>
      <c r="E272" s="213"/>
      <c r="F272" s="213"/>
      <c r="G272" s="213"/>
      <c r="H272" s="213"/>
      <c r="I272" s="213"/>
      <c r="J272" s="213"/>
      <c r="K272" s="213"/>
      <c r="L272" s="213"/>
      <c r="M272" s="213"/>
      <c r="N272" s="213"/>
      <c r="O272" s="213"/>
      <c r="P272" s="214"/>
      <c r="Q272" s="215"/>
      <c r="R272" s="216"/>
    </row>
    <row r="273" spans="1:18" ht="27" customHeight="1" thickBot="1">
      <c r="A273" s="210">
        <v>46517</v>
      </c>
      <c r="B273" s="211"/>
      <c r="C273" s="212"/>
      <c r="D273" s="213"/>
      <c r="E273" s="213"/>
      <c r="F273" s="213"/>
      <c r="G273" s="213"/>
      <c r="H273" s="213"/>
      <c r="I273" s="213"/>
      <c r="J273" s="213"/>
      <c r="K273" s="213"/>
      <c r="L273" s="213"/>
      <c r="M273" s="213"/>
      <c r="N273" s="213"/>
      <c r="O273" s="213"/>
      <c r="P273" s="214"/>
      <c r="Q273" s="215"/>
      <c r="R273" s="216"/>
    </row>
    <row r="274" spans="1:18" ht="27" customHeight="1" thickBot="1">
      <c r="A274" s="210">
        <v>46518</v>
      </c>
      <c r="B274" s="211"/>
      <c r="C274" s="212"/>
      <c r="D274" s="213"/>
      <c r="E274" s="213"/>
      <c r="F274" s="213"/>
      <c r="G274" s="213"/>
      <c r="H274" s="213"/>
      <c r="I274" s="213"/>
      <c r="J274" s="213"/>
      <c r="K274" s="213"/>
      <c r="L274" s="213"/>
      <c r="M274" s="213"/>
      <c r="N274" s="213"/>
      <c r="O274" s="213"/>
      <c r="P274" s="214"/>
      <c r="Q274" s="215"/>
      <c r="R274" s="216"/>
    </row>
    <row r="275" spans="1:18" ht="27" customHeight="1" thickBot="1">
      <c r="A275" s="210">
        <v>46519</v>
      </c>
      <c r="B275" s="211"/>
      <c r="C275" s="212"/>
      <c r="D275" s="213"/>
      <c r="E275" s="213"/>
      <c r="F275" s="213"/>
      <c r="G275" s="213"/>
      <c r="H275" s="213"/>
      <c r="I275" s="213"/>
      <c r="J275" s="213"/>
      <c r="K275" s="213"/>
      <c r="L275" s="213"/>
      <c r="M275" s="213"/>
      <c r="N275" s="213"/>
      <c r="O275" s="213"/>
      <c r="P275" s="214"/>
      <c r="Q275" s="215"/>
      <c r="R275" s="216"/>
    </row>
    <row r="276" spans="1:18" ht="27" customHeight="1" thickBot="1">
      <c r="A276" s="210">
        <v>46520</v>
      </c>
      <c r="B276" s="211"/>
      <c r="C276" s="212"/>
      <c r="D276" s="213"/>
      <c r="E276" s="213"/>
      <c r="F276" s="213"/>
      <c r="G276" s="213"/>
      <c r="H276" s="213"/>
      <c r="I276" s="213"/>
      <c r="J276" s="213"/>
      <c r="K276" s="213"/>
      <c r="L276" s="213"/>
      <c r="M276" s="213"/>
      <c r="N276" s="213"/>
      <c r="O276" s="213"/>
      <c r="P276" s="214"/>
      <c r="Q276" s="215"/>
      <c r="R276" s="216"/>
    </row>
    <row r="277" spans="1:18" ht="27" customHeight="1" thickBot="1">
      <c r="A277" s="210">
        <v>46521</v>
      </c>
      <c r="B277" s="211"/>
      <c r="C277" s="212"/>
      <c r="D277" s="213"/>
      <c r="E277" s="213"/>
      <c r="F277" s="213"/>
      <c r="G277" s="213"/>
      <c r="H277" s="213"/>
      <c r="I277" s="213"/>
      <c r="J277" s="213"/>
      <c r="K277" s="213"/>
      <c r="L277" s="213"/>
      <c r="M277" s="213"/>
      <c r="N277" s="213"/>
      <c r="O277" s="213"/>
      <c r="P277" s="214"/>
      <c r="Q277" s="215"/>
      <c r="R277" s="216"/>
    </row>
    <row r="278" spans="1:18" ht="27" customHeight="1" thickBot="1">
      <c r="A278" s="210">
        <v>46522</v>
      </c>
      <c r="B278" s="211"/>
      <c r="C278" s="212"/>
      <c r="D278" s="213"/>
      <c r="E278" s="213"/>
      <c r="F278" s="213"/>
      <c r="G278" s="213"/>
      <c r="H278" s="213"/>
      <c r="I278" s="213"/>
      <c r="J278" s="213"/>
      <c r="K278" s="213"/>
      <c r="L278" s="213"/>
      <c r="M278" s="213"/>
      <c r="N278" s="213"/>
      <c r="O278" s="213"/>
      <c r="P278" s="214"/>
      <c r="Q278" s="215"/>
      <c r="R278" s="216"/>
    </row>
    <row r="279" spans="1:18" ht="27" customHeight="1" thickBot="1">
      <c r="A279" s="210">
        <v>46523</v>
      </c>
      <c r="B279" s="211"/>
      <c r="C279" s="212"/>
      <c r="D279" s="213"/>
      <c r="E279" s="213"/>
      <c r="F279" s="213"/>
      <c r="G279" s="213"/>
      <c r="H279" s="213"/>
      <c r="I279" s="213"/>
      <c r="J279" s="213"/>
      <c r="K279" s="213"/>
      <c r="L279" s="213"/>
      <c r="M279" s="213"/>
      <c r="N279" s="213"/>
      <c r="O279" s="213"/>
      <c r="P279" s="214"/>
      <c r="Q279" s="215"/>
      <c r="R279" s="216"/>
    </row>
    <row r="280" spans="1:18" ht="27" customHeight="1" thickBot="1">
      <c r="A280" s="210">
        <v>46524</v>
      </c>
      <c r="B280" s="211"/>
      <c r="C280" s="212"/>
      <c r="D280" s="213"/>
      <c r="E280" s="213"/>
      <c r="F280" s="213"/>
      <c r="G280" s="213"/>
      <c r="H280" s="213"/>
      <c r="I280" s="213"/>
      <c r="J280" s="213"/>
      <c r="K280" s="213"/>
      <c r="L280" s="213"/>
      <c r="M280" s="213"/>
      <c r="N280" s="213"/>
      <c r="O280" s="213"/>
      <c r="P280" s="214"/>
      <c r="Q280" s="215"/>
      <c r="R280" s="216"/>
    </row>
    <row r="281" spans="1:18" ht="27" customHeight="1" thickBot="1">
      <c r="A281" s="210">
        <v>46525</v>
      </c>
      <c r="B281" s="211"/>
      <c r="C281" s="212"/>
      <c r="D281" s="213"/>
      <c r="E281" s="213"/>
      <c r="F281" s="213"/>
      <c r="G281" s="213"/>
      <c r="H281" s="213"/>
      <c r="I281" s="213"/>
      <c r="J281" s="213"/>
      <c r="K281" s="213"/>
      <c r="L281" s="213"/>
      <c r="M281" s="213"/>
      <c r="N281" s="213"/>
      <c r="O281" s="213"/>
      <c r="P281" s="214"/>
      <c r="Q281" s="215"/>
      <c r="R281" s="216"/>
    </row>
    <row r="282" spans="1:18" ht="27" customHeight="1" thickBot="1">
      <c r="A282" s="210">
        <v>46526</v>
      </c>
      <c r="B282" s="211"/>
      <c r="C282" s="212"/>
      <c r="D282" s="213"/>
      <c r="E282" s="213"/>
      <c r="F282" s="213"/>
      <c r="G282" s="213"/>
      <c r="H282" s="213"/>
      <c r="I282" s="213"/>
      <c r="J282" s="213"/>
      <c r="K282" s="213"/>
      <c r="L282" s="213"/>
      <c r="M282" s="213"/>
      <c r="N282" s="213"/>
      <c r="O282" s="213"/>
      <c r="P282" s="214"/>
      <c r="Q282" s="215"/>
      <c r="R282" s="216"/>
    </row>
    <row r="283" spans="1:18" ht="27" customHeight="1" thickBot="1">
      <c r="A283" s="210">
        <v>46527</v>
      </c>
      <c r="B283" s="211"/>
      <c r="C283" s="212"/>
      <c r="D283" s="213"/>
      <c r="E283" s="213"/>
      <c r="F283" s="213"/>
      <c r="G283" s="213"/>
      <c r="H283" s="213"/>
      <c r="I283" s="213"/>
      <c r="J283" s="213"/>
      <c r="K283" s="213"/>
      <c r="L283" s="213"/>
      <c r="M283" s="213"/>
      <c r="N283" s="213"/>
      <c r="O283" s="213"/>
      <c r="P283" s="214"/>
      <c r="Q283" s="215"/>
      <c r="R283" s="216"/>
    </row>
    <row r="284" spans="1:18" ht="27" customHeight="1" thickBot="1">
      <c r="A284" s="210">
        <v>46528</v>
      </c>
      <c r="B284" s="211"/>
      <c r="C284" s="212"/>
      <c r="D284" s="213"/>
      <c r="E284" s="213"/>
      <c r="F284" s="213"/>
      <c r="G284" s="213"/>
      <c r="H284" s="213"/>
      <c r="I284" s="213"/>
      <c r="J284" s="213"/>
      <c r="K284" s="213"/>
      <c r="L284" s="213"/>
      <c r="M284" s="213"/>
      <c r="N284" s="213"/>
      <c r="O284" s="213"/>
      <c r="P284" s="214"/>
      <c r="Q284" s="215"/>
      <c r="R284" s="216"/>
    </row>
    <row r="285" spans="1:18" ht="27" customHeight="1" thickBot="1">
      <c r="A285" s="210">
        <v>46529</v>
      </c>
      <c r="B285" s="211"/>
      <c r="C285" s="212"/>
      <c r="D285" s="213"/>
      <c r="E285" s="213"/>
      <c r="F285" s="213"/>
      <c r="G285" s="213"/>
      <c r="H285" s="213"/>
      <c r="I285" s="213"/>
      <c r="J285" s="213"/>
      <c r="K285" s="213"/>
      <c r="L285" s="213"/>
      <c r="M285" s="213"/>
      <c r="N285" s="213"/>
      <c r="O285" s="213"/>
      <c r="P285" s="214"/>
      <c r="Q285" s="215"/>
      <c r="R285" s="216"/>
    </row>
    <row r="286" spans="1:18" ht="27" customHeight="1" thickBot="1">
      <c r="A286" s="210">
        <v>46530</v>
      </c>
      <c r="B286" s="211"/>
      <c r="C286" s="212"/>
      <c r="D286" s="213"/>
      <c r="E286" s="213"/>
      <c r="F286" s="213"/>
      <c r="G286" s="213"/>
      <c r="H286" s="213"/>
      <c r="I286" s="213"/>
      <c r="J286" s="213"/>
      <c r="K286" s="213"/>
      <c r="L286" s="213"/>
      <c r="M286" s="213"/>
      <c r="N286" s="213"/>
      <c r="O286" s="213"/>
      <c r="P286" s="214"/>
      <c r="Q286" s="215"/>
      <c r="R286" s="216"/>
    </row>
    <row r="287" spans="1:18" ht="27" customHeight="1" thickBot="1">
      <c r="A287" s="210">
        <v>46531</v>
      </c>
      <c r="B287" s="211"/>
      <c r="C287" s="212"/>
      <c r="D287" s="213"/>
      <c r="E287" s="213"/>
      <c r="F287" s="213"/>
      <c r="G287" s="213"/>
      <c r="H287" s="213"/>
      <c r="I287" s="213"/>
      <c r="J287" s="213"/>
      <c r="K287" s="213"/>
      <c r="L287" s="213"/>
      <c r="M287" s="213"/>
      <c r="N287" s="213"/>
      <c r="O287" s="213"/>
      <c r="P287" s="214"/>
      <c r="Q287" s="215"/>
      <c r="R287" s="216"/>
    </row>
    <row r="288" spans="1:18" ht="27" customHeight="1" thickBot="1">
      <c r="A288" s="210">
        <v>46532</v>
      </c>
      <c r="B288" s="211"/>
      <c r="C288" s="212"/>
      <c r="D288" s="213"/>
      <c r="E288" s="213"/>
      <c r="F288" s="213"/>
      <c r="G288" s="213"/>
      <c r="H288" s="213"/>
      <c r="I288" s="213"/>
      <c r="J288" s="213"/>
      <c r="K288" s="213"/>
      <c r="L288" s="213"/>
      <c r="M288" s="213"/>
      <c r="N288" s="213"/>
      <c r="O288" s="213"/>
      <c r="P288" s="214"/>
      <c r="Q288" s="215"/>
      <c r="R288" s="216"/>
    </row>
    <row r="289" spans="1:18" ht="27" customHeight="1" thickBot="1">
      <c r="A289" s="210">
        <v>46533</v>
      </c>
      <c r="B289" s="211"/>
      <c r="C289" s="212"/>
      <c r="D289" s="213"/>
      <c r="E289" s="213"/>
      <c r="F289" s="213"/>
      <c r="G289" s="213"/>
      <c r="H289" s="213"/>
      <c r="I289" s="213"/>
      <c r="J289" s="213"/>
      <c r="K289" s="213"/>
      <c r="L289" s="213"/>
      <c r="M289" s="213"/>
      <c r="N289" s="213"/>
      <c r="O289" s="213"/>
      <c r="P289" s="214"/>
      <c r="Q289" s="215"/>
      <c r="R289" s="216"/>
    </row>
    <row r="290" spans="1:18" ht="27" customHeight="1" thickBot="1">
      <c r="A290" s="210">
        <v>46534</v>
      </c>
      <c r="B290" s="211"/>
      <c r="C290" s="212"/>
      <c r="D290" s="213"/>
      <c r="E290" s="213"/>
      <c r="F290" s="213"/>
      <c r="G290" s="213"/>
      <c r="H290" s="213"/>
      <c r="I290" s="213"/>
      <c r="J290" s="213"/>
      <c r="K290" s="213"/>
      <c r="L290" s="213"/>
      <c r="M290" s="213"/>
      <c r="N290" s="213"/>
      <c r="O290" s="213"/>
      <c r="P290" s="214"/>
      <c r="Q290" s="215"/>
      <c r="R290" s="216"/>
    </row>
    <row r="291" spans="1:18" ht="27" customHeight="1" thickBot="1">
      <c r="A291" s="210">
        <v>46535</v>
      </c>
      <c r="B291" s="211"/>
      <c r="C291" s="212"/>
      <c r="D291" s="213"/>
      <c r="E291" s="213"/>
      <c r="F291" s="213"/>
      <c r="G291" s="213"/>
      <c r="H291" s="213"/>
      <c r="I291" s="213"/>
      <c r="J291" s="213"/>
      <c r="K291" s="213"/>
      <c r="L291" s="213"/>
      <c r="M291" s="213"/>
      <c r="N291" s="213"/>
      <c r="O291" s="213"/>
      <c r="P291" s="214"/>
      <c r="Q291" s="215"/>
      <c r="R291" s="216"/>
    </row>
    <row r="292" spans="1:18" ht="27" customHeight="1" thickBot="1">
      <c r="A292" s="210">
        <v>46536</v>
      </c>
      <c r="B292" s="211"/>
      <c r="C292" s="212"/>
      <c r="D292" s="213"/>
      <c r="E292" s="213"/>
      <c r="F292" s="213"/>
      <c r="G292" s="213"/>
      <c r="H292" s="213"/>
      <c r="I292" s="213"/>
      <c r="J292" s="213"/>
      <c r="K292" s="213"/>
      <c r="L292" s="213"/>
      <c r="M292" s="213"/>
      <c r="N292" s="213"/>
      <c r="O292" s="213"/>
      <c r="P292" s="214"/>
      <c r="Q292" s="215"/>
      <c r="R292" s="216"/>
    </row>
    <row r="293" spans="1:18" ht="27" customHeight="1" thickBot="1">
      <c r="A293" s="210">
        <v>46537</v>
      </c>
      <c r="B293" s="211"/>
      <c r="C293" s="212"/>
      <c r="D293" s="213"/>
      <c r="E293" s="213"/>
      <c r="F293" s="213"/>
      <c r="G293" s="213"/>
      <c r="H293" s="213"/>
      <c r="I293" s="213"/>
      <c r="J293" s="213"/>
      <c r="K293" s="213"/>
      <c r="L293" s="213"/>
      <c r="M293" s="213"/>
      <c r="N293" s="213"/>
      <c r="O293" s="213"/>
      <c r="P293" s="214"/>
      <c r="Q293" s="215"/>
      <c r="R293" s="216"/>
    </row>
    <row r="294" spans="1:18" ht="27" customHeight="1" thickBot="1">
      <c r="A294" s="210">
        <v>46538</v>
      </c>
      <c r="B294" s="211"/>
      <c r="C294" s="212"/>
      <c r="D294" s="213"/>
      <c r="E294" s="213"/>
      <c r="F294" s="213"/>
      <c r="G294" s="213"/>
      <c r="H294" s="213"/>
      <c r="I294" s="213"/>
      <c r="J294" s="213"/>
      <c r="K294" s="213"/>
      <c r="L294" s="213"/>
      <c r="M294" s="213"/>
      <c r="N294" s="213"/>
      <c r="O294" s="213"/>
      <c r="P294" s="214"/>
      <c r="Q294" s="215"/>
      <c r="R294" s="216"/>
    </row>
    <row r="295" spans="1:18" ht="27" customHeight="1" thickBot="1">
      <c r="A295" s="210">
        <v>46539</v>
      </c>
      <c r="B295" s="211"/>
      <c r="C295" s="212"/>
      <c r="D295" s="213"/>
      <c r="E295" s="213"/>
      <c r="F295" s="213"/>
      <c r="G295" s="213"/>
      <c r="H295" s="213"/>
      <c r="I295" s="213"/>
      <c r="J295" s="213"/>
      <c r="K295" s="213"/>
      <c r="L295" s="213"/>
      <c r="M295" s="213"/>
      <c r="N295" s="213"/>
      <c r="O295" s="213"/>
      <c r="P295" s="214"/>
      <c r="Q295" s="215"/>
      <c r="R295" s="216"/>
    </row>
    <row r="296" spans="1:18" ht="27" customHeight="1" thickBot="1">
      <c r="A296" s="210">
        <v>46540</v>
      </c>
      <c r="B296" s="211"/>
      <c r="C296" s="212"/>
      <c r="D296" s="213"/>
      <c r="E296" s="213"/>
      <c r="F296" s="213"/>
      <c r="G296" s="213"/>
      <c r="H296" s="213"/>
      <c r="I296" s="213"/>
      <c r="J296" s="213"/>
      <c r="K296" s="213"/>
      <c r="L296" s="213"/>
      <c r="M296" s="213"/>
      <c r="N296" s="213"/>
      <c r="O296" s="213"/>
      <c r="P296" s="214"/>
      <c r="Q296" s="215"/>
      <c r="R296" s="216"/>
    </row>
    <row r="297" spans="1:18" ht="27" customHeight="1" thickBot="1">
      <c r="A297" s="210">
        <v>46541</v>
      </c>
      <c r="B297" s="211"/>
      <c r="C297" s="212"/>
      <c r="D297" s="213"/>
      <c r="E297" s="213"/>
      <c r="F297" s="213"/>
      <c r="G297" s="213"/>
      <c r="H297" s="213"/>
      <c r="I297" s="213"/>
      <c r="J297" s="213"/>
      <c r="K297" s="213"/>
      <c r="L297" s="213"/>
      <c r="M297" s="213"/>
      <c r="N297" s="213"/>
      <c r="O297" s="213"/>
      <c r="P297" s="214"/>
      <c r="Q297" s="215"/>
      <c r="R297" s="216"/>
    </row>
    <row r="298" spans="1:18" ht="27" customHeight="1" thickBot="1">
      <c r="A298" s="210">
        <v>46542</v>
      </c>
      <c r="B298" s="211"/>
      <c r="C298" s="212"/>
      <c r="D298" s="213"/>
      <c r="E298" s="213"/>
      <c r="F298" s="213"/>
      <c r="G298" s="213"/>
      <c r="H298" s="213"/>
      <c r="I298" s="213"/>
      <c r="J298" s="213"/>
      <c r="K298" s="213"/>
      <c r="L298" s="213"/>
      <c r="M298" s="213"/>
      <c r="N298" s="213"/>
      <c r="O298" s="213"/>
      <c r="P298" s="214"/>
      <c r="Q298" s="215"/>
      <c r="R298" s="216"/>
    </row>
    <row r="299" spans="1:18" ht="27" customHeight="1" thickBot="1">
      <c r="A299" s="210">
        <v>46543</v>
      </c>
      <c r="B299" s="211"/>
      <c r="C299" s="212"/>
      <c r="D299" s="213"/>
      <c r="E299" s="213"/>
      <c r="F299" s="213"/>
      <c r="G299" s="213"/>
      <c r="H299" s="213"/>
      <c r="I299" s="213"/>
      <c r="J299" s="213"/>
      <c r="K299" s="213"/>
      <c r="L299" s="213"/>
      <c r="M299" s="213"/>
      <c r="N299" s="213"/>
      <c r="O299" s="213"/>
      <c r="P299" s="214"/>
      <c r="Q299" s="215"/>
      <c r="R299" s="216"/>
    </row>
    <row r="300" spans="1:18" ht="27" customHeight="1">
      <c r="A300" s="210">
        <v>46544</v>
      </c>
      <c r="B300" s="211"/>
      <c r="C300" s="212"/>
      <c r="D300" s="213"/>
      <c r="E300" s="213"/>
      <c r="F300" s="213"/>
      <c r="G300" s="213"/>
      <c r="H300" s="213"/>
      <c r="I300" s="213"/>
      <c r="J300" s="213"/>
      <c r="K300" s="213"/>
      <c r="L300" s="213"/>
      <c r="M300" s="213"/>
      <c r="N300" s="213"/>
      <c r="O300" s="213"/>
      <c r="P300" s="214"/>
      <c r="Q300" s="215"/>
      <c r="R300" s="216"/>
    </row>
  </sheetData>
  <phoneticPr fontId="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7392A-D0CA-4CB1-927D-EAC55EB7D331}">
  <sheetPr codeName="工作表3"/>
  <dimension ref="A1:HA50"/>
  <sheetViews>
    <sheetView showGridLines="0" zoomScale="60" zoomScaleNormal="60" zoomScaleSheetLayoutView="10" workbookViewId="0">
      <pane xSplit="4" ySplit="11" topLeftCell="R12" activePane="bottomRight" state="frozen"/>
      <selection activeCell="G36" sqref="B1:J60"/>
      <selection pane="topRight" activeCell="G36" sqref="B1:J60"/>
      <selection pane="bottomLeft" activeCell="G36" sqref="B1:J60"/>
      <selection pane="bottomRight" activeCell="B16" sqref="B16"/>
    </sheetView>
  </sheetViews>
  <sheetFormatPr defaultColWidth="7.25" defaultRowHeight="20.100000000000001" customHeight="1"/>
  <cols>
    <col min="1" max="1" width="14.5" style="80" bestFit="1" customWidth="1"/>
    <col min="2" max="2" width="43.5" style="81" customWidth="1"/>
    <col min="3" max="3" width="10.25" style="82" customWidth="1"/>
    <col min="4" max="4" width="10.125" style="80" customWidth="1"/>
    <col min="5" max="135" width="10.625" style="71" customWidth="1"/>
    <col min="136" max="141" width="10.625" style="72" customWidth="1"/>
    <col min="142" max="168" width="10.625" style="71" customWidth="1"/>
    <col min="169" max="169" width="10.625" style="73" customWidth="1"/>
    <col min="170" max="170" width="10.625" style="74" customWidth="1"/>
    <col min="171" max="205" width="10.625" style="71" customWidth="1"/>
    <col min="206" max="206" width="11.5" style="71" bestFit="1" customWidth="1"/>
    <col min="207" max="208" width="12.5" style="71" bestFit="1" customWidth="1"/>
    <col min="209" max="209" width="10.5" style="103" bestFit="1" customWidth="1"/>
  </cols>
  <sheetData>
    <row r="1" spans="1:209" s="95" customFormat="1" ht="20.100000000000001" customHeight="1">
      <c r="A1" s="83" t="s">
        <v>2</v>
      </c>
      <c r="B1" s="84" t="s">
        <v>139</v>
      </c>
      <c r="C1" s="85"/>
      <c r="D1" s="94"/>
      <c r="FM1" s="96"/>
      <c r="FN1" s="97"/>
      <c r="HA1" s="102"/>
    </row>
    <row r="2" spans="1:209" s="95" customFormat="1" ht="20.100000000000001" customHeight="1">
      <c r="A2" s="86" t="s">
        <v>3</v>
      </c>
      <c r="B2" s="87" t="s">
        <v>204</v>
      </c>
      <c r="C2" s="85"/>
      <c r="D2" s="94"/>
      <c r="FM2" s="96"/>
      <c r="FN2" s="97"/>
      <c r="HA2" s="102"/>
    </row>
    <row r="3" spans="1:209" s="95" customFormat="1" ht="20.100000000000001" customHeight="1">
      <c r="A3" s="88" t="s">
        <v>91</v>
      </c>
      <c r="B3" s="89">
        <v>5180000</v>
      </c>
      <c r="C3" s="85"/>
      <c r="D3" s="94"/>
      <c r="FM3" s="96"/>
      <c r="FN3" s="97"/>
      <c r="HA3" s="102"/>
    </row>
    <row r="4" spans="1:209" s="95" customFormat="1" ht="20.100000000000001" customHeight="1">
      <c r="A4" s="88" t="s">
        <v>16</v>
      </c>
      <c r="B4" s="90" t="s">
        <v>90</v>
      </c>
      <c r="C4" s="85"/>
      <c r="D4" s="105" t="s">
        <v>27</v>
      </c>
      <c r="E4" s="109">
        <v>46246</v>
      </c>
      <c r="F4" s="110">
        <v>46247</v>
      </c>
      <c r="G4" s="110">
        <v>46248</v>
      </c>
      <c r="H4" s="110">
        <v>46249</v>
      </c>
      <c r="I4" s="110">
        <v>46250</v>
      </c>
      <c r="J4" s="110">
        <v>46251</v>
      </c>
      <c r="K4" s="110">
        <v>46252</v>
      </c>
      <c r="L4" s="110">
        <v>46253</v>
      </c>
      <c r="M4" s="110">
        <v>46254</v>
      </c>
      <c r="N4" s="110">
        <v>46255</v>
      </c>
      <c r="O4" s="110">
        <v>46256</v>
      </c>
      <c r="P4" s="110">
        <v>46257</v>
      </c>
      <c r="Q4" s="110">
        <v>46258</v>
      </c>
      <c r="R4" s="110">
        <v>46259</v>
      </c>
      <c r="S4" s="110">
        <v>46260</v>
      </c>
      <c r="T4" s="110">
        <v>46261</v>
      </c>
      <c r="U4" s="110">
        <v>46262</v>
      </c>
      <c r="V4" s="110">
        <v>46263</v>
      </c>
      <c r="W4" s="110">
        <v>46264</v>
      </c>
      <c r="X4" s="110">
        <v>46265</v>
      </c>
      <c r="Y4" s="110">
        <v>46266</v>
      </c>
      <c r="Z4" s="110">
        <v>46267</v>
      </c>
      <c r="AA4" s="110">
        <v>46268</v>
      </c>
      <c r="AB4" s="110">
        <v>46269</v>
      </c>
      <c r="AC4" s="110">
        <v>46270</v>
      </c>
      <c r="AD4" s="110">
        <v>46271</v>
      </c>
      <c r="AE4" s="110">
        <v>46272</v>
      </c>
      <c r="AF4" s="110">
        <v>46273</v>
      </c>
      <c r="AG4" s="110">
        <v>46274</v>
      </c>
      <c r="AH4" s="110">
        <v>46275</v>
      </c>
      <c r="AI4" s="110">
        <v>46276</v>
      </c>
      <c r="AJ4" s="110">
        <v>46277</v>
      </c>
      <c r="AK4" s="110">
        <v>46278</v>
      </c>
      <c r="AL4" s="110">
        <v>46279</v>
      </c>
      <c r="AM4" s="110">
        <v>46280</v>
      </c>
      <c r="AN4" s="110">
        <v>46281</v>
      </c>
      <c r="AO4" s="110">
        <v>46282</v>
      </c>
      <c r="AP4" s="110">
        <v>46283</v>
      </c>
      <c r="AQ4" s="110">
        <v>46284</v>
      </c>
      <c r="AR4" s="110">
        <v>46285</v>
      </c>
      <c r="AS4" s="110">
        <v>46286</v>
      </c>
      <c r="AT4" s="110">
        <v>46287</v>
      </c>
      <c r="AU4" s="110">
        <v>46288</v>
      </c>
      <c r="AV4" s="110">
        <v>46289</v>
      </c>
      <c r="AW4" s="110">
        <v>46290</v>
      </c>
      <c r="AX4" s="110">
        <v>46291</v>
      </c>
      <c r="AY4" s="110">
        <v>46292</v>
      </c>
      <c r="AZ4" s="110">
        <v>46293</v>
      </c>
      <c r="BA4" s="110">
        <v>46294</v>
      </c>
      <c r="BB4" s="110">
        <v>46295</v>
      </c>
      <c r="BC4" s="110">
        <v>46296</v>
      </c>
      <c r="BD4" s="110">
        <v>46297</v>
      </c>
      <c r="BE4" s="110">
        <v>46298</v>
      </c>
      <c r="BF4" s="110">
        <v>46299</v>
      </c>
      <c r="BG4" s="110">
        <v>46300</v>
      </c>
      <c r="BH4" s="110">
        <v>46301</v>
      </c>
      <c r="BI4" s="110">
        <v>46302</v>
      </c>
      <c r="BJ4" s="110">
        <v>46303</v>
      </c>
      <c r="BK4" s="110">
        <v>46304</v>
      </c>
      <c r="BL4" s="110">
        <v>46305</v>
      </c>
      <c r="BM4" s="110">
        <v>46306</v>
      </c>
      <c r="BN4" s="110">
        <v>46307</v>
      </c>
      <c r="BO4" s="110">
        <v>46308</v>
      </c>
      <c r="BP4" s="110">
        <v>46309</v>
      </c>
      <c r="BQ4" s="110">
        <v>46310</v>
      </c>
      <c r="BR4" s="110">
        <v>46311</v>
      </c>
      <c r="BS4" s="110">
        <v>46312</v>
      </c>
      <c r="BT4" s="110">
        <v>46313</v>
      </c>
      <c r="BU4" s="110">
        <v>46314</v>
      </c>
      <c r="BV4" s="110">
        <v>46315</v>
      </c>
      <c r="BW4" s="110">
        <v>46316</v>
      </c>
      <c r="BX4" s="110">
        <v>46317</v>
      </c>
      <c r="BY4" s="110">
        <v>46318</v>
      </c>
      <c r="BZ4" s="110">
        <v>46319</v>
      </c>
      <c r="CA4" s="110">
        <v>46320</v>
      </c>
      <c r="CB4" s="110">
        <v>46321</v>
      </c>
      <c r="CC4" s="110">
        <v>46322</v>
      </c>
      <c r="CD4" s="110">
        <v>46323</v>
      </c>
      <c r="CE4" s="110">
        <v>46324</v>
      </c>
      <c r="CF4" s="110">
        <v>46325</v>
      </c>
      <c r="CG4" s="110">
        <v>46326</v>
      </c>
      <c r="CH4" s="110">
        <v>46327</v>
      </c>
      <c r="CI4" s="110">
        <v>46328</v>
      </c>
      <c r="CJ4" s="110">
        <v>46329</v>
      </c>
      <c r="CK4" s="110">
        <v>46330</v>
      </c>
      <c r="CL4" s="110">
        <v>46331</v>
      </c>
      <c r="CM4" s="110">
        <v>46332</v>
      </c>
      <c r="CN4" s="110">
        <v>46333</v>
      </c>
      <c r="CO4" s="110">
        <v>46334</v>
      </c>
      <c r="CP4" s="110">
        <v>46335</v>
      </c>
      <c r="CQ4" s="110">
        <v>46336</v>
      </c>
      <c r="CR4" s="110">
        <v>46337</v>
      </c>
      <c r="CS4" s="110">
        <v>46338</v>
      </c>
      <c r="CT4" s="110">
        <v>46339</v>
      </c>
      <c r="CU4" s="110">
        <v>46340</v>
      </c>
      <c r="CV4" s="110">
        <v>46341</v>
      </c>
      <c r="CW4" s="110">
        <v>46342</v>
      </c>
      <c r="CX4" s="110">
        <v>46343</v>
      </c>
      <c r="CY4" s="110">
        <v>46344</v>
      </c>
      <c r="CZ4" s="110">
        <v>46345</v>
      </c>
      <c r="DA4" s="110">
        <v>46346</v>
      </c>
      <c r="DB4" s="110">
        <v>46347</v>
      </c>
      <c r="DC4" s="110">
        <v>46348</v>
      </c>
      <c r="DD4" s="110">
        <v>46349</v>
      </c>
      <c r="DE4" s="110">
        <v>46350</v>
      </c>
      <c r="DF4" s="110">
        <v>46351</v>
      </c>
      <c r="DG4" s="110">
        <v>46352</v>
      </c>
      <c r="DH4" s="110">
        <v>46353</v>
      </c>
      <c r="DI4" s="110">
        <v>46354</v>
      </c>
      <c r="DJ4" s="110">
        <v>46355</v>
      </c>
      <c r="DK4" s="110">
        <v>46356</v>
      </c>
      <c r="DL4" s="110">
        <v>46357</v>
      </c>
      <c r="DM4" s="110">
        <v>46358</v>
      </c>
      <c r="DN4" s="110">
        <v>46359</v>
      </c>
      <c r="DO4" s="110">
        <v>46360</v>
      </c>
      <c r="DP4" s="110">
        <v>46361</v>
      </c>
      <c r="DQ4" s="110">
        <v>46362</v>
      </c>
      <c r="DR4" s="110">
        <v>46363</v>
      </c>
      <c r="DS4" s="110">
        <v>46364</v>
      </c>
      <c r="DT4" s="110">
        <v>46365</v>
      </c>
      <c r="DU4" s="110">
        <v>46366</v>
      </c>
      <c r="DV4" s="110">
        <v>46367</v>
      </c>
      <c r="DW4" s="110">
        <v>46368</v>
      </c>
      <c r="DX4" s="110">
        <v>46369</v>
      </c>
      <c r="DY4" s="110">
        <v>46370</v>
      </c>
      <c r="DZ4" s="110">
        <v>46371</v>
      </c>
      <c r="EA4" s="110">
        <v>46372</v>
      </c>
      <c r="EB4" s="110">
        <v>46373</v>
      </c>
      <c r="EC4" s="110">
        <v>46374</v>
      </c>
      <c r="ED4" s="110">
        <v>46375</v>
      </c>
      <c r="EE4" s="110">
        <v>46376</v>
      </c>
      <c r="EF4" s="110">
        <v>46377</v>
      </c>
      <c r="EG4" s="110">
        <v>46378</v>
      </c>
      <c r="EH4" s="110">
        <v>46379</v>
      </c>
      <c r="EI4" s="110">
        <v>46380</v>
      </c>
      <c r="EJ4" s="110">
        <v>46381</v>
      </c>
      <c r="EK4" s="110">
        <v>46382</v>
      </c>
      <c r="EL4" s="110">
        <v>46383</v>
      </c>
      <c r="EM4" s="110">
        <v>46384</v>
      </c>
      <c r="EN4" s="110">
        <v>46385</v>
      </c>
      <c r="EO4" s="110">
        <v>46386</v>
      </c>
      <c r="EP4" s="110">
        <v>46387</v>
      </c>
      <c r="EQ4" s="110">
        <v>46388</v>
      </c>
      <c r="ER4" s="110">
        <v>46389</v>
      </c>
      <c r="ES4" s="110">
        <v>46390</v>
      </c>
      <c r="ET4" s="110">
        <v>46391</v>
      </c>
      <c r="EU4" s="110">
        <v>46392</v>
      </c>
      <c r="EV4" s="110">
        <v>46393</v>
      </c>
      <c r="EW4" s="110">
        <v>46394</v>
      </c>
      <c r="EX4" s="110">
        <v>46395</v>
      </c>
      <c r="EY4" s="110">
        <v>46396</v>
      </c>
      <c r="EZ4" s="110">
        <v>46397</v>
      </c>
      <c r="FA4" s="110">
        <v>46398</v>
      </c>
      <c r="FB4" s="110">
        <v>46399</v>
      </c>
      <c r="FC4" s="110">
        <v>46400</v>
      </c>
      <c r="FD4" s="110">
        <v>46401</v>
      </c>
      <c r="FE4" s="110">
        <v>46402</v>
      </c>
      <c r="FF4" s="110">
        <v>46403</v>
      </c>
      <c r="FG4" s="110">
        <v>46404</v>
      </c>
      <c r="FH4" s="110">
        <v>46405</v>
      </c>
      <c r="FI4" s="110">
        <v>46406</v>
      </c>
      <c r="FJ4" s="110">
        <v>46407</v>
      </c>
      <c r="FK4" s="110">
        <v>46408</v>
      </c>
      <c r="FL4" s="110">
        <v>46409</v>
      </c>
      <c r="FM4" s="110">
        <v>46410</v>
      </c>
      <c r="FN4" s="110">
        <v>46411</v>
      </c>
      <c r="FO4" s="110">
        <v>46412</v>
      </c>
      <c r="FP4" s="110">
        <v>46413</v>
      </c>
      <c r="FQ4" s="110">
        <v>46414</v>
      </c>
      <c r="FR4" s="110">
        <v>46415</v>
      </c>
      <c r="FS4" s="110">
        <v>46416</v>
      </c>
      <c r="FT4" s="110">
        <v>46417</v>
      </c>
      <c r="FU4" s="110">
        <v>46418</v>
      </c>
      <c r="FV4" s="110">
        <v>46419</v>
      </c>
      <c r="FW4" s="110">
        <v>46420</v>
      </c>
      <c r="FX4" s="110">
        <v>46421</v>
      </c>
      <c r="FY4" s="110">
        <v>46422</v>
      </c>
      <c r="FZ4" s="110">
        <v>46423</v>
      </c>
      <c r="GA4" s="110">
        <v>46424</v>
      </c>
      <c r="GB4" s="110">
        <v>46425</v>
      </c>
      <c r="GC4" s="110">
        <v>46426</v>
      </c>
      <c r="GD4" s="110">
        <v>46427</v>
      </c>
      <c r="GE4" s="110">
        <v>46428</v>
      </c>
      <c r="GF4" s="110">
        <v>46429</v>
      </c>
      <c r="GG4" s="110">
        <v>46430</v>
      </c>
      <c r="GH4" s="110">
        <v>46431</v>
      </c>
      <c r="GI4" s="110">
        <v>46432</v>
      </c>
      <c r="GJ4" s="110">
        <v>46433</v>
      </c>
      <c r="GK4" s="110">
        <v>46434</v>
      </c>
      <c r="GL4" s="110">
        <v>46435</v>
      </c>
      <c r="GM4" s="110">
        <v>46436</v>
      </c>
      <c r="GN4" s="110">
        <v>46437</v>
      </c>
      <c r="GO4" s="110">
        <v>46438</v>
      </c>
      <c r="GP4" s="110">
        <v>46439</v>
      </c>
      <c r="GQ4" s="110">
        <v>46440</v>
      </c>
      <c r="GR4" s="110">
        <v>46441</v>
      </c>
      <c r="GS4" s="110">
        <v>46442</v>
      </c>
      <c r="GT4" s="110">
        <v>46443</v>
      </c>
      <c r="GU4" s="110">
        <v>46444</v>
      </c>
      <c r="GV4" s="110">
        <v>46445</v>
      </c>
      <c r="GW4" s="111">
        <v>46446</v>
      </c>
      <c r="GX4" s="75"/>
      <c r="HA4" s="102"/>
    </row>
    <row r="5" spans="1:209" s="95" customFormat="1" ht="20.100000000000001" customHeight="1">
      <c r="A5" s="88" t="s">
        <v>94</v>
      </c>
      <c r="B5" s="91">
        <v>46246</v>
      </c>
      <c r="C5" s="85"/>
      <c r="D5" s="106" t="s">
        <v>28</v>
      </c>
      <c r="E5" s="112" t="s">
        <v>19</v>
      </c>
      <c r="F5" s="113" t="s">
        <v>20</v>
      </c>
      <c r="G5" s="113" t="s">
        <v>21</v>
      </c>
      <c r="H5" s="113" t="s">
        <v>22</v>
      </c>
      <c r="I5" s="113" t="s">
        <v>29</v>
      </c>
      <c r="J5" s="113" t="s">
        <v>5</v>
      </c>
      <c r="K5" s="113" t="s">
        <v>9</v>
      </c>
      <c r="L5" s="113" t="s">
        <v>19</v>
      </c>
      <c r="M5" s="113" t="s">
        <v>20</v>
      </c>
      <c r="N5" s="113" t="s">
        <v>21</v>
      </c>
      <c r="O5" s="113" t="s">
        <v>22</v>
      </c>
      <c r="P5" s="113" t="s">
        <v>29</v>
      </c>
      <c r="Q5" s="113" t="s">
        <v>5</v>
      </c>
      <c r="R5" s="113" t="s">
        <v>9</v>
      </c>
      <c r="S5" s="113" t="s">
        <v>19</v>
      </c>
      <c r="T5" s="113" t="s">
        <v>20</v>
      </c>
      <c r="U5" s="113" t="s">
        <v>21</v>
      </c>
      <c r="V5" s="113" t="s">
        <v>22</v>
      </c>
      <c r="W5" s="113" t="s">
        <v>29</v>
      </c>
      <c r="X5" s="113" t="s">
        <v>5</v>
      </c>
      <c r="Y5" s="113" t="s">
        <v>9</v>
      </c>
      <c r="Z5" s="113" t="s">
        <v>19</v>
      </c>
      <c r="AA5" s="113" t="s">
        <v>20</v>
      </c>
      <c r="AB5" s="113" t="s">
        <v>21</v>
      </c>
      <c r="AC5" s="113" t="s">
        <v>22</v>
      </c>
      <c r="AD5" s="113" t="s">
        <v>29</v>
      </c>
      <c r="AE5" s="113" t="s">
        <v>5</v>
      </c>
      <c r="AF5" s="113" t="s">
        <v>9</v>
      </c>
      <c r="AG5" s="113" t="s">
        <v>19</v>
      </c>
      <c r="AH5" s="113" t="s">
        <v>20</v>
      </c>
      <c r="AI5" s="113" t="s">
        <v>21</v>
      </c>
      <c r="AJ5" s="113" t="s">
        <v>22</v>
      </c>
      <c r="AK5" s="113" t="s">
        <v>29</v>
      </c>
      <c r="AL5" s="113" t="s">
        <v>5</v>
      </c>
      <c r="AM5" s="113" t="s">
        <v>9</v>
      </c>
      <c r="AN5" s="113" t="s">
        <v>19</v>
      </c>
      <c r="AO5" s="113" t="s">
        <v>20</v>
      </c>
      <c r="AP5" s="113" t="s">
        <v>21</v>
      </c>
      <c r="AQ5" s="113" t="s">
        <v>22</v>
      </c>
      <c r="AR5" s="113" t="s">
        <v>29</v>
      </c>
      <c r="AS5" s="113" t="s">
        <v>5</v>
      </c>
      <c r="AT5" s="113" t="s">
        <v>9</v>
      </c>
      <c r="AU5" s="113" t="s">
        <v>19</v>
      </c>
      <c r="AV5" s="113" t="s">
        <v>20</v>
      </c>
      <c r="AW5" s="113" t="s">
        <v>21</v>
      </c>
      <c r="AX5" s="113" t="s">
        <v>22</v>
      </c>
      <c r="AY5" s="113" t="s">
        <v>29</v>
      </c>
      <c r="AZ5" s="113" t="s">
        <v>5</v>
      </c>
      <c r="BA5" s="113" t="s">
        <v>9</v>
      </c>
      <c r="BB5" s="113" t="s">
        <v>19</v>
      </c>
      <c r="BC5" s="113" t="s">
        <v>20</v>
      </c>
      <c r="BD5" s="113" t="s">
        <v>21</v>
      </c>
      <c r="BE5" s="113" t="s">
        <v>22</v>
      </c>
      <c r="BF5" s="113" t="s">
        <v>29</v>
      </c>
      <c r="BG5" s="113" t="s">
        <v>5</v>
      </c>
      <c r="BH5" s="113" t="s">
        <v>9</v>
      </c>
      <c r="BI5" s="113" t="s">
        <v>19</v>
      </c>
      <c r="BJ5" s="113" t="s">
        <v>20</v>
      </c>
      <c r="BK5" s="113" t="s">
        <v>21</v>
      </c>
      <c r="BL5" s="113" t="s">
        <v>22</v>
      </c>
      <c r="BM5" s="113" t="s">
        <v>29</v>
      </c>
      <c r="BN5" s="113" t="s">
        <v>5</v>
      </c>
      <c r="BO5" s="113" t="s">
        <v>9</v>
      </c>
      <c r="BP5" s="113" t="s">
        <v>19</v>
      </c>
      <c r="BQ5" s="113" t="s">
        <v>20</v>
      </c>
      <c r="BR5" s="113" t="s">
        <v>21</v>
      </c>
      <c r="BS5" s="113" t="s">
        <v>22</v>
      </c>
      <c r="BT5" s="113" t="s">
        <v>29</v>
      </c>
      <c r="BU5" s="113" t="s">
        <v>5</v>
      </c>
      <c r="BV5" s="113" t="s">
        <v>9</v>
      </c>
      <c r="BW5" s="113" t="s">
        <v>19</v>
      </c>
      <c r="BX5" s="113" t="s">
        <v>20</v>
      </c>
      <c r="BY5" s="113" t="s">
        <v>21</v>
      </c>
      <c r="BZ5" s="113" t="s">
        <v>22</v>
      </c>
      <c r="CA5" s="113" t="s">
        <v>29</v>
      </c>
      <c r="CB5" s="113" t="s">
        <v>5</v>
      </c>
      <c r="CC5" s="113" t="s">
        <v>9</v>
      </c>
      <c r="CD5" s="113" t="s">
        <v>19</v>
      </c>
      <c r="CE5" s="113" t="s">
        <v>20</v>
      </c>
      <c r="CF5" s="113" t="s">
        <v>21</v>
      </c>
      <c r="CG5" s="113" t="s">
        <v>22</v>
      </c>
      <c r="CH5" s="113" t="s">
        <v>29</v>
      </c>
      <c r="CI5" s="113" t="s">
        <v>5</v>
      </c>
      <c r="CJ5" s="113" t="s">
        <v>9</v>
      </c>
      <c r="CK5" s="113" t="s">
        <v>19</v>
      </c>
      <c r="CL5" s="113" t="s">
        <v>20</v>
      </c>
      <c r="CM5" s="113" t="s">
        <v>21</v>
      </c>
      <c r="CN5" s="113" t="s">
        <v>22</v>
      </c>
      <c r="CO5" s="113" t="s">
        <v>29</v>
      </c>
      <c r="CP5" s="113" t="s">
        <v>5</v>
      </c>
      <c r="CQ5" s="113" t="s">
        <v>9</v>
      </c>
      <c r="CR5" s="113" t="s">
        <v>19</v>
      </c>
      <c r="CS5" s="113" t="s">
        <v>20</v>
      </c>
      <c r="CT5" s="113" t="s">
        <v>21</v>
      </c>
      <c r="CU5" s="113" t="s">
        <v>22</v>
      </c>
      <c r="CV5" s="113" t="s">
        <v>29</v>
      </c>
      <c r="CW5" s="113" t="s">
        <v>5</v>
      </c>
      <c r="CX5" s="113" t="s">
        <v>9</v>
      </c>
      <c r="CY5" s="113" t="s">
        <v>19</v>
      </c>
      <c r="CZ5" s="113" t="s">
        <v>20</v>
      </c>
      <c r="DA5" s="113" t="s">
        <v>21</v>
      </c>
      <c r="DB5" s="113" t="s">
        <v>22</v>
      </c>
      <c r="DC5" s="113" t="s">
        <v>29</v>
      </c>
      <c r="DD5" s="113" t="s">
        <v>5</v>
      </c>
      <c r="DE5" s="113" t="s">
        <v>9</v>
      </c>
      <c r="DF5" s="113" t="s">
        <v>19</v>
      </c>
      <c r="DG5" s="113" t="s">
        <v>20</v>
      </c>
      <c r="DH5" s="113" t="s">
        <v>21</v>
      </c>
      <c r="DI5" s="113" t="s">
        <v>22</v>
      </c>
      <c r="DJ5" s="113" t="s">
        <v>29</v>
      </c>
      <c r="DK5" s="113" t="s">
        <v>5</v>
      </c>
      <c r="DL5" s="113" t="s">
        <v>9</v>
      </c>
      <c r="DM5" s="113" t="s">
        <v>19</v>
      </c>
      <c r="DN5" s="113" t="s">
        <v>20</v>
      </c>
      <c r="DO5" s="113" t="s">
        <v>21</v>
      </c>
      <c r="DP5" s="113" t="s">
        <v>22</v>
      </c>
      <c r="DQ5" s="113" t="s">
        <v>29</v>
      </c>
      <c r="DR5" s="113" t="s">
        <v>5</v>
      </c>
      <c r="DS5" s="113" t="s">
        <v>9</v>
      </c>
      <c r="DT5" s="113" t="s">
        <v>19</v>
      </c>
      <c r="DU5" s="113" t="s">
        <v>20</v>
      </c>
      <c r="DV5" s="113" t="s">
        <v>21</v>
      </c>
      <c r="DW5" s="113" t="s">
        <v>22</v>
      </c>
      <c r="DX5" s="113" t="s">
        <v>29</v>
      </c>
      <c r="DY5" s="113" t="s">
        <v>5</v>
      </c>
      <c r="DZ5" s="113" t="s">
        <v>9</v>
      </c>
      <c r="EA5" s="113" t="s">
        <v>19</v>
      </c>
      <c r="EB5" s="113" t="s">
        <v>20</v>
      </c>
      <c r="EC5" s="113" t="s">
        <v>21</v>
      </c>
      <c r="ED5" s="113" t="s">
        <v>22</v>
      </c>
      <c r="EE5" s="113" t="s">
        <v>29</v>
      </c>
      <c r="EF5" s="113" t="s">
        <v>5</v>
      </c>
      <c r="EG5" s="113" t="s">
        <v>9</v>
      </c>
      <c r="EH5" s="113" t="s">
        <v>19</v>
      </c>
      <c r="EI5" s="113" t="s">
        <v>20</v>
      </c>
      <c r="EJ5" s="113" t="s">
        <v>21</v>
      </c>
      <c r="EK5" s="113" t="s">
        <v>22</v>
      </c>
      <c r="EL5" s="113" t="s">
        <v>29</v>
      </c>
      <c r="EM5" s="113" t="s">
        <v>5</v>
      </c>
      <c r="EN5" s="113" t="s">
        <v>9</v>
      </c>
      <c r="EO5" s="113" t="s">
        <v>19</v>
      </c>
      <c r="EP5" s="113" t="s">
        <v>20</v>
      </c>
      <c r="EQ5" s="113" t="s">
        <v>21</v>
      </c>
      <c r="ER5" s="113" t="s">
        <v>22</v>
      </c>
      <c r="ES5" s="113" t="s">
        <v>29</v>
      </c>
      <c r="ET5" s="113" t="s">
        <v>5</v>
      </c>
      <c r="EU5" s="113" t="s">
        <v>9</v>
      </c>
      <c r="EV5" s="113" t="s">
        <v>19</v>
      </c>
      <c r="EW5" s="113" t="s">
        <v>20</v>
      </c>
      <c r="EX5" s="113" t="s">
        <v>21</v>
      </c>
      <c r="EY5" s="113" t="s">
        <v>22</v>
      </c>
      <c r="EZ5" s="113" t="s">
        <v>29</v>
      </c>
      <c r="FA5" s="113" t="s">
        <v>5</v>
      </c>
      <c r="FB5" s="113" t="s">
        <v>9</v>
      </c>
      <c r="FC5" s="113" t="s">
        <v>19</v>
      </c>
      <c r="FD5" s="113" t="s">
        <v>20</v>
      </c>
      <c r="FE5" s="113" t="s">
        <v>21</v>
      </c>
      <c r="FF5" s="113" t="s">
        <v>22</v>
      </c>
      <c r="FG5" s="113" t="s">
        <v>29</v>
      </c>
      <c r="FH5" s="113" t="s">
        <v>5</v>
      </c>
      <c r="FI5" s="113" t="s">
        <v>9</v>
      </c>
      <c r="FJ5" s="113" t="s">
        <v>19</v>
      </c>
      <c r="FK5" s="113" t="s">
        <v>20</v>
      </c>
      <c r="FL5" s="113" t="s">
        <v>21</v>
      </c>
      <c r="FM5" s="113" t="s">
        <v>22</v>
      </c>
      <c r="FN5" s="113" t="s">
        <v>29</v>
      </c>
      <c r="FO5" s="113" t="s">
        <v>5</v>
      </c>
      <c r="FP5" s="113" t="s">
        <v>9</v>
      </c>
      <c r="FQ5" s="113" t="s">
        <v>19</v>
      </c>
      <c r="FR5" s="113" t="s">
        <v>20</v>
      </c>
      <c r="FS5" s="113" t="s">
        <v>21</v>
      </c>
      <c r="FT5" s="113" t="s">
        <v>22</v>
      </c>
      <c r="FU5" s="113" t="s">
        <v>29</v>
      </c>
      <c r="FV5" s="113" t="s">
        <v>5</v>
      </c>
      <c r="FW5" s="113" t="s">
        <v>9</v>
      </c>
      <c r="FX5" s="113" t="s">
        <v>19</v>
      </c>
      <c r="FY5" s="113" t="s">
        <v>20</v>
      </c>
      <c r="FZ5" s="113" t="s">
        <v>21</v>
      </c>
      <c r="GA5" s="113" t="s">
        <v>22</v>
      </c>
      <c r="GB5" s="113" t="s">
        <v>29</v>
      </c>
      <c r="GC5" s="113" t="s">
        <v>5</v>
      </c>
      <c r="GD5" s="113" t="s">
        <v>9</v>
      </c>
      <c r="GE5" s="113" t="s">
        <v>19</v>
      </c>
      <c r="GF5" s="113" t="s">
        <v>20</v>
      </c>
      <c r="GG5" s="113" t="s">
        <v>21</v>
      </c>
      <c r="GH5" s="113" t="s">
        <v>22</v>
      </c>
      <c r="GI5" s="113" t="s">
        <v>29</v>
      </c>
      <c r="GJ5" s="113" t="s">
        <v>5</v>
      </c>
      <c r="GK5" s="113" t="s">
        <v>9</v>
      </c>
      <c r="GL5" s="113" t="s">
        <v>19</v>
      </c>
      <c r="GM5" s="113" t="s">
        <v>20</v>
      </c>
      <c r="GN5" s="113" t="s">
        <v>21</v>
      </c>
      <c r="GO5" s="113" t="s">
        <v>22</v>
      </c>
      <c r="GP5" s="113" t="s">
        <v>29</v>
      </c>
      <c r="GQ5" s="113" t="s">
        <v>5</v>
      </c>
      <c r="GR5" s="113" t="s">
        <v>9</v>
      </c>
      <c r="GS5" s="113" t="s">
        <v>19</v>
      </c>
      <c r="GT5" s="113" t="s">
        <v>20</v>
      </c>
      <c r="GU5" s="113" t="s">
        <v>21</v>
      </c>
      <c r="GV5" s="113" t="s">
        <v>22</v>
      </c>
      <c r="GW5" s="114" t="s">
        <v>29</v>
      </c>
      <c r="GX5" s="76"/>
      <c r="HA5" s="102"/>
    </row>
    <row r="6" spans="1:209" s="95" customFormat="1" ht="20.100000000000001" customHeight="1">
      <c r="A6" s="88" t="s">
        <v>205</v>
      </c>
      <c r="B6" s="91">
        <f>IF($B$11="日曆天",$B$5+$B$7-1+$B$10,WORKDAY.INTL($B$5-1,$B$7+$B$10,1))</f>
        <v>46445</v>
      </c>
      <c r="C6" s="85"/>
      <c r="D6" s="107" t="s">
        <v>30</v>
      </c>
      <c r="E6" s="115">
        <v>1</v>
      </c>
      <c r="F6" s="116">
        <v>2</v>
      </c>
      <c r="G6" s="116">
        <v>3</v>
      </c>
      <c r="H6" s="116">
        <v>4</v>
      </c>
      <c r="I6" s="116">
        <v>5</v>
      </c>
      <c r="J6" s="116">
        <v>6</v>
      </c>
      <c r="K6" s="116">
        <v>7</v>
      </c>
      <c r="L6" s="116">
        <v>8</v>
      </c>
      <c r="M6" s="116">
        <v>9</v>
      </c>
      <c r="N6" s="116">
        <v>10</v>
      </c>
      <c r="O6" s="116">
        <v>11</v>
      </c>
      <c r="P6" s="116">
        <v>12</v>
      </c>
      <c r="Q6" s="116">
        <v>13</v>
      </c>
      <c r="R6" s="116">
        <v>14</v>
      </c>
      <c r="S6" s="116">
        <v>15</v>
      </c>
      <c r="T6" s="116">
        <v>16</v>
      </c>
      <c r="U6" s="116">
        <v>17</v>
      </c>
      <c r="V6" s="116">
        <v>18</v>
      </c>
      <c r="W6" s="116">
        <v>19</v>
      </c>
      <c r="X6" s="116">
        <v>20</v>
      </c>
      <c r="Y6" s="116">
        <v>21</v>
      </c>
      <c r="Z6" s="116">
        <v>22</v>
      </c>
      <c r="AA6" s="116">
        <v>23</v>
      </c>
      <c r="AB6" s="116">
        <v>24</v>
      </c>
      <c r="AC6" s="116">
        <v>25</v>
      </c>
      <c r="AD6" s="116">
        <v>26</v>
      </c>
      <c r="AE6" s="116">
        <v>27</v>
      </c>
      <c r="AF6" s="116">
        <v>28</v>
      </c>
      <c r="AG6" s="116">
        <v>29</v>
      </c>
      <c r="AH6" s="116">
        <v>30</v>
      </c>
      <c r="AI6" s="116">
        <v>31</v>
      </c>
      <c r="AJ6" s="116">
        <v>32</v>
      </c>
      <c r="AK6" s="116">
        <v>33</v>
      </c>
      <c r="AL6" s="116">
        <v>34</v>
      </c>
      <c r="AM6" s="116">
        <v>35</v>
      </c>
      <c r="AN6" s="116">
        <v>36</v>
      </c>
      <c r="AO6" s="116">
        <v>37</v>
      </c>
      <c r="AP6" s="116">
        <v>38</v>
      </c>
      <c r="AQ6" s="116">
        <v>39</v>
      </c>
      <c r="AR6" s="116">
        <v>40</v>
      </c>
      <c r="AS6" s="116">
        <v>41</v>
      </c>
      <c r="AT6" s="116">
        <v>42</v>
      </c>
      <c r="AU6" s="116">
        <v>43</v>
      </c>
      <c r="AV6" s="116">
        <v>44</v>
      </c>
      <c r="AW6" s="116">
        <v>45</v>
      </c>
      <c r="AX6" s="116">
        <v>46</v>
      </c>
      <c r="AY6" s="116">
        <v>47</v>
      </c>
      <c r="AZ6" s="116">
        <v>48</v>
      </c>
      <c r="BA6" s="116">
        <v>49</v>
      </c>
      <c r="BB6" s="116">
        <v>50</v>
      </c>
      <c r="BC6" s="116">
        <v>51</v>
      </c>
      <c r="BD6" s="116">
        <v>52</v>
      </c>
      <c r="BE6" s="116">
        <v>53</v>
      </c>
      <c r="BF6" s="116">
        <v>54</v>
      </c>
      <c r="BG6" s="116">
        <v>55</v>
      </c>
      <c r="BH6" s="116">
        <v>56</v>
      </c>
      <c r="BI6" s="116">
        <v>57</v>
      </c>
      <c r="BJ6" s="116">
        <v>58</v>
      </c>
      <c r="BK6" s="116">
        <v>59</v>
      </c>
      <c r="BL6" s="116">
        <v>60</v>
      </c>
      <c r="BM6" s="116">
        <v>61</v>
      </c>
      <c r="BN6" s="116">
        <v>62</v>
      </c>
      <c r="BO6" s="116">
        <v>63</v>
      </c>
      <c r="BP6" s="116">
        <v>64</v>
      </c>
      <c r="BQ6" s="116">
        <v>65</v>
      </c>
      <c r="BR6" s="116">
        <v>66</v>
      </c>
      <c r="BS6" s="116">
        <v>67</v>
      </c>
      <c r="BT6" s="116">
        <v>68</v>
      </c>
      <c r="BU6" s="116">
        <v>69</v>
      </c>
      <c r="BV6" s="116">
        <v>70</v>
      </c>
      <c r="BW6" s="116">
        <v>71</v>
      </c>
      <c r="BX6" s="116">
        <v>72</v>
      </c>
      <c r="BY6" s="116">
        <v>73</v>
      </c>
      <c r="BZ6" s="116">
        <v>74</v>
      </c>
      <c r="CA6" s="116">
        <v>75</v>
      </c>
      <c r="CB6" s="116">
        <v>76</v>
      </c>
      <c r="CC6" s="116">
        <v>77</v>
      </c>
      <c r="CD6" s="116">
        <v>78</v>
      </c>
      <c r="CE6" s="116">
        <v>79</v>
      </c>
      <c r="CF6" s="116">
        <v>80</v>
      </c>
      <c r="CG6" s="116">
        <v>81</v>
      </c>
      <c r="CH6" s="116">
        <v>82</v>
      </c>
      <c r="CI6" s="116">
        <v>83</v>
      </c>
      <c r="CJ6" s="116">
        <v>84</v>
      </c>
      <c r="CK6" s="116">
        <v>85</v>
      </c>
      <c r="CL6" s="116">
        <v>86</v>
      </c>
      <c r="CM6" s="116">
        <v>87</v>
      </c>
      <c r="CN6" s="116">
        <v>88</v>
      </c>
      <c r="CO6" s="116">
        <v>89</v>
      </c>
      <c r="CP6" s="116">
        <v>90</v>
      </c>
      <c r="CQ6" s="116">
        <v>91</v>
      </c>
      <c r="CR6" s="116">
        <v>92</v>
      </c>
      <c r="CS6" s="116">
        <v>93</v>
      </c>
      <c r="CT6" s="116">
        <v>94</v>
      </c>
      <c r="CU6" s="116">
        <v>95</v>
      </c>
      <c r="CV6" s="116">
        <v>96</v>
      </c>
      <c r="CW6" s="116">
        <v>97</v>
      </c>
      <c r="CX6" s="116">
        <v>98</v>
      </c>
      <c r="CY6" s="116">
        <v>99</v>
      </c>
      <c r="CZ6" s="116">
        <v>100</v>
      </c>
      <c r="DA6" s="116">
        <v>101</v>
      </c>
      <c r="DB6" s="116">
        <v>102</v>
      </c>
      <c r="DC6" s="116">
        <v>103</v>
      </c>
      <c r="DD6" s="116">
        <v>104</v>
      </c>
      <c r="DE6" s="116">
        <v>105</v>
      </c>
      <c r="DF6" s="116">
        <v>106</v>
      </c>
      <c r="DG6" s="116">
        <v>107</v>
      </c>
      <c r="DH6" s="116">
        <v>108</v>
      </c>
      <c r="DI6" s="116">
        <v>109</v>
      </c>
      <c r="DJ6" s="116">
        <v>110</v>
      </c>
      <c r="DK6" s="116">
        <v>111</v>
      </c>
      <c r="DL6" s="116">
        <v>112</v>
      </c>
      <c r="DM6" s="116">
        <v>113</v>
      </c>
      <c r="DN6" s="116">
        <v>114</v>
      </c>
      <c r="DO6" s="116">
        <v>115</v>
      </c>
      <c r="DP6" s="116">
        <v>116</v>
      </c>
      <c r="DQ6" s="116">
        <v>117</v>
      </c>
      <c r="DR6" s="116">
        <v>118</v>
      </c>
      <c r="DS6" s="116">
        <v>119</v>
      </c>
      <c r="DT6" s="116">
        <v>120</v>
      </c>
      <c r="DU6" s="116">
        <v>121</v>
      </c>
      <c r="DV6" s="116">
        <v>122</v>
      </c>
      <c r="DW6" s="116">
        <v>123</v>
      </c>
      <c r="DX6" s="116">
        <v>124</v>
      </c>
      <c r="DY6" s="116">
        <v>125</v>
      </c>
      <c r="DZ6" s="116">
        <v>126</v>
      </c>
      <c r="EA6" s="116">
        <v>127</v>
      </c>
      <c r="EB6" s="116">
        <v>128</v>
      </c>
      <c r="EC6" s="116">
        <v>129</v>
      </c>
      <c r="ED6" s="116">
        <v>130</v>
      </c>
      <c r="EE6" s="116">
        <v>131</v>
      </c>
      <c r="EF6" s="116">
        <v>132</v>
      </c>
      <c r="EG6" s="116">
        <v>133</v>
      </c>
      <c r="EH6" s="116">
        <v>134</v>
      </c>
      <c r="EI6" s="116">
        <v>135</v>
      </c>
      <c r="EJ6" s="116">
        <v>136</v>
      </c>
      <c r="EK6" s="116">
        <v>137</v>
      </c>
      <c r="EL6" s="116">
        <v>138</v>
      </c>
      <c r="EM6" s="116">
        <v>139</v>
      </c>
      <c r="EN6" s="116">
        <v>140</v>
      </c>
      <c r="EO6" s="116">
        <v>141</v>
      </c>
      <c r="EP6" s="116">
        <v>142</v>
      </c>
      <c r="EQ6" s="116">
        <v>143</v>
      </c>
      <c r="ER6" s="116">
        <v>144</v>
      </c>
      <c r="ES6" s="116">
        <v>145</v>
      </c>
      <c r="ET6" s="116">
        <v>146</v>
      </c>
      <c r="EU6" s="116">
        <v>147</v>
      </c>
      <c r="EV6" s="116">
        <v>148</v>
      </c>
      <c r="EW6" s="116">
        <v>149</v>
      </c>
      <c r="EX6" s="116">
        <v>150</v>
      </c>
      <c r="EY6" s="116">
        <v>151</v>
      </c>
      <c r="EZ6" s="116">
        <v>152</v>
      </c>
      <c r="FA6" s="116">
        <v>153</v>
      </c>
      <c r="FB6" s="116">
        <v>154</v>
      </c>
      <c r="FC6" s="116">
        <v>155</v>
      </c>
      <c r="FD6" s="116">
        <v>156</v>
      </c>
      <c r="FE6" s="116">
        <v>157</v>
      </c>
      <c r="FF6" s="116">
        <v>158</v>
      </c>
      <c r="FG6" s="116">
        <v>159</v>
      </c>
      <c r="FH6" s="116">
        <v>160</v>
      </c>
      <c r="FI6" s="116">
        <v>161</v>
      </c>
      <c r="FJ6" s="116">
        <v>162</v>
      </c>
      <c r="FK6" s="116">
        <v>163</v>
      </c>
      <c r="FL6" s="116">
        <v>164</v>
      </c>
      <c r="FM6" s="116">
        <v>165</v>
      </c>
      <c r="FN6" s="116">
        <v>166</v>
      </c>
      <c r="FO6" s="116">
        <v>167</v>
      </c>
      <c r="FP6" s="116">
        <v>168</v>
      </c>
      <c r="FQ6" s="116">
        <v>169</v>
      </c>
      <c r="FR6" s="116">
        <v>170</v>
      </c>
      <c r="FS6" s="116">
        <v>171</v>
      </c>
      <c r="FT6" s="116">
        <v>172</v>
      </c>
      <c r="FU6" s="116">
        <v>173</v>
      </c>
      <c r="FV6" s="116">
        <v>174</v>
      </c>
      <c r="FW6" s="116">
        <v>175</v>
      </c>
      <c r="FX6" s="116">
        <v>176</v>
      </c>
      <c r="FY6" s="116">
        <v>177</v>
      </c>
      <c r="FZ6" s="116">
        <v>178</v>
      </c>
      <c r="GA6" s="116">
        <v>179</v>
      </c>
      <c r="GB6" s="116">
        <v>180</v>
      </c>
      <c r="GC6" s="116">
        <v>181</v>
      </c>
      <c r="GD6" s="116">
        <v>182</v>
      </c>
      <c r="GE6" s="116">
        <v>183</v>
      </c>
      <c r="GF6" s="116">
        <v>184</v>
      </c>
      <c r="GG6" s="116">
        <v>185</v>
      </c>
      <c r="GH6" s="116">
        <v>186</v>
      </c>
      <c r="GI6" s="116">
        <v>187</v>
      </c>
      <c r="GJ6" s="116">
        <v>188</v>
      </c>
      <c r="GK6" s="116">
        <v>189</v>
      </c>
      <c r="GL6" s="116">
        <v>190</v>
      </c>
      <c r="GM6" s="116">
        <v>191</v>
      </c>
      <c r="GN6" s="116">
        <v>192</v>
      </c>
      <c r="GO6" s="116">
        <v>193</v>
      </c>
      <c r="GP6" s="116">
        <v>194</v>
      </c>
      <c r="GQ6" s="116">
        <v>195</v>
      </c>
      <c r="GR6" s="116">
        <v>196</v>
      </c>
      <c r="GS6" s="116">
        <v>197</v>
      </c>
      <c r="GT6" s="116">
        <v>198</v>
      </c>
      <c r="GU6" s="116">
        <v>199</v>
      </c>
      <c r="GV6" s="116">
        <v>200</v>
      </c>
      <c r="GW6" s="117">
        <v>201</v>
      </c>
      <c r="GX6" s="77"/>
      <c r="HA6" s="102"/>
    </row>
    <row r="7" spans="1:209" s="95" customFormat="1" ht="20.100000000000001" customHeight="1">
      <c r="A7" s="88" t="s">
        <v>206</v>
      </c>
      <c r="B7" s="92">
        <v>200</v>
      </c>
      <c r="C7" s="85"/>
      <c r="D7" s="199" t="s">
        <v>31</v>
      </c>
      <c r="E7" s="200">
        <f>IF(E$4="","",IF(E$11="0.5",0.5,IF(E$11="不計工期",0,IF($B$11="日曆天",1,IF(WEEKDAY(E$4,2)&lt;=5,1,0)))))</f>
        <v>1</v>
      </c>
      <c r="F7" s="201">
        <f t="shared" ref="F7:BQ7" si="0">IF(F$4="","",E7+IF(F$11="0.5",0.5,IF(F$11="不計工期",0,IF($B$11="日曆天",1,IF(WEEKDAY(F$4,2)&lt;=5,1,0)))))</f>
        <v>2</v>
      </c>
      <c r="G7" s="201">
        <f t="shared" si="0"/>
        <v>3</v>
      </c>
      <c r="H7" s="201">
        <f t="shared" si="0"/>
        <v>4</v>
      </c>
      <c r="I7" s="201">
        <f t="shared" si="0"/>
        <v>5</v>
      </c>
      <c r="J7" s="201">
        <f t="shared" si="0"/>
        <v>6</v>
      </c>
      <c r="K7" s="201">
        <f t="shared" si="0"/>
        <v>7</v>
      </c>
      <c r="L7" s="201">
        <f t="shared" si="0"/>
        <v>8</v>
      </c>
      <c r="M7" s="201">
        <f t="shared" si="0"/>
        <v>9</v>
      </c>
      <c r="N7" s="201">
        <f t="shared" si="0"/>
        <v>10</v>
      </c>
      <c r="O7" s="201">
        <f t="shared" si="0"/>
        <v>11</v>
      </c>
      <c r="P7" s="201">
        <f t="shared" si="0"/>
        <v>12</v>
      </c>
      <c r="Q7" s="201">
        <f t="shared" si="0"/>
        <v>13</v>
      </c>
      <c r="R7" s="201">
        <f t="shared" si="0"/>
        <v>14</v>
      </c>
      <c r="S7" s="201">
        <f t="shared" si="0"/>
        <v>15</v>
      </c>
      <c r="T7" s="201">
        <f t="shared" si="0"/>
        <v>16</v>
      </c>
      <c r="U7" s="201">
        <f t="shared" si="0"/>
        <v>17</v>
      </c>
      <c r="V7" s="201">
        <f t="shared" si="0"/>
        <v>18</v>
      </c>
      <c r="W7" s="201">
        <f t="shared" si="0"/>
        <v>19</v>
      </c>
      <c r="X7" s="201">
        <f t="shared" si="0"/>
        <v>20</v>
      </c>
      <c r="Y7" s="201">
        <f t="shared" si="0"/>
        <v>21</v>
      </c>
      <c r="Z7" s="201">
        <f t="shared" si="0"/>
        <v>22</v>
      </c>
      <c r="AA7" s="201">
        <f t="shared" si="0"/>
        <v>23</v>
      </c>
      <c r="AB7" s="201">
        <f t="shared" si="0"/>
        <v>24</v>
      </c>
      <c r="AC7" s="201">
        <f t="shared" si="0"/>
        <v>25</v>
      </c>
      <c r="AD7" s="201">
        <f t="shared" si="0"/>
        <v>26</v>
      </c>
      <c r="AE7" s="201">
        <f t="shared" si="0"/>
        <v>27</v>
      </c>
      <c r="AF7" s="201">
        <f t="shared" si="0"/>
        <v>28</v>
      </c>
      <c r="AG7" s="201">
        <f t="shared" si="0"/>
        <v>29</v>
      </c>
      <c r="AH7" s="201">
        <f t="shared" si="0"/>
        <v>30</v>
      </c>
      <c r="AI7" s="201">
        <f t="shared" si="0"/>
        <v>31</v>
      </c>
      <c r="AJ7" s="201">
        <f t="shared" si="0"/>
        <v>32</v>
      </c>
      <c r="AK7" s="201">
        <f t="shared" si="0"/>
        <v>33</v>
      </c>
      <c r="AL7" s="201">
        <f t="shared" si="0"/>
        <v>34</v>
      </c>
      <c r="AM7" s="201">
        <f t="shared" si="0"/>
        <v>35</v>
      </c>
      <c r="AN7" s="201">
        <f t="shared" si="0"/>
        <v>36</v>
      </c>
      <c r="AO7" s="201">
        <f t="shared" si="0"/>
        <v>37</v>
      </c>
      <c r="AP7" s="201">
        <f t="shared" si="0"/>
        <v>38</v>
      </c>
      <c r="AQ7" s="201">
        <f t="shared" si="0"/>
        <v>39</v>
      </c>
      <c r="AR7" s="201">
        <f t="shared" si="0"/>
        <v>40</v>
      </c>
      <c r="AS7" s="201">
        <f t="shared" si="0"/>
        <v>41</v>
      </c>
      <c r="AT7" s="201">
        <f t="shared" si="0"/>
        <v>42</v>
      </c>
      <c r="AU7" s="201">
        <f t="shared" si="0"/>
        <v>43</v>
      </c>
      <c r="AV7" s="201">
        <f t="shared" si="0"/>
        <v>44</v>
      </c>
      <c r="AW7" s="201">
        <f t="shared" si="0"/>
        <v>45</v>
      </c>
      <c r="AX7" s="201">
        <f t="shared" si="0"/>
        <v>46</v>
      </c>
      <c r="AY7" s="201">
        <f t="shared" si="0"/>
        <v>47</v>
      </c>
      <c r="AZ7" s="201">
        <f t="shared" si="0"/>
        <v>48</v>
      </c>
      <c r="BA7" s="201">
        <f t="shared" si="0"/>
        <v>49</v>
      </c>
      <c r="BB7" s="201">
        <f t="shared" si="0"/>
        <v>50</v>
      </c>
      <c r="BC7" s="201">
        <f t="shared" si="0"/>
        <v>51</v>
      </c>
      <c r="BD7" s="201">
        <f t="shared" si="0"/>
        <v>52</v>
      </c>
      <c r="BE7" s="201">
        <f t="shared" si="0"/>
        <v>53</v>
      </c>
      <c r="BF7" s="201">
        <f t="shared" si="0"/>
        <v>54</v>
      </c>
      <c r="BG7" s="201">
        <f t="shared" si="0"/>
        <v>55</v>
      </c>
      <c r="BH7" s="201">
        <f t="shared" si="0"/>
        <v>56</v>
      </c>
      <c r="BI7" s="201">
        <f t="shared" si="0"/>
        <v>57</v>
      </c>
      <c r="BJ7" s="201">
        <f t="shared" si="0"/>
        <v>58</v>
      </c>
      <c r="BK7" s="201">
        <f t="shared" si="0"/>
        <v>59</v>
      </c>
      <c r="BL7" s="201">
        <f t="shared" si="0"/>
        <v>60</v>
      </c>
      <c r="BM7" s="201">
        <f t="shared" si="0"/>
        <v>61</v>
      </c>
      <c r="BN7" s="201">
        <f t="shared" si="0"/>
        <v>62</v>
      </c>
      <c r="BO7" s="201">
        <f t="shared" si="0"/>
        <v>63</v>
      </c>
      <c r="BP7" s="201">
        <f t="shared" si="0"/>
        <v>64</v>
      </c>
      <c r="BQ7" s="201">
        <f t="shared" si="0"/>
        <v>65</v>
      </c>
      <c r="BR7" s="201">
        <f t="shared" ref="BR7:EC7" si="1">IF(BR$4="","",BQ7+IF(BR$11="0.5",0.5,IF(BR$11="不計工期",0,IF($B$11="日曆天",1,IF(WEEKDAY(BR$4,2)&lt;=5,1,0)))))</f>
        <v>66</v>
      </c>
      <c r="BS7" s="201">
        <f t="shared" si="1"/>
        <v>67</v>
      </c>
      <c r="BT7" s="201">
        <f t="shared" si="1"/>
        <v>68</v>
      </c>
      <c r="BU7" s="201">
        <f t="shared" si="1"/>
        <v>69</v>
      </c>
      <c r="BV7" s="201">
        <f t="shared" si="1"/>
        <v>70</v>
      </c>
      <c r="BW7" s="201">
        <f t="shared" si="1"/>
        <v>71</v>
      </c>
      <c r="BX7" s="201">
        <f t="shared" si="1"/>
        <v>72</v>
      </c>
      <c r="BY7" s="201">
        <f t="shared" si="1"/>
        <v>73</v>
      </c>
      <c r="BZ7" s="201">
        <f t="shared" si="1"/>
        <v>74</v>
      </c>
      <c r="CA7" s="201">
        <f t="shared" si="1"/>
        <v>75</v>
      </c>
      <c r="CB7" s="201">
        <f t="shared" si="1"/>
        <v>76</v>
      </c>
      <c r="CC7" s="201">
        <f t="shared" si="1"/>
        <v>77</v>
      </c>
      <c r="CD7" s="201">
        <f t="shared" si="1"/>
        <v>78</v>
      </c>
      <c r="CE7" s="201">
        <f t="shared" si="1"/>
        <v>79</v>
      </c>
      <c r="CF7" s="201">
        <f t="shared" si="1"/>
        <v>80</v>
      </c>
      <c r="CG7" s="201">
        <f t="shared" si="1"/>
        <v>81</v>
      </c>
      <c r="CH7" s="201">
        <f t="shared" si="1"/>
        <v>82</v>
      </c>
      <c r="CI7" s="201">
        <f t="shared" si="1"/>
        <v>83</v>
      </c>
      <c r="CJ7" s="201">
        <f t="shared" si="1"/>
        <v>84</v>
      </c>
      <c r="CK7" s="201">
        <f t="shared" si="1"/>
        <v>85</v>
      </c>
      <c r="CL7" s="201">
        <f t="shared" si="1"/>
        <v>86</v>
      </c>
      <c r="CM7" s="201">
        <f t="shared" si="1"/>
        <v>87</v>
      </c>
      <c r="CN7" s="201">
        <f t="shared" si="1"/>
        <v>88</v>
      </c>
      <c r="CO7" s="201">
        <f t="shared" si="1"/>
        <v>89</v>
      </c>
      <c r="CP7" s="201">
        <f t="shared" si="1"/>
        <v>90</v>
      </c>
      <c r="CQ7" s="201">
        <f t="shared" si="1"/>
        <v>91</v>
      </c>
      <c r="CR7" s="201">
        <f t="shared" si="1"/>
        <v>92</v>
      </c>
      <c r="CS7" s="201">
        <f t="shared" si="1"/>
        <v>93</v>
      </c>
      <c r="CT7" s="201">
        <f t="shared" si="1"/>
        <v>94</v>
      </c>
      <c r="CU7" s="201">
        <f t="shared" si="1"/>
        <v>95</v>
      </c>
      <c r="CV7" s="201">
        <f t="shared" si="1"/>
        <v>96</v>
      </c>
      <c r="CW7" s="201">
        <f t="shared" si="1"/>
        <v>97</v>
      </c>
      <c r="CX7" s="201">
        <f t="shared" si="1"/>
        <v>98</v>
      </c>
      <c r="CY7" s="201">
        <f t="shared" si="1"/>
        <v>99</v>
      </c>
      <c r="CZ7" s="201">
        <f t="shared" si="1"/>
        <v>100</v>
      </c>
      <c r="DA7" s="201">
        <f t="shared" si="1"/>
        <v>101</v>
      </c>
      <c r="DB7" s="201">
        <f t="shared" si="1"/>
        <v>102</v>
      </c>
      <c r="DC7" s="201">
        <f t="shared" si="1"/>
        <v>103</v>
      </c>
      <c r="DD7" s="201">
        <f t="shared" si="1"/>
        <v>104</v>
      </c>
      <c r="DE7" s="201">
        <f t="shared" si="1"/>
        <v>105</v>
      </c>
      <c r="DF7" s="201">
        <f t="shared" si="1"/>
        <v>106</v>
      </c>
      <c r="DG7" s="201">
        <f t="shared" si="1"/>
        <v>107</v>
      </c>
      <c r="DH7" s="201">
        <f t="shared" si="1"/>
        <v>108</v>
      </c>
      <c r="DI7" s="201">
        <f t="shared" si="1"/>
        <v>109</v>
      </c>
      <c r="DJ7" s="201">
        <f t="shared" si="1"/>
        <v>110</v>
      </c>
      <c r="DK7" s="201">
        <f t="shared" si="1"/>
        <v>111</v>
      </c>
      <c r="DL7" s="201">
        <f t="shared" si="1"/>
        <v>112</v>
      </c>
      <c r="DM7" s="201">
        <f t="shared" si="1"/>
        <v>113</v>
      </c>
      <c r="DN7" s="201">
        <f t="shared" si="1"/>
        <v>114</v>
      </c>
      <c r="DO7" s="201">
        <f t="shared" si="1"/>
        <v>115</v>
      </c>
      <c r="DP7" s="201">
        <f t="shared" si="1"/>
        <v>116</v>
      </c>
      <c r="DQ7" s="201">
        <f t="shared" si="1"/>
        <v>117</v>
      </c>
      <c r="DR7" s="201">
        <f t="shared" si="1"/>
        <v>118</v>
      </c>
      <c r="DS7" s="201">
        <f t="shared" si="1"/>
        <v>119</v>
      </c>
      <c r="DT7" s="201">
        <f t="shared" si="1"/>
        <v>120</v>
      </c>
      <c r="DU7" s="201">
        <f t="shared" si="1"/>
        <v>121</v>
      </c>
      <c r="DV7" s="201">
        <f t="shared" si="1"/>
        <v>122</v>
      </c>
      <c r="DW7" s="201">
        <f t="shared" si="1"/>
        <v>123</v>
      </c>
      <c r="DX7" s="201">
        <f t="shared" si="1"/>
        <v>124</v>
      </c>
      <c r="DY7" s="201">
        <f t="shared" si="1"/>
        <v>125</v>
      </c>
      <c r="DZ7" s="201">
        <f t="shared" si="1"/>
        <v>126</v>
      </c>
      <c r="EA7" s="201">
        <f t="shared" si="1"/>
        <v>127</v>
      </c>
      <c r="EB7" s="201">
        <f t="shared" si="1"/>
        <v>128</v>
      </c>
      <c r="EC7" s="201">
        <f t="shared" si="1"/>
        <v>129</v>
      </c>
      <c r="ED7" s="201">
        <f t="shared" ref="ED7:GO7" si="2">IF(ED$4="","",EC7+IF(ED$11="0.5",0.5,IF(ED$11="不計工期",0,IF($B$11="日曆天",1,IF(WEEKDAY(ED$4,2)&lt;=5,1,0)))))</f>
        <v>130</v>
      </c>
      <c r="EE7" s="201">
        <f t="shared" si="2"/>
        <v>131</v>
      </c>
      <c r="EF7" s="201">
        <f t="shared" si="2"/>
        <v>132</v>
      </c>
      <c r="EG7" s="201">
        <f t="shared" si="2"/>
        <v>133</v>
      </c>
      <c r="EH7" s="201">
        <f t="shared" si="2"/>
        <v>134</v>
      </c>
      <c r="EI7" s="201">
        <f t="shared" si="2"/>
        <v>135</v>
      </c>
      <c r="EJ7" s="201">
        <f t="shared" si="2"/>
        <v>136</v>
      </c>
      <c r="EK7" s="201">
        <f t="shared" si="2"/>
        <v>137</v>
      </c>
      <c r="EL7" s="201">
        <f t="shared" si="2"/>
        <v>138</v>
      </c>
      <c r="EM7" s="201">
        <f t="shared" si="2"/>
        <v>139</v>
      </c>
      <c r="EN7" s="201">
        <f t="shared" si="2"/>
        <v>140</v>
      </c>
      <c r="EO7" s="201">
        <f t="shared" si="2"/>
        <v>141</v>
      </c>
      <c r="EP7" s="201">
        <f t="shared" si="2"/>
        <v>142</v>
      </c>
      <c r="EQ7" s="201">
        <f t="shared" si="2"/>
        <v>143</v>
      </c>
      <c r="ER7" s="201">
        <f t="shared" si="2"/>
        <v>144</v>
      </c>
      <c r="ES7" s="201">
        <f t="shared" si="2"/>
        <v>145</v>
      </c>
      <c r="ET7" s="201">
        <f t="shared" si="2"/>
        <v>146</v>
      </c>
      <c r="EU7" s="201">
        <f t="shared" si="2"/>
        <v>147</v>
      </c>
      <c r="EV7" s="201">
        <f t="shared" si="2"/>
        <v>148</v>
      </c>
      <c r="EW7" s="201">
        <f t="shared" si="2"/>
        <v>149</v>
      </c>
      <c r="EX7" s="201">
        <f t="shared" si="2"/>
        <v>150</v>
      </c>
      <c r="EY7" s="201">
        <f t="shared" si="2"/>
        <v>151</v>
      </c>
      <c r="EZ7" s="201">
        <f t="shared" si="2"/>
        <v>152</v>
      </c>
      <c r="FA7" s="201">
        <f t="shared" si="2"/>
        <v>153</v>
      </c>
      <c r="FB7" s="201">
        <f t="shared" si="2"/>
        <v>154</v>
      </c>
      <c r="FC7" s="201">
        <f t="shared" si="2"/>
        <v>155</v>
      </c>
      <c r="FD7" s="201">
        <f t="shared" si="2"/>
        <v>156</v>
      </c>
      <c r="FE7" s="201">
        <f t="shared" si="2"/>
        <v>157</v>
      </c>
      <c r="FF7" s="201">
        <f t="shared" si="2"/>
        <v>158</v>
      </c>
      <c r="FG7" s="201">
        <f t="shared" si="2"/>
        <v>159</v>
      </c>
      <c r="FH7" s="201">
        <f t="shared" si="2"/>
        <v>160</v>
      </c>
      <c r="FI7" s="201">
        <f t="shared" si="2"/>
        <v>161</v>
      </c>
      <c r="FJ7" s="201">
        <f t="shared" si="2"/>
        <v>162</v>
      </c>
      <c r="FK7" s="201">
        <f t="shared" si="2"/>
        <v>163</v>
      </c>
      <c r="FL7" s="201">
        <f t="shared" si="2"/>
        <v>164</v>
      </c>
      <c r="FM7" s="201">
        <f t="shared" si="2"/>
        <v>165</v>
      </c>
      <c r="FN7" s="201">
        <f t="shared" si="2"/>
        <v>166</v>
      </c>
      <c r="FO7" s="201">
        <f t="shared" si="2"/>
        <v>167</v>
      </c>
      <c r="FP7" s="201">
        <f t="shared" si="2"/>
        <v>168</v>
      </c>
      <c r="FQ7" s="201">
        <f t="shared" si="2"/>
        <v>169</v>
      </c>
      <c r="FR7" s="201">
        <f t="shared" si="2"/>
        <v>170</v>
      </c>
      <c r="FS7" s="201">
        <f t="shared" si="2"/>
        <v>171</v>
      </c>
      <c r="FT7" s="201">
        <f t="shared" si="2"/>
        <v>172</v>
      </c>
      <c r="FU7" s="201">
        <f t="shared" si="2"/>
        <v>173</v>
      </c>
      <c r="FV7" s="201">
        <f t="shared" si="2"/>
        <v>174</v>
      </c>
      <c r="FW7" s="201">
        <f t="shared" si="2"/>
        <v>175</v>
      </c>
      <c r="FX7" s="201">
        <f t="shared" si="2"/>
        <v>176</v>
      </c>
      <c r="FY7" s="201">
        <f t="shared" si="2"/>
        <v>177</v>
      </c>
      <c r="FZ7" s="201">
        <f t="shared" si="2"/>
        <v>178</v>
      </c>
      <c r="GA7" s="201">
        <f t="shared" si="2"/>
        <v>179</v>
      </c>
      <c r="GB7" s="201">
        <f t="shared" si="2"/>
        <v>180</v>
      </c>
      <c r="GC7" s="201">
        <f t="shared" si="2"/>
        <v>181</v>
      </c>
      <c r="GD7" s="201">
        <f t="shared" si="2"/>
        <v>182</v>
      </c>
      <c r="GE7" s="201">
        <f t="shared" si="2"/>
        <v>183</v>
      </c>
      <c r="GF7" s="201">
        <f t="shared" si="2"/>
        <v>184</v>
      </c>
      <c r="GG7" s="201">
        <f t="shared" si="2"/>
        <v>185</v>
      </c>
      <c r="GH7" s="201">
        <f t="shared" si="2"/>
        <v>186</v>
      </c>
      <c r="GI7" s="201">
        <f t="shared" si="2"/>
        <v>187</v>
      </c>
      <c r="GJ7" s="201">
        <f t="shared" si="2"/>
        <v>188</v>
      </c>
      <c r="GK7" s="201">
        <f t="shared" si="2"/>
        <v>189</v>
      </c>
      <c r="GL7" s="201">
        <f t="shared" si="2"/>
        <v>190</v>
      </c>
      <c r="GM7" s="201">
        <f t="shared" si="2"/>
        <v>191</v>
      </c>
      <c r="GN7" s="201">
        <f t="shared" si="2"/>
        <v>192</v>
      </c>
      <c r="GO7" s="201">
        <f t="shared" si="2"/>
        <v>193</v>
      </c>
      <c r="GP7" s="201">
        <f t="shared" ref="GP7:GW7" si="3">IF(GP$4="","",GO7+IF(GP$11="0.5",0.5,IF(GP$11="不計工期",0,IF($B$11="日曆天",1,IF(WEEKDAY(GP$4,2)&lt;=5,1,0)))))</f>
        <v>194</v>
      </c>
      <c r="GQ7" s="201">
        <f t="shared" si="3"/>
        <v>195</v>
      </c>
      <c r="GR7" s="201">
        <f t="shared" si="3"/>
        <v>196</v>
      </c>
      <c r="GS7" s="201">
        <f t="shared" si="3"/>
        <v>197</v>
      </c>
      <c r="GT7" s="201">
        <f t="shared" si="3"/>
        <v>198</v>
      </c>
      <c r="GU7" s="201">
        <f t="shared" si="3"/>
        <v>199</v>
      </c>
      <c r="GV7" s="201">
        <f t="shared" si="3"/>
        <v>200</v>
      </c>
      <c r="GW7" s="202">
        <f t="shared" si="3"/>
        <v>201</v>
      </c>
      <c r="GX7" s="78"/>
      <c r="HA7" s="102"/>
    </row>
    <row r="8" spans="1:209" s="95" customFormat="1" ht="20.100000000000001" customHeight="1">
      <c r="A8" s="88" t="s">
        <v>25</v>
      </c>
      <c r="B8" s="90" t="s">
        <v>136</v>
      </c>
      <c r="C8" s="85"/>
      <c r="D8" s="108" t="s">
        <v>207</v>
      </c>
      <c r="E8" s="118">
        <f t="shared" ref="E8:BP8" si="4">ROUND(SUMPRODUCT(E$13:E$50,$GY$13:$GY$50)/$B$3,5)</f>
        <v>6.5100000000000002E-3</v>
      </c>
      <c r="F8" s="119">
        <f t="shared" si="4"/>
        <v>2.5100000000000001E-3</v>
      </c>
      <c r="G8" s="119">
        <f t="shared" si="4"/>
        <v>2.8800000000000002E-3</v>
      </c>
      <c r="H8" s="119">
        <f t="shared" si="4"/>
        <v>2.8800000000000002E-3</v>
      </c>
      <c r="I8" s="119">
        <f t="shared" si="4"/>
        <v>2.8800000000000002E-3</v>
      </c>
      <c r="J8" s="119">
        <f t="shared" si="4"/>
        <v>2.8800000000000002E-3</v>
      </c>
      <c r="K8" s="119">
        <f t="shared" si="4"/>
        <v>2.8800000000000002E-3</v>
      </c>
      <c r="L8" s="119">
        <f t="shared" si="4"/>
        <v>2.8800000000000002E-3</v>
      </c>
      <c r="M8" s="119">
        <f t="shared" si="4"/>
        <v>2.8800000000000002E-3</v>
      </c>
      <c r="N8" s="119">
        <f t="shared" si="4"/>
        <v>2.8800000000000002E-3</v>
      </c>
      <c r="O8" s="119">
        <f t="shared" si="4"/>
        <v>2.8800000000000002E-3</v>
      </c>
      <c r="P8" s="119">
        <f t="shared" si="4"/>
        <v>2.8800000000000002E-3</v>
      </c>
      <c r="Q8" s="119">
        <f t="shared" si="4"/>
        <v>2.8800000000000002E-3</v>
      </c>
      <c r="R8" s="119">
        <f t="shared" si="4"/>
        <v>2.8800000000000002E-3</v>
      </c>
      <c r="S8" s="119">
        <f t="shared" si="4"/>
        <v>2.8800000000000002E-3</v>
      </c>
      <c r="T8" s="119">
        <f t="shared" si="4"/>
        <v>2.8800000000000002E-3</v>
      </c>
      <c r="U8" s="119">
        <f t="shared" si="4"/>
        <v>2.8800000000000002E-3</v>
      </c>
      <c r="V8" s="119">
        <f t="shared" si="4"/>
        <v>2.8800000000000002E-3</v>
      </c>
      <c r="W8" s="119">
        <f t="shared" si="4"/>
        <v>2.8800000000000002E-3</v>
      </c>
      <c r="X8" s="119">
        <f t="shared" si="4"/>
        <v>2.8800000000000002E-3</v>
      </c>
      <c r="Y8" s="119">
        <f t="shared" si="4"/>
        <v>0</v>
      </c>
      <c r="Z8" s="119">
        <f t="shared" si="4"/>
        <v>0</v>
      </c>
      <c r="AA8" s="119">
        <f t="shared" si="4"/>
        <v>0</v>
      </c>
      <c r="AB8" s="119">
        <f t="shared" si="4"/>
        <v>0</v>
      </c>
      <c r="AC8" s="119">
        <f t="shared" si="4"/>
        <v>0</v>
      </c>
      <c r="AD8" s="119">
        <f t="shared" si="4"/>
        <v>0</v>
      </c>
      <c r="AE8" s="119">
        <f t="shared" si="4"/>
        <v>0</v>
      </c>
      <c r="AF8" s="119">
        <f t="shared" si="4"/>
        <v>0</v>
      </c>
      <c r="AG8" s="119">
        <f t="shared" si="4"/>
        <v>0</v>
      </c>
      <c r="AH8" s="119">
        <f t="shared" si="4"/>
        <v>0</v>
      </c>
      <c r="AI8" s="119">
        <f t="shared" si="4"/>
        <v>0</v>
      </c>
      <c r="AJ8" s="119">
        <f t="shared" si="4"/>
        <v>0</v>
      </c>
      <c r="AK8" s="119">
        <f t="shared" si="4"/>
        <v>0</v>
      </c>
      <c r="AL8" s="119">
        <f t="shared" si="4"/>
        <v>0</v>
      </c>
      <c r="AM8" s="119">
        <f t="shared" si="4"/>
        <v>0</v>
      </c>
      <c r="AN8" s="119">
        <f t="shared" si="4"/>
        <v>0</v>
      </c>
      <c r="AO8" s="119">
        <f t="shared" si="4"/>
        <v>0</v>
      </c>
      <c r="AP8" s="119">
        <f t="shared" si="4"/>
        <v>0</v>
      </c>
      <c r="AQ8" s="119">
        <f t="shared" si="4"/>
        <v>0</v>
      </c>
      <c r="AR8" s="119">
        <f t="shared" si="4"/>
        <v>0</v>
      </c>
      <c r="AS8" s="119">
        <f t="shared" si="4"/>
        <v>0</v>
      </c>
      <c r="AT8" s="119">
        <f t="shared" si="4"/>
        <v>0</v>
      </c>
      <c r="AU8" s="119">
        <f t="shared" si="4"/>
        <v>0</v>
      </c>
      <c r="AV8" s="119">
        <f t="shared" si="4"/>
        <v>0</v>
      </c>
      <c r="AW8" s="119">
        <f t="shared" si="4"/>
        <v>0</v>
      </c>
      <c r="AX8" s="119">
        <f t="shared" si="4"/>
        <v>0</v>
      </c>
      <c r="AY8" s="119">
        <f t="shared" si="4"/>
        <v>0</v>
      </c>
      <c r="AZ8" s="119">
        <f t="shared" si="4"/>
        <v>0</v>
      </c>
      <c r="BA8" s="119">
        <f t="shared" si="4"/>
        <v>0</v>
      </c>
      <c r="BB8" s="119">
        <f t="shared" si="4"/>
        <v>0</v>
      </c>
      <c r="BC8" s="119">
        <f t="shared" si="4"/>
        <v>0</v>
      </c>
      <c r="BD8" s="119">
        <f t="shared" si="4"/>
        <v>0</v>
      </c>
      <c r="BE8" s="119">
        <f t="shared" si="4"/>
        <v>0</v>
      </c>
      <c r="BF8" s="119">
        <f t="shared" si="4"/>
        <v>0</v>
      </c>
      <c r="BG8" s="119">
        <f t="shared" si="4"/>
        <v>0</v>
      </c>
      <c r="BH8" s="119">
        <f t="shared" si="4"/>
        <v>0</v>
      </c>
      <c r="BI8" s="119">
        <f t="shared" si="4"/>
        <v>0</v>
      </c>
      <c r="BJ8" s="119">
        <f t="shared" si="4"/>
        <v>0</v>
      </c>
      <c r="BK8" s="119">
        <f t="shared" si="4"/>
        <v>0</v>
      </c>
      <c r="BL8" s="119">
        <f t="shared" si="4"/>
        <v>0</v>
      </c>
      <c r="BM8" s="119">
        <f t="shared" si="4"/>
        <v>0</v>
      </c>
      <c r="BN8" s="119">
        <f t="shared" si="4"/>
        <v>0</v>
      </c>
      <c r="BO8" s="119">
        <f t="shared" si="4"/>
        <v>0</v>
      </c>
      <c r="BP8" s="119">
        <f t="shared" si="4"/>
        <v>0</v>
      </c>
      <c r="BQ8" s="119">
        <f t="shared" ref="BQ8:EB8" si="5">ROUND(SUMPRODUCT(BQ$13:BQ$50,$GY$13:$GY$50)/$B$3,5)</f>
        <v>0</v>
      </c>
      <c r="BR8" s="119">
        <f t="shared" si="5"/>
        <v>0</v>
      </c>
      <c r="BS8" s="119">
        <f t="shared" si="5"/>
        <v>0</v>
      </c>
      <c r="BT8" s="119">
        <f t="shared" si="5"/>
        <v>0</v>
      </c>
      <c r="BU8" s="119">
        <f t="shared" si="5"/>
        <v>0</v>
      </c>
      <c r="BV8" s="119">
        <f t="shared" si="5"/>
        <v>0</v>
      </c>
      <c r="BW8" s="119">
        <f t="shared" si="5"/>
        <v>0</v>
      </c>
      <c r="BX8" s="119">
        <f t="shared" si="5"/>
        <v>0</v>
      </c>
      <c r="BY8" s="119">
        <f t="shared" si="5"/>
        <v>0</v>
      </c>
      <c r="BZ8" s="119">
        <f t="shared" si="5"/>
        <v>0</v>
      </c>
      <c r="CA8" s="119">
        <f t="shared" si="5"/>
        <v>0</v>
      </c>
      <c r="CB8" s="119">
        <f t="shared" si="5"/>
        <v>0</v>
      </c>
      <c r="CC8" s="119">
        <f t="shared" si="5"/>
        <v>0</v>
      </c>
      <c r="CD8" s="119">
        <f t="shared" si="5"/>
        <v>0</v>
      </c>
      <c r="CE8" s="119">
        <f t="shared" si="5"/>
        <v>0</v>
      </c>
      <c r="CF8" s="119">
        <f t="shared" si="5"/>
        <v>0</v>
      </c>
      <c r="CG8" s="119">
        <f t="shared" si="5"/>
        <v>0</v>
      </c>
      <c r="CH8" s="119">
        <f t="shared" si="5"/>
        <v>0</v>
      </c>
      <c r="CI8" s="119">
        <f t="shared" si="5"/>
        <v>0</v>
      </c>
      <c r="CJ8" s="119">
        <f t="shared" si="5"/>
        <v>0</v>
      </c>
      <c r="CK8" s="119">
        <f t="shared" si="5"/>
        <v>0</v>
      </c>
      <c r="CL8" s="119">
        <f t="shared" si="5"/>
        <v>0</v>
      </c>
      <c r="CM8" s="119">
        <f t="shared" si="5"/>
        <v>0</v>
      </c>
      <c r="CN8" s="119">
        <f t="shared" si="5"/>
        <v>0</v>
      </c>
      <c r="CO8" s="119">
        <f t="shared" si="5"/>
        <v>0</v>
      </c>
      <c r="CP8" s="119">
        <f t="shared" si="5"/>
        <v>0</v>
      </c>
      <c r="CQ8" s="119">
        <f t="shared" si="5"/>
        <v>0</v>
      </c>
      <c r="CR8" s="119">
        <f t="shared" si="5"/>
        <v>0</v>
      </c>
      <c r="CS8" s="119">
        <f t="shared" si="5"/>
        <v>0</v>
      </c>
      <c r="CT8" s="119">
        <f t="shared" si="5"/>
        <v>0</v>
      </c>
      <c r="CU8" s="119">
        <f t="shared" si="5"/>
        <v>0</v>
      </c>
      <c r="CV8" s="119">
        <f t="shared" si="5"/>
        <v>0</v>
      </c>
      <c r="CW8" s="119">
        <f t="shared" si="5"/>
        <v>0</v>
      </c>
      <c r="CX8" s="119">
        <f t="shared" si="5"/>
        <v>0</v>
      </c>
      <c r="CY8" s="119">
        <f t="shared" si="5"/>
        <v>0</v>
      </c>
      <c r="CZ8" s="119">
        <f t="shared" si="5"/>
        <v>0</v>
      </c>
      <c r="DA8" s="119">
        <f t="shared" si="5"/>
        <v>0</v>
      </c>
      <c r="DB8" s="119">
        <f t="shared" si="5"/>
        <v>0</v>
      </c>
      <c r="DC8" s="119">
        <f t="shared" si="5"/>
        <v>0</v>
      </c>
      <c r="DD8" s="119">
        <f t="shared" si="5"/>
        <v>0</v>
      </c>
      <c r="DE8" s="119">
        <f t="shared" si="5"/>
        <v>0</v>
      </c>
      <c r="DF8" s="119">
        <f t="shared" si="5"/>
        <v>0</v>
      </c>
      <c r="DG8" s="119">
        <f t="shared" si="5"/>
        <v>0</v>
      </c>
      <c r="DH8" s="119">
        <f t="shared" si="5"/>
        <v>0</v>
      </c>
      <c r="DI8" s="119">
        <f t="shared" si="5"/>
        <v>0</v>
      </c>
      <c r="DJ8" s="119">
        <f t="shared" si="5"/>
        <v>0</v>
      </c>
      <c r="DK8" s="119">
        <f t="shared" si="5"/>
        <v>0</v>
      </c>
      <c r="DL8" s="119">
        <f t="shared" si="5"/>
        <v>0</v>
      </c>
      <c r="DM8" s="119">
        <f t="shared" si="5"/>
        <v>0</v>
      </c>
      <c r="DN8" s="119">
        <f t="shared" si="5"/>
        <v>0</v>
      </c>
      <c r="DO8" s="119">
        <f t="shared" si="5"/>
        <v>0</v>
      </c>
      <c r="DP8" s="119">
        <f t="shared" si="5"/>
        <v>0</v>
      </c>
      <c r="DQ8" s="119">
        <f t="shared" si="5"/>
        <v>0</v>
      </c>
      <c r="DR8" s="119">
        <f t="shared" si="5"/>
        <v>0</v>
      </c>
      <c r="DS8" s="119">
        <f t="shared" si="5"/>
        <v>0</v>
      </c>
      <c r="DT8" s="119">
        <f t="shared" si="5"/>
        <v>0</v>
      </c>
      <c r="DU8" s="119">
        <f t="shared" si="5"/>
        <v>0</v>
      </c>
      <c r="DV8" s="119">
        <f t="shared" si="5"/>
        <v>0</v>
      </c>
      <c r="DW8" s="119">
        <f t="shared" si="5"/>
        <v>0</v>
      </c>
      <c r="DX8" s="119">
        <f t="shared" si="5"/>
        <v>0</v>
      </c>
      <c r="DY8" s="119">
        <f t="shared" si="5"/>
        <v>0</v>
      </c>
      <c r="DZ8" s="119">
        <f t="shared" si="5"/>
        <v>0</v>
      </c>
      <c r="EA8" s="119">
        <f t="shared" si="5"/>
        <v>0</v>
      </c>
      <c r="EB8" s="119">
        <f t="shared" si="5"/>
        <v>0</v>
      </c>
      <c r="EC8" s="119">
        <f t="shared" ref="EC8:GN8" si="6">ROUND(SUMPRODUCT(EC$13:EC$50,$GY$13:$GY$50)/$B$3,5)</f>
        <v>0</v>
      </c>
      <c r="ED8" s="119">
        <f t="shared" si="6"/>
        <v>0</v>
      </c>
      <c r="EE8" s="119">
        <f t="shared" si="6"/>
        <v>0</v>
      </c>
      <c r="EF8" s="119">
        <f t="shared" si="6"/>
        <v>0</v>
      </c>
      <c r="EG8" s="119">
        <f t="shared" si="6"/>
        <v>0</v>
      </c>
      <c r="EH8" s="119">
        <f t="shared" si="6"/>
        <v>0</v>
      </c>
      <c r="EI8" s="119">
        <f t="shared" si="6"/>
        <v>0</v>
      </c>
      <c r="EJ8" s="119">
        <f t="shared" si="6"/>
        <v>0</v>
      </c>
      <c r="EK8" s="119">
        <f t="shared" si="6"/>
        <v>0</v>
      </c>
      <c r="EL8" s="119">
        <f t="shared" si="6"/>
        <v>0</v>
      </c>
      <c r="EM8" s="119">
        <f t="shared" si="6"/>
        <v>0</v>
      </c>
      <c r="EN8" s="119">
        <f t="shared" si="6"/>
        <v>0</v>
      </c>
      <c r="EO8" s="119">
        <f t="shared" si="6"/>
        <v>0</v>
      </c>
      <c r="EP8" s="119">
        <f t="shared" si="6"/>
        <v>0</v>
      </c>
      <c r="EQ8" s="119">
        <f t="shared" si="6"/>
        <v>0</v>
      </c>
      <c r="ER8" s="119">
        <f t="shared" si="6"/>
        <v>0</v>
      </c>
      <c r="ES8" s="119">
        <f t="shared" si="6"/>
        <v>0</v>
      </c>
      <c r="ET8" s="119">
        <f t="shared" si="6"/>
        <v>0</v>
      </c>
      <c r="EU8" s="119">
        <f t="shared" si="6"/>
        <v>0</v>
      </c>
      <c r="EV8" s="119">
        <f t="shared" si="6"/>
        <v>0</v>
      </c>
      <c r="EW8" s="119">
        <f t="shared" si="6"/>
        <v>0</v>
      </c>
      <c r="EX8" s="119">
        <f t="shared" si="6"/>
        <v>0</v>
      </c>
      <c r="EY8" s="119">
        <f t="shared" si="6"/>
        <v>0</v>
      </c>
      <c r="EZ8" s="119">
        <f t="shared" si="6"/>
        <v>0</v>
      </c>
      <c r="FA8" s="119">
        <f t="shared" si="6"/>
        <v>0</v>
      </c>
      <c r="FB8" s="119">
        <f t="shared" si="6"/>
        <v>0</v>
      </c>
      <c r="FC8" s="119">
        <f t="shared" si="6"/>
        <v>0</v>
      </c>
      <c r="FD8" s="119">
        <f t="shared" si="6"/>
        <v>0</v>
      </c>
      <c r="FE8" s="119">
        <f t="shared" si="6"/>
        <v>0</v>
      </c>
      <c r="FF8" s="119">
        <f t="shared" si="6"/>
        <v>0</v>
      </c>
      <c r="FG8" s="119">
        <f t="shared" si="6"/>
        <v>0</v>
      </c>
      <c r="FH8" s="119">
        <f t="shared" si="6"/>
        <v>0</v>
      </c>
      <c r="FI8" s="119">
        <f t="shared" si="6"/>
        <v>0</v>
      </c>
      <c r="FJ8" s="119">
        <f t="shared" si="6"/>
        <v>0</v>
      </c>
      <c r="FK8" s="119">
        <f t="shared" si="6"/>
        <v>0</v>
      </c>
      <c r="FL8" s="119">
        <f t="shared" si="6"/>
        <v>0</v>
      </c>
      <c r="FM8" s="119">
        <f t="shared" si="6"/>
        <v>0</v>
      </c>
      <c r="FN8" s="119">
        <f t="shared" si="6"/>
        <v>0</v>
      </c>
      <c r="FO8" s="119">
        <f t="shared" si="6"/>
        <v>0</v>
      </c>
      <c r="FP8" s="119">
        <f t="shared" si="6"/>
        <v>0</v>
      </c>
      <c r="FQ8" s="119">
        <f t="shared" si="6"/>
        <v>0</v>
      </c>
      <c r="FR8" s="119">
        <f t="shared" si="6"/>
        <v>0</v>
      </c>
      <c r="FS8" s="119">
        <f t="shared" si="6"/>
        <v>0</v>
      </c>
      <c r="FT8" s="119">
        <f t="shared" si="6"/>
        <v>0</v>
      </c>
      <c r="FU8" s="119">
        <f t="shared" si="6"/>
        <v>0</v>
      </c>
      <c r="FV8" s="119">
        <f t="shared" si="6"/>
        <v>0</v>
      </c>
      <c r="FW8" s="119">
        <f t="shared" si="6"/>
        <v>0</v>
      </c>
      <c r="FX8" s="119">
        <f t="shared" si="6"/>
        <v>0</v>
      </c>
      <c r="FY8" s="119">
        <f t="shared" si="6"/>
        <v>0</v>
      </c>
      <c r="FZ8" s="119">
        <f t="shared" si="6"/>
        <v>0</v>
      </c>
      <c r="GA8" s="119">
        <f t="shared" si="6"/>
        <v>0</v>
      </c>
      <c r="GB8" s="119">
        <f t="shared" si="6"/>
        <v>0</v>
      </c>
      <c r="GC8" s="119">
        <f t="shared" si="6"/>
        <v>0</v>
      </c>
      <c r="GD8" s="119">
        <f t="shared" si="6"/>
        <v>0</v>
      </c>
      <c r="GE8" s="119">
        <f t="shared" si="6"/>
        <v>0</v>
      </c>
      <c r="GF8" s="119">
        <f t="shared" si="6"/>
        <v>0</v>
      </c>
      <c r="GG8" s="119">
        <f t="shared" si="6"/>
        <v>0</v>
      </c>
      <c r="GH8" s="119">
        <f t="shared" si="6"/>
        <v>0</v>
      </c>
      <c r="GI8" s="119">
        <f t="shared" si="6"/>
        <v>0</v>
      </c>
      <c r="GJ8" s="119">
        <f t="shared" si="6"/>
        <v>0</v>
      </c>
      <c r="GK8" s="119">
        <f t="shared" si="6"/>
        <v>0</v>
      </c>
      <c r="GL8" s="119">
        <f t="shared" si="6"/>
        <v>0</v>
      </c>
      <c r="GM8" s="119">
        <f t="shared" si="6"/>
        <v>0</v>
      </c>
      <c r="GN8" s="119">
        <f t="shared" si="6"/>
        <v>0</v>
      </c>
      <c r="GO8" s="119">
        <f t="shared" ref="GO8:GW8" si="7">ROUND(SUMPRODUCT(GO$13:GO$50,$GY$13:$GY$50)/$B$3,5)</f>
        <v>0</v>
      </c>
      <c r="GP8" s="119">
        <f t="shared" si="7"/>
        <v>0</v>
      </c>
      <c r="GQ8" s="119">
        <f t="shared" si="7"/>
        <v>0</v>
      </c>
      <c r="GR8" s="119">
        <f t="shared" si="7"/>
        <v>0</v>
      </c>
      <c r="GS8" s="119">
        <f t="shared" si="7"/>
        <v>0</v>
      </c>
      <c r="GT8" s="119">
        <f t="shared" si="7"/>
        <v>0</v>
      </c>
      <c r="GU8" s="119">
        <f t="shared" si="7"/>
        <v>0</v>
      </c>
      <c r="GV8" s="119">
        <f t="shared" si="7"/>
        <v>0</v>
      </c>
      <c r="GW8" s="120">
        <f t="shared" si="7"/>
        <v>0</v>
      </c>
      <c r="GX8" s="79"/>
      <c r="HA8" s="102"/>
    </row>
    <row r="9" spans="1:209" s="95" customFormat="1" ht="20.100000000000001" customHeight="1">
      <c r="A9" s="88" t="s">
        <v>26</v>
      </c>
      <c r="B9" s="90" t="s">
        <v>138</v>
      </c>
      <c r="C9" s="85"/>
      <c r="D9" s="198" t="s">
        <v>32</v>
      </c>
      <c r="E9" s="203">
        <v>0</v>
      </c>
      <c r="F9" s="204">
        <v>1.3714300000000001E-3</v>
      </c>
      <c r="G9" s="204">
        <v>2.7428600000000002E-3</v>
      </c>
      <c r="H9" s="204">
        <v>4.1142899999999996E-3</v>
      </c>
      <c r="I9" s="204">
        <v>5.4857100000000004E-3</v>
      </c>
      <c r="J9" s="204">
        <v>6.8571400000000003E-3</v>
      </c>
      <c r="K9" s="204">
        <v>8.2285699999999993E-3</v>
      </c>
      <c r="L9" s="204">
        <v>9.5999999999999992E-3</v>
      </c>
      <c r="M9" s="204">
        <v>1.3771429999999999E-2</v>
      </c>
      <c r="N9" s="204">
        <v>1.7942860000000001E-2</v>
      </c>
      <c r="O9" s="204">
        <v>2.2114290000000002E-2</v>
      </c>
      <c r="P9" s="204">
        <v>2.628571E-2</v>
      </c>
      <c r="Q9" s="204">
        <v>3.0457140000000001E-2</v>
      </c>
      <c r="R9" s="204">
        <v>3.4628569999999997E-2</v>
      </c>
      <c r="S9" s="204">
        <v>3.8800000000000001E-2</v>
      </c>
      <c r="T9" s="204">
        <v>4.1871430000000001E-2</v>
      </c>
      <c r="U9" s="204">
        <v>4.4942860000000001E-2</v>
      </c>
      <c r="V9" s="204">
        <v>4.8014290000000001E-2</v>
      </c>
      <c r="W9" s="204">
        <v>5.1085709999999999E-2</v>
      </c>
      <c r="X9" s="204">
        <v>5.4157139999999999E-2</v>
      </c>
      <c r="Y9" s="204">
        <v>5.7228569999999999E-2</v>
      </c>
      <c r="Z9" s="204">
        <v>6.0299999999999999E-2</v>
      </c>
      <c r="AA9" s="204">
        <v>6.3357140000000006E-2</v>
      </c>
      <c r="AB9" s="204">
        <v>6.6414290000000001E-2</v>
      </c>
      <c r="AC9" s="204">
        <v>6.9471430000000001E-2</v>
      </c>
      <c r="AD9" s="204">
        <v>7.2528570000000001E-2</v>
      </c>
      <c r="AE9" s="204">
        <v>7.558571E-2</v>
      </c>
      <c r="AF9" s="204">
        <v>7.8642859999999995E-2</v>
      </c>
      <c r="AG9" s="204">
        <v>8.1699999999999995E-2</v>
      </c>
      <c r="AH9" s="204">
        <v>8.5585709999999995E-2</v>
      </c>
      <c r="AI9" s="204">
        <v>8.9471430000000005E-2</v>
      </c>
      <c r="AJ9" s="204">
        <v>9.3357140000000005E-2</v>
      </c>
      <c r="AK9" s="204">
        <v>9.724286E-2</v>
      </c>
      <c r="AL9" s="204">
        <v>0.10112857</v>
      </c>
      <c r="AM9" s="204">
        <v>0.10501429</v>
      </c>
      <c r="AN9" s="204">
        <v>0.1089</v>
      </c>
      <c r="AO9" s="204">
        <v>0.11197143</v>
      </c>
      <c r="AP9" s="204">
        <v>0.11504286</v>
      </c>
      <c r="AQ9" s="204">
        <v>0.11811429</v>
      </c>
      <c r="AR9" s="204">
        <v>0.12118571</v>
      </c>
      <c r="AS9" s="204">
        <v>0.12425714</v>
      </c>
      <c r="AT9" s="204">
        <v>0.12732857</v>
      </c>
      <c r="AU9" s="204">
        <v>0.13039999999999999</v>
      </c>
      <c r="AV9" s="204">
        <v>0.13258571</v>
      </c>
      <c r="AW9" s="204">
        <v>0.13477143</v>
      </c>
      <c r="AX9" s="204">
        <v>0.13695714</v>
      </c>
      <c r="AY9" s="204">
        <v>0.13914286000000001</v>
      </c>
      <c r="AZ9" s="204">
        <v>0.14132856999999999</v>
      </c>
      <c r="BA9" s="204">
        <v>0.14351428999999999</v>
      </c>
      <c r="BB9" s="204">
        <v>0.1457</v>
      </c>
      <c r="BC9" s="204">
        <v>0.15004286</v>
      </c>
      <c r="BD9" s="204">
        <v>0.15438571000000001</v>
      </c>
      <c r="BE9" s="204">
        <v>0.15872857000000001</v>
      </c>
      <c r="BF9" s="204">
        <v>0.16307142999999999</v>
      </c>
      <c r="BG9" s="204">
        <v>0.16741428999999999</v>
      </c>
      <c r="BH9" s="204">
        <v>0.17175714</v>
      </c>
      <c r="BI9" s="204">
        <v>0.17610000000000001</v>
      </c>
      <c r="BJ9" s="204">
        <v>0.18081428999999999</v>
      </c>
      <c r="BK9" s="204">
        <v>0.18552857</v>
      </c>
      <c r="BL9" s="204">
        <v>0.19024286000000001</v>
      </c>
      <c r="BM9" s="204">
        <v>0.19495714</v>
      </c>
      <c r="BN9" s="204">
        <v>0.19967143000000001</v>
      </c>
      <c r="BO9" s="204">
        <v>0.20438571</v>
      </c>
      <c r="BP9" s="204">
        <v>0.20910000000000001</v>
      </c>
      <c r="BQ9" s="204">
        <v>0.21364285999999999</v>
      </c>
      <c r="BR9" s="204">
        <v>0.21818571</v>
      </c>
      <c r="BS9" s="204">
        <v>0.22272856999999999</v>
      </c>
      <c r="BT9" s="204">
        <v>0.22727143</v>
      </c>
      <c r="BU9" s="204">
        <v>0.23181429000000001</v>
      </c>
      <c r="BV9" s="204">
        <v>0.23635713999999999</v>
      </c>
      <c r="BW9" s="204">
        <v>0.2409</v>
      </c>
      <c r="BX9" s="204">
        <v>0.2447</v>
      </c>
      <c r="BY9" s="204">
        <v>0.2485</v>
      </c>
      <c r="BZ9" s="204">
        <v>0.25230000000000002</v>
      </c>
      <c r="CA9" s="204">
        <v>0.25609999999999999</v>
      </c>
      <c r="CB9" s="204">
        <v>0.25990000000000002</v>
      </c>
      <c r="CC9" s="204">
        <v>0.26369999999999999</v>
      </c>
      <c r="CD9" s="204">
        <v>0.26750000000000002</v>
      </c>
      <c r="CE9" s="204">
        <v>0.27161428999999998</v>
      </c>
      <c r="CF9" s="204">
        <v>0.27572857000000001</v>
      </c>
      <c r="CG9" s="204">
        <v>0.27984286000000003</v>
      </c>
      <c r="CH9" s="204">
        <v>0.28395714</v>
      </c>
      <c r="CI9" s="204">
        <v>0.28807143000000002</v>
      </c>
      <c r="CJ9" s="204">
        <v>0.29218570999999999</v>
      </c>
      <c r="CK9" s="204">
        <v>0.29630000000000001</v>
      </c>
      <c r="CL9" s="204">
        <v>0.30005714</v>
      </c>
      <c r="CM9" s="204">
        <v>0.30381428999999999</v>
      </c>
      <c r="CN9" s="204">
        <v>0.30757142999999998</v>
      </c>
      <c r="CO9" s="204">
        <v>0.31132857000000003</v>
      </c>
      <c r="CP9" s="204">
        <v>0.31508571000000002</v>
      </c>
      <c r="CQ9" s="204">
        <v>0.31884286000000001</v>
      </c>
      <c r="CR9" s="204">
        <v>0.3226</v>
      </c>
      <c r="CS9" s="204">
        <v>0.32529999999999998</v>
      </c>
      <c r="CT9" s="204">
        <v>0.32800000000000001</v>
      </c>
      <c r="CU9" s="204">
        <v>0.33069999999999999</v>
      </c>
      <c r="CV9" s="204">
        <v>0.33339999999999997</v>
      </c>
      <c r="CW9" s="204">
        <v>0.33610000000000001</v>
      </c>
      <c r="CX9" s="204">
        <v>0.33879999999999999</v>
      </c>
      <c r="CY9" s="204">
        <v>0.34150000000000003</v>
      </c>
      <c r="CZ9" s="204">
        <v>0.34697143000000003</v>
      </c>
      <c r="DA9" s="204">
        <v>0.35244286000000002</v>
      </c>
      <c r="DB9" s="204">
        <v>0.35791429000000002</v>
      </c>
      <c r="DC9" s="204">
        <v>0.36338570999999997</v>
      </c>
      <c r="DD9" s="204">
        <v>0.36885714000000003</v>
      </c>
      <c r="DE9" s="204">
        <v>0.37432857000000003</v>
      </c>
      <c r="DF9" s="204">
        <v>0.37980000000000003</v>
      </c>
      <c r="DG9" s="204">
        <v>0.38484286000000001</v>
      </c>
      <c r="DH9" s="204">
        <v>0.38988571</v>
      </c>
      <c r="DI9" s="204">
        <v>0.39492856999999998</v>
      </c>
      <c r="DJ9" s="204">
        <v>0.39997143000000002</v>
      </c>
      <c r="DK9" s="204">
        <v>0.40501429</v>
      </c>
      <c r="DL9" s="204">
        <v>0.41005713999999999</v>
      </c>
      <c r="DM9" s="204">
        <v>0.41510000000000002</v>
      </c>
      <c r="DN9" s="204">
        <v>0.41905713999999999</v>
      </c>
      <c r="DO9" s="204">
        <v>0.42301429000000002</v>
      </c>
      <c r="DP9" s="204">
        <v>0.42697142999999999</v>
      </c>
      <c r="DQ9" s="204">
        <v>0.43092857000000001</v>
      </c>
      <c r="DR9" s="204">
        <v>0.43488570999999998</v>
      </c>
      <c r="DS9" s="204">
        <v>0.43884286</v>
      </c>
      <c r="DT9" s="204">
        <v>0.44280000000000003</v>
      </c>
      <c r="DU9" s="204">
        <v>0.4471</v>
      </c>
      <c r="DV9" s="204">
        <v>0.45140000000000002</v>
      </c>
      <c r="DW9" s="204">
        <v>0.45569999999999999</v>
      </c>
      <c r="DX9" s="204">
        <v>0.46</v>
      </c>
      <c r="DY9" s="204">
        <v>0.46429999999999999</v>
      </c>
      <c r="DZ9" s="204">
        <v>0.46860000000000002</v>
      </c>
      <c r="EA9" s="204">
        <v>0.47289999999999999</v>
      </c>
      <c r="EB9" s="204">
        <v>0.47807143000000002</v>
      </c>
      <c r="EC9" s="204">
        <v>0.48324286</v>
      </c>
      <c r="ED9" s="204">
        <v>0.48841428999999997</v>
      </c>
      <c r="EE9" s="204">
        <v>0.49358571000000001</v>
      </c>
      <c r="EF9" s="204">
        <v>0.49875713999999999</v>
      </c>
      <c r="EG9" s="204">
        <v>0.50392857000000002</v>
      </c>
      <c r="EH9" s="204">
        <v>0.5091</v>
      </c>
      <c r="EI9" s="204">
        <v>0.51537142999999996</v>
      </c>
      <c r="EJ9" s="204">
        <v>0.52164286000000004</v>
      </c>
      <c r="EK9" s="204">
        <v>0.52791429000000001</v>
      </c>
      <c r="EL9" s="204">
        <v>0.53418571000000004</v>
      </c>
      <c r="EM9" s="204">
        <v>0.54045714</v>
      </c>
      <c r="EN9" s="204">
        <v>0.54672856999999997</v>
      </c>
      <c r="EO9" s="204">
        <v>0.55300000000000005</v>
      </c>
      <c r="EP9" s="204">
        <v>0.56132857000000003</v>
      </c>
      <c r="EQ9" s="204">
        <v>0.56965714000000001</v>
      </c>
      <c r="ER9" s="204">
        <v>0.57798570999999999</v>
      </c>
      <c r="ES9" s="204">
        <v>0.58631429000000002</v>
      </c>
      <c r="ET9" s="204">
        <v>0.59464286</v>
      </c>
      <c r="EU9" s="204">
        <v>0.60297142999999997</v>
      </c>
      <c r="EV9" s="204">
        <v>0.61129999999999995</v>
      </c>
      <c r="EW9" s="204">
        <v>0.62090000000000001</v>
      </c>
      <c r="EX9" s="204">
        <v>0.63049999999999995</v>
      </c>
      <c r="EY9" s="204">
        <v>0.6401</v>
      </c>
      <c r="EZ9" s="204">
        <v>0.64970000000000006</v>
      </c>
      <c r="FA9" s="204">
        <v>0.6593</v>
      </c>
      <c r="FB9" s="204">
        <v>0.66890000000000005</v>
      </c>
      <c r="FC9" s="204">
        <v>0.67849999999999999</v>
      </c>
      <c r="FD9" s="204">
        <v>0.69084285999999995</v>
      </c>
      <c r="FE9" s="204">
        <v>0.70318570999999996</v>
      </c>
      <c r="FF9" s="204">
        <v>0.71552857000000003</v>
      </c>
      <c r="FG9" s="204">
        <v>0.72787142999999999</v>
      </c>
      <c r="FH9" s="204">
        <v>0.74021429000000005</v>
      </c>
      <c r="FI9" s="204">
        <v>0.75255713999999996</v>
      </c>
      <c r="FJ9" s="204">
        <v>0.76490000000000002</v>
      </c>
      <c r="FK9" s="204">
        <v>0.77832857</v>
      </c>
      <c r="FL9" s="204">
        <v>0.79175713999999997</v>
      </c>
      <c r="FM9" s="204">
        <v>0.80518571000000005</v>
      </c>
      <c r="FN9" s="204">
        <v>0.81861428999999997</v>
      </c>
      <c r="FO9" s="204">
        <v>0.83204286000000005</v>
      </c>
      <c r="FP9" s="204">
        <v>0.84547143000000002</v>
      </c>
      <c r="FQ9" s="204">
        <v>0.8589</v>
      </c>
      <c r="FR9" s="204">
        <v>0.86942856999999996</v>
      </c>
      <c r="FS9" s="204">
        <v>0.87995714000000003</v>
      </c>
      <c r="FT9" s="204">
        <v>0.89048570999999999</v>
      </c>
      <c r="FU9" s="204">
        <v>0.90101429</v>
      </c>
      <c r="FV9" s="204">
        <v>0.91154285999999995</v>
      </c>
      <c r="FW9" s="204">
        <v>0.92207143000000003</v>
      </c>
      <c r="FX9" s="204">
        <v>0.93259999999999998</v>
      </c>
      <c r="FY9" s="204">
        <v>0.93925714000000005</v>
      </c>
      <c r="FZ9" s="204">
        <v>0.94591429000000005</v>
      </c>
      <c r="GA9" s="204">
        <v>0.95257143</v>
      </c>
      <c r="GB9" s="204">
        <v>0.95922856999999995</v>
      </c>
      <c r="GC9" s="204">
        <v>0.96588571000000001</v>
      </c>
      <c r="GD9" s="204">
        <v>0.97254286000000001</v>
      </c>
      <c r="GE9" s="204">
        <v>0.97919999999999996</v>
      </c>
      <c r="GF9" s="204">
        <v>0.98178571000000003</v>
      </c>
      <c r="GG9" s="204">
        <v>0.98437143000000005</v>
      </c>
      <c r="GH9" s="204">
        <v>0.98695714000000001</v>
      </c>
      <c r="GI9" s="204">
        <v>0.98954286000000002</v>
      </c>
      <c r="GJ9" s="204">
        <v>0.99212856999999999</v>
      </c>
      <c r="GK9" s="204">
        <v>0.99471429</v>
      </c>
      <c r="GL9" s="204">
        <v>0.99729999999999996</v>
      </c>
      <c r="GM9" s="204">
        <v>0.99767143000000003</v>
      </c>
      <c r="GN9" s="204">
        <v>0.99804285999999998</v>
      </c>
      <c r="GO9" s="204">
        <v>0.99841429000000004</v>
      </c>
      <c r="GP9" s="204">
        <v>0.99878571000000005</v>
      </c>
      <c r="GQ9" s="204">
        <v>0.99915714</v>
      </c>
      <c r="GR9" s="204">
        <v>0.99952856999999995</v>
      </c>
      <c r="GS9" s="204">
        <v>0.99990000000000001</v>
      </c>
      <c r="GT9" s="204">
        <v>0.99993332999999995</v>
      </c>
      <c r="GU9" s="204">
        <v>0.99996666999999995</v>
      </c>
      <c r="GV9" s="204">
        <v>1</v>
      </c>
      <c r="GW9" s="205">
        <v>1</v>
      </c>
      <c r="GX9" s="79"/>
      <c r="HA9" s="102"/>
    </row>
    <row r="10" spans="1:209" s="95" customFormat="1" ht="20.100000000000001" customHeight="1">
      <c r="A10" s="88" t="s">
        <v>208</v>
      </c>
      <c r="B10" s="92">
        <f>COUNTIF($E$11:$GW$11,"不計工期")</f>
        <v>0</v>
      </c>
      <c r="C10" s="85"/>
      <c r="D10" s="206" t="s">
        <v>33</v>
      </c>
      <c r="E10" s="207">
        <f>ROUND(MIN(1,E8),5)</f>
        <v>6.5100000000000002E-3</v>
      </c>
      <c r="F10" s="208">
        <f t="shared" ref="F10:BQ10" si="8">ROUND(MIN(1,E10+F8),5)</f>
        <v>9.0200000000000002E-3</v>
      </c>
      <c r="G10" s="208">
        <f t="shared" si="8"/>
        <v>1.1900000000000001E-2</v>
      </c>
      <c r="H10" s="208">
        <f t="shared" si="8"/>
        <v>1.478E-2</v>
      </c>
      <c r="I10" s="208">
        <f t="shared" si="8"/>
        <v>1.7659999999999999E-2</v>
      </c>
      <c r="J10" s="208">
        <f t="shared" si="8"/>
        <v>2.0539999999999999E-2</v>
      </c>
      <c r="K10" s="208">
        <f t="shared" si="8"/>
        <v>2.342E-2</v>
      </c>
      <c r="L10" s="208">
        <f t="shared" si="8"/>
        <v>2.63E-2</v>
      </c>
      <c r="M10" s="208">
        <f t="shared" si="8"/>
        <v>2.9180000000000001E-2</v>
      </c>
      <c r="N10" s="208">
        <f t="shared" si="8"/>
        <v>3.2059999999999998E-2</v>
      </c>
      <c r="O10" s="208">
        <f t="shared" si="8"/>
        <v>3.4939999999999999E-2</v>
      </c>
      <c r="P10" s="208">
        <f t="shared" si="8"/>
        <v>3.7819999999999999E-2</v>
      </c>
      <c r="Q10" s="208">
        <f t="shared" si="8"/>
        <v>4.07E-2</v>
      </c>
      <c r="R10" s="208">
        <f t="shared" si="8"/>
        <v>4.3580000000000001E-2</v>
      </c>
      <c r="S10" s="208">
        <f t="shared" si="8"/>
        <v>4.6460000000000001E-2</v>
      </c>
      <c r="T10" s="208">
        <f t="shared" si="8"/>
        <v>4.9340000000000002E-2</v>
      </c>
      <c r="U10" s="208">
        <f t="shared" si="8"/>
        <v>5.2220000000000003E-2</v>
      </c>
      <c r="V10" s="208">
        <f t="shared" si="8"/>
        <v>5.5100000000000003E-2</v>
      </c>
      <c r="W10" s="208">
        <f t="shared" si="8"/>
        <v>5.7979999999999997E-2</v>
      </c>
      <c r="X10" s="208">
        <f t="shared" si="8"/>
        <v>6.0859999999999997E-2</v>
      </c>
      <c r="Y10" s="208">
        <f t="shared" si="8"/>
        <v>6.0859999999999997E-2</v>
      </c>
      <c r="Z10" s="208">
        <f t="shared" si="8"/>
        <v>6.0859999999999997E-2</v>
      </c>
      <c r="AA10" s="208">
        <f t="shared" si="8"/>
        <v>6.0859999999999997E-2</v>
      </c>
      <c r="AB10" s="208">
        <f t="shared" si="8"/>
        <v>6.0859999999999997E-2</v>
      </c>
      <c r="AC10" s="208">
        <f t="shared" si="8"/>
        <v>6.0859999999999997E-2</v>
      </c>
      <c r="AD10" s="208">
        <f t="shared" si="8"/>
        <v>6.0859999999999997E-2</v>
      </c>
      <c r="AE10" s="208">
        <f t="shared" si="8"/>
        <v>6.0859999999999997E-2</v>
      </c>
      <c r="AF10" s="208">
        <f t="shared" si="8"/>
        <v>6.0859999999999997E-2</v>
      </c>
      <c r="AG10" s="208">
        <f t="shared" si="8"/>
        <v>6.0859999999999997E-2</v>
      </c>
      <c r="AH10" s="208">
        <f t="shared" si="8"/>
        <v>6.0859999999999997E-2</v>
      </c>
      <c r="AI10" s="208">
        <f t="shared" si="8"/>
        <v>6.0859999999999997E-2</v>
      </c>
      <c r="AJ10" s="208">
        <f t="shared" si="8"/>
        <v>6.0859999999999997E-2</v>
      </c>
      <c r="AK10" s="208">
        <f t="shared" si="8"/>
        <v>6.0859999999999997E-2</v>
      </c>
      <c r="AL10" s="208">
        <f t="shared" si="8"/>
        <v>6.0859999999999997E-2</v>
      </c>
      <c r="AM10" s="208">
        <f t="shared" si="8"/>
        <v>6.0859999999999997E-2</v>
      </c>
      <c r="AN10" s="208">
        <f t="shared" si="8"/>
        <v>6.0859999999999997E-2</v>
      </c>
      <c r="AO10" s="208">
        <f t="shared" si="8"/>
        <v>6.0859999999999997E-2</v>
      </c>
      <c r="AP10" s="208">
        <f t="shared" si="8"/>
        <v>6.0859999999999997E-2</v>
      </c>
      <c r="AQ10" s="208">
        <f t="shared" si="8"/>
        <v>6.0859999999999997E-2</v>
      </c>
      <c r="AR10" s="208">
        <f t="shared" si="8"/>
        <v>6.0859999999999997E-2</v>
      </c>
      <c r="AS10" s="208">
        <f t="shared" si="8"/>
        <v>6.0859999999999997E-2</v>
      </c>
      <c r="AT10" s="208">
        <f t="shared" si="8"/>
        <v>6.0859999999999997E-2</v>
      </c>
      <c r="AU10" s="208">
        <f t="shared" si="8"/>
        <v>6.0859999999999997E-2</v>
      </c>
      <c r="AV10" s="208">
        <f t="shared" si="8"/>
        <v>6.0859999999999997E-2</v>
      </c>
      <c r="AW10" s="208">
        <f t="shared" si="8"/>
        <v>6.0859999999999997E-2</v>
      </c>
      <c r="AX10" s="208">
        <f t="shared" si="8"/>
        <v>6.0859999999999997E-2</v>
      </c>
      <c r="AY10" s="208">
        <f t="shared" si="8"/>
        <v>6.0859999999999997E-2</v>
      </c>
      <c r="AZ10" s="208">
        <f t="shared" si="8"/>
        <v>6.0859999999999997E-2</v>
      </c>
      <c r="BA10" s="208">
        <f t="shared" si="8"/>
        <v>6.0859999999999997E-2</v>
      </c>
      <c r="BB10" s="208">
        <f t="shared" si="8"/>
        <v>6.0859999999999997E-2</v>
      </c>
      <c r="BC10" s="208">
        <f t="shared" si="8"/>
        <v>6.0859999999999997E-2</v>
      </c>
      <c r="BD10" s="208">
        <f t="shared" si="8"/>
        <v>6.0859999999999997E-2</v>
      </c>
      <c r="BE10" s="208">
        <f t="shared" si="8"/>
        <v>6.0859999999999997E-2</v>
      </c>
      <c r="BF10" s="208">
        <f t="shared" si="8"/>
        <v>6.0859999999999997E-2</v>
      </c>
      <c r="BG10" s="208">
        <f t="shared" si="8"/>
        <v>6.0859999999999997E-2</v>
      </c>
      <c r="BH10" s="208">
        <f t="shared" si="8"/>
        <v>6.0859999999999997E-2</v>
      </c>
      <c r="BI10" s="208">
        <f t="shared" si="8"/>
        <v>6.0859999999999997E-2</v>
      </c>
      <c r="BJ10" s="208">
        <f t="shared" si="8"/>
        <v>6.0859999999999997E-2</v>
      </c>
      <c r="BK10" s="208">
        <f t="shared" si="8"/>
        <v>6.0859999999999997E-2</v>
      </c>
      <c r="BL10" s="208">
        <f t="shared" si="8"/>
        <v>6.0859999999999997E-2</v>
      </c>
      <c r="BM10" s="208">
        <f t="shared" si="8"/>
        <v>6.0859999999999997E-2</v>
      </c>
      <c r="BN10" s="208">
        <f t="shared" si="8"/>
        <v>6.0859999999999997E-2</v>
      </c>
      <c r="BO10" s="208">
        <f t="shared" si="8"/>
        <v>6.0859999999999997E-2</v>
      </c>
      <c r="BP10" s="208">
        <f t="shared" si="8"/>
        <v>6.0859999999999997E-2</v>
      </c>
      <c r="BQ10" s="208">
        <f t="shared" si="8"/>
        <v>6.0859999999999997E-2</v>
      </c>
      <c r="BR10" s="208">
        <f t="shared" ref="BR10:EC10" si="9">ROUND(MIN(1,BQ10+BR8),5)</f>
        <v>6.0859999999999997E-2</v>
      </c>
      <c r="BS10" s="208">
        <f t="shared" si="9"/>
        <v>6.0859999999999997E-2</v>
      </c>
      <c r="BT10" s="208">
        <f t="shared" si="9"/>
        <v>6.0859999999999997E-2</v>
      </c>
      <c r="BU10" s="208">
        <f t="shared" si="9"/>
        <v>6.0859999999999997E-2</v>
      </c>
      <c r="BV10" s="208">
        <f t="shared" si="9"/>
        <v>6.0859999999999997E-2</v>
      </c>
      <c r="BW10" s="208">
        <f t="shared" si="9"/>
        <v>6.0859999999999997E-2</v>
      </c>
      <c r="BX10" s="208">
        <f t="shared" si="9"/>
        <v>6.0859999999999997E-2</v>
      </c>
      <c r="BY10" s="208">
        <f t="shared" si="9"/>
        <v>6.0859999999999997E-2</v>
      </c>
      <c r="BZ10" s="208">
        <f t="shared" si="9"/>
        <v>6.0859999999999997E-2</v>
      </c>
      <c r="CA10" s="208">
        <f t="shared" si="9"/>
        <v>6.0859999999999997E-2</v>
      </c>
      <c r="CB10" s="208">
        <f t="shared" si="9"/>
        <v>6.0859999999999997E-2</v>
      </c>
      <c r="CC10" s="208">
        <f t="shared" si="9"/>
        <v>6.0859999999999997E-2</v>
      </c>
      <c r="CD10" s="208">
        <f t="shared" si="9"/>
        <v>6.0859999999999997E-2</v>
      </c>
      <c r="CE10" s="208">
        <f t="shared" si="9"/>
        <v>6.0859999999999997E-2</v>
      </c>
      <c r="CF10" s="208">
        <f t="shared" si="9"/>
        <v>6.0859999999999997E-2</v>
      </c>
      <c r="CG10" s="208">
        <f t="shared" si="9"/>
        <v>6.0859999999999997E-2</v>
      </c>
      <c r="CH10" s="208">
        <f t="shared" si="9"/>
        <v>6.0859999999999997E-2</v>
      </c>
      <c r="CI10" s="208">
        <f t="shared" si="9"/>
        <v>6.0859999999999997E-2</v>
      </c>
      <c r="CJ10" s="208">
        <f t="shared" si="9"/>
        <v>6.0859999999999997E-2</v>
      </c>
      <c r="CK10" s="208">
        <f t="shared" si="9"/>
        <v>6.0859999999999997E-2</v>
      </c>
      <c r="CL10" s="208">
        <f t="shared" si="9"/>
        <v>6.0859999999999997E-2</v>
      </c>
      <c r="CM10" s="208">
        <f t="shared" si="9"/>
        <v>6.0859999999999997E-2</v>
      </c>
      <c r="CN10" s="208">
        <f t="shared" si="9"/>
        <v>6.0859999999999997E-2</v>
      </c>
      <c r="CO10" s="208">
        <f t="shared" si="9"/>
        <v>6.0859999999999997E-2</v>
      </c>
      <c r="CP10" s="208">
        <f t="shared" si="9"/>
        <v>6.0859999999999997E-2</v>
      </c>
      <c r="CQ10" s="208">
        <f t="shared" si="9"/>
        <v>6.0859999999999997E-2</v>
      </c>
      <c r="CR10" s="208">
        <f t="shared" si="9"/>
        <v>6.0859999999999997E-2</v>
      </c>
      <c r="CS10" s="208">
        <f t="shared" si="9"/>
        <v>6.0859999999999997E-2</v>
      </c>
      <c r="CT10" s="208">
        <f t="shared" si="9"/>
        <v>6.0859999999999997E-2</v>
      </c>
      <c r="CU10" s="208">
        <f t="shared" si="9"/>
        <v>6.0859999999999997E-2</v>
      </c>
      <c r="CV10" s="208">
        <f t="shared" si="9"/>
        <v>6.0859999999999997E-2</v>
      </c>
      <c r="CW10" s="208">
        <f t="shared" si="9"/>
        <v>6.0859999999999997E-2</v>
      </c>
      <c r="CX10" s="208">
        <f t="shared" si="9"/>
        <v>6.0859999999999997E-2</v>
      </c>
      <c r="CY10" s="208">
        <f t="shared" si="9"/>
        <v>6.0859999999999997E-2</v>
      </c>
      <c r="CZ10" s="208">
        <f t="shared" si="9"/>
        <v>6.0859999999999997E-2</v>
      </c>
      <c r="DA10" s="208">
        <f t="shared" si="9"/>
        <v>6.0859999999999997E-2</v>
      </c>
      <c r="DB10" s="208">
        <f t="shared" si="9"/>
        <v>6.0859999999999997E-2</v>
      </c>
      <c r="DC10" s="208">
        <f t="shared" si="9"/>
        <v>6.0859999999999997E-2</v>
      </c>
      <c r="DD10" s="208">
        <f t="shared" si="9"/>
        <v>6.0859999999999997E-2</v>
      </c>
      <c r="DE10" s="208">
        <f t="shared" si="9"/>
        <v>6.0859999999999997E-2</v>
      </c>
      <c r="DF10" s="208">
        <f t="shared" si="9"/>
        <v>6.0859999999999997E-2</v>
      </c>
      <c r="DG10" s="208">
        <f t="shared" si="9"/>
        <v>6.0859999999999997E-2</v>
      </c>
      <c r="DH10" s="208">
        <f t="shared" si="9"/>
        <v>6.0859999999999997E-2</v>
      </c>
      <c r="DI10" s="208">
        <f t="shared" si="9"/>
        <v>6.0859999999999997E-2</v>
      </c>
      <c r="DJ10" s="208">
        <f t="shared" si="9"/>
        <v>6.0859999999999997E-2</v>
      </c>
      <c r="DK10" s="208">
        <f t="shared" si="9"/>
        <v>6.0859999999999997E-2</v>
      </c>
      <c r="DL10" s="208">
        <f t="shared" si="9"/>
        <v>6.0859999999999997E-2</v>
      </c>
      <c r="DM10" s="208">
        <f t="shared" si="9"/>
        <v>6.0859999999999997E-2</v>
      </c>
      <c r="DN10" s="208">
        <f t="shared" si="9"/>
        <v>6.0859999999999997E-2</v>
      </c>
      <c r="DO10" s="208">
        <f t="shared" si="9"/>
        <v>6.0859999999999997E-2</v>
      </c>
      <c r="DP10" s="208">
        <f t="shared" si="9"/>
        <v>6.0859999999999997E-2</v>
      </c>
      <c r="DQ10" s="208">
        <f t="shared" si="9"/>
        <v>6.0859999999999997E-2</v>
      </c>
      <c r="DR10" s="208">
        <f t="shared" si="9"/>
        <v>6.0859999999999997E-2</v>
      </c>
      <c r="DS10" s="208">
        <f t="shared" si="9"/>
        <v>6.0859999999999997E-2</v>
      </c>
      <c r="DT10" s="208">
        <f t="shared" si="9"/>
        <v>6.0859999999999997E-2</v>
      </c>
      <c r="DU10" s="208">
        <f t="shared" si="9"/>
        <v>6.0859999999999997E-2</v>
      </c>
      <c r="DV10" s="208">
        <f t="shared" si="9"/>
        <v>6.0859999999999997E-2</v>
      </c>
      <c r="DW10" s="208">
        <f t="shared" si="9"/>
        <v>6.0859999999999997E-2</v>
      </c>
      <c r="DX10" s="208">
        <f t="shared" si="9"/>
        <v>6.0859999999999997E-2</v>
      </c>
      <c r="DY10" s="208">
        <f t="shared" si="9"/>
        <v>6.0859999999999997E-2</v>
      </c>
      <c r="DZ10" s="208">
        <f t="shared" si="9"/>
        <v>6.0859999999999997E-2</v>
      </c>
      <c r="EA10" s="208">
        <f t="shared" si="9"/>
        <v>6.0859999999999997E-2</v>
      </c>
      <c r="EB10" s="208">
        <f t="shared" si="9"/>
        <v>6.0859999999999997E-2</v>
      </c>
      <c r="EC10" s="208">
        <f t="shared" si="9"/>
        <v>6.0859999999999997E-2</v>
      </c>
      <c r="ED10" s="208">
        <f t="shared" ref="ED10:GO10" si="10">ROUND(MIN(1,EC10+ED8),5)</f>
        <v>6.0859999999999997E-2</v>
      </c>
      <c r="EE10" s="208">
        <f t="shared" si="10"/>
        <v>6.0859999999999997E-2</v>
      </c>
      <c r="EF10" s="208">
        <f t="shared" si="10"/>
        <v>6.0859999999999997E-2</v>
      </c>
      <c r="EG10" s="208">
        <f t="shared" si="10"/>
        <v>6.0859999999999997E-2</v>
      </c>
      <c r="EH10" s="208">
        <f t="shared" si="10"/>
        <v>6.0859999999999997E-2</v>
      </c>
      <c r="EI10" s="208">
        <f t="shared" si="10"/>
        <v>6.0859999999999997E-2</v>
      </c>
      <c r="EJ10" s="208">
        <f t="shared" si="10"/>
        <v>6.0859999999999997E-2</v>
      </c>
      <c r="EK10" s="208">
        <f t="shared" si="10"/>
        <v>6.0859999999999997E-2</v>
      </c>
      <c r="EL10" s="208">
        <f t="shared" si="10"/>
        <v>6.0859999999999997E-2</v>
      </c>
      <c r="EM10" s="208">
        <f t="shared" si="10"/>
        <v>6.0859999999999997E-2</v>
      </c>
      <c r="EN10" s="208">
        <f t="shared" si="10"/>
        <v>6.0859999999999997E-2</v>
      </c>
      <c r="EO10" s="208">
        <f t="shared" si="10"/>
        <v>6.0859999999999997E-2</v>
      </c>
      <c r="EP10" s="208">
        <f t="shared" si="10"/>
        <v>6.0859999999999997E-2</v>
      </c>
      <c r="EQ10" s="208">
        <f t="shared" si="10"/>
        <v>6.0859999999999997E-2</v>
      </c>
      <c r="ER10" s="208">
        <f t="shared" si="10"/>
        <v>6.0859999999999997E-2</v>
      </c>
      <c r="ES10" s="208">
        <f t="shared" si="10"/>
        <v>6.0859999999999997E-2</v>
      </c>
      <c r="ET10" s="208">
        <f t="shared" si="10"/>
        <v>6.0859999999999997E-2</v>
      </c>
      <c r="EU10" s="208">
        <f t="shared" si="10"/>
        <v>6.0859999999999997E-2</v>
      </c>
      <c r="EV10" s="208">
        <f t="shared" si="10"/>
        <v>6.0859999999999997E-2</v>
      </c>
      <c r="EW10" s="208">
        <f t="shared" si="10"/>
        <v>6.0859999999999997E-2</v>
      </c>
      <c r="EX10" s="208">
        <f t="shared" si="10"/>
        <v>6.0859999999999997E-2</v>
      </c>
      <c r="EY10" s="208">
        <f t="shared" si="10"/>
        <v>6.0859999999999997E-2</v>
      </c>
      <c r="EZ10" s="208">
        <f t="shared" si="10"/>
        <v>6.0859999999999997E-2</v>
      </c>
      <c r="FA10" s="208">
        <f t="shared" si="10"/>
        <v>6.0859999999999997E-2</v>
      </c>
      <c r="FB10" s="208">
        <f t="shared" si="10"/>
        <v>6.0859999999999997E-2</v>
      </c>
      <c r="FC10" s="208">
        <f t="shared" si="10"/>
        <v>6.0859999999999997E-2</v>
      </c>
      <c r="FD10" s="208">
        <f t="shared" si="10"/>
        <v>6.0859999999999997E-2</v>
      </c>
      <c r="FE10" s="208">
        <f t="shared" si="10"/>
        <v>6.0859999999999997E-2</v>
      </c>
      <c r="FF10" s="208">
        <f t="shared" si="10"/>
        <v>6.0859999999999997E-2</v>
      </c>
      <c r="FG10" s="208">
        <f t="shared" si="10"/>
        <v>6.0859999999999997E-2</v>
      </c>
      <c r="FH10" s="208">
        <f t="shared" si="10"/>
        <v>6.0859999999999997E-2</v>
      </c>
      <c r="FI10" s="208">
        <f t="shared" si="10"/>
        <v>6.0859999999999997E-2</v>
      </c>
      <c r="FJ10" s="208">
        <f t="shared" si="10"/>
        <v>6.0859999999999997E-2</v>
      </c>
      <c r="FK10" s="208">
        <f t="shared" si="10"/>
        <v>6.0859999999999997E-2</v>
      </c>
      <c r="FL10" s="208">
        <f t="shared" si="10"/>
        <v>6.0859999999999997E-2</v>
      </c>
      <c r="FM10" s="208">
        <f t="shared" si="10"/>
        <v>6.0859999999999997E-2</v>
      </c>
      <c r="FN10" s="208">
        <f t="shared" si="10"/>
        <v>6.0859999999999997E-2</v>
      </c>
      <c r="FO10" s="208">
        <f t="shared" si="10"/>
        <v>6.0859999999999997E-2</v>
      </c>
      <c r="FP10" s="208">
        <f t="shared" si="10"/>
        <v>6.0859999999999997E-2</v>
      </c>
      <c r="FQ10" s="208">
        <f t="shared" si="10"/>
        <v>6.0859999999999997E-2</v>
      </c>
      <c r="FR10" s="208">
        <f t="shared" si="10"/>
        <v>6.0859999999999997E-2</v>
      </c>
      <c r="FS10" s="208">
        <f t="shared" si="10"/>
        <v>6.0859999999999997E-2</v>
      </c>
      <c r="FT10" s="208">
        <f t="shared" si="10"/>
        <v>6.0859999999999997E-2</v>
      </c>
      <c r="FU10" s="208">
        <f t="shared" si="10"/>
        <v>6.0859999999999997E-2</v>
      </c>
      <c r="FV10" s="208">
        <f t="shared" si="10"/>
        <v>6.0859999999999997E-2</v>
      </c>
      <c r="FW10" s="208">
        <f t="shared" si="10"/>
        <v>6.0859999999999997E-2</v>
      </c>
      <c r="FX10" s="208">
        <f t="shared" si="10"/>
        <v>6.0859999999999997E-2</v>
      </c>
      <c r="FY10" s="208">
        <f t="shared" si="10"/>
        <v>6.0859999999999997E-2</v>
      </c>
      <c r="FZ10" s="208">
        <f t="shared" si="10"/>
        <v>6.0859999999999997E-2</v>
      </c>
      <c r="GA10" s="208">
        <f t="shared" si="10"/>
        <v>6.0859999999999997E-2</v>
      </c>
      <c r="GB10" s="208">
        <f t="shared" si="10"/>
        <v>6.0859999999999997E-2</v>
      </c>
      <c r="GC10" s="208">
        <f t="shared" si="10"/>
        <v>6.0859999999999997E-2</v>
      </c>
      <c r="GD10" s="208">
        <f t="shared" si="10"/>
        <v>6.0859999999999997E-2</v>
      </c>
      <c r="GE10" s="208">
        <f t="shared" si="10"/>
        <v>6.0859999999999997E-2</v>
      </c>
      <c r="GF10" s="208">
        <f t="shared" si="10"/>
        <v>6.0859999999999997E-2</v>
      </c>
      <c r="GG10" s="208">
        <f t="shared" si="10"/>
        <v>6.0859999999999997E-2</v>
      </c>
      <c r="GH10" s="208">
        <f t="shared" si="10"/>
        <v>6.0859999999999997E-2</v>
      </c>
      <c r="GI10" s="208">
        <f t="shared" si="10"/>
        <v>6.0859999999999997E-2</v>
      </c>
      <c r="GJ10" s="208">
        <f t="shared" si="10"/>
        <v>6.0859999999999997E-2</v>
      </c>
      <c r="GK10" s="208">
        <f t="shared" si="10"/>
        <v>6.0859999999999997E-2</v>
      </c>
      <c r="GL10" s="208">
        <f t="shared" si="10"/>
        <v>6.0859999999999997E-2</v>
      </c>
      <c r="GM10" s="208">
        <f t="shared" si="10"/>
        <v>6.0859999999999997E-2</v>
      </c>
      <c r="GN10" s="208">
        <f t="shared" si="10"/>
        <v>6.0859999999999997E-2</v>
      </c>
      <c r="GO10" s="208">
        <f t="shared" si="10"/>
        <v>6.0859999999999997E-2</v>
      </c>
      <c r="GP10" s="208">
        <f t="shared" ref="GP10:GW10" si="11">ROUND(MIN(1,GO10+GP8),5)</f>
        <v>6.0859999999999997E-2</v>
      </c>
      <c r="GQ10" s="208">
        <f t="shared" si="11"/>
        <v>6.0859999999999997E-2</v>
      </c>
      <c r="GR10" s="208">
        <f t="shared" si="11"/>
        <v>6.0859999999999997E-2</v>
      </c>
      <c r="GS10" s="208">
        <f t="shared" si="11"/>
        <v>6.0859999999999997E-2</v>
      </c>
      <c r="GT10" s="208">
        <f t="shared" si="11"/>
        <v>6.0859999999999997E-2</v>
      </c>
      <c r="GU10" s="208">
        <f t="shared" si="11"/>
        <v>6.0859999999999997E-2</v>
      </c>
      <c r="GV10" s="208">
        <f t="shared" si="11"/>
        <v>6.0859999999999997E-2</v>
      </c>
      <c r="GW10" s="209">
        <f t="shared" si="11"/>
        <v>6.0859999999999997E-2</v>
      </c>
      <c r="GX10" s="79"/>
      <c r="HA10" s="102"/>
    </row>
    <row r="11" spans="1:209" s="95" customFormat="1" ht="20.100000000000001" customHeight="1">
      <c r="A11" s="93" t="s">
        <v>86</v>
      </c>
      <c r="B11" s="98" t="s">
        <v>87</v>
      </c>
      <c r="C11" s="99" t="s">
        <v>234</v>
      </c>
      <c r="D11" s="100" t="s">
        <v>233</v>
      </c>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97"/>
      <c r="GI11" s="197"/>
      <c r="GJ11" s="197"/>
      <c r="GK11" s="197"/>
      <c r="GL11" s="197"/>
      <c r="GM11" s="197"/>
      <c r="GN11" s="197"/>
      <c r="GO11" s="197"/>
      <c r="GP11" s="197"/>
      <c r="GQ11" s="197"/>
      <c r="GR11" s="197"/>
      <c r="GS11" s="197"/>
      <c r="GT11" s="197"/>
      <c r="GU11" s="197"/>
      <c r="GV11" s="197"/>
      <c r="GW11" s="197"/>
      <c r="HA11" s="102"/>
    </row>
    <row r="12" spans="1:209" s="101" customFormat="1" ht="20.100000000000001" customHeight="1" thickBot="1">
      <c r="A12" s="121" t="s">
        <v>97</v>
      </c>
      <c r="B12" s="121" t="s">
        <v>209</v>
      </c>
      <c r="C12" s="121" t="s">
        <v>210</v>
      </c>
      <c r="D12" s="121" t="s">
        <v>99</v>
      </c>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c r="DO12" s="122"/>
      <c r="DP12" s="122"/>
      <c r="DQ12" s="122"/>
      <c r="DR12" s="122"/>
      <c r="DS12" s="122"/>
      <c r="DT12" s="122"/>
      <c r="DU12" s="122"/>
      <c r="DV12" s="122"/>
      <c r="DW12" s="122"/>
      <c r="DX12" s="122"/>
      <c r="DY12" s="122"/>
      <c r="DZ12" s="122"/>
      <c r="EA12" s="122"/>
      <c r="EB12" s="122"/>
      <c r="EC12" s="122"/>
      <c r="ED12" s="122"/>
      <c r="EE12" s="122"/>
      <c r="EF12" s="123"/>
      <c r="EG12" s="123"/>
      <c r="EH12" s="123"/>
      <c r="EI12" s="123"/>
      <c r="EJ12" s="123"/>
      <c r="EK12" s="123"/>
      <c r="EL12" s="122"/>
      <c r="EM12" s="122"/>
      <c r="EN12" s="122"/>
      <c r="EO12" s="122"/>
      <c r="EP12" s="122"/>
      <c r="EQ12" s="122"/>
      <c r="ER12" s="122"/>
      <c r="ES12" s="122"/>
      <c r="ET12" s="122"/>
      <c r="EU12" s="122"/>
      <c r="EV12" s="122"/>
      <c r="EW12" s="122"/>
      <c r="EX12" s="122"/>
      <c r="EY12" s="122"/>
      <c r="EZ12" s="122"/>
      <c r="FA12" s="122"/>
      <c r="FB12" s="122"/>
      <c r="FC12" s="122"/>
      <c r="FD12" s="122"/>
      <c r="FE12" s="122"/>
      <c r="FF12" s="122"/>
      <c r="FG12" s="122"/>
      <c r="FH12" s="122"/>
      <c r="FI12" s="122"/>
      <c r="FJ12" s="122"/>
      <c r="FK12" s="122"/>
      <c r="FL12" s="122"/>
      <c r="FM12" s="124"/>
      <c r="FN12" s="125"/>
      <c r="FO12" s="122"/>
      <c r="FP12" s="122"/>
      <c r="FQ12" s="122"/>
      <c r="FR12" s="122"/>
      <c r="FS12" s="122"/>
      <c r="FT12" s="122"/>
      <c r="FU12" s="122"/>
      <c r="FV12" s="122"/>
      <c r="FW12" s="122"/>
      <c r="FX12" s="122"/>
      <c r="FY12" s="122"/>
      <c r="FZ12" s="122"/>
      <c r="GA12" s="122"/>
      <c r="GB12" s="122"/>
      <c r="GC12" s="122"/>
      <c r="GD12" s="122"/>
      <c r="GE12" s="122"/>
      <c r="GF12" s="122"/>
      <c r="GG12" s="122"/>
      <c r="GH12" s="122"/>
      <c r="GI12" s="122"/>
      <c r="GJ12" s="122"/>
      <c r="GK12" s="122"/>
      <c r="GL12" s="122"/>
      <c r="GM12" s="122"/>
      <c r="GN12" s="122"/>
      <c r="GO12" s="122"/>
      <c r="GP12" s="122"/>
      <c r="GQ12" s="122"/>
      <c r="GR12" s="122"/>
      <c r="GS12" s="122"/>
      <c r="GT12" s="122"/>
      <c r="GU12" s="122"/>
      <c r="GV12" s="122"/>
      <c r="GW12" s="122"/>
      <c r="GX12" s="127" t="s">
        <v>235</v>
      </c>
      <c r="GY12" s="130" t="s">
        <v>79</v>
      </c>
      <c r="GZ12" s="130" t="s">
        <v>211</v>
      </c>
      <c r="HA12" s="131" t="s">
        <v>212</v>
      </c>
    </row>
    <row r="13" spans="1:209" ht="38.450000000000003" customHeight="1" thickBot="1">
      <c r="A13" s="193">
        <v>1</v>
      </c>
      <c r="B13" s="194" t="str">
        <f>標單!C7</f>
        <v>乙種施工圍籬、警示帶、安全警示燈等安全措施(租用)</v>
      </c>
      <c r="C13" s="195">
        <f>標單!E7</f>
        <v>1</v>
      </c>
      <c r="D13" s="196" t="str">
        <f>標單!D7</f>
        <v>式</v>
      </c>
      <c r="E13" s="126">
        <v>1</v>
      </c>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c r="BK13" s="126"/>
      <c r="BL13" s="126"/>
      <c r="BM13" s="126"/>
      <c r="BN13" s="126"/>
      <c r="BO13" s="126"/>
      <c r="BP13" s="126"/>
      <c r="BQ13" s="126"/>
      <c r="BR13" s="126"/>
      <c r="BS13" s="126"/>
      <c r="BT13" s="126"/>
      <c r="BU13" s="126"/>
      <c r="BV13" s="126"/>
      <c r="BW13" s="126"/>
      <c r="BX13" s="126"/>
      <c r="BY13" s="126"/>
      <c r="BZ13" s="126"/>
      <c r="CA13" s="126"/>
      <c r="CB13" s="126"/>
      <c r="CC13" s="126"/>
      <c r="CD13" s="126"/>
      <c r="CE13" s="126"/>
      <c r="CF13" s="126"/>
      <c r="CG13" s="126"/>
      <c r="CH13" s="126"/>
      <c r="CI13" s="126"/>
      <c r="CJ13" s="126"/>
      <c r="CK13" s="126"/>
      <c r="CL13" s="126"/>
      <c r="CM13" s="126"/>
      <c r="CN13" s="126"/>
      <c r="CO13" s="126"/>
      <c r="CP13" s="126"/>
      <c r="CQ13" s="126"/>
      <c r="CR13" s="126"/>
      <c r="CS13" s="126"/>
      <c r="CT13" s="126"/>
      <c r="CU13" s="126"/>
      <c r="CV13" s="126"/>
      <c r="CW13" s="126"/>
      <c r="CX13" s="126"/>
      <c r="CY13" s="126"/>
      <c r="CZ13" s="126"/>
      <c r="DA13" s="126"/>
      <c r="DB13" s="126"/>
      <c r="DC13" s="126"/>
      <c r="DD13" s="126"/>
      <c r="DE13" s="126"/>
      <c r="DF13" s="126"/>
      <c r="DG13" s="126"/>
      <c r="DH13" s="126"/>
      <c r="DI13" s="126"/>
      <c r="DJ13" s="126"/>
      <c r="DK13" s="126"/>
      <c r="DL13" s="126"/>
      <c r="DM13" s="126"/>
      <c r="DN13" s="126"/>
      <c r="DO13" s="126"/>
      <c r="DP13" s="126"/>
      <c r="DQ13" s="126"/>
      <c r="DR13" s="126"/>
      <c r="DS13" s="126"/>
      <c r="DT13" s="126"/>
      <c r="DU13" s="126"/>
      <c r="DV13" s="126"/>
      <c r="DW13" s="126"/>
      <c r="DX13" s="126"/>
      <c r="DY13" s="126"/>
      <c r="DZ13" s="126"/>
      <c r="EA13" s="126"/>
      <c r="EB13" s="126"/>
      <c r="EC13" s="126"/>
      <c r="ED13" s="126"/>
      <c r="EE13" s="126"/>
      <c r="EF13" s="126"/>
      <c r="EG13" s="126"/>
      <c r="EH13" s="126"/>
      <c r="EI13" s="126"/>
      <c r="EJ13" s="126"/>
      <c r="EK13" s="126"/>
      <c r="EL13" s="126"/>
      <c r="EM13" s="126"/>
      <c r="EN13" s="126"/>
      <c r="EO13" s="126"/>
      <c r="EP13" s="126"/>
      <c r="EQ13" s="126"/>
      <c r="ER13" s="126"/>
      <c r="ES13" s="126"/>
      <c r="ET13" s="126"/>
      <c r="EU13" s="126"/>
      <c r="EV13" s="126"/>
      <c r="EW13" s="126"/>
      <c r="EX13" s="126"/>
      <c r="EY13" s="126"/>
      <c r="EZ13" s="126"/>
      <c r="FA13" s="126"/>
      <c r="FB13" s="126"/>
      <c r="FC13" s="126"/>
      <c r="FD13" s="126"/>
      <c r="FE13" s="126"/>
      <c r="FF13" s="126"/>
      <c r="FG13" s="126"/>
      <c r="FH13" s="126"/>
      <c r="FI13" s="126"/>
      <c r="FJ13" s="126"/>
      <c r="FK13" s="126"/>
      <c r="FL13" s="126"/>
      <c r="FM13" s="126"/>
      <c r="FN13" s="126"/>
      <c r="FO13" s="126"/>
      <c r="FP13" s="126"/>
      <c r="FQ13" s="126"/>
      <c r="FR13" s="126"/>
      <c r="FS13" s="126"/>
      <c r="FT13" s="126"/>
      <c r="FU13" s="126"/>
      <c r="FV13" s="126"/>
      <c r="FW13" s="126"/>
      <c r="FX13" s="126"/>
      <c r="FY13" s="126"/>
      <c r="FZ13" s="126"/>
      <c r="GA13" s="126"/>
      <c r="GB13" s="126"/>
      <c r="GC13" s="126"/>
      <c r="GD13" s="126"/>
      <c r="GE13" s="126"/>
      <c r="GF13" s="126"/>
      <c r="GG13" s="126"/>
      <c r="GH13" s="126"/>
      <c r="GI13" s="126"/>
      <c r="GJ13" s="126"/>
      <c r="GK13" s="126"/>
      <c r="GL13" s="126"/>
      <c r="GM13" s="126"/>
      <c r="GN13" s="126"/>
      <c r="GO13" s="126"/>
      <c r="GP13" s="126"/>
      <c r="GQ13" s="126"/>
      <c r="GR13" s="126"/>
      <c r="GS13" s="126"/>
      <c r="GT13" s="126"/>
      <c r="GU13" s="126"/>
      <c r="GV13" s="126"/>
      <c r="GW13" s="126"/>
      <c r="GX13" s="128">
        <f>SUM(E13:GW13)</f>
        <v>1</v>
      </c>
      <c r="GY13" s="132">
        <f>標單!F7</f>
        <v>4908</v>
      </c>
      <c r="GZ13" s="132">
        <f>標單!G7</f>
        <v>4908</v>
      </c>
      <c r="HA13" s="104">
        <f t="shared" ref="HA13:HA50" si="12">ROUND(GZ13/$B$3,5)</f>
        <v>9.5E-4</v>
      </c>
    </row>
    <row r="14" spans="1:209" ht="38.450000000000003" customHeight="1" thickBot="1">
      <c r="A14" s="193">
        <v>2</v>
      </c>
      <c r="B14" s="194" t="str">
        <f>標單!C8</f>
        <v>工程告示牌與職安衛告示牌(租用)</v>
      </c>
      <c r="C14" s="195">
        <f>標單!E8</f>
        <v>1</v>
      </c>
      <c r="D14" s="196" t="str">
        <f>標單!D8</f>
        <v>式</v>
      </c>
      <c r="E14" s="126">
        <v>1</v>
      </c>
      <c r="F14" s="126"/>
      <c r="G14" s="126"/>
      <c r="H14" s="126"/>
      <c r="I14" s="126"/>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c r="BK14" s="126"/>
      <c r="BL14" s="126"/>
      <c r="BM14" s="126"/>
      <c r="BN14" s="126"/>
      <c r="BO14" s="126"/>
      <c r="BP14" s="126"/>
      <c r="BQ14" s="126"/>
      <c r="BR14" s="126"/>
      <c r="BS14" s="126"/>
      <c r="BT14" s="126"/>
      <c r="BU14" s="126"/>
      <c r="BV14" s="126"/>
      <c r="BW14" s="126"/>
      <c r="BX14" s="126"/>
      <c r="BY14" s="126"/>
      <c r="BZ14" s="126"/>
      <c r="CA14" s="126"/>
      <c r="CB14" s="126"/>
      <c r="CC14" s="126"/>
      <c r="CD14" s="126"/>
      <c r="CE14" s="126"/>
      <c r="CF14" s="126"/>
      <c r="CG14" s="126"/>
      <c r="CH14" s="126"/>
      <c r="CI14" s="126"/>
      <c r="CJ14" s="126"/>
      <c r="CK14" s="126"/>
      <c r="CL14" s="126"/>
      <c r="CM14" s="126"/>
      <c r="CN14" s="126"/>
      <c r="CO14" s="126"/>
      <c r="CP14" s="126"/>
      <c r="CQ14" s="126"/>
      <c r="CR14" s="126"/>
      <c r="CS14" s="126"/>
      <c r="CT14" s="126"/>
      <c r="CU14" s="126"/>
      <c r="CV14" s="126"/>
      <c r="CW14" s="126"/>
      <c r="CX14" s="126"/>
      <c r="CY14" s="126"/>
      <c r="CZ14" s="126"/>
      <c r="DA14" s="126"/>
      <c r="DB14" s="126"/>
      <c r="DC14" s="126"/>
      <c r="DD14" s="126"/>
      <c r="DE14" s="126"/>
      <c r="DF14" s="126"/>
      <c r="DG14" s="126"/>
      <c r="DH14" s="126"/>
      <c r="DI14" s="126"/>
      <c r="DJ14" s="126"/>
      <c r="DK14" s="126"/>
      <c r="DL14" s="126"/>
      <c r="DM14" s="126"/>
      <c r="DN14" s="126"/>
      <c r="DO14" s="126"/>
      <c r="DP14" s="126"/>
      <c r="DQ14" s="126"/>
      <c r="DR14" s="126"/>
      <c r="DS14" s="126"/>
      <c r="DT14" s="126"/>
      <c r="DU14" s="126"/>
      <c r="DV14" s="126"/>
      <c r="DW14" s="126"/>
      <c r="DX14" s="126"/>
      <c r="DY14" s="126"/>
      <c r="DZ14" s="126"/>
      <c r="EA14" s="126"/>
      <c r="EB14" s="126"/>
      <c r="EC14" s="126"/>
      <c r="ED14" s="126"/>
      <c r="EE14" s="126"/>
      <c r="EF14" s="126"/>
      <c r="EG14" s="126"/>
      <c r="EH14" s="126"/>
      <c r="EI14" s="126"/>
      <c r="EJ14" s="126"/>
      <c r="EK14" s="126"/>
      <c r="EL14" s="126"/>
      <c r="EM14" s="126"/>
      <c r="EN14" s="126"/>
      <c r="EO14" s="126"/>
      <c r="EP14" s="126"/>
      <c r="EQ14" s="126"/>
      <c r="ER14" s="126"/>
      <c r="ES14" s="126"/>
      <c r="ET14" s="126"/>
      <c r="EU14" s="126"/>
      <c r="EV14" s="126"/>
      <c r="EW14" s="126"/>
      <c r="EX14" s="126"/>
      <c r="EY14" s="126"/>
      <c r="EZ14" s="126"/>
      <c r="FA14" s="126"/>
      <c r="FB14" s="126"/>
      <c r="FC14" s="126"/>
      <c r="FD14" s="126"/>
      <c r="FE14" s="126"/>
      <c r="FF14" s="126"/>
      <c r="FG14" s="126"/>
      <c r="FH14" s="126"/>
      <c r="FI14" s="126"/>
      <c r="FJ14" s="126"/>
      <c r="FK14" s="126"/>
      <c r="FL14" s="126"/>
      <c r="FM14" s="126"/>
      <c r="FN14" s="126"/>
      <c r="FO14" s="126"/>
      <c r="FP14" s="126"/>
      <c r="FQ14" s="126"/>
      <c r="FR14" s="126"/>
      <c r="FS14" s="126"/>
      <c r="FT14" s="126"/>
      <c r="FU14" s="126"/>
      <c r="FV14" s="126"/>
      <c r="FW14" s="126"/>
      <c r="FX14" s="126"/>
      <c r="FY14" s="126"/>
      <c r="FZ14" s="126"/>
      <c r="GA14" s="126"/>
      <c r="GB14" s="126"/>
      <c r="GC14" s="126"/>
      <c r="GD14" s="126"/>
      <c r="GE14" s="126"/>
      <c r="GF14" s="126"/>
      <c r="GG14" s="126"/>
      <c r="GH14" s="126"/>
      <c r="GI14" s="126"/>
      <c r="GJ14" s="126"/>
      <c r="GK14" s="126"/>
      <c r="GL14" s="126"/>
      <c r="GM14" s="126"/>
      <c r="GN14" s="126"/>
      <c r="GO14" s="126"/>
      <c r="GP14" s="126"/>
      <c r="GQ14" s="126"/>
      <c r="GR14" s="126"/>
      <c r="GS14" s="126"/>
      <c r="GT14" s="126"/>
      <c r="GU14" s="126"/>
      <c r="GV14" s="126"/>
      <c r="GW14" s="126"/>
      <c r="GX14" s="128">
        <f t="shared" ref="GX14:GX50" si="13">SUM(E14:GW14)</f>
        <v>1</v>
      </c>
      <c r="GY14" s="132">
        <f>標單!F8</f>
        <v>4908</v>
      </c>
      <c r="GZ14" s="132">
        <f>標單!G8</f>
        <v>4908</v>
      </c>
      <c r="HA14" s="104">
        <f t="shared" si="12"/>
        <v>9.5E-4</v>
      </c>
    </row>
    <row r="15" spans="1:209" ht="38.450000000000003" customHeight="1" thickBot="1">
      <c r="A15" s="193">
        <v>3</v>
      </c>
      <c r="B15" s="194" t="str">
        <f>標單!C9</f>
        <v>施工動線開闢與損壞復原，既有設備管線遷移與復原；測量與放樣</v>
      </c>
      <c r="C15" s="195">
        <f>標單!E9</f>
        <v>1</v>
      </c>
      <c r="D15" s="196" t="str">
        <f>標單!D9</f>
        <v>式</v>
      </c>
      <c r="E15" s="126"/>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c r="BK15" s="126"/>
      <c r="BL15" s="126"/>
      <c r="BM15" s="126"/>
      <c r="BN15" s="126"/>
      <c r="BO15" s="126"/>
      <c r="BP15" s="126"/>
      <c r="BQ15" s="126"/>
      <c r="BR15" s="126"/>
      <c r="BS15" s="126"/>
      <c r="BT15" s="126"/>
      <c r="BU15" s="126"/>
      <c r="BV15" s="126"/>
      <c r="BW15" s="126"/>
      <c r="BX15" s="126"/>
      <c r="BY15" s="126"/>
      <c r="BZ15" s="126"/>
      <c r="CA15" s="126"/>
      <c r="CB15" s="126"/>
      <c r="CC15" s="126"/>
      <c r="CD15" s="126"/>
      <c r="CE15" s="126"/>
      <c r="CF15" s="126"/>
      <c r="CG15" s="126"/>
      <c r="CH15" s="126"/>
      <c r="CI15" s="126"/>
      <c r="CJ15" s="126"/>
      <c r="CK15" s="126"/>
      <c r="CL15" s="126"/>
      <c r="CM15" s="126"/>
      <c r="CN15" s="126"/>
      <c r="CO15" s="126"/>
      <c r="CP15" s="126"/>
      <c r="CQ15" s="126"/>
      <c r="CR15" s="126"/>
      <c r="CS15" s="126"/>
      <c r="CT15" s="126"/>
      <c r="CU15" s="126"/>
      <c r="CV15" s="126"/>
      <c r="CW15" s="126"/>
      <c r="CX15" s="126"/>
      <c r="CY15" s="126"/>
      <c r="CZ15" s="126"/>
      <c r="DA15" s="126"/>
      <c r="DB15" s="126"/>
      <c r="DC15" s="126"/>
      <c r="DD15" s="126"/>
      <c r="DE15" s="126"/>
      <c r="DF15" s="126"/>
      <c r="DG15" s="126"/>
      <c r="DH15" s="126"/>
      <c r="DI15" s="126"/>
      <c r="DJ15" s="126"/>
      <c r="DK15" s="126"/>
      <c r="DL15" s="126"/>
      <c r="DM15" s="126"/>
      <c r="DN15" s="126"/>
      <c r="DO15" s="126"/>
      <c r="DP15" s="126"/>
      <c r="DQ15" s="126"/>
      <c r="DR15" s="126"/>
      <c r="DS15" s="126"/>
      <c r="DT15" s="126"/>
      <c r="DU15" s="126"/>
      <c r="DV15" s="126"/>
      <c r="DW15" s="126"/>
      <c r="DX15" s="126"/>
      <c r="DY15" s="126"/>
      <c r="DZ15" s="126"/>
      <c r="EA15" s="126"/>
      <c r="EB15" s="126"/>
      <c r="EC15" s="126"/>
      <c r="ED15" s="126"/>
      <c r="EE15" s="126"/>
      <c r="EF15" s="126"/>
      <c r="EG15" s="126"/>
      <c r="EH15" s="126"/>
      <c r="EI15" s="126"/>
      <c r="EJ15" s="126"/>
      <c r="EK15" s="126"/>
      <c r="EL15" s="126"/>
      <c r="EM15" s="126"/>
      <c r="EN15" s="126"/>
      <c r="EO15" s="126"/>
      <c r="EP15" s="126"/>
      <c r="EQ15" s="126"/>
      <c r="ER15" s="126"/>
      <c r="ES15" s="126"/>
      <c r="ET15" s="126"/>
      <c r="EU15" s="126"/>
      <c r="EV15" s="126"/>
      <c r="EW15" s="126"/>
      <c r="EX15" s="126"/>
      <c r="EY15" s="126"/>
      <c r="EZ15" s="126"/>
      <c r="FA15" s="126"/>
      <c r="FB15" s="126"/>
      <c r="FC15" s="126"/>
      <c r="FD15" s="126"/>
      <c r="FE15" s="126"/>
      <c r="FF15" s="126"/>
      <c r="FG15" s="126"/>
      <c r="FH15" s="126"/>
      <c r="FI15" s="126"/>
      <c r="FJ15" s="126"/>
      <c r="FK15" s="126"/>
      <c r="FL15" s="126"/>
      <c r="FM15" s="126"/>
      <c r="FN15" s="126"/>
      <c r="FO15" s="126"/>
      <c r="FP15" s="126"/>
      <c r="FQ15" s="126"/>
      <c r="FR15" s="126"/>
      <c r="FS15" s="126"/>
      <c r="FT15" s="126"/>
      <c r="FU15" s="126"/>
      <c r="FV15" s="126"/>
      <c r="FW15" s="126"/>
      <c r="FX15" s="126"/>
      <c r="FY15" s="126"/>
      <c r="FZ15" s="126"/>
      <c r="GA15" s="126"/>
      <c r="GB15" s="126"/>
      <c r="GC15" s="126"/>
      <c r="GD15" s="126"/>
      <c r="GE15" s="126"/>
      <c r="GF15" s="126"/>
      <c r="GG15" s="126"/>
      <c r="GH15" s="126"/>
      <c r="GI15" s="126"/>
      <c r="GJ15" s="126"/>
      <c r="GK15" s="126"/>
      <c r="GL15" s="126"/>
      <c r="GM15" s="126"/>
      <c r="GN15" s="126"/>
      <c r="GO15" s="126"/>
      <c r="GP15" s="126"/>
      <c r="GQ15" s="126"/>
      <c r="GR15" s="126"/>
      <c r="GS15" s="126"/>
      <c r="GT15" s="126"/>
      <c r="GU15" s="126"/>
      <c r="GV15" s="126"/>
      <c r="GW15" s="126"/>
      <c r="GX15" s="128">
        <f t="shared" si="13"/>
        <v>0</v>
      </c>
      <c r="GY15" s="132">
        <f>標單!F9</f>
        <v>9800</v>
      </c>
      <c r="GZ15" s="132">
        <f>標單!G9</f>
        <v>9800</v>
      </c>
      <c r="HA15" s="104">
        <f t="shared" si="12"/>
        <v>1.89E-3</v>
      </c>
    </row>
    <row r="16" spans="1:209" ht="58.7" customHeight="1" thickBot="1">
      <c r="A16" s="193">
        <v>4</v>
      </c>
      <c r="B16" s="194" t="str">
        <f>標單!C10</f>
        <v>既有地坪、磁磚、衛生設備、給排水設施、搗擺及天花板等拆除(含切割)及運棄(含合法證明);環境保護與清潔</v>
      </c>
      <c r="C16" s="195">
        <f>標單!E10</f>
        <v>1</v>
      </c>
      <c r="D16" s="196" t="str">
        <f>標單!D10</f>
        <v>式</v>
      </c>
      <c r="E16" s="250"/>
      <c r="F16" s="250">
        <v>0.03</v>
      </c>
      <c r="G16" s="250">
        <v>0.03</v>
      </c>
      <c r="H16" s="250">
        <v>0.03</v>
      </c>
      <c r="I16" s="250">
        <v>0.03</v>
      </c>
      <c r="J16" s="250">
        <v>0.03</v>
      </c>
      <c r="K16" s="250">
        <v>0.03</v>
      </c>
      <c r="L16" s="250">
        <v>0.03</v>
      </c>
      <c r="M16" s="250">
        <v>0.03</v>
      </c>
      <c r="N16" s="250">
        <v>0.03</v>
      </c>
      <c r="O16" s="250">
        <v>0.03</v>
      </c>
      <c r="P16" s="250">
        <v>0.03</v>
      </c>
      <c r="Q16" s="250">
        <v>0.03</v>
      </c>
      <c r="R16" s="250">
        <v>0.03</v>
      </c>
      <c r="S16" s="250">
        <v>0.03</v>
      </c>
      <c r="T16" s="250">
        <v>0.03</v>
      </c>
      <c r="U16" s="250">
        <v>0.03</v>
      </c>
      <c r="V16" s="250">
        <v>0.03</v>
      </c>
      <c r="W16" s="250">
        <v>0.03</v>
      </c>
      <c r="X16" s="250">
        <v>0.03</v>
      </c>
      <c r="Y16" s="250"/>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c r="BK16" s="126"/>
      <c r="BL16" s="126"/>
      <c r="BM16" s="126"/>
      <c r="BN16" s="126"/>
      <c r="BO16" s="126"/>
      <c r="BP16" s="126"/>
      <c r="BQ16" s="126"/>
      <c r="BR16" s="126"/>
      <c r="BS16" s="126"/>
      <c r="BT16" s="126"/>
      <c r="BU16" s="126"/>
      <c r="BV16" s="126"/>
      <c r="BW16" s="126"/>
      <c r="BX16" s="126"/>
      <c r="BY16" s="126"/>
      <c r="BZ16" s="126"/>
      <c r="CA16" s="126"/>
      <c r="CB16" s="126"/>
      <c r="CC16" s="126"/>
      <c r="CD16" s="126"/>
      <c r="CE16" s="126"/>
      <c r="CF16" s="126"/>
      <c r="CG16" s="126"/>
      <c r="CH16" s="126"/>
      <c r="CI16" s="126"/>
      <c r="CJ16" s="126"/>
      <c r="CK16" s="126"/>
      <c r="CL16" s="126"/>
      <c r="CM16" s="126"/>
      <c r="CN16" s="126"/>
      <c r="CO16" s="126"/>
      <c r="CP16" s="126"/>
      <c r="CQ16" s="126"/>
      <c r="CR16" s="126"/>
      <c r="CS16" s="126"/>
      <c r="CT16" s="126"/>
      <c r="CU16" s="126"/>
      <c r="CV16" s="126"/>
      <c r="CW16" s="126"/>
      <c r="CX16" s="126"/>
      <c r="CY16" s="126"/>
      <c r="CZ16" s="126"/>
      <c r="DA16" s="126"/>
      <c r="DB16" s="126"/>
      <c r="DC16" s="126"/>
      <c r="DD16" s="126"/>
      <c r="DE16" s="126"/>
      <c r="DF16" s="126"/>
      <c r="DG16" s="126"/>
      <c r="DH16" s="126"/>
      <c r="DI16" s="126"/>
      <c r="DJ16" s="126"/>
      <c r="DK16" s="126"/>
      <c r="DL16" s="126"/>
      <c r="DM16" s="126"/>
      <c r="DN16" s="126"/>
      <c r="DO16" s="126"/>
      <c r="DP16" s="126"/>
      <c r="DQ16" s="126"/>
      <c r="DR16" s="126"/>
      <c r="DS16" s="126"/>
      <c r="DT16" s="126"/>
      <c r="DU16" s="126"/>
      <c r="DV16" s="126"/>
      <c r="DW16" s="126"/>
      <c r="DX16" s="126"/>
      <c r="DY16" s="126"/>
      <c r="DZ16" s="126"/>
      <c r="EA16" s="126"/>
      <c r="EB16" s="126"/>
      <c r="EC16" s="126"/>
      <c r="ED16" s="126"/>
      <c r="EE16" s="126"/>
      <c r="EF16" s="126"/>
      <c r="EG16" s="126"/>
      <c r="EH16" s="126"/>
      <c r="EI16" s="126"/>
      <c r="EJ16" s="126"/>
      <c r="EK16" s="126"/>
      <c r="EL16" s="126"/>
      <c r="EM16" s="126"/>
      <c r="EN16" s="126"/>
      <c r="EO16" s="126"/>
      <c r="EP16" s="126"/>
      <c r="EQ16" s="126"/>
      <c r="ER16" s="126"/>
      <c r="ES16" s="126"/>
      <c r="ET16" s="126"/>
      <c r="EU16" s="126"/>
      <c r="EV16" s="126"/>
      <c r="EW16" s="126"/>
      <c r="EX16" s="126"/>
      <c r="EY16" s="126"/>
      <c r="EZ16" s="126"/>
      <c r="FA16" s="126"/>
      <c r="FB16" s="126"/>
      <c r="FC16" s="126"/>
      <c r="FD16" s="126"/>
      <c r="FE16" s="126"/>
      <c r="FF16" s="126"/>
      <c r="FG16" s="126"/>
      <c r="FH16" s="126"/>
      <c r="FI16" s="126"/>
      <c r="FJ16" s="126"/>
      <c r="FK16" s="126"/>
      <c r="FL16" s="126"/>
      <c r="FM16" s="126"/>
      <c r="FN16" s="126"/>
      <c r="FO16" s="126"/>
      <c r="FP16" s="126"/>
      <c r="FQ16" s="126"/>
      <c r="FR16" s="126"/>
      <c r="FS16" s="126"/>
      <c r="FT16" s="126"/>
      <c r="FU16" s="126"/>
      <c r="FV16" s="126"/>
      <c r="FW16" s="126"/>
      <c r="FX16" s="126"/>
      <c r="FY16" s="126"/>
      <c r="FZ16" s="126"/>
      <c r="GA16" s="126"/>
      <c r="GB16" s="126"/>
      <c r="GC16" s="126"/>
      <c r="GD16" s="126"/>
      <c r="GE16" s="126"/>
      <c r="GF16" s="126"/>
      <c r="GG16" s="126"/>
      <c r="GH16" s="126"/>
      <c r="GI16" s="126"/>
      <c r="GJ16" s="126"/>
      <c r="GK16" s="126"/>
      <c r="GL16" s="126"/>
      <c r="GM16" s="126"/>
      <c r="GN16" s="126"/>
      <c r="GO16" s="126"/>
      <c r="GP16" s="126"/>
      <c r="GQ16" s="126"/>
      <c r="GR16" s="126"/>
      <c r="GS16" s="126"/>
      <c r="GT16" s="126"/>
      <c r="GU16" s="126"/>
      <c r="GV16" s="126"/>
      <c r="GW16" s="126"/>
      <c r="GX16" s="128">
        <f t="shared" si="13"/>
        <v>0.57000000000000028</v>
      </c>
      <c r="GY16" s="132">
        <f>標單!F10</f>
        <v>433100</v>
      </c>
      <c r="GZ16" s="132">
        <f>標單!G10</f>
        <v>433100</v>
      </c>
      <c r="HA16" s="104">
        <f t="shared" si="12"/>
        <v>8.3610000000000004E-2</v>
      </c>
    </row>
    <row r="17" spans="1:209" ht="58.7" customHeight="1" thickBot="1">
      <c r="A17" s="193">
        <v>5</v>
      </c>
      <c r="B17" s="194" t="str">
        <f>標單!C11</f>
        <v>既有污水處理設施抽水肥(含清潔孔開挖與復原)</v>
      </c>
      <c r="C17" s="195">
        <f>標單!E11</f>
        <v>1</v>
      </c>
      <c r="D17" s="196" t="str">
        <f>標單!D11</f>
        <v>式</v>
      </c>
      <c r="E17" s="126"/>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c r="BK17" s="126"/>
      <c r="BL17" s="126"/>
      <c r="BM17" s="126"/>
      <c r="BN17" s="126"/>
      <c r="BO17" s="126"/>
      <c r="BP17" s="126"/>
      <c r="BQ17" s="126"/>
      <c r="BR17" s="126"/>
      <c r="BS17" s="126"/>
      <c r="BT17" s="126"/>
      <c r="BU17" s="126"/>
      <c r="BV17" s="126"/>
      <c r="BW17" s="126"/>
      <c r="BX17" s="126"/>
      <c r="BY17" s="126"/>
      <c r="BZ17" s="126"/>
      <c r="CA17" s="126"/>
      <c r="CB17" s="126"/>
      <c r="CC17" s="126"/>
      <c r="CD17" s="126"/>
      <c r="CE17" s="126"/>
      <c r="CF17" s="126"/>
      <c r="CG17" s="126"/>
      <c r="CH17" s="126"/>
      <c r="CI17" s="126"/>
      <c r="CJ17" s="126"/>
      <c r="CK17" s="126"/>
      <c r="CL17" s="126"/>
      <c r="CM17" s="126"/>
      <c r="CN17" s="126"/>
      <c r="CO17" s="126"/>
      <c r="CP17" s="126"/>
      <c r="CQ17" s="126"/>
      <c r="CR17" s="126"/>
      <c r="CS17" s="126"/>
      <c r="CT17" s="126"/>
      <c r="CU17" s="126"/>
      <c r="CV17" s="126"/>
      <c r="CW17" s="126"/>
      <c r="CX17" s="126"/>
      <c r="CY17" s="126"/>
      <c r="CZ17" s="126"/>
      <c r="DA17" s="126"/>
      <c r="DB17" s="126"/>
      <c r="DC17" s="126"/>
      <c r="DD17" s="126"/>
      <c r="DE17" s="126"/>
      <c r="DF17" s="126"/>
      <c r="DG17" s="126"/>
      <c r="DH17" s="126"/>
      <c r="DI17" s="126"/>
      <c r="DJ17" s="126"/>
      <c r="DK17" s="126"/>
      <c r="DL17" s="126"/>
      <c r="DM17" s="126"/>
      <c r="DN17" s="126"/>
      <c r="DO17" s="126"/>
      <c r="DP17" s="126"/>
      <c r="DQ17" s="126"/>
      <c r="DR17" s="126"/>
      <c r="DS17" s="126"/>
      <c r="DT17" s="126"/>
      <c r="DU17" s="126"/>
      <c r="DV17" s="126"/>
      <c r="DW17" s="126"/>
      <c r="DX17" s="126"/>
      <c r="DY17" s="126"/>
      <c r="DZ17" s="126"/>
      <c r="EA17" s="126"/>
      <c r="EB17" s="126"/>
      <c r="EC17" s="126"/>
      <c r="ED17" s="126"/>
      <c r="EE17" s="126"/>
      <c r="EF17" s="126"/>
      <c r="EG17" s="126"/>
      <c r="EH17" s="126"/>
      <c r="EI17" s="126"/>
      <c r="EJ17" s="126"/>
      <c r="EK17" s="126"/>
      <c r="EL17" s="126"/>
      <c r="EM17" s="126"/>
      <c r="EN17" s="126"/>
      <c r="EO17" s="126"/>
      <c r="EP17" s="126"/>
      <c r="EQ17" s="126"/>
      <c r="ER17" s="126"/>
      <c r="ES17" s="126"/>
      <c r="ET17" s="126"/>
      <c r="EU17" s="126"/>
      <c r="EV17" s="126"/>
      <c r="EW17" s="126"/>
      <c r="EX17" s="126"/>
      <c r="EY17" s="126"/>
      <c r="EZ17" s="126"/>
      <c r="FA17" s="126"/>
      <c r="FB17" s="126"/>
      <c r="FC17" s="126"/>
      <c r="FD17" s="126"/>
      <c r="FE17" s="126"/>
      <c r="FF17" s="126"/>
      <c r="FG17" s="126"/>
      <c r="FH17" s="126"/>
      <c r="FI17" s="126"/>
      <c r="FJ17" s="126"/>
      <c r="FK17" s="126"/>
      <c r="FL17" s="126"/>
      <c r="FM17" s="126"/>
      <c r="FN17" s="126"/>
      <c r="FO17" s="126"/>
      <c r="FP17" s="126"/>
      <c r="FQ17" s="126"/>
      <c r="FR17" s="126"/>
      <c r="FS17" s="126"/>
      <c r="FT17" s="126"/>
      <c r="FU17" s="126"/>
      <c r="FV17" s="126"/>
      <c r="FW17" s="126"/>
      <c r="FX17" s="126"/>
      <c r="FY17" s="126"/>
      <c r="FZ17" s="126"/>
      <c r="GA17" s="126"/>
      <c r="GB17" s="126"/>
      <c r="GC17" s="126"/>
      <c r="GD17" s="126"/>
      <c r="GE17" s="126"/>
      <c r="GF17" s="126"/>
      <c r="GG17" s="126"/>
      <c r="GH17" s="126"/>
      <c r="GI17" s="126"/>
      <c r="GJ17" s="126"/>
      <c r="GK17" s="126"/>
      <c r="GL17" s="126"/>
      <c r="GM17" s="126"/>
      <c r="GN17" s="126"/>
      <c r="GO17" s="126"/>
      <c r="GP17" s="126"/>
      <c r="GQ17" s="126"/>
      <c r="GR17" s="126"/>
      <c r="GS17" s="126"/>
      <c r="GT17" s="126"/>
      <c r="GU17" s="126"/>
      <c r="GV17" s="126"/>
      <c r="GW17" s="126"/>
      <c r="GX17" s="128">
        <f t="shared" si="13"/>
        <v>0</v>
      </c>
      <c r="GY17" s="132">
        <f>標單!F11</f>
        <v>8834</v>
      </c>
      <c r="GZ17" s="132">
        <f>標單!G11</f>
        <v>8834</v>
      </c>
      <c r="HA17" s="104">
        <f t="shared" si="12"/>
        <v>1.7099999999999999E-3</v>
      </c>
    </row>
    <row r="18" spans="1:209" ht="38.450000000000003" customHeight="1" thickBot="1">
      <c r="A18" s="193">
        <v>6</v>
      </c>
      <c r="B18" s="194" t="str">
        <f>標單!C12</f>
        <v>地坪與蹲便台階增築</v>
      </c>
      <c r="C18" s="195">
        <f>標單!E12</f>
        <v>1</v>
      </c>
      <c r="D18" s="196" t="str">
        <f>標單!D12</f>
        <v>式</v>
      </c>
      <c r="E18" s="126"/>
      <c r="F18" s="126"/>
      <c r="G18" s="126"/>
      <c r="H18" s="126"/>
      <c r="I18" s="126"/>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c r="BK18" s="126"/>
      <c r="BL18" s="126"/>
      <c r="BM18" s="126"/>
      <c r="BN18" s="126"/>
      <c r="BO18" s="126"/>
      <c r="BP18" s="126"/>
      <c r="BQ18" s="126"/>
      <c r="BR18" s="126"/>
      <c r="BS18" s="126"/>
      <c r="BT18" s="126"/>
      <c r="BU18" s="126"/>
      <c r="BV18" s="126"/>
      <c r="BW18" s="126"/>
      <c r="BX18" s="126"/>
      <c r="BY18" s="126"/>
      <c r="BZ18" s="126"/>
      <c r="CA18" s="126"/>
      <c r="CB18" s="126"/>
      <c r="CC18" s="126"/>
      <c r="CD18" s="126"/>
      <c r="CE18" s="126"/>
      <c r="CF18" s="126"/>
      <c r="CG18" s="126"/>
      <c r="CH18" s="126"/>
      <c r="CI18" s="126"/>
      <c r="CJ18" s="126"/>
      <c r="CK18" s="126"/>
      <c r="CL18" s="126"/>
      <c r="CM18" s="126"/>
      <c r="CN18" s="126"/>
      <c r="CO18" s="126"/>
      <c r="CP18" s="126"/>
      <c r="CQ18" s="126"/>
      <c r="CR18" s="126"/>
      <c r="CS18" s="126"/>
      <c r="CT18" s="126"/>
      <c r="CU18" s="126"/>
      <c r="CV18" s="126"/>
      <c r="CW18" s="126"/>
      <c r="CX18" s="126"/>
      <c r="CY18" s="126"/>
      <c r="CZ18" s="126"/>
      <c r="DA18" s="126"/>
      <c r="DB18" s="126"/>
      <c r="DC18" s="126"/>
      <c r="DD18" s="126"/>
      <c r="DE18" s="126"/>
      <c r="DF18" s="126"/>
      <c r="DG18" s="126"/>
      <c r="DH18" s="126"/>
      <c r="DI18" s="126"/>
      <c r="DJ18" s="126"/>
      <c r="DK18" s="126"/>
      <c r="DL18" s="126"/>
      <c r="DM18" s="126"/>
      <c r="DN18" s="126"/>
      <c r="DO18" s="126"/>
      <c r="DP18" s="126"/>
      <c r="DQ18" s="126"/>
      <c r="DR18" s="126"/>
      <c r="DS18" s="126"/>
      <c r="DT18" s="126"/>
      <c r="DU18" s="126"/>
      <c r="DV18" s="126"/>
      <c r="DW18" s="126"/>
      <c r="DX18" s="126"/>
      <c r="DY18" s="126"/>
      <c r="DZ18" s="126"/>
      <c r="EA18" s="126"/>
      <c r="EB18" s="126"/>
      <c r="EC18" s="126"/>
      <c r="ED18" s="126"/>
      <c r="EE18" s="126"/>
      <c r="EF18" s="126"/>
      <c r="EG18" s="126"/>
      <c r="EH18" s="126"/>
      <c r="EI18" s="126"/>
      <c r="EJ18" s="126"/>
      <c r="EK18" s="126"/>
      <c r="EL18" s="126"/>
      <c r="EM18" s="126"/>
      <c r="EN18" s="126"/>
      <c r="EO18" s="126"/>
      <c r="EP18" s="126"/>
      <c r="EQ18" s="126"/>
      <c r="ER18" s="126"/>
      <c r="ES18" s="126"/>
      <c r="ET18" s="126"/>
      <c r="EU18" s="126"/>
      <c r="EV18" s="126"/>
      <c r="EW18" s="126"/>
      <c r="EX18" s="126"/>
      <c r="EY18" s="126"/>
      <c r="EZ18" s="126"/>
      <c r="FA18" s="126"/>
      <c r="FB18" s="126"/>
      <c r="FC18" s="126"/>
      <c r="FD18" s="126"/>
      <c r="FE18" s="126"/>
      <c r="FF18" s="126"/>
      <c r="FG18" s="126"/>
      <c r="FH18" s="126"/>
      <c r="FI18" s="126"/>
      <c r="FJ18" s="126"/>
      <c r="FK18" s="126"/>
      <c r="FL18" s="126"/>
      <c r="FM18" s="126"/>
      <c r="FN18" s="126"/>
      <c r="FO18" s="126"/>
      <c r="FP18" s="126"/>
      <c r="FQ18" s="126"/>
      <c r="FR18" s="126"/>
      <c r="FS18" s="126"/>
      <c r="FT18" s="126"/>
      <c r="FU18" s="126"/>
      <c r="FV18" s="126"/>
      <c r="FW18" s="126"/>
      <c r="FX18" s="126"/>
      <c r="FY18" s="126"/>
      <c r="FZ18" s="126"/>
      <c r="GA18" s="126"/>
      <c r="GB18" s="126"/>
      <c r="GC18" s="126"/>
      <c r="GD18" s="126"/>
      <c r="GE18" s="126"/>
      <c r="GF18" s="126"/>
      <c r="GG18" s="126"/>
      <c r="GH18" s="126"/>
      <c r="GI18" s="126"/>
      <c r="GJ18" s="126"/>
      <c r="GK18" s="126"/>
      <c r="GL18" s="126"/>
      <c r="GM18" s="126"/>
      <c r="GN18" s="126"/>
      <c r="GO18" s="126"/>
      <c r="GP18" s="126"/>
      <c r="GQ18" s="126"/>
      <c r="GR18" s="126"/>
      <c r="GS18" s="126"/>
      <c r="GT18" s="126"/>
      <c r="GU18" s="126"/>
      <c r="GV18" s="126"/>
      <c r="GW18" s="126"/>
      <c r="GX18" s="128">
        <f t="shared" si="13"/>
        <v>0</v>
      </c>
      <c r="GY18" s="132">
        <f>標單!F12</f>
        <v>82420</v>
      </c>
      <c r="GZ18" s="132">
        <f>標單!G12</f>
        <v>82420</v>
      </c>
      <c r="HA18" s="104">
        <f t="shared" si="12"/>
        <v>1.5910000000000001E-2</v>
      </c>
    </row>
    <row r="19" spans="1:209" ht="38.450000000000003" customHeight="1" thickBot="1">
      <c r="A19" s="193">
        <v>7</v>
      </c>
      <c r="B19" s="194" t="str">
        <f>標單!C13</f>
        <v>砌1/2B磚牆</v>
      </c>
      <c r="C19" s="195">
        <f>標單!E13</f>
        <v>73</v>
      </c>
      <c r="D19" s="196" t="str">
        <f>標單!D13</f>
        <v>M2</v>
      </c>
      <c r="E19" s="126"/>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c r="BK19" s="126"/>
      <c r="BL19" s="126"/>
      <c r="BM19" s="126"/>
      <c r="BN19" s="126"/>
      <c r="BO19" s="126"/>
      <c r="BP19" s="126"/>
      <c r="BQ19" s="126"/>
      <c r="BR19" s="126"/>
      <c r="BS19" s="126"/>
      <c r="BT19" s="126"/>
      <c r="BU19" s="126"/>
      <c r="BV19" s="126"/>
      <c r="BW19" s="126"/>
      <c r="BX19" s="126"/>
      <c r="BY19" s="126"/>
      <c r="BZ19" s="126"/>
      <c r="CA19" s="126"/>
      <c r="CB19" s="126"/>
      <c r="CC19" s="126"/>
      <c r="CD19" s="126"/>
      <c r="CE19" s="126"/>
      <c r="CF19" s="126"/>
      <c r="CG19" s="126"/>
      <c r="CH19" s="126"/>
      <c r="CI19" s="126"/>
      <c r="CJ19" s="126"/>
      <c r="CK19" s="126"/>
      <c r="CL19" s="126"/>
      <c r="CM19" s="126"/>
      <c r="CN19" s="126"/>
      <c r="CO19" s="126"/>
      <c r="CP19" s="126"/>
      <c r="CQ19" s="126"/>
      <c r="CR19" s="126"/>
      <c r="CS19" s="126"/>
      <c r="CT19" s="126"/>
      <c r="CU19" s="126"/>
      <c r="CV19" s="126"/>
      <c r="CW19" s="126"/>
      <c r="CX19" s="126"/>
      <c r="CY19" s="126"/>
      <c r="CZ19" s="126"/>
      <c r="DA19" s="126"/>
      <c r="DB19" s="126"/>
      <c r="DC19" s="126"/>
      <c r="DD19" s="126"/>
      <c r="DE19" s="126"/>
      <c r="DF19" s="126"/>
      <c r="DG19" s="126"/>
      <c r="DH19" s="126"/>
      <c r="DI19" s="126"/>
      <c r="DJ19" s="126"/>
      <c r="DK19" s="126"/>
      <c r="DL19" s="126"/>
      <c r="DM19" s="126"/>
      <c r="DN19" s="126"/>
      <c r="DO19" s="126"/>
      <c r="DP19" s="126"/>
      <c r="DQ19" s="126"/>
      <c r="DR19" s="126"/>
      <c r="DS19" s="126"/>
      <c r="DT19" s="126"/>
      <c r="DU19" s="126"/>
      <c r="DV19" s="126"/>
      <c r="DW19" s="126"/>
      <c r="DX19" s="126"/>
      <c r="DY19" s="126"/>
      <c r="DZ19" s="126"/>
      <c r="EA19" s="126"/>
      <c r="EB19" s="126"/>
      <c r="EC19" s="126"/>
      <c r="ED19" s="126"/>
      <c r="EE19" s="126"/>
      <c r="EF19" s="126"/>
      <c r="EG19" s="126"/>
      <c r="EH19" s="126"/>
      <c r="EI19" s="126"/>
      <c r="EJ19" s="126"/>
      <c r="EK19" s="126"/>
      <c r="EL19" s="126"/>
      <c r="EM19" s="126"/>
      <c r="EN19" s="126"/>
      <c r="EO19" s="126"/>
      <c r="EP19" s="126"/>
      <c r="EQ19" s="126"/>
      <c r="ER19" s="126"/>
      <c r="ES19" s="126"/>
      <c r="ET19" s="126"/>
      <c r="EU19" s="126"/>
      <c r="EV19" s="126"/>
      <c r="EW19" s="126"/>
      <c r="EX19" s="126"/>
      <c r="EY19" s="126"/>
      <c r="EZ19" s="126"/>
      <c r="FA19" s="126"/>
      <c r="FB19" s="126"/>
      <c r="FC19" s="126"/>
      <c r="FD19" s="126"/>
      <c r="FE19" s="126"/>
      <c r="FF19" s="126"/>
      <c r="FG19" s="126"/>
      <c r="FH19" s="126"/>
      <c r="FI19" s="126"/>
      <c r="FJ19" s="126"/>
      <c r="FK19" s="126"/>
      <c r="FL19" s="126"/>
      <c r="FM19" s="126"/>
      <c r="FN19" s="126"/>
      <c r="FO19" s="126"/>
      <c r="FP19" s="126"/>
      <c r="FQ19" s="126"/>
      <c r="FR19" s="126"/>
      <c r="FS19" s="126"/>
      <c r="FT19" s="126"/>
      <c r="FU19" s="126"/>
      <c r="FV19" s="126"/>
      <c r="FW19" s="126"/>
      <c r="FX19" s="126"/>
      <c r="FY19" s="126"/>
      <c r="FZ19" s="126"/>
      <c r="GA19" s="126"/>
      <c r="GB19" s="126"/>
      <c r="GC19" s="126"/>
      <c r="GD19" s="126"/>
      <c r="GE19" s="126"/>
      <c r="GF19" s="126"/>
      <c r="GG19" s="126"/>
      <c r="GH19" s="126"/>
      <c r="GI19" s="126"/>
      <c r="GJ19" s="126"/>
      <c r="GK19" s="126"/>
      <c r="GL19" s="126"/>
      <c r="GM19" s="126"/>
      <c r="GN19" s="126"/>
      <c r="GO19" s="126"/>
      <c r="GP19" s="126"/>
      <c r="GQ19" s="126"/>
      <c r="GR19" s="126"/>
      <c r="GS19" s="126"/>
      <c r="GT19" s="126"/>
      <c r="GU19" s="126"/>
      <c r="GV19" s="126"/>
      <c r="GW19" s="126"/>
      <c r="GX19" s="128">
        <f t="shared" si="13"/>
        <v>0</v>
      </c>
      <c r="GY19" s="132">
        <f>標單!F13</f>
        <v>982</v>
      </c>
      <c r="GZ19" s="132">
        <f>標單!G13</f>
        <v>71686</v>
      </c>
      <c r="HA19" s="104">
        <f t="shared" si="12"/>
        <v>1.384E-2</v>
      </c>
    </row>
    <row r="20" spans="1:209" ht="38.450000000000003" customHeight="1" thickBot="1">
      <c r="A20" s="193">
        <v>8</v>
      </c>
      <c r="B20" s="194" t="str">
        <f>標單!C14</f>
        <v>施工範圍內樓板穿管處與既有無用穿管及孔洞需以水泥砂漿封閉並刷彈性防水材；樓板防水層試水</v>
      </c>
      <c r="C20" s="195">
        <f>標單!E14</f>
        <v>1</v>
      </c>
      <c r="D20" s="196" t="str">
        <f>標單!D14</f>
        <v>式</v>
      </c>
      <c r="E20" s="126"/>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c r="BK20" s="126"/>
      <c r="BL20" s="126"/>
      <c r="BM20" s="126"/>
      <c r="BN20" s="126"/>
      <c r="BO20" s="126"/>
      <c r="BP20" s="126"/>
      <c r="BQ20" s="126"/>
      <c r="BR20" s="126"/>
      <c r="BS20" s="126"/>
      <c r="BT20" s="126"/>
      <c r="BU20" s="126"/>
      <c r="BV20" s="126"/>
      <c r="BW20" s="126"/>
      <c r="BX20" s="126"/>
      <c r="BY20" s="126"/>
      <c r="BZ20" s="126"/>
      <c r="CA20" s="126"/>
      <c r="CB20" s="126"/>
      <c r="CC20" s="126"/>
      <c r="CD20" s="126"/>
      <c r="CE20" s="126"/>
      <c r="CF20" s="126"/>
      <c r="CG20" s="126"/>
      <c r="CH20" s="126"/>
      <c r="CI20" s="126"/>
      <c r="CJ20" s="126"/>
      <c r="CK20" s="126"/>
      <c r="CL20" s="126"/>
      <c r="CM20" s="126"/>
      <c r="CN20" s="126"/>
      <c r="CO20" s="126"/>
      <c r="CP20" s="126"/>
      <c r="CQ20" s="126"/>
      <c r="CR20" s="126"/>
      <c r="CS20" s="126"/>
      <c r="CT20" s="126"/>
      <c r="CU20" s="126"/>
      <c r="CV20" s="126"/>
      <c r="CW20" s="126"/>
      <c r="CX20" s="126"/>
      <c r="CY20" s="126"/>
      <c r="CZ20" s="126"/>
      <c r="DA20" s="126"/>
      <c r="DB20" s="126"/>
      <c r="DC20" s="126"/>
      <c r="DD20" s="126"/>
      <c r="DE20" s="126"/>
      <c r="DF20" s="126"/>
      <c r="DG20" s="126"/>
      <c r="DH20" s="126"/>
      <c r="DI20" s="126"/>
      <c r="DJ20" s="126"/>
      <c r="DK20" s="126"/>
      <c r="DL20" s="126"/>
      <c r="DM20" s="126"/>
      <c r="DN20" s="126"/>
      <c r="DO20" s="126"/>
      <c r="DP20" s="126"/>
      <c r="DQ20" s="126"/>
      <c r="DR20" s="126"/>
      <c r="DS20" s="126"/>
      <c r="DT20" s="126"/>
      <c r="DU20" s="126"/>
      <c r="DV20" s="126"/>
      <c r="DW20" s="126"/>
      <c r="DX20" s="126"/>
      <c r="DY20" s="126"/>
      <c r="DZ20" s="126"/>
      <c r="EA20" s="126"/>
      <c r="EB20" s="126"/>
      <c r="EC20" s="126"/>
      <c r="ED20" s="126"/>
      <c r="EE20" s="126"/>
      <c r="EF20" s="126"/>
      <c r="EG20" s="126"/>
      <c r="EH20" s="126"/>
      <c r="EI20" s="126"/>
      <c r="EJ20" s="126"/>
      <c r="EK20" s="126"/>
      <c r="EL20" s="126"/>
      <c r="EM20" s="126"/>
      <c r="EN20" s="126"/>
      <c r="EO20" s="126"/>
      <c r="EP20" s="126"/>
      <c r="EQ20" s="126"/>
      <c r="ER20" s="126"/>
      <c r="ES20" s="126"/>
      <c r="ET20" s="126"/>
      <c r="EU20" s="126"/>
      <c r="EV20" s="126"/>
      <c r="EW20" s="126"/>
      <c r="EX20" s="126"/>
      <c r="EY20" s="126"/>
      <c r="EZ20" s="126"/>
      <c r="FA20" s="126"/>
      <c r="FB20" s="126"/>
      <c r="FC20" s="126"/>
      <c r="FD20" s="126"/>
      <c r="FE20" s="126"/>
      <c r="FF20" s="126"/>
      <c r="FG20" s="126"/>
      <c r="FH20" s="126"/>
      <c r="FI20" s="126"/>
      <c r="FJ20" s="126"/>
      <c r="FK20" s="126"/>
      <c r="FL20" s="126"/>
      <c r="FM20" s="126"/>
      <c r="FN20" s="126"/>
      <c r="FO20" s="126"/>
      <c r="FP20" s="126"/>
      <c r="FQ20" s="126"/>
      <c r="FR20" s="126"/>
      <c r="FS20" s="126"/>
      <c r="FT20" s="126"/>
      <c r="FU20" s="126"/>
      <c r="FV20" s="126"/>
      <c r="FW20" s="126"/>
      <c r="FX20" s="126"/>
      <c r="FY20" s="126"/>
      <c r="FZ20" s="126"/>
      <c r="GA20" s="126"/>
      <c r="GB20" s="126"/>
      <c r="GC20" s="126"/>
      <c r="GD20" s="126"/>
      <c r="GE20" s="126"/>
      <c r="GF20" s="126"/>
      <c r="GG20" s="126"/>
      <c r="GH20" s="126"/>
      <c r="GI20" s="126"/>
      <c r="GJ20" s="126"/>
      <c r="GK20" s="126"/>
      <c r="GL20" s="126"/>
      <c r="GM20" s="126"/>
      <c r="GN20" s="126"/>
      <c r="GO20" s="126"/>
      <c r="GP20" s="126"/>
      <c r="GQ20" s="126"/>
      <c r="GR20" s="126"/>
      <c r="GS20" s="126"/>
      <c r="GT20" s="126"/>
      <c r="GU20" s="126"/>
      <c r="GV20" s="126"/>
      <c r="GW20" s="126"/>
      <c r="GX20" s="128">
        <f t="shared" si="13"/>
        <v>0</v>
      </c>
      <c r="GY20" s="132">
        <f>標單!F14</f>
        <v>9816</v>
      </c>
      <c r="GZ20" s="132">
        <f>標單!G14</f>
        <v>9816</v>
      </c>
      <c r="HA20" s="104">
        <f t="shared" si="12"/>
        <v>1.89E-3</v>
      </c>
    </row>
    <row r="21" spans="1:209" ht="38.450000000000003" customHeight="1" thickBot="1">
      <c r="A21" s="193">
        <v>9</v>
      </c>
      <c r="B21" s="194" t="str">
        <f>標單!C15</f>
        <v>地坪、牆面1:3水泥砂漿粉刷(含地坪硬底)</v>
      </c>
      <c r="C21" s="195">
        <f>標單!E15</f>
        <v>951</v>
      </c>
      <c r="D21" s="196" t="str">
        <f>標單!D15</f>
        <v>M2</v>
      </c>
      <c r="E21" s="126"/>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c r="BK21" s="126"/>
      <c r="BL21" s="126"/>
      <c r="BM21" s="126"/>
      <c r="BN21" s="126"/>
      <c r="BO21" s="126"/>
      <c r="BP21" s="126"/>
      <c r="BQ21" s="126"/>
      <c r="BR21" s="126"/>
      <c r="BS21" s="126"/>
      <c r="BT21" s="126"/>
      <c r="BU21" s="126"/>
      <c r="BV21" s="126"/>
      <c r="BW21" s="126"/>
      <c r="BX21" s="126"/>
      <c r="BY21" s="126"/>
      <c r="BZ21" s="126"/>
      <c r="CA21" s="126"/>
      <c r="CB21" s="126"/>
      <c r="CC21" s="126"/>
      <c r="CD21" s="126"/>
      <c r="CE21" s="126"/>
      <c r="CF21" s="126"/>
      <c r="CG21" s="126"/>
      <c r="CH21" s="126"/>
      <c r="CI21" s="126"/>
      <c r="CJ21" s="126"/>
      <c r="CK21" s="126"/>
      <c r="CL21" s="126"/>
      <c r="CM21" s="126"/>
      <c r="CN21" s="126"/>
      <c r="CO21" s="126"/>
      <c r="CP21" s="126"/>
      <c r="CQ21" s="126"/>
      <c r="CR21" s="126"/>
      <c r="CS21" s="126"/>
      <c r="CT21" s="126"/>
      <c r="CU21" s="126"/>
      <c r="CV21" s="126"/>
      <c r="CW21" s="126"/>
      <c r="CX21" s="126"/>
      <c r="CY21" s="126"/>
      <c r="CZ21" s="126"/>
      <c r="DA21" s="126"/>
      <c r="DB21" s="126"/>
      <c r="DC21" s="126"/>
      <c r="DD21" s="126"/>
      <c r="DE21" s="126"/>
      <c r="DF21" s="126"/>
      <c r="DG21" s="126"/>
      <c r="DH21" s="126"/>
      <c r="DI21" s="126"/>
      <c r="DJ21" s="126"/>
      <c r="DK21" s="126"/>
      <c r="DL21" s="126"/>
      <c r="DM21" s="126"/>
      <c r="DN21" s="126"/>
      <c r="DO21" s="126"/>
      <c r="DP21" s="126"/>
      <c r="DQ21" s="126"/>
      <c r="DR21" s="126"/>
      <c r="DS21" s="126"/>
      <c r="DT21" s="126"/>
      <c r="DU21" s="126"/>
      <c r="DV21" s="126"/>
      <c r="DW21" s="126"/>
      <c r="DX21" s="126"/>
      <c r="DY21" s="126"/>
      <c r="DZ21" s="126"/>
      <c r="EA21" s="126"/>
      <c r="EB21" s="126"/>
      <c r="EC21" s="126"/>
      <c r="ED21" s="126"/>
      <c r="EE21" s="126"/>
      <c r="EF21" s="126"/>
      <c r="EG21" s="126"/>
      <c r="EH21" s="126"/>
      <c r="EI21" s="126"/>
      <c r="EJ21" s="126"/>
      <c r="EK21" s="126"/>
      <c r="EL21" s="126"/>
      <c r="EM21" s="126"/>
      <c r="EN21" s="126"/>
      <c r="EO21" s="126"/>
      <c r="EP21" s="126"/>
      <c r="EQ21" s="126"/>
      <c r="ER21" s="126"/>
      <c r="ES21" s="126"/>
      <c r="ET21" s="126"/>
      <c r="EU21" s="126"/>
      <c r="EV21" s="126"/>
      <c r="EW21" s="126"/>
      <c r="EX21" s="126"/>
      <c r="EY21" s="126"/>
      <c r="EZ21" s="126"/>
      <c r="FA21" s="126"/>
      <c r="FB21" s="126"/>
      <c r="FC21" s="126"/>
      <c r="FD21" s="126"/>
      <c r="FE21" s="126"/>
      <c r="FF21" s="126"/>
      <c r="FG21" s="126"/>
      <c r="FH21" s="126"/>
      <c r="FI21" s="126"/>
      <c r="FJ21" s="126"/>
      <c r="FK21" s="126"/>
      <c r="FL21" s="126"/>
      <c r="FM21" s="126"/>
      <c r="FN21" s="126"/>
      <c r="FO21" s="126"/>
      <c r="FP21" s="126"/>
      <c r="FQ21" s="126"/>
      <c r="FR21" s="126"/>
      <c r="FS21" s="126"/>
      <c r="FT21" s="126"/>
      <c r="FU21" s="126"/>
      <c r="FV21" s="126"/>
      <c r="FW21" s="126"/>
      <c r="FX21" s="126"/>
      <c r="FY21" s="126"/>
      <c r="FZ21" s="126"/>
      <c r="GA21" s="126"/>
      <c r="GB21" s="126"/>
      <c r="GC21" s="126"/>
      <c r="GD21" s="126"/>
      <c r="GE21" s="126"/>
      <c r="GF21" s="126"/>
      <c r="GG21" s="126"/>
      <c r="GH21" s="126"/>
      <c r="GI21" s="126"/>
      <c r="GJ21" s="126"/>
      <c r="GK21" s="126"/>
      <c r="GL21" s="126"/>
      <c r="GM21" s="126"/>
      <c r="GN21" s="126"/>
      <c r="GO21" s="126"/>
      <c r="GP21" s="126"/>
      <c r="GQ21" s="126"/>
      <c r="GR21" s="126"/>
      <c r="GS21" s="126"/>
      <c r="GT21" s="126"/>
      <c r="GU21" s="126"/>
      <c r="GV21" s="126"/>
      <c r="GW21" s="126"/>
      <c r="GX21" s="128">
        <f t="shared" si="13"/>
        <v>0</v>
      </c>
      <c r="GY21" s="132">
        <f>標單!F15</f>
        <v>491</v>
      </c>
      <c r="GZ21" s="132">
        <f>標單!G15</f>
        <v>466941</v>
      </c>
      <c r="HA21" s="104">
        <f t="shared" si="12"/>
        <v>9.0139999999999998E-2</v>
      </c>
    </row>
    <row r="22" spans="1:209" ht="38.450000000000003" customHeight="1" thickBot="1">
      <c r="A22" s="193">
        <v>10</v>
      </c>
      <c r="B22" s="194" t="str">
        <f>標單!C16</f>
        <v>地坪及牆面(H=1.5m)防水層粉刷</v>
      </c>
      <c r="C22" s="195">
        <f>標單!E16</f>
        <v>516</v>
      </c>
      <c r="D22" s="196" t="str">
        <f>標單!D16</f>
        <v>M2</v>
      </c>
      <c r="E22" s="126"/>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c r="BM22" s="126"/>
      <c r="BN22" s="126"/>
      <c r="BO22" s="126"/>
      <c r="BP22" s="126"/>
      <c r="BQ22" s="126"/>
      <c r="BR22" s="126"/>
      <c r="BS22" s="126"/>
      <c r="BT22" s="126"/>
      <c r="BU22" s="126"/>
      <c r="BV22" s="126"/>
      <c r="BW22" s="126"/>
      <c r="BX22" s="126"/>
      <c r="BY22" s="126"/>
      <c r="BZ22" s="126"/>
      <c r="CA22" s="126"/>
      <c r="CB22" s="126"/>
      <c r="CC22" s="126"/>
      <c r="CD22" s="126"/>
      <c r="CE22" s="126"/>
      <c r="CF22" s="126"/>
      <c r="CG22" s="126"/>
      <c r="CH22" s="126"/>
      <c r="CI22" s="126"/>
      <c r="CJ22" s="126"/>
      <c r="CK22" s="126"/>
      <c r="CL22" s="126"/>
      <c r="CM22" s="126"/>
      <c r="CN22" s="126"/>
      <c r="CO22" s="126"/>
      <c r="CP22" s="126"/>
      <c r="CQ22" s="126"/>
      <c r="CR22" s="126"/>
      <c r="CS22" s="126"/>
      <c r="CT22" s="126"/>
      <c r="CU22" s="126"/>
      <c r="CV22" s="126"/>
      <c r="CW22" s="126"/>
      <c r="CX22" s="126"/>
      <c r="CY22" s="126"/>
      <c r="CZ22" s="126"/>
      <c r="DA22" s="126"/>
      <c r="DB22" s="126"/>
      <c r="DC22" s="126"/>
      <c r="DD22" s="126"/>
      <c r="DE22" s="126"/>
      <c r="DF22" s="126"/>
      <c r="DG22" s="126"/>
      <c r="DH22" s="126"/>
      <c r="DI22" s="126"/>
      <c r="DJ22" s="126"/>
      <c r="DK22" s="126"/>
      <c r="DL22" s="126"/>
      <c r="DM22" s="126"/>
      <c r="DN22" s="126"/>
      <c r="DO22" s="126"/>
      <c r="DP22" s="126"/>
      <c r="DQ22" s="126"/>
      <c r="DR22" s="126"/>
      <c r="DS22" s="126"/>
      <c r="DT22" s="126"/>
      <c r="DU22" s="126"/>
      <c r="DV22" s="126"/>
      <c r="DW22" s="126"/>
      <c r="DX22" s="126"/>
      <c r="DY22" s="126"/>
      <c r="DZ22" s="126"/>
      <c r="EA22" s="126"/>
      <c r="EB22" s="126"/>
      <c r="EC22" s="126"/>
      <c r="ED22" s="126"/>
      <c r="EE22" s="126"/>
      <c r="EF22" s="126"/>
      <c r="EG22" s="126"/>
      <c r="EH22" s="126"/>
      <c r="EI22" s="126"/>
      <c r="EJ22" s="126"/>
      <c r="EK22" s="126"/>
      <c r="EL22" s="126"/>
      <c r="EM22" s="126"/>
      <c r="EN22" s="126"/>
      <c r="EO22" s="126"/>
      <c r="EP22" s="126"/>
      <c r="EQ22" s="126"/>
      <c r="ER22" s="126"/>
      <c r="ES22" s="126"/>
      <c r="ET22" s="126"/>
      <c r="EU22" s="126"/>
      <c r="EV22" s="126"/>
      <c r="EW22" s="126"/>
      <c r="EX22" s="126"/>
      <c r="EY22" s="126"/>
      <c r="EZ22" s="126"/>
      <c r="FA22" s="126"/>
      <c r="FB22" s="126"/>
      <c r="FC22" s="126"/>
      <c r="FD22" s="126"/>
      <c r="FE22" s="126"/>
      <c r="FF22" s="126"/>
      <c r="FG22" s="126"/>
      <c r="FH22" s="126"/>
      <c r="FI22" s="126"/>
      <c r="FJ22" s="126"/>
      <c r="FK22" s="126"/>
      <c r="FL22" s="126"/>
      <c r="FM22" s="126"/>
      <c r="FN22" s="126"/>
      <c r="FO22" s="126"/>
      <c r="FP22" s="126"/>
      <c r="FQ22" s="126"/>
      <c r="FR22" s="126"/>
      <c r="FS22" s="126"/>
      <c r="FT22" s="126"/>
      <c r="FU22" s="126"/>
      <c r="FV22" s="126"/>
      <c r="FW22" s="126"/>
      <c r="FX22" s="126"/>
      <c r="FY22" s="126"/>
      <c r="FZ22" s="126"/>
      <c r="GA22" s="126"/>
      <c r="GB22" s="126"/>
      <c r="GC22" s="126"/>
      <c r="GD22" s="126"/>
      <c r="GE22" s="126"/>
      <c r="GF22" s="126"/>
      <c r="GG22" s="126"/>
      <c r="GH22" s="126"/>
      <c r="GI22" s="126"/>
      <c r="GJ22" s="126"/>
      <c r="GK22" s="126"/>
      <c r="GL22" s="126"/>
      <c r="GM22" s="126"/>
      <c r="GN22" s="126"/>
      <c r="GO22" s="126"/>
      <c r="GP22" s="126"/>
      <c r="GQ22" s="126"/>
      <c r="GR22" s="126"/>
      <c r="GS22" s="126"/>
      <c r="GT22" s="126"/>
      <c r="GU22" s="126"/>
      <c r="GV22" s="126"/>
      <c r="GW22" s="126"/>
      <c r="GX22" s="128">
        <f t="shared" si="13"/>
        <v>0</v>
      </c>
      <c r="GY22" s="132">
        <f>標單!F16</f>
        <v>442</v>
      </c>
      <c r="GZ22" s="132">
        <f>標單!G16</f>
        <v>228072</v>
      </c>
      <c r="HA22" s="104">
        <f t="shared" si="12"/>
        <v>4.403E-2</v>
      </c>
    </row>
    <row r="23" spans="1:209" ht="38.450000000000003" customHeight="1" thickBot="1">
      <c r="A23" s="193">
        <v>11</v>
      </c>
      <c r="B23" s="194" t="str">
        <f>標單!C17</f>
        <v>安裝不銹鋼方形地板落水頭(10cm*10cm,連工帶料，含洗手台與拖布盆落水頭)</v>
      </c>
      <c r="C23" s="195">
        <f>標單!E17</f>
        <v>41</v>
      </c>
      <c r="D23" s="196" t="str">
        <f>標單!D17</f>
        <v>組</v>
      </c>
      <c r="E23" s="126"/>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c r="BK23" s="126"/>
      <c r="BL23" s="126"/>
      <c r="BM23" s="126"/>
      <c r="BN23" s="126"/>
      <c r="BO23" s="126"/>
      <c r="BP23" s="126"/>
      <c r="BQ23" s="126"/>
      <c r="BR23" s="126"/>
      <c r="BS23" s="126"/>
      <c r="BT23" s="126"/>
      <c r="BU23" s="126"/>
      <c r="BV23" s="126"/>
      <c r="BW23" s="126"/>
      <c r="BX23" s="126"/>
      <c r="BY23" s="126"/>
      <c r="BZ23" s="126"/>
      <c r="CA23" s="126"/>
      <c r="CB23" s="126"/>
      <c r="CC23" s="126"/>
      <c r="CD23" s="126"/>
      <c r="CE23" s="126"/>
      <c r="CF23" s="126"/>
      <c r="CG23" s="126"/>
      <c r="CH23" s="126"/>
      <c r="CI23" s="126"/>
      <c r="CJ23" s="126"/>
      <c r="CK23" s="126"/>
      <c r="CL23" s="126"/>
      <c r="CM23" s="126"/>
      <c r="CN23" s="126"/>
      <c r="CO23" s="126"/>
      <c r="CP23" s="126"/>
      <c r="CQ23" s="126"/>
      <c r="CR23" s="126"/>
      <c r="CS23" s="126"/>
      <c r="CT23" s="126"/>
      <c r="CU23" s="126"/>
      <c r="CV23" s="126"/>
      <c r="CW23" s="126"/>
      <c r="CX23" s="126"/>
      <c r="CY23" s="126"/>
      <c r="CZ23" s="126"/>
      <c r="DA23" s="126"/>
      <c r="DB23" s="126"/>
      <c r="DC23" s="126"/>
      <c r="DD23" s="126"/>
      <c r="DE23" s="126"/>
      <c r="DF23" s="126"/>
      <c r="DG23" s="126"/>
      <c r="DH23" s="126"/>
      <c r="DI23" s="126"/>
      <c r="DJ23" s="126"/>
      <c r="DK23" s="126"/>
      <c r="DL23" s="126"/>
      <c r="DM23" s="126"/>
      <c r="DN23" s="126"/>
      <c r="DO23" s="126"/>
      <c r="DP23" s="126"/>
      <c r="DQ23" s="126"/>
      <c r="DR23" s="126"/>
      <c r="DS23" s="126"/>
      <c r="DT23" s="126"/>
      <c r="DU23" s="126"/>
      <c r="DV23" s="126"/>
      <c r="DW23" s="126"/>
      <c r="DX23" s="126"/>
      <c r="DY23" s="126"/>
      <c r="DZ23" s="126"/>
      <c r="EA23" s="126"/>
      <c r="EB23" s="126"/>
      <c r="EC23" s="126"/>
      <c r="ED23" s="126"/>
      <c r="EE23" s="126"/>
      <c r="EF23" s="126"/>
      <c r="EG23" s="126"/>
      <c r="EH23" s="126"/>
      <c r="EI23" s="126"/>
      <c r="EJ23" s="126"/>
      <c r="EK23" s="126"/>
      <c r="EL23" s="126"/>
      <c r="EM23" s="126"/>
      <c r="EN23" s="126"/>
      <c r="EO23" s="126"/>
      <c r="EP23" s="126"/>
      <c r="EQ23" s="126"/>
      <c r="ER23" s="126"/>
      <c r="ES23" s="126"/>
      <c r="ET23" s="126"/>
      <c r="EU23" s="126"/>
      <c r="EV23" s="126"/>
      <c r="EW23" s="126"/>
      <c r="EX23" s="126"/>
      <c r="EY23" s="126"/>
      <c r="EZ23" s="126"/>
      <c r="FA23" s="126"/>
      <c r="FB23" s="126"/>
      <c r="FC23" s="126"/>
      <c r="FD23" s="126"/>
      <c r="FE23" s="126"/>
      <c r="FF23" s="126"/>
      <c r="FG23" s="126"/>
      <c r="FH23" s="126"/>
      <c r="FI23" s="126"/>
      <c r="FJ23" s="126"/>
      <c r="FK23" s="126"/>
      <c r="FL23" s="126"/>
      <c r="FM23" s="126"/>
      <c r="FN23" s="126"/>
      <c r="FO23" s="126"/>
      <c r="FP23" s="126"/>
      <c r="FQ23" s="126"/>
      <c r="FR23" s="126"/>
      <c r="FS23" s="126"/>
      <c r="FT23" s="126"/>
      <c r="FU23" s="126"/>
      <c r="FV23" s="126"/>
      <c r="FW23" s="126"/>
      <c r="FX23" s="126"/>
      <c r="FY23" s="126"/>
      <c r="FZ23" s="126"/>
      <c r="GA23" s="126"/>
      <c r="GB23" s="126"/>
      <c r="GC23" s="126"/>
      <c r="GD23" s="126"/>
      <c r="GE23" s="126"/>
      <c r="GF23" s="126"/>
      <c r="GG23" s="126"/>
      <c r="GH23" s="126"/>
      <c r="GI23" s="126"/>
      <c r="GJ23" s="126"/>
      <c r="GK23" s="126"/>
      <c r="GL23" s="126"/>
      <c r="GM23" s="126"/>
      <c r="GN23" s="126"/>
      <c r="GO23" s="126"/>
      <c r="GP23" s="126"/>
      <c r="GQ23" s="126"/>
      <c r="GR23" s="126"/>
      <c r="GS23" s="126"/>
      <c r="GT23" s="126"/>
      <c r="GU23" s="126"/>
      <c r="GV23" s="126"/>
      <c r="GW23" s="126"/>
      <c r="GX23" s="128">
        <f t="shared" si="13"/>
        <v>0</v>
      </c>
      <c r="GY23" s="132">
        <f>標單!F17</f>
        <v>589</v>
      </c>
      <c r="GZ23" s="132">
        <f>標單!G17</f>
        <v>24149</v>
      </c>
      <c r="HA23" s="104">
        <f t="shared" si="12"/>
        <v>4.6600000000000001E-3</v>
      </c>
    </row>
    <row r="24" spans="1:209" ht="38.450000000000003" customHeight="1" thickBot="1">
      <c r="A24" s="193">
        <v>12</v>
      </c>
      <c r="B24" s="194" t="str">
        <f>標單!C18</f>
        <v>地坪貼止滑石英磚30cm*30cm，本色水泥勾縫(連工帶料)</v>
      </c>
      <c r="C24" s="195">
        <f>標單!E18</f>
        <v>204</v>
      </c>
      <c r="D24" s="196" t="str">
        <f>標單!D18</f>
        <v>M2</v>
      </c>
      <c r="E24" s="126"/>
      <c r="F24" s="126"/>
      <c r="G24" s="126"/>
      <c r="H24" s="126"/>
      <c r="I24" s="126"/>
      <c r="J24" s="126"/>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126"/>
      <c r="AH24" s="126"/>
      <c r="AI24" s="126"/>
      <c r="AJ24" s="126"/>
      <c r="AK24" s="126"/>
      <c r="AL24" s="126"/>
      <c r="AM24" s="126"/>
      <c r="AN24" s="126"/>
      <c r="AO24" s="126"/>
      <c r="AP24" s="126"/>
      <c r="AQ24" s="126"/>
      <c r="AR24" s="126"/>
      <c r="AS24" s="126"/>
      <c r="AT24" s="126"/>
      <c r="AU24" s="126"/>
      <c r="AV24" s="126"/>
      <c r="AW24" s="126"/>
      <c r="AX24" s="126"/>
      <c r="AY24" s="126"/>
      <c r="AZ24" s="126"/>
      <c r="BA24" s="126"/>
      <c r="BB24" s="126"/>
      <c r="BC24" s="126"/>
      <c r="BD24" s="126"/>
      <c r="BE24" s="126"/>
      <c r="BF24" s="126"/>
      <c r="BG24" s="126"/>
      <c r="BH24" s="126"/>
      <c r="BI24" s="126"/>
      <c r="BJ24" s="126"/>
      <c r="BK24" s="126"/>
      <c r="BL24" s="126"/>
      <c r="BM24" s="126"/>
      <c r="BN24" s="126"/>
      <c r="BO24" s="126"/>
      <c r="BP24" s="126"/>
      <c r="BQ24" s="126"/>
      <c r="BR24" s="126"/>
      <c r="BS24" s="126"/>
      <c r="BT24" s="126"/>
      <c r="BU24" s="126"/>
      <c r="BV24" s="126"/>
      <c r="BW24" s="126"/>
      <c r="BX24" s="126"/>
      <c r="BY24" s="126"/>
      <c r="BZ24" s="126"/>
      <c r="CA24" s="126"/>
      <c r="CB24" s="126"/>
      <c r="CC24" s="126"/>
      <c r="CD24" s="126"/>
      <c r="CE24" s="126"/>
      <c r="CF24" s="126"/>
      <c r="CG24" s="126"/>
      <c r="CH24" s="126"/>
      <c r="CI24" s="126"/>
      <c r="CJ24" s="126"/>
      <c r="CK24" s="126"/>
      <c r="CL24" s="126"/>
      <c r="CM24" s="126"/>
      <c r="CN24" s="126"/>
      <c r="CO24" s="126"/>
      <c r="CP24" s="126"/>
      <c r="CQ24" s="126"/>
      <c r="CR24" s="126"/>
      <c r="CS24" s="126"/>
      <c r="CT24" s="126"/>
      <c r="CU24" s="126"/>
      <c r="CV24" s="126"/>
      <c r="CW24" s="126"/>
      <c r="CX24" s="126"/>
      <c r="CY24" s="126"/>
      <c r="CZ24" s="126"/>
      <c r="DA24" s="126"/>
      <c r="DB24" s="126"/>
      <c r="DC24" s="126"/>
      <c r="DD24" s="126"/>
      <c r="DE24" s="126"/>
      <c r="DF24" s="126"/>
      <c r="DG24" s="126"/>
      <c r="DH24" s="126"/>
      <c r="DI24" s="126"/>
      <c r="DJ24" s="126"/>
      <c r="DK24" s="126"/>
      <c r="DL24" s="126"/>
      <c r="DM24" s="126"/>
      <c r="DN24" s="126"/>
      <c r="DO24" s="126"/>
      <c r="DP24" s="126"/>
      <c r="DQ24" s="126"/>
      <c r="DR24" s="126"/>
      <c r="DS24" s="126"/>
      <c r="DT24" s="126"/>
      <c r="DU24" s="126"/>
      <c r="DV24" s="126"/>
      <c r="DW24" s="126"/>
      <c r="DX24" s="126"/>
      <c r="DY24" s="126"/>
      <c r="DZ24" s="126"/>
      <c r="EA24" s="126"/>
      <c r="EB24" s="126"/>
      <c r="EC24" s="126"/>
      <c r="ED24" s="126"/>
      <c r="EE24" s="126"/>
      <c r="EF24" s="126"/>
      <c r="EG24" s="126"/>
      <c r="EH24" s="126"/>
      <c r="EI24" s="126"/>
      <c r="EJ24" s="126"/>
      <c r="EK24" s="126"/>
      <c r="EL24" s="126"/>
      <c r="EM24" s="126"/>
      <c r="EN24" s="126"/>
      <c r="EO24" s="126"/>
      <c r="EP24" s="126"/>
      <c r="EQ24" s="126"/>
      <c r="ER24" s="126"/>
      <c r="ES24" s="126"/>
      <c r="ET24" s="126"/>
      <c r="EU24" s="126"/>
      <c r="EV24" s="126"/>
      <c r="EW24" s="126"/>
      <c r="EX24" s="126"/>
      <c r="EY24" s="126"/>
      <c r="EZ24" s="126"/>
      <c r="FA24" s="126"/>
      <c r="FB24" s="126"/>
      <c r="FC24" s="126"/>
      <c r="FD24" s="126"/>
      <c r="FE24" s="126"/>
      <c r="FF24" s="126"/>
      <c r="FG24" s="126"/>
      <c r="FH24" s="126"/>
      <c r="FI24" s="126"/>
      <c r="FJ24" s="126"/>
      <c r="FK24" s="126"/>
      <c r="FL24" s="126"/>
      <c r="FM24" s="126"/>
      <c r="FN24" s="126"/>
      <c r="FO24" s="126"/>
      <c r="FP24" s="126"/>
      <c r="FQ24" s="126"/>
      <c r="FR24" s="126"/>
      <c r="FS24" s="126"/>
      <c r="FT24" s="126"/>
      <c r="FU24" s="126"/>
      <c r="FV24" s="126"/>
      <c r="FW24" s="126"/>
      <c r="FX24" s="126"/>
      <c r="FY24" s="126"/>
      <c r="FZ24" s="126"/>
      <c r="GA24" s="126"/>
      <c r="GB24" s="126"/>
      <c r="GC24" s="126"/>
      <c r="GD24" s="126"/>
      <c r="GE24" s="126"/>
      <c r="GF24" s="126"/>
      <c r="GG24" s="126"/>
      <c r="GH24" s="126"/>
      <c r="GI24" s="126"/>
      <c r="GJ24" s="126"/>
      <c r="GK24" s="126"/>
      <c r="GL24" s="126"/>
      <c r="GM24" s="126"/>
      <c r="GN24" s="126"/>
      <c r="GO24" s="126"/>
      <c r="GP24" s="126"/>
      <c r="GQ24" s="126"/>
      <c r="GR24" s="126"/>
      <c r="GS24" s="126"/>
      <c r="GT24" s="126"/>
      <c r="GU24" s="126"/>
      <c r="GV24" s="126"/>
      <c r="GW24" s="126"/>
      <c r="GX24" s="128">
        <f t="shared" si="13"/>
        <v>0</v>
      </c>
      <c r="GY24" s="132">
        <f>標單!F18</f>
        <v>785</v>
      </c>
      <c r="GZ24" s="132">
        <f>標單!G18</f>
        <v>160140</v>
      </c>
      <c r="HA24" s="104">
        <f t="shared" si="12"/>
        <v>3.092E-2</v>
      </c>
    </row>
    <row r="25" spans="1:209" ht="38.450000000000003" customHeight="1" thickBot="1">
      <c r="A25" s="193">
        <v>13</v>
      </c>
      <c r="B25" s="194" t="str">
        <f>標單!C19</f>
        <v>地坪貼60cm*60cm止滑石英磚，本色水泥勾縫(連工帶料)</v>
      </c>
      <c r="C25" s="195">
        <f>標單!E19</f>
        <v>11</v>
      </c>
      <c r="D25" s="196" t="str">
        <f>標單!D19</f>
        <v>M2</v>
      </c>
      <c r="E25" s="126"/>
      <c r="F25" s="126"/>
      <c r="G25" s="126"/>
      <c r="H25" s="126"/>
      <c r="I25" s="126"/>
      <c r="J25" s="126"/>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126"/>
      <c r="AH25" s="126"/>
      <c r="AI25" s="126"/>
      <c r="AJ25" s="126"/>
      <c r="AK25" s="126"/>
      <c r="AL25" s="126"/>
      <c r="AM25" s="126"/>
      <c r="AN25" s="126"/>
      <c r="AO25" s="126"/>
      <c r="AP25" s="126"/>
      <c r="AQ25" s="126"/>
      <c r="AR25" s="126"/>
      <c r="AS25" s="126"/>
      <c r="AT25" s="126"/>
      <c r="AU25" s="126"/>
      <c r="AV25" s="126"/>
      <c r="AW25" s="126"/>
      <c r="AX25" s="126"/>
      <c r="AY25" s="126"/>
      <c r="AZ25" s="126"/>
      <c r="BA25" s="126"/>
      <c r="BB25" s="126"/>
      <c r="BC25" s="126"/>
      <c r="BD25" s="126"/>
      <c r="BE25" s="126"/>
      <c r="BF25" s="126"/>
      <c r="BG25" s="126"/>
      <c r="BH25" s="126"/>
      <c r="BI25" s="126"/>
      <c r="BJ25" s="126"/>
      <c r="BK25" s="126"/>
      <c r="BL25" s="126"/>
      <c r="BM25" s="126"/>
      <c r="BN25" s="126"/>
      <c r="BO25" s="126"/>
      <c r="BP25" s="126"/>
      <c r="BQ25" s="126"/>
      <c r="BR25" s="126"/>
      <c r="BS25" s="126"/>
      <c r="BT25" s="126"/>
      <c r="BU25" s="126"/>
      <c r="BV25" s="126"/>
      <c r="BW25" s="126"/>
      <c r="BX25" s="126"/>
      <c r="BY25" s="126"/>
      <c r="BZ25" s="126"/>
      <c r="CA25" s="126"/>
      <c r="CB25" s="126"/>
      <c r="CC25" s="126"/>
      <c r="CD25" s="126"/>
      <c r="CE25" s="126"/>
      <c r="CF25" s="126"/>
      <c r="CG25" s="126"/>
      <c r="CH25" s="126"/>
      <c r="CI25" s="126"/>
      <c r="CJ25" s="126"/>
      <c r="CK25" s="126"/>
      <c r="CL25" s="126"/>
      <c r="CM25" s="126"/>
      <c r="CN25" s="126"/>
      <c r="CO25" s="126"/>
      <c r="CP25" s="126"/>
      <c r="CQ25" s="126"/>
      <c r="CR25" s="126"/>
      <c r="CS25" s="126"/>
      <c r="CT25" s="126"/>
      <c r="CU25" s="126"/>
      <c r="CV25" s="126"/>
      <c r="CW25" s="126"/>
      <c r="CX25" s="126"/>
      <c r="CY25" s="126"/>
      <c r="CZ25" s="126"/>
      <c r="DA25" s="126"/>
      <c r="DB25" s="126"/>
      <c r="DC25" s="126"/>
      <c r="DD25" s="126"/>
      <c r="DE25" s="126"/>
      <c r="DF25" s="126"/>
      <c r="DG25" s="126"/>
      <c r="DH25" s="126"/>
      <c r="DI25" s="126"/>
      <c r="DJ25" s="126"/>
      <c r="DK25" s="126"/>
      <c r="DL25" s="126"/>
      <c r="DM25" s="126"/>
      <c r="DN25" s="126"/>
      <c r="DO25" s="126"/>
      <c r="DP25" s="126"/>
      <c r="DQ25" s="126"/>
      <c r="DR25" s="126"/>
      <c r="DS25" s="126"/>
      <c r="DT25" s="126"/>
      <c r="DU25" s="126"/>
      <c r="DV25" s="126"/>
      <c r="DW25" s="126"/>
      <c r="DX25" s="126"/>
      <c r="DY25" s="126"/>
      <c r="DZ25" s="126"/>
      <c r="EA25" s="126"/>
      <c r="EB25" s="126"/>
      <c r="EC25" s="126"/>
      <c r="ED25" s="126"/>
      <c r="EE25" s="126"/>
      <c r="EF25" s="126"/>
      <c r="EG25" s="126"/>
      <c r="EH25" s="126"/>
      <c r="EI25" s="126"/>
      <c r="EJ25" s="126"/>
      <c r="EK25" s="126"/>
      <c r="EL25" s="126"/>
      <c r="EM25" s="126"/>
      <c r="EN25" s="126"/>
      <c r="EO25" s="126"/>
      <c r="EP25" s="126"/>
      <c r="EQ25" s="126"/>
      <c r="ER25" s="126"/>
      <c r="ES25" s="126"/>
      <c r="ET25" s="126"/>
      <c r="EU25" s="126"/>
      <c r="EV25" s="126"/>
      <c r="EW25" s="126"/>
      <c r="EX25" s="126"/>
      <c r="EY25" s="126"/>
      <c r="EZ25" s="126"/>
      <c r="FA25" s="126"/>
      <c r="FB25" s="126"/>
      <c r="FC25" s="126"/>
      <c r="FD25" s="126"/>
      <c r="FE25" s="126"/>
      <c r="FF25" s="126"/>
      <c r="FG25" s="126"/>
      <c r="FH25" s="126"/>
      <c r="FI25" s="126"/>
      <c r="FJ25" s="126"/>
      <c r="FK25" s="126"/>
      <c r="FL25" s="126"/>
      <c r="FM25" s="126"/>
      <c r="FN25" s="126"/>
      <c r="FO25" s="126"/>
      <c r="FP25" s="126"/>
      <c r="FQ25" s="126"/>
      <c r="FR25" s="126"/>
      <c r="FS25" s="126"/>
      <c r="FT25" s="126"/>
      <c r="FU25" s="126"/>
      <c r="FV25" s="126"/>
      <c r="FW25" s="126"/>
      <c r="FX25" s="126"/>
      <c r="FY25" s="126"/>
      <c r="FZ25" s="126"/>
      <c r="GA25" s="126"/>
      <c r="GB25" s="126"/>
      <c r="GC25" s="126"/>
      <c r="GD25" s="126"/>
      <c r="GE25" s="126"/>
      <c r="GF25" s="126"/>
      <c r="GG25" s="126"/>
      <c r="GH25" s="126"/>
      <c r="GI25" s="126"/>
      <c r="GJ25" s="126"/>
      <c r="GK25" s="126"/>
      <c r="GL25" s="126"/>
      <c r="GM25" s="126"/>
      <c r="GN25" s="126"/>
      <c r="GO25" s="126"/>
      <c r="GP25" s="126"/>
      <c r="GQ25" s="126"/>
      <c r="GR25" s="126"/>
      <c r="GS25" s="126"/>
      <c r="GT25" s="126"/>
      <c r="GU25" s="126"/>
      <c r="GV25" s="126"/>
      <c r="GW25" s="126"/>
      <c r="GX25" s="128">
        <f t="shared" si="13"/>
        <v>0</v>
      </c>
      <c r="GY25" s="132">
        <f>標單!F19</f>
        <v>1178</v>
      </c>
      <c r="GZ25" s="132">
        <f>標單!G19</f>
        <v>12958</v>
      </c>
      <c r="HA25" s="104">
        <f t="shared" si="12"/>
        <v>2.5000000000000001E-3</v>
      </c>
    </row>
    <row r="26" spans="1:209" ht="38.450000000000003" customHeight="1" thickBot="1">
      <c r="A26" s="193">
        <v>14</v>
      </c>
      <c r="B26" s="194" t="str">
        <f>標單!C20</f>
        <v>牆面貼石英磚30*60cm，白色水泥抹縫(連工帶料)</v>
      </c>
      <c r="C26" s="195">
        <f>標單!E20</f>
        <v>603</v>
      </c>
      <c r="D26" s="196" t="str">
        <f>標單!D20</f>
        <v>M2</v>
      </c>
      <c r="E26" s="126"/>
      <c r="F26" s="126"/>
      <c r="G26" s="126"/>
      <c r="H26" s="126"/>
      <c r="I26" s="126"/>
      <c r="J26" s="126"/>
      <c r="K26" s="126"/>
      <c r="L26" s="126"/>
      <c r="M26" s="126"/>
      <c r="N26" s="126"/>
      <c r="O26" s="126"/>
      <c r="P26" s="126"/>
      <c r="Q26" s="126"/>
      <c r="R26" s="126"/>
      <c r="S26" s="126"/>
      <c r="T26" s="126"/>
      <c r="U26" s="126"/>
      <c r="V26" s="126"/>
      <c r="W26" s="126"/>
      <c r="X26" s="126"/>
      <c r="Y26" s="126"/>
      <c r="Z26" s="126"/>
      <c r="AA26" s="126"/>
      <c r="AB26" s="126"/>
      <c r="AC26" s="126"/>
      <c r="AD26" s="126"/>
      <c r="AE26" s="126"/>
      <c r="AF26" s="126"/>
      <c r="AG26" s="126"/>
      <c r="AH26" s="126"/>
      <c r="AI26" s="126"/>
      <c r="AJ26" s="126"/>
      <c r="AK26" s="126"/>
      <c r="AL26" s="126"/>
      <c r="AM26" s="126"/>
      <c r="AN26" s="126"/>
      <c r="AO26" s="126"/>
      <c r="AP26" s="126"/>
      <c r="AQ26" s="126"/>
      <c r="AR26" s="126"/>
      <c r="AS26" s="126"/>
      <c r="AT26" s="126"/>
      <c r="AU26" s="126"/>
      <c r="AV26" s="126"/>
      <c r="AW26" s="126"/>
      <c r="AX26" s="126"/>
      <c r="AY26" s="126"/>
      <c r="AZ26" s="126"/>
      <c r="BA26" s="126"/>
      <c r="BB26" s="126"/>
      <c r="BC26" s="126"/>
      <c r="BD26" s="126"/>
      <c r="BE26" s="126"/>
      <c r="BF26" s="126"/>
      <c r="BG26" s="126"/>
      <c r="BH26" s="126"/>
      <c r="BI26" s="126"/>
      <c r="BJ26" s="126"/>
      <c r="BK26" s="126"/>
      <c r="BL26" s="126"/>
      <c r="BM26" s="126"/>
      <c r="BN26" s="126"/>
      <c r="BO26" s="126"/>
      <c r="BP26" s="126"/>
      <c r="BQ26" s="126"/>
      <c r="BR26" s="126"/>
      <c r="BS26" s="126"/>
      <c r="BT26" s="126"/>
      <c r="BU26" s="126"/>
      <c r="BV26" s="126"/>
      <c r="BW26" s="126"/>
      <c r="BX26" s="126"/>
      <c r="BY26" s="126"/>
      <c r="BZ26" s="126"/>
      <c r="CA26" s="126"/>
      <c r="CB26" s="126"/>
      <c r="CC26" s="126"/>
      <c r="CD26" s="126"/>
      <c r="CE26" s="126"/>
      <c r="CF26" s="126"/>
      <c r="CG26" s="126"/>
      <c r="CH26" s="126"/>
      <c r="CI26" s="126"/>
      <c r="CJ26" s="126"/>
      <c r="CK26" s="126"/>
      <c r="CL26" s="126"/>
      <c r="CM26" s="126"/>
      <c r="CN26" s="126"/>
      <c r="CO26" s="126"/>
      <c r="CP26" s="126"/>
      <c r="CQ26" s="126"/>
      <c r="CR26" s="126"/>
      <c r="CS26" s="126"/>
      <c r="CT26" s="126"/>
      <c r="CU26" s="126"/>
      <c r="CV26" s="126"/>
      <c r="CW26" s="126"/>
      <c r="CX26" s="126"/>
      <c r="CY26" s="126"/>
      <c r="CZ26" s="126"/>
      <c r="DA26" s="126"/>
      <c r="DB26" s="126"/>
      <c r="DC26" s="126"/>
      <c r="DD26" s="126"/>
      <c r="DE26" s="126"/>
      <c r="DF26" s="126"/>
      <c r="DG26" s="126"/>
      <c r="DH26" s="126"/>
      <c r="DI26" s="126"/>
      <c r="DJ26" s="126"/>
      <c r="DK26" s="126"/>
      <c r="DL26" s="126"/>
      <c r="DM26" s="126"/>
      <c r="DN26" s="126"/>
      <c r="DO26" s="126"/>
      <c r="DP26" s="126"/>
      <c r="DQ26" s="126"/>
      <c r="DR26" s="126"/>
      <c r="DS26" s="126"/>
      <c r="DT26" s="126"/>
      <c r="DU26" s="126"/>
      <c r="DV26" s="126"/>
      <c r="DW26" s="126"/>
      <c r="DX26" s="126"/>
      <c r="DY26" s="126"/>
      <c r="DZ26" s="126"/>
      <c r="EA26" s="126"/>
      <c r="EB26" s="126"/>
      <c r="EC26" s="126"/>
      <c r="ED26" s="126"/>
      <c r="EE26" s="126"/>
      <c r="EF26" s="126"/>
      <c r="EG26" s="126"/>
      <c r="EH26" s="126"/>
      <c r="EI26" s="126"/>
      <c r="EJ26" s="126"/>
      <c r="EK26" s="126"/>
      <c r="EL26" s="126"/>
      <c r="EM26" s="126"/>
      <c r="EN26" s="126"/>
      <c r="EO26" s="126"/>
      <c r="EP26" s="126"/>
      <c r="EQ26" s="126"/>
      <c r="ER26" s="126"/>
      <c r="ES26" s="126"/>
      <c r="ET26" s="126"/>
      <c r="EU26" s="126"/>
      <c r="EV26" s="126"/>
      <c r="EW26" s="126"/>
      <c r="EX26" s="126"/>
      <c r="EY26" s="126"/>
      <c r="EZ26" s="126"/>
      <c r="FA26" s="126"/>
      <c r="FB26" s="126"/>
      <c r="FC26" s="126"/>
      <c r="FD26" s="126"/>
      <c r="FE26" s="126"/>
      <c r="FF26" s="126"/>
      <c r="FG26" s="126"/>
      <c r="FH26" s="126"/>
      <c r="FI26" s="126"/>
      <c r="FJ26" s="126"/>
      <c r="FK26" s="126"/>
      <c r="FL26" s="126"/>
      <c r="FM26" s="126"/>
      <c r="FN26" s="126"/>
      <c r="FO26" s="126"/>
      <c r="FP26" s="126"/>
      <c r="FQ26" s="126"/>
      <c r="FR26" s="126"/>
      <c r="FS26" s="126"/>
      <c r="FT26" s="126"/>
      <c r="FU26" s="126"/>
      <c r="FV26" s="126"/>
      <c r="FW26" s="126"/>
      <c r="FX26" s="126"/>
      <c r="FY26" s="126"/>
      <c r="FZ26" s="126"/>
      <c r="GA26" s="126"/>
      <c r="GB26" s="126"/>
      <c r="GC26" s="126"/>
      <c r="GD26" s="126"/>
      <c r="GE26" s="126"/>
      <c r="GF26" s="126"/>
      <c r="GG26" s="126"/>
      <c r="GH26" s="126"/>
      <c r="GI26" s="126"/>
      <c r="GJ26" s="126"/>
      <c r="GK26" s="126"/>
      <c r="GL26" s="126"/>
      <c r="GM26" s="126"/>
      <c r="GN26" s="126"/>
      <c r="GO26" s="126"/>
      <c r="GP26" s="126"/>
      <c r="GQ26" s="126"/>
      <c r="GR26" s="126"/>
      <c r="GS26" s="126"/>
      <c r="GT26" s="126"/>
      <c r="GU26" s="126"/>
      <c r="GV26" s="126"/>
      <c r="GW26" s="126"/>
      <c r="GX26" s="128">
        <f t="shared" si="13"/>
        <v>0</v>
      </c>
      <c r="GY26" s="132">
        <f>標單!F20</f>
        <v>982</v>
      </c>
      <c r="GZ26" s="132">
        <f>標單!G20</f>
        <v>592146</v>
      </c>
      <c r="HA26" s="104">
        <f t="shared" si="12"/>
        <v>0.11430999999999999</v>
      </c>
    </row>
    <row r="27" spans="1:209" ht="38.450000000000003" customHeight="1" thickBot="1">
      <c r="A27" s="193">
        <v>15</v>
      </c>
      <c r="B27" s="194" t="str">
        <f>標單!C21</f>
        <v>安裝鋁合金陽角收邊條</v>
      </c>
      <c r="C27" s="195">
        <f>標單!E21</f>
        <v>206</v>
      </c>
      <c r="D27" s="196" t="str">
        <f>標單!D21</f>
        <v>M</v>
      </c>
      <c r="E27" s="126"/>
      <c r="F27" s="126"/>
      <c r="G27" s="126"/>
      <c r="H27" s="126"/>
      <c r="I27" s="126"/>
      <c r="J27" s="126"/>
      <c r="K27" s="126"/>
      <c r="L27" s="126"/>
      <c r="M27" s="126"/>
      <c r="N27" s="126"/>
      <c r="O27" s="126"/>
      <c r="P27" s="126"/>
      <c r="Q27" s="126"/>
      <c r="R27" s="126"/>
      <c r="S27" s="126"/>
      <c r="T27" s="126"/>
      <c r="U27" s="126"/>
      <c r="V27" s="126"/>
      <c r="W27" s="126"/>
      <c r="X27" s="126"/>
      <c r="Y27" s="126"/>
      <c r="Z27" s="126"/>
      <c r="AA27" s="126"/>
      <c r="AB27" s="126"/>
      <c r="AC27" s="126"/>
      <c r="AD27" s="126"/>
      <c r="AE27" s="126"/>
      <c r="AF27" s="126"/>
      <c r="AG27" s="126"/>
      <c r="AH27" s="126"/>
      <c r="AI27" s="126"/>
      <c r="AJ27" s="126"/>
      <c r="AK27" s="126"/>
      <c r="AL27" s="126"/>
      <c r="AM27" s="126"/>
      <c r="AN27" s="126"/>
      <c r="AO27" s="126"/>
      <c r="AP27" s="126"/>
      <c r="AQ27" s="126"/>
      <c r="AR27" s="126"/>
      <c r="AS27" s="126"/>
      <c r="AT27" s="126"/>
      <c r="AU27" s="126"/>
      <c r="AV27" s="126"/>
      <c r="AW27" s="126"/>
      <c r="AX27" s="126"/>
      <c r="AY27" s="126"/>
      <c r="AZ27" s="126"/>
      <c r="BA27" s="126"/>
      <c r="BB27" s="126"/>
      <c r="BC27" s="126"/>
      <c r="BD27" s="126"/>
      <c r="BE27" s="126"/>
      <c r="BF27" s="126"/>
      <c r="BG27" s="126"/>
      <c r="BH27" s="126"/>
      <c r="BI27" s="126"/>
      <c r="BJ27" s="126"/>
      <c r="BK27" s="126"/>
      <c r="BL27" s="126"/>
      <c r="BM27" s="126"/>
      <c r="BN27" s="126"/>
      <c r="BO27" s="126"/>
      <c r="BP27" s="126"/>
      <c r="BQ27" s="126"/>
      <c r="BR27" s="126"/>
      <c r="BS27" s="126"/>
      <c r="BT27" s="126"/>
      <c r="BU27" s="126"/>
      <c r="BV27" s="126"/>
      <c r="BW27" s="126"/>
      <c r="BX27" s="126"/>
      <c r="BY27" s="126"/>
      <c r="BZ27" s="126"/>
      <c r="CA27" s="126"/>
      <c r="CB27" s="126"/>
      <c r="CC27" s="126"/>
      <c r="CD27" s="126"/>
      <c r="CE27" s="126"/>
      <c r="CF27" s="126"/>
      <c r="CG27" s="126"/>
      <c r="CH27" s="126"/>
      <c r="CI27" s="126"/>
      <c r="CJ27" s="126"/>
      <c r="CK27" s="126"/>
      <c r="CL27" s="126"/>
      <c r="CM27" s="126"/>
      <c r="CN27" s="126"/>
      <c r="CO27" s="126"/>
      <c r="CP27" s="126"/>
      <c r="CQ27" s="126"/>
      <c r="CR27" s="126"/>
      <c r="CS27" s="126"/>
      <c r="CT27" s="126"/>
      <c r="CU27" s="126"/>
      <c r="CV27" s="126"/>
      <c r="CW27" s="126"/>
      <c r="CX27" s="126"/>
      <c r="CY27" s="126"/>
      <c r="CZ27" s="126"/>
      <c r="DA27" s="126"/>
      <c r="DB27" s="126"/>
      <c r="DC27" s="126"/>
      <c r="DD27" s="126"/>
      <c r="DE27" s="126"/>
      <c r="DF27" s="126"/>
      <c r="DG27" s="126"/>
      <c r="DH27" s="126"/>
      <c r="DI27" s="126"/>
      <c r="DJ27" s="126"/>
      <c r="DK27" s="126"/>
      <c r="DL27" s="126"/>
      <c r="DM27" s="126"/>
      <c r="DN27" s="126"/>
      <c r="DO27" s="126"/>
      <c r="DP27" s="126"/>
      <c r="DQ27" s="126"/>
      <c r="DR27" s="126"/>
      <c r="DS27" s="126"/>
      <c r="DT27" s="126"/>
      <c r="DU27" s="126"/>
      <c r="DV27" s="126"/>
      <c r="DW27" s="126"/>
      <c r="DX27" s="126"/>
      <c r="DY27" s="126"/>
      <c r="DZ27" s="126"/>
      <c r="EA27" s="126"/>
      <c r="EB27" s="126"/>
      <c r="EC27" s="126"/>
      <c r="ED27" s="126"/>
      <c r="EE27" s="126"/>
      <c r="EF27" s="126"/>
      <c r="EG27" s="126"/>
      <c r="EH27" s="126"/>
      <c r="EI27" s="126"/>
      <c r="EJ27" s="126"/>
      <c r="EK27" s="126"/>
      <c r="EL27" s="126"/>
      <c r="EM27" s="126"/>
      <c r="EN27" s="126"/>
      <c r="EO27" s="126"/>
      <c r="EP27" s="126"/>
      <c r="EQ27" s="126"/>
      <c r="ER27" s="126"/>
      <c r="ES27" s="126"/>
      <c r="ET27" s="126"/>
      <c r="EU27" s="126"/>
      <c r="EV27" s="126"/>
      <c r="EW27" s="126"/>
      <c r="EX27" s="126"/>
      <c r="EY27" s="126"/>
      <c r="EZ27" s="126"/>
      <c r="FA27" s="126"/>
      <c r="FB27" s="126"/>
      <c r="FC27" s="126"/>
      <c r="FD27" s="126"/>
      <c r="FE27" s="126"/>
      <c r="FF27" s="126"/>
      <c r="FG27" s="126"/>
      <c r="FH27" s="126"/>
      <c r="FI27" s="126"/>
      <c r="FJ27" s="126"/>
      <c r="FK27" s="126"/>
      <c r="FL27" s="126"/>
      <c r="FM27" s="126"/>
      <c r="FN27" s="126"/>
      <c r="FO27" s="126"/>
      <c r="FP27" s="126"/>
      <c r="FQ27" s="126"/>
      <c r="FR27" s="126"/>
      <c r="FS27" s="126"/>
      <c r="FT27" s="126"/>
      <c r="FU27" s="126"/>
      <c r="FV27" s="126"/>
      <c r="FW27" s="126"/>
      <c r="FX27" s="126"/>
      <c r="FY27" s="126"/>
      <c r="FZ27" s="126"/>
      <c r="GA27" s="126"/>
      <c r="GB27" s="126"/>
      <c r="GC27" s="126"/>
      <c r="GD27" s="126"/>
      <c r="GE27" s="126"/>
      <c r="GF27" s="126"/>
      <c r="GG27" s="126"/>
      <c r="GH27" s="126"/>
      <c r="GI27" s="126"/>
      <c r="GJ27" s="126"/>
      <c r="GK27" s="126"/>
      <c r="GL27" s="126"/>
      <c r="GM27" s="126"/>
      <c r="GN27" s="126"/>
      <c r="GO27" s="126"/>
      <c r="GP27" s="126"/>
      <c r="GQ27" s="126"/>
      <c r="GR27" s="126"/>
      <c r="GS27" s="126"/>
      <c r="GT27" s="126"/>
      <c r="GU27" s="126"/>
      <c r="GV27" s="126"/>
      <c r="GW27" s="126"/>
      <c r="GX27" s="128">
        <f t="shared" si="13"/>
        <v>0</v>
      </c>
      <c r="GY27" s="132">
        <f>標單!F21</f>
        <v>393</v>
      </c>
      <c r="GZ27" s="132">
        <f>標單!G21</f>
        <v>80958</v>
      </c>
      <c r="HA27" s="104">
        <f t="shared" si="12"/>
        <v>1.5630000000000002E-2</v>
      </c>
    </row>
    <row r="28" spans="1:209" ht="38.450000000000003" customHeight="1" thickBot="1">
      <c r="A28" s="193">
        <v>16</v>
      </c>
      <c r="B28" s="194" t="str">
        <f>標單!C22</f>
        <v>施做抿石子(1~2分霓虹石，抿石子專用泥)</v>
      </c>
      <c r="C28" s="195">
        <f>標單!E22</f>
        <v>8</v>
      </c>
      <c r="D28" s="196" t="str">
        <f>標單!D22</f>
        <v>M2</v>
      </c>
      <c r="E28" s="126"/>
      <c r="F28" s="126"/>
      <c r="G28" s="126"/>
      <c r="H28" s="126"/>
      <c r="I28" s="126"/>
      <c r="J28" s="126"/>
      <c r="K28" s="126"/>
      <c r="L28" s="126"/>
      <c r="M28" s="126"/>
      <c r="N28" s="126"/>
      <c r="O28" s="126"/>
      <c r="P28" s="126"/>
      <c r="Q28" s="126"/>
      <c r="R28" s="126"/>
      <c r="S28" s="126"/>
      <c r="T28" s="126"/>
      <c r="U28" s="126"/>
      <c r="V28" s="126"/>
      <c r="W28" s="126"/>
      <c r="X28" s="126"/>
      <c r="Y28" s="126"/>
      <c r="Z28" s="126"/>
      <c r="AA28" s="126"/>
      <c r="AB28" s="126"/>
      <c r="AC28" s="126"/>
      <c r="AD28" s="126"/>
      <c r="AE28" s="126"/>
      <c r="AF28" s="126"/>
      <c r="AG28" s="126"/>
      <c r="AH28" s="126"/>
      <c r="AI28" s="126"/>
      <c r="AJ28" s="126"/>
      <c r="AK28" s="126"/>
      <c r="AL28" s="126"/>
      <c r="AM28" s="126"/>
      <c r="AN28" s="126"/>
      <c r="AO28" s="126"/>
      <c r="AP28" s="126"/>
      <c r="AQ28" s="126"/>
      <c r="AR28" s="126"/>
      <c r="AS28" s="126"/>
      <c r="AT28" s="126"/>
      <c r="AU28" s="126"/>
      <c r="AV28" s="126"/>
      <c r="AW28" s="126"/>
      <c r="AX28" s="126"/>
      <c r="AY28" s="126"/>
      <c r="AZ28" s="126"/>
      <c r="BA28" s="126"/>
      <c r="BB28" s="126"/>
      <c r="BC28" s="126"/>
      <c r="BD28" s="126"/>
      <c r="BE28" s="126"/>
      <c r="BF28" s="126"/>
      <c r="BG28" s="126"/>
      <c r="BH28" s="126"/>
      <c r="BI28" s="126"/>
      <c r="BJ28" s="126"/>
      <c r="BK28" s="126"/>
      <c r="BL28" s="126"/>
      <c r="BM28" s="126"/>
      <c r="BN28" s="126"/>
      <c r="BO28" s="126"/>
      <c r="BP28" s="126"/>
      <c r="BQ28" s="126"/>
      <c r="BR28" s="126"/>
      <c r="BS28" s="126"/>
      <c r="BT28" s="126"/>
      <c r="BU28" s="126"/>
      <c r="BV28" s="126"/>
      <c r="BW28" s="126"/>
      <c r="BX28" s="126"/>
      <c r="BY28" s="126"/>
      <c r="BZ28" s="126"/>
      <c r="CA28" s="126"/>
      <c r="CB28" s="126"/>
      <c r="CC28" s="126"/>
      <c r="CD28" s="126"/>
      <c r="CE28" s="126"/>
      <c r="CF28" s="126"/>
      <c r="CG28" s="126"/>
      <c r="CH28" s="126"/>
      <c r="CI28" s="126"/>
      <c r="CJ28" s="126"/>
      <c r="CK28" s="126"/>
      <c r="CL28" s="126"/>
      <c r="CM28" s="126"/>
      <c r="CN28" s="126"/>
      <c r="CO28" s="126"/>
      <c r="CP28" s="126"/>
      <c r="CQ28" s="126"/>
      <c r="CR28" s="126"/>
      <c r="CS28" s="126"/>
      <c r="CT28" s="126"/>
      <c r="CU28" s="126"/>
      <c r="CV28" s="126"/>
      <c r="CW28" s="126"/>
      <c r="CX28" s="126"/>
      <c r="CY28" s="126"/>
      <c r="CZ28" s="126"/>
      <c r="DA28" s="126"/>
      <c r="DB28" s="126"/>
      <c r="DC28" s="126"/>
      <c r="DD28" s="126"/>
      <c r="DE28" s="126"/>
      <c r="DF28" s="126"/>
      <c r="DG28" s="126"/>
      <c r="DH28" s="126"/>
      <c r="DI28" s="126"/>
      <c r="DJ28" s="126"/>
      <c r="DK28" s="126"/>
      <c r="DL28" s="126"/>
      <c r="DM28" s="126"/>
      <c r="DN28" s="126"/>
      <c r="DO28" s="126"/>
      <c r="DP28" s="126"/>
      <c r="DQ28" s="126"/>
      <c r="DR28" s="126"/>
      <c r="DS28" s="126"/>
      <c r="DT28" s="126"/>
      <c r="DU28" s="126"/>
      <c r="DV28" s="126"/>
      <c r="DW28" s="126"/>
      <c r="DX28" s="126"/>
      <c r="DY28" s="126"/>
      <c r="DZ28" s="126"/>
      <c r="EA28" s="126"/>
      <c r="EB28" s="126"/>
      <c r="EC28" s="126"/>
      <c r="ED28" s="126"/>
      <c r="EE28" s="126"/>
      <c r="EF28" s="126"/>
      <c r="EG28" s="126"/>
      <c r="EH28" s="126"/>
      <c r="EI28" s="126"/>
      <c r="EJ28" s="126"/>
      <c r="EK28" s="126"/>
      <c r="EL28" s="126"/>
      <c r="EM28" s="126"/>
      <c r="EN28" s="126"/>
      <c r="EO28" s="126"/>
      <c r="EP28" s="126"/>
      <c r="EQ28" s="126"/>
      <c r="ER28" s="126"/>
      <c r="ES28" s="126"/>
      <c r="ET28" s="126"/>
      <c r="EU28" s="126"/>
      <c r="EV28" s="126"/>
      <c r="EW28" s="126"/>
      <c r="EX28" s="126"/>
      <c r="EY28" s="126"/>
      <c r="EZ28" s="126"/>
      <c r="FA28" s="126"/>
      <c r="FB28" s="126"/>
      <c r="FC28" s="126"/>
      <c r="FD28" s="126"/>
      <c r="FE28" s="126"/>
      <c r="FF28" s="126"/>
      <c r="FG28" s="126"/>
      <c r="FH28" s="126"/>
      <c r="FI28" s="126"/>
      <c r="FJ28" s="126"/>
      <c r="FK28" s="126"/>
      <c r="FL28" s="126"/>
      <c r="FM28" s="126"/>
      <c r="FN28" s="126"/>
      <c r="FO28" s="126"/>
      <c r="FP28" s="126"/>
      <c r="FQ28" s="126"/>
      <c r="FR28" s="126"/>
      <c r="FS28" s="126"/>
      <c r="FT28" s="126"/>
      <c r="FU28" s="126"/>
      <c r="FV28" s="126"/>
      <c r="FW28" s="126"/>
      <c r="FX28" s="126"/>
      <c r="FY28" s="126"/>
      <c r="FZ28" s="126"/>
      <c r="GA28" s="126"/>
      <c r="GB28" s="126"/>
      <c r="GC28" s="126"/>
      <c r="GD28" s="126"/>
      <c r="GE28" s="126"/>
      <c r="GF28" s="126"/>
      <c r="GG28" s="126"/>
      <c r="GH28" s="126"/>
      <c r="GI28" s="126"/>
      <c r="GJ28" s="126"/>
      <c r="GK28" s="126"/>
      <c r="GL28" s="126"/>
      <c r="GM28" s="126"/>
      <c r="GN28" s="126"/>
      <c r="GO28" s="126"/>
      <c r="GP28" s="126"/>
      <c r="GQ28" s="126"/>
      <c r="GR28" s="126"/>
      <c r="GS28" s="126"/>
      <c r="GT28" s="126"/>
      <c r="GU28" s="126"/>
      <c r="GV28" s="126"/>
      <c r="GW28" s="126"/>
      <c r="GX28" s="128">
        <f t="shared" si="13"/>
        <v>0</v>
      </c>
      <c r="GY28" s="132">
        <f>標單!F22</f>
        <v>1080</v>
      </c>
      <c r="GZ28" s="132">
        <f>標單!G22</f>
        <v>8640</v>
      </c>
      <c r="HA28" s="104">
        <f t="shared" si="12"/>
        <v>1.67E-3</v>
      </c>
    </row>
    <row r="29" spans="1:209" ht="38.450000000000003" customHeight="1" thickBot="1">
      <c r="A29" s="193">
        <v>17</v>
      </c>
      <c r="B29" s="194" t="str">
        <f>標單!C23</f>
        <v>牆面與平頂水泥漆粉刷(含清潔，批土整平，一底漆二度面漆)</v>
      </c>
      <c r="C29" s="195">
        <f>標單!E23</f>
        <v>385</v>
      </c>
      <c r="D29" s="196" t="str">
        <f>標單!D23</f>
        <v>M2</v>
      </c>
      <c r="E29" s="126"/>
      <c r="F29" s="126"/>
      <c r="G29" s="126"/>
      <c r="H29" s="126"/>
      <c r="I29" s="126"/>
      <c r="J29" s="126"/>
      <c r="K29" s="126"/>
      <c r="L29" s="126"/>
      <c r="M29" s="126"/>
      <c r="N29" s="126"/>
      <c r="O29" s="126"/>
      <c r="P29" s="126"/>
      <c r="Q29" s="126"/>
      <c r="R29" s="126"/>
      <c r="S29" s="126"/>
      <c r="T29" s="126"/>
      <c r="U29" s="126"/>
      <c r="V29" s="126"/>
      <c r="W29" s="126"/>
      <c r="X29" s="126"/>
      <c r="Y29" s="126"/>
      <c r="Z29" s="126"/>
      <c r="AA29" s="126"/>
      <c r="AB29" s="126"/>
      <c r="AC29" s="126"/>
      <c r="AD29" s="126"/>
      <c r="AE29" s="126"/>
      <c r="AF29" s="126"/>
      <c r="AG29" s="126"/>
      <c r="AH29" s="126"/>
      <c r="AI29" s="126"/>
      <c r="AJ29" s="126"/>
      <c r="AK29" s="126"/>
      <c r="AL29" s="126"/>
      <c r="AM29" s="126"/>
      <c r="AN29" s="126"/>
      <c r="AO29" s="126"/>
      <c r="AP29" s="126"/>
      <c r="AQ29" s="126"/>
      <c r="AR29" s="126"/>
      <c r="AS29" s="126"/>
      <c r="AT29" s="126"/>
      <c r="AU29" s="126"/>
      <c r="AV29" s="126"/>
      <c r="AW29" s="126"/>
      <c r="AX29" s="126"/>
      <c r="AY29" s="126"/>
      <c r="AZ29" s="126"/>
      <c r="BA29" s="126"/>
      <c r="BB29" s="126"/>
      <c r="BC29" s="126"/>
      <c r="BD29" s="126"/>
      <c r="BE29" s="126"/>
      <c r="BF29" s="126"/>
      <c r="BG29" s="126"/>
      <c r="BH29" s="126"/>
      <c r="BI29" s="126"/>
      <c r="BJ29" s="126"/>
      <c r="BK29" s="126"/>
      <c r="BL29" s="126"/>
      <c r="BM29" s="126"/>
      <c r="BN29" s="126"/>
      <c r="BO29" s="126"/>
      <c r="BP29" s="126"/>
      <c r="BQ29" s="126"/>
      <c r="BR29" s="126"/>
      <c r="BS29" s="126"/>
      <c r="BT29" s="126"/>
      <c r="BU29" s="126"/>
      <c r="BV29" s="126"/>
      <c r="BW29" s="126"/>
      <c r="BX29" s="126"/>
      <c r="BY29" s="126"/>
      <c r="BZ29" s="126"/>
      <c r="CA29" s="126"/>
      <c r="CB29" s="126"/>
      <c r="CC29" s="126"/>
      <c r="CD29" s="126"/>
      <c r="CE29" s="126"/>
      <c r="CF29" s="126"/>
      <c r="CG29" s="126"/>
      <c r="CH29" s="126"/>
      <c r="CI29" s="126"/>
      <c r="CJ29" s="126"/>
      <c r="CK29" s="126"/>
      <c r="CL29" s="126"/>
      <c r="CM29" s="126"/>
      <c r="CN29" s="126"/>
      <c r="CO29" s="126"/>
      <c r="CP29" s="126"/>
      <c r="CQ29" s="126"/>
      <c r="CR29" s="126"/>
      <c r="CS29" s="126"/>
      <c r="CT29" s="126"/>
      <c r="CU29" s="126"/>
      <c r="CV29" s="126"/>
      <c r="CW29" s="126"/>
      <c r="CX29" s="126"/>
      <c r="CY29" s="126"/>
      <c r="CZ29" s="126"/>
      <c r="DA29" s="126"/>
      <c r="DB29" s="126"/>
      <c r="DC29" s="126"/>
      <c r="DD29" s="126"/>
      <c r="DE29" s="126"/>
      <c r="DF29" s="126"/>
      <c r="DG29" s="126"/>
      <c r="DH29" s="126"/>
      <c r="DI29" s="126"/>
      <c r="DJ29" s="126"/>
      <c r="DK29" s="126"/>
      <c r="DL29" s="126"/>
      <c r="DM29" s="126"/>
      <c r="DN29" s="126"/>
      <c r="DO29" s="126"/>
      <c r="DP29" s="126"/>
      <c r="DQ29" s="126"/>
      <c r="DR29" s="126"/>
      <c r="DS29" s="126"/>
      <c r="DT29" s="126"/>
      <c r="DU29" s="126"/>
      <c r="DV29" s="126"/>
      <c r="DW29" s="126"/>
      <c r="DX29" s="126"/>
      <c r="DY29" s="126"/>
      <c r="DZ29" s="126"/>
      <c r="EA29" s="126"/>
      <c r="EB29" s="126"/>
      <c r="EC29" s="126"/>
      <c r="ED29" s="126"/>
      <c r="EE29" s="126"/>
      <c r="EF29" s="126"/>
      <c r="EG29" s="126"/>
      <c r="EH29" s="126"/>
      <c r="EI29" s="126"/>
      <c r="EJ29" s="126"/>
      <c r="EK29" s="126"/>
      <c r="EL29" s="126"/>
      <c r="EM29" s="126"/>
      <c r="EN29" s="126"/>
      <c r="EO29" s="126"/>
      <c r="EP29" s="126"/>
      <c r="EQ29" s="126"/>
      <c r="ER29" s="126"/>
      <c r="ES29" s="126"/>
      <c r="ET29" s="126"/>
      <c r="EU29" s="126"/>
      <c r="EV29" s="126"/>
      <c r="EW29" s="126"/>
      <c r="EX29" s="126"/>
      <c r="EY29" s="126"/>
      <c r="EZ29" s="126"/>
      <c r="FA29" s="126"/>
      <c r="FB29" s="126"/>
      <c r="FC29" s="126"/>
      <c r="FD29" s="126"/>
      <c r="FE29" s="126"/>
      <c r="FF29" s="126"/>
      <c r="FG29" s="126"/>
      <c r="FH29" s="126"/>
      <c r="FI29" s="126"/>
      <c r="FJ29" s="126"/>
      <c r="FK29" s="126"/>
      <c r="FL29" s="126"/>
      <c r="FM29" s="126"/>
      <c r="FN29" s="126"/>
      <c r="FO29" s="126"/>
      <c r="FP29" s="126"/>
      <c r="FQ29" s="126"/>
      <c r="FR29" s="126"/>
      <c r="FS29" s="126"/>
      <c r="FT29" s="126"/>
      <c r="FU29" s="126"/>
      <c r="FV29" s="126"/>
      <c r="FW29" s="126"/>
      <c r="FX29" s="126"/>
      <c r="FY29" s="126"/>
      <c r="FZ29" s="126"/>
      <c r="GA29" s="126"/>
      <c r="GB29" s="126"/>
      <c r="GC29" s="126"/>
      <c r="GD29" s="126"/>
      <c r="GE29" s="126"/>
      <c r="GF29" s="126"/>
      <c r="GG29" s="126"/>
      <c r="GH29" s="126"/>
      <c r="GI29" s="126"/>
      <c r="GJ29" s="126"/>
      <c r="GK29" s="126"/>
      <c r="GL29" s="126"/>
      <c r="GM29" s="126"/>
      <c r="GN29" s="126"/>
      <c r="GO29" s="126"/>
      <c r="GP29" s="126"/>
      <c r="GQ29" s="126"/>
      <c r="GR29" s="126"/>
      <c r="GS29" s="126"/>
      <c r="GT29" s="126"/>
      <c r="GU29" s="126"/>
      <c r="GV29" s="126"/>
      <c r="GW29" s="126"/>
      <c r="GX29" s="128">
        <f t="shared" si="13"/>
        <v>0</v>
      </c>
      <c r="GY29" s="132">
        <f>標單!F23</f>
        <v>167</v>
      </c>
      <c r="GZ29" s="132">
        <f>標單!G23</f>
        <v>64295</v>
      </c>
      <c r="HA29" s="104">
        <f t="shared" si="12"/>
        <v>1.2409999999999999E-2</v>
      </c>
    </row>
    <row r="30" spans="1:209" ht="38.450000000000003" customHeight="1" thickBot="1">
      <c r="A30" s="193">
        <v>18</v>
      </c>
      <c r="B30" s="194" t="str">
        <f>標單!C24</f>
        <v>安裝13mm熱固性樹脂板隔間含門片(頂面H=200cm以上)</v>
      </c>
      <c r="C30" s="195">
        <f>標單!E24</f>
        <v>201</v>
      </c>
      <c r="D30" s="196" t="str">
        <f>標單!D24</f>
        <v>M2</v>
      </c>
      <c r="E30" s="126"/>
      <c r="F30" s="126"/>
      <c r="G30" s="126"/>
      <c r="H30" s="126"/>
      <c r="I30" s="126"/>
      <c r="J30" s="126"/>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6"/>
      <c r="AL30" s="126"/>
      <c r="AM30" s="126"/>
      <c r="AN30" s="126"/>
      <c r="AO30" s="126"/>
      <c r="AP30" s="126"/>
      <c r="AQ30" s="126"/>
      <c r="AR30" s="126"/>
      <c r="AS30" s="126"/>
      <c r="AT30" s="126"/>
      <c r="AU30" s="126"/>
      <c r="AV30" s="126"/>
      <c r="AW30" s="126"/>
      <c r="AX30" s="126"/>
      <c r="AY30" s="126"/>
      <c r="AZ30" s="126"/>
      <c r="BA30" s="126"/>
      <c r="BB30" s="126"/>
      <c r="BC30" s="126"/>
      <c r="BD30" s="126"/>
      <c r="BE30" s="126"/>
      <c r="BF30" s="126"/>
      <c r="BG30" s="126"/>
      <c r="BH30" s="126"/>
      <c r="BI30" s="126"/>
      <c r="BJ30" s="126"/>
      <c r="BK30" s="126"/>
      <c r="BL30" s="126"/>
      <c r="BM30" s="126"/>
      <c r="BN30" s="126"/>
      <c r="BO30" s="126"/>
      <c r="BP30" s="126"/>
      <c r="BQ30" s="126"/>
      <c r="BR30" s="126"/>
      <c r="BS30" s="126"/>
      <c r="BT30" s="126"/>
      <c r="BU30" s="126"/>
      <c r="BV30" s="126"/>
      <c r="BW30" s="126"/>
      <c r="BX30" s="126"/>
      <c r="BY30" s="126"/>
      <c r="BZ30" s="126"/>
      <c r="CA30" s="126"/>
      <c r="CB30" s="126"/>
      <c r="CC30" s="126"/>
      <c r="CD30" s="126"/>
      <c r="CE30" s="126"/>
      <c r="CF30" s="126"/>
      <c r="CG30" s="126"/>
      <c r="CH30" s="126"/>
      <c r="CI30" s="126"/>
      <c r="CJ30" s="126"/>
      <c r="CK30" s="126"/>
      <c r="CL30" s="126"/>
      <c r="CM30" s="126"/>
      <c r="CN30" s="126"/>
      <c r="CO30" s="126"/>
      <c r="CP30" s="126"/>
      <c r="CQ30" s="126"/>
      <c r="CR30" s="126"/>
      <c r="CS30" s="126"/>
      <c r="CT30" s="126"/>
      <c r="CU30" s="126"/>
      <c r="CV30" s="126"/>
      <c r="CW30" s="126"/>
      <c r="CX30" s="126"/>
      <c r="CY30" s="126"/>
      <c r="CZ30" s="126"/>
      <c r="DA30" s="126"/>
      <c r="DB30" s="126"/>
      <c r="DC30" s="126"/>
      <c r="DD30" s="126"/>
      <c r="DE30" s="126"/>
      <c r="DF30" s="126"/>
      <c r="DG30" s="126"/>
      <c r="DH30" s="126"/>
      <c r="DI30" s="126"/>
      <c r="DJ30" s="126"/>
      <c r="DK30" s="126"/>
      <c r="DL30" s="126"/>
      <c r="DM30" s="126"/>
      <c r="DN30" s="126"/>
      <c r="DO30" s="126"/>
      <c r="DP30" s="126"/>
      <c r="DQ30" s="126"/>
      <c r="DR30" s="126"/>
      <c r="DS30" s="126"/>
      <c r="DT30" s="126"/>
      <c r="DU30" s="126"/>
      <c r="DV30" s="126"/>
      <c r="DW30" s="126"/>
      <c r="DX30" s="126"/>
      <c r="DY30" s="126"/>
      <c r="DZ30" s="126"/>
      <c r="EA30" s="126"/>
      <c r="EB30" s="126"/>
      <c r="EC30" s="126"/>
      <c r="ED30" s="126"/>
      <c r="EE30" s="126"/>
      <c r="EF30" s="126"/>
      <c r="EG30" s="126"/>
      <c r="EH30" s="126"/>
      <c r="EI30" s="126"/>
      <c r="EJ30" s="126"/>
      <c r="EK30" s="126"/>
      <c r="EL30" s="126"/>
      <c r="EM30" s="126"/>
      <c r="EN30" s="126"/>
      <c r="EO30" s="126"/>
      <c r="EP30" s="126"/>
      <c r="EQ30" s="126"/>
      <c r="ER30" s="126"/>
      <c r="ES30" s="126"/>
      <c r="ET30" s="126"/>
      <c r="EU30" s="126"/>
      <c r="EV30" s="126"/>
      <c r="EW30" s="126"/>
      <c r="EX30" s="126"/>
      <c r="EY30" s="126"/>
      <c r="EZ30" s="126"/>
      <c r="FA30" s="126"/>
      <c r="FB30" s="126"/>
      <c r="FC30" s="126"/>
      <c r="FD30" s="126"/>
      <c r="FE30" s="126"/>
      <c r="FF30" s="126"/>
      <c r="FG30" s="126"/>
      <c r="FH30" s="126"/>
      <c r="FI30" s="126"/>
      <c r="FJ30" s="126"/>
      <c r="FK30" s="126"/>
      <c r="FL30" s="126"/>
      <c r="FM30" s="126"/>
      <c r="FN30" s="126"/>
      <c r="FO30" s="126"/>
      <c r="FP30" s="126"/>
      <c r="FQ30" s="126"/>
      <c r="FR30" s="126"/>
      <c r="FS30" s="126"/>
      <c r="FT30" s="126"/>
      <c r="FU30" s="126"/>
      <c r="FV30" s="126"/>
      <c r="FW30" s="126"/>
      <c r="FX30" s="126"/>
      <c r="FY30" s="126"/>
      <c r="FZ30" s="126"/>
      <c r="GA30" s="126"/>
      <c r="GB30" s="126"/>
      <c r="GC30" s="126"/>
      <c r="GD30" s="126"/>
      <c r="GE30" s="126"/>
      <c r="GF30" s="126"/>
      <c r="GG30" s="126"/>
      <c r="GH30" s="126"/>
      <c r="GI30" s="126"/>
      <c r="GJ30" s="126"/>
      <c r="GK30" s="126"/>
      <c r="GL30" s="126"/>
      <c r="GM30" s="126"/>
      <c r="GN30" s="126"/>
      <c r="GO30" s="126"/>
      <c r="GP30" s="126"/>
      <c r="GQ30" s="126"/>
      <c r="GR30" s="126"/>
      <c r="GS30" s="126"/>
      <c r="GT30" s="126"/>
      <c r="GU30" s="126"/>
      <c r="GV30" s="126"/>
      <c r="GW30" s="126"/>
      <c r="GX30" s="128">
        <f t="shared" si="13"/>
        <v>0</v>
      </c>
      <c r="GY30" s="132">
        <f>標單!F24</f>
        <v>3040</v>
      </c>
      <c r="GZ30" s="132">
        <f>標單!G24</f>
        <v>611040</v>
      </c>
      <c r="HA30" s="104">
        <f t="shared" si="12"/>
        <v>0.11796</v>
      </c>
    </row>
    <row r="31" spans="1:209" ht="38.450000000000003" customHeight="1" thickBot="1">
      <c r="A31" s="193">
        <v>19</v>
      </c>
      <c r="B31" s="194" t="str">
        <f>標單!C25</f>
        <v>廁間安裝不鏽鋼掛鈎與置物板</v>
      </c>
      <c r="C31" s="195">
        <f>標單!E25</f>
        <v>33</v>
      </c>
      <c r="D31" s="196" t="str">
        <f>標單!D25</f>
        <v>間</v>
      </c>
      <c r="E31" s="126"/>
      <c r="F31" s="126"/>
      <c r="G31" s="126"/>
      <c r="H31" s="126"/>
      <c r="I31" s="126"/>
      <c r="J31" s="126"/>
      <c r="K31" s="126"/>
      <c r="L31" s="126"/>
      <c r="M31" s="126"/>
      <c r="N31" s="126"/>
      <c r="O31" s="126"/>
      <c r="P31" s="126"/>
      <c r="Q31" s="126"/>
      <c r="R31" s="126"/>
      <c r="S31" s="126"/>
      <c r="T31" s="126"/>
      <c r="U31" s="126"/>
      <c r="V31" s="126"/>
      <c r="W31" s="126"/>
      <c r="X31" s="126"/>
      <c r="Y31" s="126"/>
      <c r="Z31" s="126"/>
      <c r="AA31" s="126"/>
      <c r="AB31" s="126"/>
      <c r="AC31" s="126"/>
      <c r="AD31" s="126"/>
      <c r="AE31" s="126"/>
      <c r="AF31" s="126"/>
      <c r="AG31" s="126"/>
      <c r="AH31" s="126"/>
      <c r="AI31" s="126"/>
      <c r="AJ31" s="126"/>
      <c r="AK31" s="126"/>
      <c r="AL31" s="126"/>
      <c r="AM31" s="126"/>
      <c r="AN31" s="126"/>
      <c r="AO31" s="126"/>
      <c r="AP31" s="126"/>
      <c r="AQ31" s="126"/>
      <c r="AR31" s="126"/>
      <c r="AS31" s="126"/>
      <c r="AT31" s="126"/>
      <c r="AU31" s="126"/>
      <c r="AV31" s="126"/>
      <c r="AW31" s="126"/>
      <c r="AX31" s="126"/>
      <c r="AY31" s="126"/>
      <c r="AZ31" s="126"/>
      <c r="BA31" s="126"/>
      <c r="BB31" s="126"/>
      <c r="BC31" s="126"/>
      <c r="BD31" s="126"/>
      <c r="BE31" s="126"/>
      <c r="BF31" s="126"/>
      <c r="BG31" s="126"/>
      <c r="BH31" s="126"/>
      <c r="BI31" s="126"/>
      <c r="BJ31" s="126"/>
      <c r="BK31" s="126"/>
      <c r="BL31" s="126"/>
      <c r="BM31" s="126"/>
      <c r="BN31" s="126"/>
      <c r="BO31" s="126"/>
      <c r="BP31" s="126"/>
      <c r="BQ31" s="126"/>
      <c r="BR31" s="126"/>
      <c r="BS31" s="126"/>
      <c r="BT31" s="126"/>
      <c r="BU31" s="126"/>
      <c r="BV31" s="126"/>
      <c r="BW31" s="126"/>
      <c r="BX31" s="126"/>
      <c r="BY31" s="126"/>
      <c r="BZ31" s="126"/>
      <c r="CA31" s="126"/>
      <c r="CB31" s="126"/>
      <c r="CC31" s="126"/>
      <c r="CD31" s="126"/>
      <c r="CE31" s="126"/>
      <c r="CF31" s="126"/>
      <c r="CG31" s="126"/>
      <c r="CH31" s="126"/>
      <c r="CI31" s="126"/>
      <c r="CJ31" s="126"/>
      <c r="CK31" s="126"/>
      <c r="CL31" s="126"/>
      <c r="CM31" s="126"/>
      <c r="CN31" s="126"/>
      <c r="CO31" s="126"/>
      <c r="CP31" s="126"/>
      <c r="CQ31" s="126"/>
      <c r="CR31" s="126"/>
      <c r="CS31" s="126"/>
      <c r="CT31" s="126"/>
      <c r="CU31" s="126"/>
      <c r="CV31" s="126"/>
      <c r="CW31" s="126"/>
      <c r="CX31" s="126"/>
      <c r="CY31" s="126"/>
      <c r="CZ31" s="126"/>
      <c r="DA31" s="126"/>
      <c r="DB31" s="126"/>
      <c r="DC31" s="126"/>
      <c r="DD31" s="126"/>
      <c r="DE31" s="126"/>
      <c r="DF31" s="126"/>
      <c r="DG31" s="126"/>
      <c r="DH31" s="126"/>
      <c r="DI31" s="126"/>
      <c r="DJ31" s="126"/>
      <c r="DK31" s="126"/>
      <c r="DL31" s="126"/>
      <c r="DM31" s="126"/>
      <c r="DN31" s="126"/>
      <c r="DO31" s="126"/>
      <c r="DP31" s="126"/>
      <c r="DQ31" s="126"/>
      <c r="DR31" s="126"/>
      <c r="DS31" s="126"/>
      <c r="DT31" s="126"/>
      <c r="DU31" s="126"/>
      <c r="DV31" s="126"/>
      <c r="DW31" s="126"/>
      <c r="DX31" s="126"/>
      <c r="DY31" s="126"/>
      <c r="DZ31" s="126"/>
      <c r="EA31" s="126"/>
      <c r="EB31" s="126"/>
      <c r="EC31" s="126"/>
      <c r="ED31" s="126"/>
      <c r="EE31" s="126"/>
      <c r="EF31" s="126"/>
      <c r="EG31" s="126"/>
      <c r="EH31" s="126"/>
      <c r="EI31" s="126"/>
      <c r="EJ31" s="126"/>
      <c r="EK31" s="126"/>
      <c r="EL31" s="126"/>
      <c r="EM31" s="126"/>
      <c r="EN31" s="126"/>
      <c r="EO31" s="126"/>
      <c r="EP31" s="126"/>
      <c r="EQ31" s="126"/>
      <c r="ER31" s="126"/>
      <c r="ES31" s="126"/>
      <c r="ET31" s="126"/>
      <c r="EU31" s="126"/>
      <c r="EV31" s="126"/>
      <c r="EW31" s="126"/>
      <c r="EX31" s="126"/>
      <c r="EY31" s="126"/>
      <c r="EZ31" s="126"/>
      <c r="FA31" s="126"/>
      <c r="FB31" s="126"/>
      <c r="FC31" s="126"/>
      <c r="FD31" s="126"/>
      <c r="FE31" s="126"/>
      <c r="FF31" s="126"/>
      <c r="FG31" s="126"/>
      <c r="FH31" s="126"/>
      <c r="FI31" s="126"/>
      <c r="FJ31" s="126"/>
      <c r="FK31" s="126"/>
      <c r="FL31" s="126"/>
      <c r="FM31" s="126"/>
      <c r="FN31" s="126"/>
      <c r="FO31" s="126"/>
      <c r="FP31" s="126"/>
      <c r="FQ31" s="126"/>
      <c r="FR31" s="126"/>
      <c r="FS31" s="126"/>
      <c r="FT31" s="126"/>
      <c r="FU31" s="126"/>
      <c r="FV31" s="126"/>
      <c r="FW31" s="126"/>
      <c r="FX31" s="126"/>
      <c r="FY31" s="126"/>
      <c r="FZ31" s="126"/>
      <c r="GA31" s="126"/>
      <c r="GB31" s="126"/>
      <c r="GC31" s="126"/>
      <c r="GD31" s="126"/>
      <c r="GE31" s="126"/>
      <c r="GF31" s="126"/>
      <c r="GG31" s="126"/>
      <c r="GH31" s="126"/>
      <c r="GI31" s="126"/>
      <c r="GJ31" s="126"/>
      <c r="GK31" s="126"/>
      <c r="GL31" s="126"/>
      <c r="GM31" s="126"/>
      <c r="GN31" s="126"/>
      <c r="GO31" s="126"/>
      <c r="GP31" s="126"/>
      <c r="GQ31" s="126"/>
      <c r="GR31" s="126"/>
      <c r="GS31" s="126"/>
      <c r="GT31" s="126"/>
      <c r="GU31" s="126"/>
      <c r="GV31" s="126"/>
      <c r="GW31" s="126"/>
      <c r="GX31" s="128">
        <f t="shared" si="13"/>
        <v>0</v>
      </c>
      <c r="GY31" s="132">
        <f>標單!F25</f>
        <v>589</v>
      </c>
      <c r="GZ31" s="132">
        <f>標單!G25</f>
        <v>19437</v>
      </c>
      <c r="HA31" s="104">
        <f t="shared" si="12"/>
        <v>3.7499999999999999E-3</v>
      </c>
    </row>
    <row r="32" spans="1:209" ht="38.450000000000003" customHeight="1" thickBot="1">
      <c r="A32" s="193">
        <v>20</v>
      </c>
      <c r="B32" s="194" t="str">
        <f>標單!C26</f>
        <v>13mm熱固性樹脂板小便斗隔屏</v>
      </c>
      <c r="C32" s="195">
        <f>標單!E26</f>
        <v>12</v>
      </c>
      <c r="D32" s="196" t="str">
        <f>標單!D26</f>
        <v>片</v>
      </c>
      <c r="E32" s="126"/>
      <c r="F32" s="126"/>
      <c r="G32" s="126"/>
      <c r="H32" s="126"/>
      <c r="I32" s="126"/>
      <c r="J32" s="126"/>
      <c r="K32" s="126"/>
      <c r="L32" s="126"/>
      <c r="M32" s="126"/>
      <c r="N32" s="126"/>
      <c r="O32" s="126"/>
      <c r="P32" s="126"/>
      <c r="Q32" s="126"/>
      <c r="R32" s="126"/>
      <c r="S32" s="126"/>
      <c r="T32" s="126"/>
      <c r="U32" s="126"/>
      <c r="V32" s="126"/>
      <c r="W32" s="126"/>
      <c r="X32" s="126"/>
      <c r="Y32" s="126"/>
      <c r="Z32" s="126"/>
      <c r="AA32" s="126"/>
      <c r="AB32" s="126"/>
      <c r="AC32" s="126"/>
      <c r="AD32" s="126"/>
      <c r="AE32" s="126"/>
      <c r="AF32" s="126"/>
      <c r="AG32" s="126"/>
      <c r="AH32" s="126"/>
      <c r="AI32" s="126"/>
      <c r="AJ32" s="126"/>
      <c r="AK32" s="126"/>
      <c r="AL32" s="126"/>
      <c r="AM32" s="126"/>
      <c r="AN32" s="126"/>
      <c r="AO32" s="126"/>
      <c r="AP32" s="126"/>
      <c r="AQ32" s="126"/>
      <c r="AR32" s="126"/>
      <c r="AS32" s="126"/>
      <c r="AT32" s="126"/>
      <c r="AU32" s="126"/>
      <c r="AV32" s="126"/>
      <c r="AW32" s="126"/>
      <c r="AX32" s="126"/>
      <c r="AY32" s="126"/>
      <c r="AZ32" s="126"/>
      <c r="BA32" s="126"/>
      <c r="BB32" s="126"/>
      <c r="BC32" s="126"/>
      <c r="BD32" s="126"/>
      <c r="BE32" s="126"/>
      <c r="BF32" s="126"/>
      <c r="BG32" s="126"/>
      <c r="BH32" s="126"/>
      <c r="BI32" s="126"/>
      <c r="BJ32" s="126"/>
      <c r="BK32" s="126"/>
      <c r="BL32" s="126"/>
      <c r="BM32" s="126"/>
      <c r="BN32" s="126"/>
      <c r="BO32" s="126"/>
      <c r="BP32" s="126"/>
      <c r="BQ32" s="126"/>
      <c r="BR32" s="126"/>
      <c r="BS32" s="126"/>
      <c r="BT32" s="126"/>
      <c r="BU32" s="126"/>
      <c r="BV32" s="126"/>
      <c r="BW32" s="126"/>
      <c r="BX32" s="126"/>
      <c r="BY32" s="126"/>
      <c r="BZ32" s="126"/>
      <c r="CA32" s="126"/>
      <c r="CB32" s="126"/>
      <c r="CC32" s="126"/>
      <c r="CD32" s="126"/>
      <c r="CE32" s="126"/>
      <c r="CF32" s="126"/>
      <c r="CG32" s="126"/>
      <c r="CH32" s="126"/>
      <c r="CI32" s="126"/>
      <c r="CJ32" s="126"/>
      <c r="CK32" s="126"/>
      <c r="CL32" s="126"/>
      <c r="CM32" s="126"/>
      <c r="CN32" s="126"/>
      <c r="CO32" s="126"/>
      <c r="CP32" s="126"/>
      <c r="CQ32" s="126"/>
      <c r="CR32" s="126"/>
      <c r="CS32" s="126"/>
      <c r="CT32" s="126"/>
      <c r="CU32" s="126"/>
      <c r="CV32" s="126"/>
      <c r="CW32" s="126"/>
      <c r="CX32" s="126"/>
      <c r="CY32" s="126"/>
      <c r="CZ32" s="126"/>
      <c r="DA32" s="126"/>
      <c r="DB32" s="126"/>
      <c r="DC32" s="126"/>
      <c r="DD32" s="126"/>
      <c r="DE32" s="126"/>
      <c r="DF32" s="126"/>
      <c r="DG32" s="126"/>
      <c r="DH32" s="126"/>
      <c r="DI32" s="126"/>
      <c r="DJ32" s="126"/>
      <c r="DK32" s="126"/>
      <c r="DL32" s="126"/>
      <c r="DM32" s="126"/>
      <c r="DN32" s="126"/>
      <c r="DO32" s="126"/>
      <c r="DP32" s="126"/>
      <c r="DQ32" s="126"/>
      <c r="DR32" s="126"/>
      <c r="DS32" s="126"/>
      <c r="DT32" s="126"/>
      <c r="DU32" s="126"/>
      <c r="DV32" s="126"/>
      <c r="DW32" s="126"/>
      <c r="DX32" s="126"/>
      <c r="DY32" s="126"/>
      <c r="DZ32" s="126"/>
      <c r="EA32" s="126"/>
      <c r="EB32" s="126"/>
      <c r="EC32" s="126"/>
      <c r="ED32" s="126"/>
      <c r="EE32" s="126"/>
      <c r="EF32" s="126"/>
      <c r="EG32" s="126"/>
      <c r="EH32" s="126"/>
      <c r="EI32" s="126"/>
      <c r="EJ32" s="126"/>
      <c r="EK32" s="126"/>
      <c r="EL32" s="126"/>
      <c r="EM32" s="126"/>
      <c r="EN32" s="126"/>
      <c r="EO32" s="126"/>
      <c r="EP32" s="126"/>
      <c r="EQ32" s="126"/>
      <c r="ER32" s="126"/>
      <c r="ES32" s="126"/>
      <c r="ET32" s="126"/>
      <c r="EU32" s="126"/>
      <c r="EV32" s="126"/>
      <c r="EW32" s="126"/>
      <c r="EX32" s="126"/>
      <c r="EY32" s="126"/>
      <c r="EZ32" s="126"/>
      <c r="FA32" s="126"/>
      <c r="FB32" s="126"/>
      <c r="FC32" s="126"/>
      <c r="FD32" s="126"/>
      <c r="FE32" s="126"/>
      <c r="FF32" s="126"/>
      <c r="FG32" s="126"/>
      <c r="FH32" s="126"/>
      <c r="FI32" s="126"/>
      <c r="FJ32" s="126"/>
      <c r="FK32" s="126"/>
      <c r="FL32" s="126"/>
      <c r="FM32" s="126"/>
      <c r="FN32" s="126"/>
      <c r="FO32" s="126"/>
      <c r="FP32" s="126"/>
      <c r="FQ32" s="126"/>
      <c r="FR32" s="126"/>
      <c r="FS32" s="126"/>
      <c r="FT32" s="126"/>
      <c r="FU32" s="126"/>
      <c r="FV32" s="126"/>
      <c r="FW32" s="126"/>
      <c r="FX32" s="126"/>
      <c r="FY32" s="126"/>
      <c r="FZ32" s="126"/>
      <c r="GA32" s="126"/>
      <c r="GB32" s="126"/>
      <c r="GC32" s="126"/>
      <c r="GD32" s="126"/>
      <c r="GE32" s="126"/>
      <c r="GF32" s="126"/>
      <c r="GG32" s="126"/>
      <c r="GH32" s="126"/>
      <c r="GI32" s="126"/>
      <c r="GJ32" s="126"/>
      <c r="GK32" s="126"/>
      <c r="GL32" s="126"/>
      <c r="GM32" s="126"/>
      <c r="GN32" s="126"/>
      <c r="GO32" s="126"/>
      <c r="GP32" s="126"/>
      <c r="GQ32" s="126"/>
      <c r="GR32" s="126"/>
      <c r="GS32" s="126"/>
      <c r="GT32" s="126"/>
      <c r="GU32" s="126"/>
      <c r="GV32" s="126"/>
      <c r="GW32" s="126"/>
      <c r="GX32" s="128">
        <f t="shared" si="13"/>
        <v>0</v>
      </c>
      <c r="GY32" s="132">
        <f>標單!F26</f>
        <v>1865</v>
      </c>
      <c r="GZ32" s="132">
        <f>標單!G26</f>
        <v>22380</v>
      </c>
      <c r="HA32" s="104">
        <f t="shared" si="12"/>
        <v>4.3200000000000001E-3</v>
      </c>
    </row>
    <row r="33" spans="1:209" ht="38.450000000000003" customHeight="1" thickBot="1">
      <c r="A33" s="193">
        <v>21</v>
      </c>
      <c r="B33" s="194" t="str">
        <f>標單!C27</f>
        <v>新設砌磚洗手台與拖布盆工程6座(連工帶料，責任施工)</v>
      </c>
      <c r="C33" s="195">
        <f>標單!E27</f>
        <v>1</v>
      </c>
      <c r="D33" s="196" t="str">
        <f>標單!D27</f>
        <v>式</v>
      </c>
      <c r="E33" s="126"/>
      <c r="F33" s="126"/>
      <c r="G33" s="126"/>
      <c r="H33" s="126"/>
      <c r="I33" s="126"/>
      <c r="J33" s="126"/>
      <c r="K33" s="126"/>
      <c r="L33" s="126"/>
      <c r="M33" s="126"/>
      <c r="N33" s="126"/>
      <c r="O33" s="126"/>
      <c r="P33" s="126"/>
      <c r="Q33" s="126"/>
      <c r="R33" s="126"/>
      <c r="S33" s="126"/>
      <c r="T33" s="126"/>
      <c r="U33" s="126"/>
      <c r="V33" s="126"/>
      <c r="W33" s="126"/>
      <c r="X33" s="126"/>
      <c r="Y33" s="126"/>
      <c r="Z33" s="126"/>
      <c r="AA33" s="126"/>
      <c r="AB33" s="126"/>
      <c r="AC33" s="126"/>
      <c r="AD33" s="126"/>
      <c r="AE33" s="126"/>
      <c r="AF33" s="126"/>
      <c r="AG33" s="126"/>
      <c r="AH33" s="126"/>
      <c r="AI33" s="126"/>
      <c r="AJ33" s="126"/>
      <c r="AK33" s="126"/>
      <c r="AL33" s="126"/>
      <c r="AM33" s="126"/>
      <c r="AN33" s="126"/>
      <c r="AO33" s="126"/>
      <c r="AP33" s="126"/>
      <c r="AQ33" s="126"/>
      <c r="AR33" s="126"/>
      <c r="AS33" s="126"/>
      <c r="AT33" s="126"/>
      <c r="AU33" s="126"/>
      <c r="AV33" s="126"/>
      <c r="AW33" s="126"/>
      <c r="AX33" s="126"/>
      <c r="AY33" s="126"/>
      <c r="AZ33" s="126"/>
      <c r="BA33" s="126"/>
      <c r="BB33" s="126"/>
      <c r="BC33" s="126"/>
      <c r="BD33" s="126"/>
      <c r="BE33" s="126"/>
      <c r="BF33" s="126"/>
      <c r="BG33" s="126"/>
      <c r="BH33" s="126"/>
      <c r="BI33" s="126"/>
      <c r="BJ33" s="126"/>
      <c r="BK33" s="126"/>
      <c r="BL33" s="126"/>
      <c r="BM33" s="126"/>
      <c r="BN33" s="126"/>
      <c r="BO33" s="126"/>
      <c r="BP33" s="126"/>
      <c r="BQ33" s="126"/>
      <c r="BR33" s="126"/>
      <c r="BS33" s="126"/>
      <c r="BT33" s="126"/>
      <c r="BU33" s="126"/>
      <c r="BV33" s="126"/>
      <c r="BW33" s="126"/>
      <c r="BX33" s="126"/>
      <c r="BY33" s="126"/>
      <c r="BZ33" s="126"/>
      <c r="CA33" s="126"/>
      <c r="CB33" s="126"/>
      <c r="CC33" s="126"/>
      <c r="CD33" s="126"/>
      <c r="CE33" s="126"/>
      <c r="CF33" s="126"/>
      <c r="CG33" s="126"/>
      <c r="CH33" s="126"/>
      <c r="CI33" s="126"/>
      <c r="CJ33" s="126"/>
      <c r="CK33" s="126"/>
      <c r="CL33" s="126"/>
      <c r="CM33" s="126"/>
      <c r="CN33" s="126"/>
      <c r="CO33" s="126"/>
      <c r="CP33" s="126"/>
      <c r="CQ33" s="126"/>
      <c r="CR33" s="126"/>
      <c r="CS33" s="126"/>
      <c r="CT33" s="126"/>
      <c r="CU33" s="126"/>
      <c r="CV33" s="126"/>
      <c r="CW33" s="126"/>
      <c r="CX33" s="126"/>
      <c r="CY33" s="126"/>
      <c r="CZ33" s="126"/>
      <c r="DA33" s="126"/>
      <c r="DB33" s="126"/>
      <c r="DC33" s="126"/>
      <c r="DD33" s="126"/>
      <c r="DE33" s="126"/>
      <c r="DF33" s="126"/>
      <c r="DG33" s="126"/>
      <c r="DH33" s="126"/>
      <c r="DI33" s="126"/>
      <c r="DJ33" s="126"/>
      <c r="DK33" s="126"/>
      <c r="DL33" s="126"/>
      <c r="DM33" s="126"/>
      <c r="DN33" s="126"/>
      <c r="DO33" s="126"/>
      <c r="DP33" s="126"/>
      <c r="DQ33" s="126"/>
      <c r="DR33" s="126"/>
      <c r="DS33" s="126"/>
      <c r="DT33" s="126"/>
      <c r="DU33" s="126"/>
      <c r="DV33" s="126"/>
      <c r="DW33" s="126"/>
      <c r="DX33" s="126"/>
      <c r="DY33" s="126"/>
      <c r="DZ33" s="126"/>
      <c r="EA33" s="126"/>
      <c r="EB33" s="126"/>
      <c r="EC33" s="126"/>
      <c r="ED33" s="126"/>
      <c r="EE33" s="126"/>
      <c r="EF33" s="126"/>
      <c r="EG33" s="126"/>
      <c r="EH33" s="126"/>
      <c r="EI33" s="126"/>
      <c r="EJ33" s="126"/>
      <c r="EK33" s="126"/>
      <c r="EL33" s="126"/>
      <c r="EM33" s="126"/>
      <c r="EN33" s="126"/>
      <c r="EO33" s="126"/>
      <c r="EP33" s="126"/>
      <c r="EQ33" s="126"/>
      <c r="ER33" s="126"/>
      <c r="ES33" s="126"/>
      <c r="ET33" s="126"/>
      <c r="EU33" s="126"/>
      <c r="EV33" s="126"/>
      <c r="EW33" s="126"/>
      <c r="EX33" s="126"/>
      <c r="EY33" s="126"/>
      <c r="EZ33" s="126"/>
      <c r="FA33" s="126"/>
      <c r="FB33" s="126"/>
      <c r="FC33" s="126"/>
      <c r="FD33" s="126"/>
      <c r="FE33" s="126"/>
      <c r="FF33" s="126"/>
      <c r="FG33" s="126"/>
      <c r="FH33" s="126"/>
      <c r="FI33" s="126"/>
      <c r="FJ33" s="126"/>
      <c r="FK33" s="126"/>
      <c r="FL33" s="126"/>
      <c r="FM33" s="126"/>
      <c r="FN33" s="126"/>
      <c r="FO33" s="126"/>
      <c r="FP33" s="126"/>
      <c r="FQ33" s="126"/>
      <c r="FR33" s="126"/>
      <c r="FS33" s="126"/>
      <c r="FT33" s="126"/>
      <c r="FU33" s="126"/>
      <c r="FV33" s="126"/>
      <c r="FW33" s="126"/>
      <c r="FX33" s="126"/>
      <c r="FY33" s="126"/>
      <c r="FZ33" s="126"/>
      <c r="GA33" s="126"/>
      <c r="GB33" s="126"/>
      <c r="GC33" s="126"/>
      <c r="GD33" s="126"/>
      <c r="GE33" s="126"/>
      <c r="GF33" s="126"/>
      <c r="GG33" s="126"/>
      <c r="GH33" s="126"/>
      <c r="GI33" s="126"/>
      <c r="GJ33" s="126"/>
      <c r="GK33" s="126"/>
      <c r="GL33" s="126"/>
      <c r="GM33" s="126"/>
      <c r="GN33" s="126"/>
      <c r="GO33" s="126"/>
      <c r="GP33" s="126"/>
      <c r="GQ33" s="126"/>
      <c r="GR33" s="126"/>
      <c r="GS33" s="126"/>
      <c r="GT33" s="126"/>
      <c r="GU33" s="126"/>
      <c r="GV33" s="126"/>
      <c r="GW33" s="126"/>
      <c r="GX33" s="128">
        <f t="shared" si="13"/>
        <v>0</v>
      </c>
      <c r="GY33" s="132">
        <f>標單!F27</f>
        <v>267577</v>
      </c>
      <c r="GZ33" s="132">
        <f>標單!G27</f>
        <v>267577</v>
      </c>
      <c r="HA33" s="104">
        <f t="shared" si="12"/>
        <v>5.1659999999999998E-2</v>
      </c>
    </row>
    <row r="34" spans="1:209" ht="38.450000000000003" customHeight="1" thickBot="1">
      <c r="A34" s="193">
        <v>22</v>
      </c>
      <c r="B34" s="194" t="str">
        <f>標單!C28</f>
        <v>新設人造石洗手台與浴櫃工程(連工帶料，責任施工)</v>
      </c>
      <c r="C34" s="195">
        <f>標單!E28</f>
        <v>1</v>
      </c>
      <c r="D34" s="196" t="str">
        <f>標單!D28</f>
        <v>式</v>
      </c>
      <c r="E34" s="126"/>
      <c r="F34" s="126"/>
      <c r="G34" s="126"/>
      <c r="H34" s="126"/>
      <c r="I34" s="126"/>
      <c r="J34" s="126"/>
      <c r="K34" s="126"/>
      <c r="L34" s="126"/>
      <c r="M34" s="126"/>
      <c r="N34" s="126"/>
      <c r="O34" s="126"/>
      <c r="P34" s="126"/>
      <c r="Q34" s="126"/>
      <c r="R34" s="126"/>
      <c r="S34" s="126"/>
      <c r="T34" s="126"/>
      <c r="U34" s="126"/>
      <c r="V34" s="126"/>
      <c r="W34" s="126"/>
      <c r="X34" s="126"/>
      <c r="Y34" s="126"/>
      <c r="Z34" s="126"/>
      <c r="AA34" s="126"/>
      <c r="AB34" s="126"/>
      <c r="AC34" s="126"/>
      <c r="AD34" s="126"/>
      <c r="AE34" s="126"/>
      <c r="AF34" s="126"/>
      <c r="AG34" s="126"/>
      <c r="AH34" s="126"/>
      <c r="AI34" s="126"/>
      <c r="AJ34" s="126"/>
      <c r="AK34" s="126"/>
      <c r="AL34" s="126"/>
      <c r="AM34" s="126"/>
      <c r="AN34" s="126"/>
      <c r="AO34" s="126"/>
      <c r="AP34" s="126"/>
      <c r="AQ34" s="126"/>
      <c r="AR34" s="126"/>
      <c r="AS34" s="126"/>
      <c r="AT34" s="126"/>
      <c r="AU34" s="126"/>
      <c r="AV34" s="126"/>
      <c r="AW34" s="126"/>
      <c r="AX34" s="126"/>
      <c r="AY34" s="126"/>
      <c r="AZ34" s="126"/>
      <c r="BA34" s="126"/>
      <c r="BB34" s="126"/>
      <c r="BC34" s="126"/>
      <c r="BD34" s="126"/>
      <c r="BE34" s="126"/>
      <c r="BF34" s="126"/>
      <c r="BG34" s="126"/>
      <c r="BH34" s="126"/>
      <c r="BI34" s="126"/>
      <c r="BJ34" s="126"/>
      <c r="BK34" s="126"/>
      <c r="BL34" s="126"/>
      <c r="BM34" s="126"/>
      <c r="BN34" s="126"/>
      <c r="BO34" s="126"/>
      <c r="BP34" s="126"/>
      <c r="BQ34" s="126"/>
      <c r="BR34" s="126"/>
      <c r="BS34" s="126"/>
      <c r="BT34" s="126"/>
      <c r="BU34" s="126"/>
      <c r="BV34" s="126"/>
      <c r="BW34" s="126"/>
      <c r="BX34" s="126"/>
      <c r="BY34" s="126"/>
      <c r="BZ34" s="126"/>
      <c r="CA34" s="126"/>
      <c r="CB34" s="126"/>
      <c r="CC34" s="126"/>
      <c r="CD34" s="126"/>
      <c r="CE34" s="126"/>
      <c r="CF34" s="126"/>
      <c r="CG34" s="126"/>
      <c r="CH34" s="126"/>
      <c r="CI34" s="126"/>
      <c r="CJ34" s="126"/>
      <c r="CK34" s="126"/>
      <c r="CL34" s="126"/>
      <c r="CM34" s="126"/>
      <c r="CN34" s="126"/>
      <c r="CO34" s="126"/>
      <c r="CP34" s="126"/>
      <c r="CQ34" s="126"/>
      <c r="CR34" s="126"/>
      <c r="CS34" s="126"/>
      <c r="CT34" s="126"/>
      <c r="CU34" s="126"/>
      <c r="CV34" s="126"/>
      <c r="CW34" s="126"/>
      <c r="CX34" s="126"/>
      <c r="CY34" s="126"/>
      <c r="CZ34" s="126"/>
      <c r="DA34" s="126"/>
      <c r="DB34" s="126"/>
      <c r="DC34" s="126"/>
      <c r="DD34" s="126"/>
      <c r="DE34" s="126"/>
      <c r="DF34" s="126"/>
      <c r="DG34" s="126"/>
      <c r="DH34" s="126"/>
      <c r="DI34" s="126"/>
      <c r="DJ34" s="126"/>
      <c r="DK34" s="126"/>
      <c r="DL34" s="126"/>
      <c r="DM34" s="126"/>
      <c r="DN34" s="126"/>
      <c r="DO34" s="126"/>
      <c r="DP34" s="126"/>
      <c r="DQ34" s="126"/>
      <c r="DR34" s="126"/>
      <c r="DS34" s="126"/>
      <c r="DT34" s="126"/>
      <c r="DU34" s="126"/>
      <c r="DV34" s="126"/>
      <c r="DW34" s="126"/>
      <c r="DX34" s="126"/>
      <c r="DY34" s="126"/>
      <c r="DZ34" s="126"/>
      <c r="EA34" s="126"/>
      <c r="EB34" s="126"/>
      <c r="EC34" s="126"/>
      <c r="ED34" s="126"/>
      <c r="EE34" s="126"/>
      <c r="EF34" s="126"/>
      <c r="EG34" s="126"/>
      <c r="EH34" s="126"/>
      <c r="EI34" s="126"/>
      <c r="EJ34" s="126"/>
      <c r="EK34" s="126"/>
      <c r="EL34" s="126"/>
      <c r="EM34" s="126"/>
      <c r="EN34" s="126"/>
      <c r="EO34" s="126"/>
      <c r="EP34" s="126"/>
      <c r="EQ34" s="126"/>
      <c r="ER34" s="126"/>
      <c r="ES34" s="126"/>
      <c r="ET34" s="126"/>
      <c r="EU34" s="126"/>
      <c r="EV34" s="126"/>
      <c r="EW34" s="126"/>
      <c r="EX34" s="126"/>
      <c r="EY34" s="126"/>
      <c r="EZ34" s="126"/>
      <c r="FA34" s="126"/>
      <c r="FB34" s="126"/>
      <c r="FC34" s="126"/>
      <c r="FD34" s="126"/>
      <c r="FE34" s="126"/>
      <c r="FF34" s="126"/>
      <c r="FG34" s="126"/>
      <c r="FH34" s="126"/>
      <c r="FI34" s="126"/>
      <c r="FJ34" s="126"/>
      <c r="FK34" s="126"/>
      <c r="FL34" s="126"/>
      <c r="FM34" s="126"/>
      <c r="FN34" s="126"/>
      <c r="FO34" s="126"/>
      <c r="FP34" s="126"/>
      <c r="FQ34" s="126"/>
      <c r="FR34" s="126"/>
      <c r="FS34" s="126"/>
      <c r="FT34" s="126"/>
      <c r="FU34" s="126"/>
      <c r="FV34" s="126"/>
      <c r="FW34" s="126"/>
      <c r="FX34" s="126"/>
      <c r="FY34" s="126"/>
      <c r="FZ34" s="126"/>
      <c r="GA34" s="126"/>
      <c r="GB34" s="126"/>
      <c r="GC34" s="126"/>
      <c r="GD34" s="126"/>
      <c r="GE34" s="126"/>
      <c r="GF34" s="126"/>
      <c r="GG34" s="126"/>
      <c r="GH34" s="126"/>
      <c r="GI34" s="126"/>
      <c r="GJ34" s="126"/>
      <c r="GK34" s="126"/>
      <c r="GL34" s="126"/>
      <c r="GM34" s="126"/>
      <c r="GN34" s="126"/>
      <c r="GO34" s="126"/>
      <c r="GP34" s="126"/>
      <c r="GQ34" s="126"/>
      <c r="GR34" s="126"/>
      <c r="GS34" s="126"/>
      <c r="GT34" s="126"/>
      <c r="GU34" s="126"/>
      <c r="GV34" s="126"/>
      <c r="GW34" s="126"/>
      <c r="GX34" s="128">
        <f t="shared" si="13"/>
        <v>0</v>
      </c>
      <c r="GY34" s="132">
        <f>標單!F28</f>
        <v>38281</v>
      </c>
      <c r="GZ34" s="132">
        <f>標單!G28</f>
        <v>38281</v>
      </c>
      <c r="HA34" s="104">
        <f t="shared" si="12"/>
        <v>7.3899999999999999E-3</v>
      </c>
    </row>
    <row r="35" spans="1:209" ht="38.450000000000003" customHeight="1" thickBot="1">
      <c r="A35" s="193">
        <v>23</v>
      </c>
      <c r="B35" s="194" t="str">
        <f>標單!C29</f>
        <v>貼深色石材檯面(石材，t=2cm，倒圓角)</v>
      </c>
      <c r="C35" s="195">
        <f>標單!E29</f>
        <v>67</v>
      </c>
      <c r="D35" s="196" t="str">
        <f>標單!D29</f>
        <v>才</v>
      </c>
      <c r="E35" s="126"/>
      <c r="F35" s="126"/>
      <c r="G35" s="126"/>
      <c r="H35" s="126"/>
      <c r="I35" s="126"/>
      <c r="J35" s="126"/>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c r="AX35" s="126"/>
      <c r="AY35" s="126"/>
      <c r="AZ35" s="126"/>
      <c r="BA35" s="126"/>
      <c r="BB35" s="126"/>
      <c r="BC35" s="126"/>
      <c r="BD35" s="126"/>
      <c r="BE35" s="126"/>
      <c r="BF35" s="126"/>
      <c r="BG35" s="126"/>
      <c r="BH35" s="126"/>
      <c r="BI35" s="126"/>
      <c r="BJ35" s="126"/>
      <c r="BK35" s="126"/>
      <c r="BL35" s="126"/>
      <c r="BM35" s="126"/>
      <c r="BN35" s="126"/>
      <c r="BO35" s="126"/>
      <c r="BP35" s="126"/>
      <c r="BQ35" s="126"/>
      <c r="BR35" s="126"/>
      <c r="BS35" s="126"/>
      <c r="BT35" s="126"/>
      <c r="BU35" s="126"/>
      <c r="BV35" s="126"/>
      <c r="BW35" s="126"/>
      <c r="BX35" s="126"/>
      <c r="BY35" s="126"/>
      <c r="BZ35" s="126"/>
      <c r="CA35" s="126"/>
      <c r="CB35" s="126"/>
      <c r="CC35" s="126"/>
      <c r="CD35" s="126"/>
      <c r="CE35" s="126"/>
      <c r="CF35" s="126"/>
      <c r="CG35" s="126"/>
      <c r="CH35" s="126"/>
      <c r="CI35" s="126"/>
      <c r="CJ35" s="126"/>
      <c r="CK35" s="126"/>
      <c r="CL35" s="126"/>
      <c r="CM35" s="126"/>
      <c r="CN35" s="126"/>
      <c r="CO35" s="126"/>
      <c r="CP35" s="126"/>
      <c r="CQ35" s="126"/>
      <c r="CR35" s="126"/>
      <c r="CS35" s="126"/>
      <c r="CT35" s="126"/>
      <c r="CU35" s="126"/>
      <c r="CV35" s="126"/>
      <c r="CW35" s="126"/>
      <c r="CX35" s="126"/>
      <c r="CY35" s="126"/>
      <c r="CZ35" s="126"/>
      <c r="DA35" s="126"/>
      <c r="DB35" s="126"/>
      <c r="DC35" s="126"/>
      <c r="DD35" s="126"/>
      <c r="DE35" s="126"/>
      <c r="DF35" s="126"/>
      <c r="DG35" s="126"/>
      <c r="DH35" s="126"/>
      <c r="DI35" s="126"/>
      <c r="DJ35" s="126"/>
      <c r="DK35" s="126"/>
      <c r="DL35" s="126"/>
      <c r="DM35" s="126"/>
      <c r="DN35" s="126"/>
      <c r="DO35" s="126"/>
      <c r="DP35" s="126"/>
      <c r="DQ35" s="126"/>
      <c r="DR35" s="126"/>
      <c r="DS35" s="126"/>
      <c r="DT35" s="126"/>
      <c r="DU35" s="126"/>
      <c r="DV35" s="126"/>
      <c r="DW35" s="126"/>
      <c r="DX35" s="126"/>
      <c r="DY35" s="126"/>
      <c r="DZ35" s="126"/>
      <c r="EA35" s="126"/>
      <c r="EB35" s="126"/>
      <c r="EC35" s="126"/>
      <c r="ED35" s="126"/>
      <c r="EE35" s="126"/>
      <c r="EF35" s="126"/>
      <c r="EG35" s="126"/>
      <c r="EH35" s="126"/>
      <c r="EI35" s="126"/>
      <c r="EJ35" s="126"/>
      <c r="EK35" s="126"/>
      <c r="EL35" s="126"/>
      <c r="EM35" s="126"/>
      <c r="EN35" s="126"/>
      <c r="EO35" s="126"/>
      <c r="EP35" s="126"/>
      <c r="EQ35" s="126"/>
      <c r="ER35" s="126"/>
      <c r="ES35" s="126"/>
      <c r="ET35" s="126"/>
      <c r="EU35" s="126"/>
      <c r="EV35" s="126"/>
      <c r="EW35" s="126"/>
      <c r="EX35" s="126"/>
      <c r="EY35" s="126"/>
      <c r="EZ35" s="126"/>
      <c r="FA35" s="126"/>
      <c r="FB35" s="126"/>
      <c r="FC35" s="126"/>
      <c r="FD35" s="126"/>
      <c r="FE35" s="126"/>
      <c r="FF35" s="126"/>
      <c r="FG35" s="126"/>
      <c r="FH35" s="126"/>
      <c r="FI35" s="126"/>
      <c r="FJ35" s="126"/>
      <c r="FK35" s="126"/>
      <c r="FL35" s="126"/>
      <c r="FM35" s="126"/>
      <c r="FN35" s="126"/>
      <c r="FO35" s="126"/>
      <c r="FP35" s="126"/>
      <c r="FQ35" s="126"/>
      <c r="FR35" s="126"/>
      <c r="FS35" s="126"/>
      <c r="FT35" s="126"/>
      <c r="FU35" s="126"/>
      <c r="FV35" s="126"/>
      <c r="FW35" s="126"/>
      <c r="FX35" s="126"/>
      <c r="FY35" s="126"/>
      <c r="FZ35" s="126"/>
      <c r="GA35" s="126"/>
      <c r="GB35" s="126"/>
      <c r="GC35" s="126"/>
      <c r="GD35" s="126"/>
      <c r="GE35" s="126"/>
      <c r="GF35" s="126"/>
      <c r="GG35" s="126"/>
      <c r="GH35" s="126"/>
      <c r="GI35" s="126"/>
      <c r="GJ35" s="126"/>
      <c r="GK35" s="126"/>
      <c r="GL35" s="126"/>
      <c r="GM35" s="126"/>
      <c r="GN35" s="126"/>
      <c r="GO35" s="126"/>
      <c r="GP35" s="126"/>
      <c r="GQ35" s="126"/>
      <c r="GR35" s="126"/>
      <c r="GS35" s="126"/>
      <c r="GT35" s="126"/>
      <c r="GU35" s="126"/>
      <c r="GV35" s="126"/>
      <c r="GW35" s="126"/>
      <c r="GX35" s="128">
        <f t="shared" si="13"/>
        <v>0</v>
      </c>
      <c r="GY35" s="132">
        <f>標單!F29</f>
        <v>784</v>
      </c>
      <c r="GZ35" s="132">
        <f>標單!G29</f>
        <v>52528</v>
      </c>
      <c r="HA35" s="104">
        <f t="shared" si="12"/>
        <v>1.014E-2</v>
      </c>
    </row>
    <row r="36" spans="1:209" ht="38.450000000000003" customHeight="1" thickBot="1">
      <c r="A36" s="193">
        <v>24</v>
      </c>
      <c r="B36" s="194" t="str">
        <f>標單!C30</f>
        <v>安裝輕鋼架、金屬烤漆透空網與耐燃一級貼皮天花板(含必要之側封板與窗簾盒批土刷漆)</v>
      </c>
      <c r="C36" s="195">
        <f>標單!E30</f>
        <v>1</v>
      </c>
      <c r="D36" s="196" t="str">
        <f>標單!D30</f>
        <v>式</v>
      </c>
      <c r="E36" s="126"/>
      <c r="F36" s="126"/>
      <c r="G36" s="126"/>
      <c r="H36" s="126"/>
      <c r="I36" s="126"/>
      <c r="J36" s="126"/>
      <c r="K36" s="126"/>
      <c r="L36" s="126"/>
      <c r="M36" s="126"/>
      <c r="N36" s="126"/>
      <c r="O36" s="126"/>
      <c r="P36" s="126"/>
      <c r="Q36" s="126"/>
      <c r="R36" s="126"/>
      <c r="S36" s="126"/>
      <c r="T36" s="126"/>
      <c r="U36" s="126"/>
      <c r="V36" s="126"/>
      <c r="W36" s="126"/>
      <c r="X36" s="126"/>
      <c r="Y36" s="126"/>
      <c r="Z36" s="126"/>
      <c r="AA36" s="126"/>
      <c r="AB36" s="126"/>
      <c r="AC36" s="126"/>
      <c r="AD36" s="126"/>
      <c r="AE36" s="126"/>
      <c r="AF36" s="126"/>
      <c r="AG36" s="126"/>
      <c r="AH36" s="126"/>
      <c r="AI36" s="126"/>
      <c r="AJ36" s="126"/>
      <c r="AK36" s="126"/>
      <c r="AL36" s="126"/>
      <c r="AM36" s="126"/>
      <c r="AN36" s="126"/>
      <c r="AO36" s="126"/>
      <c r="AP36" s="126"/>
      <c r="AQ36" s="126"/>
      <c r="AR36" s="126"/>
      <c r="AS36" s="126"/>
      <c r="AT36" s="126"/>
      <c r="AU36" s="126"/>
      <c r="AV36" s="126"/>
      <c r="AW36" s="126"/>
      <c r="AX36" s="126"/>
      <c r="AY36" s="126"/>
      <c r="AZ36" s="126"/>
      <c r="BA36" s="126"/>
      <c r="BB36" s="126"/>
      <c r="BC36" s="126"/>
      <c r="BD36" s="126"/>
      <c r="BE36" s="126"/>
      <c r="BF36" s="126"/>
      <c r="BG36" s="126"/>
      <c r="BH36" s="126"/>
      <c r="BI36" s="126"/>
      <c r="BJ36" s="126"/>
      <c r="BK36" s="126"/>
      <c r="BL36" s="126"/>
      <c r="BM36" s="126"/>
      <c r="BN36" s="126"/>
      <c r="BO36" s="126"/>
      <c r="BP36" s="126"/>
      <c r="BQ36" s="126"/>
      <c r="BR36" s="126"/>
      <c r="BS36" s="126"/>
      <c r="BT36" s="126"/>
      <c r="BU36" s="126"/>
      <c r="BV36" s="126"/>
      <c r="BW36" s="126"/>
      <c r="BX36" s="126"/>
      <c r="BY36" s="126"/>
      <c r="BZ36" s="126"/>
      <c r="CA36" s="126"/>
      <c r="CB36" s="126"/>
      <c r="CC36" s="126"/>
      <c r="CD36" s="126"/>
      <c r="CE36" s="126"/>
      <c r="CF36" s="126"/>
      <c r="CG36" s="126"/>
      <c r="CH36" s="126"/>
      <c r="CI36" s="126"/>
      <c r="CJ36" s="126"/>
      <c r="CK36" s="126"/>
      <c r="CL36" s="126"/>
      <c r="CM36" s="126"/>
      <c r="CN36" s="126"/>
      <c r="CO36" s="126"/>
      <c r="CP36" s="126"/>
      <c r="CQ36" s="126"/>
      <c r="CR36" s="126"/>
      <c r="CS36" s="126"/>
      <c r="CT36" s="126"/>
      <c r="CU36" s="126"/>
      <c r="CV36" s="126"/>
      <c r="CW36" s="126"/>
      <c r="CX36" s="126"/>
      <c r="CY36" s="126"/>
      <c r="CZ36" s="126"/>
      <c r="DA36" s="126"/>
      <c r="DB36" s="126"/>
      <c r="DC36" s="126"/>
      <c r="DD36" s="126"/>
      <c r="DE36" s="126"/>
      <c r="DF36" s="126"/>
      <c r="DG36" s="126"/>
      <c r="DH36" s="126"/>
      <c r="DI36" s="126"/>
      <c r="DJ36" s="126"/>
      <c r="DK36" s="126"/>
      <c r="DL36" s="126"/>
      <c r="DM36" s="126"/>
      <c r="DN36" s="126"/>
      <c r="DO36" s="126"/>
      <c r="DP36" s="126"/>
      <c r="DQ36" s="126"/>
      <c r="DR36" s="126"/>
      <c r="DS36" s="126"/>
      <c r="DT36" s="126"/>
      <c r="DU36" s="126"/>
      <c r="DV36" s="126"/>
      <c r="DW36" s="126"/>
      <c r="DX36" s="126"/>
      <c r="DY36" s="126"/>
      <c r="DZ36" s="126"/>
      <c r="EA36" s="126"/>
      <c r="EB36" s="126"/>
      <c r="EC36" s="126"/>
      <c r="ED36" s="126"/>
      <c r="EE36" s="126"/>
      <c r="EF36" s="126"/>
      <c r="EG36" s="126"/>
      <c r="EH36" s="126"/>
      <c r="EI36" s="126"/>
      <c r="EJ36" s="126"/>
      <c r="EK36" s="126"/>
      <c r="EL36" s="126"/>
      <c r="EM36" s="126"/>
      <c r="EN36" s="126"/>
      <c r="EO36" s="126"/>
      <c r="EP36" s="126"/>
      <c r="EQ36" s="126"/>
      <c r="ER36" s="126"/>
      <c r="ES36" s="126"/>
      <c r="ET36" s="126"/>
      <c r="EU36" s="126"/>
      <c r="EV36" s="126"/>
      <c r="EW36" s="126"/>
      <c r="EX36" s="126"/>
      <c r="EY36" s="126"/>
      <c r="EZ36" s="126"/>
      <c r="FA36" s="126"/>
      <c r="FB36" s="126"/>
      <c r="FC36" s="126"/>
      <c r="FD36" s="126"/>
      <c r="FE36" s="126"/>
      <c r="FF36" s="126"/>
      <c r="FG36" s="126"/>
      <c r="FH36" s="126"/>
      <c r="FI36" s="126"/>
      <c r="FJ36" s="126"/>
      <c r="FK36" s="126"/>
      <c r="FL36" s="126"/>
      <c r="FM36" s="126"/>
      <c r="FN36" s="126"/>
      <c r="FO36" s="126"/>
      <c r="FP36" s="126"/>
      <c r="FQ36" s="126"/>
      <c r="FR36" s="126"/>
      <c r="FS36" s="126"/>
      <c r="FT36" s="126"/>
      <c r="FU36" s="126"/>
      <c r="FV36" s="126"/>
      <c r="FW36" s="126"/>
      <c r="FX36" s="126"/>
      <c r="FY36" s="126"/>
      <c r="FZ36" s="126"/>
      <c r="GA36" s="126"/>
      <c r="GB36" s="126"/>
      <c r="GC36" s="126"/>
      <c r="GD36" s="126"/>
      <c r="GE36" s="126"/>
      <c r="GF36" s="126"/>
      <c r="GG36" s="126"/>
      <c r="GH36" s="126"/>
      <c r="GI36" s="126"/>
      <c r="GJ36" s="126"/>
      <c r="GK36" s="126"/>
      <c r="GL36" s="126"/>
      <c r="GM36" s="126"/>
      <c r="GN36" s="126"/>
      <c r="GO36" s="126"/>
      <c r="GP36" s="126"/>
      <c r="GQ36" s="126"/>
      <c r="GR36" s="126"/>
      <c r="GS36" s="126"/>
      <c r="GT36" s="126"/>
      <c r="GU36" s="126"/>
      <c r="GV36" s="126"/>
      <c r="GW36" s="126"/>
      <c r="GX36" s="128">
        <f t="shared" si="13"/>
        <v>0</v>
      </c>
      <c r="GY36" s="132">
        <f>標單!F30</f>
        <v>75581</v>
      </c>
      <c r="GZ36" s="132">
        <f>標單!G30</f>
        <v>75581</v>
      </c>
      <c r="HA36" s="104">
        <f t="shared" si="12"/>
        <v>1.4590000000000001E-2</v>
      </c>
    </row>
    <row r="37" spans="1:209" ht="38.450000000000003" customHeight="1" thickBot="1">
      <c r="A37" s="193">
        <v>25</v>
      </c>
      <c r="B37" s="194" t="str">
        <f>標單!C31</f>
        <v>廁所安裝衛生設備(連工帶料)</v>
      </c>
      <c r="C37" s="195">
        <f>標單!E31</f>
        <v>1</v>
      </c>
      <c r="D37" s="196" t="str">
        <f>標單!D31</f>
        <v>式</v>
      </c>
      <c r="E37" s="126"/>
      <c r="F37" s="126"/>
      <c r="G37" s="126"/>
      <c r="H37" s="126"/>
      <c r="I37" s="126"/>
      <c r="J37" s="126"/>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26"/>
      <c r="BP37" s="126"/>
      <c r="BQ37" s="126"/>
      <c r="BR37" s="126"/>
      <c r="BS37" s="126"/>
      <c r="BT37" s="126"/>
      <c r="BU37" s="126"/>
      <c r="BV37" s="126"/>
      <c r="BW37" s="126"/>
      <c r="BX37" s="126"/>
      <c r="BY37" s="126"/>
      <c r="BZ37" s="126"/>
      <c r="CA37" s="126"/>
      <c r="CB37" s="126"/>
      <c r="CC37" s="126"/>
      <c r="CD37" s="126"/>
      <c r="CE37" s="126"/>
      <c r="CF37" s="126"/>
      <c r="CG37" s="126"/>
      <c r="CH37" s="126"/>
      <c r="CI37" s="126"/>
      <c r="CJ37" s="126"/>
      <c r="CK37" s="126"/>
      <c r="CL37" s="126"/>
      <c r="CM37" s="126"/>
      <c r="CN37" s="126"/>
      <c r="CO37" s="126"/>
      <c r="CP37" s="126"/>
      <c r="CQ37" s="126"/>
      <c r="CR37" s="126"/>
      <c r="CS37" s="126"/>
      <c r="CT37" s="126"/>
      <c r="CU37" s="126"/>
      <c r="CV37" s="126"/>
      <c r="CW37" s="126"/>
      <c r="CX37" s="126"/>
      <c r="CY37" s="126"/>
      <c r="CZ37" s="126"/>
      <c r="DA37" s="126"/>
      <c r="DB37" s="126"/>
      <c r="DC37" s="126"/>
      <c r="DD37" s="126"/>
      <c r="DE37" s="126"/>
      <c r="DF37" s="126"/>
      <c r="DG37" s="126"/>
      <c r="DH37" s="126"/>
      <c r="DI37" s="126"/>
      <c r="DJ37" s="126"/>
      <c r="DK37" s="126"/>
      <c r="DL37" s="126"/>
      <c r="DM37" s="126"/>
      <c r="DN37" s="126"/>
      <c r="DO37" s="126"/>
      <c r="DP37" s="126"/>
      <c r="DQ37" s="126"/>
      <c r="DR37" s="126"/>
      <c r="DS37" s="126"/>
      <c r="DT37" s="126"/>
      <c r="DU37" s="126"/>
      <c r="DV37" s="126"/>
      <c r="DW37" s="126"/>
      <c r="DX37" s="126"/>
      <c r="DY37" s="126"/>
      <c r="DZ37" s="126"/>
      <c r="EA37" s="126"/>
      <c r="EB37" s="126"/>
      <c r="EC37" s="126"/>
      <c r="ED37" s="126"/>
      <c r="EE37" s="126"/>
      <c r="EF37" s="126"/>
      <c r="EG37" s="126"/>
      <c r="EH37" s="126"/>
      <c r="EI37" s="126"/>
      <c r="EJ37" s="126"/>
      <c r="EK37" s="126"/>
      <c r="EL37" s="126"/>
      <c r="EM37" s="126"/>
      <c r="EN37" s="126"/>
      <c r="EO37" s="126"/>
      <c r="EP37" s="126"/>
      <c r="EQ37" s="126"/>
      <c r="ER37" s="126"/>
      <c r="ES37" s="126"/>
      <c r="ET37" s="126"/>
      <c r="EU37" s="126"/>
      <c r="EV37" s="126"/>
      <c r="EW37" s="126"/>
      <c r="EX37" s="126"/>
      <c r="EY37" s="126"/>
      <c r="EZ37" s="126"/>
      <c r="FA37" s="126"/>
      <c r="FB37" s="126"/>
      <c r="FC37" s="126"/>
      <c r="FD37" s="126"/>
      <c r="FE37" s="126"/>
      <c r="FF37" s="126"/>
      <c r="FG37" s="126"/>
      <c r="FH37" s="126"/>
      <c r="FI37" s="126"/>
      <c r="FJ37" s="126"/>
      <c r="FK37" s="126"/>
      <c r="FL37" s="126"/>
      <c r="FM37" s="126"/>
      <c r="FN37" s="126"/>
      <c r="FO37" s="126"/>
      <c r="FP37" s="126"/>
      <c r="FQ37" s="126"/>
      <c r="FR37" s="126"/>
      <c r="FS37" s="126"/>
      <c r="FT37" s="126"/>
      <c r="FU37" s="126"/>
      <c r="FV37" s="126"/>
      <c r="FW37" s="126"/>
      <c r="FX37" s="126"/>
      <c r="FY37" s="126"/>
      <c r="FZ37" s="126"/>
      <c r="GA37" s="126"/>
      <c r="GB37" s="126"/>
      <c r="GC37" s="126"/>
      <c r="GD37" s="126"/>
      <c r="GE37" s="126"/>
      <c r="GF37" s="126"/>
      <c r="GG37" s="126"/>
      <c r="GH37" s="126"/>
      <c r="GI37" s="126"/>
      <c r="GJ37" s="126"/>
      <c r="GK37" s="126"/>
      <c r="GL37" s="126"/>
      <c r="GM37" s="126"/>
      <c r="GN37" s="126"/>
      <c r="GO37" s="126"/>
      <c r="GP37" s="126"/>
      <c r="GQ37" s="126"/>
      <c r="GR37" s="126"/>
      <c r="GS37" s="126"/>
      <c r="GT37" s="126"/>
      <c r="GU37" s="126"/>
      <c r="GV37" s="126"/>
      <c r="GW37" s="126"/>
      <c r="GX37" s="128">
        <f t="shared" si="13"/>
        <v>0</v>
      </c>
      <c r="GY37" s="132">
        <f>標單!F31</f>
        <v>473120</v>
      </c>
      <c r="GZ37" s="132">
        <f>標單!G31</f>
        <v>473120</v>
      </c>
      <c r="HA37" s="104">
        <f t="shared" si="12"/>
        <v>9.1340000000000005E-2</v>
      </c>
    </row>
    <row r="38" spans="1:209" ht="38.450000000000003" customHeight="1" thickBot="1">
      <c r="A38" s="193">
        <v>26</v>
      </c>
      <c r="B38" s="194" t="str">
        <f>標單!C32</f>
        <v>安裝開關、插座與燈具(連工帶料)</v>
      </c>
      <c r="C38" s="195">
        <f>標單!E32</f>
        <v>1</v>
      </c>
      <c r="D38" s="196" t="str">
        <f>標單!D32</f>
        <v>式</v>
      </c>
      <c r="E38" s="126"/>
      <c r="F38" s="126"/>
      <c r="G38" s="126"/>
      <c r="H38" s="126"/>
      <c r="I38" s="126"/>
      <c r="J38" s="126"/>
      <c r="K38" s="126"/>
      <c r="L38" s="126"/>
      <c r="M38" s="126"/>
      <c r="N38" s="126"/>
      <c r="O38" s="126"/>
      <c r="P38" s="126"/>
      <c r="Q38" s="126"/>
      <c r="R38" s="126"/>
      <c r="S38" s="126"/>
      <c r="T38" s="126"/>
      <c r="U38" s="126"/>
      <c r="V38" s="126"/>
      <c r="W38" s="126"/>
      <c r="X38" s="126"/>
      <c r="Y38" s="126"/>
      <c r="Z38" s="126"/>
      <c r="AA38" s="126"/>
      <c r="AB38" s="126"/>
      <c r="AC38" s="126"/>
      <c r="AD38" s="126"/>
      <c r="AE38" s="126"/>
      <c r="AF38" s="126"/>
      <c r="AG38" s="126"/>
      <c r="AH38" s="126"/>
      <c r="AI38" s="126"/>
      <c r="AJ38" s="126"/>
      <c r="AK38" s="126"/>
      <c r="AL38" s="126"/>
      <c r="AM38" s="126"/>
      <c r="AN38" s="126"/>
      <c r="AO38" s="126"/>
      <c r="AP38" s="126"/>
      <c r="AQ38" s="126"/>
      <c r="AR38" s="126"/>
      <c r="AS38" s="126"/>
      <c r="AT38" s="126"/>
      <c r="AU38" s="126"/>
      <c r="AV38" s="126"/>
      <c r="AW38" s="126"/>
      <c r="AX38" s="126"/>
      <c r="AY38" s="126"/>
      <c r="AZ38" s="126"/>
      <c r="BA38" s="126"/>
      <c r="BB38" s="126"/>
      <c r="BC38" s="126"/>
      <c r="BD38" s="126"/>
      <c r="BE38" s="126"/>
      <c r="BF38" s="126"/>
      <c r="BG38" s="126"/>
      <c r="BH38" s="126"/>
      <c r="BI38" s="126"/>
      <c r="BJ38" s="126"/>
      <c r="BK38" s="126"/>
      <c r="BL38" s="126"/>
      <c r="BM38" s="126"/>
      <c r="BN38" s="126"/>
      <c r="BO38" s="126"/>
      <c r="BP38" s="126"/>
      <c r="BQ38" s="126"/>
      <c r="BR38" s="126"/>
      <c r="BS38" s="126"/>
      <c r="BT38" s="126"/>
      <c r="BU38" s="126"/>
      <c r="BV38" s="126"/>
      <c r="BW38" s="126"/>
      <c r="BX38" s="126"/>
      <c r="BY38" s="126"/>
      <c r="BZ38" s="126"/>
      <c r="CA38" s="126"/>
      <c r="CB38" s="126"/>
      <c r="CC38" s="126"/>
      <c r="CD38" s="126"/>
      <c r="CE38" s="126"/>
      <c r="CF38" s="126"/>
      <c r="CG38" s="126"/>
      <c r="CH38" s="126"/>
      <c r="CI38" s="126"/>
      <c r="CJ38" s="126"/>
      <c r="CK38" s="126"/>
      <c r="CL38" s="126"/>
      <c r="CM38" s="126"/>
      <c r="CN38" s="126"/>
      <c r="CO38" s="126"/>
      <c r="CP38" s="126"/>
      <c r="CQ38" s="126"/>
      <c r="CR38" s="126"/>
      <c r="CS38" s="126"/>
      <c r="CT38" s="126"/>
      <c r="CU38" s="126"/>
      <c r="CV38" s="126"/>
      <c r="CW38" s="126"/>
      <c r="CX38" s="126"/>
      <c r="CY38" s="126"/>
      <c r="CZ38" s="126"/>
      <c r="DA38" s="126"/>
      <c r="DB38" s="126"/>
      <c r="DC38" s="126"/>
      <c r="DD38" s="126"/>
      <c r="DE38" s="126"/>
      <c r="DF38" s="126"/>
      <c r="DG38" s="126"/>
      <c r="DH38" s="126"/>
      <c r="DI38" s="126"/>
      <c r="DJ38" s="126"/>
      <c r="DK38" s="126"/>
      <c r="DL38" s="126"/>
      <c r="DM38" s="126"/>
      <c r="DN38" s="126"/>
      <c r="DO38" s="126"/>
      <c r="DP38" s="126"/>
      <c r="DQ38" s="126"/>
      <c r="DR38" s="126"/>
      <c r="DS38" s="126"/>
      <c r="DT38" s="126"/>
      <c r="DU38" s="126"/>
      <c r="DV38" s="126"/>
      <c r="DW38" s="126"/>
      <c r="DX38" s="126"/>
      <c r="DY38" s="126"/>
      <c r="DZ38" s="126"/>
      <c r="EA38" s="126"/>
      <c r="EB38" s="126"/>
      <c r="EC38" s="126"/>
      <c r="ED38" s="126"/>
      <c r="EE38" s="126"/>
      <c r="EF38" s="126"/>
      <c r="EG38" s="126"/>
      <c r="EH38" s="126"/>
      <c r="EI38" s="126"/>
      <c r="EJ38" s="126"/>
      <c r="EK38" s="126"/>
      <c r="EL38" s="126"/>
      <c r="EM38" s="126"/>
      <c r="EN38" s="126"/>
      <c r="EO38" s="126"/>
      <c r="EP38" s="126"/>
      <c r="EQ38" s="126"/>
      <c r="ER38" s="126"/>
      <c r="ES38" s="126"/>
      <c r="ET38" s="126"/>
      <c r="EU38" s="126"/>
      <c r="EV38" s="126"/>
      <c r="EW38" s="126"/>
      <c r="EX38" s="126"/>
      <c r="EY38" s="126"/>
      <c r="EZ38" s="126"/>
      <c r="FA38" s="126"/>
      <c r="FB38" s="126"/>
      <c r="FC38" s="126"/>
      <c r="FD38" s="126"/>
      <c r="FE38" s="126"/>
      <c r="FF38" s="126"/>
      <c r="FG38" s="126"/>
      <c r="FH38" s="126"/>
      <c r="FI38" s="126"/>
      <c r="FJ38" s="126"/>
      <c r="FK38" s="126"/>
      <c r="FL38" s="126"/>
      <c r="FM38" s="126"/>
      <c r="FN38" s="126"/>
      <c r="FO38" s="126"/>
      <c r="FP38" s="126"/>
      <c r="FQ38" s="126"/>
      <c r="FR38" s="126"/>
      <c r="FS38" s="126"/>
      <c r="FT38" s="126"/>
      <c r="FU38" s="126"/>
      <c r="FV38" s="126"/>
      <c r="FW38" s="126"/>
      <c r="FX38" s="126"/>
      <c r="FY38" s="126"/>
      <c r="FZ38" s="126"/>
      <c r="GA38" s="126"/>
      <c r="GB38" s="126"/>
      <c r="GC38" s="126"/>
      <c r="GD38" s="126"/>
      <c r="GE38" s="126"/>
      <c r="GF38" s="126"/>
      <c r="GG38" s="126"/>
      <c r="GH38" s="126"/>
      <c r="GI38" s="126"/>
      <c r="GJ38" s="126"/>
      <c r="GK38" s="126"/>
      <c r="GL38" s="126"/>
      <c r="GM38" s="126"/>
      <c r="GN38" s="126"/>
      <c r="GO38" s="126"/>
      <c r="GP38" s="126"/>
      <c r="GQ38" s="126"/>
      <c r="GR38" s="126"/>
      <c r="GS38" s="126"/>
      <c r="GT38" s="126"/>
      <c r="GU38" s="126"/>
      <c r="GV38" s="126"/>
      <c r="GW38" s="126"/>
      <c r="GX38" s="128">
        <f t="shared" si="13"/>
        <v>0</v>
      </c>
      <c r="GY38" s="132">
        <f>標單!F32</f>
        <v>122696</v>
      </c>
      <c r="GZ38" s="132">
        <f>標單!G32</f>
        <v>122696</v>
      </c>
      <c r="HA38" s="104">
        <f t="shared" si="12"/>
        <v>2.3689999999999999E-2</v>
      </c>
    </row>
    <row r="39" spans="1:209" ht="38.450000000000003" customHeight="1" thickBot="1">
      <c r="A39" s="193">
        <v>27</v>
      </c>
      <c r="B39" s="194" t="str">
        <f>標單!C33</f>
        <v>給排水系統配管與安裝(連工帶料)</v>
      </c>
      <c r="C39" s="195">
        <f>標單!E33</f>
        <v>1</v>
      </c>
      <c r="D39" s="196" t="str">
        <f>標單!D33</f>
        <v>式</v>
      </c>
      <c r="E39" s="126"/>
      <c r="F39" s="126"/>
      <c r="G39" s="126"/>
      <c r="H39" s="126"/>
      <c r="I39" s="126"/>
      <c r="J39" s="126"/>
      <c r="K39" s="126"/>
      <c r="L39" s="126"/>
      <c r="M39" s="126"/>
      <c r="N39" s="126"/>
      <c r="O39" s="126"/>
      <c r="P39" s="126"/>
      <c r="Q39" s="126"/>
      <c r="R39" s="126"/>
      <c r="S39" s="126"/>
      <c r="T39" s="126"/>
      <c r="U39" s="126"/>
      <c r="V39" s="126"/>
      <c r="W39" s="126"/>
      <c r="X39" s="126"/>
      <c r="Y39" s="126"/>
      <c r="Z39" s="126"/>
      <c r="AA39" s="126"/>
      <c r="AB39" s="126"/>
      <c r="AC39" s="126"/>
      <c r="AD39" s="126"/>
      <c r="AE39" s="126"/>
      <c r="AF39" s="126"/>
      <c r="AG39" s="126"/>
      <c r="AH39" s="126"/>
      <c r="AI39" s="126"/>
      <c r="AJ39" s="126"/>
      <c r="AK39" s="126"/>
      <c r="AL39" s="126"/>
      <c r="AM39" s="126"/>
      <c r="AN39" s="126"/>
      <c r="AO39" s="126"/>
      <c r="AP39" s="126"/>
      <c r="AQ39" s="126"/>
      <c r="AR39" s="126"/>
      <c r="AS39" s="126"/>
      <c r="AT39" s="126"/>
      <c r="AU39" s="126"/>
      <c r="AV39" s="126"/>
      <c r="AW39" s="126"/>
      <c r="AX39" s="126"/>
      <c r="AY39" s="126"/>
      <c r="AZ39" s="126"/>
      <c r="BA39" s="126"/>
      <c r="BB39" s="126"/>
      <c r="BC39" s="126"/>
      <c r="BD39" s="126"/>
      <c r="BE39" s="126"/>
      <c r="BF39" s="126"/>
      <c r="BG39" s="126"/>
      <c r="BH39" s="126"/>
      <c r="BI39" s="126"/>
      <c r="BJ39" s="126"/>
      <c r="BK39" s="126"/>
      <c r="BL39" s="126"/>
      <c r="BM39" s="126"/>
      <c r="BN39" s="126"/>
      <c r="BO39" s="126"/>
      <c r="BP39" s="126"/>
      <c r="BQ39" s="126"/>
      <c r="BR39" s="126"/>
      <c r="BS39" s="126"/>
      <c r="BT39" s="126"/>
      <c r="BU39" s="126"/>
      <c r="BV39" s="126"/>
      <c r="BW39" s="126"/>
      <c r="BX39" s="126"/>
      <c r="BY39" s="126"/>
      <c r="BZ39" s="126"/>
      <c r="CA39" s="126"/>
      <c r="CB39" s="126"/>
      <c r="CC39" s="126"/>
      <c r="CD39" s="126"/>
      <c r="CE39" s="126"/>
      <c r="CF39" s="126"/>
      <c r="CG39" s="126"/>
      <c r="CH39" s="126"/>
      <c r="CI39" s="126"/>
      <c r="CJ39" s="126"/>
      <c r="CK39" s="126"/>
      <c r="CL39" s="126"/>
      <c r="CM39" s="126"/>
      <c r="CN39" s="126"/>
      <c r="CO39" s="126"/>
      <c r="CP39" s="126"/>
      <c r="CQ39" s="126"/>
      <c r="CR39" s="126"/>
      <c r="CS39" s="126"/>
      <c r="CT39" s="126"/>
      <c r="CU39" s="126"/>
      <c r="CV39" s="126"/>
      <c r="CW39" s="126"/>
      <c r="CX39" s="126"/>
      <c r="CY39" s="126"/>
      <c r="CZ39" s="126"/>
      <c r="DA39" s="126"/>
      <c r="DB39" s="126"/>
      <c r="DC39" s="126"/>
      <c r="DD39" s="126"/>
      <c r="DE39" s="126"/>
      <c r="DF39" s="126"/>
      <c r="DG39" s="126"/>
      <c r="DH39" s="126"/>
      <c r="DI39" s="126"/>
      <c r="DJ39" s="126"/>
      <c r="DK39" s="126"/>
      <c r="DL39" s="126"/>
      <c r="DM39" s="126"/>
      <c r="DN39" s="126"/>
      <c r="DO39" s="126"/>
      <c r="DP39" s="126"/>
      <c r="DQ39" s="126"/>
      <c r="DR39" s="126"/>
      <c r="DS39" s="126"/>
      <c r="DT39" s="126"/>
      <c r="DU39" s="126"/>
      <c r="DV39" s="126"/>
      <c r="DW39" s="126"/>
      <c r="DX39" s="126"/>
      <c r="DY39" s="126"/>
      <c r="DZ39" s="126"/>
      <c r="EA39" s="126"/>
      <c r="EB39" s="126"/>
      <c r="EC39" s="126"/>
      <c r="ED39" s="126"/>
      <c r="EE39" s="126"/>
      <c r="EF39" s="126"/>
      <c r="EG39" s="126"/>
      <c r="EH39" s="126"/>
      <c r="EI39" s="126"/>
      <c r="EJ39" s="126"/>
      <c r="EK39" s="126"/>
      <c r="EL39" s="126"/>
      <c r="EM39" s="126"/>
      <c r="EN39" s="126"/>
      <c r="EO39" s="126"/>
      <c r="EP39" s="126"/>
      <c r="EQ39" s="126"/>
      <c r="ER39" s="126"/>
      <c r="ES39" s="126"/>
      <c r="ET39" s="126"/>
      <c r="EU39" s="126"/>
      <c r="EV39" s="126"/>
      <c r="EW39" s="126"/>
      <c r="EX39" s="126"/>
      <c r="EY39" s="126"/>
      <c r="EZ39" s="126"/>
      <c r="FA39" s="126"/>
      <c r="FB39" s="126"/>
      <c r="FC39" s="126"/>
      <c r="FD39" s="126"/>
      <c r="FE39" s="126"/>
      <c r="FF39" s="126"/>
      <c r="FG39" s="126"/>
      <c r="FH39" s="126"/>
      <c r="FI39" s="126"/>
      <c r="FJ39" s="126"/>
      <c r="FK39" s="126"/>
      <c r="FL39" s="126"/>
      <c r="FM39" s="126"/>
      <c r="FN39" s="126"/>
      <c r="FO39" s="126"/>
      <c r="FP39" s="126"/>
      <c r="FQ39" s="126"/>
      <c r="FR39" s="126"/>
      <c r="FS39" s="126"/>
      <c r="FT39" s="126"/>
      <c r="FU39" s="126"/>
      <c r="FV39" s="126"/>
      <c r="FW39" s="126"/>
      <c r="FX39" s="126"/>
      <c r="FY39" s="126"/>
      <c r="FZ39" s="126"/>
      <c r="GA39" s="126"/>
      <c r="GB39" s="126"/>
      <c r="GC39" s="126"/>
      <c r="GD39" s="126"/>
      <c r="GE39" s="126"/>
      <c r="GF39" s="126"/>
      <c r="GG39" s="126"/>
      <c r="GH39" s="126"/>
      <c r="GI39" s="126"/>
      <c r="GJ39" s="126"/>
      <c r="GK39" s="126"/>
      <c r="GL39" s="126"/>
      <c r="GM39" s="126"/>
      <c r="GN39" s="126"/>
      <c r="GO39" s="126"/>
      <c r="GP39" s="126"/>
      <c r="GQ39" s="126"/>
      <c r="GR39" s="126"/>
      <c r="GS39" s="126"/>
      <c r="GT39" s="126"/>
      <c r="GU39" s="126"/>
      <c r="GV39" s="126"/>
      <c r="GW39" s="126"/>
      <c r="GX39" s="128">
        <f t="shared" si="13"/>
        <v>0</v>
      </c>
      <c r="GY39" s="132">
        <f>標單!F33</f>
        <v>189542</v>
      </c>
      <c r="GZ39" s="132">
        <f>標單!G33</f>
        <v>189542</v>
      </c>
      <c r="HA39" s="104">
        <f t="shared" si="12"/>
        <v>3.6589999999999998E-2</v>
      </c>
    </row>
    <row r="40" spans="1:209" ht="49.7" customHeight="1" thickBot="1">
      <c r="A40" s="193">
        <v>28</v>
      </c>
      <c r="B40" s="194" t="str">
        <f>標單!C34</f>
        <v>施做緊急求救按鈕(含閃光與蜂嗚警報器、線材、五金配件, 各層樓每間廁所皆有求救鈕，連工帶料，責任施工)</v>
      </c>
      <c r="C40" s="195">
        <f>標單!E34</f>
        <v>1</v>
      </c>
      <c r="D40" s="196" t="str">
        <f>標單!D34</f>
        <v>式</v>
      </c>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c r="AV40" s="126"/>
      <c r="AW40" s="126"/>
      <c r="AX40" s="126"/>
      <c r="AY40" s="126"/>
      <c r="AZ40" s="126"/>
      <c r="BA40" s="126"/>
      <c r="BB40" s="126"/>
      <c r="BC40" s="126"/>
      <c r="BD40" s="126"/>
      <c r="BE40" s="126"/>
      <c r="BF40" s="126"/>
      <c r="BG40" s="126"/>
      <c r="BH40" s="126"/>
      <c r="BI40" s="126"/>
      <c r="BJ40" s="126"/>
      <c r="BK40" s="126"/>
      <c r="BL40" s="126"/>
      <c r="BM40" s="126"/>
      <c r="BN40" s="126"/>
      <c r="BO40" s="126"/>
      <c r="BP40" s="126"/>
      <c r="BQ40" s="126"/>
      <c r="BR40" s="126"/>
      <c r="BS40" s="126"/>
      <c r="BT40" s="126"/>
      <c r="BU40" s="126"/>
      <c r="BV40" s="126"/>
      <c r="BW40" s="126"/>
      <c r="BX40" s="126"/>
      <c r="BY40" s="126"/>
      <c r="BZ40" s="126"/>
      <c r="CA40" s="126"/>
      <c r="CB40" s="126"/>
      <c r="CC40" s="126"/>
      <c r="CD40" s="126"/>
      <c r="CE40" s="126"/>
      <c r="CF40" s="126"/>
      <c r="CG40" s="126"/>
      <c r="CH40" s="126"/>
      <c r="CI40" s="126"/>
      <c r="CJ40" s="126"/>
      <c r="CK40" s="126"/>
      <c r="CL40" s="126"/>
      <c r="CM40" s="126"/>
      <c r="CN40" s="126"/>
      <c r="CO40" s="126"/>
      <c r="CP40" s="126"/>
      <c r="CQ40" s="126"/>
      <c r="CR40" s="126"/>
      <c r="CS40" s="126"/>
      <c r="CT40" s="126"/>
      <c r="CU40" s="126"/>
      <c r="CV40" s="126"/>
      <c r="CW40" s="126"/>
      <c r="CX40" s="126"/>
      <c r="CY40" s="126"/>
      <c r="CZ40" s="126"/>
      <c r="DA40" s="126"/>
      <c r="DB40" s="126"/>
      <c r="DC40" s="126"/>
      <c r="DD40" s="126"/>
      <c r="DE40" s="126"/>
      <c r="DF40" s="126"/>
      <c r="DG40" s="126"/>
      <c r="DH40" s="126"/>
      <c r="DI40" s="126"/>
      <c r="DJ40" s="126"/>
      <c r="DK40" s="126"/>
      <c r="DL40" s="126"/>
      <c r="DM40" s="126"/>
      <c r="DN40" s="126"/>
      <c r="DO40" s="126"/>
      <c r="DP40" s="126"/>
      <c r="DQ40" s="126"/>
      <c r="DR40" s="126"/>
      <c r="DS40" s="126"/>
      <c r="DT40" s="126"/>
      <c r="DU40" s="126"/>
      <c r="DV40" s="126"/>
      <c r="DW40" s="126"/>
      <c r="DX40" s="126"/>
      <c r="DY40" s="126"/>
      <c r="DZ40" s="126"/>
      <c r="EA40" s="126"/>
      <c r="EB40" s="126"/>
      <c r="EC40" s="126"/>
      <c r="ED40" s="126"/>
      <c r="EE40" s="126"/>
      <c r="EF40" s="126"/>
      <c r="EG40" s="126"/>
      <c r="EH40" s="126"/>
      <c r="EI40" s="126"/>
      <c r="EJ40" s="126"/>
      <c r="EK40" s="126"/>
      <c r="EL40" s="126"/>
      <c r="EM40" s="126"/>
      <c r="EN40" s="126"/>
      <c r="EO40" s="126"/>
      <c r="EP40" s="126"/>
      <c r="EQ40" s="126"/>
      <c r="ER40" s="126"/>
      <c r="ES40" s="126"/>
      <c r="ET40" s="126"/>
      <c r="EU40" s="126"/>
      <c r="EV40" s="126"/>
      <c r="EW40" s="126"/>
      <c r="EX40" s="126"/>
      <c r="EY40" s="126"/>
      <c r="EZ40" s="126"/>
      <c r="FA40" s="126"/>
      <c r="FB40" s="126"/>
      <c r="FC40" s="126"/>
      <c r="FD40" s="126"/>
      <c r="FE40" s="126"/>
      <c r="FF40" s="126"/>
      <c r="FG40" s="126"/>
      <c r="FH40" s="126"/>
      <c r="FI40" s="126"/>
      <c r="FJ40" s="126"/>
      <c r="FK40" s="126"/>
      <c r="FL40" s="126"/>
      <c r="FM40" s="126"/>
      <c r="FN40" s="126"/>
      <c r="FO40" s="126"/>
      <c r="FP40" s="126"/>
      <c r="FQ40" s="126"/>
      <c r="FR40" s="126"/>
      <c r="FS40" s="126"/>
      <c r="FT40" s="126"/>
      <c r="FU40" s="126"/>
      <c r="FV40" s="126"/>
      <c r="FW40" s="126"/>
      <c r="FX40" s="126"/>
      <c r="FY40" s="126"/>
      <c r="FZ40" s="126"/>
      <c r="GA40" s="126"/>
      <c r="GB40" s="126"/>
      <c r="GC40" s="126"/>
      <c r="GD40" s="126"/>
      <c r="GE40" s="126"/>
      <c r="GF40" s="126"/>
      <c r="GG40" s="126"/>
      <c r="GH40" s="126"/>
      <c r="GI40" s="126"/>
      <c r="GJ40" s="126"/>
      <c r="GK40" s="126"/>
      <c r="GL40" s="126"/>
      <c r="GM40" s="126"/>
      <c r="GN40" s="126"/>
      <c r="GO40" s="126"/>
      <c r="GP40" s="126"/>
      <c r="GQ40" s="126"/>
      <c r="GR40" s="126"/>
      <c r="GS40" s="126"/>
      <c r="GT40" s="126"/>
      <c r="GU40" s="126"/>
      <c r="GV40" s="126"/>
      <c r="GW40" s="126"/>
      <c r="GX40" s="128">
        <f t="shared" si="13"/>
        <v>0</v>
      </c>
      <c r="GY40" s="132">
        <f>標單!F34</f>
        <v>58306</v>
      </c>
      <c r="GZ40" s="132">
        <f>標單!G34</f>
        <v>58306</v>
      </c>
      <c r="HA40" s="104">
        <f t="shared" si="12"/>
        <v>1.1259999999999999E-2</v>
      </c>
    </row>
    <row r="41" spans="1:209" ht="38.450000000000003" customHeight="1" thickBot="1">
      <c r="A41" s="193">
        <v>29</v>
      </c>
      <c r="B41" s="194" t="str">
        <f>標單!C35</f>
        <v>施做獨立拖布盆2座(砌磚粉刷貼磁磚，H=35cm)</v>
      </c>
      <c r="C41" s="195">
        <f>標單!E35</f>
        <v>1</v>
      </c>
      <c r="D41" s="196" t="str">
        <f>標單!D35</f>
        <v>式</v>
      </c>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c r="AV41" s="126"/>
      <c r="AW41" s="126"/>
      <c r="AX41" s="126"/>
      <c r="AY41" s="126"/>
      <c r="AZ41" s="126"/>
      <c r="BA41" s="126"/>
      <c r="BB41" s="126"/>
      <c r="BC41" s="126"/>
      <c r="BD41" s="126"/>
      <c r="BE41" s="126"/>
      <c r="BF41" s="126"/>
      <c r="BG41" s="126"/>
      <c r="BH41" s="126"/>
      <c r="BI41" s="126"/>
      <c r="BJ41" s="126"/>
      <c r="BK41" s="126"/>
      <c r="BL41" s="126"/>
      <c r="BM41" s="126"/>
      <c r="BN41" s="126"/>
      <c r="BO41" s="126"/>
      <c r="BP41" s="126"/>
      <c r="BQ41" s="126"/>
      <c r="BR41" s="126"/>
      <c r="BS41" s="126"/>
      <c r="BT41" s="126"/>
      <c r="BU41" s="126"/>
      <c r="BV41" s="126"/>
      <c r="BW41" s="126"/>
      <c r="BX41" s="126"/>
      <c r="BY41" s="126"/>
      <c r="BZ41" s="126"/>
      <c r="CA41" s="126"/>
      <c r="CB41" s="126"/>
      <c r="CC41" s="126"/>
      <c r="CD41" s="126"/>
      <c r="CE41" s="126"/>
      <c r="CF41" s="126"/>
      <c r="CG41" s="126"/>
      <c r="CH41" s="126"/>
      <c r="CI41" s="126"/>
      <c r="CJ41" s="126"/>
      <c r="CK41" s="126"/>
      <c r="CL41" s="126"/>
      <c r="CM41" s="126"/>
      <c r="CN41" s="126"/>
      <c r="CO41" s="126"/>
      <c r="CP41" s="126"/>
      <c r="CQ41" s="126"/>
      <c r="CR41" s="126"/>
      <c r="CS41" s="126"/>
      <c r="CT41" s="126"/>
      <c r="CU41" s="126"/>
      <c r="CV41" s="126"/>
      <c r="CW41" s="126"/>
      <c r="CX41" s="126"/>
      <c r="CY41" s="126"/>
      <c r="CZ41" s="126"/>
      <c r="DA41" s="126"/>
      <c r="DB41" s="126"/>
      <c r="DC41" s="126"/>
      <c r="DD41" s="126"/>
      <c r="DE41" s="126"/>
      <c r="DF41" s="126"/>
      <c r="DG41" s="126"/>
      <c r="DH41" s="126"/>
      <c r="DI41" s="126"/>
      <c r="DJ41" s="126"/>
      <c r="DK41" s="126"/>
      <c r="DL41" s="126"/>
      <c r="DM41" s="126"/>
      <c r="DN41" s="126"/>
      <c r="DO41" s="126"/>
      <c r="DP41" s="126"/>
      <c r="DQ41" s="126"/>
      <c r="DR41" s="126"/>
      <c r="DS41" s="126"/>
      <c r="DT41" s="126"/>
      <c r="DU41" s="126"/>
      <c r="DV41" s="126"/>
      <c r="DW41" s="126"/>
      <c r="DX41" s="126"/>
      <c r="DY41" s="126"/>
      <c r="DZ41" s="126"/>
      <c r="EA41" s="126"/>
      <c r="EB41" s="126"/>
      <c r="EC41" s="126"/>
      <c r="ED41" s="126"/>
      <c r="EE41" s="126"/>
      <c r="EF41" s="126"/>
      <c r="EG41" s="126"/>
      <c r="EH41" s="126"/>
      <c r="EI41" s="126"/>
      <c r="EJ41" s="126"/>
      <c r="EK41" s="126"/>
      <c r="EL41" s="126"/>
      <c r="EM41" s="126"/>
      <c r="EN41" s="126"/>
      <c r="EO41" s="126"/>
      <c r="EP41" s="126"/>
      <c r="EQ41" s="126"/>
      <c r="ER41" s="126"/>
      <c r="ES41" s="126"/>
      <c r="ET41" s="126"/>
      <c r="EU41" s="126"/>
      <c r="EV41" s="126"/>
      <c r="EW41" s="126"/>
      <c r="EX41" s="126"/>
      <c r="EY41" s="126"/>
      <c r="EZ41" s="126"/>
      <c r="FA41" s="126"/>
      <c r="FB41" s="126"/>
      <c r="FC41" s="126"/>
      <c r="FD41" s="126"/>
      <c r="FE41" s="126"/>
      <c r="FF41" s="126"/>
      <c r="FG41" s="126"/>
      <c r="FH41" s="126"/>
      <c r="FI41" s="126"/>
      <c r="FJ41" s="126"/>
      <c r="FK41" s="126"/>
      <c r="FL41" s="126"/>
      <c r="FM41" s="126"/>
      <c r="FN41" s="126"/>
      <c r="FO41" s="126"/>
      <c r="FP41" s="126"/>
      <c r="FQ41" s="126"/>
      <c r="FR41" s="126"/>
      <c r="FS41" s="126"/>
      <c r="FT41" s="126"/>
      <c r="FU41" s="126"/>
      <c r="FV41" s="126"/>
      <c r="FW41" s="126"/>
      <c r="FX41" s="126"/>
      <c r="FY41" s="126"/>
      <c r="FZ41" s="126"/>
      <c r="GA41" s="126"/>
      <c r="GB41" s="126"/>
      <c r="GC41" s="126"/>
      <c r="GD41" s="126"/>
      <c r="GE41" s="126"/>
      <c r="GF41" s="126"/>
      <c r="GG41" s="126"/>
      <c r="GH41" s="126"/>
      <c r="GI41" s="126"/>
      <c r="GJ41" s="126"/>
      <c r="GK41" s="126"/>
      <c r="GL41" s="126"/>
      <c r="GM41" s="126"/>
      <c r="GN41" s="126"/>
      <c r="GO41" s="126"/>
      <c r="GP41" s="126"/>
      <c r="GQ41" s="126"/>
      <c r="GR41" s="126"/>
      <c r="GS41" s="126"/>
      <c r="GT41" s="126"/>
      <c r="GU41" s="126"/>
      <c r="GV41" s="126"/>
      <c r="GW41" s="126"/>
      <c r="GX41" s="128">
        <f t="shared" si="13"/>
        <v>0</v>
      </c>
      <c r="GY41" s="132">
        <f>標單!F35</f>
        <v>11524</v>
      </c>
      <c r="GZ41" s="132">
        <f>標單!G35</f>
        <v>11524</v>
      </c>
      <c r="HA41" s="104">
        <f t="shared" si="12"/>
        <v>2.2200000000000002E-3</v>
      </c>
    </row>
    <row r="42" spans="1:209" ht="38.450000000000003" customHeight="1" thickBot="1">
      <c r="A42" s="193">
        <v>30</v>
      </c>
      <c r="B42" s="194" t="str">
        <f>標單!C36</f>
        <v>安裝廁所指標系統、拖把夾(連工帶料，責任施工)</v>
      </c>
      <c r="C42" s="195">
        <f>標單!E36</f>
        <v>1</v>
      </c>
      <c r="D42" s="196" t="str">
        <f>標單!D36</f>
        <v>式</v>
      </c>
      <c r="E42" s="126"/>
      <c r="F42" s="126"/>
      <c r="G42" s="126"/>
      <c r="H42" s="126"/>
      <c r="I42" s="126"/>
      <c r="J42" s="126"/>
      <c r="K42" s="126"/>
      <c r="L42" s="126"/>
      <c r="M42" s="126"/>
      <c r="N42" s="126"/>
      <c r="O42" s="126"/>
      <c r="P42" s="126"/>
      <c r="Q42" s="126"/>
      <c r="R42" s="126"/>
      <c r="S42" s="126"/>
      <c r="T42" s="126"/>
      <c r="U42" s="126"/>
      <c r="V42" s="126"/>
      <c r="W42" s="126"/>
      <c r="X42" s="126"/>
      <c r="Y42" s="126"/>
      <c r="Z42" s="126"/>
      <c r="AA42" s="126"/>
      <c r="AB42" s="126"/>
      <c r="AC42" s="126"/>
      <c r="AD42" s="126"/>
      <c r="AE42" s="126"/>
      <c r="AF42" s="126"/>
      <c r="AG42" s="126"/>
      <c r="AH42" s="126"/>
      <c r="AI42" s="126"/>
      <c r="AJ42" s="126"/>
      <c r="AK42" s="126"/>
      <c r="AL42" s="126"/>
      <c r="AM42" s="126"/>
      <c r="AN42" s="126"/>
      <c r="AO42" s="126"/>
      <c r="AP42" s="126"/>
      <c r="AQ42" s="126"/>
      <c r="AR42" s="126"/>
      <c r="AS42" s="126"/>
      <c r="AT42" s="126"/>
      <c r="AU42" s="126"/>
      <c r="AV42" s="126"/>
      <c r="AW42" s="126"/>
      <c r="AX42" s="126"/>
      <c r="AY42" s="126"/>
      <c r="AZ42" s="126"/>
      <c r="BA42" s="126"/>
      <c r="BB42" s="126"/>
      <c r="BC42" s="126"/>
      <c r="BD42" s="126"/>
      <c r="BE42" s="126"/>
      <c r="BF42" s="126"/>
      <c r="BG42" s="126"/>
      <c r="BH42" s="126"/>
      <c r="BI42" s="126"/>
      <c r="BJ42" s="126"/>
      <c r="BK42" s="126"/>
      <c r="BL42" s="126"/>
      <c r="BM42" s="126"/>
      <c r="BN42" s="126"/>
      <c r="BO42" s="126"/>
      <c r="BP42" s="126"/>
      <c r="BQ42" s="126"/>
      <c r="BR42" s="126"/>
      <c r="BS42" s="126"/>
      <c r="BT42" s="126"/>
      <c r="BU42" s="126"/>
      <c r="BV42" s="126"/>
      <c r="BW42" s="126"/>
      <c r="BX42" s="126"/>
      <c r="BY42" s="126"/>
      <c r="BZ42" s="126"/>
      <c r="CA42" s="126"/>
      <c r="CB42" s="126"/>
      <c r="CC42" s="126"/>
      <c r="CD42" s="126"/>
      <c r="CE42" s="126"/>
      <c r="CF42" s="126"/>
      <c r="CG42" s="126"/>
      <c r="CH42" s="126"/>
      <c r="CI42" s="126"/>
      <c r="CJ42" s="126"/>
      <c r="CK42" s="126"/>
      <c r="CL42" s="126"/>
      <c r="CM42" s="126"/>
      <c r="CN42" s="126"/>
      <c r="CO42" s="126"/>
      <c r="CP42" s="126"/>
      <c r="CQ42" s="126"/>
      <c r="CR42" s="126"/>
      <c r="CS42" s="126"/>
      <c r="CT42" s="126"/>
      <c r="CU42" s="126"/>
      <c r="CV42" s="126"/>
      <c r="CW42" s="126"/>
      <c r="CX42" s="126"/>
      <c r="CY42" s="126"/>
      <c r="CZ42" s="126"/>
      <c r="DA42" s="126"/>
      <c r="DB42" s="126"/>
      <c r="DC42" s="126"/>
      <c r="DD42" s="126"/>
      <c r="DE42" s="126"/>
      <c r="DF42" s="126"/>
      <c r="DG42" s="126"/>
      <c r="DH42" s="126"/>
      <c r="DI42" s="126"/>
      <c r="DJ42" s="126"/>
      <c r="DK42" s="126"/>
      <c r="DL42" s="126"/>
      <c r="DM42" s="126"/>
      <c r="DN42" s="126"/>
      <c r="DO42" s="126"/>
      <c r="DP42" s="126"/>
      <c r="DQ42" s="126"/>
      <c r="DR42" s="126"/>
      <c r="DS42" s="126"/>
      <c r="DT42" s="126"/>
      <c r="DU42" s="126"/>
      <c r="DV42" s="126"/>
      <c r="DW42" s="126"/>
      <c r="DX42" s="126"/>
      <c r="DY42" s="126"/>
      <c r="DZ42" s="126"/>
      <c r="EA42" s="126"/>
      <c r="EB42" s="126"/>
      <c r="EC42" s="126"/>
      <c r="ED42" s="126"/>
      <c r="EE42" s="126"/>
      <c r="EF42" s="126"/>
      <c r="EG42" s="126"/>
      <c r="EH42" s="126"/>
      <c r="EI42" s="126"/>
      <c r="EJ42" s="126"/>
      <c r="EK42" s="126"/>
      <c r="EL42" s="126"/>
      <c r="EM42" s="126"/>
      <c r="EN42" s="126"/>
      <c r="EO42" s="126"/>
      <c r="EP42" s="126"/>
      <c r="EQ42" s="126"/>
      <c r="ER42" s="126"/>
      <c r="ES42" s="126"/>
      <c r="ET42" s="126"/>
      <c r="EU42" s="126"/>
      <c r="EV42" s="126"/>
      <c r="EW42" s="126"/>
      <c r="EX42" s="126"/>
      <c r="EY42" s="126"/>
      <c r="EZ42" s="126"/>
      <c r="FA42" s="126"/>
      <c r="FB42" s="126"/>
      <c r="FC42" s="126"/>
      <c r="FD42" s="126"/>
      <c r="FE42" s="126"/>
      <c r="FF42" s="126"/>
      <c r="FG42" s="126"/>
      <c r="FH42" s="126"/>
      <c r="FI42" s="126"/>
      <c r="FJ42" s="126"/>
      <c r="FK42" s="126"/>
      <c r="FL42" s="126"/>
      <c r="FM42" s="126"/>
      <c r="FN42" s="126"/>
      <c r="FO42" s="126"/>
      <c r="FP42" s="126"/>
      <c r="FQ42" s="126"/>
      <c r="FR42" s="126"/>
      <c r="FS42" s="126"/>
      <c r="FT42" s="126"/>
      <c r="FU42" s="126"/>
      <c r="FV42" s="126"/>
      <c r="FW42" s="126"/>
      <c r="FX42" s="126"/>
      <c r="FY42" s="126"/>
      <c r="FZ42" s="126"/>
      <c r="GA42" s="126"/>
      <c r="GB42" s="126"/>
      <c r="GC42" s="126"/>
      <c r="GD42" s="126"/>
      <c r="GE42" s="126"/>
      <c r="GF42" s="126"/>
      <c r="GG42" s="126"/>
      <c r="GH42" s="126"/>
      <c r="GI42" s="126"/>
      <c r="GJ42" s="126"/>
      <c r="GK42" s="126"/>
      <c r="GL42" s="126"/>
      <c r="GM42" s="126"/>
      <c r="GN42" s="126"/>
      <c r="GO42" s="126"/>
      <c r="GP42" s="126"/>
      <c r="GQ42" s="126"/>
      <c r="GR42" s="126"/>
      <c r="GS42" s="126"/>
      <c r="GT42" s="126"/>
      <c r="GU42" s="126"/>
      <c r="GV42" s="126"/>
      <c r="GW42" s="126"/>
      <c r="GX42" s="128">
        <f t="shared" si="13"/>
        <v>0</v>
      </c>
      <c r="GY42" s="132">
        <f>標單!F36</f>
        <v>44657</v>
      </c>
      <c r="GZ42" s="132">
        <f>標單!G36</f>
        <v>44657</v>
      </c>
      <c r="HA42" s="104">
        <f t="shared" si="12"/>
        <v>8.6199999999999992E-3</v>
      </c>
    </row>
    <row r="43" spans="1:209" ht="38.450000000000003" customHeight="1" thickBot="1">
      <c r="A43" s="193">
        <v>31</v>
      </c>
      <c r="B43" s="194" t="str">
        <f>標單!C37</f>
        <v>牆壁面貼圖案排版釉面馬賽克(方型馬賽克寬1.8cm，12色以上排版，含排版費，白色抺縫，連工帶料)</v>
      </c>
      <c r="C43" s="195">
        <f>標單!E37</f>
        <v>212</v>
      </c>
      <c r="D43" s="196" t="str">
        <f>標單!D37</f>
        <v>才</v>
      </c>
      <c r="E43" s="126"/>
      <c r="F43" s="126"/>
      <c r="G43" s="126"/>
      <c r="H43" s="126"/>
      <c r="I43" s="126"/>
      <c r="J43" s="126"/>
      <c r="K43" s="126"/>
      <c r="L43" s="126"/>
      <c r="M43" s="126"/>
      <c r="N43" s="126"/>
      <c r="O43" s="126"/>
      <c r="P43" s="126"/>
      <c r="Q43" s="126"/>
      <c r="R43" s="126"/>
      <c r="S43" s="126"/>
      <c r="T43" s="126"/>
      <c r="U43" s="126"/>
      <c r="V43" s="126"/>
      <c r="W43" s="126"/>
      <c r="X43" s="126"/>
      <c r="Y43" s="126"/>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26"/>
      <c r="BA43" s="126"/>
      <c r="BB43" s="126"/>
      <c r="BC43" s="126"/>
      <c r="BD43" s="126"/>
      <c r="BE43" s="126"/>
      <c r="BF43" s="126"/>
      <c r="BG43" s="126"/>
      <c r="BH43" s="126"/>
      <c r="BI43" s="126"/>
      <c r="BJ43" s="126"/>
      <c r="BK43" s="126"/>
      <c r="BL43" s="126"/>
      <c r="BM43" s="126"/>
      <c r="BN43" s="126"/>
      <c r="BO43" s="126"/>
      <c r="BP43" s="126"/>
      <c r="BQ43" s="126"/>
      <c r="BR43" s="126"/>
      <c r="BS43" s="126"/>
      <c r="BT43" s="126"/>
      <c r="BU43" s="126"/>
      <c r="BV43" s="126"/>
      <c r="BW43" s="126"/>
      <c r="BX43" s="126"/>
      <c r="BY43" s="126"/>
      <c r="BZ43" s="126"/>
      <c r="CA43" s="126"/>
      <c r="CB43" s="126"/>
      <c r="CC43" s="126"/>
      <c r="CD43" s="126"/>
      <c r="CE43" s="126"/>
      <c r="CF43" s="126"/>
      <c r="CG43" s="126"/>
      <c r="CH43" s="126"/>
      <c r="CI43" s="126"/>
      <c r="CJ43" s="126"/>
      <c r="CK43" s="126"/>
      <c r="CL43" s="126"/>
      <c r="CM43" s="126"/>
      <c r="CN43" s="126"/>
      <c r="CO43" s="126"/>
      <c r="CP43" s="126"/>
      <c r="CQ43" s="126"/>
      <c r="CR43" s="126"/>
      <c r="CS43" s="126"/>
      <c r="CT43" s="126"/>
      <c r="CU43" s="126"/>
      <c r="CV43" s="126"/>
      <c r="CW43" s="126"/>
      <c r="CX43" s="126"/>
      <c r="CY43" s="126"/>
      <c r="CZ43" s="126"/>
      <c r="DA43" s="126"/>
      <c r="DB43" s="126"/>
      <c r="DC43" s="126"/>
      <c r="DD43" s="126"/>
      <c r="DE43" s="126"/>
      <c r="DF43" s="126"/>
      <c r="DG43" s="126"/>
      <c r="DH43" s="126"/>
      <c r="DI43" s="126"/>
      <c r="DJ43" s="126"/>
      <c r="DK43" s="126"/>
      <c r="DL43" s="126"/>
      <c r="DM43" s="126"/>
      <c r="DN43" s="126"/>
      <c r="DO43" s="126"/>
      <c r="DP43" s="126"/>
      <c r="DQ43" s="126"/>
      <c r="DR43" s="126"/>
      <c r="DS43" s="126"/>
      <c r="DT43" s="126"/>
      <c r="DU43" s="126"/>
      <c r="DV43" s="126"/>
      <c r="DW43" s="126"/>
      <c r="DX43" s="126"/>
      <c r="DY43" s="126"/>
      <c r="DZ43" s="126"/>
      <c r="EA43" s="126"/>
      <c r="EB43" s="126"/>
      <c r="EC43" s="126"/>
      <c r="ED43" s="126"/>
      <c r="EE43" s="126"/>
      <c r="EF43" s="126"/>
      <c r="EG43" s="126"/>
      <c r="EH43" s="126"/>
      <c r="EI43" s="126"/>
      <c r="EJ43" s="126"/>
      <c r="EK43" s="126"/>
      <c r="EL43" s="126"/>
      <c r="EM43" s="126"/>
      <c r="EN43" s="126"/>
      <c r="EO43" s="126"/>
      <c r="EP43" s="126"/>
      <c r="EQ43" s="126"/>
      <c r="ER43" s="126"/>
      <c r="ES43" s="126"/>
      <c r="ET43" s="126"/>
      <c r="EU43" s="126"/>
      <c r="EV43" s="126"/>
      <c r="EW43" s="126"/>
      <c r="EX43" s="126"/>
      <c r="EY43" s="126"/>
      <c r="EZ43" s="126"/>
      <c r="FA43" s="126"/>
      <c r="FB43" s="126"/>
      <c r="FC43" s="126"/>
      <c r="FD43" s="126"/>
      <c r="FE43" s="126"/>
      <c r="FF43" s="126"/>
      <c r="FG43" s="126"/>
      <c r="FH43" s="126"/>
      <c r="FI43" s="126"/>
      <c r="FJ43" s="126"/>
      <c r="FK43" s="126"/>
      <c r="FL43" s="126"/>
      <c r="FM43" s="126"/>
      <c r="FN43" s="126"/>
      <c r="FO43" s="126"/>
      <c r="FP43" s="126"/>
      <c r="FQ43" s="126"/>
      <c r="FR43" s="126"/>
      <c r="FS43" s="126"/>
      <c r="FT43" s="126"/>
      <c r="FU43" s="126"/>
      <c r="FV43" s="126"/>
      <c r="FW43" s="126"/>
      <c r="FX43" s="126"/>
      <c r="FY43" s="126"/>
      <c r="FZ43" s="126"/>
      <c r="GA43" s="126"/>
      <c r="GB43" s="126"/>
      <c r="GC43" s="126"/>
      <c r="GD43" s="126"/>
      <c r="GE43" s="126"/>
      <c r="GF43" s="126"/>
      <c r="GG43" s="126"/>
      <c r="GH43" s="126"/>
      <c r="GI43" s="126"/>
      <c r="GJ43" s="126"/>
      <c r="GK43" s="126"/>
      <c r="GL43" s="126"/>
      <c r="GM43" s="126"/>
      <c r="GN43" s="126"/>
      <c r="GO43" s="126"/>
      <c r="GP43" s="126"/>
      <c r="GQ43" s="126"/>
      <c r="GR43" s="126"/>
      <c r="GS43" s="126"/>
      <c r="GT43" s="126"/>
      <c r="GU43" s="126"/>
      <c r="GV43" s="126"/>
      <c r="GW43" s="126"/>
      <c r="GX43" s="128">
        <f t="shared" si="13"/>
        <v>0</v>
      </c>
      <c r="GY43" s="132">
        <f>標單!F37</f>
        <v>442</v>
      </c>
      <c r="GZ43" s="132">
        <f>標單!G37</f>
        <v>93704</v>
      </c>
      <c r="HA43" s="104">
        <f t="shared" si="12"/>
        <v>1.8089999999999998E-2</v>
      </c>
    </row>
    <row r="44" spans="1:209" ht="38.450000000000003" customHeight="1" thickBot="1">
      <c r="A44" s="193">
        <v>32</v>
      </c>
      <c r="B44" s="194" t="str">
        <f>標單!C38</f>
        <v>門窗工程及雜項工程</v>
      </c>
      <c r="C44" s="195">
        <f>標單!E38</f>
        <v>1</v>
      </c>
      <c r="D44" s="196" t="str">
        <f>標單!D38</f>
        <v>式</v>
      </c>
      <c r="E44" s="126"/>
      <c r="F44" s="126"/>
      <c r="G44" s="126"/>
      <c r="H44" s="126"/>
      <c r="I44" s="126"/>
      <c r="J44" s="126"/>
      <c r="K44" s="126"/>
      <c r="L44" s="126"/>
      <c r="M44" s="126"/>
      <c r="N44" s="126"/>
      <c r="O44" s="126"/>
      <c r="P44" s="126"/>
      <c r="Q44" s="126"/>
      <c r="R44" s="126"/>
      <c r="S44" s="126"/>
      <c r="T44" s="126"/>
      <c r="U44" s="126"/>
      <c r="V44" s="126"/>
      <c r="W44" s="126"/>
      <c r="X44" s="126"/>
      <c r="Y44" s="126"/>
      <c r="Z44" s="126"/>
      <c r="AA44" s="126"/>
      <c r="AB44" s="126"/>
      <c r="AC44" s="126"/>
      <c r="AD44" s="126"/>
      <c r="AE44" s="126"/>
      <c r="AF44" s="126"/>
      <c r="AG44" s="126"/>
      <c r="AH44" s="126"/>
      <c r="AI44" s="126"/>
      <c r="AJ44" s="126"/>
      <c r="AK44" s="126"/>
      <c r="AL44" s="126"/>
      <c r="AM44" s="126"/>
      <c r="AN44" s="126"/>
      <c r="AO44" s="126"/>
      <c r="AP44" s="126"/>
      <c r="AQ44" s="126"/>
      <c r="AR44" s="126"/>
      <c r="AS44" s="126"/>
      <c r="AT44" s="126"/>
      <c r="AU44" s="126"/>
      <c r="AV44" s="126"/>
      <c r="AW44" s="126"/>
      <c r="AX44" s="126"/>
      <c r="AY44" s="126"/>
      <c r="AZ44" s="126"/>
      <c r="BA44" s="126"/>
      <c r="BB44" s="126"/>
      <c r="BC44" s="126"/>
      <c r="BD44" s="126"/>
      <c r="BE44" s="126"/>
      <c r="BF44" s="126"/>
      <c r="BG44" s="126"/>
      <c r="BH44" s="126"/>
      <c r="BI44" s="126"/>
      <c r="BJ44" s="126"/>
      <c r="BK44" s="126"/>
      <c r="BL44" s="126"/>
      <c r="BM44" s="126"/>
      <c r="BN44" s="126"/>
      <c r="BO44" s="126"/>
      <c r="BP44" s="126"/>
      <c r="BQ44" s="126"/>
      <c r="BR44" s="126"/>
      <c r="BS44" s="126"/>
      <c r="BT44" s="126"/>
      <c r="BU44" s="126"/>
      <c r="BV44" s="126"/>
      <c r="BW44" s="126"/>
      <c r="BX44" s="126"/>
      <c r="BY44" s="126"/>
      <c r="BZ44" s="126"/>
      <c r="CA44" s="126"/>
      <c r="CB44" s="126"/>
      <c r="CC44" s="126"/>
      <c r="CD44" s="126"/>
      <c r="CE44" s="126"/>
      <c r="CF44" s="126"/>
      <c r="CG44" s="126"/>
      <c r="CH44" s="126"/>
      <c r="CI44" s="126"/>
      <c r="CJ44" s="126"/>
      <c r="CK44" s="126"/>
      <c r="CL44" s="126"/>
      <c r="CM44" s="126"/>
      <c r="CN44" s="126"/>
      <c r="CO44" s="126"/>
      <c r="CP44" s="126"/>
      <c r="CQ44" s="126"/>
      <c r="CR44" s="126"/>
      <c r="CS44" s="126"/>
      <c r="CT44" s="126"/>
      <c r="CU44" s="126"/>
      <c r="CV44" s="126"/>
      <c r="CW44" s="126"/>
      <c r="CX44" s="126"/>
      <c r="CY44" s="126"/>
      <c r="CZ44" s="126"/>
      <c r="DA44" s="126"/>
      <c r="DB44" s="126"/>
      <c r="DC44" s="126"/>
      <c r="DD44" s="126"/>
      <c r="DE44" s="126"/>
      <c r="DF44" s="126"/>
      <c r="DG44" s="126"/>
      <c r="DH44" s="126"/>
      <c r="DI44" s="126"/>
      <c r="DJ44" s="126"/>
      <c r="DK44" s="126"/>
      <c r="DL44" s="126"/>
      <c r="DM44" s="126"/>
      <c r="DN44" s="126"/>
      <c r="DO44" s="126"/>
      <c r="DP44" s="126"/>
      <c r="DQ44" s="126"/>
      <c r="DR44" s="126"/>
      <c r="DS44" s="126"/>
      <c r="DT44" s="126"/>
      <c r="DU44" s="126"/>
      <c r="DV44" s="126"/>
      <c r="DW44" s="126"/>
      <c r="DX44" s="126"/>
      <c r="DY44" s="126"/>
      <c r="DZ44" s="126"/>
      <c r="EA44" s="126"/>
      <c r="EB44" s="126"/>
      <c r="EC44" s="126"/>
      <c r="ED44" s="126"/>
      <c r="EE44" s="126"/>
      <c r="EF44" s="126"/>
      <c r="EG44" s="126"/>
      <c r="EH44" s="126"/>
      <c r="EI44" s="126"/>
      <c r="EJ44" s="126"/>
      <c r="EK44" s="126"/>
      <c r="EL44" s="126"/>
      <c r="EM44" s="126"/>
      <c r="EN44" s="126"/>
      <c r="EO44" s="126"/>
      <c r="EP44" s="126"/>
      <c r="EQ44" s="126"/>
      <c r="ER44" s="126"/>
      <c r="ES44" s="126"/>
      <c r="ET44" s="126"/>
      <c r="EU44" s="126"/>
      <c r="EV44" s="126"/>
      <c r="EW44" s="126"/>
      <c r="EX44" s="126"/>
      <c r="EY44" s="126"/>
      <c r="EZ44" s="126"/>
      <c r="FA44" s="126"/>
      <c r="FB44" s="126"/>
      <c r="FC44" s="126"/>
      <c r="FD44" s="126"/>
      <c r="FE44" s="126"/>
      <c r="FF44" s="126"/>
      <c r="FG44" s="126"/>
      <c r="FH44" s="126"/>
      <c r="FI44" s="126"/>
      <c r="FJ44" s="126"/>
      <c r="FK44" s="126"/>
      <c r="FL44" s="126"/>
      <c r="FM44" s="126"/>
      <c r="FN44" s="126"/>
      <c r="FO44" s="126"/>
      <c r="FP44" s="126"/>
      <c r="FQ44" s="126"/>
      <c r="FR44" s="126"/>
      <c r="FS44" s="126"/>
      <c r="FT44" s="126"/>
      <c r="FU44" s="126"/>
      <c r="FV44" s="126"/>
      <c r="FW44" s="126"/>
      <c r="FX44" s="126"/>
      <c r="FY44" s="126"/>
      <c r="FZ44" s="126"/>
      <c r="GA44" s="126"/>
      <c r="GB44" s="126"/>
      <c r="GC44" s="126"/>
      <c r="GD44" s="126"/>
      <c r="GE44" s="126"/>
      <c r="GF44" s="126"/>
      <c r="GG44" s="126"/>
      <c r="GH44" s="126"/>
      <c r="GI44" s="126"/>
      <c r="GJ44" s="126"/>
      <c r="GK44" s="126"/>
      <c r="GL44" s="126"/>
      <c r="GM44" s="126"/>
      <c r="GN44" s="126"/>
      <c r="GO44" s="126"/>
      <c r="GP44" s="126"/>
      <c r="GQ44" s="126"/>
      <c r="GR44" s="126"/>
      <c r="GS44" s="126"/>
      <c r="GT44" s="126"/>
      <c r="GU44" s="126"/>
      <c r="GV44" s="126"/>
      <c r="GW44" s="126"/>
      <c r="GX44" s="128">
        <f t="shared" si="13"/>
        <v>0</v>
      </c>
      <c r="GY44" s="132">
        <f>標單!F38</f>
        <v>151466</v>
      </c>
      <c r="GZ44" s="132">
        <f>標單!G38</f>
        <v>151466</v>
      </c>
      <c r="HA44" s="104">
        <f t="shared" si="12"/>
        <v>2.9239999999999999E-2</v>
      </c>
    </row>
    <row r="45" spans="1:209" ht="38.450000000000003" customHeight="1" thickBot="1">
      <c r="A45" s="246" t="s">
        <v>23</v>
      </c>
      <c r="B45" s="247" t="str">
        <f>標單!C40</f>
        <v>職業安全衛生管理費(約直接工程費之0.8%)</v>
      </c>
      <c r="C45" s="248">
        <f>標單!E40</f>
        <v>1</v>
      </c>
      <c r="D45" s="249" t="str">
        <f>標單!D40</f>
        <v>式</v>
      </c>
      <c r="E45" s="244">
        <f t="shared" ref="E45:N48" si="14">IF(SUMPRODUCT($GY$13:$GY$44,E$13:E$44)=0,"",ROUND(SUMPRODUCT($GY$13:$GY$44,E$13:E$44)/SUM($GZ$13:$GZ$44),5))</f>
        <v>2.1800000000000001E-3</v>
      </c>
      <c r="F45" s="244"/>
      <c r="G45" s="244">
        <f t="shared" si="14"/>
        <v>2.8900000000000002E-3</v>
      </c>
      <c r="H45" s="244">
        <f t="shared" si="14"/>
        <v>2.8900000000000002E-3</v>
      </c>
      <c r="I45" s="244">
        <f t="shared" si="14"/>
        <v>2.8900000000000002E-3</v>
      </c>
      <c r="J45" s="244">
        <f t="shared" si="14"/>
        <v>2.8900000000000002E-3</v>
      </c>
      <c r="K45" s="244">
        <f t="shared" si="14"/>
        <v>2.8900000000000002E-3</v>
      </c>
      <c r="L45" s="244">
        <f t="shared" si="14"/>
        <v>2.8900000000000002E-3</v>
      </c>
      <c r="M45" s="244">
        <f t="shared" si="14"/>
        <v>2.8900000000000002E-3</v>
      </c>
      <c r="N45" s="244">
        <f t="shared" si="14"/>
        <v>2.8900000000000002E-3</v>
      </c>
      <c r="O45" s="244">
        <f t="shared" ref="O45:X48" si="15">IF(SUMPRODUCT($GY$13:$GY$44,O$13:O$44)=0,"",ROUND(SUMPRODUCT($GY$13:$GY$44,O$13:O$44)/SUM($GZ$13:$GZ$44),5))</f>
        <v>2.8900000000000002E-3</v>
      </c>
      <c r="P45" s="244">
        <f t="shared" si="15"/>
        <v>2.8900000000000002E-3</v>
      </c>
      <c r="Q45" s="244">
        <f t="shared" si="15"/>
        <v>2.8900000000000002E-3</v>
      </c>
      <c r="R45" s="244">
        <f t="shared" si="15"/>
        <v>2.8900000000000002E-3</v>
      </c>
      <c r="S45" s="244">
        <f t="shared" si="15"/>
        <v>2.8900000000000002E-3</v>
      </c>
      <c r="T45" s="244">
        <f t="shared" si="15"/>
        <v>2.8900000000000002E-3</v>
      </c>
      <c r="U45" s="244">
        <f t="shared" si="15"/>
        <v>2.8900000000000002E-3</v>
      </c>
      <c r="V45" s="244">
        <f t="shared" si="15"/>
        <v>2.8900000000000002E-3</v>
      </c>
      <c r="W45" s="244">
        <f t="shared" si="15"/>
        <v>2.8900000000000002E-3</v>
      </c>
      <c r="X45" s="244">
        <f t="shared" si="15"/>
        <v>2.8900000000000002E-3</v>
      </c>
      <c r="Y45" s="244" t="str">
        <f t="shared" ref="Y45:AH48" si="16">IF(SUMPRODUCT($GY$13:$GY$44,Y$13:Y$44)=0,"",ROUND(SUMPRODUCT($GY$13:$GY$44,Y$13:Y$44)/SUM($GZ$13:$GZ$44),5))</f>
        <v/>
      </c>
      <c r="Z45" s="244" t="str">
        <f t="shared" si="16"/>
        <v/>
      </c>
      <c r="AA45" s="244" t="str">
        <f t="shared" si="16"/>
        <v/>
      </c>
      <c r="AB45" s="244" t="str">
        <f t="shared" si="16"/>
        <v/>
      </c>
      <c r="AC45" s="244" t="str">
        <f t="shared" si="16"/>
        <v/>
      </c>
      <c r="AD45" s="244" t="str">
        <f t="shared" si="16"/>
        <v/>
      </c>
      <c r="AE45" s="244" t="str">
        <f t="shared" si="16"/>
        <v/>
      </c>
      <c r="AF45" s="244" t="str">
        <f t="shared" si="16"/>
        <v/>
      </c>
      <c r="AG45" s="244" t="str">
        <f t="shared" si="16"/>
        <v/>
      </c>
      <c r="AH45" s="244" t="str">
        <f t="shared" si="16"/>
        <v/>
      </c>
      <c r="AI45" s="244" t="str">
        <f t="shared" ref="AI45:AR48" si="17">IF(SUMPRODUCT($GY$13:$GY$44,AI$13:AI$44)=0,"",ROUND(SUMPRODUCT($GY$13:$GY$44,AI$13:AI$44)/SUM($GZ$13:$GZ$44),5))</f>
        <v/>
      </c>
      <c r="AJ45" s="244" t="str">
        <f t="shared" si="17"/>
        <v/>
      </c>
      <c r="AK45" s="244" t="str">
        <f t="shared" si="17"/>
        <v/>
      </c>
      <c r="AL45" s="244" t="str">
        <f t="shared" si="17"/>
        <v/>
      </c>
      <c r="AM45" s="244" t="str">
        <f t="shared" si="17"/>
        <v/>
      </c>
      <c r="AN45" s="244" t="str">
        <f t="shared" si="17"/>
        <v/>
      </c>
      <c r="AO45" s="244" t="str">
        <f t="shared" si="17"/>
        <v/>
      </c>
      <c r="AP45" s="244" t="str">
        <f t="shared" si="17"/>
        <v/>
      </c>
      <c r="AQ45" s="244" t="str">
        <f t="shared" si="17"/>
        <v/>
      </c>
      <c r="AR45" s="244" t="str">
        <f t="shared" si="17"/>
        <v/>
      </c>
      <c r="AS45" s="244" t="str">
        <f t="shared" ref="AS45:BB48" si="18">IF(SUMPRODUCT($GY$13:$GY$44,AS$13:AS$44)=0,"",ROUND(SUMPRODUCT($GY$13:$GY$44,AS$13:AS$44)/SUM($GZ$13:$GZ$44),5))</f>
        <v/>
      </c>
      <c r="AT45" s="244" t="str">
        <f t="shared" si="18"/>
        <v/>
      </c>
      <c r="AU45" s="244" t="str">
        <f t="shared" si="18"/>
        <v/>
      </c>
      <c r="AV45" s="244" t="str">
        <f t="shared" si="18"/>
        <v/>
      </c>
      <c r="AW45" s="244" t="str">
        <f t="shared" si="18"/>
        <v/>
      </c>
      <c r="AX45" s="244" t="str">
        <f t="shared" si="18"/>
        <v/>
      </c>
      <c r="AY45" s="244" t="str">
        <f t="shared" si="18"/>
        <v/>
      </c>
      <c r="AZ45" s="244" t="str">
        <f t="shared" si="18"/>
        <v/>
      </c>
      <c r="BA45" s="244" t="str">
        <f t="shared" si="18"/>
        <v/>
      </c>
      <c r="BB45" s="244" t="str">
        <f t="shared" si="18"/>
        <v/>
      </c>
      <c r="BC45" s="244" t="str">
        <f t="shared" ref="BC45:BL48" si="19">IF(SUMPRODUCT($GY$13:$GY$44,BC$13:BC$44)=0,"",ROUND(SUMPRODUCT($GY$13:$GY$44,BC$13:BC$44)/SUM($GZ$13:$GZ$44),5))</f>
        <v/>
      </c>
      <c r="BD45" s="244" t="str">
        <f t="shared" si="19"/>
        <v/>
      </c>
      <c r="BE45" s="244" t="str">
        <f t="shared" si="19"/>
        <v/>
      </c>
      <c r="BF45" s="244" t="str">
        <f t="shared" si="19"/>
        <v/>
      </c>
      <c r="BG45" s="244" t="str">
        <f t="shared" si="19"/>
        <v/>
      </c>
      <c r="BH45" s="244" t="str">
        <f t="shared" si="19"/>
        <v/>
      </c>
      <c r="BI45" s="244" t="str">
        <f t="shared" si="19"/>
        <v/>
      </c>
      <c r="BJ45" s="244" t="str">
        <f t="shared" si="19"/>
        <v/>
      </c>
      <c r="BK45" s="244" t="str">
        <f t="shared" si="19"/>
        <v/>
      </c>
      <c r="BL45" s="244" t="str">
        <f t="shared" si="19"/>
        <v/>
      </c>
      <c r="BM45" s="244" t="str">
        <f t="shared" ref="BM45:BV48" si="20">IF(SUMPRODUCT($GY$13:$GY$44,BM$13:BM$44)=0,"",ROUND(SUMPRODUCT($GY$13:$GY$44,BM$13:BM$44)/SUM($GZ$13:$GZ$44),5))</f>
        <v/>
      </c>
      <c r="BN45" s="244" t="str">
        <f t="shared" si="20"/>
        <v/>
      </c>
      <c r="BO45" s="244" t="str">
        <f t="shared" si="20"/>
        <v/>
      </c>
      <c r="BP45" s="244" t="str">
        <f t="shared" si="20"/>
        <v/>
      </c>
      <c r="BQ45" s="244" t="str">
        <f t="shared" si="20"/>
        <v/>
      </c>
      <c r="BR45" s="244" t="str">
        <f t="shared" si="20"/>
        <v/>
      </c>
      <c r="BS45" s="244" t="str">
        <f t="shared" si="20"/>
        <v/>
      </c>
      <c r="BT45" s="244" t="str">
        <f t="shared" si="20"/>
        <v/>
      </c>
      <c r="BU45" s="244" t="str">
        <f t="shared" si="20"/>
        <v/>
      </c>
      <c r="BV45" s="244" t="str">
        <f t="shared" si="20"/>
        <v/>
      </c>
      <c r="BW45" s="244" t="str">
        <f t="shared" ref="BW45:CF48" si="21">IF(SUMPRODUCT($GY$13:$GY$44,BW$13:BW$44)=0,"",ROUND(SUMPRODUCT($GY$13:$GY$44,BW$13:BW$44)/SUM($GZ$13:$GZ$44),5))</f>
        <v/>
      </c>
      <c r="BX45" s="244" t="str">
        <f t="shared" si="21"/>
        <v/>
      </c>
      <c r="BY45" s="244" t="str">
        <f t="shared" si="21"/>
        <v/>
      </c>
      <c r="BZ45" s="244" t="str">
        <f t="shared" si="21"/>
        <v/>
      </c>
      <c r="CA45" s="244" t="str">
        <f t="shared" si="21"/>
        <v/>
      </c>
      <c r="CB45" s="244" t="str">
        <f t="shared" si="21"/>
        <v/>
      </c>
      <c r="CC45" s="244" t="str">
        <f t="shared" si="21"/>
        <v/>
      </c>
      <c r="CD45" s="244" t="str">
        <f t="shared" si="21"/>
        <v/>
      </c>
      <c r="CE45" s="244" t="str">
        <f t="shared" si="21"/>
        <v/>
      </c>
      <c r="CF45" s="244" t="str">
        <f t="shared" si="21"/>
        <v/>
      </c>
      <c r="CG45" s="244" t="str">
        <f t="shared" ref="CG45:CP48" si="22">IF(SUMPRODUCT($GY$13:$GY$44,CG$13:CG$44)=0,"",ROUND(SUMPRODUCT($GY$13:$GY$44,CG$13:CG$44)/SUM($GZ$13:$GZ$44),5))</f>
        <v/>
      </c>
      <c r="CH45" s="244" t="str">
        <f t="shared" si="22"/>
        <v/>
      </c>
      <c r="CI45" s="244" t="str">
        <f t="shared" si="22"/>
        <v/>
      </c>
      <c r="CJ45" s="244" t="str">
        <f t="shared" si="22"/>
        <v/>
      </c>
      <c r="CK45" s="244" t="str">
        <f t="shared" si="22"/>
        <v/>
      </c>
      <c r="CL45" s="244" t="str">
        <f t="shared" si="22"/>
        <v/>
      </c>
      <c r="CM45" s="244" t="str">
        <f t="shared" si="22"/>
        <v/>
      </c>
      <c r="CN45" s="244" t="str">
        <f t="shared" si="22"/>
        <v/>
      </c>
      <c r="CO45" s="244" t="str">
        <f t="shared" si="22"/>
        <v/>
      </c>
      <c r="CP45" s="244" t="str">
        <f t="shared" si="22"/>
        <v/>
      </c>
      <c r="CQ45" s="244" t="str">
        <f t="shared" ref="CQ45:CZ48" si="23">IF(SUMPRODUCT($GY$13:$GY$44,CQ$13:CQ$44)=0,"",ROUND(SUMPRODUCT($GY$13:$GY$44,CQ$13:CQ$44)/SUM($GZ$13:$GZ$44),5))</f>
        <v/>
      </c>
      <c r="CR45" s="244" t="str">
        <f t="shared" si="23"/>
        <v/>
      </c>
      <c r="CS45" s="244" t="str">
        <f t="shared" si="23"/>
        <v/>
      </c>
      <c r="CT45" s="244" t="str">
        <f t="shared" si="23"/>
        <v/>
      </c>
      <c r="CU45" s="244" t="str">
        <f t="shared" si="23"/>
        <v/>
      </c>
      <c r="CV45" s="244" t="str">
        <f t="shared" si="23"/>
        <v/>
      </c>
      <c r="CW45" s="244" t="str">
        <f t="shared" si="23"/>
        <v/>
      </c>
      <c r="CX45" s="244" t="str">
        <f t="shared" si="23"/>
        <v/>
      </c>
      <c r="CY45" s="244" t="str">
        <f t="shared" si="23"/>
        <v/>
      </c>
      <c r="CZ45" s="244" t="str">
        <f t="shared" si="23"/>
        <v/>
      </c>
      <c r="DA45" s="244" t="str">
        <f t="shared" ref="DA45:DJ48" si="24">IF(SUMPRODUCT($GY$13:$GY$44,DA$13:DA$44)=0,"",ROUND(SUMPRODUCT($GY$13:$GY$44,DA$13:DA$44)/SUM($GZ$13:$GZ$44),5))</f>
        <v/>
      </c>
      <c r="DB45" s="244" t="str">
        <f t="shared" si="24"/>
        <v/>
      </c>
      <c r="DC45" s="244" t="str">
        <f t="shared" si="24"/>
        <v/>
      </c>
      <c r="DD45" s="244" t="str">
        <f t="shared" si="24"/>
        <v/>
      </c>
      <c r="DE45" s="244" t="str">
        <f t="shared" si="24"/>
        <v/>
      </c>
      <c r="DF45" s="244" t="str">
        <f t="shared" si="24"/>
        <v/>
      </c>
      <c r="DG45" s="244" t="str">
        <f t="shared" si="24"/>
        <v/>
      </c>
      <c r="DH45" s="244" t="str">
        <f t="shared" si="24"/>
        <v/>
      </c>
      <c r="DI45" s="244" t="str">
        <f t="shared" si="24"/>
        <v/>
      </c>
      <c r="DJ45" s="244" t="str">
        <f t="shared" si="24"/>
        <v/>
      </c>
      <c r="DK45" s="244" t="str">
        <f t="shared" ref="DK45:DT48" si="25">IF(SUMPRODUCT($GY$13:$GY$44,DK$13:DK$44)=0,"",ROUND(SUMPRODUCT($GY$13:$GY$44,DK$13:DK$44)/SUM($GZ$13:$GZ$44),5))</f>
        <v/>
      </c>
      <c r="DL45" s="244" t="str">
        <f t="shared" si="25"/>
        <v/>
      </c>
      <c r="DM45" s="244" t="str">
        <f t="shared" si="25"/>
        <v/>
      </c>
      <c r="DN45" s="244" t="str">
        <f t="shared" si="25"/>
        <v/>
      </c>
      <c r="DO45" s="244" t="str">
        <f t="shared" si="25"/>
        <v/>
      </c>
      <c r="DP45" s="244" t="str">
        <f t="shared" si="25"/>
        <v/>
      </c>
      <c r="DQ45" s="244" t="str">
        <f t="shared" si="25"/>
        <v/>
      </c>
      <c r="DR45" s="244" t="str">
        <f t="shared" si="25"/>
        <v/>
      </c>
      <c r="DS45" s="244" t="str">
        <f t="shared" si="25"/>
        <v/>
      </c>
      <c r="DT45" s="244" t="str">
        <f t="shared" si="25"/>
        <v/>
      </c>
      <c r="DU45" s="244" t="str">
        <f t="shared" ref="DU45:ED48" si="26">IF(SUMPRODUCT($GY$13:$GY$44,DU$13:DU$44)=0,"",ROUND(SUMPRODUCT($GY$13:$GY$44,DU$13:DU$44)/SUM($GZ$13:$GZ$44),5))</f>
        <v/>
      </c>
      <c r="DV45" s="244" t="str">
        <f t="shared" si="26"/>
        <v/>
      </c>
      <c r="DW45" s="244" t="str">
        <f t="shared" si="26"/>
        <v/>
      </c>
      <c r="DX45" s="244" t="str">
        <f t="shared" si="26"/>
        <v/>
      </c>
      <c r="DY45" s="244" t="str">
        <f t="shared" si="26"/>
        <v/>
      </c>
      <c r="DZ45" s="244" t="str">
        <f t="shared" si="26"/>
        <v/>
      </c>
      <c r="EA45" s="244" t="str">
        <f t="shared" si="26"/>
        <v/>
      </c>
      <c r="EB45" s="244" t="str">
        <f t="shared" si="26"/>
        <v/>
      </c>
      <c r="EC45" s="244" t="str">
        <f t="shared" si="26"/>
        <v/>
      </c>
      <c r="ED45" s="244" t="str">
        <f t="shared" si="26"/>
        <v/>
      </c>
      <c r="EE45" s="244" t="str">
        <f t="shared" ref="EE45:EN48" si="27">IF(SUMPRODUCT($GY$13:$GY$44,EE$13:EE$44)=0,"",ROUND(SUMPRODUCT($GY$13:$GY$44,EE$13:EE$44)/SUM($GZ$13:$GZ$44),5))</f>
        <v/>
      </c>
      <c r="EF45" s="244" t="str">
        <f t="shared" si="27"/>
        <v/>
      </c>
      <c r="EG45" s="244" t="str">
        <f t="shared" si="27"/>
        <v/>
      </c>
      <c r="EH45" s="244" t="str">
        <f t="shared" si="27"/>
        <v/>
      </c>
      <c r="EI45" s="244" t="str">
        <f t="shared" si="27"/>
        <v/>
      </c>
      <c r="EJ45" s="244" t="str">
        <f t="shared" si="27"/>
        <v/>
      </c>
      <c r="EK45" s="244" t="str">
        <f t="shared" si="27"/>
        <v/>
      </c>
      <c r="EL45" s="244" t="str">
        <f t="shared" si="27"/>
        <v/>
      </c>
      <c r="EM45" s="244" t="str">
        <f t="shared" si="27"/>
        <v/>
      </c>
      <c r="EN45" s="244" t="str">
        <f t="shared" si="27"/>
        <v/>
      </c>
      <c r="EO45" s="244" t="str">
        <f t="shared" ref="EO45:EX48" si="28">IF(SUMPRODUCT($GY$13:$GY$44,EO$13:EO$44)=0,"",ROUND(SUMPRODUCT($GY$13:$GY$44,EO$13:EO$44)/SUM($GZ$13:$GZ$44),5))</f>
        <v/>
      </c>
      <c r="EP45" s="244" t="str">
        <f t="shared" si="28"/>
        <v/>
      </c>
      <c r="EQ45" s="244" t="str">
        <f t="shared" si="28"/>
        <v/>
      </c>
      <c r="ER45" s="244" t="str">
        <f t="shared" si="28"/>
        <v/>
      </c>
      <c r="ES45" s="244" t="str">
        <f t="shared" si="28"/>
        <v/>
      </c>
      <c r="ET45" s="244" t="str">
        <f t="shared" si="28"/>
        <v/>
      </c>
      <c r="EU45" s="244" t="str">
        <f t="shared" si="28"/>
        <v/>
      </c>
      <c r="EV45" s="244" t="str">
        <f t="shared" si="28"/>
        <v/>
      </c>
      <c r="EW45" s="244" t="str">
        <f t="shared" si="28"/>
        <v/>
      </c>
      <c r="EX45" s="244" t="str">
        <f t="shared" si="28"/>
        <v/>
      </c>
      <c r="EY45" s="244" t="str">
        <f t="shared" ref="EY45:FH48" si="29">IF(SUMPRODUCT($GY$13:$GY$44,EY$13:EY$44)=0,"",ROUND(SUMPRODUCT($GY$13:$GY$44,EY$13:EY$44)/SUM($GZ$13:$GZ$44),5))</f>
        <v/>
      </c>
      <c r="EZ45" s="244" t="str">
        <f t="shared" si="29"/>
        <v/>
      </c>
      <c r="FA45" s="244" t="str">
        <f t="shared" si="29"/>
        <v/>
      </c>
      <c r="FB45" s="244" t="str">
        <f t="shared" si="29"/>
        <v/>
      </c>
      <c r="FC45" s="244" t="str">
        <f t="shared" si="29"/>
        <v/>
      </c>
      <c r="FD45" s="244" t="str">
        <f t="shared" si="29"/>
        <v/>
      </c>
      <c r="FE45" s="244" t="str">
        <f t="shared" si="29"/>
        <v/>
      </c>
      <c r="FF45" s="244" t="str">
        <f t="shared" si="29"/>
        <v/>
      </c>
      <c r="FG45" s="244" t="str">
        <f t="shared" si="29"/>
        <v/>
      </c>
      <c r="FH45" s="244" t="str">
        <f t="shared" si="29"/>
        <v/>
      </c>
      <c r="FI45" s="244" t="str">
        <f t="shared" ref="FI45:FR48" si="30">IF(SUMPRODUCT($GY$13:$GY$44,FI$13:FI$44)=0,"",ROUND(SUMPRODUCT($GY$13:$GY$44,FI$13:FI$44)/SUM($GZ$13:$GZ$44),5))</f>
        <v/>
      </c>
      <c r="FJ45" s="244" t="str">
        <f t="shared" si="30"/>
        <v/>
      </c>
      <c r="FK45" s="244" t="str">
        <f t="shared" si="30"/>
        <v/>
      </c>
      <c r="FL45" s="244" t="str">
        <f t="shared" si="30"/>
        <v/>
      </c>
      <c r="FM45" s="244" t="str">
        <f t="shared" si="30"/>
        <v/>
      </c>
      <c r="FN45" s="244" t="str">
        <f t="shared" si="30"/>
        <v/>
      </c>
      <c r="FO45" s="244" t="str">
        <f t="shared" si="30"/>
        <v/>
      </c>
      <c r="FP45" s="244" t="str">
        <f t="shared" si="30"/>
        <v/>
      </c>
      <c r="FQ45" s="244" t="str">
        <f t="shared" si="30"/>
        <v/>
      </c>
      <c r="FR45" s="244" t="str">
        <f t="shared" si="30"/>
        <v/>
      </c>
      <c r="FS45" s="244" t="str">
        <f t="shared" ref="FS45:GB48" si="31">IF(SUMPRODUCT($GY$13:$GY$44,FS$13:FS$44)=0,"",ROUND(SUMPRODUCT($GY$13:$GY$44,FS$13:FS$44)/SUM($GZ$13:$GZ$44),5))</f>
        <v/>
      </c>
      <c r="FT45" s="244" t="str">
        <f t="shared" si="31"/>
        <v/>
      </c>
      <c r="FU45" s="244" t="str">
        <f t="shared" si="31"/>
        <v/>
      </c>
      <c r="FV45" s="244" t="str">
        <f t="shared" si="31"/>
        <v/>
      </c>
      <c r="FW45" s="244" t="str">
        <f t="shared" si="31"/>
        <v/>
      </c>
      <c r="FX45" s="244" t="str">
        <f t="shared" si="31"/>
        <v/>
      </c>
      <c r="FY45" s="244" t="str">
        <f t="shared" si="31"/>
        <v/>
      </c>
      <c r="FZ45" s="244" t="str">
        <f t="shared" si="31"/>
        <v/>
      </c>
      <c r="GA45" s="244" t="str">
        <f t="shared" si="31"/>
        <v/>
      </c>
      <c r="GB45" s="244" t="str">
        <f t="shared" si="31"/>
        <v/>
      </c>
      <c r="GC45" s="244" t="str">
        <f t="shared" ref="GC45:GL48" si="32">IF(SUMPRODUCT($GY$13:$GY$44,GC$13:GC$44)=0,"",ROUND(SUMPRODUCT($GY$13:$GY$44,GC$13:GC$44)/SUM($GZ$13:$GZ$44),5))</f>
        <v/>
      </c>
      <c r="GD45" s="244" t="str">
        <f t="shared" si="32"/>
        <v/>
      </c>
      <c r="GE45" s="244" t="str">
        <f t="shared" si="32"/>
        <v/>
      </c>
      <c r="GF45" s="244" t="str">
        <f t="shared" si="32"/>
        <v/>
      </c>
      <c r="GG45" s="244" t="str">
        <f t="shared" si="32"/>
        <v/>
      </c>
      <c r="GH45" s="244" t="str">
        <f t="shared" si="32"/>
        <v/>
      </c>
      <c r="GI45" s="244" t="str">
        <f t="shared" si="32"/>
        <v/>
      </c>
      <c r="GJ45" s="244" t="str">
        <f t="shared" si="32"/>
        <v/>
      </c>
      <c r="GK45" s="244" t="str">
        <f t="shared" si="32"/>
        <v/>
      </c>
      <c r="GL45" s="244" t="str">
        <f t="shared" si="32"/>
        <v/>
      </c>
      <c r="GM45" s="244" t="str">
        <f t="shared" ref="GM45:GW48" si="33">IF(SUMPRODUCT($GY$13:$GY$44,GM$13:GM$44)=0,"",ROUND(SUMPRODUCT($GY$13:$GY$44,GM$13:GM$44)/SUM($GZ$13:$GZ$44),5))</f>
        <v/>
      </c>
      <c r="GN45" s="244" t="str">
        <f t="shared" si="33"/>
        <v/>
      </c>
      <c r="GO45" s="244" t="str">
        <f t="shared" si="33"/>
        <v/>
      </c>
      <c r="GP45" s="244" t="str">
        <f t="shared" si="33"/>
        <v/>
      </c>
      <c r="GQ45" s="244" t="str">
        <f t="shared" si="33"/>
        <v/>
      </c>
      <c r="GR45" s="244" t="str">
        <f t="shared" si="33"/>
        <v/>
      </c>
      <c r="GS45" s="244" t="str">
        <f t="shared" si="33"/>
        <v/>
      </c>
      <c r="GT45" s="244" t="str">
        <f t="shared" si="33"/>
        <v/>
      </c>
      <c r="GU45" s="244" t="str">
        <f t="shared" si="33"/>
        <v/>
      </c>
      <c r="GV45" s="244" t="str">
        <f t="shared" si="33"/>
        <v/>
      </c>
      <c r="GW45" s="244" t="str">
        <f t="shared" si="33"/>
        <v/>
      </c>
      <c r="GX45" s="129">
        <f t="shared" si="13"/>
        <v>5.4200000000000026E-2</v>
      </c>
      <c r="GY45" s="132">
        <f>標單!F40</f>
        <v>35965</v>
      </c>
      <c r="GZ45" s="132">
        <f>標單!G40</f>
        <v>35965</v>
      </c>
      <c r="HA45" s="104">
        <f t="shared" si="12"/>
        <v>6.94E-3</v>
      </c>
    </row>
    <row r="46" spans="1:209" ht="38.450000000000003" customHeight="1" thickBot="1">
      <c r="A46" s="246" t="s">
        <v>181</v>
      </c>
      <c r="B46" s="247" t="str">
        <f>標單!C41</f>
        <v>工程品質管理費(約直接工程費之1%)</v>
      </c>
      <c r="C46" s="248">
        <f>標單!E41</f>
        <v>1</v>
      </c>
      <c r="D46" s="249" t="str">
        <f>標單!D41</f>
        <v>式</v>
      </c>
      <c r="E46" s="244">
        <f t="shared" si="14"/>
        <v>2.1800000000000001E-3</v>
      </c>
      <c r="F46" s="244"/>
      <c r="G46" s="244">
        <f t="shared" si="14"/>
        <v>2.8900000000000002E-3</v>
      </c>
      <c r="H46" s="244">
        <f t="shared" si="14"/>
        <v>2.8900000000000002E-3</v>
      </c>
      <c r="I46" s="244">
        <f t="shared" si="14"/>
        <v>2.8900000000000002E-3</v>
      </c>
      <c r="J46" s="244">
        <f t="shared" si="14"/>
        <v>2.8900000000000002E-3</v>
      </c>
      <c r="K46" s="244">
        <f t="shared" si="14"/>
        <v>2.8900000000000002E-3</v>
      </c>
      <c r="L46" s="244">
        <f t="shared" si="14"/>
        <v>2.8900000000000002E-3</v>
      </c>
      <c r="M46" s="244">
        <f t="shared" si="14"/>
        <v>2.8900000000000002E-3</v>
      </c>
      <c r="N46" s="244">
        <f t="shared" si="14"/>
        <v>2.8900000000000002E-3</v>
      </c>
      <c r="O46" s="244">
        <f t="shared" si="15"/>
        <v>2.8900000000000002E-3</v>
      </c>
      <c r="P46" s="244">
        <f t="shared" si="15"/>
        <v>2.8900000000000002E-3</v>
      </c>
      <c r="Q46" s="244">
        <f t="shared" si="15"/>
        <v>2.8900000000000002E-3</v>
      </c>
      <c r="R46" s="244">
        <f t="shared" si="15"/>
        <v>2.8900000000000002E-3</v>
      </c>
      <c r="S46" s="244">
        <f t="shared" si="15"/>
        <v>2.8900000000000002E-3</v>
      </c>
      <c r="T46" s="244">
        <f t="shared" si="15"/>
        <v>2.8900000000000002E-3</v>
      </c>
      <c r="U46" s="244">
        <f t="shared" si="15"/>
        <v>2.8900000000000002E-3</v>
      </c>
      <c r="V46" s="244">
        <f t="shared" si="15"/>
        <v>2.8900000000000002E-3</v>
      </c>
      <c r="W46" s="244">
        <f t="shared" si="15"/>
        <v>2.8900000000000002E-3</v>
      </c>
      <c r="X46" s="244">
        <f t="shared" si="15"/>
        <v>2.8900000000000002E-3</v>
      </c>
      <c r="Y46" s="244" t="str">
        <f t="shared" si="16"/>
        <v/>
      </c>
      <c r="Z46" s="244" t="str">
        <f t="shared" si="16"/>
        <v/>
      </c>
      <c r="AA46" s="244" t="str">
        <f t="shared" si="16"/>
        <v/>
      </c>
      <c r="AB46" s="244" t="str">
        <f t="shared" si="16"/>
        <v/>
      </c>
      <c r="AC46" s="244" t="str">
        <f t="shared" si="16"/>
        <v/>
      </c>
      <c r="AD46" s="244" t="str">
        <f t="shared" si="16"/>
        <v/>
      </c>
      <c r="AE46" s="244" t="str">
        <f t="shared" si="16"/>
        <v/>
      </c>
      <c r="AF46" s="244" t="str">
        <f t="shared" si="16"/>
        <v/>
      </c>
      <c r="AG46" s="244" t="str">
        <f t="shared" si="16"/>
        <v/>
      </c>
      <c r="AH46" s="244" t="str">
        <f t="shared" si="16"/>
        <v/>
      </c>
      <c r="AI46" s="244" t="str">
        <f t="shared" si="17"/>
        <v/>
      </c>
      <c r="AJ46" s="244" t="str">
        <f t="shared" si="17"/>
        <v/>
      </c>
      <c r="AK46" s="244" t="str">
        <f t="shared" si="17"/>
        <v/>
      </c>
      <c r="AL46" s="244" t="str">
        <f t="shared" si="17"/>
        <v/>
      </c>
      <c r="AM46" s="244" t="str">
        <f t="shared" si="17"/>
        <v/>
      </c>
      <c r="AN46" s="244" t="str">
        <f t="shared" si="17"/>
        <v/>
      </c>
      <c r="AO46" s="244" t="str">
        <f t="shared" si="17"/>
        <v/>
      </c>
      <c r="AP46" s="244" t="str">
        <f t="shared" si="17"/>
        <v/>
      </c>
      <c r="AQ46" s="244" t="str">
        <f t="shared" si="17"/>
        <v/>
      </c>
      <c r="AR46" s="244" t="str">
        <f t="shared" si="17"/>
        <v/>
      </c>
      <c r="AS46" s="244" t="str">
        <f t="shared" si="18"/>
        <v/>
      </c>
      <c r="AT46" s="244" t="str">
        <f t="shared" si="18"/>
        <v/>
      </c>
      <c r="AU46" s="244" t="str">
        <f t="shared" si="18"/>
        <v/>
      </c>
      <c r="AV46" s="244" t="str">
        <f t="shared" si="18"/>
        <v/>
      </c>
      <c r="AW46" s="244" t="str">
        <f t="shared" si="18"/>
        <v/>
      </c>
      <c r="AX46" s="244" t="str">
        <f t="shared" si="18"/>
        <v/>
      </c>
      <c r="AY46" s="244" t="str">
        <f t="shared" si="18"/>
        <v/>
      </c>
      <c r="AZ46" s="244" t="str">
        <f t="shared" si="18"/>
        <v/>
      </c>
      <c r="BA46" s="244" t="str">
        <f t="shared" si="18"/>
        <v/>
      </c>
      <c r="BB46" s="244" t="str">
        <f t="shared" si="18"/>
        <v/>
      </c>
      <c r="BC46" s="244" t="str">
        <f t="shared" si="19"/>
        <v/>
      </c>
      <c r="BD46" s="244" t="str">
        <f t="shared" si="19"/>
        <v/>
      </c>
      <c r="BE46" s="244" t="str">
        <f t="shared" si="19"/>
        <v/>
      </c>
      <c r="BF46" s="244" t="str">
        <f t="shared" si="19"/>
        <v/>
      </c>
      <c r="BG46" s="244" t="str">
        <f t="shared" si="19"/>
        <v/>
      </c>
      <c r="BH46" s="244" t="str">
        <f t="shared" si="19"/>
        <v/>
      </c>
      <c r="BI46" s="244" t="str">
        <f t="shared" si="19"/>
        <v/>
      </c>
      <c r="BJ46" s="244" t="str">
        <f t="shared" si="19"/>
        <v/>
      </c>
      <c r="BK46" s="244" t="str">
        <f t="shared" si="19"/>
        <v/>
      </c>
      <c r="BL46" s="244" t="str">
        <f t="shared" si="19"/>
        <v/>
      </c>
      <c r="BM46" s="244" t="str">
        <f t="shared" si="20"/>
        <v/>
      </c>
      <c r="BN46" s="244" t="str">
        <f t="shared" si="20"/>
        <v/>
      </c>
      <c r="BO46" s="244" t="str">
        <f t="shared" si="20"/>
        <v/>
      </c>
      <c r="BP46" s="244" t="str">
        <f t="shared" si="20"/>
        <v/>
      </c>
      <c r="BQ46" s="244" t="str">
        <f t="shared" si="20"/>
        <v/>
      </c>
      <c r="BR46" s="244" t="str">
        <f t="shared" si="20"/>
        <v/>
      </c>
      <c r="BS46" s="244" t="str">
        <f t="shared" si="20"/>
        <v/>
      </c>
      <c r="BT46" s="244" t="str">
        <f t="shared" si="20"/>
        <v/>
      </c>
      <c r="BU46" s="244" t="str">
        <f t="shared" si="20"/>
        <v/>
      </c>
      <c r="BV46" s="244" t="str">
        <f t="shared" si="20"/>
        <v/>
      </c>
      <c r="BW46" s="244" t="str">
        <f t="shared" si="21"/>
        <v/>
      </c>
      <c r="BX46" s="244" t="str">
        <f t="shared" si="21"/>
        <v/>
      </c>
      <c r="BY46" s="244" t="str">
        <f t="shared" si="21"/>
        <v/>
      </c>
      <c r="BZ46" s="244" t="str">
        <f t="shared" si="21"/>
        <v/>
      </c>
      <c r="CA46" s="244" t="str">
        <f t="shared" si="21"/>
        <v/>
      </c>
      <c r="CB46" s="244" t="str">
        <f t="shared" si="21"/>
        <v/>
      </c>
      <c r="CC46" s="244" t="str">
        <f t="shared" si="21"/>
        <v/>
      </c>
      <c r="CD46" s="244" t="str">
        <f t="shared" si="21"/>
        <v/>
      </c>
      <c r="CE46" s="244" t="str">
        <f t="shared" si="21"/>
        <v/>
      </c>
      <c r="CF46" s="244" t="str">
        <f t="shared" si="21"/>
        <v/>
      </c>
      <c r="CG46" s="244" t="str">
        <f t="shared" si="22"/>
        <v/>
      </c>
      <c r="CH46" s="244" t="str">
        <f t="shared" si="22"/>
        <v/>
      </c>
      <c r="CI46" s="244" t="str">
        <f t="shared" si="22"/>
        <v/>
      </c>
      <c r="CJ46" s="244" t="str">
        <f t="shared" si="22"/>
        <v/>
      </c>
      <c r="CK46" s="244" t="str">
        <f t="shared" si="22"/>
        <v/>
      </c>
      <c r="CL46" s="244" t="str">
        <f t="shared" si="22"/>
        <v/>
      </c>
      <c r="CM46" s="244" t="str">
        <f t="shared" si="22"/>
        <v/>
      </c>
      <c r="CN46" s="244" t="str">
        <f t="shared" si="22"/>
        <v/>
      </c>
      <c r="CO46" s="244" t="str">
        <f t="shared" si="22"/>
        <v/>
      </c>
      <c r="CP46" s="244" t="str">
        <f t="shared" si="22"/>
        <v/>
      </c>
      <c r="CQ46" s="244" t="str">
        <f t="shared" si="23"/>
        <v/>
      </c>
      <c r="CR46" s="244" t="str">
        <f t="shared" si="23"/>
        <v/>
      </c>
      <c r="CS46" s="244" t="str">
        <f t="shared" si="23"/>
        <v/>
      </c>
      <c r="CT46" s="244" t="str">
        <f t="shared" si="23"/>
        <v/>
      </c>
      <c r="CU46" s="244" t="str">
        <f t="shared" si="23"/>
        <v/>
      </c>
      <c r="CV46" s="244" t="str">
        <f t="shared" si="23"/>
        <v/>
      </c>
      <c r="CW46" s="244" t="str">
        <f t="shared" si="23"/>
        <v/>
      </c>
      <c r="CX46" s="244" t="str">
        <f t="shared" si="23"/>
        <v/>
      </c>
      <c r="CY46" s="244" t="str">
        <f t="shared" si="23"/>
        <v/>
      </c>
      <c r="CZ46" s="244" t="str">
        <f t="shared" si="23"/>
        <v/>
      </c>
      <c r="DA46" s="244" t="str">
        <f t="shared" si="24"/>
        <v/>
      </c>
      <c r="DB46" s="244" t="str">
        <f t="shared" si="24"/>
        <v/>
      </c>
      <c r="DC46" s="244" t="str">
        <f t="shared" si="24"/>
        <v/>
      </c>
      <c r="DD46" s="244" t="str">
        <f t="shared" si="24"/>
        <v/>
      </c>
      <c r="DE46" s="244" t="str">
        <f t="shared" si="24"/>
        <v/>
      </c>
      <c r="DF46" s="244" t="str">
        <f t="shared" si="24"/>
        <v/>
      </c>
      <c r="DG46" s="244" t="str">
        <f t="shared" si="24"/>
        <v/>
      </c>
      <c r="DH46" s="244" t="str">
        <f t="shared" si="24"/>
        <v/>
      </c>
      <c r="DI46" s="244" t="str">
        <f t="shared" si="24"/>
        <v/>
      </c>
      <c r="DJ46" s="244" t="str">
        <f t="shared" si="24"/>
        <v/>
      </c>
      <c r="DK46" s="244" t="str">
        <f t="shared" si="25"/>
        <v/>
      </c>
      <c r="DL46" s="244" t="str">
        <f t="shared" si="25"/>
        <v/>
      </c>
      <c r="DM46" s="244" t="str">
        <f t="shared" si="25"/>
        <v/>
      </c>
      <c r="DN46" s="244" t="str">
        <f t="shared" si="25"/>
        <v/>
      </c>
      <c r="DO46" s="244" t="str">
        <f t="shared" si="25"/>
        <v/>
      </c>
      <c r="DP46" s="244" t="str">
        <f t="shared" si="25"/>
        <v/>
      </c>
      <c r="DQ46" s="244" t="str">
        <f t="shared" si="25"/>
        <v/>
      </c>
      <c r="DR46" s="244" t="str">
        <f t="shared" si="25"/>
        <v/>
      </c>
      <c r="DS46" s="244" t="str">
        <f t="shared" si="25"/>
        <v/>
      </c>
      <c r="DT46" s="244" t="str">
        <f t="shared" si="25"/>
        <v/>
      </c>
      <c r="DU46" s="244" t="str">
        <f t="shared" si="26"/>
        <v/>
      </c>
      <c r="DV46" s="244" t="str">
        <f t="shared" si="26"/>
        <v/>
      </c>
      <c r="DW46" s="244" t="str">
        <f t="shared" si="26"/>
        <v/>
      </c>
      <c r="DX46" s="244" t="str">
        <f t="shared" si="26"/>
        <v/>
      </c>
      <c r="DY46" s="244" t="str">
        <f t="shared" si="26"/>
        <v/>
      </c>
      <c r="DZ46" s="244" t="str">
        <f t="shared" si="26"/>
        <v/>
      </c>
      <c r="EA46" s="244" t="str">
        <f t="shared" si="26"/>
        <v/>
      </c>
      <c r="EB46" s="244" t="str">
        <f t="shared" si="26"/>
        <v/>
      </c>
      <c r="EC46" s="244" t="str">
        <f t="shared" si="26"/>
        <v/>
      </c>
      <c r="ED46" s="244" t="str">
        <f t="shared" si="26"/>
        <v/>
      </c>
      <c r="EE46" s="244" t="str">
        <f t="shared" si="27"/>
        <v/>
      </c>
      <c r="EF46" s="244" t="str">
        <f t="shared" si="27"/>
        <v/>
      </c>
      <c r="EG46" s="244" t="str">
        <f t="shared" si="27"/>
        <v/>
      </c>
      <c r="EH46" s="244" t="str">
        <f t="shared" si="27"/>
        <v/>
      </c>
      <c r="EI46" s="244" t="str">
        <f t="shared" si="27"/>
        <v/>
      </c>
      <c r="EJ46" s="244" t="str">
        <f t="shared" si="27"/>
        <v/>
      </c>
      <c r="EK46" s="244" t="str">
        <f t="shared" si="27"/>
        <v/>
      </c>
      <c r="EL46" s="244" t="str">
        <f t="shared" si="27"/>
        <v/>
      </c>
      <c r="EM46" s="244" t="str">
        <f t="shared" si="27"/>
        <v/>
      </c>
      <c r="EN46" s="244" t="str">
        <f t="shared" si="27"/>
        <v/>
      </c>
      <c r="EO46" s="244" t="str">
        <f t="shared" si="28"/>
        <v/>
      </c>
      <c r="EP46" s="244" t="str">
        <f t="shared" si="28"/>
        <v/>
      </c>
      <c r="EQ46" s="244" t="str">
        <f t="shared" si="28"/>
        <v/>
      </c>
      <c r="ER46" s="244" t="str">
        <f t="shared" si="28"/>
        <v/>
      </c>
      <c r="ES46" s="244" t="str">
        <f t="shared" si="28"/>
        <v/>
      </c>
      <c r="ET46" s="244" t="str">
        <f t="shared" si="28"/>
        <v/>
      </c>
      <c r="EU46" s="244" t="str">
        <f t="shared" si="28"/>
        <v/>
      </c>
      <c r="EV46" s="244" t="str">
        <f t="shared" si="28"/>
        <v/>
      </c>
      <c r="EW46" s="244" t="str">
        <f t="shared" si="28"/>
        <v/>
      </c>
      <c r="EX46" s="244" t="str">
        <f t="shared" si="28"/>
        <v/>
      </c>
      <c r="EY46" s="244" t="str">
        <f t="shared" si="29"/>
        <v/>
      </c>
      <c r="EZ46" s="244" t="str">
        <f t="shared" si="29"/>
        <v/>
      </c>
      <c r="FA46" s="244" t="str">
        <f t="shared" si="29"/>
        <v/>
      </c>
      <c r="FB46" s="244" t="str">
        <f t="shared" si="29"/>
        <v/>
      </c>
      <c r="FC46" s="244" t="str">
        <f t="shared" si="29"/>
        <v/>
      </c>
      <c r="FD46" s="244" t="str">
        <f t="shared" si="29"/>
        <v/>
      </c>
      <c r="FE46" s="244" t="str">
        <f t="shared" si="29"/>
        <v/>
      </c>
      <c r="FF46" s="244" t="str">
        <f t="shared" si="29"/>
        <v/>
      </c>
      <c r="FG46" s="244" t="str">
        <f t="shared" si="29"/>
        <v/>
      </c>
      <c r="FH46" s="244" t="str">
        <f t="shared" si="29"/>
        <v/>
      </c>
      <c r="FI46" s="244" t="str">
        <f t="shared" si="30"/>
        <v/>
      </c>
      <c r="FJ46" s="244" t="str">
        <f t="shared" si="30"/>
        <v/>
      </c>
      <c r="FK46" s="244" t="str">
        <f t="shared" si="30"/>
        <v/>
      </c>
      <c r="FL46" s="244" t="str">
        <f t="shared" si="30"/>
        <v/>
      </c>
      <c r="FM46" s="244" t="str">
        <f t="shared" si="30"/>
        <v/>
      </c>
      <c r="FN46" s="244" t="str">
        <f t="shared" si="30"/>
        <v/>
      </c>
      <c r="FO46" s="244" t="str">
        <f t="shared" si="30"/>
        <v/>
      </c>
      <c r="FP46" s="244" t="str">
        <f t="shared" si="30"/>
        <v/>
      </c>
      <c r="FQ46" s="244" t="str">
        <f t="shared" si="30"/>
        <v/>
      </c>
      <c r="FR46" s="244" t="str">
        <f t="shared" si="30"/>
        <v/>
      </c>
      <c r="FS46" s="244" t="str">
        <f t="shared" si="31"/>
        <v/>
      </c>
      <c r="FT46" s="244" t="str">
        <f t="shared" si="31"/>
        <v/>
      </c>
      <c r="FU46" s="244" t="str">
        <f t="shared" si="31"/>
        <v/>
      </c>
      <c r="FV46" s="244" t="str">
        <f t="shared" si="31"/>
        <v/>
      </c>
      <c r="FW46" s="244" t="str">
        <f t="shared" si="31"/>
        <v/>
      </c>
      <c r="FX46" s="244" t="str">
        <f t="shared" si="31"/>
        <v/>
      </c>
      <c r="FY46" s="244" t="str">
        <f t="shared" si="31"/>
        <v/>
      </c>
      <c r="FZ46" s="244" t="str">
        <f t="shared" si="31"/>
        <v/>
      </c>
      <c r="GA46" s="244" t="str">
        <f t="shared" si="31"/>
        <v/>
      </c>
      <c r="GB46" s="244" t="str">
        <f t="shared" si="31"/>
        <v/>
      </c>
      <c r="GC46" s="244" t="str">
        <f t="shared" si="32"/>
        <v/>
      </c>
      <c r="GD46" s="244" t="str">
        <f t="shared" si="32"/>
        <v/>
      </c>
      <c r="GE46" s="244" t="str">
        <f t="shared" si="32"/>
        <v/>
      </c>
      <c r="GF46" s="244" t="str">
        <f t="shared" si="32"/>
        <v/>
      </c>
      <c r="GG46" s="244" t="str">
        <f t="shared" si="32"/>
        <v/>
      </c>
      <c r="GH46" s="244" t="str">
        <f t="shared" si="32"/>
        <v/>
      </c>
      <c r="GI46" s="244" t="str">
        <f t="shared" si="32"/>
        <v/>
      </c>
      <c r="GJ46" s="244" t="str">
        <f t="shared" si="32"/>
        <v/>
      </c>
      <c r="GK46" s="244" t="str">
        <f t="shared" si="32"/>
        <v/>
      </c>
      <c r="GL46" s="244" t="str">
        <f t="shared" si="32"/>
        <v/>
      </c>
      <c r="GM46" s="244" t="str">
        <f t="shared" si="33"/>
        <v/>
      </c>
      <c r="GN46" s="244" t="str">
        <f t="shared" si="33"/>
        <v/>
      </c>
      <c r="GO46" s="244" t="str">
        <f t="shared" si="33"/>
        <v/>
      </c>
      <c r="GP46" s="244" t="str">
        <f t="shared" si="33"/>
        <v/>
      </c>
      <c r="GQ46" s="244" t="str">
        <f t="shared" si="33"/>
        <v/>
      </c>
      <c r="GR46" s="244" t="str">
        <f t="shared" si="33"/>
        <v/>
      </c>
      <c r="GS46" s="244" t="str">
        <f t="shared" si="33"/>
        <v/>
      </c>
      <c r="GT46" s="244" t="str">
        <f t="shared" si="33"/>
        <v/>
      </c>
      <c r="GU46" s="244" t="str">
        <f t="shared" si="33"/>
        <v/>
      </c>
      <c r="GV46" s="244" t="str">
        <f t="shared" si="33"/>
        <v/>
      </c>
      <c r="GW46" s="244" t="str">
        <f t="shared" si="33"/>
        <v/>
      </c>
      <c r="GX46" s="129">
        <f t="shared" si="13"/>
        <v>5.4200000000000026E-2</v>
      </c>
      <c r="GY46" s="132">
        <f>標單!F41</f>
        <v>44956</v>
      </c>
      <c r="GZ46" s="132">
        <f>標單!G41</f>
        <v>44956</v>
      </c>
      <c r="HA46" s="104">
        <f t="shared" si="12"/>
        <v>8.6800000000000002E-3</v>
      </c>
    </row>
    <row r="47" spans="1:209" ht="38.450000000000003" customHeight="1" thickBot="1">
      <c r="A47" s="246" t="s">
        <v>183</v>
      </c>
      <c r="B47" s="247" t="str">
        <f>標單!C42</f>
        <v>材料檢驗費</v>
      </c>
      <c r="C47" s="248">
        <f>標單!E42</f>
        <v>1</v>
      </c>
      <c r="D47" s="249" t="str">
        <f>標單!D42</f>
        <v>式</v>
      </c>
      <c r="E47" s="244">
        <f t="shared" si="14"/>
        <v>2.1800000000000001E-3</v>
      </c>
      <c r="F47" s="244"/>
      <c r="G47" s="244">
        <f t="shared" si="14"/>
        <v>2.8900000000000002E-3</v>
      </c>
      <c r="H47" s="244">
        <f t="shared" si="14"/>
        <v>2.8900000000000002E-3</v>
      </c>
      <c r="I47" s="244">
        <f t="shared" si="14"/>
        <v>2.8900000000000002E-3</v>
      </c>
      <c r="J47" s="244">
        <f t="shared" si="14"/>
        <v>2.8900000000000002E-3</v>
      </c>
      <c r="K47" s="244">
        <f t="shared" si="14"/>
        <v>2.8900000000000002E-3</v>
      </c>
      <c r="L47" s="244">
        <f t="shared" si="14"/>
        <v>2.8900000000000002E-3</v>
      </c>
      <c r="M47" s="244">
        <f t="shared" si="14"/>
        <v>2.8900000000000002E-3</v>
      </c>
      <c r="N47" s="244">
        <f t="shared" si="14"/>
        <v>2.8900000000000002E-3</v>
      </c>
      <c r="O47" s="244">
        <f t="shared" si="15"/>
        <v>2.8900000000000002E-3</v>
      </c>
      <c r="P47" s="244">
        <f t="shared" si="15"/>
        <v>2.8900000000000002E-3</v>
      </c>
      <c r="Q47" s="244">
        <f t="shared" si="15"/>
        <v>2.8900000000000002E-3</v>
      </c>
      <c r="R47" s="244">
        <f t="shared" si="15"/>
        <v>2.8900000000000002E-3</v>
      </c>
      <c r="S47" s="244">
        <f t="shared" si="15"/>
        <v>2.8900000000000002E-3</v>
      </c>
      <c r="T47" s="244">
        <f t="shared" si="15"/>
        <v>2.8900000000000002E-3</v>
      </c>
      <c r="U47" s="244">
        <f t="shared" si="15"/>
        <v>2.8900000000000002E-3</v>
      </c>
      <c r="V47" s="244">
        <f t="shared" si="15"/>
        <v>2.8900000000000002E-3</v>
      </c>
      <c r="W47" s="244">
        <f t="shared" si="15"/>
        <v>2.8900000000000002E-3</v>
      </c>
      <c r="X47" s="244">
        <f t="shared" si="15"/>
        <v>2.8900000000000002E-3</v>
      </c>
      <c r="Y47" s="244" t="str">
        <f t="shared" si="16"/>
        <v/>
      </c>
      <c r="Z47" s="244" t="str">
        <f t="shared" si="16"/>
        <v/>
      </c>
      <c r="AA47" s="244" t="str">
        <f t="shared" si="16"/>
        <v/>
      </c>
      <c r="AB47" s="244" t="str">
        <f t="shared" si="16"/>
        <v/>
      </c>
      <c r="AC47" s="244" t="str">
        <f t="shared" si="16"/>
        <v/>
      </c>
      <c r="AD47" s="244" t="str">
        <f t="shared" si="16"/>
        <v/>
      </c>
      <c r="AE47" s="244" t="str">
        <f t="shared" si="16"/>
        <v/>
      </c>
      <c r="AF47" s="244" t="str">
        <f t="shared" si="16"/>
        <v/>
      </c>
      <c r="AG47" s="244" t="str">
        <f t="shared" si="16"/>
        <v/>
      </c>
      <c r="AH47" s="244" t="str">
        <f t="shared" si="16"/>
        <v/>
      </c>
      <c r="AI47" s="244" t="str">
        <f t="shared" si="17"/>
        <v/>
      </c>
      <c r="AJ47" s="244" t="str">
        <f t="shared" si="17"/>
        <v/>
      </c>
      <c r="AK47" s="244" t="str">
        <f t="shared" si="17"/>
        <v/>
      </c>
      <c r="AL47" s="244" t="str">
        <f t="shared" si="17"/>
        <v/>
      </c>
      <c r="AM47" s="244" t="str">
        <f t="shared" si="17"/>
        <v/>
      </c>
      <c r="AN47" s="244" t="str">
        <f t="shared" si="17"/>
        <v/>
      </c>
      <c r="AO47" s="244" t="str">
        <f t="shared" si="17"/>
        <v/>
      </c>
      <c r="AP47" s="244" t="str">
        <f t="shared" si="17"/>
        <v/>
      </c>
      <c r="AQ47" s="244" t="str">
        <f t="shared" si="17"/>
        <v/>
      </c>
      <c r="AR47" s="244" t="str">
        <f t="shared" si="17"/>
        <v/>
      </c>
      <c r="AS47" s="244" t="str">
        <f t="shared" si="18"/>
        <v/>
      </c>
      <c r="AT47" s="244" t="str">
        <f t="shared" si="18"/>
        <v/>
      </c>
      <c r="AU47" s="244" t="str">
        <f t="shared" si="18"/>
        <v/>
      </c>
      <c r="AV47" s="244" t="str">
        <f t="shared" si="18"/>
        <v/>
      </c>
      <c r="AW47" s="244" t="str">
        <f t="shared" si="18"/>
        <v/>
      </c>
      <c r="AX47" s="244" t="str">
        <f t="shared" si="18"/>
        <v/>
      </c>
      <c r="AY47" s="244" t="str">
        <f t="shared" si="18"/>
        <v/>
      </c>
      <c r="AZ47" s="244" t="str">
        <f t="shared" si="18"/>
        <v/>
      </c>
      <c r="BA47" s="244" t="str">
        <f t="shared" si="18"/>
        <v/>
      </c>
      <c r="BB47" s="244" t="str">
        <f t="shared" si="18"/>
        <v/>
      </c>
      <c r="BC47" s="244" t="str">
        <f t="shared" si="19"/>
        <v/>
      </c>
      <c r="BD47" s="244" t="str">
        <f t="shared" si="19"/>
        <v/>
      </c>
      <c r="BE47" s="244" t="str">
        <f t="shared" si="19"/>
        <v/>
      </c>
      <c r="BF47" s="244" t="str">
        <f t="shared" si="19"/>
        <v/>
      </c>
      <c r="BG47" s="244" t="str">
        <f t="shared" si="19"/>
        <v/>
      </c>
      <c r="BH47" s="244" t="str">
        <f t="shared" si="19"/>
        <v/>
      </c>
      <c r="BI47" s="244" t="str">
        <f t="shared" si="19"/>
        <v/>
      </c>
      <c r="BJ47" s="244" t="str">
        <f t="shared" si="19"/>
        <v/>
      </c>
      <c r="BK47" s="244" t="str">
        <f t="shared" si="19"/>
        <v/>
      </c>
      <c r="BL47" s="244" t="str">
        <f t="shared" si="19"/>
        <v/>
      </c>
      <c r="BM47" s="244" t="str">
        <f t="shared" si="20"/>
        <v/>
      </c>
      <c r="BN47" s="244" t="str">
        <f t="shared" si="20"/>
        <v/>
      </c>
      <c r="BO47" s="244" t="str">
        <f t="shared" si="20"/>
        <v/>
      </c>
      <c r="BP47" s="244" t="str">
        <f t="shared" si="20"/>
        <v/>
      </c>
      <c r="BQ47" s="244" t="str">
        <f t="shared" si="20"/>
        <v/>
      </c>
      <c r="BR47" s="244" t="str">
        <f t="shared" si="20"/>
        <v/>
      </c>
      <c r="BS47" s="244" t="str">
        <f t="shared" si="20"/>
        <v/>
      </c>
      <c r="BT47" s="244" t="str">
        <f t="shared" si="20"/>
        <v/>
      </c>
      <c r="BU47" s="244" t="str">
        <f t="shared" si="20"/>
        <v/>
      </c>
      <c r="BV47" s="244" t="str">
        <f t="shared" si="20"/>
        <v/>
      </c>
      <c r="BW47" s="244" t="str">
        <f t="shared" si="21"/>
        <v/>
      </c>
      <c r="BX47" s="244" t="str">
        <f t="shared" si="21"/>
        <v/>
      </c>
      <c r="BY47" s="244" t="str">
        <f t="shared" si="21"/>
        <v/>
      </c>
      <c r="BZ47" s="244" t="str">
        <f t="shared" si="21"/>
        <v/>
      </c>
      <c r="CA47" s="244" t="str">
        <f t="shared" si="21"/>
        <v/>
      </c>
      <c r="CB47" s="244" t="str">
        <f t="shared" si="21"/>
        <v/>
      </c>
      <c r="CC47" s="244" t="str">
        <f t="shared" si="21"/>
        <v/>
      </c>
      <c r="CD47" s="244" t="str">
        <f t="shared" si="21"/>
        <v/>
      </c>
      <c r="CE47" s="244" t="str">
        <f t="shared" si="21"/>
        <v/>
      </c>
      <c r="CF47" s="244" t="str">
        <f t="shared" si="21"/>
        <v/>
      </c>
      <c r="CG47" s="244" t="str">
        <f t="shared" si="22"/>
        <v/>
      </c>
      <c r="CH47" s="244" t="str">
        <f t="shared" si="22"/>
        <v/>
      </c>
      <c r="CI47" s="244" t="str">
        <f t="shared" si="22"/>
        <v/>
      </c>
      <c r="CJ47" s="244" t="str">
        <f t="shared" si="22"/>
        <v/>
      </c>
      <c r="CK47" s="244" t="str">
        <f t="shared" si="22"/>
        <v/>
      </c>
      <c r="CL47" s="244" t="str">
        <f t="shared" si="22"/>
        <v/>
      </c>
      <c r="CM47" s="244" t="str">
        <f t="shared" si="22"/>
        <v/>
      </c>
      <c r="CN47" s="244" t="str">
        <f t="shared" si="22"/>
        <v/>
      </c>
      <c r="CO47" s="244" t="str">
        <f t="shared" si="22"/>
        <v/>
      </c>
      <c r="CP47" s="244" t="str">
        <f t="shared" si="22"/>
        <v/>
      </c>
      <c r="CQ47" s="244" t="str">
        <f t="shared" si="23"/>
        <v/>
      </c>
      <c r="CR47" s="244" t="str">
        <f t="shared" si="23"/>
        <v/>
      </c>
      <c r="CS47" s="244" t="str">
        <f t="shared" si="23"/>
        <v/>
      </c>
      <c r="CT47" s="244" t="str">
        <f t="shared" si="23"/>
        <v/>
      </c>
      <c r="CU47" s="244" t="str">
        <f t="shared" si="23"/>
        <v/>
      </c>
      <c r="CV47" s="244" t="str">
        <f t="shared" si="23"/>
        <v/>
      </c>
      <c r="CW47" s="244" t="str">
        <f t="shared" si="23"/>
        <v/>
      </c>
      <c r="CX47" s="244" t="str">
        <f t="shared" si="23"/>
        <v/>
      </c>
      <c r="CY47" s="244" t="str">
        <f t="shared" si="23"/>
        <v/>
      </c>
      <c r="CZ47" s="244" t="str">
        <f t="shared" si="23"/>
        <v/>
      </c>
      <c r="DA47" s="244" t="str">
        <f t="shared" si="24"/>
        <v/>
      </c>
      <c r="DB47" s="244" t="str">
        <f t="shared" si="24"/>
        <v/>
      </c>
      <c r="DC47" s="244" t="str">
        <f t="shared" si="24"/>
        <v/>
      </c>
      <c r="DD47" s="244" t="str">
        <f t="shared" si="24"/>
        <v/>
      </c>
      <c r="DE47" s="244" t="str">
        <f t="shared" si="24"/>
        <v/>
      </c>
      <c r="DF47" s="244" t="str">
        <f t="shared" si="24"/>
        <v/>
      </c>
      <c r="DG47" s="244" t="str">
        <f t="shared" si="24"/>
        <v/>
      </c>
      <c r="DH47" s="244" t="str">
        <f t="shared" si="24"/>
        <v/>
      </c>
      <c r="DI47" s="244" t="str">
        <f t="shared" si="24"/>
        <v/>
      </c>
      <c r="DJ47" s="244" t="str">
        <f t="shared" si="24"/>
        <v/>
      </c>
      <c r="DK47" s="244" t="str">
        <f t="shared" si="25"/>
        <v/>
      </c>
      <c r="DL47" s="244" t="str">
        <f t="shared" si="25"/>
        <v/>
      </c>
      <c r="DM47" s="244" t="str">
        <f t="shared" si="25"/>
        <v/>
      </c>
      <c r="DN47" s="244" t="str">
        <f t="shared" si="25"/>
        <v/>
      </c>
      <c r="DO47" s="244" t="str">
        <f t="shared" si="25"/>
        <v/>
      </c>
      <c r="DP47" s="244" t="str">
        <f t="shared" si="25"/>
        <v/>
      </c>
      <c r="DQ47" s="244" t="str">
        <f t="shared" si="25"/>
        <v/>
      </c>
      <c r="DR47" s="244" t="str">
        <f t="shared" si="25"/>
        <v/>
      </c>
      <c r="DS47" s="244" t="str">
        <f t="shared" si="25"/>
        <v/>
      </c>
      <c r="DT47" s="244" t="str">
        <f t="shared" si="25"/>
        <v/>
      </c>
      <c r="DU47" s="244" t="str">
        <f t="shared" si="26"/>
        <v/>
      </c>
      <c r="DV47" s="244" t="str">
        <f t="shared" si="26"/>
        <v/>
      </c>
      <c r="DW47" s="244" t="str">
        <f t="shared" si="26"/>
        <v/>
      </c>
      <c r="DX47" s="244" t="str">
        <f t="shared" si="26"/>
        <v/>
      </c>
      <c r="DY47" s="244" t="str">
        <f t="shared" si="26"/>
        <v/>
      </c>
      <c r="DZ47" s="244" t="str">
        <f t="shared" si="26"/>
        <v/>
      </c>
      <c r="EA47" s="244" t="str">
        <f t="shared" si="26"/>
        <v/>
      </c>
      <c r="EB47" s="244" t="str">
        <f t="shared" si="26"/>
        <v/>
      </c>
      <c r="EC47" s="244" t="str">
        <f t="shared" si="26"/>
        <v/>
      </c>
      <c r="ED47" s="244" t="str">
        <f t="shared" si="26"/>
        <v/>
      </c>
      <c r="EE47" s="244" t="str">
        <f t="shared" si="27"/>
        <v/>
      </c>
      <c r="EF47" s="244" t="str">
        <f t="shared" si="27"/>
        <v/>
      </c>
      <c r="EG47" s="244" t="str">
        <f t="shared" si="27"/>
        <v/>
      </c>
      <c r="EH47" s="244" t="str">
        <f t="shared" si="27"/>
        <v/>
      </c>
      <c r="EI47" s="244" t="str">
        <f t="shared" si="27"/>
        <v/>
      </c>
      <c r="EJ47" s="244" t="str">
        <f t="shared" si="27"/>
        <v/>
      </c>
      <c r="EK47" s="244" t="str">
        <f t="shared" si="27"/>
        <v/>
      </c>
      <c r="EL47" s="244" t="str">
        <f t="shared" si="27"/>
        <v/>
      </c>
      <c r="EM47" s="244" t="str">
        <f t="shared" si="27"/>
        <v/>
      </c>
      <c r="EN47" s="244" t="str">
        <f t="shared" si="27"/>
        <v/>
      </c>
      <c r="EO47" s="244" t="str">
        <f t="shared" si="28"/>
        <v/>
      </c>
      <c r="EP47" s="244" t="str">
        <f t="shared" si="28"/>
        <v/>
      </c>
      <c r="EQ47" s="244" t="str">
        <f t="shared" si="28"/>
        <v/>
      </c>
      <c r="ER47" s="244" t="str">
        <f t="shared" si="28"/>
        <v/>
      </c>
      <c r="ES47" s="244" t="str">
        <f t="shared" si="28"/>
        <v/>
      </c>
      <c r="ET47" s="244" t="str">
        <f t="shared" si="28"/>
        <v/>
      </c>
      <c r="EU47" s="244" t="str">
        <f t="shared" si="28"/>
        <v/>
      </c>
      <c r="EV47" s="244" t="str">
        <f t="shared" si="28"/>
        <v/>
      </c>
      <c r="EW47" s="244" t="str">
        <f t="shared" si="28"/>
        <v/>
      </c>
      <c r="EX47" s="244" t="str">
        <f t="shared" si="28"/>
        <v/>
      </c>
      <c r="EY47" s="244" t="str">
        <f t="shared" si="29"/>
        <v/>
      </c>
      <c r="EZ47" s="244" t="str">
        <f t="shared" si="29"/>
        <v/>
      </c>
      <c r="FA47" s="244" t="str">
        <f t="shared" si="29"/>
        <v/>
      </c>
      <c r="FB47" s="244" t="str">
        <f t="shared" si="29"/>
        <v/>
      </c>
      <c r="FC47" s="244" t="str">
        <f t="shared" si="29"/>
        <v/>
      </c>
      <c r="FD47" s="244" t="str">
        <f t="shared" si="29"/>
        <v/>
      </c>
      <c r="FE47" s="244" t="str">
        <f t="shared" si="29"/>
        <v/>
      </c>
      <c r="FF47" s="244" t="str">
        <f t="shared" si="29"/>
        <v/>
      </c>
      <c r="FG47" s="244" t="str">
        <f t="shared" si="29"/>
        <v/>
      </c>
      <c r="FH47" s="244" t="str">
        <f t="shared" si="29"/>
        <v/>
      </c>
      <c r="FI47" s="244" t="str">
        <f t="shared" si="30"/>
        <v/>
      </c>
      <c r="FJ47" s="244" t="str">
        <f t="shared" si="30"/>
        <v/>
      </c>
      <c r="FK47" s="244" t="str">
        <f t="shared" si="30"/>
        <v/>
      </c>
      <c r="FL47" s="244" t="str">
        <f t="shared" si="30"/>
        <v/>
      </c>
      <c r="FM47" s="244" t="str">
        <f t="shared" si="30"/>
        <v/>
      </c>
      <c r="FN47" s="244" t="str">
        <f t="shared" si="30"/>
        <v/>
      </c>
      <c r="FO47" s="244" t="str">
        <f t="shared" si="30"/>
        <v/>
      </c>
      <c r="FP47" s="244" t="str">
        <f t="shared" si="30"/>
        <v/>
      </c>
      <c r="FQ47" s="244" t="str">
        <f t="shared" si="30"/>
        <v/>
      </c>
      <c r="FR47" s="244" t="str">
        <f t="shared" si="30"/>
        <v/>
      </c>
      <c r="FS47" s="244" t="str">
        <f t="shared" si="31"/>
        <v/>
      </c>
      <c r="FT47" s="244" t="str">
        <f t="shared" si="31"/>
        <v/>
      </c>
      <c r="FU47" s="244" t="str">
        <f t="shared" si="31"/>
        <v/>
      </c>
      <c r="FV47" s="244" t="str">
        <f t="shared" si="31"/>
        <v/>
      </c>
      <c r="FW47" s="244" t="str">
        <f t="shared" si="31"/>
        <v/>
      </c>
      <c r="FX47" s="244" t="str">
        <f t="shared" si="31"/>
        <v/>
      </c>
      <c r="FY47" s="244" t="str">
        <f t="shared" si="31"/>
        <v/>
      </c>
      <c r="FZ47" s="244" t="str">
        <f t="shared" si="31"/>
        <v/>
      </c>
      <c r="GA47" s="244" t="str">
        <f t="shared" si="31"/>
        <v/>
      </c>
      <c r="GB47" s="244" t="str">
        <f t="shared" si="31"/>
        <v/>
      </c>
      <c r="GC47" s="244" t="str">
        <f t="shared" si="32"/>
        <v/>
      </c>
      <c r="GD47" s="244" t="str">
        <f t="shared" si="32"/>
        <v/>
      </c>
      <c r="GE47" s="244" t="str">
        <f t="shared" si="32"/>
        <v/>
      </c>
      <c r="GF47" s="244" t="str">
        <f t="shared" si="32"/>
        <v/>
      </c>
      <c r="GG47" s="244" t="str">
        <f t="shared" si="32"/>
        <v/>
      </c>
      <c r="GH47" s="244" t="str">
        <f t="shared" si="32"/>
        <v/>
      </c>
      <c r="GI47" s="244" t="str">
        <f t="shared" si="32"/>
        <v/>
      </c>
      <c r="GJ47" s="244" t="str">
        <f t="shared" si="32"/>
        <v/>
      </c>
      <c r="GK47" s="244" t="str">
        <f t="shared" si="32"/>
        <v/>
      </c>
      <c r="GL47" s="244" t="str">
        <f t="shared" si="32"/>
        <v/>
      </c>
      <c r="GM47" s="244" t="str">
        <f t="shared" si="33"/>
        <v/>
      </c>
      <c r="GN47" s="244" t="str">
        <f t="shared" si="33"/>
        <v/>
      </c>
      <c r="GO47" s="244" t="str">
        <f t="shared" si="33"/>
        <v/>
      </c>
      <c r="GP47" s="244" t="str">
        <f t="shared" si="33"/>
        <v/>
      </c>
      <c r="GQ47" s="244" t="str">
        <f t="shared" si="33"/>
        <v/>
      </c>
      <c r="GR47" s="244" t="str">
        <f t="shared" si="33"/>
        <v/>
      </c>
      <c r="GS47" s="244" t="str">
        <f t="shared" si="33"/>
        <v/>
      </c>
      <c r="GT47" s="244" t="str">
        <f t="shared" si="33"/>
        <v/>
      </c>
      <c r="GU47" s="244" t="str">
        <f t="shared" si="33"/>
        <v/>
      </c>
      <c r="GV47" s="244" t="str">
        <f t="shared" si="33"/>
        <v/>
      </c>
      <c r="GW47" s="244" t="str">
        <f t="shared" si="33"/>
        <v/>
      </c>
      <c r="GX47" s="129">
        <f t="shared" si="13"/>
        <v>5.4200000000000026E-2</v>
      </c>
      <c r="GY47" s="132">
        <f>標單!F42</f>
        <v>19631</v>
      </c>
      <c r="GZ47" s="132">
        <f>標單!G42</f>
        <v>19631</v>
      </c>
      <c r="HA47" s="104">
        <f t="shared" si="12"/>
        <v>3.79E-3</v>
      </c>
    </row>
    <row r="48" spans="1:209" ht="38.450000000000003" customHeight="1" thickBot="1">
      <c r="A48" s="246" t="s">
        <v>184</v>
      </c>
      <c r="B48" s="247" t="str">
        <f>標單!C43</f>
        <v>管理費及利潤(約直接工程費之7%)</v>
      </c>
      <c r="C48" s="248">
        <f>標單!E43</f>
        <v>1</v>
      </c>
      <c r="D48" s="249" t="str">
        <f>標單!D43</f>
        <v>式</v>
      </c>
      <c r="E48" s="244">
        <f t="shared" si="14"/>
        <v>2.1800000000000001E-3</v>
      </c>
      <c r="F48" s="244"/>
      <c r="G48" s="244">
        <f t="shared" si="14"/>
        <v>2.8900000000000002E-3</v>
      </c>
      <c r="H48" s="244">
        <f t="shared" si="14"/>
        <v>2.8900000000000002E-3</v>
      </c>
      <c r="I48" s="244">
        <f t="shared" si="14"/>
        <v>2.8900000000000002E-3</v>
      </c>
      <c r="J48" s="244">
        <f t="shared" si="14"/>
        <v>2.8900000000000002E-3</v>
      </c>
      <c r="K48" s="244">
        <f t="shared" si="14"/>
        <v>2.8900000000000002E-3</v>
      </c>
      <c r="L48" s="244">
        <f t="shared" si="14"/>
        <v>2.8900000000000002E-3</v>
      </c>
      <c r="M48" s="244">
        <f t="shared" si="14"/>
        <v>2.8900000000000002E-3</v>
      </c>
      <c r="N48" s="244">
        <f t="shared" si="14"/>
        <v>2.8900000000000002E-3</v>
      </c>
      <c r="O48" s="244">
        <f t="shared" si="15"/>
        <v>2.8900000000000002E-3</v>
      </c>
      <c r="P48" s="244">
        <f t="shared" si="15"/>
        <v>2.8900000000000002E-3</v>
      </c>
      <c r="Q48" s="244">
        <f t="shared" si="15"/>
        <v>2.8900000000000002E-3</v>
      </c>
      <c r="R48" s="244">
        <f t="shared" si="15"/>
        <v>2.8900000000000002E-3</v>
      </c>
      <c r="S48" s="244">
        <f t="shared" si="15"/>
        <v>2.8900000000000002E-3</v>
      </c>
      <c r="T48" s="244">
        <f t="shared" si="15"/>
        <v>2.8900000000000002E-3</v>
      </c>
      <c r="U48" s="244">
        <f t="shared" si="15"/>
        <v>2.8900000000000002E-3</v>
      </c>
      <c r="V48" s="244">
        <f t="shared" si="15"/>
        <v>2.8900000000000002E-3</v>
      </c>
      <c r="W48" s="244">
        <f t="shared" si="15"/>
        <v>2.8900000000000002E-3</v>
      </c>
      <c r="X48" s="244">
        <f t="shared" si="15"/>
        <v>2.8900000000000002E-3</v>
      </c>
      <c r="Y48" s="244" t="str">
        <f t="shared" si="16"/>
        <v/>
      </c>
      <c r="Z48" s="244" t="str">
        <f t="shared" si="16"/>
        <v/>
      </c>
      <c r="AA48" s="244" t="str">
        <f t="shared" si="16"/>
        <v/>
      </c>
      <c r="AB48" s="244" t="str">
        <f t="shared" si="16"/>
        <v/>
      </c>
      <c r="AC48" s="244" t="str">
        <f t="shared" si="16"/>
        <v/>
      </c>
      <c r="AD48" s="244" t="str">
        <f t="shared" si="16"/>
        <v/>
      </c>
      <c r="AE48" s="244" t="str">
        <f t="shared" si="16"/>
        <v/>
      </c>
      <c r="AF48" s="244" t="str">
        <f t="shared" si="16"/>
        <v/>
      </c>
      <c r="AG48" s="244" t="str">
        <f t="shared" si="16"/>
        <v/>
      </c>
      <c r="AH48" s="244" t="str">
        <f t="shared" si="16"/>
        <v/>
      </c>
      <c r="AI48" s="244" t="str">
        <f t="shared" si="17"/>
        <v/>
      </c>
      <c r="AJ48" s="244" t="str">
        <f t="shared" si="17"/>
        <v/>
      </c>
      <c r="AK48" s="244" t="str">
        <f t="shared" si="17"/>
        <v/>
      </c>
      <c r="AL48" s="244" t="str">
        <f t="shared" si="17"/>
        <v/>
      </c>
      <c r="AM48" s="244" t="str">
        <f t="shared" si="17"/>
        <v/>
      </c>
      <c r="AN48" s="244" t="str">
        <f t="shared" si="17"/>
        <v/>
      </c>
      <c r="AO48" s="244" t="str">
        <f t="shared" si="17"/>
        <v/>
      </c>
      <c r="AP48" s="244" t="str">
        <f t="shared" si="17"/>
        <v/>
      </c>
      <c r="AQ48" s="244" t="str">
        <f t="shared" si="17"/>
        <v/>
      </c>
      <c r="AR48" s="244" t="str">
        <f t="shared" si="17"/>
        <v/>
      </c>
      <c r="AS48" s="244" t="str">
        <f t="shared" si="18"/>
        <v/>
      </c>
      <c r="AT48" s="244" t="str">
        <f t="shared" si="18"/>
        <v/>
      </c>
      <c r="AU48" s="244" t="str">
        <f t="shared" si="18"/>
        <v/>
      </c>
      <c r="AV48" s="244" t="str">
        <f t="shared" si="18"/>
        <v/>
      </c>
      <c r="AW48" s="244" t="str">
        <f t="shared" si="18"/>
        <v/>
      </c>
      <c r="AX48" s="244" t="str">
        <f t="shared" si="18"/>
        <v/>
      </c>
      <c r="AY48" s="244" t="str">
        <f t="shared" si="18"/>
        <v/>
      </c>
      <c r="AZ48" s="244" t="str">
        <f t="shared" si="18"/>
        <v/>
      </c>
      <c r="BA48" s="244" t="str">
        <f t="shared" si="18"/>
        <v/>
      </c>
      <c r="BB48" s="244" t="str">
        <f t="shared" si="18"/>
        <v/>
      </c>
      <c r="BC48" s="244" t="str">
        <f t="shared" si="19"/>
        <v/>
      </c>
      <c r="BD48" s="244" t="str">
        <f t="shared" si="19"/>
        <v/>
      </c>
      <c r="BE48" s="244" t="str">
        <f t="shared" si="19"/>
        <v/>
      </c>
      <c r="BF48" s="244" t="str">
        <f t="shared" si="19"/>
        <v/>
      </c>
      <c r="BG48" s="244" t="str">
        <f t="shared" si="19"/>
        <v/>
      </c>
      <c r="BH48" s="244" t="str">
        <f t="shared" si="19"/>
        <v/>
      </c>
      <c r="BI48" s="244" t="str">
        <f t="shared" si="19"/>
        <v/>
      </c>
      <c r="BJ48" s="244" t="str">
        <f t="shared" si="19"/>
        <v/>
      </c>
      <c r="BK48" s="244" t="str">
        <f t="shared" si="19"/>
        <v/>
      </c>
      <c r="BL48" s="244" t="str">
        <f t="shared" si="19"/>
        <v/>
      </c>
      <c r="BM48" s="244" t="str">
        <f t="shared" si="20"/>
        <v/>
      </c>
      <c r="BN48" s="244" t="str">
        <f t="shared" si="20"/>
        <v/>
      </c>
      <c r="BO48" s="244" t="str">
        <f t="shared" si="20"/>
        <v/>
      </c>
      <c r="BP48" s="244" t="str">
        <f t="shared" si="20"/>
        <v/>
      </c>
      <c r="BQ48" s="244" t="str">
        <f t="shared" si="20"/>
        <v/>
      </c>
      <c r="BR48" s="244" t="str">
        <f t="shared" si="20"/>
        <v/>
      </c>
      <c r="BS48" s="244" t="str">
        <f t="shared" si="20"/>
        <v/>
      </c>
      <c r="BT48" s="244" t="str">
        <f t="shared" si="20"/>
        <v/>
      </c>
      <c r="BU48" s="244" t="str">
        <f t="shared" si="20"/>
        <v/>
      </c>
      <c r="BV48" s="244" t="str">
        <f t="shared" si="20"/>
        <v/>
      </c>
      <c r="BW48" s="244" t="str">
        <f t="shared" si="21"/>
        <v/>
      </c>
      <c r="BX48" s="244" t="str">
        <f t="shared" si="21"/>
        <v/>
      </c>
      <c r="BY48" s="244" t="str">
        <f t="shared" si="21"/>
        <v/>
      </c>
      <c r="BZ48" s="244" t="str">
        <f t="shared" si="21"/>
        <v/>
      </c>
      <c r="CA48" s="244" t="str">
        <f t="shared" si="21"/>
        <v/>
      </c>
      <c r="CB48" s="244" t="str">
        <f t="shared" si="21"/>
        <v/>
      </c>
      <c r="CC48" s="244" t="str">
        <f t="shared" si="21"/>
        <v/>
      </c>
      <c r="CD48" s="244" t="str">
        <f t="shared" si="21"/>
        <v/>
      </c>
      <c r="CE48" s="244" t="str">
        <f t="shared" si="21"/>
        <v/>
      </c>
      <c r="CF48" s="244" t="str">
        <f t="shared" si="21"/>
        <v/>
      </c>
      <c r="CG48" s="244" t="str">
        <f t="shared" si="22"/>
        <v/>
      </c>
      <c r="CH48" s="244" t="str">
        <f t="shared" si="22"/>
        <v/>
      </c>
      <c r="CI48" s="244" t="str">
        <f t="shared" si="22"/>
        <v/>
      </c>
      <c r="CJ48" s="244" t="str">
        <f t="shared" si="22"/>
        <v/>
      </c>
      <c r="CK48" s="244" t="str">
        <f t="shared" si="22"/>
        <v/>
      </c>
      <c r="CL48" s="244" t="str">
        <f t="shared" si="22"/>
        <v/>
      </c>
      <c r="CM48" s="244" t="str">
        <f t="shared" si="22"/>
        <v/>
      </c>
      <c r="CN48" s="244" t="str">
        <f t="shared" si="22"/>
        <v/>
      </c>
      <c r="CO48" s="244" t="str">
        <f t="shared" si="22"/>
        <v/>
      </c>
      <c r="CP48" s="244" t="str">
        <f t="shared" si="22"/>
        <v/>
      </c>
      <c r="CQ48" s="244" t="str">
        <f t="shared" si="23"/>
        <v/>
      </c>
      <c r="CR48" s="244" t="str">
        <f t="shared" si="23"/>
        <v/>
      </c>
      <c r="CS48" s="244" t="str">
        <f t="shared" si="23"/>
        <v/>
      </c>
      <c r="CT48" s="244" t="str">
        <f t="shared" si="23"/>
        <v/>
      </c>
      <c r="CU48" s="244" t="str">
        <f t="shared" si="23"/>
        <v/>
      </c>
      <c r="CV48" s="244" t="str">
        <f t="shared" si="23"/>
        <v/>
      </c>
      <c r="CW48" s="244" t="str">
        <f t="shared" si="23"/>
        <v/>
      </c>
      <c r="CX48" s="244" t="str">
        <f t="shared" si="23"/>
        <v/>
      </c>
      <c r="CY48" s="244" t="str">
        <f t="shared" si="23"/>
        <v/>
      </c>
      <c r="CZ48" s="244" t="str">
        <f t="shared" si="23"/>
        <v/>
      </c>
      <c r="DA48" s="244" t="str">
        <f t="shared" si="24"/>
        <v/>
      </c>
      <c r="DB48" s="244" t="str">
        <f t="shared" si="24"/>
        <v/>
      </c>
      <c r="DC48" s="244" t="str">
        <f t="shared" si="24"/>
        <v/>
      </c>
      <c r="DD48" s="244" t="str">
        <f t="shared" si="24"/>
        <v/>
      </c>
      <c r="DE48" s="244" t="str">
        <f t="shared" si="24"/>
        <v/>
      </c>
      <c r="DF48" s="244" t="str">
        <f t="shared" si="24"/>
        <v/>
      </c>
      <c r="DG48" s="244" t="str">
        <f t="shared" si="24"/>
        <v/>
      </c>
      <c r="DH48" s="244" t="str">
        <f t="shared" si="24"/>
        <v/>
      </c>
      <c r="DI48" s="244" t="str">
        <f t="shared" si="24"/>
        <v/>
      </c>
      <c r="DJ48" s="244" t="str">
        <f t="shared" si="24"/>
        <v/>
      </c>
      <c r="DK48" s="244" t="str">
        <f t="shared" si="25"/>
        <v/>
      </c>
      <c r="DL48" s="244" t="str">
        <f t="shared" si="25"/>
        <v/>
      </c>
      <c r="DM48" s="244" t="str">
        <f t="shared" si="25"/>
        <v/>
      </c>
      <c r="DN48" s="244" t="str">
        <f t="shared" si="25"/>
        <v/>
      </c>
      <c r="DO48" s="244" t="str">
        <f t="shared" si="25"/>
        <v/>
      </c>
      <c r="DP48" s="244" t="str">
        <f t="shared" si="25"/>
        <v/>
      </c>
      <c r="DQ48" s="244" t="str">
        <f t="shared" si="25"/>
        <v/>
      </c>
      <c r="DR48" s="244" t="str">
        <f t="shared" si="25"/>
        <v/>
      </c>
      <c r="DS48" s="244" t="str">
        <f t="shared" si="25"/>
        <v/>
      </c>
      <c r="DT48" s="244" t="str">
        <f t="shared" si="25"/>
        <v/>
      </c>
      <c r="DU48" s="244" t="str">
        <f t="shared" si="26"/>
        <v/>
      </c>
      <c r="DV48" s="244" t="str">
        <f t="shared" si="26"/>
        <v/>
      </c>
      <c r="DW48" s="244" t="str">
        <f t="shared" si="26"/>
        <v/>
      </c>
      <c r="DX48" s="244" t="str">
        <f t="shared" si="26"/>
        <v/>
      </c>
      <c r="DY48" s="244" t="str">
        <f t="shared" si="26"/>
        <v/>
      </c>
      <c r="DZ48" s="244" t="str">
        <f t="shared" si="26"/>
        <v/>
      </c>
      <c r="EA48" s="244" t="str">
        <f t="shared" si="26"/>
        <v/>
      </c>
      <c r="EB48" s="244" t="str">
        <f t="shared" si="26"/>
        <v/>
      </c>
      <c r="EC48" s="244" t="str">
        <f t="shared" si="26"/>
        <v/>
      </c>
      <c r="ED48" s="244" t="str">
        <f t="shared" si="26"/>
        <v/>
      </c>
      <c r="EE48" s="244" t="str">
        <f t="shared" si="27"/>
        <v/>
      </c>
      <c r="EF48" s="244" t="str">
        <f t="shared" si="27"/>
        <v/>
      </c>
      <c r="EG48" s="244" t="str">
        <f t="shared" si="27"/>
        <v/>
      </c>
      <c r="EH48" s="244" t="str">
        <f t="shared" si="27"/>
        <v/>
      </c>
      <c r="EI48" s="244" t="str">
        <f t="shared" si="27"/>
        <v/>
      </c>
      <c r="EJ48" s="244" t="str">
        <f t="shared" si="27"/>
        <v/>
      </c>
      <c r="EK48" s="244" t="str">
        <f t="shared" si="27"/>
        <v/>
      </c>
      <c r="EL48" s="244" t="str">
        <f t="shared" si="27"/>
        <v/>
      </c>
      <c r="EM48" s="244" t="str">
        <f t="shared" si="27"/>
        <v/>
      </c>
      <c r="EN48" s="244" t="str">
        <f t="shared" si="27"/>
        <v/>
      </c>
      <c r="EO48" s="244" t="str">
        <f t="shared" si="28"/>
        <v/>
      </c>
      <c r="EP48" s="244" t="str">
        <f t="shared" si="28"/>
        <v/>
      </c>
      <c r="EQ48" s="244" t="str">
        <f t="shared" si="28"/>
        <v/>
      </c>
      <c r="ER48" s="244" t="str">
        <f t="shared" si="28"/>
        <v/>
      </c>
      <c r="ES48" s="244" t="str">
        <f t="shared" si="28"/>
        <v/>
      </c>
      <c r="ET48" s="244" t="str">
        <f t="shared" si="28"/>
        <v/>
      </c>
      <c r="EU48" s="244" t="str">
        <f t="shared" si="28"/>
        <v/>
      </c>
      <c r="EV48" s="244" t="str">
        <f t="shared" si="28"/>
        <v/>
      </c>
      <c r="EW48" s="244" t="str">
        <f t="shared" si="28"/>
        <v/>
      </c>
      <c r="EX48" s="244" t="str">
        <f t="shared" si="28"/>
        <v/>
      </c>
      <c r="EY48" s="244" t="str">
        <f t="shared" si="29"/>
        <v/>
      </c>
      <c r="EZ48" s="244" t="str">
        <f t="shared" si="29"/>
        <v/>
      </c>
      <c r="FA48" s="244" t="str">
        <f t="shared" si="29"/>
        <v/>
      </c>
      <c r="FB48" s="244" t="str">
        <f t="shared" si="29"/>
        <v/>
      </c>
      <c r="FC48" s="244" t="str">
        <f t="shared" si="29"/>
        <v/>
      </c>
      <c r="FD48" s="244" t="str">
        <f t="shared" si="29"/>
        <v/>
      </c>
      <c r="FE48" s="244" t="str">
        <f t="shared" si="29"/>
        <v/>
      </c>
      <c r="FF48" s="244" t="str">
        <f t="shared" si="29"/>
        <v/>
      </c>
      <c r="FG48" s="244" t="str">
        <f t="shared" si="29"/>
        <v/>
      </c>
      <c r="FH48" s="244" t="str">
        <f t="shared" si="29"/>
        <v/>
      </c>
      <c r="FI48" s="244" t="str">
        <f t="shared" si="30"/>
        <v/>
      </c>
      <c r="FJ48" s="244" t="str">
        <f t="shared" si="30"/>
        <v/>
      </c>
      <c r="FK48" s="244" t="str">
        <f t="shared" si="30"/>
        <v/>
      </c>
      <c r="FL48" s="244" t="str">
        <f t="shared" si="30"/>
        <v/>
      </c>
      <c r="FM48" s="244" t="str">
        <f t="shared" si="30"/>
        <v/>
      </c>
      <c r="FN48" s="244" t="str">
        <f t="shared" si="30"/>
        <v/>
      </c>
      <c r="FO48" s="244" t="str">
        <f t="shared" si="30"/>
        <v/>
      </c>
      <c r="FP48" s="244" t="str">
        <f t="shared" si="30"/>
        <v/>
      </c>
      <c r="FQ48" s="244" t="str">
        <f t="shared" si="30"/>
        <v/>
      </c>
      <c r="FR48" s="244" t="str">
        <f t="shared" si="30"/>
        <v/>
      </c>
      <c r="FS48" s="244" t="str">
        <f t="shared" si="31"/>
        <v/>
      </c>
      <c r="FT48" s="244" t="str">
        <f t="shared" si="31"/>
        <v/>
      </c>
      <c r="FU48" s="244" t="str">
        <f t="shared" si="31"/>
        <v/>
      </c>
      <c r="FV48" s="244" t="str">
        <f t="shared" si="31"/>
        <v/>
      </c>
      <c r="FW48" s="244" t="str">
        <f t="shared" si="31"/>
        <v/>
      </c>
      <c r="FX48" s="244" t="str">
        <f t="shared" si="31"/>
        <v/>
      </c>
      <c r="FY48" s="244" t="str">
        <f t="shared" si="31"/>
        <v/>
      </c>
      <c r="FZ48" s="244" t="str">
        <f t="shared" si="31"/>
        <v/>
      </c>
      <c r="GA48" s="244" t="str">
        <f t="shared" si="31"/>
        <v/>
      </c>
      <c r="GB48" s="244" t="str">
        <f t="shared" si="31"/>
        <v/>
      </c>
      <c r="GC48" s="244" t="str">
        <f t="shared" si="32"/>
        <v/>
      </c>
      <c r="GD48" s="244" t="str">
        <f t="shared" si="32"/>
        <v/>
      </c>
      <c r="GE48" s="244" t="str">
        <f t="shared" si="32"/>
        <v/>
      </c>
      <c r="GF48" s="244" t="str">
        <f t="shared" si="32"/>
        <v/>
      </c>
      <c r="GG48" s="244" t="str">
        <f t="shared" si="32"/>
        <v/>
      </c>
      <c r="GH48" s="244" t="str">
        <f t="shared" si="32"/>
        <v/>
      </c>
      <c r="GI48" s="244" t="str">
        <f t="shared" si="32"/>
        <v/>
      </c>
      <c r="GJ48" s="244" t="str">
        <f t="shared" si="32"/>
        <v/>
      </c>
      <c r="GK48" s="244" t="str">
        <f t="shared" si="32"/>
        <v/>
      </c>
      <c r="GL48" s="244" t="str">
        <f t="shared" si="32"/>
        <v/>
      </c>
      <c r="GM48" s="244" t="str">
        <f t="shared" si="33"/>
        <v/>
      </c>
      <c r="GN48" s="244" t="str">
        <f t="shared" si="33"/>
        <v/>
      </c>
      <c r="GO48" s="244" t="str">
        <f t="shared" si="33"/>
        <v/>
      </c>
      <c r="GP48" s="244" t="str">
        <f t="shared" si="33"/>
        <v/>
      </c>
      <c r="GQ48" s="244" t="str">
        <f t="shared" si="33"/>
        <v/>
      </c>
      <c r="GR48" s="244" t="str">
        <f t="shared" si="33"/>
        <v/>
      </c>
      <c r="GS48" s="244" t="str">
        <f t="shared" si="33"/>
        <v/>
      </c>
      <c r="GT48" s="244" t="str">
        <f t="shared" si="33"/>
        <v/>
      </c>
      <c r="GU48" s="244" t="str">
        <f t="shared" si="33"/>
        <v/>
      </c>
      <c r="GV48" s="244" t="str">
        <f t="shared" si="33"/>
        <v/>
      </c>
      <c r="GW48" s="244" t="str">
        <f t="shared" si="33"/>
        <v/>
      </c>
      <c r="GX48" s="129">
        <f t="shared" si="13"/>
        <v>5.4200000000000026E-2</v>
      </c>
      <c r="GY48" s="132">
        <f>標單!F43</f>
        <v>314693</v>
      </c>
      <c r="GZ48" s="132">
        <f>標單!G43</f>
        <v>314693</v>
      </c>
      <c r="HA48" s="104">
        <f t="shared" si="12"/>
        <v>6.0749999999999998E-2</v>
      </c>
    </row>
    <row r="49" spans="1:209" ht="38.450000000000003" customHeight="1" thickBot="1">
      <c r="A49" s="246" t="s">
        <v>186</v>
      </c>
      <c r="B49" s="247" t="str">
        <f>標單!C44</f>
        <v>營造綜合保險費(約直接工程費之0.5%)</v>
      </c>
      <c r="C49" s="248">
        <f>標單!E44</f>
        <v>1</v>
      </c>
      <c r="D49" s="249" t="str">
        <f>標單!D44</f>
        <v>式</v>
      </c>
      <c r="E49" s="245">
        <v>1</v>
      </c>
      <c r="F49" s="244"/>
      <c r="G49" s="244"/>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4"/>
      <c r="AI49" s="244"/>
      <c r="AJ49" s="244"/>
      <c r="AK49" s="244"/>
      <c r="AL49" s="244"/>
      <c r="AM49" s="244"/>
      <c r="AN49" s="244"/>
      <c r="AO49" s="244"/>
      <c r="AP49" s="244"/>
      <c r="AQ49" s="244"/>
      <c r="AR49" s="244"/>
      <c r="AS49" s="244"/>
      <c r="AT49" s="244"/>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4"/>
      <c r="BW49" s="244"/>
      <c r="BX49" s="244"/>
      <c r="BY49" s="244"/>
      <c r="BZ49" s="244"/>
      <c r="CA49" s="244"/>
      <c r="CB49" s="244"/>
      <c r="CC49" s="244"/>
      <c r="CD49" s="244"/>
      <c r="CE49" s="244"/>
      <c r="CF49" s="244"/>
      <c r="CG49" s="244"/>
      <c r="CH49" s="244"/>
      <c r="CI49" s="244"/>
      <c r="CJ49" s="244"/>
      <c r="CK49" s="244"/>
      <c r="CL49" s="244"/>
      <c r="CM49" s="244"/>
      <c r="CN49" s="244"/>
      <c r="CO49" s="244"/>
      <c r="CP49" s="244"/>
      <c r="CQ49" s="244"/>
      <c r="CR49" s="244"/>
      <c r="CS49" s="244"/>
      <c r="CT49" s="244"/>
      <c r="CU49" s="244"/>
      <c r="CV49" s="244"/>
      <c r="CW49" s="244"/>
      <c r="CX49" s="244"/>
      <c r="CY49" s="244"/>
      <c r="CZ49" s="244"/>
      <c r="DA49" s="244"/>
      <c r="DB49" s="244"/>
      <c r="DC49" s="244"/>
      <c r="DD49" s="244"/>
      <c r="DE49" s="244"/>
      <c r="DF49" s="244"/>
      <c r="DG49" s="244"/>
      <c r="DH49" s="244"/>
      <c r="DI49" s="244"/>
      <c r="DJ49" s="244"/>
      <c r="DK49" s="244"/>
      <c r="DL49" s="244"/>
      <c r="DM49" s="244"/>
      <c r="DN49" s="244"/>
      <c r="DO49" s="244"/>
      <c r="DP49" s="244"/>
      <c r="DQ49" s="244"/>
      <c r="DR49" s="244"/>
      <c r="DS49" s="244"/>
      <c r="DT49" s="244"/>
      <c r="DU49" s="244"/>
      <c r="DV49" s="244"/>
      <c r="DW49" s="244"/>
      <c r="DX49" s="244"/>
      <c r="DY49" s="244"/>
      <c r="DZ49" s="244"/>
      <c r="EA49" s="244"/>
      <c r="EB49" s="244"/>
      <c r="EC49" s="244"/>
      <c r="ED49" s="244"/>
      <c r="EE49" s="244"/>
      <c r="EF49" s="244"/>
      <c r="EG49" s="244"/>
      <c r="EH49" s="244"/>
      <c r="EI49" s="244"/>
      <c r="EJ49" s="244"/>
      <c r="EK49" s="244"/>
      <c r="EL49" s="244"/>
      <c r="EM49" s="244"/>
      <c r="EN49" s="244"/>
      <c r="EO49" s="244"/>
      <c r="EP49" s="244"/>
      <c r="EQ49" s="244"/>
      <c r="ER49" s="244"/>
      <c r="ES49" s="244"/>
      <c r="ET49" s="244"/>
      <c r="EU49" s="244"/>
      <c r="EV49" s="244"/>
      <c r="EW49" s="244"/>
      <c r="EX49" s="244"/>
      <c r="EY49" s="244"/>
      <c r="EZ49" s="244"/>
      <c r="FA49" s="244"/>
      <c r="FB49" s="244"/>
      <c r="FC49" s="244"/>
      <c r="FD49" s="244"/>
      <c r="FE49" s="244"/>
      <c r="FF49" s="244"/>
      <c r="FG49" s="244"/>
      <c r="FH49" s="244"/>
      <c r="FI49" s="244"/>
      <c r="FJ49" s="244"/>
      <c r="FK49" s="244"/>
      <c r="FL49" s="244"/>
      <c r="FM49" s="244"/>
      <c r="FN49" s="244"/>
      <c r="FO49" s="244"/>
      <c r="FP49" s="244"/>
      <c r="FQ49" s="244"/>
      <c r="FR49" s="244"/>
      <c r="FS49" s="244"/>
      <c r="FT49" s="244"/>
      <c r="FU49" s="244"/>
      <c r="FV49" s="244"/>
      <c r="FW49" s="244"/>
      <c r="FX49" s="244"/>
      <c r="FY49" s="244"/>
      <c r="FZ49" s="244"/>
      <c r="GA49" s="244"/>
      <c r="GB49" s="244"/>
      <c r="GC49" s="244"/>
      <c r="GD49" s="244"/>
      <c r="GE49" s="244"/>
      <c r="GF49" s="244"/>
      <c r="GG49" s="244"/>
      <c r="GH49" s="244"/>
      <c r="GI49" s="244"/>
      <c r="GJ49" s="244"/>
      <c r="GK49" s="244"/>
      <c r="GL49" s="244"/>
      <c r="GM49" s="244"/>
      <c r="GN49" s="244"/>
      <c r="GO49" s="244"/>
      <c r="GP49" s="244"/>
      <c r="GQ49" s="244"/>
      <c r="GR49" s="244"/>
      <c r="GS49" s="244"/>
      <c r="GT49" s="244"/>
      <c r="GU49" s="244"/>
      <c r="GV49" s="244"/>
      <c r="GW49" s="244"/>
      <c r="GX49" s="128">
        <f t="shared" si="13"/>
        <v>1</v>
      </c>
      <c r="GY49" s="132">
        <f>標單!F44</f>
        <v>22478</v>
      </c>
      <c r="GZ49" s="132">
        <f>標單!G44</f>
        <v>22478</v>
      </c>
      <c r="HA49" s="104">
        <f t="shared" si="12"/>
        <v>4.3400000000000001E-3</v>
      </c>
    </row>
    <row r="50" spans="1:209" ht="38.450000000000003" customHeight="1" thickBot="1">
      <c r="A50" s="246" t="s">
        <v>188</v>
      </c>
      <c r="B50" s="247" t="str">
        <f>標單!C45</f>
        <v>營業稅(壹~陸之5%)</v>
      </c>
      <c r="C50" s="248">
        <f>標單!E45</f>
        <v>1</v>
      </c>
      <c r="D50" s="249" t="str">
        <f>標單!D45</f>
        <v>式</v>
      </c>
      <c r="E50" s="244">
        <f>IF(SUMPRODUCT($GY$13:$GY$44,E$13:E$44)=0,"",ROUND(SUMPRODUCT($GY$13:$GY$44,E$13:E$44)/SUM($GZ$13:$GZ$44),5))</f>
        <v>2.1800000000000001E-3</v>
      </c>
      <c r="F50" s="244"/>
      <c r="G50" s="244">
        <f t="shared" ref="G50:O50" si="34">IF(SUMPRODUCT($GY$13:$GY$44,G$13:G$44)=0,"",ROUND(SUMPRODUCT($GY$13:$GY$44,G$13:G$44)/SUM($GZ$13:$GZ$44),5))</f>
        <v>2.8900000000000002E-3</v>
      </c>
      <c r="H50" s="244">
        <f t="shared" si="34"/>
        <v>2.8900000000000002E-3</v>
      </c>
      <c r="I50" s="244">
        <f t="shared" si="34"/>
        <v>2.8900000000000002E-3</v>
      </c>
      <c r="J50" s="244">
        <f t="shared" si="34"/>
        <v>2.8900000000000002E-3</v>
      </c>
      <c r="K50" s="244">
        <f t="shared" si="34"/>
        <v>2.8900000000000002E-3</v>
      </c>
      <c r="L50" s="244">
        <f t="shared" si="34"/>
        <v>2.8900000000000002E-3</v>
      </c>
      <c r="M50" s="244">
        <f t="shared" si="34"/>
        <v>2.8900000000000002E-3</v>
      </c>
      <c r="N50" s="244">
        <f t="shared" si="34"/>
        <v>2.8900000000000002E-3</v>
      </c>
      <c r="O50" s="244">
        <f t="shared" si="34"/>
        <v>2.8900000000000002E-3</v>
      </c>
      <c r="P50" s="244">
        <f t="shared" ref="P50:Y50" si="35">IF(SUMPRODUCT($GY$13:$GY$44,P$13:P$44)=0,"",ROUND(SUMPRODUCT($GY$13:$GY$44,P$13:P$44)/SUM($GZ$13:$GZ$44),5))</f>
        <v>2.8900000000000002E-3</v>
      </c>
      <c r="Q50" s="244">
        <f t="shared" si="35"/>
        <v>2.8900000000000002E-3</v>
      </c>
      <c r="R50" s="244">
        <f t="shared" si="35"/>
        <v>2.8900000000000002E-3</v>
      </c>
      <c r="S50" s="244">
        <f t="shared" si="35"/>
        <v>2.8900000000000002E-3</v>
      </c>
      <c r="T50" s="244">
        <f t="shared" si="35"/>
        <v>2.8900000000000002E-3</v>
      </c>
      <c r="U50" s="244">
        <f t="shared" si="35"/>
        <v>2.8900000000000002E-3</v>
      </c>
      <c r="V50" s="244">
        <f t="shared" si="35"/>
        <v>2.8900000000000002E-3</v>
      </c>
      <c r="W50" s="244">
        <f t="shared" si="35"/>
        <v>2.8900000000000002E-3</v>
      </c>
      <c r="X50" s="244">
        <f t="shared" si="35"/>
        <v>2.8900000000000002E-3</v>
      </c>
      <c r="Y50" s="244" t="str">
        <f t="shared" si="35"/>
        <v/>
      </c>
      <c r="Z50" s="244" t="str">
        <f t="shared" ref="Z50:AI50" si="36">IF(SUMPRODUCT($GY$13:$GY$44,Z$13:Z$44)=0,"",ROUND(SUMPRODUCT($GY$13:$GY$44,Z$13:Z$44)/SUM($GZ$13:$GZ$44),5))</f>
        <v/>
      </c>
      <c r="AA50" s="244" t="str">
        <f t="shared" si="36"/>
        <v/>
      </c>
      <c r="AB50" s="244" t="str">
        <f t="shared" si="36"/>
        <v/>
      </c>
      <c r="AC50" s="244" t="str">
        <f t="shared" si="36"/>
        <v/>
      </c>
      <c r="AD50" s="244" t="str">
        <f t="shared" si="36"/>
        <v/>
      </c>
      <c r="AE50" s="244" t="str">
        <f t="shared" si="36"/>
        <v/>
      </c>
      <c r="AF50" s="244" t="str">
        <f t="shared" si="36"/>
        <v/>
      </c>
      <c r="AG50" s="244" t="str">
        <f t="shared" si="36"/>
        <v/>
      </c>
      <c r="AH50" s="244" t="str">
        <f t="shared" si="36"/>
        <v/>
      </c>
      <c r="AI50" s="244" t="str">
        <f t="shared" si="36"/>
        <v/>
      </c>
      <c r="AJ50" s="244" t="str">
        <f t="shared" ref="AJ50:AS50" si="37">IF(SUMPRODUCT($GY$13:$GY$44,AJ$13:AJ$44)=0,"",ROUND(SUMPRODUCT($GY$13:$GY$44,AJ$13:AJ$44)/SUM($GZ$13:$GZ$44),5))</f>
        <v/>
      </c>
      <c r="AK50" s="244" t="str">
        <f t="shared" si="37"/>
        <v/>
      </c>
      <c r="AL50" s="244" t="str">
        <f t="shared" si="37"/>
        <v/>
      </c>
      <c r="AM50" s="244" t="str">
        <f t="shared" si="37"/>
        <v/>
      </c>
      <c r="AN50" s="244" t="str">
        <f t="shared" si="37"/>
        <v/>
      </c>
      <c r="AO50" s="244" t="str">
        <f t="shared" si="37"/>
        <v/>
      </c>
      <c r="AP50" s="244" t="str">
        <f t="shared" si="37"/>
        <v/>
      </c>
      <c r="AQ50" s="244" t="str">
        <f t="shared" si="37"/>
        <v/>
      </c>
      <c r="AR50" s="244" t="str">
        <f t="shared" si="37"/>
        <v/>
      </c>
      <c r="AS50" s="244" t="str">
        <f t="shared" si="37"/>
        <v/>
      </c>
      <c r="AT50" s="244" t="str">
        <f t="shared" ref="AT50:BC50" si="38">IF(SUMPRODUCT($GY$13:$GY$44,AT$13:AT$44)=0,"",ROUND(SUMPRODUCT($GY$13:$GY$44,AT$13:AT$44)/SUM($GZ$13:$GZ$44),5))</f>
        <v/>
      </c>
      <c r="AU50" s="244" t="str">
        <f t="shared" si="38"/>
        <v/>
      </c>
      <c r="AV50" s="244" t="str">
        <f t="shared" si="38"/>
        <v/>
      </c>
      <c r="AW50" s="244" t="str">
        <f t="shared" si="38"/>
        <v/>
      </c>
      <c r="AX50" s="244" t="str">
        <f t="shared" si="38"/>
        <v/>
      </c>
      <c r="AY50" s="244" t="str">
        <f t="shared" si="38"/>
        <v/>
      </c>
      <c r="AZ50" s="244" t="str">
        <f t="shared" si="38"/>
        <v/>
      </c>
      <c r="BA50" s="244" t="str">
        <f t="shared" si="38"/>
        <v/>
      </c>
      <c r="BB50" s="244" t="str">
        <f t="shared" si="38"/>
        <v/>
      </c>
      <c r="BC50" s="244" t="str">
        <f t="shared" si="38"/>
        <v/>
      </c>
      <c r="BD50" s="244" t="str">
        <f t="shared" ref="BD50:BM50" si="39">IF(SUMPRODUCT($GY$13:$GY$44,BD$13:BD$44)=0,"",ROUND(SUMPRODUCT($GY$13:$GY$44,BD$13:BD$44)/SUM($GZ$13:$GZ$44),5))</f>
        <v/>
      </c>
      <c r="BE50" s="244" t="str">
        <f t="shared" si="39"/>
        <v/>
      </c>
      <c r="BF50" s="244" t="str">
        <f t="shared" si="39"/>
        <v/>
      </c>
      <c r="BG50" s="244" t="str">
        <f t="shared" si="39"/>
        <v/>
      </c>
      <c r="BH50" s="244" t="str">
        <f t="shared" si="39"/>
        <v/>
      </c>
      <c r="BI50" s="244" t="str">
        <f t="shared" si="39"/>
        <v/>
      </c>
      <c r="BJ50" s="244" t="str">
        <f t="shared" si="39"/>
        <v/>
      </c>
      <c r="BK50" s="244" t="str">
        <f t="shared" si="39"/>
        <v/>
      </c>
      <c r="BL50" s="244" t="str">
        <f t="shared" si="39"/>
        <v/>
      </c>
      <c r="BM50" s="244" t="str">
        <f t="shared" si="39"/>
        <v/>
      </c>
      <c r="BN50" s="244" t="str">
        <f t="shared" ref="BN50:BW50" si="40">IF(SUMPRODUCT($GY$13:$GY$44,BN$13:BN$44)=0,"",ROUND(SUMPRODUCT($GY$13:$GY$44,BN$13:BN$44)/SUM($GZ$13:$GZ$44),5))</f>
        <v/>
      </c>
      <c r="BO50" s="244" t="str">
        <f t="shared" si="40"/>
        <v/>
      </c>
      <c r="BP50" s="244" t="str">
        <f t="shared" si="40"/>
        <v/>
      </c>
      <c r="BQ50" s="244" t="str">
        <f t="shared" si="40"/>
        <v/>
      </c>
      <c r="BR50" s="244" t="str">
        <f t="shared" si="40"/>
        <v/>
      </c>
      <c r="BS50" s="244" t="str">
        <f t="shared" si="40"/>
        <v/>
      </c>
      <c r="BT50" s="244" t="str">
        <f t="shared" si="40"/>
        <v/>
      </c>
      <c r="BU50" s="244" t="str">
        <f t="shared" si="40"/>
        <v/>
      </c>
      <c r="BV50" s="244" t="str">
        <f t="shared" si="40"/>
        <v/>
      </c>
      <c r="BW50" s="244" t="str">
        <f t="shared" si="40"/>
        <v/>
      </c>
      <c r="BX50" s="244" t="str">
        <f t="shared" ref="BX50:CG50" si="41">IF(SUMPRODUCT($GY$13:$GY$44,BX$13:BX$44)=0,"",ROUND(SUMPRODUCT($GY$13:$GY$44,BX$13:BX$44)/SUM($GZ$13:$GZ$44),5))</f>
        <v/>
      </c>
      <c r="BY50" s="244" t="str">
        <f t="shared" si="41"/>
        <v/>
      </c>
      <c r="BZ50" s="244" t="str">
        <f t="shared" si="41"/>
        <v/>
      </c>
      <c r="CA50" s="244" t="str">
        <f t="shared" si="41"/>
        <v/>
      </c>
      <c r="CB50" s="244" t="str">
        <f t="shared" si="41"/>
        <v/>
      </c>
      <c r="CC50" s="244" t="str">
        <f t="shared" si="41"/>
        <v/>
      </c>
      <c r="CD50" s="244" t="str">
        <f t="shared" si="41"/>
        <v/>
      </c>
      <c r="CE50" s="244" t="str">
        <f t="shared" si="41"/>
        <v/>
      </c>
      <c r="CF50" s="244" t="str">
        <f t="shared" si="41"/>
        <v/>
      </c>
      <c r="CG50" s="244" t="str">
        <f t="shared" si="41"/>
        <v/>
      </c>
      <c r="CH50" s="244" t="str">
        <f t="shared" ref="CH50:CQ50" si="42">IF(SUMPRODUCT($GY$13:$GY$44,CH$13:CH$44)=0,"",ROUND(SUMPRODUCT($GY$13:$GY$44,CH$13:CH$44)/SUM($GZ$13:$GZ$44),5))</f>
        <v/>
      </c>
      <c r="CI50" s="244" t="str">
        <f t="shared" si="42"/>
        <v/>
      </c>
      <c r="CJ50" s="244" t="str">
        <f t="shared" si="42"/>
        <v/>
      </c>
      <c r="CK50" s="244" t="str">
        <f t="shared" si="42"/>
        <v/>
      </c>
      <c r="CL50" s="244" t="str">
        <f t="shared" si="42"/>
        <v/>
      </c>
      <c r="CM50" s="244" t="str">
        <f t="shared" si="42"/>
        <v/>
      </c>
      <c r="CN50" s="244" t="str">
        <f t="shared" si="42"/>
        <v/>
      </c>
      <c r="CO50" s="244" t="str">
        <f t="shared" si="42"/>
        <v/>
      </c>
      <c r="CP50" s="244" t="str">
        <f t="shared" si="42"/>
        <v/>
      </c>
      <c r="CQ50" s="244" t="str">
        <f t="shared" si="42"/>
        <v/>
      </c>
      <c r="CR50" s="244" t="str">
        <f t="shared" ref="CR50:DA50" si="43">IF(SUMPRODUCT($GY$13:$GY$44,CR$13:CR$44)=0,"",ROUND(SUMPRODUCT($GY$13:$GY$44,CR$13:CR$44)/SUM($GZ$13:$GZ$44),5))</f>
        <v/>
      </c>
      <c r="CS50" s="244" t="str">
        <f t="shared" si="43"/>
        <v/>
      </c>
      <c r="CT50" s="244" t="str">
        <f t="shared" si="43"/>
        <v/>
      </c>
      <c r="CU50" s="244" t="str">
        <f t="shared" si="43"/>
        <v/>
      </c>
      <c r="CV50" s="244" t="str">
        <f t="shared" si="43"/>
        <v/>
      </c>
      <c r="CW50" s="244" t="str">
        <f t="shared" si="43"/>
        <v/>
      </c>
      <c r="CX50" s="244" t="str">
        <f t="shared" si="43"/>
        <v/>
      </c>
      <c r="CY50" s="244" t="str">
        <f t="shared" si="43"/>
        <v/>
      </c>
      <c r="CZ50" s="244" t="str">
        <f t="shared" si="43"/>
        <v/>
      </c>
      <c r="DA50" s="244" t="str">
        <f t="shared" si="43"/>
        <v/>
      </c>
      <c r="DB50" s="244" t="str">
        <f t="shared" ref="DB50:DK50" si="44">IF(SUMPRODUCT($GY$13:$GY$44,DB$13:DB$44)=0,"",ROUND(SUMPRODUCT($GY$13:$GY$44,DB$13:DB$44)/SUM($GZ$13:$GZ$44),5))</f>
        <v/>
      </c>
      <c r="DC50" s="244" t="str">
        <f t="shared" si="44"/>
        <v/>
      </c>
      <c r="DD50" s="244" t="str">
        <f t="shared" si="44"/>
        <v/>
      </c>
      <c r="DE50" s="244" t="str">
        <f t="shared" si="44"/>
        <v/>
      </c>
      <c r="DF50" s="244" t="str">
        <f t="shared" si="44"/>
        <v/>
      </c>
      <c r="DG50" s="244" t="str">
        <f t="shared" si="44"/>
        <v/>
      </c>
      <c r="DH50" s="244" t="str">
        <f t="shared" si="44"/>
        <v/>
      </c>
      <c r="DI50" s="244" t="str">
        <f t="shared" si="44"/>
        <v/>
      </c>
      <c r="DJ50" s="244" t="str">
        <f t="shared" si="44"/>
        <v/>
      </c>
      <c r="DK50" s="244" t="str">
        <f t="shared" si="44"/>
        <v/>
      </c>
      <c r="DL50" s="244" t="str">
        <f t="shared" ref="DL50:DU50" si="45">IF(SUMPRODUCT($GY$13:$GY$44,DL$13:DL$44)=0,"",ROUND(SUMPRODUCT($GY$13:$GY$44,DL$13:DL$44)/SUM($GZ$13:$GZ$44),5))</f>
        <v/>
      </c>
      <c r="DM50" s="244" t="str">
        <f t="shared" si="45"/>
        <v/>
      </c>
      <c r="DN50" s="244" t="str">
        <f t="shared" si="45"/>
        <v/>
      </c>
      <c r="DO50" s="244" t="str">
        <f t="shared" si="45"/>
        <v/>
      </c>
      <c r="DP50" s="244" t="str">
        <f t="shared" si="45"/>
        <v/>
      </c>
      <c r="DQ50" s="244" t="str">
        <f t="shared" si="45"/>
        <v/>
      </c>
      <c r="DR50" s="244" t="str">
        <f t="shared" si="45"/>
        <v/>
      </c>
      <c r="DS50" s="244" t="str">
        <f t="shared" si="45"/>
        <v/>
      </c>
      <c r="DT50" s="244" t="str">
        <f t="shared" si="45"/>
        <v/>
      </c>
      <c r="DU50" s="244" t="str">
        <f t="shared" si="45"/>
        <v/>
      </c>
      <c r="DV50" s="244" t="str">
        <f t="shared" ref="DV50:EE50" si="46">IF(SUMPRODUCT($GY$13:$GY$44,DV$13:DV$44)=0,"",ROUND(SUMPRODUCT($GY$13:$GY$44,DV$13:DV$44)/SUM($GZ$13:$GZ$44),5))</f>
        <v/>
      </c>
      <c r="DW50" s="244" t="str">
        <f t="shared" si="46"/>
        <v/>
      </c>
      <c r="DX50" s="244" t="str">
        <f t="shared" si="46"/>
        <v/>
      </c>
      <c r="DY50" s="244" t="str">
        <f t="shared" si="46"/>
        <v/>
      </c>
      <c r="DZ50" s="244" t="str">
        <f t="shared" si="46"/>
        <v/>
      </c>
      <c r="EA50" s="244" t="str">
        <f t="shared" si="46"/>
        <v/>
      </c>
      <c r="EB50" s="244" t="str">
        <f t="shared" si="46"/>
        <v/>
      </c>
      <c r="EC50" s="244" t="str">
        <f t="shared" si="46"/>
        <v/>
      </c>
      <c r="ED50" s="244" t="str">
        <f t="shared" si="46"/>
        <v/>
      </c>
      <c r="EE50" s="244" t="str">
        <f t="shared" si="46"/>
        <v/>
      </c>
      <c r="EF50" s="244" t="str">
        <f t="shared" ref="EF50:EO50" si="47">IF(SUMPRODUCT($GY$13:$GY$44,EF$13:EF$44)=0,"",ROUND(SUMPRODUCT($GY$13:$GY$44,EF$13:EF$44)/SUM($GZ$13:$GZ$44),5))</f>
        <v/>
      </c>
      <c r="EG50" s="244" t="str">
        <f t="shared" si="47"/>
        <v/>
      </c>
      <c r="EH50" s="244" t="str">
        <f t="shared" si="47"/>
        <v/>
      </c>
      <c r="EI50" s="244" t="str">
        <f t="shared" si="47"/>
        <v/>
      </c>
      <c r="EJ50" s="244" t="str">
        <f t="shared" si="47"/>
        <v/>
      </c>
      <c r="EK50" s="244" t="str">
        <f t="shared" si="47"/>
        <v/>
      </c>
      <c r="EL50" s="244" t="str">
        <f t="shared" si="47"/>
        <v/>
      </c>
      <c r="EM50" s="244" t="str">
        <f t="shared" si="47"/>
        <v/>
      </c>
      <c r="EN50" s="244" t="str">
        <f t="shared" si="47"/>
        <v/>
      </c>
      <c r="EO50" s="244" t="str">
        <f t="shared" si="47"/>
        <v/>
      </c>
      <c r="EP50" s="244" t="str">
        <f t="shared" ref="EP50:EY50" si="48">IF(SUMPRODUCT($GY$13:$GY$44,EP$13:EP$44)=0,"",ROUND(SUMPRODUCT($GY$13:$GY$44,EP$13:EP$44)/SUM($GZ$13:$GZ$44),5))</f>
        <v/>
      </c>
      <c r="EQ50" s="244" t="str">
        <f t="shared" si="48"/>
        <v/>
      </c>
      <c r="ER50" s="244" t="str">
        <f t="shared" si="48"/>
        <v/>
      </c>
      <c r="ES50" s="244" t="str">
        <f t="shared" si="48"/>
        <v/>
      </c>
      <c r="ET50" s="244" t="str">
        <f t="shared" si="48"/>
        <v/>
      </c>
      <c r="EU50" s="244" t="str">
        <f t="shared" si="48"/>
        <v/>
      </c>
      <c r="EV50" s="244" t="str">
        <f t="shared" si="48"/>
        <v/>
      </c>
      <c r="EW50" s="244" t="str">
        <f t="shared" si="48"/>
        <v/>
      </c>
      <c r="EX50" s="244" t="str">
        <f t="shared" si="48"/>
        <v/>
      </c>
      <c r="EY50" s="244" t="str">
        <f t="shared" si="48"/>
        <v/>
      </c>
      <c r="EZ50" s="244" t="str">
        <f t="shared" ref="EZ50:FI50" si="49">IF(SUMPRODUCT($GY$13:$GY$44,EZ$13:EZ$44)=0,"",ROUND(SUMPRODUCT($GY$13:$GY$44,EZ$13:EZ$44)/SUM($GZ$13:$GZ$44),5))</f>
        <v/>
      </c>
      <c r="FA50" s="244" t="str">
        <f t="shared" si="49"/>
        <v/>
      </c>
      <c r="FB50" s="244" t="str">
        <f t="shared" si="49"/>
        <v/>
      </c>
      <c r="FC50" s="244" t="str">
        <f t="shared" si="49"/>
        <v/>
      </c>
      <c r="FD50" s="244" t="str">
        <f t="shared" si="49"/>
        <v/>
      </c>
      <c r="FE50" s="244" t="str">
        <f t="shared" si="49"/>
        <v/>
      </c>
      <c r="FF50" s="244" t="str">
        <f t="shared" si="49"/>
        <v/>
      </c>
      <c r="FG50" s="244" t="str">
        <f t="shared" si="49"/>
        <v/>
      </c>
      <c r="FH50" s="244" t="str">
        <f t="shared" si="49"/>
        <v/>
      </c>
      <c r="FI50" s="244" t="str">
        <f t="shared" si="49"/>
        <v/>
      </c>
      <c r="FJ50" s="244" t="str">
        <f t="shared" ref="FJ50:FS50" si="50">IF(SUMPRODUCT($GY$13:$GY$44,FJ$13:FJ$44)=0,"",ROUND(SUMPRODUCT($GY$13:$GY$44,FJ$13:FJ$44)/SUM($GZ$13:$GZ$44),5))</f>
        <v/>
      </c>
      <c r="FK50" s="244" t="str">
        <f t="shared" si="50"/>
        <v/>
      </c>
      <c r="FL50" s="244" t="str">
        <f t="shared" si="50"/>
        <v/>
      </c>
      <c r="FM50" s="244" t="str">
        <f t="shared" si="50"/>
        <v/>
      </c>
      <c r="FN50" s="244" t="str">
        <f t="shared" si="50"/>
        <v/>
      </c>
      <c r="FO50" s="244" t="str">
        <f t="shared" si="50"/>
        <v/>
      </c>
      <c r="FP50" s="244" t="str">
        <f t="shared" si="50"/>
        <v/>
      </c>
      <c r="FQ50" s="244" t="str">
        <f t="shared" si="50"/>
        <v/>
      </c>
      <c r="FR50" s="244" t="str">
        <f t="shared" si="50"/>
        <v/>
      </c>
      <c r="FS50" s="244" t="str">
        <f t="shared" si="50"/>
        <v/>
      </c>
      <c r="FT50" s="244" t="str">
        <f t="shared" ref="FT50:GC50" si="51">IF(SUMPRODUCT($GY$13:$GY$44,FT$13:FT$44)=0,"",ROUND(SUMPRODUCT($GY$13:$GY$44,FT$13:FT$44)/SUM($GZ$13:$GZ$44),5))</f>
        <v/>
      </c>
      <c r="FU50" s="244" t="str">
        <f t="shared" si="51"/>
        <v/>
      </c>
      <c r="FV50" s="244" t="str">
        <f t="shared" si="51"/>
        <v/>
      </c>
      <c r="FW50" s="244" t="str">
        <f t="shared" si="51"/>
        <v/>
      </c>
      <c r="FX50" s="244" t="str">
        <f t="shared" si="51"/>
        <v/>
      </c>
      <c r="FY50" s="244" t="str">
        <f t="shared" si="51"/>
        <v/>
      </c>
      <c r="FZ50" s="244" t="str">
        <f t="shared" si="51"/>
        <v/>
      </c>
      <c r="GA50" s="244" t="str">
        <f t="shared" si="51"/>
        <v/>
      </c>
      <c r="GB50" s="244" t="str">
        <f t="shared" si="51"/>
        <v/>
      </c>
      <c r="GC50" s="244" t="str">
        <f t="shared" si="51"/>
        <v/>
      </c>
      <c r="GD50" s="244" t="str">
        <f t="shared" ref="GD50:GM50" si="52">IF(SUMPRODUCT($GY$13:$GY$44,GD$13:GD$44)=0,"",ROUND(SUMPRODUCT($GY$13:$GY$44,GD$13:GD$44)/SUM($GZ$13:$GZ$44),5))</f>
        <v/>
      </c>
      <c r="GE50" s="244" t="str">
        <f t="shared" si="52"/>
        <v/>
      </c>
      <c r="GF50" s="244" t="str">
        <f t="shared" si="52"/>
        <v/>
      </c>
      <c r="GG50" s="244" t="str">
        <f t="shared" si="52"/>
        <v/>
      </c>
      <c r="GH50" s="244" t="str">
        <f t="shared" si="52"/>
        <v/>
      </c>
      <c r="GI50" s="244" t="str">
        <f t="shared" si="52"/>
        <v/>
      </c>
      <c r="GJ50" s="244" t="str">
        <f t="shared" si="52"/>
        <v/>
      </c>
      <c r="GK50" s="244" t="str">
        <f t="shared" si="52"/>
        <v/>
      </c>
      <c r="GL50" s="244" t="str">
        <f t="shared" si="52"/>
        <v/>
      </c>
      <c r="GM50" s="244" t="str">
        <f t="shared" si="52"/>
        <v/>
      </c>
      <c r="GN50" s="244" t="str">
        <f t="shared" ref="GN50:GW50" si="53">IF(SUMPRODUCT($GY$13:$GY$44,GN$13:GN$44)=0,"",ROUND(SUMPRODUCT($GY$13:$GY$44,GN$13:GN$44)/SUM($GZ$13:$GZ$44),5))</f>
        <v/>
      </c>
      <c r="GO50" s="244" t="str">
        <f t="shared" si="53"/>
        <v/>
      </c>
      <c r="GP50" s="244" t="str">
        <f t="shared" si="53"/>
        <v/>
      </c>
      <c r="GQ50" s="244" t="str">
        <f t="shared" si="53"/>
        <v/>
      </c>
      <c r="GR50" s="244" t="str">
        <f t="shared" si="53"/>
        <v/>
      </c>
      <c r="GS50" s="244" t="str">
        <f t="shared" si="53"/>
        <v/>
      </c>
      <c r="GT50" s="244" t="str">
        <f t="shared" si="53"/>
        <v/>
      </c>
      <c r="GU50" s="244" t="str">
        <f t="shared" si="53"/>
        <v/>
      </c>
      <c r="GV50" s="244" t="str">
        <f t="shared" si="53"/>
        <v/>
      </c>
      <c r="GW50" s="244" t="str">
        <f t="shared" si="53"/>
        <v/>
      </c>
      <c r="GX50" s="129">
        <f t="shared" si="13"/>
        <v>5.4200000000000026E-2</v>
      </c>
      <c r="GY50" s="132">
        <f>標單!F45</f>
        <v>246667</v>
      </c>
      <c r="GZ50" s="132">
        <f>標單!G45</f>
        <v>246667</v>
      </c>
      <c r="HA50" s="104">
        <f t="shared" si="12"/>
        <v>4.7620000000000003E-2</v>
      </c>
    </row>
  </sheetData>
  <phoneticPr fontId="3" type="noConversion"/>
  <dataValidations count="3">
    <dataValidation type="list" showErrorMessage="1" sqref="B11" xr:uid="{00000000-0002-0000-0200-000000000000}">
      <formula1>"日曆天,工作天"</formula1>
    </dataValidation>
    <dataValidation type="list" allowBlank="1" showErrorMessage="1" sqref="E11:GW11" xr:uid="{00000000-0002-0000-0200-000001000000}">
      <formula1>"不計工期"</formula1>
    </dataValidation>
    <dataValidation type="custom" allowBlank="1" showErrorMessage="1" errorTitle="施作數量超過契約數量" error="本日施作數量加累計不得超過該工項契約數量；單位為「式」者請輸入完成比例，例如0.1、0.25、0.5。" sqref="GX13:GX50 E13:GW44" xr:uid="{00000000-0002-0000-0200-000002000000}">
      <formula1>AND(E13&gt;=0,SUM($E13:E13)&lt;=$C13)</formula1>
    </dataValidation>
  </dataValidations>
  <pageMargins left="0.70866141732283472" right="0.70866141732283472" top="0.74803149606299213" bottom="0.74803149606299213" header="0.31496062992125984" footer="0.31496062992125984"/>
  <pageSetup scale="10" fitToWidth="0" fitToHeight="0" orientation="portrait" r:id="rId1"/>
  <ignoredErrors>
    <ignoredError sqref="F5"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7CFC1-7D4E-4D57-9468-7CB1F02FE02F}">
  <sheetPr codeName="工作表4"/>
  <dimension ref="A1:N74"/>
  <sheetViews>
    <sheetView showGridLines="0" tabSelected="1" view="pageBreakPreview" topLeftCell="B1" zoomScale="50" zoomScaleNormal="70" zoomScaleSheetLayoutView="50" workbookViewId="0">
      <selection activeCell="H10" sqref="H10:H47"/>
    </sheetView>
  </sheetViews>
  <sheetFormatPr defaultColWidth="18.625" defaultRowHeight="16.5"/>
  <cols>
    <col min="1" max="5" width="18.625" style="137"/>
    <col min="6" max="6" width="18.625" style="161"/>
    <col min="7" max="12" width="18.625" style="137"/>
  </cols>
  <sheetData>
    <row r="1" spans="1:14" ht="27" customHeight="1">
      <c r="A1" s="275" t="s">
        <v>37</v>
      </c>
      <c r="B1" s="275"/>
      <c r="C1" s="275"/>
      <c r="D1" s="275"/>
      <c r="E1" s="275"/>
      <c r="F1" s="275"/>
      <c r="G1" s="275"/>
      <c r="H1" s="275"/>
      <c r="I1" s="275"/>
      <c r="J1" s="275"/>
      <c r="K1" s="136"/>
      <c r="L1" s="136"/>
    </row>
    <row r="2" spans="1:14" ht="24" customHeight="1">
      <c r="A2" s="276" t="s">
        <v>38</v>
      </c>
      <c r="B2" s="276"/>
      <c r="C2" s="138">
        <f>MATCH(I3,數量表!$E$4:$GW$4,0)</f>
        <v>1</v>
      </c>
      <c r="D2" s="277"/>
      <c r="E2" s="277"/>
      <c r="F2" s="277"/>
      <c r="G2" s="277"/>
      <c r="H2" s="277"/>
      <c r="I2" s="277"/>
      <c r="J2" s="277"/>
      <c r="K2" s="136"/>
      <c r="L2" s="139">
        <v>46246</v>
      </c>
    </row>
    <row r="3" spans="1:14" ht="24" customHeight="1" thickBot="1">
      <c r="A3" s="276" t="s">
        <v>39</v>
      </c>
      <c r="B3" s="276"/>
      <c r="C3" s="290" t="str">
        <f>"上午："&amp;IFERROR(VLOOKUP($I$3,出工表!$A$2:$R$301,2,FALSE),"")&amp;"　下午："&amp;IFERROR(VLOOKUP($I$3,出工表!$A$2:$R$301,3,FALSE),"")</f>
        <v>上午：晴　下午：晴</v>
      </c>
      <c r="D3" s="290"/>
      <c r="E3" s="290"/>
      <c r="F3" s="290"/>
      <c r="G3" s="140"/>
      <c r="H3" s="141" t="s">
        <v>40</v>
      </c>
      <c r="I3" s="291">
        <v>46246</v>
      </c>
      <c r="J3" s="291"/>
      <c r="K3" s="136"/>
      <c r="L3" s="139">
        <v>46265</v>
      </c>
    </row>
    <row r="4" spans="1:14" ht="24" customHeight="1">
      <c r="A4" s="293" t="s">
        <v>12</v>
      </c>
      <c r="B4" s="294"/>
      <c r="C4" s="295" t="str">
        <f>數量表!B1</f>
        <v>114-116年度D棟老舊廁所整修工程</v>
      </c>
      <c r="D4" s="294"/>
      <c r="E4" s="294"/>
      <c r="F4" s="294"/>
      <c r="G4" s="294"/>
      <c r="H4" s="142" t="s">
        <v>1</v>
      </c>
      <c r="I4" s="296" t="str">
        <f>數量表!B9</f>
        <v>阿奎營造有限公司</v>
      </c>
      <c r="J4" s="297"/>
      <c r="K4" s="136"/>
      <c r="L4" s="136"/>
    </row>
    <row r="5" spans="1:14" ht="24" customHeight="1">
      <c r="A5" s="292" t="s">
        <v>41</v>
      </c>
      <c r="B5" s="284"/>
      <c r="C5" s="298">
        <f>數量表!B7</f>
        <v>200</v>
      </c>
      <c r="D5" s="298"/>
      <c r="E5" s="299" t="str">
        <f>IF(MOD(INDEX(數量表!$E$7:$GW$7,1,MATCH(I3,數量表!$E$4:$GW$4,0)),1)=0,"累計工期 "&amp;TEXT(INDEX(數量表!$E$7:$GW$7,1,MATCH(I3,數量表!$E$4:$GW$4,0)),"0")&amp;" 日曆天","累計工期 "&amp;TEXT(INDEX(數量表!$E$7:$GW$7,1,MATCH(I3,數量表!$E$4:$GW$4,0)),"0.0")&amp;" 日曆天")</f>
        <v>累計工期 1 日曆天</v>
      </c>
      <c r="F5" s="299"/>
      <c r="G5" s="300" t="str">
        <f>IF(INDEX(數量表!$E$7:$GW$7,1,MATCH(I3,數量表!$E$4:$GW$4,0))&lt;C5,"剩餘工期 "&amp;TEXT(C5-INDEX(數量表!$E$7:$GW$7,1,MATCH(I3,數量表!$E$4:$GW$4,0)),"0")&amp;" 日曆天",IF(INDEX(數量表!$E$7:$GW$7,1,MATCH(I3,數量表!$E$4:$GW$4,0))=C5,"剩餘工期 0 日曆天","逾期工期 "&amp;TEXT(INDEX(數量表!$E$7:$GW$7,1,MATCH(I3,數量表!$E$4:$GW$4,0))-C5,"0")&amp;" 日曆天"))</f>
        <v>剩餘工期 199 日曆天</v>
      </c>
      <c r="H5" s="300"/>
      <c r="I5" s="143" t="s">
        <v>42</v>
      </c>
      <c r="J5" s="144">
        <f>COUNTIF(數量表!$E$11:INDEX(數量表!$E$11:$GW$11,1,MATCH(I3,數量表!$E$4:$GW$4,0)),"不計工期")</f>
        <v>0</v>
      </c>
      <c r="K5" s="136"/>
      <c r="L5" s="136"/>
    </row>
    <row r="6" spans="1:14" ht="24" customHeight="1">
      <c r="A6" s="292" t="s">
        <v>13</v>
      </c>
      <c r="B6" s="284"/>
      <c r="C6" s="284"/>
      <c r="D6" s="285">
        <f>數量表!B5</f>
        <v>46246</v>
      </c>
      <c r="E6" s="285"/>
      <c r="F6" s="285"/>
      <c r="G6" s="284" t="s">
        <v>43</v>
      </c>
      <c r="H6" s="284"/>
      <c r="I6" s="285">
        <f>IF(數量表!$B$11="日曆天",數量表!$B$5+數量表!$B$7-1+J5,WORKDAY.INTL(WORKDAY.INTL(數量表!$B$5-1,數量表!$B$7,1),J5,1))</f>
        <v>46445</v>
      </c>
      <c r="J6" s="286"/>
      <c r="K6" s="136"/>
      <c r="L6" s="136"/>
    </row>
    <row r="7" spans="1:14" ht="24" customHeight="1" thickBot="1">
      <c r="A7" s="287" t="s">
        <v>44</v>
      </c>
      <c r="B7" s="288"/>
      <c r="C7" s="289">
        <f>INDEX(數量表!$E$9:$GW$9,1,MATCH(I3,數量表!$E$4:$GW$4,0))</f>
        <v>0</v>
      </c>
      <c r="D7" s="289"/>
      <c r="E7" s="288" t="s">
        <v>45</v>
      </c>
      <c r="F7" s="288"/>
      <c r="G7" s="289">
        <f>INDEX(數量表!$E$10:$GW$10,1,MATCH(I3,數量表!$E$4:$GW$4,0))</f>
        <v>6.5100000000000002E-3</v>
      </c>
      <c r="H7" s="289"/>
      <c r="I7" s="145" t="s">
        <v>46</v>
      </c>
      <c r="J7" s="146">
        <f>數量表!B3</f>
        <v>5180000</v>
      </c>
      <c r="K7" s="136"/>
      <c r="L7" s="136"/>
    </row>
    <row r="8" spans="1:14" ht="21.95" customHeight="1">
      <c r="A8" s="302" t="s">
        <v>47</v>
      </c>
      <c r="B8" s="303"/>
      <c r="C8" s="303"/>
      <c r="D8" s="303"/>
      <c r="E8" s="303"/>
      <c r="F8" s="304"/>
      <c r="G8" s="304"/>
      <c r="H8" s="304"/>
      <c r="I8" s="305"/>
      <c r="J8" s="306"/>
      <c r="K8" s="147"/>
      <c r="L8" s="136"/>
    </row>
    <row r="9" spans="1:14" ht="39.950000000000003" customHeight="1">
      <c r="A9" s="148" t="s">
        <v>48</v>
      </c>
      <c r="B9" s="284" t="s">
        <v>49</v>
      </c>
      <c r="C9" s="284"/>
      <c r="D9" s="284"/>
      <c r="E9" s="284"/>
      <c r="F9" s="149" t="s">
        <v>50</v>
      </c>
      <c r="G9" s="150" t="s">
        <v>51</v>
      </c>
      <c r="H9" s="150" t="s">
        <v>52</v>
      </c>
      <c r="I9" s="150" t="s">
        <v>53</v>
      </c>
      <c r="J9" s="151" t="s">
        <v>54</v>
      </c>
      <c r="K9" s="136"/>
      <c r="L9" s="136"/>
    </row>
    <row r="10" spans="1:14" ht="39.950000000000003" customHeight="1">
      <c r="A10" s="152">
        <f>數量表!A13</f>
        <v>1</v>
      </c>
      <c r="B10" s="301" t="str">
        <f>數量表!B13</f>
        <v>乙種施工圍籬、警示帶、安全警示燈等安全措施(租用)</v>
      </c>
      <c r="C10" s="301"/>
      <c r="D10" s="301"/>
      <c r="E10" s="301"/>
      <c r="F10" s="153" t="str">
        <f>數量表!D13</f>
        <v>式</v>
      </c>
      <c r="G10" s="154">
        <f>數量表!C13</f>
        <v>1</v>
      </c>
      <c r="H10" s="155">
        <f>INDEX(數量表!$E13:$GW13,1,MATCH($I$3,數量表!$E$4:$GW$4,0))</f>
        <v>1</v>
      </c>
      <c r="I10" s="155">
        <f>SUM(數量表!$E13:INDEX(數量表!$E13:$GW13,1,MATCH($I$3,數量表!$E$4:$GW$4,0)))</f>
        <v>1</v>
      </c>
      <c r="J10" s="156"/>
      <c r="K10" s="157">
        <f t="shared" ref="K10:K47" si="0">MAX(0,G10-I10)</f>
        <v>0</v>
      </c>
      <c r="L10" s="158"/>
    </row>
    <row r="11" spans="1:14" ht="39.950000000000003" customHeight="1">
      <c r="A11" s="152">
        <f>數量表!A14</f>
        <v>2</v>
      </c>
      <c r="B11" s="301" t="str">
        <f>數量表!B14</f>
        <v>工程告示牌與職安衛告示牌(租用)</v>
      </c>
      <c r="C11" s="301"/>
      <c r="D11" s="301"/>
      <c r="E11" s="301"/>
      <c r="F11" s="153" t="str">
        <f>數量表!D14</f>
        <v>式</v>
      </c>
      <c r="G11" s="154">
        <f>數量表!C14</f>
        <v>1</v>
      </c>
      <c r="H11" s="155">
        <f>INDEX(數量表!$E14:$GW14,1,MATCH($I$3,數量表!$E$4:$GW$4,0))</f>
        <v>1</v>
      </c>
      <c r="I11" s="155">
        <f>SUM(數量表!$E14:INDEX(數量表!$E14:$GW14,1,MATCH($I$3,數量表!$E$4:$GW$4,0)))</f>
        <v>1</v>
      </c>
      <c r="J11" s="156"/>
      <c r="K11" s="157">
        <f t="shared" si="0"/>
        <v>0</v>
      </c>
    </row>
    <row r="12" spans="1:14" ht="39.950000000000003" customHeight="1">
      <c r="A12" s="152">
        <f>數量表!A15</f>
        <v>3</v>
      </c>
      <c r="B12" s="301" t="str">
        <f>數量表!B15</f>
        <v>施工動線開闢與損壞復原，既有設備管線遷移與復原；測量與放樣</v>
      </c>
      <c r="C12" s="301"/>
      <c r="D12" s="301"/>
      <c r="E12" s="301"/>
      <c r="F12" s="153" t="str">
        <f>數量表!D15</f>
        <v>式</v>
      </c>
      <c r="G12" s="154">
        <f>數量表!C15</f>
        <v>1</v>
      </c>
      <c r="H12" s="155">
        <f>INDEX(數量表!$E15:$GW15,1,MATCH($I$3,數量表!$E$4:$GW$4,0))</f>
        <v>0</v>
      </c>
      <c r="I12" s="155">
        <f>SUM(數量表!$E15:INDEX(數量表!$E15:$GW15,1,MATCH($I$3,數量表!$E$4:$GW$4,0)))</f>
        <v>0</v>
      </c>
      <c r="J12" s="156"/>
      <c r="K12" s="157">
        <f t="shared" si="0"/>
        <v>1</v>
      </c>
      <c r="L12" s="159"/>
    </row>
    <row r="13" spans="1:14" ht="39.950000000000003" customHeight="1">
      <c r="A13" s="152">
        <f>數量表!A16</f>
        <v>4</v>
      </c>
      <c r="B13" s="301" t="str">
        <f>數量表!B16</f>
        <v>既有地坪、磁磚、衛生設備、給排水設施、搗擺及天花板等拆除(含切割)及運棄(含合法證明);環境保護與清潔</v>
      </c>
      <c r="C13" s="301"/>
      <c r="D13" s="301"/>
      <c r="E13" s="301"/>
      <c r="F13" s="153" t="str">
        <f>數量表!D16</f>
        <v>式</v>
      </c>
      <c r="G13" s="154">
        <f>數量表!C16</f>
        <v>1</v>
      </c>
      <c r="H13" s="155">
        <f>INDEX(數量表!$E16:$GW16,1,MATCH($I$3,數量表!$E$4:$GW$4,0))</f>
        <v>0</v>
      </c>
      <c r="I13" s="155">
        <f>SUM(數量表!$E16:INDEX(數量表!$E16:$GW16,1,MATCH($I$3,數量表!$E$4:$GW$4,0)))</f>
        <v>0</v>
      </c>
      <c r="J13" s="156"/>
      <c r="K13" s="157">
        <f t="shared" si="0"/>
        <v>1</v>
      </c>
    </row>
    <row r="14" spans="1:14" ht="39.950000000000003" customHeight="1">
      <c r="A14" s="152">
        <f>數量表!A17</f>
        <v>5</v>
      </c>
      <c r="B14" s="301" t="str">
        <f>數量表!B17</f>
        <v>既有污水處理設施抽水肥(含清潔孔開挖與復原)</v>
      </c>
      <c r="C14" s="301"/>
      <c r="D14" s="301"/>
      <c r="E14" s="301"/>
      <c r="F14" s="153" t="str">
        <f>數量表!D17</f>
        <v>式</v>
      </c>
      <c r="G14" s="154">
        <f>數量表!C17</f>
        <v>1</v>
      </c>
      <c r="H14" s="155">
        <f>INDEX(數量表!$E17:$GW17,1,MATCH($I$3,數量表!$E$4:$GW$4,0))</f>
        <v>0</v>
      </c>
      <c r="I14" s="155">
        <f>SUM(數量表!$E17:INDEX(數量表!$E17:$GW17,1,MATCH($I$3,數量表!$E$4:$GW$4,0)))</f>
        <v>0</v>
      </c>
      <c r="J14" s="156"/>
      <c r="K14" s="157">
        <f t="shared" si="0"/>
        <v>1</v>
      </c>
    </row>
    <row r="15" spans="1:14" ht="39.950000000000003" customHeight="1">
      <c r="A15" s="152">
        <f>數量表!A18</f>
        <v>6</v>
      </c>
      <c r="B15" s="301" t="str">
        <f>數量表!B18</f>
        <v>地坪與蹲便台階增築</v>
      </c>
      <c r="C15" s="301"/>
      <c r="D15" s="301"/>
      <c r="E15" s="301"/>
      <c r="F15" s="153" t="str">
        <f>數量表!D18</f>
        <v>式</v>
      </c>
      <c r="G15" s="154">
        <f>數量表!C18</f>
        <v>1</v>
      </c>
      <c r="H15" s="155">
        <f>INDEX(數量表!$E18:$GW18,1,MATCH($I$3,數量表!$E$4:$GW$4,0))</f>
        <v>0</v>
      </c>
      <c r="I15" s="155">
        <f>SUM(數量表!$E18:INDEX(數量表!$E18:$GW18,1,MATCH($I$3,數量表!$E$4:$GW$4,0)))</f>
        <v>0</v>
      </c>
      <c r="J15" s="156"/>
      <c r="K15" s="157">
        <f t="shared" si="0"/>
        <v>1</v>
      </c>
      <c r="L15" s="157"/>
    </row>
    <row r="16" spans="1:14" ht="39.950000000000003" customHeight="1">
      <c r="A16" s="152">
        <f>數量表!A19</f>
        <v>7</v>
      </c>
      <c r="B16" s="301" t="str">
        <f>數量表!B19</f>
        <v>砌1/2B磚牆</v>
      </c>
      <c r="C16" s="301"/>
      <c r="D16" s="301"/>
      <c r="E16" s="301"/>
      <c r="F16" s="153" t="str">
        <f>數量表!D19</f>
        <v>M2</v>
      </c>
      <c r="G16" s="154">
        <f>數量表!C19</f>
        <v>73</v>
      </c>
      <c r="H16" s="155">
        <f>INDEX(數量表!$E19:$GW19,1,MATCH($I$3,數量表!$E$4:$GW$4,0))</f>
        <v>0</v>
      </c>
      <c r="I16" s="155">
        <f>SUM(數量表!$E19:INDEX(數量表!$E19:$GW19,1,MATCH($I$3,數量表!$E$4:$GW$4,0)))</f>
        <v>0</v>
      </c>
      <c r="J16" s="156"/>
      <c r="K16" s="157">
        <f t="shared" si="0"/>
        <v>73</v>
      </c>
      <c r="L16" s="157"/>
      <c r="M16" s="157"/>
      <c r="N16" s="157"/>
    </row>
    <row r="17" spans="1:12" ht="39.950000000000003" customHeight="1">
      <c r="A17" s="152">
        <f>數量表!A20</f>
        <v>8</v>
      </c>
      <c r="B17" s="301" t="str">
        <f>數量表!B20</f>
        <v>施工範圍內樓板穿管處與既有無用穿管及孔洞需以水泥砂漿封閉並刷彈性防水材；樓板防水層試水</v>
      </c>
      <c r="C17" s="301"/>
      <c r="D17" s="301"/>
      <c r="E17" s="301"/>
      <c r="F17" s="153" t="str">
        <f>數量表!D20</f>
        <v>式</v>
      </c>
      <c r="G17" s="154">
        <f>數量表!C20</f>
        <v>1</v>
      </c>
      <c r="H17" s="155">
        <f>INDEX(數量表!$E20:$GW20,1,MATCH($I$3,數量表!$E$4:$GW$4,0))</f>
        <v>0</v>
      </c>
      <c r="I17" s="155">
        <f>SUM(數量表!$E20:INDEX(數量表!$E20:$GW20,1,MATCH($I$3,數量表!$E$4:$GW$4,0)))</f>
        <v>0</v>
      </c>
      <c r="J17" s="156"/>
      <c r="K17" s="157">
        <f t="shared" si="0"/>
        <v>1</v>
      </c>
      <c r="L17" s="157"/>
    </row>
    <row r="18" spans="1:12" ht="39.950000000000003" customHeight="1">
      <c r="A18" s="152">
        <f>數量表!A21</f>
        <v>9</v>
      </c>
      <c r="B18" s="301" t="str">
        <f>數量表!B21</f>
        <v>地坪、牆面1:3水泥砂漿粉刷(含地坪硬底)</v>
      </c>
      <c r="C18" s="301"/>
      <c r="D18" s="301"/>
      <c r="E18" s="301"/>
      <c r="F18" s="153" t="str">
        <f>數量表!D21</f>
        <v>M2</v>
      </c>
      <c r="G18" s="154">
        <f>數量表!C21</f>
        <v>951</v>
      </c>
      <c r="H18" s="155">
        <f>INDEX(數量表!$E21:$GW21,1,MATCH($I$3,數量表!$E$4:$GW$4,0))</f>
        <v>0</v>
      </c>
      <c r="I18" s="155">
        <f>SUM(數量表!$E21:INDEX(數量表!$E21:$GW21,1,MATCH($I$3,數量表!$E$4:$GW$4,0)))</f>
        <v>0</v>
      </c>
      <c r="J18" s="156"/>
      <c r="K18" s="157">
        <f t="shared" si="0"/>
        <v>951</v>
      </c>
      <c r="L18" s="157"/>
    </row>
    <row r="19" spans="1:12" ht="39.950000000000003" customHeight="1">
      <c r="A19" s="152">
        <f>數量表!A22</f>
        <v>10</v>
      </c>
      <c r="B19" s="301" t="str">
        <f>數量表!B22</f>
        <v>地坪及牆面(H=1.5m)防水層粉刷</v>
      </c>
      <c r="C19" s="301"/>
      <c r="D19" s="301"/>
      <c r="E19" s="301"/>
      <c r="F19" s="153" t="str">
        <f>數量表!D22</f>
        <v>M2</v>
      </c>
      <c r="G19" s="154">
        <f>數量表!C22</f>
        <v>516</v>
      </c>
      <c r="H19" s="155">
        <f>INDEX(數量表!$E22:$GW22,1,MATCH($I$3,數量表!$E$4:$GW$4,0))</f>
        <v>0</v>
      </c>
      <c r="I19" s="155">
        <f>SUM(數量表!$E22:INDEX(數量表!$E22:$GW22,1,MATCH($I$3,數量表!$E$4:$GW$4,0)))</f>
        <v>0</v>
      </c>
      <c r="J19" s="156"/>
      <c r="K19" s="157">
        <f t="shared" si="0"/>
        <v>516</v>
      </c>
      <c r="L19" s="157"/>
    </row>
    <row r="20" spans="1:12" ht="39.950000000000003" customHeight="1">
      <c r="A20" s="152">
        <f>數量表!A23</f>
        <v>11</v>
      </c>
      <c r="B20" s="301" t="str">
        <f>數量表!B23</f>
        <v>安裝不銹鋼方形地板落水頭(10cm*10cm,連工帶料，含洗手台與拖布盆落水頭)</v>
      </c>
      <c r="C20" s="301"/>
      <c r="D20" s="301"/>
      <c r="E20" s="301"/>
      <c r="F20" s="153" t="str">
        <f>數量表!D23</f>
        <v>組</v>
      </c>
      <c r="G20" s="154">
        <f>數量表!C23</f>
        <v>41</v>
      </c>
      <c r="H20" s="155">
        <f>INDEX(數量表!$E23:$GW23,1,MATCH($I$3,數量表!$E$4:$GW$4,0))</f>
        <v>0</v>
      </c>
      <c r="I20" s="155">
        <f>SUM(數量表!$E23:INDEX(數量表!$E23:$GW23,1,MATCH($I$3,數量表!$E$4:$GW$4,0)))</f>
        <v>0</v>
      </c>
      <c r="J20" s="156"/>
      <c r="K20" s="157">
        <f t="shared" si="0"/>
        <v>41</v>
      </c>
      <c r="L20" s="157"/>
    </row>
    <row r="21" spans="1:12" ht="39.950000000000003" customHeight="1">
      <c r="A21" s="152">
        <f>數量表!A24</f>
        <v>12</v>
      </c>
      <c r="B21" s="301" t="str">
        <f>數量表!B24</f>
        <v>地坪貼止滑石英磚30cm*30cm，本色水泥勾縫(連工帶料)</v>
      </c>
      <c r="C21" s="301"/>
      <c r="D21" s="301"/>
      <c r="E21" s="301"/>
      <c r="F21" s="153" t="str">
        <f>數量表!D24</f>
        <v>M2</v>
      </c>
      <c r="G21" s="154">
        <f>數量表!C24</f>
        <v>204</v>
      </c>
      <c r="H21" s="155">
        <f>INDEX(數量表!$E24:$GW24,1,MATCH($I$3,數量表!$E$4:$GW$4,0))</f>
        <v>0</v>
      </c>
      <c r="I21" s="155">
        <f>SUM(數量表!$E24:INDEX(數量表!$E24:$GW24,1,MATCH($I$3,數量表!$E$4:$GW$4,0)))</f>
        <v>0</v>
      </c>
      <c r="J21" s="156"/>
      <c r="K21" s="157">
        <f t="shared" si="0"/>
        <v>204</v>
      </c>
      <c r="L21" s="157"/>
    </row>
    <row r="22" spans="1:12" ht="39.950000000000003" customHeight="1">
      <c r="A22" s="152">
        <f>數量表!A25</f>
        <v>13</v>
      </c>
      <c r="B22" s="301" t="str">
        <f>數量表!B25</f>
        <v>地坪貼60cm*60cm止滑石英磚，本色水泥勾縫(連工帶料)</v>
      </c>
      <c r="C22" s="301"/>
      <c r="D22" s="301"/>
      <c r="E22" s="301"/>
      <c r="F22" s="153" t="str">
        <f>數量表!D25</f>
        <v>M2</v>
      </c>
      <c r="G22" s="154">
        <f>數量表!C25</f>
        <v>11</v>
      </c>
      <c r="H22" s="155">
        <f>INDEX(數量表!$E25:$GW25,1,MATCH($I$3,數量表!$E$4:$GW$4,0))</f>
        <v>0</v>
      </c>
      <c r="I22" s="155">
        <f>SUM(數量表!$E25:INDEX(數量表!$E25:$GW25,1,MATCH($I$3,數量表!$E$4:$GW$4,0)))</f>
        <v>0</v>
      </c>
      <c r="J22" s="156"/>
      <c r="K22" s="157">
        <f t="shared" si="0"/>
        <v>11</v>
      </c>
      <c r="L22" s="157"/>
    </row>
    <row r="23" spans="1:12" ht="39.950000000000003" customHeight="1">
      <c r="A23" s="152">
        <f>數量表!A26</f>
        <v>14</v>
      </c>
      <c r="B23" s="301" t="str">
        <f>數量表!B26</f>
        <v>牆面貼石英磚30*60cm，白色水泥抹縫(連工帶料)</v>
      </c>
      <c r="C23" s="301"/>
      <c r="D23" s="301"/>
      <c r="E23" s="301"/>
      <c r="F23" s="153" t="str">
        <f>數量表!D26</f>
        <v>M2</v>
      </c>
      <c r="G23" s="154">
        <f>數量表!C26</f>
        <v>603</v>
      </c>
      <c r="H23" s="155">
        <f>INDEX(數量表!$E26:$GW26,1,MATCH($I$3,數量表!$E$4:$GW$4,0))</f>
        <v>0</v>
      </c>
      <c r="I23" s="155">
        <f>SUM(數量表!$E26:INDEX(數量表!$E26:$GW26,1,MATCH($I$3,數量表!$E$4:$GW$4,0)))</f>
        <v>0</v>
      </c>
      <c r="J23" s="156"/>
      <c r="K23" s="157">
        <f t="shared" si="0"/>
        <v>603</v>
      </c>
      <c r="L23" s="157"/>
    </row>
    <row r="24" spans="1:12" ht="39.950000000000003" customHeight="1">
      <c r="A24" s="152">
        <f>數量表!A27</f>
        <v>15</v>
      </c>
      <c r="B24" s="301" t="str">
        <f>數量表!B27</f>
        <v>安裝鋁合金陽角收邊條</v>
      </c>
      <c r="C24" s="301"/>
      <c r="D24" s="301"/>
      <c r="E24" s="301"/>
      <c r="F24" s="153" t="str">
        <f>數量表!D27</f>
        <v>M</v>
      </c>
      <c r="G24" s="154">
        <f>數量表!C27</f>
        <v>206</v>
      </c>
      <c r="H24" s="155">
        <f>INDEX(數量表!$E27:$GW27,1,MATCH($I$3,數量表!$E$4:$GW$4,0))</f>
        <v>0</v>
      </c>
      <c r="I24" s="155">
        <f>SUM(數量表!$E27:INDEX(數量表!$E27:$GW27,1,MATCH($I$3,數量表!$E$4:$GW$4,0)))</f>
        <v>0</v>
      </c>
      <c r="J24" s="156"/>
      <c r="K24" s="157">
        <f t="shared" si="0"/>
        <v>206</v>
      </c>
      <c r="L24" s="157"/>
    </row>
    <row r="25" spans="1:12" ht="39.950000000000003" customHeight="1">
      <c r="A25" s="152">
        <f>數量表!A28</f>
        <v>16</v>
      </c>
      <c r="B25" s="301" t="str">
        <f>數量表!B28</f>
        <v>施做抿石子(1~2分霓虹石，抿石子專用泥)</v>
      </c>
      <c r="C25" s="301"/>
      <c r="D25" s="301"/>
      <c r="E25" s="301"/>
      <c r="F25" s="153" t="str">
        <f>數量表!D28</f>
        <v>M2</v>
      </c>
      <c r="G25" s="154">
        <f>數量表!C28</f>
        <v>8</v>
      </c>
      <c r="H25" s="155">
        <f>INDEX(數量表!$E28:$GW28,1,MATCH($I$3,數量表!$E$4:$GW$4,0))</f>
        <v>0</v>
      </c>
      <c r="I25" s="155">
        <f>SUM(數量表!$E28:INDEX(數量表!$E28:$GW28,1,MATCH($I$3,數量表!$E$4:$GW$4,0)))</f>
        <v>0</v>
      </c>
      <c r="J25" s="156"/>
      <c r="K25" s="157">
        <f t="shared" si="0"/>
        <v>8</v>
      </c>
      <c r="L25" s="157"/>
    </row>
    <row r="26" spans="1:12" ht="39.950000000000003" customHeight="1">
      <c r="A26" s="152">
        <f>數量表!A29</f>
        <v>17</v>
      </c>
      <c r="B26" s="301" t="str">
        <f>數量表!B29</f>
        <v>牆面與平頂水泥漆粉刷(含清潔，批土整平，一底漆二度面漆)</v>
      </c>
      <c r="C26" s="301"/>
      <c r="D26" s="301"/>
      <c r="E26" s="301"/>
      <c r="F26" s="153" t="str">
        <f>數量表!D29</f>
        <v>M2</v>
      </c>
      <c r="G26" s="154">
        <f>數量表!C29</f>
        <v>385</v>
      </c>
      <c r="H26" s="155">
        <f>INDEX(數量表!$E29:$GW29,1,MATCH($I$3,數量表!$E$4:$GW$4,0))</f>
        <v>0</v>
      </c>
      <c r="I26" s="155">
        <f>SUM(數量表!$E29:INDEX(數量表!$E29:$GW29,1,MATCH($I$3,數量表!$E$4:$GW$4,0)))</f>
        <v>0</v>
      </c>
      <c r="J26" s="156"/>
      <c r="K26" s="157">
        <f t="shared" si="0"/>
        <v>385</v>
      </c>
      <c r="L26" s="157"/>
    </row>
    <row r="27" spans="1:12" ht="39.950000000000003" customHeight="1">
      <c r="A27" s="152">
        <f>數量表!A30</f>
        <v>18</v>
      </c>
      <c r="B27" s="301" t="str">
        <f>數量表!B30</f>
        <v>安裝13mm熱固性樹脂板隔間含門片(頂面H=200cm以上)</v>
      </c>
      <c r="C27" s="301"/>
      <c r="D27" s="301"/>
      <c r="E27" s="301"/>
      <c r="F27" s="153" t="str">
        <f>數量表!D30</f>
        <v>M2</v>
      </c>
      <c r="G27" s="154">
        <f>數量表!C30</f>
        <v>201</v>
      </c>
      <c r="H27" s="155">
        <f>INDEX(數量表!$E30:$GW30,1,MATCH($I$3,數量表!$E$4:$GW$4,0))</f>
        <v>0</v>
      </c>
      <c r="I27" s="155">
        <f>SUM(數量表!$E30:INDEX(數量表!$E30:$GW30,1,MATCH($I$3,數量表!$E$4:$GW$4,0)))</f>
        <v>0</v>
      </c>
      <c r="J27" s="156"/>
      <c r="K27" s="157">
        <f t="shared" si="0"/>
        <v>201</v>
      </c>
    </row>
    <row r="28" spans="1:12" s="160" customFormat="1" ht="39.950000000000003" customHeight="1">
      <c r="A28" s="152">
        <f>數量表!A31</f>
        <v>19</v>
      </c>
      <c r="B28" s="301" t="str">
        <f>數量表!B31</f>
        <v>廁間安裝不鏽鋼掛鈎與置物板</v>
      </c>
      <c r="C28" s="307"/>
      <c r="D28" s="307"/>
      <c r="E28" s="307"/>
      <c r="F28" s="153" t="str">
        <f>數量表!D31</f>
        <v>間</v>
      </c>
      <c r="G28" s="154">
        <f>數量表!C31</f>
        <v>33</v>
      </c>
      <c r="H28" s="155">
        <f>INDEX(數量表!$E31:$GW31,1,MATCH($I$3,數量表!$E$4:$GW$4,0))</f>
        <v>0</v>
      </c>
      <c r="I28" s="155">
        <f>SUM(數量表!$E31:INDEX(數量表!$E31:$GW31,1,MATCH($I$3,數量表!$E$4:$GW$4,0)))</f>
        <v>0</v>
      </c>
      <c r="J28" s="156"/>
      <c r="K28" s="157">
        <f t="shared" si="0"/>
        <v>33</v>
      </c>
    </row>
    <row r="29" spans="1:12" s="160" customFormat="1" ht="39.950000000000003" customHeight="1">
      <c r="A29" s="152">
        <f>數量表!A32</f>
        <v>20</v>
      </c>
      <c r="B29" s="301" t="str">
        <f>數量表!B32</f>
        <v>13mm熱固性樹脂板小便斗隔屏</v>
      </c>
      <c r="C29" s="307"/>
      <c r="D29" s="307"/>
      <c r="E29" s="307"/>
      <c r="F29" s="153" t="str">
        <f>數量表!D32</f>
        <v>片</v>
      </c>
      <c r="G29" s="154">
        <f>數量表!C32</f>
        <v>12</v>
      </c>
      <c r="H29" s="155">
        <f>INDEX(數量表!$E32:$GW32,1,MATCH($I$3,數量表!$E$4:$GW$4,0))</f>
        <v>0</v>
      </c>
      <c r="I29" s="155">
        <f>SUM(數量表!$E32:INDEX(數量表!$E32:$GW32,1,MATCH($I$3,數量表!$E$4:$GW$4,0)))</f>
        <v>0</v>
      </c>
      <c r="J29" s="156"/>
      <c r="K29" s="157">
        <f t="shared" si="0"/>
        <v>12</v>
      </c>
    </row>
    <row r="30" spans="1:12" ht="39.950000000000003" customHeight="1">
      <c r="A30" s="152">
        <f>數量表!A33</f>
        <v>21</v>
      </c>
      <c r="B30" s="301" t="str">
        <f>數量表!B33</f>
        <v>新設砌磚洗手台與拖布盆工程6座(連工帶料，責任施工)</v>
      </c>
      <c r="C30" s="307"/>
      <c r="D30" s="307"/>
      <c r="E30" s="307"/>
      <c r="F30" s="153" t="str">
        <f>數量表!D33</f>
        <v>式</v>
      </c>
      <c r="G30" s="154">
        <f>數量表!C33</f>
        <v>1</v>
      </c>
      <c r="H30" s="155">
        <f>INDEX(數量表!$E33:$GW33,1,MATCH($I$3,數量表!$E$4:$GW$4,0))</f>
        <v>0</v>
      </c>
      <c r="I30" s="155">
        <f>SUM(數量表!$E33:INDEX(數量表!$E33:$GW33,1,MATCH($I$3,數量表!$E$4:$GW$4,0)))</f>
        <v>0</v>
      </c>
      <c r="J30" s="156"/>
      <c r="K30" s="157">
        <f t="shared" si="0"/>
        <v>1</v>
      </c>
    </row>
    <row r="31" spans="1:12" ht="39.950000000000003" customHeight="1">
      <c r="A31" s="152">
        <f>數量表!A34</f>
        <v>22</v>
      </c>
      <c r="B31" s="301" t="str">
        <f>數量表!B34</f>
        <v>新設人造石洗手台與浴櫃工程(連工帶料，責任施工)</v>
      </c>
      <c r="C31" s="307"/>
      <c r="D31" s="307"/>
      <c r="E31" s="307"/>
      <c r="F31" s="153" t="str">
        <f>數量表!D34</f>
        <v>式</v>
      </c>
      <c r="G31" s="154">
        <f>數量表!C34</f>
        <v>1</v>
      </c>
      <c r="H31" s="155">
        <f>INDEX(數量表!$E34:$GW34,1,MATCH($I$3,數量表!$E$4:$GW$4,0))</f>
        <v>0</v>
      </c>
      <c r="I31" s="155">
        <f>SUM(數量表!$E34:INDEX(數量表!$E34:$GW34,1,MATCH($I$3,數量表!$E$4:$GW$4,0)))</f>
        <v>0</v>
      </c>
      <c r="J31" s="156"/>
      <c r="K31" s="157">
        <f t="shared" si="0"/>
        <v>1</v>
      </c>
    </row>
    <row r="32" spans="1:12" ht="39.950000000000003" customHeight="1">
      <c r="A32" s="152">
        <f>數量表!A35</f>
        <v>23</v>
      </c>
      <c r="B32" s="301" t="str">
        <f>數量表!B35</f>
        <v>貼深色石材檯面(石材，t=2cm，倒圓角)</v>
      </c>
      <c r="C32" s="307"/>
      <c r="D32" s="307"/>
      <c r="E32" s="307"/>
      <c r="F32" s="153" t="str">
        <f>數量表!D35</f>
        <v>才</v>
      </c>
      <c r="G32" s="154">
        <f>數量表!C35</f>
        <v>67</v>
      </c>
      <c r="H32" s="155">
        <f>INDEX(數量表!$E35:$GW35,1,MATCH($I$3,數量表!$E$4:$GW$4,0))</f>
        <v>0</v>
      </c>
      <c r="I32" s="155">
        <f>SUM(數量表!$E35:INDEX(數量表!$E35:$GW35,1,MATCH($I$3,數量表!$E$4:$GW$4,0)))</f>
        <v>0</v>
      </c>
      <c r="J32" s="156"/>
      <c r="K32" s="157">
        <f t="shared" si="0"/>
        <v>67</v>
      </c>
    </row>
    <row r="33" spans="1:11" s="160" customFormat="1" ht="39.950000000000003" customHeight="1">
      <c r="A33" s="152">
        <f>數量表!A36</f>
        <v>24</v>
      </c>
      <c r="B33" s="301" t="str">
        <f>數量表!B36</f>
        <v>安裝輕鋼架、金屬烤漆透空網與耐燃一級貼皮天花板(含必要之側封板與窗簾盒批土刷漆)</v>
      </c>
      <c r="C33" s="307"/>
      <c r="D33" s="307"/>
      <c r="E33" s="307"/>
      <c r="F33" s="153" t="str">
        <f>數量表!D36</f>
        <v>式</v>
      </c>
      <c r="G33" s="154">
        <f>數量表!C36</f>
        <v>1</v>
      </c>
      <c r="H33" s="155">
        <f>INDEX(數量表!$E36:$GW36,1,MATCH($I$3,數量表!$E$4:$GW$4,0))</f>
        <v>0</v>
      </c>
      <c r="I33" s="155">
        <f>SUM(數量表!$E36:INDEX(數量表!$E36:$GW36,1,MATCH($I$3,數量表!$E$4:$GW$4,0)))</f>
        <v>0</v>
      </c>
      <c r="J33" s="156"/>
      <c r="K33" s="157">
        <f t="shared" si="0"/>
        <v>1</v>
      </c>
    </row>
    <row r="34" spans="1:11" ht="39.950000000000003" customHeight="1">
      <c r="A34" s="152">
        <f>數量表!A37</f>
        <v>25</v>
      </c>
      <c r="B34" s="301" t="str">
        <f>數量表!B37</f>
        <v>廁所安裝衛生設備(連工帶料)</v>
      </c>
      <c r="C34" s="307"/>
      <c r="D34" s="307"/>
      <c r="E34" s="307"/>
      <c r="F34" s="153" t="str">
        <f>數量表!D37</f>
        <v>式</v>
      </c>
      <c r="G34" s="154">
        <f>數量表!C37</f>
        <v>1</v>
      </c>
      <c r="H34" s="155">
        <f>INDEX(數量表!$E37:$GW37,1,MATCH($I$3,數量表!$E$4:$GW$4,0))</f>
        <v>0</v>
      </c>
      <c r="I34" s="155">
        <f>SUM(數量表!$E37:INDEX(數量表!$E37:$GW37,1,MATCH($I$3,數量表!$E$4:$GW$4,0)))</f>
        <v>0</v>
      </c>
      <c r="J34" s="156"/>
      <c r="K34" s="157">
        <f t="shared" si="0"/>
        <v>1</v>
      </c>
    </row>
    <row r="35" spans="1:11" s="160" customFormat="1" ht="39.950000000000003" customHeight="1">
      <c r="A35" s="152">
        <f>數量表!A38</f>
        <v>26</v>
      </c>
      <c r="B35" s="301" t="str">
        <f>數量表!B38</f>
        <v>安裝開關、插座與燈具(連工帶料)</v>
      </c>
      <c r="C35" s="307"/>
      <c r="D35" s="307"/>
      <c r="E35" s="307"/>
      <c r="F35" s="153" t="str">
        <f>數量表!D38</f>
        <v>式</v>
      </c>
      <c r="G35" s="154">
        <f>數量表!C38</f>
        <v>1</v>
      </c>
      <c r="H35" s="155">
        <f>INDEX(數量表!$E38:$GW38,1,MATCH($I$3,數量表!$E$4:$GW$4,0))</f>
        <v>0</v>
      </c>
      <c r="I35" s="155">
        <f>SUM(數量表!$E38:INDEX(數量表!$E38:$GW38,1,MATCH($I$3,數量表!$E$4:$GW$4,0)))</f>
        <v>0</v>
      </c>
      <c r="J35" s="156"/>
      <c r="K35" s="157">
        <f t="shared" si="0"/>
        <v>1</v>
      </c>
    </row>
    <row r="36" spans="1:11" s="160" customFormat="1" ht="39.950000000000003" customHeight="1">
      <c r="A36" s="152">
        <f>數量表!A39</f>
        <v>27</v>
      </c>
      <c r="B36" s="301" t="str">
        <f>數量表!B39</f>
        <v>給排水系統配管與安裝(連工帶料)</v>
      </c>
      <c r="C36" s="307"/>
      <c r="D36" s="307"/>
      <c r="E36" s="307"/>
      <c r="F36" s="153" t="str">
        <f>數量表!D39</f>
        <v>式</v>
      </c>
      <c r="G36" s="154">
        <f>數量表!C39</f>
        <v>1</v>
      </c>
      <c r="H36" s="155">
        <f>INDEX(數量表!$E39:$GW39,1,MATCH($I$3,數量表!$E$4:$GW$4,0))</f>
        <v>0</v>
      </c>
      <c r="I36" s="155">
        <f>SUM(數量表!$E39:INDEX(數量表!$E39:$GW39,1,MATCH($I$3,數量表!$E$4:$GW$4,0)))</f>
        <v>0</v>
      </c>
      <c r="J36" s="156"/>
      <c r="K36" s="157">
        <f t="shared" si="0"/>
        <v>1</v>
      </c>
    </row>
    <row r="37" spans="1:11" ht="39.950000000000003" customHeight="1">
      <c r="A37" s="152">
        <f>數量表!A40</f>
        <v>28</v>
      </c>
      <c r="B37" s="301" t="str">
        <f>數量表!B40</f>
        <v>施做緊急求救按鈕(含閃光與蜂嗚警報器、線材、五金配件, 各層樓每間廁所皆有求救鈕，連工帶料，責任施工)</v>
      </c>
      <c r="C37" s="307"/>
      <c r="D37" s="307"/>
      <c r="E37" s="307"/>
      <c r="F37" s="153" t="str">
        <f>數量表!D40</f>
        <v>式</v>
      </c>
      <c r="G37" s="154">
        <f>數量表!C40</f>
        <v>1</v>
      </c>
      <c r="H37" s="155">
        <f>INDEX(數量表!$E40:$GW40,1,MATCH($I$3,數量表!$E$4:$GW$4,0))</f>
        <v>0</v>
      </c>
      <c r="I37" s="155">
        <f>SUM(數量表!$E40:INDEX(數量表!$E40:$GW40,1,MATCH($I$3,數量表!$E$4:$GW$4,0)))</f>
        <v>0</v>
      </c>
      <c r="J37" s="156"/>
      <c r="K37" s="157">
        <f t="shared" si="0"/>
        <v>1</v>
      </c>
    </row>
    <row r="38" spans="1:11" ht="39.950000000000003" customHeight="1">
      <c r="A38" s="152">
        <f>數量表!A41</f>
        <v>29</v>
      </c>
      <c r="B38" s="301" t="str">
        <f>數量表!B41</f>
        <v>施做獨立拖布盆2座(砌磚粉刷貼磁磚，H=35cm)</v>
      </c>
      <c r="C38" s="307"/>
      <c r="D38" s="307"/>
      <c r="E38" s="307"/>
      <c r="F38" s="153" t="str">
        <f>數量表!D41</f>
        <v>式</v>
      </c>
      <c r="G38" s="154">
        <f>數量表!C41</f>
        <v>1</v>
      </c>
      <c r="H38" s="155">
        <f>INDEX(數量表!$E41:$GW41,1,MATCH($I$3,數量表!$E$4:$GW$4,0))</f>
        <v>0</v>
      </c>
      <c r="I38" s="155">
        <f>SUM(數量表!$E41:INDEX(數量表!$E41:$GW41,1,MATCH($I$3,數量表!$E$4:$GW$4,0)))</f>
        <v>0</v>
      </c>
      <c r="J38" s="156"/>
      <c r="K38" s="157">
        <f t="shared" si="0"/>
        <v>1</v>
      </c>
    </row>
    <row r="39" spans="1:11" ht="39.950000000000003" customHeight="1">
      <c r="A39" s="152">
        <f>數量表!A42</f>
        <v>30</v>
      </c>
      <c r="B39" s="301" t="str">
        <f>數量表!B42</f>
        <v>安裝廁所指標系統、拖把夾(連工帶料，責任施工)</v>
      </c>
      <c r="C39" s="307"/>
      <c r="D39" s="307"/>
      <c r="E39" s="307"/>
      <c r="F39" s="153" t="str">
        <f>數量表!D42</f>
        <v>式</v>
      </c>
      <c r="G39" s="154">
        <f>數量表!C42</f>
        <v>1</v>
      </c>
      <c r="H39" s="155">
        <f>INDEX(數量表!$E42:$GW42,1,MATCH($I$3,數量表!$E$4:$GW$4,0))</f>
        <v>0</v>
      </c>
      <c r="I39" s="155">
        <f>SUM(數量表!$E42:INDEX(數量表!$E42:$GW42,1,MATCH($I$3,數量表!$E$4:$GW$4,0)))</f>
        <v>0</v>
      </c>
      <c r="J39" s="156"/>
      <c r="K39" s="157">
        <f t="shared" si="0"/>
        <v>1</v>
      </c>
    </row>
    <row r="40" spans="1:11" ht="39.950000000000003" customHeight="1">
      <c r="A40" s="152">
        <f>數量表!A43</f>
        <v>31</v>
      </c>
      <c r="B40" s="301" t="str">
        <f>數量表!B43</f>
        <v>牆壁面貼圖案排版釉面馬賽克(方型馬賽克寬1.8cm，12色以上排版，含排版費，白色抺縫，連工帶料)</v>
      </c>
      <c r="C40" s="307"/>
      <c r="D40" s="307"/>
      <c r="E40" s="307"/>
      <c r="F40" s="153" t="str">
        <f>數量表!D43</f>
        <v>才</v>
      </c>
      <c r="G40" s="154">
        <f>數量表!C43</f>
        <v>212</v>
      </c>
      <c r="H40" s="155">
        <f>INDEX(數量表!$E43:$GW43,1,MATCH($I$3,數量表!$E$4:$GW$4,0))</f>
        <v>0</v>
      </c>
      <c r="I40" s="155">
        <f>SUM(數量表!$E43:INDEX(數量表!$E43:$GW43,1,MATCH($I$3,數量表!$E$4:$GW$4,0)))</f>
        <v>0</v>
      </c>
      <c r="J40" s="156"/>
      <c r="K40" s="157">
        <f t="shared" si="0"/>
        <v>212</v>
      </c>
    </row>
    <row r="41" spans="1:11" ht="39.950000000000003" customHeight="1">
      <c r="A41" s="152">
        <f>數量表!A44</f>
        <v>32</v>
      </c>
      <c r="B41" s="301" t="str">
        <f>數量表!B44</f>
        <v>門窗工程及雜項工程</v>
      </c>
      <c r="C41" s="307"/>
      <c r="D41" s="307"/>
      <c r="E41" s="307"/>
      <c r="F41" s="153" t="str">
        <f>數量表!D44</f>
        <v>式</v>
      </c>
      <c r="G41" s="154">
        <f>數量表!C44</f>
        <v>1</v>
      </c>
      <c r="H41" s="155">
        <f>INDEX(數量表!$E44:$GW44,1,MATCH($I$3,數量表!$E$4:$GW$4,0))</f>
        <v>0</v>
      </c>
      <c r="I41" s="155">
        <f>SUM(數量表!$E44:INDEX(數量表!$E44:$GW44,1,MATCH($I$3,數量表!$E$4:$GW$4,0)))</f>
        <v>0</v>
      </c>
      <c r="J41" s="156"/>
      <c r="K41" s="157">
        <f t="shared" si="0"/>
        <v>1</v>
      </c>
    </row>
    <row r="42" spans="1:11" ht="39.950000000000003" customHeight="1">
      <c r="A42" s="152" t="str">
        <f>數量表!A45</f>
        <v>貳</v>
      </c>
      <c r="B42" s="301" t="str">
        <f>數量表!B45</f>
        <v>職業安全衛生管理費(約直接工程費之0.8%)</v>
      </c>
      <c r="C42" s="307"/>
      <c r="D42" s="307"/>
      <c r="E42" s="307"/>
      <c r="F42" s="153" t="str">
        <f>數量表!D45</f>
        <v>式</v>
      </c>
      <c r="G42" s="154">
        <f>數量表!C45</f>
        <v>1</v>
      </c>
      <c r="H42" s="185">
        <f>INDEX(數量表!$E45:$GW45,1,MATCH($I$3,數量表!$E$4:$GW$4,0))</f>
        <v>2.1800000000000001E-3</v>
      </c>
      <c r="I42" s="185">
        <f>SUM(數量表!$E45:INDEX(數量表!$E45:$GW45,1,MATCH($I$3,數量表!$E$4:$GW$4,0)))</f>
        <v>2.1800000000000001E-3</v>
      </c>
      <c r="J42" s="156"/>
      <c r="K42" s="157">
        <f t="shared" si="0"/>
        <v>0.99782000000000004</v>
      </c>
    </row>
    <row r="43" spans="1:11" ht="39.950000000000003" customHeight="1">
      <c r="A43" s="152" t="str">
        <f>數量表!A46</f>
        <v>參</v>
      </c>
      <c r="B43" s="301" t="str">
        <f>數量表!B46</f>
        <v>工程品質管理費(約直接工程費之1%)</v>
      </c>
      <c r="C43" s="307"/>
      <c r="D43" s="307"/>
      <c r="E43" s="307"/>
      <c r="F43" s="153" t="str">
        <f>數量表!D46</f>
        <v>式</v>
      </c>
      <c r="G43" s="154">
        <f>數量表!C46</f>
        <v>1</v>
      </c>
      <c r="H43" s="185">
        <f>INDEX(數量表!$E46:$GW46,1,MATCH($I$3,數量表!$E$4:$GW$4,0))</f>
        <v>2.1800000000000001E-3</v>
      </c>
      <c r="I43" s="185">
        <f>SUM(數量表!$E46:INDEX(數量表!$E46:$GW46,1,MATCH($I$3,數量表!$E$4:$GW$4,0)))</f>
        <v>2.1800000000000001E-3</v>
      </c>
      <c r="J43" s="156"/>
      <c r="K43" s="157">
        <f>MAX(0,G43-I43)</f>
        <v>0.99782000000000004</v>
      </c>
    </row>
    <row r="44" spans="1:11" ht="39.950000000000003" customHeight="1">
      <c r="A44" s="152" t="str">
        <f>數量表!A47</f>
        <v>肆</v>
      </c>
      <c r="B44" s="301" t="str">
        <f>數量表!B47</f>
        <v>材料檢驗費</v>
      </c>
      <c r="C44" s="307"/>
      <c r="D44" s="307"/>
      <c r="E44" s="307"/>
      <c r="F44" s="153" t="str">
        <f>數量表!D47</f>
        <v>式</v>
      </c>
      <c r="G44" s="154">
        <f>數量表!C47</f>
        <v>1</v>
      </c>
      <c r="H44" s="185">
        <f>INDEX(數量表!$E47:$GW47,1,MATCH($I$3,數量表!$E$4:$GW$4,0))</f>
        <v>2.1800000000000001E-3</v>
      </c>
      <c r="I44" s="185">
        <f>SUM(數量表!$E47:INDEX(數量表!$E47:$GW47,1,MATCH($I$3,數量表!$E$4:$GW$4,0)))</f>
        <v>2.1800000000000001E-3</v>
      </c>
      <c r="J44" s="156"/>
      <c r="K44" s="157">
        <f t="shared" si="0"/>
        <v>0.99782000000000004</v>
      </c>
    </row>
    <row r="45" spans="1:11" ht="39.950000000000003" customHeight="1">
      <c r="A45" s="152" t="str">
        <f>數量表!A48</f>
        <v>伍</v>
      </c>
      <c r="B45" s="301" t="str">
        <f>數量表!B48</f>
        <v>管理費及利潤(約直接工程費之7%)</v>
      </c>
      <c r="C45" s="307"/>
      <c r="D45" s="307"/>
      <c r="E45" s="307"/>
      <c r="F45" s="153" t="str">
        <f>數量表!D48</f>
        <v>式</v>
      </c>
      <c r="G45" s="154">
        <f>數量表!C48</f>
        <v>1</v>
      </c>
      <c r="H45" s="185">
        <f>INDEX(數量表!$E48:$GW48,1,MATCH($I$3,數量表!$E$4:$GW$4,0))</f>
        <v>2.1800000000000001E-3</v>
      </c>
      <c r="I45" s="185">
        <f>SUM(數量表!$E48:INDEX(數量表!$E48:$GW48,1,MATCH($I$3,數量表!$E$4:$GW$4,0)))</f>
        <v>2.1800000000000001E-3</v>
      </c>
      <c r="J45" s="156"/>
      <c r="K45" s="157">
        <f t="shared" si="0"/>
        <v>0.99782000000000004</v>
      </c>
    </row>
    <row r="46" spans="1:11" ht="39.950000000000003" customHeight="1">
      <c r="A46" s="152" t="str">
        <f>數量表!A49</f>
        <v>陸</v>
      </c>
      <c r="B46" s="301" t="str">
        <f>數量表!B49</f>
        <v>營造綜合保險費(約直接工程費之0.5%)</v>
      </c>
      <c r="C46" s="307"/>
      <c r="D46" s="307"/>
      <c r="E46" s="307"/>
      <c r="F46" s="153" t="str">
        <f>數量表!D49</f>
        <v>式</v>
      </c>
      <c r="G46" s="154">
        <f>數量表!C49</f>
        <v>1</v>
      </c>
      <c r="H46" s="185">
        <f>INDEX(數量表!$E49:$GW49,1,MATCH($I$3,數量表!$E$4:$GW$4,0))</f>
        <v>1</v>
      </c>
      <c r="I46" s="243">
        <f>SUM(數量表!$E49:INDEX(數量表!$E49:$GW49,1,MATCH($I$3,數量表!$E$4:$GW$4,0)))</f>
        <v>1</v>
      </c>
      <c r="J46" s="156"/>
      <c r="K46" s="157">
        <f t="shared" si="0"/>
        <v>0</v>
      </c>
    </row>
    <row r="47" spans="1:11" ht="39.950000000000003" customHeight="1" thickBot="1">
      <c r="A47" s="188" t="str">
        <f>數量表!A50</f>
        <v>柒</v>
      </c>
      <c r="B47" s="308" t="str">
        <f>數量表!B50</f>
        <v>營業稅(壹~陸之5%)</v>
      </c>
      <c r="C47" s="309"/>
      <c r="D47" s="309"/>
      <c r="E47" s="309"/>
      <c r="F47" s="189" t="str">
        <f>數量表!D50</f>
        <v>式</v>
      </c>
      <c r="G47" s="190">
        <f>數量表!C50</f>
        <v>1</v>
      </c>
      <c r="H47" s="191">
        <f>INDEX(數量表!$E50:$GW50,1,MATCH($I$3,數量表!$E$4:$GW$4,0))</f>
        <v>2.1800000000000001E-3</v>
      </c>
      <c r="I47" s="191">
        <f>SUM(數量表!$E50:INDEX(數量表!$E50:$GW50,1,MATCH($I$3,數量表!$E$4:$GW$4,0)))</f>
        <v>2.1800000000000001E-3</v>
      </c>
      <c r="J47" s="192"/>
      <c r="K47" s="157">
        <f t="shared" si="0"/>
        <v>0.99782000000000004</v>
      </c>
    </row>
    <row r="48" spans="1:11" ht="21.95" customHeight="1">
      <c r="A48" s="187" t="s">
        <v>236</v>
      </c>
      <c r="B48" s="183"/>
      <c r="C48" s="183"/>
      <c r="D48" s="183"/>
      <c r="E48" s="183"/>
      <c r="F48" s="183"/>
      <c r="G48" s="183"/>
      <c r="H48" s="183"/>
      <c r="I48" s="183"/>
      <c r="J48" s="184"/>
    </row>
    <row r="49" spans="1:10" s="186" customFormat="1" ht="21.95" customHeight="1">
      <c r="A49" s="321" t="s">
        <v>14</v>
      </c>
      <c r="B49" s="322"/>
      <c r="C49" s="322"/>
      <c r="D49" s="322"/>
      <c r="E49" s="322"/>
      <c r="F49" s="322"/>
      <c r="G49" s="322"/>
      <c r="H49" s="322"/>
      <c r="I49" s="322"/>
      <c r="J49" s="323"/>
    </row>
    <row r="50" spans="1:10" ht="21.95" customHeight="1" thickBot="1">
      <c r="A50" s="324" t="s">
        <v>15</v>
      </c>
      <c r="B50" s="325"/>
      <c r="C50" s="325"/>
      <c r="D50" s="325"/>
      <c r="E50" s="325"/>
      <c r="F50" s="325"/>
      <c r="G50" s="325"/>
      <c r="H50" s="325"/>
      <c r="I50" s="325"/>
      <c r="J50" s="326"/>
    </row>
    <row r="51" spans="1:10" ht="21.95" customHeight="1">
      <c r="A51" s="327" t="s">
        <v>55</v>
      </c>
      <c r="B51" s="328"/>
      <c r="C51" s="328"/>
      <c r="D51" s="328"/>
      <c r="E51" s="328"/>
      <c r="F51" s="328"/>
      <c r="G51" s="328"/>
      <c r="H51" s="328"/>
      <c r="I51" s="328"/>
      <c r="J51" s="329"/>
    </row>
    <row r="52" spans="1:10" ht="21.95" customHeight="1">
      <c r="A52" s="330" t="s">
        <v>56</v>
      </c>
      <c r="B52" s="331"/>
      <c r="C52" s="331"/>
      <c r="D52" s="162" t="s">
        <v>50</v>
      </c>
      <c r="E52" s="162" t="s">
        <v>51</v>
      </c>
      <c r="F52" s="331" t="s">
        <v>57</v>
      </c>
      <c r="G52" s="331"/>
      <c r="H52" s="331" t="s">
        <v>58</v>
      </c>
      <c r="I52" s="331"/>
      <c r="J52" s="163" t="s">
        <v>54</v>
      </c>
    </row>
    <row r="53" spans="1:10" ht="21.95" customHeight="1">
      <c r="A53" s="313"/>
      <c r="B53" s="314"/>
      <c r="C53" s="314"/>
      <c r="D53" s="164"/>
      <c r="E53" s="164"/>
      <c r="F53" s="315"/>
      <c r="G53" s="315"/>
      <c r="H53" s="316"/>
      <c r="I53" s="316"/>
      <c r="J53" s="165"/>
    </row>
    <row r="54" spans="1:10" ht="21.95" customHeight="1" thickBot="1">
      <c r="A54" s="317"/>
      <c r="B54" s="318"/>
      <c r="C54" s="318"/>
      <c r="D54" s="166"/>
      <c r="E54" s="166"/>
      <c r="F54" s="319"/>
      <c r="G54" s="319"/>
      <c r="H54" s="320"/>
      <c r="I54" s="320"/>
      <c r="J54" s="167"/>
    </row>
    <row r="55" spans="1:10" ht="21.95" customHeight="1">
      <c r="A55" s="310" t="s">
        <v>59</v>
      </c>
      <c r="B55" s="311"/>
      <c r="C55" s="311"/>
      <c r="D55" s="311"/>
      <c r="E55" s="311"/>
      <c r="F55" s="311"/>
      <c r="G55" s="311"/>
      <c r="H55" s="311"/>
      <c r="I55" s="311"/>
      <c r="J55" s="312"/>
    </row>
    <row r="56" spans="1:10" ht="21.95" customHeight="1">
      <c r="A56" s="168" t="s">
        <v>60</v>
      </c>
      <c r="B56" s="169" t="s">
        <v>61</v>
      </c>
      <c r="C56" s="169" t="s">
        <v>62</v>
      </c>
      <c r="D56" s="169" t="s">
        <v>63</v>
      </c>
      <c r="E56" s="169" t="s">
        <v>64</v>
      </c>
      <c r="F56" s="170" t="s">
        <v>65</v>
      </c>
      <c r="G56" s="171" t="s">
        <v>66</v>
      </c>
      <c r="H56" s="171" t="s">
        <v>64</v>
      </c>
      <c r="I56" s="171" t="s">
        <v>65</v>
      </c>
      <c r="J56" s="172" t="s">
        <v>54</v>
      </c>
    </row>
    <row r="57" spans="1:10" ht="21.95" customHeight="1">
      <c r="A57" s="173" t="str">
        <f>出工表!D1</f>
        <v>技工</v>
      </c>
      <c r="B57" s="174">
        <f>IFERROR(INDEX(出工表!$D$2:$D$301,MATCH($I$3,出工表!$A$2:$A$301,0)),0)</f>
        <v>0</v>
      </c>
      <c r="C57" s="174">
        <f>SUMIFS(出工表!$D$2:$D$301,出工表!$A$2:$A$301,"&lt;="&amp;$I$3)</f>
        <v>0</v>
      </c>
      <c r="D57" s="175" t="str">
        <f>出工表!H1</f>
        <v>小貨車</v>
      </c>
      <c r="E57" s="174">
        <f>IFERROR(INDEX(出工表!$H$2:$H$301,MATCH($I$3,出工表!$A$2:$A$301,0)),0)</f>
        <v>1</v>
      </c>
      <c r="F57" s="174">
        <f>SUMIFS(出工表!$H$2:$H$301,出工表!$A$2:$A$301,"&lt;="&amp;$I$3)</f>
        <v>1</v>
      </c>
      <c r="G57" s="175" t="str">
        <f>出工表!L1</f>
        <v>電動破碎機</v>
      </c>
      <c r="H57" s="174">
        <f>IFERROR(INDEX(出工表!$L$2:$L$301,MATCH($I$3,出工表!$A$2:$A$301,0)),0)</f>
        <v>0</v>
      </c>
      <c r="I57" s="174">
        <f>SUMIFS(出工表!$L$2:$L$301,出工表!$A$2:$A$301,"&lt;="&amp;$I$3)</f>
        <v>0</v>
      </c>
      <c r="J57" s="176"/>
    </row>
    <row r="58" spans="1:10" ht="21.95" customHeight="1">
      <c r="A58" s="173" t="str">
        <f>出工表!E1</f>
        <v>普工</v>
      </c>
      <c r="B58" s="174">
        <f>IFERROR(INDEX(出工表!$E$2:$E$301,MATCH($I$3,出工表!$A$2:$A$301,0)),0)</f>
        <v>1</v>
      </c>
      <c r="C58" s="174">
        <f>SUMIFS(出工表!$E$2:$E$301,出工表!$A$2:$A$301,"&lt;="&amp;$I$3)</f>
        <v>1</v>
      </c>
      <c r="D58" s="175" t="str">
        <f>出工表!I1</f>
        <v>3.5T貨車</v>
      </c>
      <c r="E58" s="174">
        <f>IFERROR(INDEX(出工表!$I$2:$I$301,MATCH($I$3,出工表!$A$2:$A$301,0)),0)</f>
        <v>0</v>
      </c>
      <c r="F58" s="174">
        <f>SUMIFS(出工表!$I$2:$I$301,出工表!$A$2:$A$301,"&lt;="&amp;$I$3)</f>
        <v>0</v>
      </c>
      <c r="G58" s="175" t="str">
        <f>出工表!M1</f>
        <v>混凝土切割機</v>
      </c>
      <c r="H58" s="174">
        <f>IFERROR(INDEX(出工表!$M$2:$M$301,MATCH($I$3,出工表!$A$2:$A$301,0)),0)</f>
        <v>0</v>
      </c>
      <c r="I58" s="174">
        <f>SUMIFS(出工表!$M$2:$M$301,出工表!$A$2:$A$301,"&lt;="&amp;$I$3)</f>
        <v>0</v>
      </c>
      <c r="J58" s="176"/>
    </row>
    <row r="59" spans="1:10" ht="21.95" customHeight="1" thickBot="1">
      <c r="A59" s="177" t="str">
        <f>出工表!F1</f>
        <v>水電工</v>
      </c>
      <c r="B59" s="178">
        <f>IFERROR(INDEX(出工表!$F$2:$F$301,MATCH($I$3,出工表!$A$2:$A$301,0)),0)</f>
        <v>0</v>
      </c>
      <c r="C59" s="178">
        <f>SUMIFS(出工表!$F$2:$F$301,出工表!$A$2:$A$301,"&lt;="&amp;$I$3)</f>
        <v>0</v>
      </c>
      <c r="D59" s="179" t="str">
        <f>出工表!J1</f>
        <v>抽水肥車</v>
      </c>
      <c r="E59" s="178">
        <f>IFERROR(INDEX(出工表!$J$2:$J$301,MATCH($I$3,出工表!$A$2:$A$301,0)),0)</f>
        <v>0</v>
      </c>
      <c r="F59" s="178">
        <f>SUMIFS(出工表!$J$2:$J$301,出工表!$A$2:$A$301,"&lt;="&amp;$I$3)</f>
        <v>0</v>
      </c>
      <c r="G59" s="179" t="str">
        <f>出工表!N1</f>
        <v>砂漿攪拌機</v>
      </c>
      <c r="H59" s="178">
        <f>IFERROR(INDEX(出工表!$N$2:$N$301,MATCH($I$3,出工表!$A$2:$A$301,0)),0)</f>
        <v>0</v>
      </c>
      <c r="I59" s="178">
        <f>SUMIFS(出工表!$N$2:$N$301,出工表!$A$2:$A$301,"&lt;="&amp;$I$3)</f>
        <v>0</v>
      </c>
      <c r="J59" s="180"/>
    </row>
    <row r="60" spans="1:10" ht="54.6" customHeight="1" thickBot="1">
      <c r="A60" s="278" t="s">
        <v>67</v>
      </c>
      <c r="B60" s="279"/>
      <c r="C60" s="279"/>
      <c r="D60" s="279"/>
      <c r="E60" s="279"/>
      <c r="F60" s="279"/>
      <c r="G60" s="279"/>
      <c r="H60" s="279"/>
      <c r="I60" s="279"/>
      <c r="J60" s="280"/>
    </row>
    <row r="61" spans="1:10" ht="21.95" customHeight="1">
      <c r="A61" s="265" t="s">
        <v>68</v>
      </c>
      <c r="B61" s="266"/>
      <c r="C61" s="266"/>
      <c r="D61" s="266"/>
      <c r="E61" s="266"/>
      <c r="F61" s="266"/>
      <c r="G61" s="266"/>
      <c r="H61" s="266"/>
      <c r="I61" s="266"/>
      <c r="J61" s="267"/>
    </row>
    <row r="62" spans="1:10" ht="21.95" customHeight="1">
      <c r="A62" s="12" t="s">
        <v>69</v>
      </c>
      <c r="B62" s="11"/>
      <c r="C62" s="11"/>
      <c r="D62" s="11"/>
      <c r="E62" s="11"/>
      <c r="F62" s="11"/>
      <c r="G62" s="11"/>
      <c r="H62" s="11"/>
      <c r="I62" s="11"/>
      <c r="J62" s="251"/>
    </row>
    <row r="63" spans="1:10" ht="21.95" customHeight="1">
      <c r="A63" s="252" t="s">
        <v>70</v>
      </c>
      <c r="B63" s="262"/>
      <c r="C63" s="262"/>
      <c r="D63" s="253"/>
      <c r="E63" s="263" t="str">
        <f>IF(OR(SUM($H$10:$H$27)&gt;0,SUM($B$57:$B$59)+SUM($E$57:$E$59)+SUM($H$57:$H$59)&gt;0),"■有　□無(本日未出工)","□有　■無(本日未出工)")</f>
        <v>■有　□無(本日未出工)</v>
      </c>
      <c r="F63" s="264"/>
      <c r="G63" s="181"/>
      <c r="H63" s="181"/>
      <c r="I63" s="181"/>
      <c r="J63" s="182"/>
    </row>
    <row r="64" spans="1:10" ht="21.95" customHeight="1">
      <c r="A64" s="252" t="s">
        <v>71</v>
      </c>
      <c r="B64" s="262"/>
      <c r="C64" s="262"/>
      <c r="D64" s="262"/>
      <c r="E64" s="262"/>
      <c r="F64" s="253"/>
      <c r="G64" s="263" t="str">
        <f>IF(ISNUMBER(SEARCH("■無",$E$63)),"□有　□無　□無新進勞工","□有　□無　■無新進勞工")</f>
        <v>□有　□無　■無新進勞工</v>
      </c>
      <c r="H64" s="264"/>
      <c r="I64" s="181"/>
      <c r="J64" s="182"/>
    </row>
    <row r="65" spans="1:10" ht="21.95" customHeight="1">
      <c r="A65" s="252" t="s">
        <v>72</v>
      </c>
      <c r="B65" s="253"/>
      <c r="C65" s="181" t="str">
        <f>IF(ISNUMBER(SEARCH("■有",$E$63)),"■有　□無","□有　□無")</f>
        <v>■有　□無</v>
      </c>
      <c r="D65" s="181"/>
      <c r="E65" s="181"/>
      <c r="F65" s="181"/>
      <c r="G65" s="181"/>
      <c r="H65" s="181"/>
      <c r="I65" s="181"/>
      <c r="J65" s="182"/>
    </row>
    <row r="66" spans="1:10" ht="29.45" customHeight="1" thickBot="1">
      <c r="A66" s="254" t="s">
        <v>73</v>
      </c>
      <c r="B66" s="255"/>
      <c r="C66" s="256" t="str">
        <f>IF(ISNUMBER(SEARCH("■有",$E$63)),"■上班時間禁止飲用含酒精飲料及酒類飲品","□上班時間禁止飲用含酒精飲料及酒類飲品")</f>
        <v>■上班時間禁止飲用含酒精飲料及酒類飲品</v>
      </c>
      <c r="D66" s="257"/>
      <c r="E66" s="257"/>
      <c r="F66" s="257"/>
      <c r="G66" s="257"/>
      <c r="H66" s="257"/>
      <c r="I66" s="257"/>
      <c r="J66" s="258"/>
    </row>
    <row r="67" spans="1:10" ht="21.95" customHeight="1">
      <c r="A67" s="265" t="s">
        <v>74</v>
      </c>
      <c r="B67" s="266"/>
      <c r="C67" s="266"/>
      <c r="D67" s="266"/>
      <c r="E67" s="266"/>
      <c r="F67" s="266"/>
      <c r="G67" s="266"/>
      <c r="H67" s="266"/>
      <c r="I67" s="266"/>
      <c r="J67" s="267"/>
    </row>
    <row r="68" spans="1:10" ht="21.95" customHeight="1" thickBot="1">
      <c r="A68" s="281">
        <f>IFERROR(VLOOKUP($I$3,出工表!$A$2:$R$301,16,FALSE),"")</f>
        <v>0</v>
      </c>
      <c r="B68" s="282"/>
      <c r="C68" s="282"/>
      <c r="D68" s="282"/>
      <c r="E68" s="282"/>
      <c r="F68" s="282"/>
      <c r="G68" s="282"/>
      <c r="H68" s="282"/>
      <c r="I68" s="282"/>
      <c r="J68" s="283"/>
    </row>
    <row r="69" spans="1:10" ht="21.95" customHeight="1">
      <c r="A69" s="265" t="s">
        <v>75</v>
      </c>
      <c r="B69" s="266"/>
      <c r="C69" s="266"/>
      <c r="D69" s="266"/>
      <c r="E69" s="266"/>
      <c r="F69" s="266"/>
      <c r="G69" s="266"/>
      <c r="H69" s="266"/>
      <c r="I69" s="266"/>
      <c r="J69" s="267"/>
    </row>
    <row r="70" spans="1:10" ht="21.95" customHeight="1" thickBot="1">
      <c r="A70" s="259">
        <f>IFERROR(VLOOKUP($I$3,出工表!$A$2:$R$301,17,FALSE),"")</f>
        <v>0</v>
      </c>
      <c r="B70" s="260"/>
      <c r="C70" s="260"/>
      <c r="D70" s="260"/>
      <c r="E70" s="260"/>
      <c r="F70" s="260"/>
      <c r="G70" s="260"/>
      <c r="H70" s="260"/>
      <c r="I70" s="260"/>
      <c r="J70" s="261"/>
    </row>
    <row r="71" spans="1:10" ht="21.95" customHeight="1">
      <c r="A71" s="265" t="s">
        <v>76</v>
      </c>
      <c r="B71" s="266"/>
      <c r="C71" s="266"/>
      <c r="D71" s="266"/>
      <c r="E71" s="266"/>
      <c r="F71" s="266"/>
      <c r="G71" s="266"/>
      <c r="H71" s="266"/>
      <c r="I71" s="266"/>
      <c r="J71" s="267"/>
    </row>
    <row r="72" spans="1:10" ht="37.700000000000003" customHeight="1" thickBot="1">
      <c r="A72" s="268" t="str">
        <f>IFERROR(VLOOKUP($I$3,出工表!$A$2:$R$301,18,FALSE),"")</f>
        <v>本工程本日開工</v>
      </c>
      <c r="B72" s="269"/>
      <c r="C72" s="269"/>
      <c r="D72" s="269"/>
      <c r="E72" s="269"/>
      <c r="F72" s="269"/>
      <c r="G72" s="269"/>
      <c r="H72" s="269"/>
      <c r="I72" s="269"/>
      <c r="J72" s="270"/>
    </row>
    <row r="73" spans="1:10" ht="53.45" customHeight="1" thickBot="1">
      <c r="A73" s="271" t="s">
        <v>77</v>
      </c>
      <c r="B73" s="272"/>
      <c r="C73" s="272"/>
      <c r="D73" s="272"/>
      <c r="E73" s="272"/>
      <c r="F73" s="272"/>
      <c r="G73" s="272"/>
      <c r="H73" s="272"/>
      <c r="I73" s="272"/>
      <c r="J73" s="273"/>
    </row>
    <row r="74" spans="1:10" ht="94.7" customHeight="1">
      <c r="A74" s="274" t="s">
        <v>78</v>
      </c>
      <c r="B74" s="274"/>
      <c r="C74" s="274"/>
      <c r="D74" s="274"/>
      <c r="E74" s="274"/>
      <c r="F74" s="274"/>
      <c r="G74" s="274"/>
      <c r="H74" s="274"/>
      <c r="I74" s="274"/>
      <c r="J74" s="274"/>
    </row>
  </sheetData>
  <mergeCells count="94">
    <mergeCell ref="B47:E47"/>
    <mergeCell ref="A55:J55"/>
    <mergeCell ref="A53:C53"/>
    <mergeCell ref="F53:G53"/>
    <mergeCell ref="H53:I53"/>
    <mergeCell ref="A54:C54"/>
    <mergeCell ref="F54:G54"/>
    <mergeCell ref="H54:I54"/>
    <mergeCell ref="A49:J49"/>
    <mergeCell ref="A50:J50"/>
    <mergeCell ref="A51:J51"/>
    <mergeCell ref="A52:C52"/>
    <mergeCell ref="F52:G52"/>
    <mergeCell ref="H52:I52"/>
    <mergeCell ref="B42:E42"/>
    <mergeCell ref="B43:E43"/>
    <mergeCell ref="B44:E44"/>
    <mergeCell ref="B45:E45"/>
    <mergeCell ref="B46:E46"/>
    <mergeCell ref="B41:E41"/>
    <mergeCell ref="B30:E30"/>
    <mergeCell ref="B31:E31"/>
    <mergeCell ref="B32:E32"/>
    <mergeCell ref="B33:E33"/>
    <mergeCell ref="B34:E34"/>
    <mergeCell ref="B35:E35"/>
    <mergeCell ref="B36:E36"/>
    <mergeCell ref="B37:E37"/>
    <mergeCell ref="B38:E38"/>
    <mergeCell ref="B39:E39"/>
    <mergeCell ref="B40:E40"/>
    <mergeCell ref="B29:E29"/>
    <mergeCell ref="B18:E18"/>
    <mergeCell ref="B19:E19"/>
    <mergeCell ref="B20:E20"/>
    <mergeCell ref="B21:E21"/>
    <mergeCell ref="B22:E22"/>
    <mergeCell ref="B23:E23"/>
    <mergeCell ref="B24:E24"/>
    <mergeCell ref="B25:E25"/>
    <mergeCell ref="B26:E26"/>
    <mergeCell ref="B27:E27"/>
    <mergeCell ref="B28:E28"/>
    <mergeCell ref="B17:E17"/>
    <mergeCell ref="A8:E8"/>
    <mergeCell ref="F8:H8"/>
    <mergeCell ref="I8:J8"/>
    <mergeCell ref="B9:E9"/>
    <mergeCell ref="B10:E10"/>
    <mergeCell ref="B11:E11"/>
    <mergeCell ref="B12:E12"/>
    <mergeCell ref="B13:E13"/>
    <mergeCell ref="B14:E14"/>
    <mergeCell ref="B15:E15"/>
    <mergeCell ref="B16:E16"/>
    <mergeCell ref="C7:D7"/>
    <mergeCell ref="E7:F7"/>
    <mergeCell ref="G7:H7"/>
    <mergeCell ref="C3:F3"/>
    <mergeCell ref="I3:J3"/>
    <mergeCell ref="A6:C6"/>
    <mergeCell ref="D6:F6"/>
    <mergeCell ref="A4:B4"/>
    <mergeCell ref="C4:G4"/>
    <mergeCell ref="I4:J4"/>
    <mergeCell ref="A5:B5"/>
    <mergeCell ref="C5:D5"/>
    <mergeCell ref="E5:F5"/>
    <mergeCell ref="G5:H5"/>
    <mergeCell ref="A71:J71"/>
    <mergeCell ref="A72:J72"/>
    <mergeCell ref="A73:J73"/>
    <mergeCell ref="A74:J74"/>
    <mergeCell ref="A1:J1"/>
    <mergeCell ref="A2:B2"/>
    <mergeCell ref="D2:J2"/>
    <mergeCell ref="A3:B3"/>
    <mergeCell ref="A60:J60"/>
    <mergeCell ref="A61:J61"/>
    <mergeCell ref="A67:J67"/>
    <mergeCell ref="A68:J68"/>
    <mergeCell ref="A69:J69"/>
    <mergeCell ref="G6:H6"/>
    <mergeCell ref="I6:J6"/>
    <mergeCell ref="A7:B7"/>
    <mergeCell ref="A62:J62"/>
    <mergeCell ref="A65:B65"/>
    <mergeCell ref="A66:B66"/>
    <mergeCell ref="C66:J66"/>
    <mergeCell ref="A70:J70"/>
    <mergeCell ref="A63:D63"/>
    <mergeCell ref="E63:F63"/>
    <mergeCell ref="A64:F64"/>
    <mergeCell ref="G64:H64"/>
  </mergeCells>
  <phoneticPr fontId="3" type="noConversion"/>
  <pageMargins left="0.78740157480314965" right="0.15748031496062992" top="0.39370078740157483" bottom="0.19685039370078741" header="0.31496062992125984" footer="0.31496062992125984"/>
  <pageSetup paperSize="9" scale="42" fitToHeight="2" orientation="portrait" r:id="rId1"/>
  <rowBreaks count="1" manualBreakCount="1">
    <brk id="5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1040" r:id="rId4" name="Button 16">
              <controlPr defaultSize="0" print="0" autoFill="0" autoPict="0" macro="[0]!PrevDay">
                <anchor moveWithCells="1" sizeWithCells="1">
                  <from>
                    <xdr:col>10</xdr:col>
                    <xdr:colOff>200025</xdr:colOff>
                    <xdr:row>1</xdr:row>
                    <xdr:rowOff>38100</xdr:rowOff>
                  </from>
                  <to>
                    <xdr:col>10</xdr:col>
                    <xdr:colOff>1495425</xdr:colOff>
                    <xdr:row>2</xdr:row>
                    <xdr:rowOff>190500</xdr:rowOff>
                  </to>
                </anchor>
              </controlPr>
            </control>
          </mc:Choice>
        </mc:AlternateContent>
        <mc:AlternateContent xmlns:mc="http://schemas.openxmlformats.org/markup-compatibility/2006">
          <mc:Choice Requires="x14">
            <control shapeId="1041" r:id="rId5" name="Button 17">
              <controlPr defaultSize="0" print="0" autoFill="0" autoPict="0" macro="[0]!NextDay">
                <anchor moveWithCells="1" sizeWithCells="1">
                  <from>
                    <xdr:col>10</xdr:col>
                    <xdr:colOff>219075</xdr:colOff>
                    <xdr:row>3</xdr:row>
                    <xdr:rowOff>9525</xdr:rowOff>
                  </from>
                  <to>
                    <xdr:col>10</xdr:col>
                    <xdr:colOff>1524000</xdr:colOff>
                    <xdr:row>4</xdr:row>
                    <xdr:rowOff>180975</xdr:rowOff>
                  </to>
                </anchor>
              </controlPr>
            </control>
          </mc:Choice>
        </mc:AlternateContent>
        <mc:AlternateContent xmlns:mc="http://schemas.openxmlformats.org/markup-compatibility/2006">
          <mc:Choice Requires="x14">
            <control shapeId="1043" r:id="rId6" name="Button 19">
              <controlPr defaultSize="0" print="0" autoFill="0" autoPict="0" macro="[0]!輸出日報可選擇PDF或紙本">
                <anchor moveWithCells="1" sizeWithCells="1">
                  <from>
                    <xdr:col>10</xdr:col>
                    <xdr:colOff>257175</xdr:colOff>
                    <xdr:row>5</xdr:row>
                    <xdr:rowOff>85725</xdr:rowOff>
                  </from>
                  <to>
                    <xdr:col>11</xdr:col>
                    <xdr:colOff>104775</xdr:colOff>
                    <xdr:row>8</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xr:uid="{136FD342-53CA-4680-8A1F-38CD0ED136A7}">
          <x14:formula1>
            <xm:f>數量表!$E$4:$FL$4</xm:f>
          </x14:formula1>
          <xm:sqref>L2:L3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FB099-958B-4C1C-868A-F18A98D7D30B}">
  <sheetPr codeName="工作表7"/>
  <dimension ref="A1:AJ37"/>
  <sheetViews>
    <sheetView view="pageBreakPreview" topLeftCell="A11" zoomScale="70" zoomScaleNormal="100" zoomScaleSheetLayoutView="70" workbookViewId="0">
      <selection activeCell="T24" sqref="T24"/>
    </sheetView>
  </sheetViews>
  <sheetFormatPr defaultColWidth="8.75" defaultRowHeight="16.5"/>
  <cols>
    <col min="1" max="1" width="5.75" style="242" customWidth="1"/>
    <col min="2" max="2" width="5.5" style="242" customWidth="1"/>
    <col min="3" max="3" width="3.625" style="242" customWidth="1"/>
    <col min="4" max="17" width="3.5" style="242" customWidth="1"/>
    <col min="18" max="18" width="4.625" style="242" customWidth="1"/>
    <col min="19" max="19" width="5.75" style="242" customWidth="1"/>
    <col min="20" max="20" width="27.5" style="242" bestFit="1" customWidth="1"/>
    <col min="21" max="21" width="3.625" style="242" customWidth="1"/>
    <col min="22" max="35" width="3.5" style="242" customWidth="1"/>
    <col min="36" max="36" width="4.625" style="242" customWidth="1"/>
    <col min="37" max="16384" width="8.75" style="13"/>
  </cols>
  <sheetData>
    <row r="1" spans="1:36" ht="18" customHeight="1">
      <c r="A1" s="234"/>
      <c r="B1" s="234"/>
      <c r="C1" s="234"/>
      <c r="D1" s="234"/>
      <c r="E1" s="234"/>
      <c r="F1" s="234"/>
      <c r="G1" s="234"/>
      <c r="H1" s="234"/>
      <c r="I1" s="234"/>
      <c r="J1" s="234"/>
      <c r="K1" s="234"/>
      <c r="L1" s="234"/>
      <c r="M1" s="234"/>
      <c r="N1" s="234"/>
      <c r="O1" s="234"/>
      <c r="P1" s="234"/>
      <c r="Q1" s="234"/>
      <c r="R1" s="234"/>
      <c r="S1" s="234"/>
      <c r="T1" s="234"/>
      <c r="U1" s="234"/>
      <c r="V1" s="234"/>
      <c r="W1" s="234"/>
      <c r="X1" s="234"/>
      <c r="Y1" s="234"/>
      <c r="Z1" s="234"/>
      <c r="AA1" s="234"/>
      <c r="AB1" s="234"/>
      <c r="AC1" s="234"/>
      <c r="AD1" s="234"/>
      <c r="AE1" s="234"/>
      <c r="AF1" s="234"/>
      <c r="AG1" s="234"/>
      <c r="AH1" s="234"/>
      <c r="AI1" s="234"/>
      <c r="AJ1" s="234"/>
    </row>
    <row r="2" spans="1:36" ht="18" customHeight="1">
      <c r="A2" s="234"/>
      <c r="B2" s="234"/>
      <c r="C2" s="234"/>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234"/>
      <c r="AE2" s="234"/>
      <c r="AF2" s="234"/>
      <c r="AG2" s="234"/>
      <c r="AH2" s="234"/>
      <c r="AI2" s="234"/>
      <c r="AJ2" s="234"/>
    </row>
    <row r="3" spans="1:36" ht="18" customHeight="1">
      <c r="A3" s="234"/>
      <c r="B3" s="336" t="str">
        <f>標單!C2</f>
        <v>臺中市外埔區外埔國民小學</v>
      </c>
      <c r="C3" s="336"/>
      <c r="D3" s="336"/>
      <c r="E3" s="336"/>
      <c r="F3" s="336"/>
      <c r="G3" s="336"/>
      <c r="H3" s="336"/>
      <c r="I3" s="336"/>
      <c r="J3" s="336"/>
      <c r="K3" s="336"/>
      <c r="L3" s="336"/>
      <c r="M3" s="336"/>
      <c r="N3" s="336"/>
      <c r="O3" s="336"/>
      <c r="P3" s="336"/>
      <c r="Q3" s="336"/>
      <c r="R3" s="336"/>
      <c r="S3" s="234"/>
      <c r="T3" s="336"/>
      <c r="U3" s="336"/>
      <c r="V3" s="336"/>
      <c r="W3" s="336"/>
      <c r="X3" s="336"/>
      <c r="Y3" s="336"/>
      <c r="Z3" s="336"/>
      <c r="AA3" s="336"/>
      <c r="AB3" s="336"/>
      <c r="AC3" s="336"/>
      <c r="AD3" s="336"/>
      <c r="AE3" s="336"/>
      <c r="AF3" s="336"/>
      <c r="AG3" s="336"/>
      <c r="AH3" s="336"/>
      <c r="AI3" s="336"/>
      <c r="AJ3" s="336"/>
    </row>
    <row r="4" spans="1:36" ht="18" customHeight="1">
      <c r="A4" s="235"/>
      <c r="B4" s="336"/>
      <c r="C4" s="336"/>
      <c r="D4" s="336"/>
      <c r="E4" s="336"/>
      <c r="F4" s="336"/>
      <c r="G4" s="336"/>
      <c r="H4" s="336"/>
      <c r="I4" s="336"/>
      <c r="J4" s="336"/>
      <c r="K4" s="336"/>
      <c r="L4" s="336"/>
      <c r="M4" s="336"/>
      <c r="N4" s="336"/>
      <c r="O4" s="336"/>
      <c r="P4" s="336"/>
      <c r="Q4" s="336"/>
      <c r="R4" s="336"/>
      <c r="S4" s="235"/>
      <c r="T4" s="336"/>
      <c r="U4" s="336"/>
      <c r="V4" s="336"/>
      <c r="W4" s="336"/>
      <c r="X4" s="336"/>
      <c r="Y4" s="336"/>
      <c r="Z4" s="336"/>
      <c r="AA4" s="336"/>
      <c r="AB4" s="336"/>
      <c r="AC4" s="336"/>
      <c r="AD4" s="336"/>
      <c r="AE4" s="336"/>
      <c r="AF4" s="336"/>
      <c r="AG4" s="336"/>
      <c r="AH4" s="336"/>
      <c r="AI4" s="336"/>
      <c r="AJ4" s="336"/>
    </row>
    <row r="5" spans="1:36" ht="18" customHeight="1">
      <c r="A5" s="234"/>
      <c r="B5" s="234"/>
      <c r="C5" s="234"/>
      <c r="D5" s="234"/>
      <c r="E5" s="234"/>
      <c r="F5" s="234"/>
      <c r="G5" s="234"/>
      <c r="H5" s="234"/>
      <c r="I5" s="234"/>
      <c r="J5" s="234"/>
      <c r="K5" s="234"/>
      <c r="L5" s="234"/>
      <c r="M5" s="234"/>
      <c r="N5" s="234"/>
      <c r="O5" s="234"/>
      <c r="P5" s="234"/>
      <c r="Q5" s="234"/>
      <c r="R5" s="234"/>
      <c r="S5" s="234"/>
      <c r="T5" s="234"/>
      <c r="U5" s="234"/>
      <c r="V5" s="234"/>
      <c r="W5" s="234"/>
      <c r="X5" s="234"/>
      <c r="Y5" s="234"/>
      <c r="Z5" s="234"/>
      <c r="AA5" s="234"/>
      <c r="AB5" s="234"/>
      <c r="AC5" s="234"/>
      <c r="AD5" s="234"/>
      <c r="AE5" s="234"/>
      <c r="AF5" s="234"/>
      <c r="AG5" s="234"/>
      <c r="AH5" s="234"/>
      <c r="AI5" s="234"/>
      <c r="AJ5" s="234"/>
    </row>
    <row r="6" spans="1:36" ht="18" customHeight="1">
      <c r="A6" s="234"/>
      <c r="B6" s="234"/>
      <c r="C6" s="234"/>
      <c r="D6" s="234"/>
      <c r="E6" s="234"/>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4"/>
      <c r="AI6" s="234"/>
      <c r="AJ6" s="234"/>
    </row>
    <row r="7" spans="1:36" ht="18" customHeight="1">
      <c r="A7" s="234"/>
      <c r="B7" s="234"/>
      <c r="C7" s="234"/>
      <c r="D7" s="234"/>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row>
    <row r="8" spans="1:36" ht="18" customHeight="1">
      <c r="A8" s="234"/>
      <c r="B8" s="234"/>
      <c r="C8" s="234"/>
      <c r="D8" s="234"/>
      <c r="E8" s="234"/>
      <c r="F8" s="234"/>
      <c r="G8" s="234"/>
      <c r="H8" s="234"/>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row>
    <row r="9" spans="1:36" ht="18" customHeight="1">
      <c r="A9" s="234"/>
      <c r="B9" s="337" t="str">
        <f>標單!C3</f>
        <v>114-116年度D棟老舊廁所整修工程</v>
      </c>
      <c r="C9" s="338"/>
      <c r="D9" s="338"/>
      <c r="E9" s="338"/>
      <c r="F9" s="338"/>
      <c r="G9" s="338"/>
      <c r="H9" s="338"/>
      <c r="I9" s="338"/>
      <c r="J9" s="338"/>
      <c r="K9" s="338"/>
      <c r="L9" s="338"/>
      <c r="M9" s="338"/>
      <c r="N9" s="338"/>
      <c r="O9" s="338"/>
      <c r="P9" s="338"/>
      <c r="Q9" s="338"/>
      <c r="R9" s="338"/>
      <c r="S9" s="234"/>
      <c r="T9" s="339"/>
      <c r="U9" s="339"/>
      <c r="V9" s="339"/>
      <c r="W9" s="339"/>
      <c r="X9" s="339"/>
      <c r="Y9" s="339"/>
      <c r="Z9" s="339"/>
      <c r="AA9" s="339"/>
      <c r="AB9" s="339"/>
      <c r="AC9" s="339"/>
      <c r="AD9" s="339"/>
      <c r="AE9" s="339"/>
      <c r="AF9" s="339"/>
      <c r="AG9" s="339"/>
      <c r="AH9" s="339"/>
      <c r="AI9" s="339"/>
      <c r="AJ9" s="339"/>
    </row>
    <row r="10" spans="1:36" ht="18" customHeight="1">
      <c r="A10" s="234"/>
      <c r="B10" s="338"/>
      <c r="C10" s="338"/>
      <c r="D10" s="338"/>
      <c r="E10" s="338"/>
      <c r="F10" s="338"/>
      <c r="G10" s="338"/>
      <c r="H10" s="338"/>
      <c r="I10" s="338"/>
      <c r="J10" s="338"/>
      <c r="K10" s="338"/>
      <c r="L10" s="338"/>
      <c r="M10" s="338"/>
      <c r="N10" s="338"/>
      <c r="O10" s="338"/>
      <c r="P10" s="338"/>
      <c r="Q10" s="338"/>
      <c r="R10" s="338"/>
      <c r="S10" s="234"/>
      <c r="T10" s="339"/>
      <c r="U10" s="339"/>
      <c r="V10" s="339"/>
      <c r="W10" s="339"/>
      <c r="X10" s="339"/>
      <c r="Y10" s="339"/>
      <c r="Z10" s="339"/>
      <c r="AA10" s="339"/>
      <c r="AB10" s="339"/>
      <c r="AC10" s="339"/>
      <c r="AD10" s="339"/>
      <c r="AE10" s="339"/>
      <c r="AF10" s="339"/>
      <c r="AG10" s="339"/>
      <c r="AH10" s="339"/>
      <c r="AI10" s="339"/>
      <c r="AJ10" s="339"/>
    </row>
    <row r="11" spans="1:36" ht="18" customHeight="1">
      <c r="A11" s="236"/>
      <c r="B11" s="338"/>
      <c r="C11" s="338"/>
      <c r="D11" s="338"/>
      <c r="E11" s="338"/>
      <c r="F11" s="338"/>
      <c r="G11" s="338"/>
      <c r="H11" s="338"/>
      <c r="I11" s="338"/>
      <c r="J11" s="338"/>
      <c r="K11" s="338"/>
      <c r="L11" s="338"/>
      <c r="M11" s="338"/>
      <c r="N11" s="338"/>
      <c r="O11" s="338"/>
      <c r="P11" s="338"/>
      <c r="Q11" s="338"/>
      <c r="R11" s="338"/>
      <c r="S11" s="236"/>
      <c r="T11" s="339"/>
      <c r="U11" s="339"/>
      <c r="V11" s="339"/>
      <c r="W11" s="339"/>
      <c r="X11" s="339"/>
      <c r="Y11" s="339"/>
      <c r="Z11" s="339"/>
      <c r="AA11" s="339"/>
      <c r="AB11" s="339"/>
      <c r="AC11" s="339"/>
      <c r="AD11" s="339"/>
      <c r="AE11" s="339"/>
      <c r="AF11" s="339"/>
      <c r="AG11" s="339"/>
      <c r="AH11" s="339"/>
      <c r="AI11" s="339"/>
      <c r="AJ11" s="339"/>
    </row>
    <row r="12" spans="1:36" ht="18" customHeight="1">
      <c r="A12" s="234"/>
      <c r="B12" s="338"/>
      <c r="C12" s="338"/>
      <c r="D12" s="338"/>
      <c r="E12" s="338"/>
      <c r="F12" s="338"/>
      <c r="G12" s="338"/>
      <c r="H12" s="338"/>
      <c r="I12" s="338"/>
      <c r="J12" s="338"/>
      <c r="K12" s="338"/>
      <c r="L12" s="338"/>
      <c r="M12" s="338"/>
      <c r="N12" s="338"/>
      <c r="O12" s="338"/>
      <c r="P12" s="338"/>
      <c r="Q12" s="338"/>
      <c r="R12" s="338"/>
      <c r="S12" s="234"/>
      <c r="T12" s="339"/>
      <c r="U12" s="339"/>
      <c r="V12" s="339"/>
      <c r="W12" s="339"/>
      <c r="X12" s="339"/>
      <c r="Y12" s="339"/>
      <c r="Z12" s="339"/>
      <c r="AA12" s="339"/>
      <c r="AB12" s="339"/>
      <c r="AC12" s="339"/>
      <c r="AD12" s="339"/>
      <c r="AE12" s="339"/>
      <c r="AF12" s="339"/>
      <c r="AG12" s="339"/>
      <c r="AH12" s="339"/>
      <c r="AI12" s="339"/>
      <c r="AJ12" s="339"/>
    </row>
    <row r="13" spans="1:36" ht="30.75" customHeight="1">
      <c r="A13" s="237"/>
      <c r="B13" s="237"/>
      <c r="C13" s="237"/>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row>
    <row r="14" spans="1:36" ht="18" customHeight="1">
      <c r="A14" s="234"/>
      <c r="B14" s="234"/>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row>
    <row r="15" spans="1:36" ht="18" customHeight="1">
      <c r="A15" s="234"/>
      <c r="B15" s="234"/>
      <c r="C15" s="234"/>
      <c r="D15" s="234"/>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row>
    <row r="16" spans="1:36" ht="18" customHeight="1">
      <c r="A16" s="234"/>
      <c r="B16" s="234"/>
      <c r="C16" s="234"/>
      <c r="D16" s="235"/>
      <c r="E16" s="235"/>
      <c r="F16" s="235"/>
      <c r="G16" s="235"/>
      <c r="H16" s="235"/>
      <c r="I16" s="235"/>
      <c r="J16" s="235"/>
      <c r="K16" s="235"/>
      <c r="L16" s="235"/>
      <c r="M16" s="235"/>
      <c r="N16" s="235"/>
      <c r="O16" s="235"/>
      <c r="P16" s="235"/>
      <c r="Q16" s="235"/>
      <c r="R16" s="234"/>
      <c r="S16" s="234"/>
      <c r="T16" s="234"/>
      <c r="U16" s="234"/>
      <c r="V16" s="235"/>
      <c r="W16" s="235"/>
      <c r="X16" s="235"/>
      <c r="Y16" s="235"/>
      <c r="Z16" s="235"/>
      <c r="AA16" s="235"/>
      <c r="AB16" s="235"/>
      <c r="AC16" s="235"/>
      <c r="AD16" s="235"/>
      <c r="AE16" s="235"/>
      <c r="AF16" s="235"/>
      <c r="AG16" s="235"/>
      <c r="AH16" s="235"/>
      <c r="AI16" s="235"/>
      <c r="AJ16" s="234"/>
    </row>
    <row r="17" spans="1:36" ht="18" customHeight="1">
      <c r="A17" s="234"/>
      <c r="B17" s="234"/>
      <c r="C17" s="234"/>
      <c r="D17" s="340" t="s">
        <v>80</v>
      </c>
      <c r="E17" s="340"/>
      <c r="F17" s="340"/>
      <c r="G17" s="340"/>
      <c r="H17" s="340"/>
      <c r="I17" s="340"/>
      <c r="J17" s="340"/>
      <c r="K17" s="340"/>
      <c r="L17" s="340"/>
      <c r="M17" s="340"/>
      <c r="N17" s="340"/>
      <c r="O17" s="340"/>
      <c r="P17" s="340"/>
      <c r="Q17" s="235"/>
      <c r="R17" s="234"/>
      <c r="S17" s="234"/>
      <c r="T17" s="234"/>
      <c r="U17" s="234"/>
      <c r="V17" s="340"/>
      <c r="W17" s="340"/>
      <c r="X17" s="340"/>
      <c r="Y17" s="340"/>
      <c r="Z17" s="340"/>
      <c r="AA17" s="340"/>
      <c r="AB17" s="340"/>
      <c r="AC17" s="340"/>
      <c r="AD17" s="340"/>
      <c r="AE17" s="340"/>
      <c r="AF17" s="340"/>
      <c r="AG17" s="340"/>
      <c r="AH17" s="340"/>
      <c r="AI17" s="235"/>
      <c r="AJ17" s="234"/>
    </row>
    <row r="18" spans="1:36" ht="18" customHeight="1">
      <c r="A18" s="234"/>
      <c r="B18" s="234"/>
      <c r="C18" s="234"/>
      <c r="D18" s="340"/>
      <c r="E18" s="340"/>
      <c r="F18" s="340"/>
      <c r="G18" s="340"/>
      <c r="H18" s="340"/>
      <c r="I18" s="340"/>
      <c r="J18" s="340"/>
      <c r="K18" s="340"/>
      <c r="L18" s="340"/>
      <c r="M18" s="340"/>
      <c r="N18" s="340"/>
      <c r="O18" s="340"/>
      <c r="P18" s="340"/>
      <c r="Q18" s="234"/>
      <c r="R18" s="234"/>
      <c r="S18" s="234"/>
      <c r="T18" s="234"/>
      <c r="U18" s="234"/>
      <c r="V18" s="340"/>
      <c r="W18" s="340"/>
      <c r="X18" s="340"/>
      <c r="Y18" s="340"/>
      <c r="Z18" s="340"/>
      <c r="AA18" s="340"/>
      <c r="AB18" s="340"/>
      <c r="AC18" s="340"/>
      <c r="AD18" s="340"/>
      <c r="AE18" s="340"/>
      <c r="AF18" s="340"/>
      <c r="AG18" s="340"/>
      <c r="AH18" s="340"/>
      <c r="AI18" s="234"/>
      <c r="AJ18" s="234"/>
    </row>
    <row r="19" spans="1:36" ht="18" customHeight="1">
      <c r="A19" s="234"/>
      <c r="B19" s="234"/>
      <c r="C19" s="234"/>
      <c r="D19" s="340"/>
      <c r="E19" s="340"/>
      <c r="F19" s="340"/>
      <c r="G19" s="340"/>
      <c r="H19" s="340"/>
      <c r="I19" s="340"/>
      <c r="J19" s="340"/>
      <c r="K19" s="340"/>
      <c r="L19" s="340"/>
      <c r="M19" s="340"/>
      <c r="N19" s="340"/>
      <c r="O19" s="340"/>
      <c r="P19" s="340"/>
      <c r="Q19" s="234"/>
      <c r="R19" s="234"/>
      <c r="S19" s="234"/>
      <c r="T19" s="234"/>
      <c r="U19" s="234"/>
      <c r="V19" s="340"/>
      <c r="W19" s="340"/>
      <c r="X19" s="340"/>
      <c r="Y19" s="340"/>
      <c r="Z19" s="340"/>
      <c r="AA19" s="340"/>
      <c r="AB19" s="340"/>
      <c r="AC19" s="340"/>
      <c r="AD19" s="340"/>
      <c r="AE19" s="340"/>
      <c r="AF19" s="340"/>
      <c r="AG19" s="340"/>
      <c r="AH19" s="340"/>
      <c r="AI19" s="234"/>
      <c r="AJ19" s="234"/>
    </row>
    <row r="20" spans="1:36" ht="18" customHeight="1">
      <c r="A20" s="234"/>
      <c r="B20" s="234"/>
      <c r="C20" s="234"/>
      <c r="D20" s="340"/>
      <c r="E20" s="340"/>
      <c r="F20" s="340"/>
      <c r="G20" s="340"/>
      <c r="H20" s="340"/>
      <c r="I20" s="340"/>
      <c r="J20" s="340"/>
      <c r="K20" s="340"/>
      <c r="L20" s="340"/>
      <c r="M20" s="340"/>
      <c r="N20" s="340"/>
      <c r="O20" s="340"/>
      <c r="P20" s="340"/>
      <c r="Q20" s="234"/>
      <c r="R20" s="234"/>
      <c r="S20" s="234"/>
      <c r="T20" s="234"/>
      <c r="U20" s="234"/>
      <c r="V20" s="340"/>
      <c r="W20" s="340"/>
      <c r="X20" s="340"/>
      <c r="Y20" s="340"/>
      <c r="Z20" s="340"/>
      <c r="AA20" s="340"/>
      <c r="AB20" s="340"/>
      <c r="AC20" s="340"/>
      <c r="AD20" s="340"/>
      <c r="AE20" s="340"/>
      <c r="AF20" s="340"/>
      <c r="AG20" s="340"/>
      <c r="AH20" s="340"/>
      <c r="AI20" s="234"/>
      <c r="AJ20" s="234"/>
    </row>
    <row r="21" spans="1:36" ht="18" customHeight="1">
      <c r="A21" s="234"/>
      <c r="B21" s="234"/>
      <c r="C21" s="234"/>
      <c r="D21" s="238"/>
      <c r="E21" s="238"/>
      <c r="F21" s="238"/>
      <c r="G21" s="238"/>
      <c r="H21" s="238"/>
      <c r="I21" s="238"/>
      <c r="J21" s="238"/>
      <c r="K21" s="238"/>
      <c r="L21" s="238"/>
      <c r="M21" s="238"/>
      <c r="N21" s="238"/>
      <c r="O21" s="238"/>
      <c r="P21" s="238"/>
      <c r="Q21" s="234"/>
      <c r="R21" s="234"/>
      <c r="S21" s="234"/>
      <c r="T21" s="234"/>
      <c r="U21" s="234"/>
      <c r="V21" s="238"/>
      <c r="W21" s="238"/>
      <c r="X21" s="238"/>
      <c r="Y21" s="238"/>
      <c r="Z21" s="238"/>
      <c r="AA21" s="238"/>
      <c r="AB21" s="238"/>
      <c r="AC21" s="238"/>
      <c r="AD21" s="238"/>
      <c r="AE21" s="238"/>
      <c r="AF21" s="238"/>
      <c r="AG21" s="238"/>
      <c r="AH21" s="238"/>
      <c r="AI21" s="234"/>
      <c r="AJ21" s="234"/>
    </row>
    <row r="22" spans="1:36" ht="18" customHeight="1">
      <c r="A22" s="234"/>
      <c r="B22" s="234"/>
      <c r="C22" s="234"/>
      <c r="D22" s="238"/>
      <c r="E22" s="238"/>
      <c r="F22" s="238"/>
      <c r="G22" s="238"/>
      <c r="H22" s="238"/>
      <c r="I22" s="238"/>
      <c r="J22" s="238"/>
      <c r="K22" s="238"/>
      <c r="L22" s="238"/>
      <c r="M22" s="238"/>
      <c r="N22" s="238"/>
      <c r="O22" s="238"/>
      <c r="P22" s="238"/>
      <c r="Q22" s="234"/>
      <c r="R22" s="234"/>
      <c r="S22" s="234"/>
      <c r="T22" s="234"/>
      <c r="U22" s="234"/>
      <c r="V22" s="238"/>
      <c r="W22" s="238"/>
      <c r="X22" s="238"/>
      <c r="Y22" s="238"/>
      <c r="Z22" s="238"/>
      <c r="AA22" s="238"/>
      <c r="AB22" s="238"/>
      <c r="AC22" s="238"/>
      <c r="AD22" s="238"/>
      <c r="AE22" s="238"/>
      <c r="AF22" s="238"/>
      <c r="AG22" s="238"/>
      <c r="AH22" s="238"/>
      <c r="AI22" s="234"/>
      <c r="AJ22" s="234"/>
    </row>
    <row r="23" spans="1:36" ht="18" customHeight="1">
      <c r="A23" s="234"/>
      <c r="B23" s="234"/>
      <c r="C23" s="234"/>
      <c r="D23" s="238"/>
      <c r="E23" s="238"/>
      <c r="F23" s="238"/>
      <c r="G23" s="238"/>
      <c r="H23" s="238"/>
      <c r="I23" s="238"/>
      <c r="J23" s="238"/>
      <c r="K23" s="238"/>
      <c r="L23" s="238"/>
      <c r="M23" s="238"/>
      <c r="N23" s="238"/>
      <c r="O23" s="238"/>
      <c r="P23" s="238"/>
      <c r="Q23" s="234"/>
      <c r="R23" s="234"/>
      <c r="S23" s="234"/>
      <c r="T23" s="234"/>
      <c r="U23" s="234"/>
      <c r="V23" s="238"/>
      <c r="W23" s="238"/>
      <c r="X23" s="238"/>
      <c r="Y23" s="238"/>
      <c r="Z23" s="238"/>
      <c r="AA23" s="238"/>
      <c r="AB23" s="238"/>
      <c r="AC23" s="238"/>
      <c r="AD23" s="238"/>
      <c r="AE23" s="238"/>
      <c r="AF23" s="238"/>
      <c r="AG23" s="238"/>
      <c r="AH23" s="238"/>
      <c r="AI23" s="234"/>
      <c r="AJ23" s="234"/>
    </row>
    <row r="24" spans="1:36" ht="18" customHeight="1">
      <c r="A24" s="234"/>
      <c r="B24" s="234"/>
      <c r="C24" s="234"/>
      <c r="D24" s="238"/>
      <c r="E24" s="238"/>
      <c r="F24" s="238"/>
      <c r="G24" s="238"/>
      <c r="H24" s="238"/>
      <c r="I24" s="238"/>
      <c r="J24" s="238"/>
      <c r="K24" s="238"/>
      <c r="L24" s="238"/>
      <c r="M24" s="238"/>
      <c r="N24" s="238"/>
      <c r="O24" s="238"/>
      <c r="P24" s="238"/>
      <c r="Q24" s="234"/>
      <c r="R24" s="234"/>
      <c r="S24" s="234"/>
      <c r="T24" s="234"/>
      <c r="U24" s="234"/>
      <c r="V24" s="238"/>
      <c r="W24" s="238"/>
      <c r="X24" s="238"/>
      <c r="Y24" s="238"/>
      <c r="Z24" s="238"/>
      <c r="AA24" s="238"/>
      <c r="AB24" s="238"/>
      <c r="AC24" s="238"/>
      <c r="AD24" s="238"/>
      <c r="AE24" s="238"/>
      <c r="AF24" s="238"/>
      <c r="AG24" s="238"/>
      <c r="AH24" s="238"/>
      <c r="AI24" s="234"/>
      <c r="AJ24" s="234"/>
    </row>
    <row r="25" spans="1:36" ht="18" customHeight="1">
      <c r="A25" s="234"/>
      <c r="B25" s="234"/>
      <c r="C25" s="234"/>
      <c r="D25" s="238"/>
      <c r="E25" s="238"/>
      <c r="F25" s="238"/>
      <c r="G25" s="238"/>
      <c r="H25" s="238"/>
      <c r="I25" s="238"/>
      <c r="J25" s="238"/>
      <c r="K25" s="238"/>
      <c r="L25" s="238"/>
      <c r="M25" s="238"/>
      <c r="N25" s="238"/>
      <c r="O25" s="238"/>
      <c r="P25" s="238"/>
      <c r="Q25" s="234"/>
      <c r="R25" s="234"/>
      <c r="S25" s="234"/>
      <c r="T25" s="234"/>
      <c r="U25" s="234"/>
      <c r="V25" s="238"/>
      <c r="W25" s="238"/>
      <c r="X25" s="238"/>
      <c r="Y25" s="238"/>
      <c r="Z25" s="238"/>
      <c r="AA25" s="238"/>
      <c r="AB25" s="238"/>
      <c r="AC25" s="238"/>
      <c r="AD25" s="238"/>
      <c r="AE25" s="238"/>
      <c r="AF25" s="238"/>
      <c r="AG25" s="238"/>
      <c r="AH25" s="238"/>
      <c r="AI25" s="234"/>
      <c r="AJ25" s="234"/>
    </row>
    <row r="26" spans="1:36" ht="18" customHeight="1">
      <c r="A26" s="234"/>
      <c r="B26" s="234"/>
      <c r="C26" s="234"/>
      <c r="D26" s="238"/>
      <c r="E26" s="238"/>
      <c r="F26" s="238"/>
      <c r="G26" s="238"/>
      <c r="H26" s="238"/>
      <c r="I26" s="238"/>
      <c r="J26" s="238"/>
      <c r="K26" s="238"/>
      <c r="L26" s="238"/>
      <c r="M26" s="238"/>
      <c r="N26" s="238"/>
      <c r="O26" s="238"/>
      <c r="P26" s="238"/>
      <c r="Q26" s="234"/>
      <c r="R26" s="234"/>
      <c r="S26" s="234"/>
      <c r="T26" s="234"/>
      <c r="U26" s="234"/>
      <c r="V26" s="238"/>
      <c r="W26" s="238"/>
      <c r="X26" s="238"/>
      <c r="Y26" s="238"/>
      <c r="Z26" s="238"/>
      <c r="AA26" s="238"/>
      <c r="AB26" s="238"/>
      <c r="AC26" s="238"/>
      <c r="AD26" s="238"/>
      <c r="AE26" s="238"/>
      <c r="AF26" s="238"/>
      <c r="AG26" s="238"/>
      <c r="AH26" s="238"/>
      <c r="AI26" s="234"/>
      <c r="AJ26" s="234"/>
    </row>
    <row r="27" spans="1:36" ht="18" customHeight="1">
      <c r="A27" s="234"/>
      <c r="B27" s="234"/>
      <c r="C27" s="234"/>
      <c r="D27" s="238"/>
      <c r="E27" s="238"/>
      <c r="F27" s="238"/>
      <c r="G27" s="238"/>
      <c r="H27" s="238"/>
      <c r="I27" s="238"/>
      <c r="J27" s="238"/>
      <c r="K27" s="238"/>
      <c r="L27" s="238"/>
      <c r="M27" s="238"/>
      <c r="N27" s="238"/>
      <c r="O27" s="238"/>
      <c r="P27" s="238"/>
      <c r="Q27" s="234"/>
      <c r="R27" s="234"/>
      <c r="S27" s="234"/>
      <c r="T27" s="234"/>
      <c r="U27" s="234"/>
      <c r="V27" s="238"/>
      <c r="W27" s="238"/>
      <c r="X27" s="238"/>
      <c r="Y27" s="238"/>
      <c r="Z27" s="238"/>
      <c r="AA27" s="238"/>
      <c r="AB27" s="238"/>
      <c r="AC27" s="238"/>
      <c r="AD27" s="238"/>
      <c r="AE27" s="238"/>
      <c r="AF27" s="238"/>
      <c r="AG27" s="238"/>
      <c r="AH27" s="238"/>
      <c r="AI27" s="234"/>
      <c r="AJ27" s="234"/>
    </row>
    <row r="28" spans="1:36" ht="18" customHeight="1">
      <c r="A28" s="234"/>
      <c r="B28" s="234"/>
      <c r="C28" s="234"/>
      <c r="D28" s="238"/>
      <c r="E28" s="238"/>
      <c r="F28" s="238"/>
      <c r="G28" s="238"/>
      <c r="H28" s="238"/>
      <c r="I28" s="238"/>
      <c r="J28" s="238"/>
      <c r="K28" s="238"/>
      <c r="L28" s="238"/>
      <c r="M28" s="238"/>
      <c r="N28" s="238"/>
      <c r="O28" s="238"/>
      <c r="P28" s="238"/>
      <c r="Q28" s="234"/>
      <c r="R28" s="234"/>
      <c r="S28" s="234"/>
      <c r="T28" s="234"/>
      <c r="U28" s="234"/>
      <c r="V28" s="238"/>
      <c r="W28" s="238"/>
      <c r="X28" s="238"/>
      <c r="Y28" s="238"/>
      <c r="Z28" s="238"/>
      <c r="AA28" s="238"/>
      <c r="AB28" s="238"/>
      <c r="AC28" s="238"/>
      <c r="AD28" s="238"/>
      <c r="AE28" s="238"/>
      <c r="AF28" s="238"/>
      <c r="AG28" s="238"/>
      <c r="AH28" s="238"/>
      <c r="AI28" s="234"/>
      <c r="AJ28" s="234"/>
    </row>
    <row r="29" spans="1:36" ht="18" customHeight="1">
      <c r="A29" s="234"/>
      <c r="B29" s="234"/>
      <c r="C29" s="234"/>
      <c r="D29" s="238"/>
      <c r="E29" s="238"/>
      <c r="F29" s="238"/>
      <c r="G29" s="238"/>
      <c r="H29" s="238"/>
      <c r="I29" s="238"/>
      <c r="J29" s="238"/>
      <c r="K29" s="238"/>
      <c r="L29" s="238"/>
      <c r="M29" s="238"/>
      <c r="N29" s="238"/>
      <c r="O29" s="238"/>
      <c r="P29" s="238"/>
      <c r="Q29" s="234"/>
      <c r="R29" s="234"/>
      <c r="S29" s="234"/>
      <c r="T29" s="234" t="s">
        <v>213</v>
      </c>
      <c r="U29" s="234"/>
      <c r="V29" s="238"/>
      <c r="W29" s="238"/>
      <c r="X29" s="238"/>
      <c r="Y29" s="238"/>
      <c r="Z29" s="238"/>
      <c r="AA29" s="238"/>
      <c r="AB29" s="238"/>
      <c r="AC29" s="238"/>
      <c r="AD29" s="238"/>
      <c r="AE29" s="238"/>
      <c r="AF29" s="238"/>
      <c r="AG29" s="238"/>
      <c r="AH29" s="238"/>
      <c r="AI29" s="234"/>
      <c r="AJ29" s="234"/>
    </row>
    <row r="30" spans="1:36" ht="18" customHeight="1">
      <c r="A30" s="234"/>
      <c r="B30" s="234"/>
      <c r="C30" s="234"/>
      <c r="D30" s="238"/>
      <c r="E30" s="238"/>
      <c r="F30" s="238"/>
      <c r="G30" s="238"/>
      <c r="H30" s="238"/>
      <c r="I30" s="238"/>
      <c r="J30" s="238"/>
      <c r="K30" s="238"/>
      <c r="L30" s="238"/>
      <c r="M30" s="238"/>
      <c r="N30" s="238"/>
      <c r="O30" s="238"/>
      <c r="P30" s="238"/>
      <c r="Q30" s="234"/>
      <c r="R30" s="234"/>
      <c r="S30" s="234"/>
      <c r="T30" s="234" t="s">
        <v>214</v>
      </c>
      <c r="U30" s="234"/>
      <c r="V30" s="238"/>
      <c r="W30" s="238"/>
      <c r="X30" s="238"/>
      <c r="Y30" s="238"/>
      <c r="Z30" s="238"/>
      <c r="AA30" s="238"/>
      <c r="AB30" s="238"/>
      <c r="AC30" s="238"/>
      <c r="AD30" s="238"/>
      <c r="AE30" s="238"/>
      <c r="AF30" s="238"/>
      <c r="AG30" s="238"/>
      <c r="AH30" s="238"/>
      <c r="AI30" s="234"/>
      <c r="AJ30" s="234"/>
    </row>
    <row r="31" spans="1:36" ht="18" customHeight="1">
      <c r="A31" s="234"/>
      <c r="B31" s="234"/>
      <c r="C31" s="234"/>
      <c r="D31" s="238"/>
      <c r="E31" s="238"/>
      <c r="F31" s="238"/>
      <c r="G31" s="238"/>
      <c r="H31" s="238"/>
      <c r="I31" s="238"/>
      <c r="J31" s="238"/>
      <c r="K31" s="238"/>
      <c r="L31" s="238"/>
      <c r="M31" s="238"/>
      <c r="N31" s="238"/>
      <c r="O31" s="238"/>
      <c r="P31" s="238"/>
      <c r="Q31" s="234"/>
      <c r="R31" s="234"/>
      <c r="S31" s="234"/>
      <c r="T31" s="234" t="s">
        <v>215</v>
      </c>
      <c r="U31" s="234"/>
      <c r="V31" s="238"/>
      <c r="W31" s="238"/>
      <c r="X31" s="238"/>
      <c r="Y31" s="238"/>
      <c r="Z31" s="238"/>
      <c r="AA31" s="238"/>
      <c r="AB31" s="238"/>
      <c r="AC31" s="238"/>
      <c r="AD31" s="238"/>
      <c r="AE31" s="238"/>
      <c r="AF31" s="238"/>
      <c r="AG31" s="238"/>
      <c r="AH31" s="238"/>
      <c r="AI31" s="234"/>
      <c r="AJ31" s="234"/>
    </row>
    <row r="32" spans="1:36" ht="18" customHeight="1">
      <c r="A32" s="234"/>
      <c r="B32" s="234"/>
      <c r="C32" s="234"/>
      <c r="D32" s="234"/>
      <c r="E32" s="234"/>
      <c r="F32" s="234"/>
      <c r="G32" s="234"/>
      <c r="H32" s="234"/>
      <c r="I32" s="234"/>
      <c r="J32" s="234"/>
      <c r="K32" s="234"/>
      <c r="L32" s="234"/>
      <c r="M32" s="234"/>
      <c r="N32" s="234"/>
      <c r="O32" s="234"/>
      <c r="P32" s="234"/>
      <c r="Q32" s="234"/>
      <c r="R32" s="234"/>
      <c r="S32" s="234"/>
      <c r="T32" s="234" t="s">
        <v>216</v>
      </c>
      <c r="U32" s="234"/>
      <c r="V32" s="234"/>
      <c r="W32" s="234"/>
      <c r="X32" s="234"/>
      <c r="Y32" s="234"/>
      <c r="Z32" s="234"/>
      <c r="AA32" s="234"/>
      <c r="AB32" s="234"/>
      <c r="AC32" s="234"/>
      <c r="AD32" s="234"/>
      <c r="AE32" s="234"/>
      <c r="AF32" s="234"/>
      <c r="AG32" s="234"/>
      <c r="AH32" s="234"/>
      <c r="AI32" s="234"/>
      <c r="AJ32" s="234"/>
    </row>
    <row r="33" spans="1:36" s="241" customFormat="1" ht="36" customHeight="1">
      <c r="A33" s="234"/>
      <c r="B33" s="234"/>
      <c r="C33" s="234"/>
      <c r="D33" s="333" t="s">
        <v>81</v>
      </c>
      <c r="E33" s="333"/>
      <c r="F33" s="333"/>
      <c r="G33" s="333"/>
      <c r="H33" s="335" t="s">
        <v>90</v>
      </c>
      <c r="I33" s="335"/>
      <c r="J33" s="335"/>
      <c r="K33" s="335"/>
      <c r="L33" s="335"/>
      <c r="M33" s="335"/>
      <c r="N33" s="335"/>
      <c r="O33" s="335"/>
      <c r="P33" s="335"/>
      <c r="Q33" s="240"/>
      <c r="R33" s="234"/>
      <c r="S33" s="234"/>
      <c r="T33" s="234" t="s">
        <v>217</v>
      </c>
      <c r="U33" s="234"/>
      <c r="V33" s="333"/>
      <c r="W33" s="333"/>
      <c r="X33" s="333"/>
      <c r="Y33" s="333"/>
      <c r="Z33" s="335"/>
      <c r="AA33" s="335"/>
      <c r="AB33" s="335"/>
      <c r="AC33" s="335"/>
      <c r="AD33" s="335"/>
      <c r="AE33" s="335"/>
      <c r="AF33" s="335"/>
      <c r="AG33" s="335"/>
      <c r="AH33" s="335"/>
      <c r="AI33" s="240"/>
      <c r="AJ33" s="234"/>
    </row>
    <row r="34" spans="1:36" s="241" customFormat="1" ht="36" customHeight="1">
      <c r="A34" s="234"/>
      <c r="B34" s="234"/>
      <c r="C34" s="234"/>
      <c r="D34" s="333" t="s">
        <v>82</v>
      </c>
      <c r="E34" s="333"/>
      <c r="F34" s="333"/>
      <c r="G34" s="333"/>
      <c r="H34" s="335" t="str">
        <f>T29</f>
        <v>115.08.12-115.08.31</v>
      </c>
      <c r="I34" s="335"/>
      <c r="J34" s="335"/>
      <c r="K34" s="335"/>
      <c r="L34" s="335"/>
      <c r="M34" s="335"/>
      <c r="N34" s="335"/>
      <c r="O34" s="335"/>
      <c r="P34" s="335"/>
      <c r="Q34" s="234"/>
      <c r="R34" s="234"/>
      <c r="S34" s="234"/>
      <c r="T34" s="234" t="s">
        <v>218</v>
      </c>
      <c r="U34" s="234"/>
      <c r="V34" s="333"/>
      <c r="W34" s="333"/>
      <c r="X34" s="333"/>
      <c r="Y34" s="333"/>
      <c r="Z34" s="335"/>
      <c r="AA34" s="335"/>
      <c r="AB34" s="335"/>
      <c r="AC34" s="335"/>
      <c r="AD34" s="335"/>
      <c r="AE34" s="335"/>
      <c r="AF34" s="335"/>
      <c r="AG34" s="335"/>
      <c r="AH34" s="335"/>
      <c r="AI34" s="234"/>
      <c r="AJ34" s="234"/>
    </row>
    <row r="35" spans="1:36" s="241" customFormat="1" ht="36" customHeight="1">
      <c r="A35" s="234"/>
      <c r="B35" s="234"/>
      <c r="C35" s="234"/>
      <c r="D35" s="333" t="s">
        <v>83</v>
      </c>
      <c r="E35" s="333"/>
      <c r="F35" s="333"/>
      <c r="G35" s="333"/>
      <c r="H35" s="335" t="str">
        <f>標單!I2</f>
        <v>阿奎營造有限公司</v>
      </c>
      <c r="I35" s="335"/>
      <c r="J35" s="335"/>
      <c r="K35" s="335"/>
      <c r="L35" s="335"/>
      <c r="M35" s="335"/>
      <c r="N35" s="335"/>
      <c r="O35" s="335"/>
      <c r="P35" s="335"/>
      <c r="Q35" s="240"/>
      <c r="R35" s="234"/>
      <c r="S35" s="234"/>
      <c r="T35" s="234" t="s">
        <v>219</v>
      </c>
      <c r="U35" s="234"/>
      <c r="V35" s="333"/>
      <c r="W35" s="333"/>
      <c r="X35" s="333"/>
      <c r="Y35" s="333"/>
      <c r="Z35" s="335"/>
      <c r="AA35" s="335"/>
      <c r="AB35" s="335"/>
      <c r="AC35" s="335"/>
      <c r="AD35" s="335"/>
      <c r="AE35" s="335"/>
      <c r="AF35" s="335"/>
      <c r="AG35" s="335"/>
      <c r="AH35" s="335"/>
      <c r="AI35" s="240"/>
      <c r="AJ35" s="234"/>
    </row>
    <row r="36" spans="1:36" s="241" customFormat="1" ht="36" customHeight="1">
      <c r="A36" s="234"/>
      <c r="B36" s="234"/>
      <c r="C36" s="234"/>
      <c r="D36" s="333" t="s">
        <v>84</v>
      </c>
      <c r="E36" s="333"/>
      <c r="F36" s="333"/>
      <c r="G36" s="333"/>
      <c r="H36" s="239" t="str">
        <f>標單!I1</f>
        <v>呂罡銘建築師事務所</v>
      </c>
      <c r="I36" s="239"/>
      <c r="J36" s="239"/>
      <c r="K36" s="239"/>
      <c r="L36" s="239"/>
      <c r="M36" s="239"/>
      <c r="N36" s="239"/>
      <c r="O36" s="239"/>
      <c r="P36" s="239"/>
      <c r="Q36" s="239"/>
      <c r="R36" s="240"/>
      <c r="S36" s="234"/>
      <c r="T36" s="234"/>
      <c r="U36" s="234"/>
      <c r="V36" s="333"/>
      <c r="W36" s="333"/>
      <c r="X36" s="333"/>
      <c r="Y36" s="333"/>
      <c r="Z36" s="335"/>
      <c r="AA36" s="335"/>
      <c r="AB36" s="335"/>
      <c r="AC36" s="335"/>
      <c r="AD36" s="335"/>
      <c r="AE36" s="335"/>
      <c r="AF36" s="335"/>
      <c r="AG36" s="335"/>
      <c r="AH36" s="335"/>
      <c r="AI36" s="335"/>
      <c r="AJ36" s="234"/>
    </row>
    <row r="37" spans="1:36" s="241" customFormat="1" ht="36" customHeight="1">
      <c r="A37" s="234"/>
      <c r="B37" s="234"/>
      <c r="C37" s="234"/>
      <c r="D37" s="333" t="s">
        <v>85</v>
      </c>
      <c r="E37" s="333"/>
      <c r="F37" s="333"/>
      <c r="G37" s="333"/>
      <c r="H37" s="334"/>
      <c r="I37" s="335"/>
      <c r="J37" s="335"/>
      <c r="K37" s="335"/>
      <c r="L37" s="335"/>
      <c r="M37" s="335"/>
      <c r="N37" s="335"/>
      <c r="O37" s="335"/>
      <c r="P37" s="335"/>
      <c r="Q37" s="234"/>
      <c r="R37" s="234"/>
      <c r="S37" s="234"/>
      <c r="T37" s="234"/>
      <c r="U37" s="234"/>
      <c r="V37" s="333"/>
      <c r="W37" s="333"/>
      <c r="X37" s="333"/>
      <c r="Y37" s="333"/>
      <c r="Z37" s="334"/>
      <c r="AA37" s="334"/>
      <c r="AB37" s="334"/>
      <c r="AC37" s="334"/>
      <c r="AD37" s="334"/>
      <c r="AE37" s="334"/>
      <c r="AF37" s="334"/>
      <c r="AG37" s="334"/>
      <c r="AH37" s="334"/>
      <c r="AI37" s="234"/>
      <c r="AJ37" s="234"/>
    </row>
  </sheetData>
  <mergeCells count="25">
    <mergeCell ref="B3:R4"/>
    <mergeCell ref="T3:AJ4"/>
    <mergeCell ref="B9:R12"/>
    <mergeCell ref="T9:AJ12"/>
    <mergeCell ref="D17:P20"/>
    <mergeCell ref="V17:AH20"/>
    <mergeCell ref="D33:G33"/>
    <mergeCell ref="H33:P33"/>
    <mergeCell ref="V33:Y33"/>
    <mergeCell ref="Z33:AH33"/>
    <mergeCell ref="D34:G34"/>
    <mergeCell ref="H34:P34"/>
    <mergeCell ref="V34:Y34"/>
    <mergeCell ref="Z34:AH34"/>
    <mergeCell ref="D37:G37"/>
    <mergeCell ref="H37:P37"/>
    <mergeCell ref="V37:Y37"/>
    <mergeCell ref="Z37:AH37"/>
    <mergeCell ref="D35:G35"/>
    <mergeCell ref="H35:P35"/>
    <mergeCell ref="V35:Y35"/>
    <mergeCell ref="Z35:AH35"/>
    <mergeCell ref="D36:G36"/>
    <mergeCell ref="V36:Y36"/>
    <mergeCell ref="Z36:AI36"/>
  </mergeCells>
  <phoneticPr fontId="3" type="noConversion"/>
  <printOptions horizontalCentered="1"/>
  <pageMargins left="0.70866141732283472" right="0.70866141732283472" top="0.74803149606299213" bottom="0.74803149606299213" header="0.31496062992125984" footer="0.31496062992125984"/>
  <pageSetup scale="90" orientation="portrait" r:id="rId1"/>
  <rowBreaks count="1" manualBreakCount="1">
    <brk id="36" max="18"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007B4-23AA-4D05-86A6-2E917507BBBF}">
  <sheetPr codeName="工作表11"/>
  <dimension ref="A4:J31"/>
  <sheetViews>
    <sheetView view="pageBreakPreview" topLeftCell="A10" zoomScale="90" zoomScaleNormal="100" zoomScaleSheetLayoutView="90" workbookViewId="0">
      <selection activeCell="N23" sqref="N23"/>
    </sheetView>
  </sheetViews>
  <sheetFormatPr defaultColWidth="8.75" defaultRowHeight="16.5"/>
  <cols>
    <col min="1" max="3" width="8.625" style="36" customWidth="1"/>
    <col min="4" max="4" width="3.875" style="36" customWidth="1"/>
    <col min="5" max="10" width="8.625" style="36" customWidth="1"/>
  </cols>
  <sheetData>
    <row r="4" spans="1:10" ht="13.35" customHeight="1">
      <c r="A4" s="341" t="str">
        <f>標單!C2</f>
        <v>臺中市外埔區外埔國民小學</v>
      </c>
      <c r="B4" s="342"/>
      <c r="C4" s="342"/>
      <c r="D4" s="342"/>
      <c r="E4" s="342"/>
      <c r="F4" s="342"/>
      <c r="G4" s="342"/>
      <c r="H4" s="342"/>
      <c r="I4" s="342"/>
      <c r="J4" s="342"/>
    </row>
    <row r="5" spans="1:10">
      <c r="A5" s="342"/>
      <c r="B5" s="342"/>
      <c r="C5" s="342"/>
      <c r="D5" s="342"/>
      <c r="E5" s="342"/>
      <c r="F5" s="342"/>
      <c r="G5" s="342"/>
      <c r="H5" s="342"/>
      <c r="I5" s="342"/>
      <c r="J5" s="342"/>
    </row>
    <row r="6" spans="1:10">
      <c r="A6" s="342"/>
      <c r="B6" s="342"/>
      <c r="C6" s="342"/>
      <c r="D6" s="342"/>
      <c r="E6" s="342"/>
      <c r="F6" s="342"/>
      <c r="G6" s="342"/>
      <c r="H6" s="342"/>
      <c r="I6" s="342"/>
      <c r="J6" s="342"/>
    </row>
    <row r="7" spans="1:10">
      <c r="A7" s="342"/>
      <c r="B7" s="342"/>
      <c r="C7" s="342"/>
      <c r="D7" s="342"/>
      <c r="E7" s="342"/>
      <c r="F7" s="342"/>
      <c r="G7" s="342"/>
      <c r="H7" s="342"/>
      <c r="I7" s="342"/>
      <c r="J7" s="342"/>
    </row>
    <row r="8" spans="1:10">
      <c r="A8" s="342"/>
      <c r="B8" s="342"/>
      <c r="C8" s="342"/>
      <c r="D8" s="342"/>
      <c r="E8" s="342"/>
      <c r="F8" s="342"/>
      <c r="G8" s="342"/>
      <c r="H8" s="342"/>
      <c r="I8" s="342"/>
      <c r="J8" s="342"/>
    </row>
    <row r="9" spans="1:10">
      <c r="A9" s="342"/>
      <c r="B9" s="342"/>
      <c r="C9" s="342"/>
      <c r="D9" s="342"/>
      <c r="E9" s="342"/>
      <c r="F9" s="342"/>
      <c r="G9" s="342"/>
      <c r="H9" s="342"/>
      <c r="I9" s="342"/>
      <c r="J9" s="342"/>
    </row>
    <row r="10" spans="1:10" ht="16.350000000000001" customHeight="1">
      <c r="A10" s="343" t="str">
        <f>數量表!B1</f>
        <v>114-116年度D棟老舊廁所整修工程</v>
      </c>
      <c r="B10" s="344"/>
      <c r="C10" s="344"/>
      <c r="D10" s="344"/>
      <c r="E10" s="344"/>
      <c r="F10" s="344"/>
      <c r="G10" s="344"/>
      <c r="H10" s="344"/>
      <c r="I10" s="344"/>
      <c r="J10" s="344"/>
    </row>
    <row r="11" spans="1:10" ht="16.350000000000001" customHeight="1">
      <c r="A11" s="344"/>
      <c r="B11" s="344"/>
      <c r="C11" s="344"/>
      <c r="D11" s="344"/>
      <c r="E11" s="344"/>
      <c r="F11" s="344"/>
      <c r="G11" s="344"/>
      <c r="H11" s="344"/>
      <c r="I11" s="344"/>
      <c r="J11" s="344"/>
    </row>
    <row r="12" spans="1:10" ht="16.350000000000001" customHeight="1">
      <c r="A12" s="344"/>
      <c r="B12" s="344"/>
      <c r="C12" s="344"/>
      <c r="D12" s="344"/>
      <c r="E12" s="344"/>
      <c r="F12" s="344"/>
      <c r="G12" s="344"/>
      <c r="H12" s="344"/>
      <c r="I12" s="344"/>
      <c r="J12" s="344"/>
    </row>
    <row r="13" spans="1:10" ht="16.350000000000001" customHeight="1">
      <c r="A13" s="344"/>
      <c r="B13" s="344"/>
      <c r="C13" s="344"/>
      <c r="D13" s="344"/>
      <c r="E13" s="344"/>
      <c r="F13" s="344"/>
      <c r="G13" s="344"/>
      <c r="H13" s="344"/>
      <c r="I13" s="344"/>
      <c r="J13" s="344"/>
    </row>
    <row r="14" spans="1:10" ht="16.350000000000001" customHeight="1">
      <c r="A14" s="344"/>
      <c r="B14" s="344"/>
      <c r="C14" s="344"/>
      <c r="D14" s="344"/>
      <c r="E14" s="344"/>
      <c r="F14" s="344"/>
      <c r="G14" s="344"/>
      <c r="H14" s="344"/>
      <c r="I14" s="344"/>
      <c r="J14" s="344"/>
    </row>
    <row r="15" spans="1:10" ht="16.350000000000001" customHeight="1">
      <c r="A15" s="344"/>
      <c r="B15" s="344"/>
      <c r="C15" s="344"/>
      <c r="D15" s="344"/>
      <c r="E15" s="344"/>
      <c r="F15" s="344"/>
      <c r="G15" s="344"/>
      <c r="H15" s="344"/>
      <c r="I15" s="344"/>
      <c r="J15" s="344"/>
    </row>
    <row r="16" spans="1:10" ht="16.350000000000001" customHeight="1">
      <c r="A16" s="344"/>
      <c r="B16" s="344"/>
      <c r="C16" s="344"/>
      <c r="D16" s="344"/>
      <c r="E16" s="344"/>
      <c r="F16" s="344"/>
      <c r="G16" s="344"/>
      <c r="H16" s="344"/>
      <c r="I16" s="344"/>
      <c r="J16" s="344"/>
    </row>
    <row r="17" spans="1:10" ht="19.5">
      <c r="A17" s="37"/>
      <c r="B17" s="37"/>
      <c r="C17" s="37"/>
      <c r="D17" s="37"/>
      <c r="E17" s="37"/>
      <c r="F17" s="37"/>
      <c r="G17" s="37"/>
      <c r="H17" s="37"/>
      <c r="I17" s="37"/>
      <c r="J17" s="37"/>
    </row>
    <row r="18" spans="1:10">
      <c r="A18" s="345" t="s">
        <v>34</v>
      </c>
      <c r="B18" s="346"/>
      <c r="C18" s="346"/>
      <c r="D18" s="346"/>
      <c r="E18" s="346"/>
      <c r="F18" s="346"/>
      <c r="G18" s="346"/>
      <c r="H18" s="346"/>
      <c r="I18" s="346"/>
      <c r="J18" s="346"/>
    </row>
    <row r="19" spans="1:10">
      <c r="A19" s="346"/>
      <c r="B19" s="346"/>
      <c r="C19" s="346"/>
      <c r="D19" s="346"/>
      <c r="E19" s="346"/>
      <c r="F19" s="346"/>
      <c r="G19" s="346"/>
      <c r="H19" s="346"/>
      <c r="I19" s="346"/>
      <c r="J19" s="346"/>
    </row>
    <row r="20" spans="1:10">
      <c r="A20" s="346"/>
      <c r="B20" s="346"/>
      <c r="C20" s="346"/>
      <c r="D20" s="346"/>
      <c r="E20" s="346"/>
      <c r="F20" s="346"/>
      <c r="G20" s="346"/>
      <c r="H20" s="346"/>
      <c r="I20" s="346"/>
      <c r="J20" s="346"/>
    </row>
    <row r="21" spans="1:10">
      <c r="A21" s="346"/>
      <c r="B21" s="346"/>
      <c r="C21" s="346"/>
      <c r="D21" s="346"/>
      <c r="E21" s="346"/>
      <c r="F21" s="346"/>
      <c r="G21" s="346"/>
      <c r="H21" s="346"/>
      <c r="I21" s="346"/>
      <c r="J21" s="346"/>
    </row>
    <row r="22" spans="1:10" s="38" customFormat="1" ht="16.350000000000001" customHeight="1">
      <c r="A22" s="346"/>
      <c r="B22" s="346"/>
      <c r="C22" s="346"/>
      <c r="D22" s="346"/>
      <c r="E22" s="346"/>
      <c r="F22" s="346"/>
      <c r="G22" s="346"/>
      <c r="H22" s="346"/>
      <c r="I22" s="346"/>
      <c r="J22" s="346"/>
    </row>
    <row r="23" spans="1:10" ht="30.75">
      <c r="A23" s="347" t="s">
        <v>35</v>
      </c>
      <c r="B23" s="347"/>
      <c r="C23" s="347"/>
      <c r="D23" s="347"/>
      <c r="E23" s="347"/>
      <c r="F23" s="347"/>
      <c r="G23" s="347"/>
      <c r="H23" s="347"/>
      <c r="I23" s="347"/>
      <c r="J23" s="347"/>
    </row>
    <row r="24" spans="1:10" ht="19.5">
      <c r="A24" s="37"/>
      <c r="B24" s="37"/>
      <c r="C24" s="37"/>
      <c r="D24" s="37"/>
      <c r="E24" s="37"/>
      <c r="F24" s="37"/>
      <c r="G24" s="37"/>
      <c r="H24" s="37"/>
      <c r="I24" s="37"/>
      <c r="J24" s="37"/>
    </row>
    <row r="25" spans="1:10" ht="24" customHeight="1">
      <c r="A25" s="348"/>
      <c r="B25" s="348"/>
      <c r="C25" s="348"/>
      <c r="D25" s="348"/>
      <c r="E25" s="348"/>
      <c r="F25" s="348"/>
      <c r="G25" s="348"/>
      <c r="H25" s="348"/>
      <c r="I25" s="348"/>
      <c r="J25" s="348"/>
    </row>
    <row r="26" spans="1:10" ht="24" customHeight="1">
      <c r="A26" s="348"/>
      <c r="B26" s="348"/>
      <c r="C26" s="348"/>
      <c r="D26" s="348"/>
      <c r="E26" s="348"/>
      <c r="F26" s="348"/>
      <c r="G26" s="348"/>
      <c r="H26" s="348"/>
      <c r="I26" s="348"/>
      <c r="J26" s="348"/>
    </row>
    <row r="27" spans="1:10" ht="19.5">
      <c r="A27" s="37"/>
      <c r="B27" s="37"/>
      <c r="C27" s="37"/>
      <c r="D27" s="37"/>
      <c r="E27" s="37"/>
      <c r="F27" s="37"/>
      <c r="G27" s="37"/>
      <c r="H27" s="37"/>
      <c r="I27" s="37"/>
      <c r="J27" s="37"/>
    </row>
    <row r="28" spans="1:10" ht="19.5">
      <c r="A28" s="37"/>
      <c r="B28" s="37"/>
      <c r="C28" s="37"/>
      <c r="D28" s="37"/>
      <c r="E28" s="37"/>
      <c r="F28" s="37"/>
      <c r="G28" s="37"/>
      <c r="H28" s="37"/>
      <c r="I28" s="37"/>
      <c r="J28" s="37"/>
    </row>
    <row r="29" spans="1:10" ht="24" customHeight="1">
      <c r="A29" s="39"/>
      <c r="B29" s="39"/>
      <c r="C29" s="39"/>
      <c r="D29" s="39"/>
      <c r="E29" s="39"/>
      <c r="F29" s="39"/>
      <c r="G29" s="39"/>
      <c r="H29" s="39"/>
      <c r="I29" s="39"/>
      <c r="J29" s="39"/>
    </row>
    <row r="30" spans="1:10" s="43" customFormat="1" ht="25.5">
      <c r="A30" s="40"/>
      <c r="B30" s="41" t="s">
        <v>25</v>
      </c>
      <c r="C30" s="42"/>
      <c r="D30" s="40" t="s">
        <v>24</v>
      </c>
      <c r="E30" s="40" t="str">
        <f>標單!I1</f>
        <v>呂罡銘建築師事務所</v>
      </c>
      <c r="F30" s="40"/>
      <c r="G30" s="40"/>
      <c r="H30" s="40"/>
      <c r="I30" s="40"/>
      <c r="J30" s="40"/>
    </row>
    <row r="31" spans="1:10" s="43" customFormat="1" ht="25.5">
      <c r="A31" s="40"/>
      <c r="B31" s="41" t="s">
        <v>26</v>
      </c>
      <c r="C31" s="42"/>
      <c r="D31" s="40" t="s">
        <v>24</v>
      </c>
      <c r="E31" s="40" t="str">
        <f>標單!I2</f>
        <v>阿奎營造有限公司</v>
      </c>
      <c r="F31" s="40"/>
      <c r="G31" s="40"/>
      <c r="H31" s="40"/>
      <c r="I31" s="40"/>
      <c r="J31" s="40"/>
    </row>
  </sheetData>
  <mergeCells count="5">
    <mergeCell ref="A4:J9"/>
    <mergeCell ref="A10:J16"/>
    <mergeCell ref="A18:J22"/>
    <mergeCell ref="A23:J23"/>
    <mergeCell ref="A25:J26"/>
  </mergeCells>
  <phoneticPr fontId="3" type="noConversion"/>
  <pageMargins left="0.7" right="0.7" top="0.75" bottom="0.75" header="0.3" footer="0.3"/>
  <pageSetup paperSize="9" scale="8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53D4C-2779-4F8F-BE3C-5436716AB9BB}">
  <sheetPr codeName="工作表9"/>
  <dimension ref="A14:R43"/>
  <sheetViews>
    <sheetView topLeftCell="A13" workbookViewId="0">
      <selection activeCell="L42" sqref="L42"/>
    </sheetView>
  </sheetViews>
  <sheetFormatPr defaultColWidth="8.875" defaultRowHeight="16.5"/>
  <cols>
    <col min="1" max="1" width="7.25" style="13" customWidth="1"/>
    <col min="2" max="2" width="37.125" style="13" customWidth="1"/>
    <col min="3" max="3" width="5.75" style="13" customWidth="1"/>
    <col min="4" max="4" width="9.25" style="13" customWidth="1"/>
    <col min="5" max="5" width="10.625" style="13" hidden="1" customWidth="1"/>
    <col min="6" max="6" width="1.5" style="13" customWidth="1"/>
    <col min="7" max="7" width="8.25" style="13" customWidth="1"/>
    <col min="8" max="16" width="9.5" style="13" customWidth="1"/>
    <col min="17" max="17" width="3.625" style="13" customWidth="1"/>
    <col min="18" max="18" width="8.875" style="13"/>
  </cols>
  <sheetData>
    <row r="14" spans="2:16">
      <c r="B14" s="349"/>
      <c r="C14" s="349"/>
      <c r="D14" s="349"/>
      <c r="E14" s="349"/>
      <c r="F14" s="349"/>
      <c r="G14" s="349"/>
      <c r="H14" s="349"/>
      <c r="I14" s="349"/>
      <c r="J14" s="349"/>
      <c r="K14" s="349"/>
      <c r="L14" s="349"/>
      <c r="M14" s="349"/>
      <c r="N14" s="349"/>
      <c r="O14" s="349"/>
      <c r="P14" s="349"/>
    </row>
    <row r="15" spans="2:16">
      <c r="B15" s="349"/>
      <c r="C15" s="349"/>
      <c r="D15" s="349"/>
      <c r="E15" s="349"/>
      <c r="F15" s="349"/>
      <c r="G15" s="349"/>
      <c r="H15" s="349"/>
      <c r="I15" s="349"/>
      <c r="J15" s="349"/>
      <c r="K15" s="349"/>
      <c r="L15" s="349"/>
      <c r="M15" s="349"/>
      <c r="N15" s="349"/>
      <c r="O15" s="349"/>
      <c r="P15" s="349"/>
    </row>
    <row r="17" spans="3:16">
      <c r="H17" s="349"/>
      <c r="I17" s="349"/>
      <c r="J17" s="349"/>
      <c r="K17" s="349"/>
      <c r="L17" s="349"/>
      <c r="M17" s="349"/>
      <c r="N17" s="349"/>
      <c r="O17" s="349"/>
      <c r="P17" s="349"/>
    </row>
    <row r="18" spans="3:16">
      <c r="C18" s="349"/>
      <c r="D18" s="349"/>
      <c r="E18" s="349"/>
      <c r="F18" s="349"/>
      <c r="G18" s="349"/>
    </row>
    <row r="42" spans="1:7">
      <c r="A42" s="349"/>
      <c r="B42" s="349"/>
      <c r="C42" s="349"/>
      <c r="D42" s="349"/>
      <c r="E42" s="349"/>
      <c r="F42" s="349"/>
      <c r="G42" s="349"/>
    </row>
    <row r="43" spans="1:7">
      <c r="A43" s="349"/>
      <c r="B43" s="349"/>
      <c r="C43" s="349"/>
      <c r="D43" s="349"/>
      <c r="E43" s="349"/>
      <c r="F43" s="349"/>
      <c r="G43" s="349"/>
    </row>
  </sheetData>
  <mergeCells count="6">
    <mergeCell ref="B14:P15"/>
    <mergeCell ref="H17:P17"/>
    <mergeCell ref="C18:G18"/>
    <mergeCell ref="A42:B43"/>
    <mergeCell ref="C42:G42"/>
    <mergeCell ref="C43:G43"/>
  </mergeCells>
  <phoneticPr fontId="3"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2F380-8E29-4365-A31C-C3FFB63D0D1D}">
  <sheetPr codeName="工作表12"/>
  <dimension ref="A4:J31"/>
  <sheetViews>
    <sheetView view="pageBreakPreview" topLeftCell="A10" zoomScale="90" zoomScaleNormal="100" zoomScaleSheetLayoutView="90" workbookViewId="0">
      <selection activeCell="P25" sqref="P25"/>
    </sheetView>
  </sheetViews>
  <sheetFormatPr defaultColWidth="8.75" defaultRowHeight="16.5"/>
  <cols>
    <col min="1" max="3" width="8.625" style="36" customWidth="1"/>
    <col min="4" max="4" width="3.875" style="36" customWidth="1"/>
    <col min="5" max="10" width="8.625" style="36" customWidth="1"/>
  </cols>
  <sheetData>
    <row r="4" spans="1:10" ht="13.35" customHeight="1">
      <c r="A4" s="341" t="str">
        <f>標單!C2</f>
        <v>臺中市外埔區外埔國民小學</v>
      </c>
      <c r="B4" s="342"/>
      <c r="C4" s="342"/>
      <c r="D4" s="342"/>
      <c r="E4" s="342"/>
      <c r="F4" s="342"/>
      <c r="G4" s="342"/>
      <c r="H4" s="342"/>
      <c r="I4" s="342"/>
      <c r="J4" s="342"/>
    </row>
    <row r="5" spans="1:10">
      <c r="A5" s="342"/>
      <c r="B5" s="342"/>
      <c r="C5" s="342"/>
      <c r="D5" s="342"/>
      <c r="E5" s="342"/>
      <c r="F5" s="342"/>
      <c r="G5" s="342"/>
      <c r="H5" s="342"/>
      <c r="I5" s="342"/>
      <c r="J5" s="342"/>
    </row>
    <row r="6" spans="1:10">
      <c r="A6" s="342"/>
      <c r="B6" s="342"/>
      <c r="C6" s="342"/>
      <c r="D6" s="342"/>
      <c r="E6" s="342"/>
      <c r="F6" s="342"/>
      <c r="G6" s="342"/>
      <c r="H6" s="342"/>
      <c r="I6" s="342"/>
      <c r="J6" s="342"/>
    </row>
    <row r="7" spans="1:10">
      <c r="A7" s="342"/>
      <c r="B7" s="342"/>
      <c r="C7" s="342"/>
      <c r="D7" s="342"/>
      <c r="E7" s="342"/>
      <c r="F7" s="342"/>
      <c r="G7" s="342"/>
      <c r="H7" s="342"/>
      <c r="I7" s="342"/>
      <c r="J7" s="342"/>
    </row>
    <row r="8" spans="1:10">
      <c r="A8" s="342"/>
      <c r="B8" s="342"/>
      <c r="C8" s="342"/>
      <c r="D8" s="342"/>
      <c r="E8" s="342"/>
      <c r="F8" s="342"/>
      <c r="G8" s="342"/>
      <c r="H8" s="342"/>
      <c r="I8" s="342"/>
      <c r="J8" s="342"/>
    </row>
    <row r="9" spans="1:10">
      <c r="A9" s="342"/>
      <c r="B9" s="342"/>
      <c r="C9" s="342"/>
      <c r="D9" s="342"/>
      <c r="E9" s="342"/>
      <c r="F9" s="342"/>
      <c r="G9" s="342"/>
      <c r="H9" s="342"/>
      <c r="I9" s="342"/>
      <c r="J9" s="342"/>
    </row>
    <row r="10" spans="1:10" ht="16.350000000000001" customHeight="1">
      <c r="A10" s="343" t="str">
        <f>數量表!B1</f>
        <v>114-116年度D棟老舊廁所整修工程</v>
      </c>
      <c r="B10" s="344"/>
      <c r="C10" s="344"/>
      <c r="D10" s="344"/>
      <c r="E10" s="344"/>
      <c r="F10" s="344"/>
      <c r="G10" s="344"/>
      <c r="H10" s="344"/>
      <c r="I10" s="344"/>
      <c r="J10" s="344"/>
    </row>
    <row r="11" spans="1:10" ht="16.350000000000001" customHeight="1">
      <c r="A11" s="344"/>
      <c r="B11" s="344"/>
      <c r="C11" s="344"/>
      <c r="D11" s="344"/>
      <c r="E11" s="344"/>
      <c r="F11" s="344"/>
      <c r="G11" s="344"/>
      <c r="H11" s="344"/>
      <c r="I11" s="344"/>
      <c r="J11" s="344"/>
    </row>
    <row r="12" spans="1:10" ht="16.350000000000001" customHeight="1">
      <c r="A12" s="344"/>
      <c r="B12" s="344"/>
      <c r="C12" s="344"/>
      <c r="D12" s="344"/>
      <c r="E12" s="344"/>
      <c r="F12" s="344"/>
      <c r="G12" s="344"/>
      <c r="H12" s="344"/>
      <c r="I12" s="344"/>
      <c r="J12" s="344"/>
    </row>
    <row r="13" spans="1:10" ht="16.350000000000001" customHeight="1">
      <c r="A13" s="344"/>
      <c r="B13" s="344"/>
      <c r="C13" s="344"/>
      <c r="D13" s="344"/>
      <c r="E13" s="344"/>
      <c r="F13" s="344"/>
      <c r="G13" s="344"/>
      <c r="H13" s="344"/>
      <c r="I13" s="344"/>
      <c r="J13" s="344"/>
    </row>
    <row r="14" spans="1:10" ht="16.350000000000001" customHeight="1">
      <c r="A14" s="344"/>
      <c r="B14" s="344"/>
      <c r="C14" s="344"/>
      <c r="D14" s="344"/>
      <c r="E14" s="344"/>
      <c r="F14" s="344"/>
      <c r="G14" s="344"/>
      <c r="H14" s="344"/>
      <c r="I14" s="344"/>
      <c r="J14" s="344"/>
    </row>
    <row r="15" spans="1:10" ht="16.350000000000001" customHeight="1">
      <c r="A15" s="344"/>
      <c r="B15" s="344"/>
      <c r="C15" s="344"/>
      <c r="D15" s="344"/>
      <c r="E15" s="344"/>
      <c r="F15" s="344"/>
      <c r="G15" s="344"/>
      <c r="H15" s="344"/>
      <c r="I15" s="344"/>
      <c r="J15" s="344"/>
    </row>
    <row r="16" spans="1:10" ht="16.350000000000001" customHeight="1">
      <c r="A16" s="344"/>
      <c r="B16" s="344"/>
      <c r="C16" s="344"/>
      <c r="D16" s="344"/>
      <c r="E16" s="344"/>
      <c r="F16" s="344"/>
      <c r="G16" s="344"/>
      <c r="H16" s="344"/>
      <c r="I16" s="344"/>
      <c r="J16" s="344"/>
    </row>
    <row r="17" spans="1:10" ht="19.5">
      <c r="A17" s="37"/>
      <c r="B17" s="37"/>
      <c r="C17" s="37"/>
      <c r="D17" s="37"/>
      <c r="E17" s="37"/>
      <c r="F17" s="37"/>
      <c r="G17" s="37"/>
      <c r="H17" s="37"/>
      <c r="I17" s="37"/>
      <c r="J17" s="37"/>
    </row>
    <row r="18" spans="1:10">
      <c r="A18" s="345" t="s">
        <v>36</v>
      </c>
      <c r="B18" s="346"/>
      <c r="C18" s="346"/>
      <c r="D18" s="346"/>
      <c r="E18" s="346"/>
      <c r="F18" s="346"/>
      <c r="G18" s="346"/>
      <c r="H18" s="346"/>
      <c r="I18" s="346"/>
      <c r="J18" s="346"/>
    </row>
    <row r="19" spans="1:10">
      <c r="A19" s="346"/>
      <c r="B19" s="346"/>
      <c r="C19" s="346"/>
      <c r="D19" s="346"/>
      <c r="E19" s="346"/>
      <c r="F19" s="346"/>
      <c r="G19" s="346"/>
      <c r="H19" s="346"/>
      <c r="I19" s="346"/>
      <c r="J19" s="346"/>
    </row>
    <row r="20" spans="1:10">
      <c r="A20" s="346"/>
      <c r="B20" s="346"/>
      <c r="C20" s="346"/>
      <c r="D20" s="346"/>
      <c r="E20" s="346"/>
      <c r="F20" s="346"/>
      <c r="G20" s="346"/>
      <c r="H20" s="346"/>
      <c r="I20" s="346"/>
      <c r="J20" s="346"/>
    </row>
    <row r="21" spans="1:10">
      <c r="A21" s="346"/>
      <c r="B21" s="346"/>
      <c r="C21" s="346"/>
      <c r="D21" s="346"/>
      <c r="E21" s="346"/>
      <c r="F21" s="346"/>
      <c r="G21" s="346"/>
      <c r="H21" s="346"/>
      <c r="I21" s="346"/>
      <c r="J21" s="346"/>
    </row>
    <row r="22" spans="1:10" s="38" customFormat="1" ht="16.350000000000001" customHeight="1">
      <c r="A22" s="346"/>
      <c r="B22" s="346"/>
      <c r="C22" s="346"/>
      <c r="D22" s="346"/>
      <c r="E22" s="346"/>
      <c r="F22" s="346"/>
      <c r="G22" s="346"/>
      <c r="H22" s="346"/>
      <c r="I22" s="346"/>
      <c r="J22" s="346"/>
    </row>
    <row r="23" spans="1:10" ht="30.75">
      <c r="A23" s="347"/>
      <c r="B23" s="347"/>
      <c r="C23" s="347"/>
      <c r="D23" s="347"/>
      <c r="E23" s="347"/>
      <c r="F23" s="347"/>
      <c r="G23" s="347"/>
      <c r="H23" s="347"/>
      <c r="I23" s="347"/>
      <c r="J23" s="347"/>
    </row>
    <row r="24" spans="1:10" ht="19.5">
      <c r="A24" s="37"/>
      <c r="B24" s="37"/>
      <c r="C24" s="37"/>
      <c r="D24" s="37"/>
      <c r="E24" s="37"/>
      <c r="F24" s="37"/>
      <c r="G24" s="37"/>
      <c r="H24" s="37"/>
      <c r="I24" s="37"/>
      <c r="J24" s="37"/>
    </row>
    <row r="25" spans="1:10" ht="24" customHeight="1">
      <c r="A25" s="348"/>
      <c r="B25" s="348"/>
      <c r="C25" s="348"/>
      <c r="D25" s="348"/>
      <c r="E25" s="348"/>
      <c r="F25" s="348"/>
      <c r="G25" s="348"/>
      <c r="H25" s="348"/>
      <c r="I25" s="348"/>
      <c r="J25" s="348"/>
    </row>
    <row r="26" spans="1:10" ht="24" customHeight="1">
      <c r="A26" s="348"/>
      <c r="B26" s="348"/>
      <c r="C26" s="348"/>
      <c r="D26" s="348"/>
      <c r="E26" s="348"/>
      <c r="F26" s="348"/>
      <c r="G26" s="348"/>
      <c r="H26" s="348"/>
      <c r="I26" s="348"/>
      <c r="J26" s="348"/>
    </row>
    <row r="27" spans="1:10" ht="19.5">
      <c r="A27" s="37"/>
      <c r="B27" s="37"/>
      <c r="C27" s="37"/>
      <c r="D27" s="37"/>
      <c r="E27" s="37"/>
      <c r="F27" s="37"/>
      <c r="G27" s="37"/>
      <c r="H27" s="37"/>
      <c r="I27" s="37"/>
      <c r="J27" s="37"/>
    </row>
    <row r="28" spans="1:10" ht="19.5">
      <c r="A28" s="37"/>
      <c r="B28" s="37"/>
      <c r="C28" s="37"/>
      <c r="D28" s="37"/>
      <c r="E28" s="37"/>
      <c r="F28" s="37"/>
      <c r="G28" s="37"/>
      <c r="H28" s="37"/>
      <c r="I28" s="37"/>
      <c r="J28" s="37"/>
    </row>
    <row r="29" spans="1:10" ht="24" customHeight="1">
      <c r="A29" s="39"/>
      <c r="B29" s="39"/>
      <c r="C29" s="39"/>
      <c r="D29" s="39"/>
      <c r="E29" s="39"/>
      <c r="F29" s="39"/>
      <c r="G29" s="39"/>
      <c r="H29" s="39"/>
      <c r="I29" s="39"/>
      <c r="J29" s="39"/>
    </row>
    <row r="30" spans="1:10" s="43" customFormat="1" ht="25.5">
      <c r="A30" s="40"/>
      <c r="B30" s="41" t="s">
        <v>25</v>
      </c>
      <c r="C30" s="42"/>
      <c r="D30" s="40" t="s">
        <v>24</v>
      </c>
      <c r="E30" s="40" t="str">
        <f>標單!I1</f>
        <v>呂罡銘建築師事務所</v>
      </c>
      <c r="F30" s="40"/>
      <c r="G30" s="40"/>
      <c r="H30" s="40"/>
      <c r="I30" s="40"/>
      <c r="J30" s="40"/>
    </row>
    <row r="31" spans="1:10" s="43" customFormat="1" ht="25.5">
      <c r="A31" s="40"/>
      <c r="B31" s="41" t="s">
        <v>26</v>
      </c>
      <c r="C31" s="42"/>
      <c r="D31" s="40" t="s">
        <v>24</v>
      </c>
      <c r="E31" s="40" t="str">
        <f>標單!I2</f>
        <v>阿奎營造有限公司</v>
      </c>
      <c r="F31" s="40"/>
      <c r="G31" s="40"/>
      <c r="H31" s="40"/>
      <c r="I31" s="40"/>
      <c r="J31" s="40"/>
    </row>
  </sheetData>
  <mergeCells count="5">
    <mergeCell ref="A4:J9"/>
    <mergeCell ref="A10:J16"/>
    <mergeCell ref="A18:J22"/>
    <mergeCell ref="A23:J23"/>
    <mergeCell ref="A25:J26"/>
  </mergeCells>
  <phoneticPr fontId="3" type="noConversion"/>
  <pageMargins left="0.7" right="0.7" top="0.75" bottom="0.75" header="0.3" footer="0.3"/>
  <pageSetup paperSize="9" scale="8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4C3E8-1318-4878-9494-700B0123DB55}">
  <sheetPr codeName="工作表10"/>
  <dimension ref="A1"/>
  <sheetViews>
    <sheetView showGridLines="0" topLeftCell="AI1" workbookViewId="0">
      <selection activeCell="AM8" sqref="AM8"/>
    </sheetView>
  </sheetViews>
  <sheetFormatPr defaultRowHeight="16.5"/>
  <cols>
    <col min="1" max="1" width="2.875" style="35" hidden="1" customWidth="1"/>
  </cols>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ageSetUpPr fitToPage="1"/>
  </sheetPr>
  <dimension ref="A1:H307"/>
  <sheetViews>
    <sheetView showGridLines="0" workbookViewId="0">
      <pane ySplit="7" topLeftCell="A17" activePane="bottomLeft" state="frozen"/>
      <selection pane="bottomLeft" activeCell="C28" sqref="C28:C208"/>
    </sheetView>
  </sheetViews>
  <sheetFormatPr defaultRowHeight="16.5"/>
  <cols>
    <col min="1" max="1" width="13" style="44" customWidth="1"/>
    <col min="2" max="3" width="15" style="44" customWidth="1"/>
    <col min="4" max="4" width="13.5" style="44" customWidth="1"/>
    <col min="5" max="7" width="13" style="44" customWidth="1"/>
    <col min="8" max="8" width="14" style="133" customWidth="1"/>
  </cols>
  <sheetData>
    <row r="1" spans="1:8">
      <c r="A1" s="350" t="s">
        <v>220</v>
      </c>
      <c r="B1" s="351"/>
      <c r="C1" s="351"/>
      <c r="D1" s="351"/>
      <c r="E1" s="351"/>
      <c r="F1" s="351"/>
      <c r="G1" s="351"/>
      <c r="H1" s="351"/>
    </row>
    <row r="2" spans="1:8">
      <c r="A2" s="45" t="s">
        <v>2</v>
      </c>
      <c r="B2" s="352" t="s">
        <v>139</v>
      </c>
      <c r="C2" s="351"/>
      <c r="D2" s="351"/>
      <c r="E2" s="351"/>
      <c r="F2" s="351"/>
      <c r="G2" s="351"/>
      <c r="H2" s="351"/>
    </row>
    <row r="3" spans="1:8">
      <c r="A3" s="46" t="s">
        <v>94</v>
      </c>
      <c r="B3" s="47">
        <f>數量表!B5</f>
        <v>46246</v>
      </c>
      <c r="C3" s="46" t="s">
        <v>86</v>
      </c>
      <c r="E3" s="48" t="str">
        <f>數量表!B11</f>
        <v>日曆天</v>
      </c>
      <c r="F3" s="46" t="s">
        <v>221</v>
      </c>
      <c r="G3" s="48">
        <f>數量表!B7</f>
        <v>200</v>
      </c>
    </row>
    <row r="4" spans="1:8" ht="30">
      <c r="A4" s="46" t="s">
        <v>222</v>
      </c>
      <c r="B4" s="47">
        <f>IF(數量表!$B$11="日曆天",數量表!$B$5+數量表!$B$7-1,WORKDAY.INTL(數量表!$B$5-1,數量表!$B$7,1))</f>
        <v>46445</v>
      </c>
      <c r="C4" s="46" t="s">
        <v>223</v>
      </c>
      <c r="E4" s="48">
        <f>數量表!B10</f>
        <v>0</v>
      </c>
      <c r="F4" s="46" t="s">
        <v>224</v>
      </c>
      <c r="G4" s="48">
        <f>數量表!B6</f>
        <v>46445</v>
      </c>
    </row>
    <row r="5" spans="1:8" ht="30">
      <c r="A5" s="46" t="s">
        <v>225</v>
      </c>
      <c r="B5" s="47">
        <f>日誌!I3</f>
        <v>46246</v>
      </c>
      <c r="C5" s="46" t="s">
        <v>226</v>
      </c>
      <c r="E5" s="48">
        <f>INDEX(數量表!$E$7:$GW$7,1,MATCH(日誌!I3,數量表!$E$4:$GW$4,0))</f>
        <v>1</v>
      </c>
      <c r="F5" s="46" t="s">
        <v>227</v>
      </c>
      <c r="G5" s="48">
        <f>INDEX(數量表!$E$10:$GW$10,1,MATCH(日誌!I3,數量表!$E$4:$GW$4,0))</f>
        <v>6.5100000000000002E-3</v>
      </c>
    </row>
    <row r="7" spans="1:8" ht="30">
      <c r="A7" s="49" t="s">
        <v>27</v>
      </c>
      <c r="B7" s="49" t="s">
        <v>32</v>
      </c>
      <c r="C7" s="49" t="s">
        <v>228</v>
      </c>
      <c r="D7" s="53" t="s">
        <v>33</v>
      </c>
      <c r="E7" s="49" t="s">
        <v>229</v>
      </c>
      <c r="F7" s="49" t="s">
        <v>230</v>
      </c>
      <c r="G7" s="49" t="s">
        <v>231</v>
      </c>
      <c r="H7" s="134" t="s">
        <v>232</v>
      </c>
    </row>
    <row r="8" spans="1:8">
      <c r="A8" s="50">
        <f>數量表!E4</f>
        <v>46246</v>
      </c>
      <c r="B8" s="51">
        <f>數量表!E9</f>
        <v>0</v>
      </c>
      <c r="C8" s="51">
        <f>數量表!E9</f>
        <v>0</v>
      </c>
      <c r="D8" s="51">
        <f>數量表!E10</f>
        <v>6.5100000000000002E-3</v>
      </c>
      <c r="E8" s="52">
        <f>數量表!E7</f>
        <v>1</v>
      </c>
      <c r="F8" s="52">
        <f>數量表!E7</f>
        <v>1</v>
      </c>
      <c r="G8" s="52">
        <f>COUNTIF(數量表!$E$11:'數量表'!E$11,"不計工期")</f>
        <v>0</v>
      </c>
      <c r="H8" s="135">
        <f>IF(數量表!$B$11="日曆天",$B$4+G8,WORKDAY.INTL($B$4,G8,1))</f>
        <v>46445</v>
      </c>
    </row>
    <row r="9" spans="1:8">
      <c r="A9" s="50">
        <f>數量表!F4</f>
        <v>46247</v>
      </c>
      <c r="B9" s="51">
        <f>MAX(0,數量表!F9-數量表!E9)</f>
        <v>1.3714300000000001E-3</v>
      </c>
      <c r="C9" s="51">
        <f>數量表!F9</f>
        <v>1.3714300000000001E-3</v>
      </c>
      <c r="D9" s="51">
        <f>數量表!F10</f>
        <v>9.0200000000000002E-3</v>
      </c>
      <c r="E9" s="52">
        <f>數量表!F7-數量表!E7</f>
        <v>1</v>
      </c>
      <c r="F9" s="52">
        <f>數量表!F7</f>
        <v>2</v>
      </c>
      <c r="G9" s="52">
        <f>COUNTIF(數量表!$E$11:'數量表'!F$11,"不計工期")</f>
        <v>0</v>
      </c>
      <c r="H9" s="135">
        <f>IF(數量表!$B$11="日曆天",$B$4+G9,WORKDAY.INTL($B$4,G9,1))</f>
        <v>46445</v>
      </c>
    </row>
    <row r="10" spans="1:8">
      <c r="A10" s="50">
        <f>數量表!G4</f>
        <v>46248</v>
      </c>
      <c r="B10" s="51">
        <f>MAX(0,數量表!G9-數量表!F9)</f>
        <v>1.3714300000000001E-3</v>
      </c>
      <c r="C10" s="51">
        <f>數量表!G9</f>
        <v>2.7428600000000002E-3</v>
      </c>
      <c r="D10" s="51">
        <f>數量表!G10</f>
        <v>1.1900000000000001E-2</v>
      </c>
      <c r="E10" s="52">
        <f>數量表!G7-數量表!F7</f>
        <v>1</v>
      </c>
      <c r="F10" s="52">
        <f>數量表!G7</f>
        <v>3</v>
      </c>
      <c r="G10" s="52">
        <f>COUNTIF(數量表!$E$11:'數量表'!G$11,"不計工期")</f>
        <v>0</v>
      </c>
      <c r="H10" s="135">
        <f>IF(數量表!$B$11="日曆天",$B$4+G10,WORKDAY.INTL($B$4,G10,1))</f>
        <v>46445</v>
      </c>
    </row>
    <row r="11" spans="1:8">
      <c r="A11" s="50">
        <f>數量表!H4</f>
        <v>46249</v>
      </c>
      <c r="B11" s="51">
        <f>MAX(0,數量表!H9-數量表!G9)</f>
        <v>1.3714299999999994E-3</v>
      </c>
      <c r="C11" s="51">
        <f>數量表!H9</f>
        <v>4.1142899999999996E-3</v>
      </c>
      <c r="D11" s="51">
        <f>數量表!H10</f>
        <v>1.478E-2</v>
      </c>
      <c r="E11" s="52">
        <f>數量表!H7-數量表!G7</f>
        <v>1</v>
      </c>
      <c r="F11" s="52">
        <f>數量表!H7</f>
        <v>4</v>
      </c>
      <c r="G11" s="52">
        <f>COUNTIF(數量表!$E$11:'數量表'!H$11,"不計工期")</f>
        <v>0</v>
      </c>
      <c r="H11" s="135">
        <f>IF(數量表!$B$11="日曆天",$B$4+G11,WORKDAY.INTL($B$4,G11,1))</f>
        <v>46445</v>
      </c>
    </row>
    <row r="12" spans="1:8">
      <c r="A12" s="50">
        <f>數量表!I4</f>
        <v>46250</v>
      </c>
      <c r="B12" s="51">
        <f>MAX(0,數量表!I9-數量表!H9)</f>
        <v>1.3714200000000008E-3</v>
      </c>
      <c r="C12" s="51">
        <f>數量表!I9</f>
        <v>5.4857100000000004E-3</v>
      </c>
      <c r="D12" s="51">
        <f>數量表!I10</f>
        <v>1.7659999999999999E-2</v>
      </c>
      <c r="E12" s="52">
        <f>數量表!I7-數量表!H7</f>
        <v>1</v>
      </c>
      <c r="F12" s="52">
        <f>數量表!I7</f>
        <v>5</v>
      </c>
      <c r="G12" s="52">
        <f>COUNTIF(數量表!$E$11:'數量表'!I$11,"不計工期")</f>
        <v>0</v>
      </c>
      <c r="H12" s="135">
        <f>IF(數量表!$B$11="日曆天",$B$4+G12,WORKDAY.INTL($B$4,G12,1))</f>
        <v>46445</v>
      </c>
    </row>
    <row r="13" spans="1:8">
      <c r="A13" s="50">
        <f>數量表!J4</f>
        <v>46251</v>
      </c>
      <c r="B13" s="51">
        <f>MAX(0,數量表!J9-數量表!I9)</f>
        <v>1.3714299999999999E-3</v>
      </c>
      <c r="C13" s="51">
        <f>數量表!J9</f>
        <v>6.8571400000000003E-3</v>
      </c>
      <c r="D13" s="51">
        <f>數量表!J10</f>
        <v>2.0539999999999999E-2</v>
      </c>
      <c r="E13" s="52">
        <f>數量表!J7-數量表!I7</f>
        <v>1</v>
      </c>
      <c r="F13" s="52">
        <f>數量表!J7</f>
        <v>6</v>
      </c>
      <c r="G13" s="52">
        <f>COUNTIF(數量表!$E$11:'數量表'!J$11,"不計工期")</f>
        <v>0</v>
      </c>
      <c r="H13" s="135">
        <f>IF(數量表!$B$11="日曆天",$B$4+G13,WORKDAY.INTL($B$4,G13,1))</f>
        <v>46445</v>
      </c>
    </row>
    <row r="14" spans="1:8">
      <c r="A14" s="50">
        <f>數量表!K4</f>
        <v>46252</v>
      </c>
      <c r="B14" s="51">
        <f>MAX(0,數量表!K9-數量表!J9)</f>
        <v>1.371429999999999E-3</v>
      </c>
      <c r="C14" s="51">
        <f>數量表!K9</f>
        <v>8.2285699999999993E-3</v>
      </c>
      <c r="D14" s="51">
        <f>數量表!K10</f>
        <v>2.342E-2</v>
      </c>
      <c r="E14" s="52">
        <f>數量表!K7-數量表!J7</f>
        <v>1</v>
      </c>
      <c r="F14" s="52">
        <f>數量表!K7</f>
        <v>7</v>
      </c>
      <c r="G14" s="52">
        <f>COUNTIF(數量表!$E$11:'數量表'!K$11,"不計工期")</f>
        <v>0</v>
      </c>
      <c r="H14" s="135">
        <f>IF(數量表!$B$11="日曆天",$B$4+G14,WORKDAY.INTL($B$4,G14,1))</f>
        <v>46445</v>
      </c>
    </row>
    <row r="15" spans="1:8">
      <c r="A15" s="50">
        <f>數量表!L4</f>
        <v>46253</v>
      </c>
      <c r="B15" s="51">
        <f>MAX(0,數量表!L9-數量表!K9)</f>
        <v>1.3714299999999999E-3</v>
      </c>
      <c r="C15" s="51">
        <f>數量表!L9</f>
        <v>9.5999999999999992E-3</v>
      </c>
      <c r="D15" s="51">
        <f>數量表!L10</f>
        <v>2.63E-2</v>
      </c>
      <c r="E15" s="52">
        <f>數量表!L7-數量表!K7</f>
        <v>1</v>
      </c>
      <c r="F15" s="52">
        <f>數量表!L7</f>
        <v>8</v>
      </c>
      <c r="G15" s="52">
        <f>COUNTIF(數量表!$E$11:'數量表'!L$11,"不計工期")</f>
        <v>0</v>
      </c>
      <c r="H15" s="135">
        <f>IF(數量表!$B$11="日曆天",$B$4+G15,WORKDAY.INTL($B$4,G15,1))</f>
        <v>46445</v>
      </c>
    </row>
    <row r="16" spans="1:8">
      <c r="A16" s="50">
        <f>數量表!M4</f>
        <v>46254</v>
      </c>
      <c r="B16" s="51">
        <f>MAX(0,數量表!M9-數量表!L9)</f>
        <v>4.1714300000000003E-3</v>
      </c>
      <c r="C16" s="51">
        <f>數量表!M9</f>
        <v>1.3771429999999999E-2</v>
      </c>
      <c r="D16" s="51">
        <f>數量表!M10</f>
        <v>2.9180000000000001E-2</v>
      </c>
      <c r="E16" s="52">
        <f>數量表!M7-數量表!L7</f>
        <v>1</v>
      </c>
      <c r="F16" s="52">
        <f>數量表!M7</f>
        <v>9</v>
      </c>
      <c r="G16" s="52">
        <f>COUNTIF(數量表!$E$11:'數量表'!M$11,"不計工期")</f>
        <v>0</v>
      </c>
      <c r="H16" s="135">
        <f>IF(數量表!$B$11="日曆天",$B$4+G16,WORKDAY.INTL($B$4,G16,1))</f>
        <v>46445</v>
      </c>
    </row>
    <row r="17" spans="1:8">
      <c r="A17" s="50">
        <f>數量表!N4</f>
        <v>46255</v>
      </c>
      <c r="B17" s="51">
        <f>MAX(0,數量表!N9-數量表!M9)</f>
        <v>4.171430000000002E-3</v>
      </c>
      <c r="C17" s="51">
        <f>數量表!N9</f>
        <v>1.7942860000000001E-2</v>
      </c>
      <c r="D17" s="51">
        <f>數量表!N10</f>
        <v>3.2059999999999998E-2</v>
      </c>
      <c r="E17" s="52">
        <f>數量表!N7-數量表!M7</f>
        <v>1</v>
      </c>
      <c r="F17" s="52">
        <f>數量表!N7</f>
        <v>10</v>
      </c>
      <c r="G17" s="52">
        <f>COUNTIF(數量表!$E$11:'數量表'!N$11,"不計工期")</f>
        <v>0</v>
      </c>
      <c r="H17" s="135">
        <f>IF(數量表!$B$11="日曆天",$B$4+G17,WORKDAY.INTL($B$4,G17,1))</f>
        <v>46445</v>
      </c>
    </row>
    <row r="18" spans="1:8">
      <c r="A18" s="50">
        <f>數量表!O4</f>
        <v>46256</v>
      </c>
      <c r="B18" s="51">
        <f>MAX(0,數量表!O9-數量表!N9)</f>
        <v>4.1714300000000003E-3</v>
      </c>
      <c r="C18" s="51">
        <f>數量表!O9</f>
        <v>2.2114290000000002E-2</v>
      </c>
      <c r="D18" s="51">
        <f>數量表!O10</f>
        <v>3.4939999999999999E-2</v>
      </c>
      <c r="E18" s="52">
        <f>數量表!O7-數量表!N7</f>
        <v>1</v>
      </c>
      <c r="F18" s="52">
        <f>數量表!O7</f>
        <v>11</v>
      </c>
      <c r="G18" s="52">
        <f>COUNTIF(數量表!$E$11:'數量表'!O$11,"不計工期")</f>
        <v>0</v>
      </c>
      <c r="H18" s="135">
        <f>IF(數量表!$B$11="日曆天",$B$4+G18,WORKDAY.INTL($B$4,G18,1))</f>
        <v>46445</v>
      </c>
    </row>
    <row r="19" spans="1:8">
      <c r="A19" s="50">
        <f>數量表!P4</f>
        <v>46257</v>
      </c>
      <c r="B19" s="51">
        <f>MAX(0,數量表!P9-數量表!O9)</f>
        <v>4.1714199999999986E-3</v>
      </c>
      <c r="C19" s="51">
        <f>數量表!P9</f>
        <v>2.628571E-2</v>
      </c>
      <c r="D19" s="51">
        <f>數量表!P10</f>
        <v>3.7819999999999999E-2</v>
      </c>
      <c r="E19" s="52">
        <f>數量表!P7-數量表!O7</f>
        <v>1</v>
      </c>
      <c r="F19" s="52">
        <f>數量表!P7</f>
        <v>12</v>
      </c>
      <c r="G19" s="52">
        <f>COUNTIF(數量表!$E$11:'數量表'!P$11,"不計工期")</f>
        <v>0</v>
      </c>
      <c r="H19" s="135">
        <f>IF(數量表!$B$11="日曆天",$B$4+G19,WORKDAY.INTL($B$4,G19,1))</f>
        <v>46445</v>
      </c>
    </row>
    <row r="20" spans="1:8">
      <c r="A20" s="50">
        <f>數量表!Q4</f>
        <v>46258</v>
      </c>
      <c r="B20" s="51">
        <f>MAX(0,數量表!Q9-數量表!P9)</f>
        <v>4.1714300000000003E-3</v>
      </c>
      <c r="C20" s="51">
        <f>數量表!Q9</f>
        <v>3.0457140000000001E-2</v>
      </c>
      <c r="D20" s="51">
        <f>數量表!Q10</f>
        <v>4.07E-2</v>
      </c>
      <c r="E20" s="52">
        <f>數量表!Q7-數量表!P7</f>
        <v>1</v>
      </c>
      <c r="F20" s="52">
        <f>數量表!Q7</f>
        <v>13</v>
      </c>
      <c r="G20" s="52">
        <f>COUNTIF(數量表!$E$11:'數量表'!Q$11,"不計工期")</f>
        <v>0</v>
      </c>
      <c r="H20" s="135">
        <f>IF(數量表!$B$11="日曆天",$B$4+G20,WORKDAY.INTL($B$4,G20,1))</f>
        <v>46445</v>
      </c>
    </row>
    <row r="21" spans="1:8">
      <c r="A21" s="50">
        <f>數量表!R4</f>
        <v>46259</v>
      </c>
      <c r="B21" s="51">
        <f>MAX(0,數量表!R9-數量表!Q9)</f>
        <v>4.1714299999999968E-3</v>
      </c>
      <c r="C21" s="51">
        <f>數量表!R9</f>
        <v>3.4628569999999997E-2</v>
      </c>
      <c r="D21" s="51">
        <f>數量表!R10</f>
        <v>4.3580000000000001E-2</v>
      </c>
      <c r="E21" s="52">
        <f>數量表!R7-數量表!Q7</f>
        <v>1</v>
      </c>
      <c r="F21" s="52">
        <f>數量表!R7</f>
        <v>14</v>
      </c>
      <c r="G21" s="52">
        <f>COUNTIF(數量表!$E$11:'數量表'!R$11,"不計工期")</f>
        <v>0</v>
      </c>
      <c r="H21" s="135">
        <f>IF(數量表!$B$11="日曆天",$B$4+G21,WORKDAY.INTL($B$4,G21,1))</f>
        <v>46445</v>
      </c>
    </row>
    <row r="22" spans="1:8">
      <c r="A22" s="50">
        <f>數量表!S4</f>
        <v>46260</v>
      </c>
      <c r="B22" s="51">
        <f>MAX(0,數量表!S9-數量表!R9)</f>
        <v>4.1714300000000037E-3</v>
      </c>
      <c r="C22" s="51">
        <f>數量表!S9</f>
        <v>3.8800000000000001E-2</v>
      </c>
      <c r="D22" s="51">
        <f>數量表!S10</f>
        <v>4.6460000000000001E-2</v>
      </c>
      <c r="E22" s="52">
        <f>數量表!S7-數量表!R7</f>
        <v>1</v>
      </c>
      <c r="F22" s="52">
        <f>數量表!S7</f>
        <v>15</v>
      </c>
      <c r="G22" s="52">
        <f>COUNTIF(數量表!$E$11:'數量表'!S$11,"不計工期")</f>
        <v>0</v>
      </c>
      <c r="H22" s="135">
        <f>IF(數量表!$B$11="日曆天",$B$4+G22,WORKDAY.INTL($B$4,G22,1))</f>
        <v>46445</v>
      </c>
    </row>
    <row r="23" spans="1:8">
      <c r="A23" s="50">
        <f>數量表!T4</f>
        <v>46261</v>
      </c>
      <c r="B23" s="51">
        <f>MAX(0,數量表!T9-數量表!S9)</f>
        <v>3.07143E-3</v>
      </c>
      <c r="C23" s="51">
        <f>數量表!T9</f>
        <v>4.1871430000000001E-2</v>
      </c>
      <c r="D23" s="51">
        <f>數量表!T10</f>
        <v>4.9340000000000002E-2</v>
      </c>
      <c r="E23" s="52">
        <f>數量表!T7-數量表!S7</f>
        <v>1</v>
      </c>
      <c r="F23" s="52">
        <f>數量表!T7</f>
        <v>16</v>
      </c>
      <c r="G23" s="52">
        <f>COUNTIF(數量表!$E$11:'數量表'!T$11,"不計工期")</f>
        <v>0</v>
      </c>
      <c r="H23" s="135">
        <f>IF(數量表!$B$11="日曆天",$B$4+G23,WORKDAY.INTL($B$4,G23,1))</f>
        <v>46445</v>
      </c>
    </row>
    <row r="24" spans="1:8">
      <c r="A24" s="50">
        <f>數量表!U4</f>
        <v>46262</v>
      </c>
      <c r="B24" s="51">
        <f>MAX(0,數量表!U9-數量表!T9)</f>
        <v>3.07143E-3</v>
      </c>
      <c r="C24" s="51">
        <f>數量表!U9</f>
        <v>4.4942860000000001E-2</v>
      </c>
      <c r="D24" s="51">
        <f>數量表!U10</f>
        <v>5.2220000000000003E-2</v>
      </c>
      <c r="E24" s="52">
        <f>數量表!U7-數量表!T7</f>
        <v>1</v>
      </c>
      <c r="F24" s="52">
        <f>數量表!U7</f>
        <v>17</v>
      </c>
      <c r="G24" s="52">
        <f>COUNTIF(數量表!$E$11:'數量表'!U$11,"不計工期")</f>
        <v>0</v>
      </c>
      <c r="H24" s="135">
        <f>IF(數量表!$B$11="日曆天",$B$4+G24,WORKDAY.INTL($B$4,G24,1))</f>
        <v>46445</v>
      </c>
    </row>
    <row r="25" spans="1:8">
      <c r="A25" s="50">
        <f>數量表!V4</f>
        <v>46263</v>
      </c>
      <c r="B25" s="51">
        <f>MAX(0,數量表!V9-數量表!U9)</f>
        <v>3.07143E-3</v>
      </c>
      <c r="C25" s="51">
        <f>數量表!V9</f>
        <v>4.8014290000000001E-2</v>
      </c>
      <c r="D25" s="51">
        <f>數量表!V10</f>
        <v>5.5100000000000003E-2</v>
      </c>
      <c r="E25" s="52">
        <f>數量表!V7-數量表!U7</f>
        <v>1</v>
      </c>
      <c r="F25" s="52">
        <f>數量表!V7</f>
        <v>18</v>
      </c>
      <c r="G25" s="52">
        <f>COUNTIF(數量表!$E$11:'數量表'!V$11,"不計工期")</f>
        <v>0</v>
      </c>
      <c r="H25" s="135">
        <f>IF(數量表!$B$11="日曆天",$B$4+G25,WORKDAY.INTL($B$4,G25,1))</f>
        <v>46445</v>
      </c>
    </row>
    <row r="26" spans="1:8">
      <c r="A26" s="50">
        <f>數量表!W4</f>
        <v>46264</v>
      </c>
      <c r="B26" s="51">
        <f>MAX(0,數量表!W9-數量表!V9)</f>
        <v>3.0714199999999983E-3</v>
      </c>
      <c r="C26" s="51">
        <f>數量表!W9</f>
        <v>5.1085709999999999E-2</v>
      </c>
      <c r="D26" s="51">
        <f>數量表!W10</f>
        <v>5.7979999999999997E-2</v>
      </c>
      <c r="E26" s="52">
        <f>數量表!W7-數量表!V7</f>
        <v>1</v>
      </c>
      <c r="F26" s="52">
        <f>數量表!W7</f>
        <v>19</v>
      </c>
      <c r="G26" s="52">
        <f>COUNTIF(數量表!$E$11:'數量表'!W$11,"不計工期")</f>
        <v>0</v>
      </c>
      <c r="H26" s="135">
        <f>IF(數量表!$B$11="日曆天",$B$4+G26,WORKDAY.INTL($B$4,G26,1))</f>
        <v>46445</v>
      </c>
    </row>
    <row r="27" spans="1:8">
      <c r="A27" s="50">
        <f>數量表!X4</f>
        <v>46265</v>
      </c>
      <c r="B27" s="51">
        <f>MAX(0,數量表!X9-數量表!W9)</f>
        <v>3.07143E-3</v>
      </c>
      <c r="C27" s="51">
        <f>數量表!X9</f>
        <v>5.4157139999999999E-2</v>
      </c>
      <c r="D27" s="51">
        <f>數量表!X10</f>
        <v>6.0859999999999997E-2</v>
      </c>
      <c r="E27" s="52">
        <f>數量表!X7-數量表!W7</f>
        <v>1</v>
      </c>
      <c r="F27" s="52">
        <f>數量表!X7</f>
        <v>20</v>
      </c>
      <c r="G27" s="52">
        <f>COUNTIF(數量表!$E$11:'數量表'!X$11,"不計工期")</f>
        <v>0</v>
      </c>
      <c r="H27" s="135">
        <f>IF(數量表!$B$11="日曆天",$B$4+G27,WORKDAY.INTL($B$4,G27,1))</f>
        <v>46445</v>
      </c>
    </row>
    <row r="28" spans="1:8">
      <c r="A28" s="50">
        <f>數量表!Y4</f>
        <v>46266</v>
      </c>
      <c r="B28" s="51">
        <f>MAX(0,數量表!Y9-數量表!X9)</f>
        <v>3.07143E-3</v>
      </c>
      <c r="C28" s="51">
        <f>數量表!Y9</f>
        <v>5.7228569999999999E-2</v>
      </c>
      <c r="D28" s="51">
        <f>數量表!Y10</f>
        <v>6.0859999999999997E-2</v>
      </c>
      <c r="E28" s="52">
        <f>數量表!Y7-數量表!X7</f>
        <v>1</v>
      </c>
      <c r="F28" s="52">
        <f>數量表!Y7</f>
        <v>21</v>
      </c>
      <c r="G28" s="52">
        <f>COUNTIF(數量表!$E$11:'數量表'!Y$11,"不計工期")</f>
        <v>0</v>
      </c>
      <c r="H28" s="135">
        <f>IF(數量表!$B$11="日曆天",$B$4+G28,WORKDAY.INTL($B$4,G28,1))</f>
        <v>46445</v>
      </c>
    </row>
    <row r="29" spans="1:8">
      <c r="A29" s="50">
        <f>數量表!Z4</f>
        <v>46267</v>
      </c>
      <c r="B29" s="51">
        <f>MAX(0,數量表!Z9-數量表!Y9)</f>
        <v>3.07143E-3</v>
      </c>
      <c r="C29" s="51">
        <f>數量表!Z9</f>
        <v>6.0299999999999999E-2</v>
      </c>
      <c r="D29" s="51">
        <f>數量表!Z10</f>
        <v>6.0859999999999997E-2</v>
      </c>
      <c r="E29" s="52">
        <f>數量表!Z7-數量表!Y7</f>
        <v>1</v>
      </c>
      <c r="F29" s="52">
        <f>數量表!Z7</f>
        <v>22</v>
      </c>
      <c r="G29" s="52">
        <f>COUNTIF(數量表!$E$11:'數量表'!Z$11,"不計工期")</f>
        <v>0</v>
      </c>
      <c r="H29" s="135">
        <f>IF(數量表!$B$11="日曆天",$B$4+G29,WORKDAY.INTL($B$4,G29,1))</f>
        <v>46445</v>
      </c>
    </row>
    <row r="30" spans="1:8">
      <c r="A30" s="50">
        <f>數量表!AA4</f>
        <v>46268</v>
      </c>
      <c r="B30" s="51">
        <f>MAX(0,數量表!AA9-數量表!Z9)</f>
        <v>3.0571400000000068E-3</v>
      </c>
      <c r="C30" s="51">
        <f>數量表!AA9</f>
        <v>6.3357140000000006E-2</v>
      </c>
      <c r="D30" s="51">
        <f>數量表!AA10</f>
        <v>6.0859999999999997E-2</v>
      </c>
      <c r="E30" s="52">
        <f>數量表!AA7-數量表!Z7</f>
        <v>1</v>
      </c>
      <c r="F30" s="52">
        <f>數量表!AA7</f>
        <v>23</v>
      </c>
      <c r="G30" s="52">
        <f>COUNTIF(數量表!$E$11:'數量表'!AA$11,"不計工期")</f>
        <v>0</v>
      </c>
      <c r="H30" s="135">
        <f>IF(數量表!$B$11="日曆天",$B$4+G30,WORKDAY.INTL($B$4,G30,1))</f>
        <v>46445</v>
      </c>
    </row>
    <row r="31" spans="1:8">
      <c r="A31" s="50">
        <f>數量表!AB4</f>
        <v>46269</v>
      </c>
      <c r="B31" s="51">
        <f>MAX(0,數量表!AB9-數量表!AA9)</f>
        <v>3.0571499999999946E-3</v>
      </c>
      <c r="C31" s="51">
        <f>數量表!AB9</f>
        <v>6.6414290000000001E-2</v>
      </c>
      <c r="D31" s="51">
        <f>數量表!AB10</f>
        <v>6.0859999999999997E-2</v>
      </c>
      <c r="E31" s="52">
        <f>數量表!AB7-數量表!AA7</f>
        <v>1</v>
      </c>
      <c r="F31" s="52">
        <f>數量表!AB7</f>
        <v>24</v>
      </c>
      <c r="G31" s="52">
        <f>COUNTIF(數量表!$E$11:'數量表'!AB$11,"不計工期")</f>
        <v>0</v>
      </c>
      <c r="H31" s="135">
        <f>IF(數量表!$B$11="日曆天",$B$4+G31,WORKDAY.INTL($B$4,G31,1))</f>
        <v>46445</v>
      </c>
    </row>
    <row r="32" spans="1:8">
      <c r="A32" s="50">
        <f>數量表!AC4</f>
        <v>46270</v>
      </c>
      <c r="B32" s="51">
        <f>MAX(0,數量表!AC9-數量表!AB9)</f>
        <v>3.0571399999999999E-3</v>
      </c>
      <c r="C32" s="51">
        <f>數量表!AC9</f>
        <v>6.9471430000000001E-2</v>
      </c>
      <c r="D32" s="51">
        <f>數量表!AC10</f>
        <v>6.0859999999999997E-2</v>
      </c>
      <c r="E32" s="52">
        <f>數量表!AC7-數量表!AB7</f>
        <v>1</v>
      </c>
      <c r="F32" s="52">
        <f>數量表!AC7</f>
        <v>25</v>
      </c>
      <c r="G32" s="52">
        <f>COUNTIF(數量表!$E$11:'數量表'!AC$11,"不計工期")</f>
        <v>0</v>
      </c>
      <c r="H32" s="135">
        <f>IF(數量表!$B$11="日曆天",$B$4+G32,WORKDAY.INTL($B$4,G32,1))</f>
        <v>46445</v>
      </c>
    </row>
    <row r="33" spans="1:8">
      <c r="A33" s="50">
        <f>數量表!AD4</f>
        <v>46271</v>
      </c>
      <c r="B33" s="51">
        <f>MAX(0,數量表!AD9-數量表!AC9)</f>
        <v>3.0571399999999999E-3</v>
      </c>
      <c r="C33" s="51">
        <f>數量表!AD9</f>
        <v>7.2528570000000001E-2</v>
      </c>
      <c r="D33" s="51">
        <f>數量表!AD10</f>
        <v>6.0859999999999997E-2</v>
      </c>
      <c r="E33" s="52">
        <f>數量表!AD7-數量表!AC7</f>
        <v>1</v>
      </c>
      <c r="F33" s="52">
        <f>數量表!AD7</f>
        <v>26</v>
      </c>
      <c r="G33" s="52">
        <f>COUNTIF(數量表!$E$11:'數量表'!AD$11,"不計工期")</f>
        <v>0</v>
      </c>
      <c r="H33" s="135">
        <f>IF(數量表!$B$11="日曆天",$B$4+G33,WORKDAY.INTL($B$4,G33,1))</f>
        <v>46445</v>
      </c>
    </row>
    <row r="34" spans="1:8">
      <c r="A34" s="50">
        <f>數量表!AE4</f>
        <v>46272</v>
      </c>
      <c r="B34" s="51">
        <f>MAX(0,數量表!AE9-數量表!AD9)</f>
        <v>3.0571399999999999E-3</v>
      </c>
      <c r="C34" s="51">
        <f>數量表!AE9</f>
        <v>7.558571E-2</v>
      </c>
      <c r="D34" s="51">
        <f>數量表!AE10</f>
        <v>6.0859999999999997E-2</v>
      </c>
      <c r="E34" s="52">
        <f>數量表!AE7-數量表!AD7</f>
        <v>1</v>
      </c>
      <c r="F34" s="52">
        <f>數量表!AE7</f>
        <v>27</v>
      </c>
      <c r="G34" s="52">
        <f>COUNTIF(數量表!$E$11:'數量表'!AE$11,"不計工期")</f>
        <v>0</v>
      </c>
      <c r="H34" s="135">
        <f>IF(數量表!$B$11="日曆天",$B$4+G34,WORKDAY.INTL($B$4,G34,1))</f>
        <v>46445</v>
      </c>
    </row>
    <row r="35" spans="1:8">
      <c r="A35" s="50">
        <f>數量表!AF4</f>
        <v>46273</v>
      </c>
      <c r="B35" s="51">
        <f>MAX(0,數量表!AF9-數量表!AE9)</f>
        <v>3.0571499999999946E-3</v>
      </c>
      <c r="C35" s="51">
        <f>數量表!AF9</f>
        <v>7.8642859999999995E-2</v>
      </c>
      <c r="D35" s="51">
        <f>數量表!AF10</f>
        <v>6.0859999999999997E-2</v>
      </c>
      <c r="E35" s="52">
        <f>數量表!AF7-數量表!AE7</f>
        <v>1</v>
      </c>
      <c r="F35" s="52">
        <f>數量表!AF7</f>
        <v>28</v>
      </c>
      <c r="G35" s="52">
        <f>COUNTIF(數量表!$E$11:'數量表'!AF$11,"不計工期")</f>
        <v>0</v>
      </c>
      <c r="H35" s="135">
        <f>IF(數量表!$B$11="日曆天",$B$4+G35,WORKDAY.INTL($B$4,G35,1))</f>
        <v>46445</v>
      </c>
    </row>
    <row r="36" spans="1:8">
      <c r="A36" s="50">
        <f>數量表!AG4</f>
        <v>46274</v>
      </c>
      <c r="B36" s="51">
        <f>MAX(0,數量表!AG9-數量表!AF9)</f>
        <v>3.0571399999999999E-3</v>
      </c>
      <c r="C36" s="51">
        <f>數量表!AG9</f>
        <v>8.1699999999999995E-2</v>
      </c>
      <c r="D36" s="51">
        <f>數量表!AG10</f>
        <v>6.0859999999999997E-2</v>
      </c>
      <c r="E36" s="52">
        <f>數量表!AG7-數量表!AF7</f>
        <v>1</v>
      </c>
      <c r="F36" s="52">
        <f>數量表!AG7</f>
        <v>29</v>
      </c>
      <c r="G36" s="52">
        <f>COUNTIF(數量表!$E$11:'數量表'!AG$11,"不計工期")</f>
        <v>0</v>
      </c>
      <c r="H36" s="135">
        <f>IF(數量表!$B$11="日曆天",$B$4+G36,WORKDAY.INTL($B$4,G36,1))</f>
        <v>46445</v>
      </c>
    </row>
    <row r="37" spans="1:8">
      <c r="A37" s="50">
        <f>數量表!AH4</f>
        <v>46275</v>
      </c>
      <c r="B37" s="51">
        <f>MAX(0,數量表!AH9-數量表!AG9)</f>
        <v>3.8857100000000006E-3</v>
      </c>
      <c r="C37" s="51">
        <f>數量表!AH9</f>
        <v>8.5585709999999995E-2</v>
      </c>
      <c r="D37" s="51">
        <f>數量表!AH10</f>
        <v>6.0859999999999997E-2</v>
      </c>
      <c r="E37" s="52">
        <f>數量表!AH7-數量表!AG7</f>
        <v>1</v>
      </c>
      <c r="F37" s="52">
        <f>數量表!AH7</f>
        <v>30</v>
      </c>
      <c r="G37" s="52">
        <f>COUNTIF(數量表!$E$11:'數量表'!AH$11,"不計工期")</f>
        <v>0</v>
      </c>
      <c r="H37" s="135">
        <f>IF(數量表!$B$11="日曆天",$B$4+G37,WORKDAY.INTL($B$4,G37,1))</f>
        <v>46445</v>
      </c>
    </row>
    <row r="38" spans="1:8">
      <c r="A38" s="50">
        <f>數量表!AI4</f>
        <v>46276</v>
      </c>
      <c r="B38" s="51">
        <f>MAX(0,數量表!AI9-數量表!AH9)</f>
        <v>3.8857200000000092E-3</v>
      </c>
      <c r="C38" s="51">
        <f>數量表!AI9</f>
        <v>8.9471430000000005E-2</v>
      </c>
      <c r="D38" s="51">
        <f>數量表!AI10</f>
        <v>6.0859999999999997E-2</v>
      </c>
      <c r="E38" s="52">
        <f>數量表!AI7-數量表!AH7</f>
        <v>1</v>
      </c>
      <c r="F38" s="52">
        <f>數量表!AI7</f>
        <v>31</v>
      </c>
      <c r="G38" s="52">
        <f>COUNTIF(數量表!$E$11:'數量表'!AI$11,"不計工期")</f>
        <v>0</v>
      </c>
      <c r="H38" s="135">
        <f>IF(數量表!$B$11="日曆天",$B$4+G38,WORKDAY.INTL($B$4,G38,1))</f>
        <v>46445</v>
      </c>
    </row>
    <row r="39" spans="1:8">
      <c r="A39" s="50">
        <f>數量表!AJ4</f>
        <v>46277</v>
      </c>
      <c r="B39" s="51">
        <f>MAX(0,數量表!AJ9-數量表!AI9)</f>
        <v>3.8857100000000006E-3</v>
      </c>
      <c r="C39" s="51">
        <f>數量表!AJ9</f>
        <v>9.3357140000000005E-2</v>
      </c>
      <c r="D39" s="51">
        <f>數量表!AJ10</f>
        <v>6.0859999999999997E-2</v>
      </c>
      <c r="E39" s="52">
        <f>數量表!AJ7-數量表!AI7</f>
        <v>1</v>
      </c>
      <c r="F39" s="52">
        <f>數量表!AJ7</f>
        <v>32</v>
      </c>
      <c r="G39" s="52">
        <f>COUNTIF(數量表!$E$11:'數量表'!AJ$11,"不計工期")</f>
        <v>0</v>
      </c>
      <c r="H39" s="135">
        <f>IF(數量表!$B$11="日曆天",$B$4+G39,WORKDAY.INTL($B$4,G39,1))</f>
        <v>46445</v>
      </c>
    </row>
    <row r="40" spans="1:8">
      <c r="A40" s="50">
        <f>數量表!AK4</f>
        <v>46278</v>
      </c>
      <c r="B40" s="51">
        <f>MAX(0,數量表!AK9-數量表!AJ9)</f>
        <v>3.8857199999999953E-3</v>
      </c>
      <c r="C40" s="51">
        <f>數量表!AK9</f>
        <v>9.724286E-2</v>
      </c>
      <c r="D40" s="51">
        <f>數量表!AK10</f>
        <v>6.0859999999999997E-2</v>
      </c>
      <c r="E40" s="52">
        <f>數量表!AK7-數量表!AJ7</f>
        <v>1</v>
      </c>
      <c r="F40" s="52">
        <f>數量表!AK7</f>
        <v>33</v>
      </c>
      <c r="G40" s="52">
        <f>COUNTIF(數量表!$E$11:'數量表'!AK$11,"不計工期")</f>
        <v>0</v>
      </c>
      <c r="H40" s="135">
        <f>IF(數量表!$B$11="日曆天",$B$4+G40,WORKDAY.INTL($B$4,G40,1))</f>
        <v>46445</v>
      </c>
    </row>
    <row r="41" spans="1:8">
      <c r="A41" s="50">
        <f>數量表!AL4</f>
        <v>46279</v>
      </c>
      <c r="B41" s="51">
        <f>MAX(0,數量表!AL9-數量表!AK9)</f>
        <v>3.8857100000000006E-3</v>
      </c>
      <c r="C41" s="51">
        <f>數量表!AL9</f>
        <v>0.10112857</v>
      </c>
      <c r="D41" s="51">
        <f>數量表!AL10</f>
        <v>6.0859999999999997E-2</v>
      </c>
      <c r="E41" s="52">
        <f>數量表!AL7-數量表!AK7</f>
        <v>1</v>
      </c>
      <c r="F41" s="52">
        <f>數量表!AL7</f>
        <v>34</v>
      </c>
      <c r="G41" s="52">
        <f>COUNTIF(數量表!$E$11:'數量表'!AL$11,"不計工期")</f>
        <v>0</v>
      </c>
      <c r="H41" s="135">
        <f>IF(數量表!$B$11="日曆天",$B$4+G41,WORKDAY.INTL($B$4,G41,1))</f>
        <v>46445</v>
      </c>
    </row>
    <row r="42" spans="1:8">
      <c r="A42" s="50">
        <f>數量表!AM4</f>
        <v>46280</v>
      </c>
      <c r="B42" s="51">
        <f>MAX(0,數量表!AM9-數量表!AL9)</f>
        <v>3.8857199999999953E-3</v>
      </c>
      <c r="C42" s="51">
        <f>數量表!AM9</f>
        <v>0.10501429</v>
      </c>
      <c r="D42" s="51">
        <f>數量表!AM10</f>
        <v>6.0859999999999997E-2</v>
      </c>
      <c r="E42" s="52">
        <f>數量表!AM7-數量表!AL7</f>
        <v>1</v>
      </c>
      <c r="F42" s="52">
        <f>數量表!AM7</f>
        <v>35</v>
      </c>
      <c r="G42" s="52">
        <f>COUNTIF(數量表!$E$11:'數量表'!AM$11,"不計工期")</f>
        <v>0</v>
      </c>
      <c r="H42" s="135">
        <f>IF(數量表!$B$11="日曆天",$B$4+G42,WORKDAY.INTL($B$4,G42,1))</f>
        <v>46445</v>
      </c>
    </row>
    <row r="43" spans="1:8">
      <c r="A43" s="50">
        <f>數量表!AN4</f>
        <v>46281</v>
      </c>
      <c r="B43" s="51">
        <f>MAX(0,數量表!AN9-數量表!AM9)</f>
        <v>3.8857100000000006E-3</v>
      </c>
      <c r="C43" s="51">
        <f>數量表!AN9</f>
        <v>0.1089</v>
      </c>
      <c r="D43" s="51">
        <f>數量表!AN10</f>
        <v>6.0859999999999997E-2</v>
      </c>
      <c r="E43" s="52">
        <f>數量表!AN7-數量表!AM7</f>
        <v>1</v>
      </c>
      <c r="F43" s="52">
        <f>數量表!AN7</f>
        <v>36</v>
      </c>
      <c r="G43" s="52">
        <f>COUNTIF(數量表!$E$11:'數量表'!AN$11,"不計工期")</f>
        <v>0</v>
      </c>
      <c r="H43" s="135">
        <f>IF(數量表!$B$11="日曆天",$B$4+G43,WORKDAY.INTL($B$4,G43,1))</f>
        <v>46445</v>
      </c>
    </row>
    <row r="44" spans="1:8">
      <c r="A44" s="50">
        <f>數量表!AO4</f>
        <v>46282</v>
      </c>
      <c r="B44" s="51">
        <f>MAX(0,數量表!AO9-數量表!AN9)</f>
        <v>3.07143E-3</v>
      </c>
      <c r="C44" s="51">
        <f>數量表!AO9</f>
        <v>0.11197143</v>
      </c>
      <c r="D44" s="51">
        <f>數量表!AO10</f>
        <v>6.0859999999999997E-2</v>
      </c>
      <c r="E44" s="52">
        <f>數量表!AO7-數量表!AN7</f>
        <v>1</v>
      </c>
      <c r="F44" s="52">
        <f>數量表!AO7</f>
        <v>37</v>
      </c>
      <c r="G44" s="52">
        <f>COUNTIF(數量表!$E$11:'數量表'!AO$11,"不計工期")</f>
        <v>0</v>
      </c>
      <c r="H44" s="135">
        <f>IF(數量表!$B$11="日曆天",$B$4+G44,WORKDAY.INTL($B$4,G44,1))</f>
        <v>46445</v>
      </c>
    </row>
    <row r="45" spans="1:8">
      <c r="A45" s="50">
        <f>數量表!AP4</f>
        <v>46283</v>
      </c>
      <c r="B45" s="51">
        <f>MAX(0,數量表!AP9-數量表!AO9)</f>
        <v>3.07143E-3</v>
      </c>
      <c r="C45" s="51">
        <f>數量表!AP9</f>
        <v>0.11504286</v>
      </c>
      <c r="D45" s="51">
        <f>數量表!AP10</f>
        <v>6.0859999999999997E-2</v>
      </c>
      <c r="E45" s="52">
        <f>數量表!AP7-數量表!AO7</f>
        <v>1</v>
      </c>
      <c r="F45" s="52">
        <f>數量表!AP7</f>
        <v>38</v>
      </c>
      <c r="G45" s="52">
        <f>COUNTIF(數量表!$E$11:'數量表'!AP$11,"不計工期")</f>
        <v>0</v>
      </c>
      <c r="H45" s="135">
        <f>IF(數量表!$B$11="日曆天",$B$4+G45,WORKDAY.INTL($B$4,G45,1))</f>
        <v>46445</v>
      </c>
    </row>
    <row r="46" spans="1:8">
      <c r="A46" s="50">
        <f>數量表!AQ4</f>
        <v>46284</v>
      </c>
      <c r="B46" s="51">
        <f>MAX(0,數量表!AQ9-數量表!AP9)</f>
        <v>3.07143E-3</v>
      </c>
      <c r="C46" s="51">
        <f>數量表!AQ9</f>
        <v>0.11811429</v>
      </c>
      <c r="D46" s="51">
        <f>數量表!AQ10</f>
        <v>6.0859999999999997E-2</v>
      </c>
      <c r="E46" s="52">
        <f>數量表!AQ7-數量表!AP7</f>
        <v>1</v>
      </c>
      <c r="F46" s="52">
        <f>數量表!AQ7</f>
        <v>39</v>
      </c>
      <c r="G46" s="52">
        <f>COUNTIF(數量表!$E$11:'數量表'!AQ$11,"不計工期")</f>
        <v>0</v>
      </c>
      <c r="H46" s="135">
        <f>IF(數量表!$B$11="日曆天",$B$4+G46,WORKDAY.INTL($B$4,G46,1))</f>
        <v>46445</v>
      </c>
    </row>
    <row r="47" spans="1:8">
      <c r="A47" s="50">
        <f>數量表!AR4</f>
        <v>46285</v>
      </c>
      <c r="B47" s="51">
        <f>MAX(0,數量表!AR9-數量表!AQ9)</f>
        <v>3.0714200000000053E-3</v>
      </c>
      <c r="C47" s="51">
        <f>數量表!AR9</f>
        <v>0.12118571</v>
      </c>
      <c r="D47" s="51">
        <f>數量表!AR10</f>
        <v>6.0859999999999997E-2</v>
      </c>
      <c r="E47" s="52">
        <f>數量表!AR7-數量表!AQ7</f>
        <v>1</v>
      </c>
      <c r="F47" s="52">
        <f>數量表!AR7</f>
        <v>40</v>
      </c>
      <c r="G47" s="52">
        <f>COUNTIF(數量表!$E$11:'數量表'!AR$11,"不計工期")</f>
        <v>0</v>
      </c>
      <c r="H47" s="135">
        <f>IF(數量表!$B$11="日曆天",$B$4+G47,WORKDAY.INTL($B$4,G47,1))</f>
        <v>46445</v>
      </c>
    </row>
    <row r="48" spans="1:8">
      <c r="A48" s="50">
        <f>數量表!AS4</f>
        <v>46286</v>
      </c>
      <c r="B48" s="51">
        <f>MAX(0,數量表!AS9-數量表!AR9)</f>
        <v>3.07143E-3</v>
      </c>
      <c r="C48" s="51">
        <f>數量表!AS9</f>
        <v>0.12425714</v>
      </c>
      <c r="D48" s="51">
        <f>數量表!AS10</f>
        <v>6.0859999999999997E-2</v>
      </c>
      <c r="E48" s="52">
        <f>數量表!AS7-數量表!AR7</f>
        <v>1</v>
      </c>
      <c r="F48" s="52">
        <f>數量表!AS7</f>
        <v>41</v>
      </c>
      <c r="G48" s="52">
        <f>COUNTIF(數量表!$E$11:'數量表'!AS$11,"不計工期")</f>
        <v>0</v>
      </c>
      <c r="H48" s="135">
        <f>IF(數量表!$B$11="日曆天",$B$4+G48,WORKDAY.INTL($B$4,G48,1))</f>
        <v>46445</v>
      </c>
    </row>
    <row r="49" spans="1:8">
      <c r="A49" s="50">
        <f>數量表!AT4</f>
        <v>46287</v>
      </c>
      <c r="B49" s="51">
        <f>MAX(0,數量表!AT9-數量表!AS9)</f>
        <v>3.07143E-3</v>
      </c>
      <c r="C49" s="51">
        <f>數量表!AT9</f>
        <v>0.12732857</v>
      </c>
      <c r="D49" s="51">
        <f>數量表!AT10</f>
        <v>6.0859999999999997E-2</v>
      </c>
      <c r="E49" s="52">
        <f>數量表!AT7-數量表!AS7</f>
        <v>1</v>
      </c>
      <c r="F49" s="52">
        <f>數量表!AT7</f>
        <v>42</v>
      </c>
      <c r="G49" s="52">
        <f>COUNTIF(數量表!$E$11:'數量表'!AT$11,"不計工期")</f>
        <v>0</v>
      </c>
      <c r="H49" s="135">
        <f>IF(數量表!$B$11="日曆天",$B$4+G49,WORKDAY.INTL($B$4,G49,1))</f>
        <v>46445</v>
      </c>
    </row>
    <row r="50" spans="1:8">
      <c r="A50" s="50">
        <f>數量表!AU4</f>
        <v>46288</v>
      </c>
      <c r="B50" s="51">
        <f>MAX(0,數量表!AU9-數量表!AT9)</f>
        <v>3.0714299999999861E-3</v>
      </c>
      <c r="C50" s="51">
        <f>數量表!AU9</f>
        <v>0.13039999999999999</v>
      </c>
      <c r="D50" s="51">
        <f>數量表!AU10</f>
        <v>6.0859999999999997E-2</v>
      </c>
      <c r="E50" s="52">
        <f>數量表!AU7-數量表!AT7</f>
        <v>1</v>
      </c>
      <c r="F50" s="52">
        <f>數量表!AU7</f>
        <v>43</v>
      </c>
      <c r="G50" s="52">
        <f>COUNTIF(數量表!$E$11:'數量表'!AU$11,"不計工期")</f>
        <v>0</v>
      </c>
      <c r="H50" s="135">
        <f>IF(數量表!$B$11="日曆天",$B$4+G50,WORKDAY.INTL($B$4,G50,1))</f>
        <v>46445</v>
      </c>
    </row>
    <row r="51" spans="1:8">
      <c r="A51" s="50">
        <f>數量表!AV4</f>
        <v>46289</v>
      </c>
      <c r="B51" s="51">
        <f>MAX(0,數量表!AV9-數量表!AU9)</f>
        <v>2.1857100000000074E-3</v>
      </c>
      <c r="C51" s="51">
        <f>數量表!AV9</f>
        <v>0.13258571</v>
      </c>
      <c r="D51" s="51">
        <f>數量表!AV10</f>
        <v>6.0859999999999997E-2</v>
      </c>
      <c r="E51" s="52">
        <f>數量表!AV7-數量表!AU7</f>
        <v>1</v>
      </c>
      <c r="F51" s="52">
        <f>數量表!AV7</f>
        <v>44</v>
      </c>
      <c r="G51" s="52">
        <f>COUNTIF(數量表!$E$11:'數量表'!AV$11,"不計工期")</f>
        <v>0</v>
      </c>
      <c r="H51" s="135">
        <f>IF(數量表!$B$11="日曆天",$B$4+G51,WORKDAY.INTL($B$4,G51,1))</f>
        <v>46445</v>
      </c>
    </row>
    <row r="52" spans="1:8">
      <c r="A52" s="50">
        <f>數量表!AW4</f>
        <v>46290</v>
      </c>
      <c r="B52" s="51">
        <f>MAX(0,數量表!AW9-數量表!AV9)</f>
        <v>2.1857200000000021E-3</v>
      </c>
      <c r="C52" s="51">
        <f>數量表!AW9</f>
        <v>0.13477143</v>
      </c>
      <c r="D52" s="51">
        <f>數量表!AW10</f>
        <v>6.0859999999999997E-2</v>
      </c>
      <c r="E52" s="52">
        <f>數量表!AW7-數量表!AV7</f>
        <v>1</v>
      </c>
      <c r="F52" s="52">
        <f>數量表!AW7</f>
        <v>45</v>
      </c>
      <c r="G52" s="52">
        <f>COUNTIF(數量表!$E$11:'數量表'!AW$11,"不計工期")</f>
        <v>0</v>
      </c>
      <c r="H52" s="135">
        <f>IF(數量表!$B$11="日曆天",$B$4+G52,WORKDAY.INTL($B$4,G52,1))</f>
        <v>46445</v>
      </c>
    </row>
    <row r="53" spans="1:8">
      <c r="A53" s="50">
        <f>數量表!AX4</f>
        <v>46291</v>
      </c>
      <c r="B53" s="51">
        <f>MAX(0,數量表!AX9-數量表!AW9)</f>
        <v>2.1857100000000074E-3</v>
      </c>
      <c r="C53" s="51">
        <f>數量表!AX9</f>
        <v>0.13695714</v>
      </c>
      <c r="D53" s="51">
        <f>數量表!AX10</f>
        <v>6.0859999999999997E-2</v>
      </c>
      <c r="E53" s="52">
        <f>數量表!AX7-數量表!AW7</f>
        <v>1</v>
      </c>
      <c r="F53" s="52">
        <f>數量表!AX7</f>
        <v>46</v>
      </c>
      <c r="G53" s="52">
        <f>COUNTIF(數量表!$E$11:'數量表'!AX$11,"不計工期")</f>
        <v>0</v>
      </c>
      <c r="H53" s="135">
        <f>IF(數量表!$B$11="日曆天",$B$4+G53,WORKDAY.INTL($B$4,G53,1))</f>
        <v>46445</v>
      </c>
    </row>
    <row r="54" spans="1:8">
      <c r="A54" s="50">
        <f>數量表!AY4</f>
        <v>46292</v>
      </c>
      <c r="B54" s="51">
        <f>MAX(0,數量表!AY9-數量表!AX9)</f>
        <v>2.1857200000000021E-3</v>
      </c>
      <c r="C54" s="51">
        <f>數量表!AY9</f>
        <v>0.13914286000000001</v>
      </c>
      <c r="D54" s="51">
        <f>數量表!AY10</f>
        <v>6.0859999999999997E-2</v>
      </c>
      <c r="E54" s="52">
        <f>數量表!AY7-數量表!AX7</f>
        <v>1</v>
      </c>
      <c r="F54" s="52">
        <f>數量表!AY7</f>
        <v>47</v>
      </c>
      <c r="G54" s="52">
        <f>COUNTIF(數量表!$E$11:'數量表'!AY$11,"不計工期")</f>
        <v>0</v>
      </c>
      <c r="H54" s="135">
        <f>IF(數量表!$B$11="日曆天",$B$4+G54,WORKDAY.INTL($B$4,G54,1))</f>
        <v>46445</v>
      </c>
    </row>
    <row r="55" spans="1:8">
      <c r="A55" s="50">
        <f>數量表!AZ4</f>
        <v>46293</v>
      </c>
      <c r="B55" s="51">
        <f>MAX(0,數量表!AZ9-數量表!AY9)</f>
        <v>2.1857099999999796E-3</v>
      </c>
      <c r="C55" s="51">
        <f>數量表!AZ9</f>
        <v>0.14132856999999999</v>
      </c>
      <c r="D55" s="51">
        <f>數量表!AZ10</f>
        <v>6.0859999999999997E-2</v>
      </c>
      <c r="E55" s="52">
        <f>數量表!AZ7-數量表!AY7</f>
        <v>1</v>
      </c>
      <c r="F55" s="52">
        <f>數量表!AZ7</f>
        <v>48</v>
      </c>
      <c r="G55" s="52">
        <f>COUNTIF(數量表!$E$11:'數量表'!AZ$11,"不計工期")</f>
        <v>0</v>
      </c>
      <c r="H55" s="135">
        <f>IF(數量表!$B$11="日曆天",$B$4+G55,WORKDAY.INTL($B$4,G55,1))</f>
        <v>46445</v>
      </c>
    </row>
    <row r="56" spans="1:8">
      <c r="A56" s="50">
        <f>數量表!BA4</f>
        <v>46294</v>
      </c>
      <c r="B56" s="51">
        <f>MAX(0,數量表!BA9-數量表!AZ9)</f>
        <v>2.1857200000000021E-3</v>
      </c>
      <c r="C56" s="51">
        <f>數量表!BA9</f>
        <v>0.14351428999999999</v>
      </c>
      <c r="D56" s="51">
        <f>數量表!BA10</f>
        <v>6.0859999999999997E-2</v>
      </c>
      <c r="E56" s="52">
        <f>數量表!BA7-數量表!AZ7</f>
        <v>1</v>
      </c>
      <c r="F56" s="52">
        <f>數量表!BA7</f>
        <v>49</v>
      </c>
      <c r="G56" s="52">
        <f>COUNTIF(數量表!$E$11:'數量表'!BA$11,"不計工期")</f>
        <v>0</v>
      </c>
      <c r="H56" s="135">
        <f>IF(數量表!$B$11="日曆天",$B$4+G56,WORKDAY.INTL($B$4,G56,1))</f>
        <v>46445</v>
      </c>
    </row>
    <row r="57" spans="1:8">
      <c r="A57" s="50">
        <f>數量表!BB4</f>
        <v>46295</v>
      </c>
      <c r="B57" s="51">
        <f>MAX(0,數量表!BB9-數量表!BA9)</f>
        <v>2.1857100000000074E-3</v>
      </c>
      <c r="C57" s="51">
        <f>數量表!BB9</f>
        <v>0.1457</v>
      </c>
      <c r="D57" s="51">
        <f>數量表!BB10</f>
        <v>6.0859999999999997E-2</v>
      </c>
      <c r="E57" s="52">
        <f>數量表!BB7-數量表!BA7</f>
        <v>1</v>
      </c>
      <c r="F57" s="52">
        <f>數量表!BB7</f>
        <v>50</v>
      </c>
      <c r="G57" s="52">
        <f>COUNTIF(數量表!$E$11:'數量表'!BB$11,"不計工期")</f>
        <v>0</v>
      </c>
      <c r="H57" s="135">
        <f>IF(數量表!$B$11="日曆天",$B$4+G57,WORKDAY.INTL($B$4,G57,1))</f>
        <v>46445</v>
      </c>
    </row>
    <row r="58" spans="1:8">
      <c r="A58" s="50">
        <f>數量表!BC4</f>
        <v>46296</v>
      </c>
      <c r="B58" s="51">
        <f>MAX(0,數量表!BC9-數量表!BB9)</f>
        <v>4.3428600000000039E-3</v>
      </c>
      <c r="C58" s="51">
        <f>數量表!BC9</f>
        <v>0.15004286</v>
      </c>
      <c r="D58" s="51">
        <f>數量表!BC10</f>
        <v>6.0859999999999997E-2</v>
      </c>
      <c r="E58" s="52">
        <f>數量表!BC7-數量表!BB7</f>
        <v>1</v>
      </c>
      <c r="F58" s="52">
        <f>數量表!BC7</f>
        <v>51</v>
      </c>
      <c r="G58" s="52">
        <f>COUNTIF(數量表!$E$11:'數量表'!BC$11,"不計工期")</f>
        <v>0</v>
      </c>
      <c r="H58" s="135">
        <f>IF(數量表!$B$11="日曆天",$B$4+G58,WORKDAY.INTL($B$4,G58,1))</f>
        <v>46445</v>
      </c>
    </row>
    <row r="59" spans="1:8">
      <c r="A59" s="50">
        <f>數量表!BD4</f>
        <v>46297</v>
      </c>
      <c r="B59" s="51">
        <f>MAX(0,數量表!BD9-數量表!BC9)</f>
        <v>4.3428500000000092E-3</v>
      </c>
      <c r="C59" s="51">
        <f>數量表!BD9</f>
        <v>0.15438571000000001</v>
      </c>
      <c r="D59" s="51">
        <f>數量表!BD10</f>
        <v>6.0859999999999997E-2</v>
      </c>
      <c r="E59" s="52">
        <f>數量表!BD7-數量表!BC7</f>
        <v>1</v>
      </c>
      <c r="F59" s="52">
        <f>數量表!BD7</f>
        <v>52</v>
      </c>
      <c r="G59" s="52">
        <f>COUNTIF(數量表!$E$11:'數量表'!BD$11,"不計工期")</f>
        <v>0</v>
      </c>
      <c r="H59" s="135">
        <f>IF(數量表!$B$11="日曆天",$B$4+G59,WORKDAY.INTL($B$4,G59,1))</f>
        <v>46445</v>
      </c>
    </row>
    <row r="60" spans="1:8">
      <c r="A60" s="50">
        <f>數量表!BE4</f>
        <v>46298</v>
      </c>
      <c r="B60" s="51">
        <f>MAX(0,數量表!BE9-數量表!BD9)</f>
        <v>4.3428600000000039E-3</v>
      </c>
      <c r="C60" s="51">
        <f>數量表!BE9</f>
        <v>0.15872857000000001</v>
      </c>
      <c r="D60" s="51">
        <f>數量表!BE10</f>
        <v>6.0859999999999997E-2</v>
      </c>
      <c r="E60" s="52">
        <f>數量表!BE7-數量表!BD7</f>
        <v>1</v>
      </c>
      <c r="F60" s="52">
        <f>數量表!BE7</f>
        <v>53</v>
      </c>
      <c r="G60" s="52">
        <f>COUNTIF(數量表!$E$11:'數量表'!BE$11,"不計工期")</f>
        <v>0</v>
      </c>
      <c r="H60" s="135">
        <f>IF(數量表!$B$11="日曆天",$B$4+G60,WORKDAY.INTL($B$4,G60,1))</f>
        <v>46445</v>
      </c>
    </row>
    <row r="61" spans="1:8">
      <c r="A61" s="50">
        <f>數量表!BF4</f>
        <v>46299</v>
      </c>
      <c r="B61" s="51">
        <f>MAX(0,數量表!BF9-數量表!BE9)</f>
        <v>4.3428599999999762E-3</v>
      </c>
      <c r="C61" s="51">
        <f>數量表!BF9</f>
        <v>0.16307142999999999</v>
      </c>
      <c r="D61" s="51">
        <f>數量表!BF10</f>
        <v>6.0859999999999997E-2</v>
      </c>
      <c r="E61" s="52">
        <f>數量表!BF7-數量表!BE7</f>
        <v>1</v>
      </c>
      <c r="F61" s="52">
        <f>數量表!BF7</f>
        <v>54</v>
      </c>
      <c r="G61" s="52">
        <f>COUNTIF(數量表!$E$11:'數量表'!BF$11,"不計工期")</f>
        <v>0</v>
      </c>
      <c r="H61" s="135">
        <f>IF(數量表!$B$11="日曆天",$B$4+G61,WORKDAY.INTL($B$4,G61,1))</f>
        <v>46445</v>
      </c>
    </row>
    <row r="62" spans="1:8">
      <c r="A62" s="50">
        <f>數量表!BG4</f>
        <v>46300</v>
      </c>
      <c r="B62" s="51">
        <f>MAX(0,數量表!BG9-數量表!BF9)</f>
        <v>4.3428600000000039E-3</v>
      </c>
      <c r="C62" s="51">
        <f>數量表!BG9</f>
        <v>0.16741428999999999</v>
      </c>
      <c r="D62" s="51">
        <f>數量表!BG10</f>
        <v>6.0859999999999997E-2</v>
      </c>
      <c r="E62" s="52">
        <f>數量表!BG7-數量表!BF7</f>
        <v>1</v>
      </c>
      <c r="F62" s="52">
        <f>數量表!BG7</f>
        <v>55</v>
      </c>
      <c r="G62" s="52">
        <f>COUNTIF(數量表!$E$11:'數量表'!BG$11,"不計工期")</f>
        <v>0</v>
      </c>
      <c r="H62" s="135">
        <f>IF(數量表!$B$11="日曆天",$B$4+G62,WORKDAY.INTL($B$4,G62,1))</f>
        <v>46445</v>
      </c>
    </row>
    <row r="63" spans="1:8">
      <c r="A63" s="50">
        <f>數量表!BH4</f>
        <v>46301</v>
      </c>
      <c r="B63" s="51">
        <f>MAX(0,數量表!BH9-數量表!BG9)</f>
        <v>4.3428500000000092E-3</v>
      </c>
      <c r="C63" s="51">
        <f>數量表!BH9</f>
        <v>0.17175714</v>
      </c>
      <c r="D63" s="51">
        <f>數量表!BH10</f>
        <v>6.0859999999999997E-2</v>
      </c>
      <c r="E63" s="52">
        <f>數量表!BH7-數量表!BG7</f>
        <v>1</v>
      </c>
      <c r="F63" s="52">
        <f>數量表!BH7</f>
        <v>56</v>
      </c>
      <c r="G63" s="52">
        <f>COUNTIF(數量表!$E$11:'數量表'!BH$11,"不計工期")</f>
        <v>0</v>
      </c>
      <c r="H63" s="135">
        <f>IF(數量表!$B$11="日曆天",$B$4+G63,WORKDAY.INTL($B$4,G63,1))</f>
        <v>46445</v>
      </c>
    </row>
    <row r="64" spans="1:8">
      <c r="A64" s="50">
        <f>數量表!BI4</f>
        <v>46302</v>
      </c>
      <c r="B64" s="51">
        <f>MAX(0,數量表!BI9-數量表!BH9)</f>
        <v>4.3428600000000039E-3</v>
      </c>
      <c r="C64" s="51">
        <f>數量表!BI9</f>
        <v>0.17610000000000001</v>
      </c>
      <c r="D64" s="51">
        <f>數量表!BI10</f>
        <v>6.0859999999999997E-2</v>
      </c>
      <c r="E64" s="52">
        <f>數量表!BI7-數量表!BH7</f>
        <v>1</v>
      </c>
      <c r="F64" s="52">
        <f>數量表!BI7</f>
        <v>57</v>
      </c>
      <c r="G64" s="52">
        <f>COUNTIF(數量表!$E$11:'數量表'!BI$11,"不計工期")</f>
        <v>0</v>
      </c>
      <c r="H64" s="135">
        <f>IF(數量表!$B$11="日曆天",$B$4+G64,WORKDAY.INTL($B$4,G64,1))</f>
        <v>46445</v>
      </c>
    </row>
    <row r="65" spans="1:8">
      <c r="A65" s="50">
        <f>數量表!BJ4</f>
        <v>46303</v>
      </c>
      <c r="B65" s="51">
        <f>MAX(0,數量表!BJ9-數量表!BI9)</f>
        <v>4.7142899999999821E-3</v>
      </c>
      <c r="C65" s="51">
        <f>數量表!BJ9</f>
        <v>0.18081428999999999</v>
      </c>
      <c r="D65" s="51">
        <f>數量表!BJ10</f>
        <v>6.0859999999999997E-2</v>
      </c>
      <c r="E65" s="52">
        <f>數量表!BJ7-數量表!BI7</f>
        <v>1</v>
      </c>
      <c r="F65" s="52">
        <f>數量表!BJ7</f>
        <v>58</v>
      </c>
      <c r="G65" s="52">
        <f>COUNTIF(數量表!$E$11:'數量表'!BJ$11,"不計工期")</f>
        <v>0</v>
      </c>
      <c r="H65" s="135">
        <f>IF(數量表!$B$11="日曆天",$B$4+G65,WORKDAY.INTL($B$4,G65,1))</f>
        <v>46445</v>
      </c>
    </row>
    <row r="66" spans="1:8">
      <c r="A66" s="50">
        <f>數量表!BK4</f>
        <v>46304</v>
      </c>
      <c r="B66" s="51">
        <f>MAX(0,數量表!BK9-數量表!BJ9)</f>
        <v>4.7142800000000151E-3</v>
      </c>
      <c r="C66" s="51">
        <f>數量表!BK9</f>
        <v>0.18552857</v>
      </c>
      <c r="D66" s="51">
        <f>數量表!BK10</f>
        <v>6.0859999999999997E-2</v>
      </c>
      <c r="E66" s="52">
        <f>數量表!BK7-數量表!BJ7</f>
        <v>1</v>
      </c>
      <c r="F66" s="52">
        <f>數量表!BK7</f>
        <v>59</v>
      </c>
      <c r="G66" s="52">
        <f>COUNTIF(數量表!$E$11:'數量表'!BK$11,"不計工期")</f>
        <v>0</v>
      </c>
      <c r="H66" s="135">
        <f>IF(數量表!$B$11="日曆天",$B$4+G66,WORKDAY.INTL($B$4,G66,1))</f>
        <v>46445</v>
      </c>
    </row>
    <row r="67" spans="1:8">
      <c r="A67" s="50">
        <f>數量表!BL4</f>
        <v>46305</v>
      </c>
      <c r="B67" s="51">
        <f>MAX(0,數量表!BL9-數量表!BK9)</f>
        <v>4.7142900000000099E-3</v>
      </c>
      <c r="C67" s="51">
        <f>數量表!BL9</f>
        <v>0.19024286000000001</v>
      </c>
      <c r="D67" s="51">
        <f>數量表!BL10</f>
        <v>6.0859999999999997E-2</v>
      </c>
      <c r="E67" s="52">
        <f>數量表!BL7-數量表!BK7</f>
        <v>1</v>
      </c>
      <c r="F67" s="52">
        <f>數量表!BL7</f>
        <v>60</v>
      </c>
      <c r="G67" s="52">
        <f>COUNTIF(數量表!$E$11:'數量表'!BL$11,"不計工期")</f>
        <v>0</v>
      </c>
      <c r="H67" s="135">
        <f>IF(數量表!$B$11="日曆天",$B$4+G67,WORKDAY.INTL($B$4,G67,1))</f>
        <v>46445</v>
      </c>
    </row>
    <row r="68" spans="1:8">
      <c r="A68" s="50">
        <f>數量表!BM4</f>
        <v>46306</v>
      </c>
      <c r="B68" s="51">
        <f>MAX(0,數量表!BM9-數量表!BL9)</f>
        <v>4.7142799999999874E-3</v>
      </c>
      <c r="C68" s="51">
        <f>數量表!BM9</f>
        <v>0.19495714</v>
      </c>
      <c r="D68" s="51">
        <f>數量表!BM10</f>
        <v>6.0859999999999997E-2</v>
      </c>
      <c r="E68" s="52">
        <f>數量表!BM7-數量表!BL7</f>
        <v>1</v>
      </c>
      <c r="F68" s="52">
        <f>數量表!BM7</f>
        <v>61</v>
      </c>
      <c r="G68" s="52">
        <f>COUNTIF(數量表!$E$11:'數量表'!BM$11,"不計工期")</f>
        <v>0</v>
      </c>
      <c r="H68" s="135">
        <f>IF(數量表!$B$11="日曆天",$B$4+G68,WORKDAY.INTL($B$4,G68,1))</f>
        <v>46445</v>
      </c>
    </row>
    <row r="69" spans="1:8">
      <c r="A69" s="50">
        <f>數量表!BN4</f>
        <v>46307</v>
      </c>
      <c r="B69" s="51">
        <f>MAX(0,數量表!BN9-數量表!BM9)</f>
        <v>4.7142900000000099E-3</v>
      </c>
      <c r="C69" s="51">
        <f>數量表!BN9</f>
        <v>0.19967143000000001</v>
      </c>
      <c r="D69" s="51">
        <f>數量表!BN10</f>
        <v>6.0859999999999997E-2</v>
      </c>
      <c r="E69" s="52">
        <f>數量表!BN7-數量表!BM7</f>
        <v>1</v>
      </c>
      <c r="F69" s="52">
        <f>數量表!BN7</f>
        <v>62</v>
      </c>
      <c r="G69" s="52">
        <f>COUNTIF(數量表!$E$11:'數量表'!BN$11,"不計工期")</f>
        <v>0</v>
      </c>
      <c r="H69" s="135">
        <f>IF(數量表!$B$11="日曆天",$B$4+G69,WORKDAY.INTL($B$4,G69,1))</f>
        <v>46445</v>
      </c>
    </row>
    <row r="70" spans="1:8">
      <c r="A70" s="50">
        <f>數量表!BO4</f>
        <v>46308</v>
      </c>
      <c r="B70" s="51">
        <f>MAX(0,數量表!BO9-數量表!BN9)</f>
        <v>4.7142799999999874E-3</v>
      </c>
      <c r="C70" s="51">
        <f>數量表!BO9</f>
        <v>0.20438571</v>
      </c>
      <c r="D70" s="51">
        <f>數量表!BO10</f>
        <v>6.0859999999999997E-2</v>
      </c>
      <c r="E70" s="52">
        <f>數量表!BO7-數量表!BN7</f>
        <v>1</v>
      </c>
      <c r="F70" s="52">
        <f>數量表!BO7</f>
        <v>63</v>
      </c>
      <c r="G70" s="52">
        <f>COUNTIF(數量表!$E$11:'數量表'!BO$11,"不計工期")</f>
        <v>0</v>
      </c>
      <c r="H70" s="135">
        <f>IF(數量表!$B$11="日曆天",$B$4+G70,WORKDAY.INTL($B$4,G70,1))</f>
        <v>46445</v>
      </c>
    </row>
    <row r="71" spans="1:8">
      <c r="A71" s="50">
        <f>數量表!BP4</f>
        <v>46309</v>
      </c>
      <c r="B71" s="51">
        <f>MAX(0,數量表!BP9-數量表!BO9)</f>
        <v>4.7142900000000099E-3</v>
      </c>
      <c r="C71" s="51">
        <f>數量表!BP9</f>
        <v>0.20910000000000001</v>
      </c>
      <c r="D71" s="51">
        <f>數量表!BP10</f>
        <v>6.0859999999999997E-2</v>
      </c>
      <c r="E71" s="52">
        <f>數量表!BP7-數量表!BO7</f>
        <v>1</v>
      </c>
      <c r="F71" s="52">
        <f>數量表!BP7</f>
        <v>64</v>
      </c>
      <c r="G71" s="52">
        <f>COUNTIF(數量表!$E$11:'數量表'!BP$11,"不計工期")</f>
        <v>0</v>
      </c>
      <c r="H71" s="135">
        <f>IF(數量表!$B$11="日曆天",$B$4+G71,WORKDAY.INTL($B$4,G71,1))</f>
        <v>46445</v>
      </c>
    </row>
    <row r="72" spans="1:8">
      <c r="A72" s="50">
        <f>數量表!BQ4</f>
        <v>46310</v>
      </c>
      <c r="B72" s="51">
        <f>MAX(0,數量表!BQ9-數量表!BP9)</f>
        <v>4.5428599999999819E-3</v>
      </c>
      <c r="C72" s="51">
        <f>數量表!BQ9</f>
        <v>0.21364285999999999</v>
      </c>
      <c r="D72" s="51">
        <f>數量表!BQ10</f>
        <v>6.0859999999999997E-2</v>
      </c>
      <c r="E72" s="52">
        <f>數量表!BQ7-數量表!BP7</f>
        <v>1</v>
      </c>
      <c r="F72" s="52">
        <f>數量表!BQ7</f>
        <v>65</v>
      </c>
      <c r="G72" s="52">
        <f>COUNTIF(數量表!$E$11:'數量表'!BQ$11,"不計工期")</f>
        <v>0</v>
      </c>
      <c r="H72" s="135">
        <f>IF(數量表!$B$11="日曆天",$B$4+G72,WORKDAY.INTL($B$4,G72,1))</f>
        <v>46445</v>
      </c>
    </row>
    <row r="73" spans="1:8">
      <c r="A73" s="50">
        <f>數量表!BR4</f>
        <v>46311</v>
      </c>
      <c r="B73" s="51">
        <f>MAX(0,數量表!BR9-數量表!BQ9)</f>
        <v>4.5428500000000149E-3</v>
      </c>
      <c r="C73" s="51">
        <f>數量表!BR9</f>
        <v>0.21818571</v>
      </c>
      <c r="D73" s="51">
        <f>數量表!BR10</f>
        <v>6.0859999999999997E-2</v>
      </c>
      <c r="E73" s="52">
        <f>數量表!BR7-數量表!BQ7</f>
        <v>1</v>
      </c>
      <c r="F73" s="52">
        <f>數量表!BR7</f>
        <v>66</v>
      </c>
      <c r="G73" s="52">
        <f>COUNTIF(數量表!$E$11:'數量表'!BR$11,"不計工期")</f>
        <v>0</v>
      </c>
      <c r="H73" s="135">
        <f>IF(數量表!$B$11="日曆天",$B$4+G73,WORKDAY.INTL($B$4,G73,1))</f>
        <v>46445</v>
      </c>
    </row>
    <row r="74" spans="1:8">
      <c r="A74" s="50">
        <f>數量表!BS4</f>
        <v>46312</v>
      </c>
      <c r="B74" s="51">
        <f>MAX(0,數量表!BS9-數量表!BR9)</f>
        <v>4.5428599999999819E-3</v>
      </c>
      <c r="C74" s="51">
        <f>數量表!BS9</f>
        <v>0.22272856999999999</v>
      </c>
      <c r="D74" s="51">
        <f>數量表!BS10</f>
        <v>6.0859999999999997E-2</v>
      </c>
      <c r="E74" s="52">
        <f>數量表!BS7-數量表!BR7</f>
        <v>1</v>
      </c>
      <c r="F74" s="52">
        <f>數量表!BS7</f>
        <v>67</v>
      </c>
      <c r="G74" s="52">
        <f>COUNTIF(數量表!$E$11:'數量表'!BS$11,"不計工期")</f>
        <v>0</v>
      </c>
      <c r="H74" s="135">
        <f>IF(數量表!$B$11="日曆天",$B$4+G74,WORKDAY.INTL($B$4,G74,1))</f>
        <v>46445</v>
      </c>
    </row>
    <row r="75" spans="1:8">
      <c r="A75" s="50">
        <f>數量表!BT4</f>
        <v>46313</v>
      </c>
      <c r="B75" s="51">
        <f>MAX(0,數量表!BT9-數量表!BS9)</f>
        <v>4.5428600000000097E-3</v>
      </c>
      <c r="C75" s="51">
        <f>數量表!BT9</f>
        <v>0.22727143</v>
      </c>
      <c r="D75" s="51">
        <f>數量表!BT10</f>
        <v>6.0859999999999997E-2</v>
      </c>
      <c r="E75" s="52">
        <f>數量表!BT7-數量表!BS7</f>
        <v>1</v>
      </c>
      <c r="F75" s="52">
        <f>數量表!BT7</f>
        <v>68</v>
      </c>
      <c r="G75" s="52">
        <f>COUNTIF(數量表!$E$11:'數量表'!BT$11,"不計工期")</f>
        <v>0</v>
      </c>
      <c r="H75" s="135">
        <f>IF(數量表!$B$11="日曆天",$B$4+G75,WORKDAY.INTL($B$4,G75,1))</f>
        <v>46445</v>
      </c>
    </row>
    <row r="76" spans="1:8">
      <c r="A76" s="50">
        <f>數量表!BU4</f>
        <v>46314</v>
      </c>
      <c r="B76" s="51">
        <f>MAX(0,數量表!BU9-數量表!BT9)</f>
        <v>4.5428600000000097E-3</v>
      </c>
      <c r="C76" s="51">
        <f>數量表!BU9</f>
        <v>0.23181429000000001</v>
      </c>
      <c r="D76" s="51">
        <f>數量表!BU10</f>
        <v>6.0859999999999997E-2</v>
      </c>
      <c r="E76" s="52">
        <f>數量表!BU7-數量表!BT7</f>
        <v>1</v>
      </c>
      <c r="F76" s="52">
        <f>數量表!BU7</f>
        <v>69</v>
      </c>
      <c r="G76" s="52">
        <f>COUNTIF(數量表!$E$11:'數量表'!BU$11,"不計工期")</f>
        <v>0</v>
      </c>
      <c r="H76" s="135">
        <f>IF(數量表!$B$11="日曆天",$B$4+G76,WORKDAY.INTL($B$4,G76,1))</f>
        <v>46445</v>
      </c>
    </row>
    <row r="77" spans="1:8">
      <c r="A77" s="50">
        <f>數量表!BV4</f>
        <v>46315</v>
      </c>
      <c r="B77" s="51">
        <f>MAX(0,數量表!BV9-數量表!BU9)</f>
        <v>4.5428499999999872E-3</v>
      </c>
      <c r="C77" s="51">
        <f>數量表!BV9</f>
        <v>0.23635713999999999</v>
      </c>
      <c r="D77" s="51">
        <f>數量表!BV10</f>
        <v>6.0859999999999997E-2</v>
      </c>
      <c r="E77" s="52">
        <f>數量表!BV7-數量表!BU7</f>
        <v>1</v>
      </c>
      <c r="F77" s="52">
        <f>數量表!BV7</f>
        <v>70</v>
      </c>
      <c r="G77" s="52">
        <f>COUNTIF(數量表!$E$11:'數量表'!BV$11,"不計工期")</f>
        <v>0</v>
      </c>
      <c r="H77" s="135">
        <f>IF(數量表!$B$11="日曆天",$B$4+G77,WORKDAY.INTL($B$4,G77,1))</f>
        <v>46445</v>
      </c>
    </row>
    <row r="78" spans="1:8">
      <c r="A78" s="50">
        <f>數量表!BW4</f>
        <v>46316</v>
      </c>
      <c r="B78" s="51">
        <f>MAX(0,數量表!BW9-數量表!BV9)</f>
        <v>4.5428600000000097E-3</v>
      </c>
      <c r="C78" s="51">
        <f>數量表!BW9</f>
        <v>0.2409</v>
      </c>
      <c r="D78" s="51">
        <f>數量表!BW10</f>
        <v>6.0859999999999997E-2</v>
      </c>
      <c r="E78" s="52">
        <f>數量表!BW7-數量表!BV7</f>
        <v>1</v>
      </c>
      <c r="F78" s="52">
        <f>數量表!BW7</f>
        <v>71</v>
      </c>
      <c r="G78" s="52">
        <f>COUNTIF(數量表!$E$11:'數量表'!BW$11,"不計工期")</f>
        <v>0</v>
      </c>
      <c r="H78" s="135">
        <f>IF(數量表!$B$11="日曆天",$B$4+G78,WORKDAY.INTL($B$4,G78,1))</f>
        <v>46445</v>
      </c>
    </row>
    <row r="79" spans="1:8">
      <c r="A79" s="50">
        <f>數量表!BX4</f>
        <v>46317</v>
      </c>
      <c r="B79" s="51">
        <f>MAX(0,數量表!BX9-數量表!BW9)</f>
        <v>3.7999999999999978E-3</v>
      </c>
      <c r="C79" s="51">
        <f>數量表!BX9</f>
        <v>0.2447</v>
      </c>
      <c r="D79" s="51">
        <f>數量表!BX10</f>
        <v>6.0859999999999997E-2</v>
      </c>
      <c r="E79" s="52">
        <f>數量表!BX7-數量表!BW7</f>
        <v>1</v>
      </c>
      <c r="F79" s="52">
        <f>數量表!BX7</f>
        <v>72</v>
      </c>
      <c r="G79" s="52">
        <f>COUNTIF(數量表!$E$11:'數量表'!BX$11,"不計工期")</f>
        <v>0</v>
      </c>
      <c r="H79" s="135">
        <f>IF(數量表!$B$11="日曆天",$B$4+G79,WORKDAY.INTL($B$4,G79,1))</f>
        <v>46445</v>
      </c>
    </row>
    <row r="80" spans="1:8">
      <c r="A80" s="50">
        <f>數量表!BY4</f>
        <v>46318</v>
      </c>
      <c r="B80" s="51">
        <f>MAX(0,數量表!BY9-數量表!BX9)</f>
        <v>3.7999999999999978E-3</v>
      </c>
      <c r="C80" s="51">
        <f>數量表!BY9</f>
        <v>0.2485</v>
      </c>
      <c r="D80" s="51">
        <f>數量表!BY10</f>
        <v>6.0859999999999997E-2</v>
      </c>
      <c r="E80" s="52">
        <f>數量表!BY7-數量表!BX7</f>
        <v>1</v>
      </c>
      <c r="F80" s="52">
        <f>數量表!BY7</f>
        <v>73</v>
      </c>
      <c r="G80" s="52">
        <f>COUNTIF(數量表!$E$11:'數量表'!BY$11,"不計工期")</f>
        <v>0</v>
      </c>
      <c r="H80" s="135">
        <f>IF(數量表!$B$11="日曆天",$B$4+G80,WORKDAY.INTL($B$4,G80,1))</f>
        <v>46445</v>
      </c>
    </row>
    <row r="81" spans="1:8">
      <c r="A81" s="50">
        <f>數量表!BZ4</f>
        <v>46319</v>
      </c>
      <c r="B81" s="51">
        <f>MAX(0,數量表!BZ9-數量表!BY9)</f>
        <v>3.8000000000000256E-3</v>
      </c>
      <c r="C81" s="51">
        <f>數量表!BZ9</f>
        <v>0.25230000000000002</v>
      </c>
      <c r="D81" s="51">
        <f>數量表!BZ10</f>
        <v>6.0859999999999997E-2</v>
      </c>
      <c r="E81" s="52">
        <f>數量表!BZ7-數量表!BY7</f>
        <v>1</v>
      </c>
      <c r="F81" s="52">
        <f>數量表!BZ7</f>
        <v>74</v>
      </c>
      <c r="G81" s="52">
        <f>COUNTIF(數量表!$E$11:'數量表'!BZ$11,"不計工期")</f>
        <v>0</v>
      </c>
      <c r="H81" s="135">
        <f>IF(數量表!$B$11="日曆天",$B$4+G81,WORKDAY.INTL($B$4,G81,1))</f>
        <v>46445</v>
      </c>
    </row>
    <row r="82" spans="1:8">
      <c r="A82" s="50">
        <f>數量表!CA4</f>
        <v>46320</v>
      </c>
      <c r="B82" s="51">
        <f>MAX(0,數量表!CA9-數量表!BZ9)</f>
        <v>3.7999999999999701E-3</v>
      </c>
      <c r="C82" s="51">
        <f>數量表!CA9</f>
        <v>0.25609999999999999</v>
      </c>
      <c r="D82" s="51">
        <f>數量表!CA10</f>
        <v>6.0859999999999997E-2</v>
      </c>
      <c r="E82" s="52">
        <f>數量表!CA7-數量表!BZ7</f>
        <v>1</v>
      </c>
      <c r="F82" s="52">
        <f>數量表!CA7</f>
        <v>75</v>
      </c>
      <c r="G82" s="52">
        <f>COUNTIF(數量表!$E$11:'數量表'!CA$11,"不計工期")</f>
        <v>0</v>
      </c>
      <c r="H82" s="135">
        <f>IF(數量表!$B$11="日曆天",$B$4+G82,WORKDAY.INTL($B$4,G82,1))</f>
        <v>46445</v>
      </c>
    </row>
    <row r="83" spans="1:8">
      <c r="A83" s="50">
        <f>數量表!CB4</f>
        <v>46321</v>
      </c>
      <c r="B83" s="51">
        <f>MAX(0,數量表!CB9-數量表!CA9)</f>
        <v>3.8000000000000256E-3</v>
      </c>
      <c r="C83" s="51">
        <f>數量表!CB9</f>
        <v>0.25990000000000002</v>
      </c>
      <c r="D83" s="51">
        <f>數量表!CB10</f>
        <v>6.0859999999999997E-2</v>
      </c>
      <c r="E83" s="52">
        <f>數量表!CB7-數量表!CA7</f>
        <v>1</v>
      </c>
      <c r="F83" s="52">
        <f>數量表!CB7</f>
        <v>76</v>
      </c>
      <c r="G83" s="52">
        <f>COUNTIF(數量表!$E$11:'數量表'!CB$11,"不計工期")</f>
        <v>0</v>
      </c>
      <c r="H83" s="135">
        <f>IF(數量表!$B$11="日曆天",$B$4+G83,WORKDAY.INTL($B$4,G83,1))</f>
        <v>46445</v>
      </c>
    </row>
    <row r="84" spans="1:8">
      <c r="A84" s="50">
        <f>數量表!CC4</f>
        <v>46322</v>
      </c>
      <c r="B84" s="51">
        <f>MAX(0,數量表!CC9-數量表!CB9)</f>
        <v>3.7999999999999701E-3</v>
      </c>
      <c r="C84" s="51">
        <f>數量表!CC9</f>
        <v>0.26369999999999999</v>
      </c>
      <c r="D84" s="51">
        <f>數量表!CC10</f>
        <v>6.0859999999999997E-2</v>
      </c>
      <c r="E84" s="52">
        <f>數量表!CC7-數量表!CB7</f>
        <v>1</v>
      </c>
      <c r="F84" s="52">
        <f>數量表!CC7</f>
        <v>77</v>
      </c>
      <c r="G84" s="52">
        <f>COUNTIF(數量表!$E$11:'數量表'!CC$11,"不計工期")</f>
        <v>0</v>
      </c>
      <c r="H84" s="135">
        <f>IF(數量表!$B$11="日曆天",$B$4+G84,WORKDAY.INTL($B$4,G84,1))</f>
        <v>46445</v>
      </c>
    </row>
    <row r="85" spans="1:8">
      <c r="A85" s="50">
        <f>數量表!CD4</f>
        <v>46323</v>
      </c>
      <c r="B85" s="51">
        <f>MAX(0,數量表!CD9-數量表!CC9)</f>
        <v>3.8000000000000256E-3</v>
      </c>
      <c r="C85" s="51">
        <f>數量表!CD9</f>
        <v>0.26750000000000002</v>
      </c>
      <c r="D85" s="51">
        <f>數量表!CD10</f>
        <v>6.0859999999999997E-2</v>
      </c>
      <c r="E85" s="52">
        <f>數量表!CD7-數量表!CC7</f>
        <v>1</v>
      </c>
      <c r="F85" s="52">
        <f>數量表!CD7</f>
        <v>78</v>
      </c>
      <c r="G85" s="52">
        <f>COUNTIF(數量表!$E$11:'數量表'!CD$11,"不計工期")</f>
        <v>0</v>
      </c>
      <c r="H85" s="135">
        <f>IF(數量表!$B$11="日曆天",$B$4+G85,WORKDAY.INTL($B$4,G85,1))</f>
        <v>46445</v>
      </c>
    </row>
    <row r="86" spans="1:8">
      <c r="A86" s="50">
        <f>數量表!CE4</f>
        <v>46324</v>
      </c>
      <c r="B86" s="51">
        <f>MAX(0,數量表!CE9-數量表!CD9)</f>
        <v>4.1142899999999649E-3</v>
      </c>
      <c r="C86" s="51">
        <f>數量表!CE9</f>
        <v>0.27161428999999998</v>
      </c>
      <c r="D86" s="51">
        <f>數量表!CE10</f>
        <v>6.0859999999999997E-2</v>
      </c>
      <c r="E86" s="52">
        <f>數量表!CE7-數量表!CD7</f>
        <v>1</v>
      </c>
      <c r="F86" s="52">
        <f>數量表!CE7</f>
        <v>79</v>
      </c>
      <c r="G86" s="52">
        <f>COUNTIF(數量表!$E$11:'數量表'!CE$11,"不計工期")</f>
        <v>0</v>
      </c>
      <c r="H86" s="135">
        <f>IF(數量表!$B$11="日曆天",$B$4+G86,WORKDAY.INTL($B$4,G86,1))</f>
        <v>46445</v>
      </c>
    </row>
    <row r="87" spans="1:8">
      <c r="A87" s="50">
        <f>數量表!CF4</f>
        <v>46325</v>
      </c>
      <c r="B87" s="51">
        <f>MAX(0,數量表!CF9-數量表!CE9)</f>
        <v>4.1142800000000257E-3</v>
      </c>
      <c r="C87" s="51">
        <f>數量表!CF9</f>
        <v>0.27572857000000001</v>
      </c>
      <c r="D87" s="51">
        <f>數量表!CF10</f>
        <v>6.0859999999999997E-2</v>
      </c>
      <c r="E87" s="52">
        <f>數量表!CF7-數量表!CE7</f>
        <v>1</v>
      </c>
      <c r="F87" s="52">
        <f>數量表!CF7</f>
        <v>80</v>
      </c>
      <c r="G87" s="52">
        <f>COUNTIF(數量表!$E$11:'數量表'!CF$11,"不計工期")</f>
        <v>0</v>
      </c>
      <c r="H87" s="135">
        <f>IF(數量表!$B$11="日曆天",$B$4+G87,WORKDAY.INTL($B$4,G87,1))</f>
        <v>46445</v>
      </c>
    </row>
    <row r="88" spans="1:8">
      <c r="A88" s="50">
        <f>數量表!CG4</f>
        <v>46326</v>
      </c>
      <c r="B88" s="51">
        <f>MAX(0,數量表!CG9-數量表!CF9)</f>
        <v>4.1142900000000204E-3</v>
      </c>
      <c r="C88" s="51">
        <f>數量表!CG9</f>
        <v>0.27984286000000003</v>
      </c>
      <c r="D88" s="51">
        <f>數量表!CG10</f>
        <v>6.0859999999999997E-2</v>
      </c>
      <c r="E88" s="52">
        <f>數量表!CG7-數量表!CF7</f>
        <v>1</v>
      </c>
      <c r="F88" s="52">
        <f>數量表!CG7</f>
        <v>81</v>
      </c>
      <c r="G88" s="52">
        <f>COUNTIF(數量表!$E$11:'數量表'!CG$11,"不計工期")</f>
        <v>0</v>
      </c>
      <c r="H88" s="135">
        <f>IF(數量表!$B$11="日曆天",$B$4+G88,WORKDAY.INTL($B$4,G88,1))</f>
        <v>46445</v>
      </c>
    </row>
    <row r="89" spans="1:8">
      <c r="A89" s="50">
        <f>數量表!CH4</f>
        <v>46327</v>
      </c>
      <c r="B89" s="51">
        <f>MAX(0,數量表!CH9-數量表!CG9)</f>
        <v>4.1142799999999702E-3</v>
      </c>
      <c r="C89" s="51">
        <f>數量表!CH9</f>
        <v>0.28395714</v>
      </c>
      <c r="D89" s="51">
        <f>數量表!CH10</f>
        <v>6.0859999999999997E-2</v>
      </c>
      <c r="E89" s="52">
        <f>數量表!CH7-數量表!CG7</f>
        <v>1</v>
      </c>
      <c r="F89" s="52">
        <f>數量表!CH7</f>
        <v>82</v>
      </c>
      <c r="G89" s="52">
        <f>COUNTIF(數量表!$E$11:'數量表'!CH$11,"不計工期")</f>
        <v>0</v>
      </c>
      <c r="H89" s="135">
        <f>IF(數量表!$B$11="日曆天",$B$4+G89,WORKDAY.INTL($B$4,G89,1))</f>
        <v>46445</v>
      </c>
    </row>
    <row r="90" spans="1:8">
      <c r="A90" s="50">
        <f>數量表!CI4</f>
        <v>46328</v>
      </c>
      <c r="B90" s="51">
        <f>MAX(0,數量表!CI9-數量表!CH9)</f>
        <v>4.1142900000000204E-3</v>
      </c>
      <c r="C90" s="51">
        <f>數量表!CI9</f>
        <v>0.28807143000000002</v>
      </c>
      <c r="D90" s="51">
        <f>數量表!CI10</f>
        <v>6.0859999999999997E-2</v>
      </c>
      <c r="E90" s="52">
        <f>數量表!CI7-數量表!CH7</f>
        <v>1</v>
      </c>
      <c r="F90" s="52">
        <f>數量表!CI7</f>
        <v>83</v>
      </c>
      <c r="G90" s="52">
        <f>COUNTIF(數量表!$E$11:'數量表'!CI$11,"不計工期")</f>
        <v>0</v>
      </c>
      <c r="H90" s="135">
        <f>IF(數量表!$B$11="日曆天",$B$4+G90,WORKDAY.INTL($B$4,G90,1))</f>
        <v>46445</v>
      </c>
    </row>
    <row r="91" spans="1:8">
      <c r="A91" s="50">
        <f>數量表!CJ4</f>
        <v>46329</v>
      </c>
      <c r="B91" s="51">
        <f>MAX(0,數量表!CJ9-數量表!CI9)</f>
        <v>4.1142799999999702E-3</v>
      </c>
      <c r="C91" s="51">
        <f>數量表!CJ9</f>
        <v>0.29218570999999999</v>
      </c>
      <c r="D91" s="51">
        <f>數量表!CJ10</f>
        <v>6.0859999999999997E-2</v>
      </c>
      <c r="E91" s="52">
        <f>數量表!CJ7-數量表!CI7</f>
        <v>1</v>
      </c>
      <c r="F91" s="52">
        <f>數量表!CJ7</f>
        <v>84</v>
      </c>
      <c r="G91" s="52">
        <f>COUNTIF(數量表!$E$11:'數量表'!CJ$11,"不計工期")</f>
        <v>0</v>
      </c>
      <c r="H91" s="135">
        <f>IF(數量表!$B$11="日曆天",$B$4+G91,WORKDAY.INTL($B$4,G91,1))</f>
        <v>46445</v>
      </c>
    </row>
    <row r="92" spans="1:8">
      <c r="A92" s="50">
        <f>數量表!CK4</f>
        <v>46330</v>
      </c>
      <c r="B92" s="51">
        <f>MAX(0,數量表!CK9-數量表!CJ9)</f>
        <v>4.1142900000000204E-3</v>
      </c>
      <c r="C92" s="51">
        <f>數量表!CK9</f>
        <v>0.29630000000000001</v>
      </c>
      <c r="D92" s="51">
        <f>數量表!CK10</f>
        <v>6.0859999999999997E-2</v>
      </c>
      <c r="E92" s="52">
        <f>數量表!CK7-數量表!CJ7</f>
        <v>1</v>
      </c>
      <c r="F92" s="52">
        <f>數量表!CK7</f>
        <v>85</v>
      </c>
      <c r="G92" s="52">
        <f>COUNTIF(數量表!$E$11:'數量表'!CK$11,"不計工期")</f>
        <v>0</v>
      </c>
      <c r="H92" s="135">
        <f>IF(數量表!$B$11="日曆天",$B$4+G92,WORKDAY.INTL($B$4,G92,1))</f>
        <v>46445</v>
      </c>
    </row>
    <row r="93" spans="1:8">
      <c r="A93" s="50">
        <f>數量表!CL4</f>
        <v>46331</v>
      </c>
      <c r="B93" s="51">
        <f>MAX(0,數量表!CL9-數量表!CK9)</f>
        <v>3.7571399999999922E-3</v>
      </c>
      <c r="C93" s="51">
        <f>數量表!CL9</f>
        <v>0.30005714</v>
      </c>
      <c r="D93" s="51">
        <f>數量表!CL10</f>
        <v>6.0859999999999997E-2</v>
      </c>
      <c r="E93" s="52">
        <f>數量表!CL7-數量表!CK7</f>
        <v>1</v>
      </c>
      <c r="F93" s="52">
        <f>數量表!CL7</f>
        <v>86</v>
      </c>
      <c r="G93" s="52">
        <f>COUNTIF(數量表!$E$11:'數量表'!CL$11,"不計工期")</f>
        <v>0</v>
      </c>
      <c r="H93" s="135">
        <f>IF(數量表!$B$11="日曆天",$B$4+G93,WORKDAY.INTL($B$4,G93,1))</f>
        <v>46445</v>
      </c>
    </row>
    <row r="94" spans="1:8">
      <c r="A94" s="50">
        <f>數量表!CM4</f>
        <v>46332</v>
      </c>
      <c r="B94" s="51">
        <f>MAX(0,數量表!CM9-數量表!CL9)</f>
        <v>3.7571499999999869E-3</v>
      </c>
      <c r="C94" s="51">
        <f>數量表!CM9</f>
        <v>0.30381428999999999</v>
      </c>
      <c r="D94" s="51">
        <f>數量表!CM10</f>
        <v>6.0859999999999997E-2</v>
      </c>
      <c r="E94" s="52">
        <f>數量表!CM7-數量表!CL7</f>
        <v>1</v>
      </c>
      <c r="F94" s="52">
        <f>數量表!CM7</f>
        <v>87</v>
      </c>
      <c r="G94" s="52">
        <f>COUNTIF(數量表!$E$11:'數量表'!CM$11,"不計工期")</f>
        <v>0</v>
      </c>
      <c r="H94" s="135">
        <f>IF(數量表!$B$11="日曆天",$B$4+G94,WORKDAY.INTL($B$4,G94,1))</f>
        <v>46445</v>
      </c>
    </row>
    <row r="95" spans="1:8">
      <c r="A95" s="50">
        <f>數量表!CN4</f>
        <v>46333</v>
      </c>
      <c r="B95" s="51">
        <f>MAX(0,數量表!CN9-數量表!CM9)</f>
        <v>3.7571399999999922E-3</v>
      </c>
      <c r="C95" s="51">
        <f>數量表!CN9</f>
        <v>0.30757142999999998</v>
      </c>
      <c r="D95" s="51">
        <f>數量表!CN10</f>
        <v>6.0859999999999997E-2</v>
      </c>
      <c r="E95" s="52">
        <f>數量表!CN7-數量表!CM7</f>
        <v>1</v>
      </c>
      <c r="F95" s="52">
        <f>數量表!CN7</f>
        <v>88</v>
      </c>
      <c r="G95" s="52">
        <f>COUNTIF(數量表!$E$11:'數量表'!CN$11,"不計工期")</f>
        <v>0</v>
      </c>
      <c r="H95" s="135">
        <f>IF(數量表!$B$11="日曆天",$B$4+G95,WORKDAY.INTL($B$4,G95,1))</f>
        <v>46445</v>
      </c>
    </row>
    <row r="96" spans="1:8">
      <c r="A96" s="50">
        <f>數量表!CO4</f>
        <v>46334</v>
      </c>
      <c r="B96" s="51">
        <f>MAX(0,數量表!CO9-數量表!CN9)</f>
        <v>3.7571400000000477E-3</v>
      </c>
      <c r="C96" s="51">
        <f>數量表!CO9</f>
        <v>0.31132857000000003</v>
      </c>
      <c r="D96" s="51">
        <f>數量表!CO10</f>
        <v>6.0859999999999997E-2</v>
      </c>
      <c r="E96" s="52">
        <f>數量表!CO7-數量表!CN7</f>
        <v>1</v>
      </c>
      <c r="F96" s="52">
        <f>數量表!CO7</f>
        <v>89</v>
      </c>
      <c r="G96" s="52">
        <f>COUNTIF(數量表!$E$11:'數量表'!CO$11,"不計工期")</f>
        <v>0</v>
      </c>
      <c r="H96" s="135">
        <f>IF(數量表!$B$11="日曆天",$B$4+G96,WORKDAY.INTL($B$4,G96,1))</f>
        <v>46445</v>
      </c>
    </row>
    <row r="97" spans="1:8">
      <c r="A97" s="50">
        <f>數量表!CP4</f>
        <v>46335</v>
      </c>
      <c r="B97" s="51">
        <f>MAX(0,數量表!CP9-數量表!CO9)</f>
        <v>3.7571399999999922E-3</v>
      </c>
      <c r="C97" s="51">
        <f>數量表!CP9</f>
        <v>0.31508571000000002</v>
      </c>
      <c r="D97" s="51">
        <f>數量表!CP10</f>
        <v>6.0859999999999997E-2</v>
      </c>
      <c r="E97" s="52">
        <f>數量表!CP7-數量表!CO7</f>
        <v>1</v>
      </c>
      <c r="F97" s="52">
        <f>數量表!CP7</f>
        <v>90</v>
      </c>
      <c r="G97" s="52">
        <f>COUNTIF(數量表!$E$11:'數量表'!CP$11,"不計工期")</f>
        <v>0</v>
      </c>
      <c r="H97" s="135">
        <f>IF(數量表!$B$11="日曆天",$B$4+G97,WORKDAY.INTL($B$4,G97,1))</f>
        <v>46445</v>
      </c>
    </row>
    <row r="98" spans="1:8">
      <c r="A98" s="50">
        <f>數量表!CQ4</f>
        <v>46336</v>
      </c>
      <c r="B98" s="51">
        <f>MAX(0,數量表!CQ9-數量表!CP9)</f>
        <v>3.7571499999999869E-3</v>
      </c>
      <c r="C98" s="51">
        <f>數量表!CQ9</f>
        <v>0.31884286000000001</v>
      </c>
      <c r="D98" s="51">
        <f>數量表!CQ10</f>
        <v>6.0859999999999997E-2</v>
      </c>
      <c r="E98" s="52">
        <f>數量表!CQ7-數量表!CP7</f>
        <v>1</v>
      </c>
      <c r="F98" s="52">
        <f>數量表!CQ7</f>
        <v>91</v>
      </c>
      <c r="G98" s="52">
        <f>COUNTIF(數量表!$E$11:'數量表'!CQ$11,"不計工期")</f>
        <v>0</v>
      </c>
      <c r="H98" s="135">
        <f>IF(數量表!$B$11="日曆天",$B$4+G98,WORKDAY.INTL($B$4,G98,1))</f>
        <v>46445</v>
      </c>
    </row>
    <row r="99" spans="1:8">
      <c r="A99" s="50">
        <f>數量表!CR4</f>
        <v>46337</v>
      </c>
      <c r="B99" s="51">
        <f>MAX(0,數量表!CR9-數量表!CQ9)</f>
        <v>3.7571399999999922E-3</v>
      </c>
      <c r="C99" s="51">
        <f>數量表!CR9</f>
        <v>0.3226</v>
      </c>
      <c r="D99" s="51">
        <f>數量表!CR10</f>
        <v>6.0859999999999997E-2</v>
      </c>
      <c r="E99" s="52">
        <f>數量表!CR7-數量表!CQ7</f>
        <v>1</v>
      </c>
      <c r="F99" s="52">
        <f>數量表!CR7</f>
        <v>92</v>
      </c>
      <c r="G99" s="52">
        <f>COUNTIF(數量表!$E$11:'數量表'!CR$11,"不計工期")</f>
        <v>0</v>
      </c>
      <c r="H99" s="135">
        <f>IF(數量表!$B$11="日曆天",$B$4+G99,WORKDAY.INTL($B$4,G99,1))</f>
        <v>46445</v>
      </c>
    </row>
    <row r="100" spans="1:8">
      <c r="A100" s="50">
        <f>數量表!CS4</f>
        <v>46338</v>
      </c>
      <c r="B100" s="51">
        <f>MAX(0,數量表!CS9-數量表!CR9)</f>
        <v>2.6999999999999802E-3</v>
      </c>
      <c r="C100" s="51">
        <f>數量表!CS9</f>
        <v>0.32529999999999998</v>
      </c>
      <c r="D100" s="51">
        <f>數量表!CS10</f>
        <v>6.0859999999999997E-2</v>
      </c>
      <c r="E100" s="52">
        <f>數量表!CS7-數量表!CR7</f>
        <v>1</v>
      </c>
      <c r="F100" s="52">
        <f>數量表!CS7</f>
        <v>93</v>
      </c>
      <c r="G100" s="52">
        <f>COUNTIF(數量表!$E$11:'數量表'!CS$11,"不計工期")</f>
        <v>0</v>
      </c>
      <c r="H100" s="135">
        <f>IF(數量表!$B$11="日曆天",$B$4+G100,WORKDAY.INTL($B$4,G100,1))</f>
        <v>46445</v>
      </c>
    </row>
    <row r="101" spans="1:8">
      <c r="A101" s="50">
        <f>數量表!CT4</f>
        <v>46339</v>
      </c>
      <c r="B101" s="51">
        <f>MAX(0,數量表!CT9-數量表!CS9)</f>
        <v>2.7000000000000357E-3</v>
      </c>
      <c r="C101" s="51">
        <f>數量表!CT9</f>
        <v>0.32800000000000001</v>
      </c>
      <c r="D101" s="51">
        <f>數量表!CT10</f>
        <v>6.0859999999999997E-2</v>
      </c>
      <c r="E101" s="52">
        <f>數量表!CT7-數量表!CS7</f>
        <v>1</v>
      </c>
      <c r="F101" s="52">
        <f>數量表!CT7</f>
        <v>94</v>
      </c>
      <c r="G101" s="52">
        <f>COUNTIF(數量表!$E$11:'數量表'!CT$11,"不計工期")</f>
        <v>0</v>
      </c>
      <c r="H101" s="135">
        <f>IF(數量表!$B$11="日曆天",$B$4+G101,WORKDAY.INTL($B$4,G101,1))</f>
        <v>46445</v>
      </c>
    </row>
    <row r="102" spans="1:8">
      <c r="A102" s="50">
        <f>數量表!CU4</f>
        <v>46340</v>
      </c>
      <c r="B102" s="51">
        <f>MAX(0,數量表!CU9-數量表!CT9)</f>
        <v>2.6999999999999802E-3</v>
      </c>
      <c r="C102" s="51">
        <f>數量表!CU9</f>
        <v>0.33069999999999999</v>
      </c>
      <c r="D102" s="51">
        <f>數量表!CU10</f>
        <v>6.0859999999999997E-2</v>
      </c>
      <c r="E102" s="52">
        <f>數量表!CU7-數量表!CT7</f>
        <v>1</v>
      </c>
      <c r="F102" s="52">
        <f>數量表!CU7</f>
        <v>95</v>
      </c>
      <c r="G102" s="52">
        <f>COUNTIF(數量表!$E$11:'數量表'!CU$11,"不計工期")</f>
        <v>0</v>
      </c>
      <c r="H102" s="135">
        <f>IF(數量表!$B$11="日曆天",$B$4+G102,WORKDAY.INTL($B$4,G102,1))</f>
        <v>46445</v>
      </c>
    </row>
    <row r="103" spans="1:8">
      <c r="A103" s="50">
        <f>數量表!CV4</f>
        <v>46341</v>
      </c>
      <c r="B103" s="51">
        <f>MAX(0,數量表!CV9-數量表!CU9)</f>
        <v>2.6999999999999802E-3</v>
      </c>
      <c r="C103" s="51">
        <f>數量表!CV9</f>
        <v>0.33339999999999997</v>
      </c>
      <c r="D103" s="51">
        <f>數量表!CV10</f>
        <v>6.0859999999999997E-2</v>
      </c>
      <c r="E103" s="52">
        <f>數量表!CV7-數量表!CU7</f>
        <v>1</v>
      </c>
      <c r="F103" s="52">
        <f>數量表!CV7</f>
        <v>96</v>
      </c>
      <c r="G103" s="52">
        <f>COUNTIF(數量表!$E$11:'數量表'!CV$11,"不計工期")</f>
        <v>0</v>
      </c>
      <c r="H103" s="135">
        <f>IF(數量表!$B$11="日曆天",$B$4+G103,WORKDAY.INTL($B$4,G103,1))</f>
        <v>46445</v>
      </c>
    </row>
    <row r="104" spans="1:8">
      <c r="A104" s="50">
        <f>數量表!CW4</f>
        <v>46342</v>
      </c>
      <c r="B104" s="51">
        <f>MAX(0,數量表!CW9-數量表!CV9)</f>
        <v>2.7000000000000357E-3</v>
      </c>
      <c r="C104" s="51">
        <f>數量表!CW9</f>
        <v>0.33610000000000001</v>
      </c>
      <c r="D104" s="51">
        <f>數量表!CW10</f>
        <v>6.0859999999999997E-2</v>
      </c>
      <c r="E104" s="52">
        <f>數量表!CW7-數量表!CV7</f>
        <v>1</v>
      </c>
      <c r="F104" s="52">
        <f>數量表!CW7</f>
        <v>97</v>
      </c>
      <c r="G104" s="52">
        <f>COUNTIF(數量表!$E$11:'數量表'!CW$11,"不計工期")</f>
        <v>0</v>
      </c>
      <c r="H104" s="135">
        <f>IF(數量表!$B$11="日曆天",$B$4+G104,WORKDAY.INTL($B$4,G104,1))</f>
        <v>46445</v>
      </c>
    </row>
    <row r="105" spans="1:8">
      <c r="A105" s="50">
        <f>數量表!CX4</f>
        <v>46343</v>
      </c>
      <c r="B105" s="51">
        <f>MAX(0,數量表!CX9-數量表!CW9)</f>
        <v>2.6999999999999802E-3</v>
      </c>
      <c r="C105" s="51">
        <f>數量表!CX9</f>
        <v>0.33879999999999999</v>
      </c>
      <c r="D105" s="51">
        <f>數量表!CX10</f>
        <v>6.0859999999999997E-2</v>
      </c>
      <c r="E105" s="52">
        <f>數量表!CX7-數量表!CW7</f>
        <v>1</v>
      </c>
      <c r="F105" s="52">
        <f>數量表!CX7</f>
        <v>98</v>
      </c>
      <c r="G105" s="52">
        <f>COUNTIF(數量表!$E$11:'數量表'!CX$11,"不計工期")</f>
        <v>0</v>
      </c>
      <c r="H105" s="135">
        <f>IF(數量表!$B$11="日曆天",$B$4+G105,WORKDAY.INTL($B$4,G105,1))</f>
        <v>46445</v>
      </c>
    </row>
    <row r="106" spans="1:8">
      <c r="A106" s="50">
        <f>數量表!CY4</f>
        <v>46344</v>
      </c>
      <c r="B106" s="51">
        <f>MAX(0,數量表!CY9-數量表!CX9)</f>
        <v>2.7000000000000357E-3</v>
      </c>
      <c r="C106" s="51">
        <f>數量表!CY9</f>
        <v>0.34150000000000003</v>
      </c>
      <c r="D106" s="51">
        <f>數量表!CY10</f>
        <v>6.0859999999999997E-2</v>
      </c>
      <c r="E106" s="52">
        <f>數量表!CY7-數量表!CX7</f>
        <v>1</v>
      </c>
      <c r="F106" s="52">
        <f>數量表!CY7</f>
        <v>99</v>
      </c>
      <c r="G106" s="52">
        <f>COUNTIF(數量表!$E$11:'數量表'!CY$11,"不計工期")</f>
        <v>0</v>
      </c>
      <c r="H106" s="135">
        <f>IF(數量表!$B$11="日曆天",$B$4+G106,WORKDAY.INTL($B$4,G106,1))</f>
        <v>46445</v>
      </c>
    </row>
    <row r="107" spans="1:8">
      <c r="A107" s="50">
        <f>數量表!CZ4</f>
        <v>46345</v>
      </c>
      <c r="B107" s="51">
        <f>MAX(0,數量表!CZ9-數量表!CY9)</f>
        <v>5.4714299999999993E-3</v>
      </c>
      <c r="C107" s="51">
        <f>數量表!CZ9</f>
        <v>0.34697143000000003</v>
      </c>
      <c r="D107" s="51">
        <f>數量表!CZ10</f>
        <v>6.0859999999999997E-2</v>
      </c>
      <c r="E107" s="52">
        <f>數量表!CZ7-數量表!CY7</f>
        <v>1</v>
      </c>
      <c r="F107" s="52">
        <f>數量表!CZ7</f>
        <v>100</v>
      </c>
      <c r="G107" s="52">
        <f>COUNTIF(數量表!$E$11:'數量表'!CZ$11,"不計工期")</f>
        <v>0</v>
      </c>
      <c r="H107" s="135">
        <f>IF(數量表!$B$11="日曆天",$B$4+G107,WORKDAY.INTL($B$4,G107,1))</f>
        <v>46445</v>
      </c>
    </row>
    <row r="108" spans="1:8">
      <c r="A108" s="50">
        <f>數量表!DA4</f>
        <v>46346</v>
      </c>
      <c r="B108" s="51">
        <f>MAX(0,數量表!DA9-數量表!CZ9)</f>
        <v>5.4714299999999993E-3</v>
      </c>
      <c r="C108" s="51">
        <f>數量表!DA9</f>
        <v>0.35244286000000002</v>
      </c>
      <c r="D108" s="51">
        <f>數量表!DA10</f>
        <v>6.0859999999999997E-2</v>
      </c>
      <c r="E108" s="52">
        <f>數量表!DA7-數量表!CZ7</f>
        <v>1</v>
      </c>
      <c r="F108" s="52">
        <f>數量表!DA7</f>
        <v>101</v>
      </c>
      <c r="G108" s="52">
        <f>COUNTIF(數量表!$E$11:'數量表'!DA$11,"不計工期")</f>
        <v>0</v>
      </c>
      <c r="H108" s="135">
        <f>IF(數量表!$B$11="日曆天",$B$4+G108,WORKDAY.INTL($B$4,G108,1))</f>
        <v>46445</v>
      </c>
    </row>
    <row r="109" spans="1:8">
      <c r="A109" s="50">
        <f>數量表!DB4</f>
        <v>46347</v>
      </c>
      <c r="B109" s="51">
        <f>MAX(0,數量表!DB9-數量表!DA9)</f>
        <v>5.4714299999999993E-3</v>
      </c>
      <c r="C109" s="51">
        <f>數量表!DB9</f>
        <v>0.35791429000000002</v>
      </c>
      <c r="D109" s="51">
        <f>數量表!DB10</f>
        <v>6.0859999999999997E-2</v>
      </c>
      <c r="E109" s="52">
        <f>數量表!DB7-數量表!DA7</f>
        <v>1</v>
      </c>
      <c r="F109" s="52">
        <f>數量表!DB7</f>
        <v>102</v>
      </c>
      <c r="G109" s="52">
        <f>COUNTIF(數量表!$E$11:'數量表'!DB$11,"不計工期")</f>
        <v>0</v>
      </c>
      <c r="H109" s="135">
        <f>IF(數量表!$B$11="日曆天",$B$4+G109,WORKDAY.INTL($B$4,G109,1))</f>
        <v>46445</v>
      </c>
    </row>
    <row r="110" spans="1:8">
      <c r="A110" s="50">
        <f>數量表!DC4</f>
        <v>46348</v>
      </c>
      <c r="B110" s="51">
        <f>MAX(0,數量表!DC9-數量表!DB9)</f>
        <v>5.4714199999999491E-3</v>
      </c>
      <c r="C110" s="51">
        <f>數量表!DC9</f>
        <v>0.36338570999999997</v>
      </c>
      <c r="D110" s="51">
        <f>數量表!DC10</f>
        <v>6.0859999999999997E-2</v>
      </c>
      <c r="E110" s="52">
        <f>數量表!DC7-數量表!DB7</f>
        <v>1</v>
      </c>
      <c r="F110" s="52">
        <f>數量表!DC7</f>
        <v>103</v>
      </c>
      <c r="G110" s="52">
        <f>COUNTIF(數量表!$E$11:'數量表'!DC$11,"不計工期")</f>
        <v>0</v>
      </c>
      <c r="H110" s="135">
        <f>IF(數量表!$B$11="日曆天",$B$4+G110,WORKDAY.INTL($B$4,G110,1))</f>
        <v>46445</v>
      </c>
    </row>
    <row r="111" spans="1:8">
      <c r="A111" s="50">
        <f>數量表!DD4</f>
        <v>46349</v>
      </c>
      <c r="B111" s="51">
        <f>MAX(0,數量表!DD9-數量表!DC9)</f>
        <v>5.4714300000000549E-3</v>
      </c>
      <c r="C111" s="51">
        <f>數量表!DD9</f>
        <v>0.36885714000000003</v>
      </c>
      <c r="D111" s="51">
        <f>數量表!DD10</f>
        <v>6.0859999999999997E-2</v>
      </c>
      <c r="E111" s="52">
        <f>數量表!DD7-數量表!DC7</f>
        <v>1</v>
      </c>
      <c r="F111" s="52">
        <f>數量表!DD7</f>
        <v>104</v>
      </c>
      <c r="G111" s="52">
        <f>COUNTIF(數量表!$E$11:'數量表'!DD$11,"不計工期")</f>
        <v>0</v>
      </c>
      <c r="H111" s="135">
        <f>IF(數量表!$B$11="日曆天",$B$4+G111,WORKDAY.INTL($B$4,G111,1))</f>
        <v>46445</v>
      </c>
    </row>
    <row r="112" spans="1:8">
      <c r="A112" s="50">
        <f>數量表!DE4</f>
        <v>46350</v>
      </c>
      <c r="B112" s="51">
        <f>MAX(0,數量表!DE9-數量表!DD9)</f>
        <v>5.4714299999999993E-3</v>
      </c>
      <c r="C112" s="51">
        <f>數量表!DE9</f>
        <v>0.37432857000000003</v>
      </c>
      <c r="D112" s="51">
        <f>數量表!DE10</f>
        <v>6.0859999999999997E-2</v>
      </c>
      <c r="E112" s="52">
        <f>數量表!DE7-數量表!DD7</f>
        <v>1</v>
      </c>
      <c r="F112" s="52">
        <f>數量表!DE7</f>
        <v>105</v>
      </c>
      <c r="G112" s="52">
        <f>COUNTIF(數量表!$E$11:'數量表'!DE$11,"不計工期")</f>
        <v>0</v>
      </c>
      <c r="H112" s="135">
        <f>IF(數量表!$B$11="日曆天",$B$4+G112,WORKDAY.INTL($B$4,G112,1))</f>
        <v>46445</v>
      </c>
    </row>
    <row r="113" spans="1:8">
      <c r="A113" s="50">
        <f>數量表!DF4</f>
        <v>46351</v>
      </c>
      <c r="B113" s="51">
        <f>MAX(0,數量表!DF9-數量表!DE9)</f>
        <v>5.4714299999999993E-3</v>
      </c>
      <c r="C113" s="51">
        <f>數量表!DF9</f>
        <v>0.37980000000000003</v>
      </c>
      <c r="D113" s="51">
        <f>數量表!DF10</f>
        <v>6.0859999999999997E-2</v>
      </c>
      <c r="E113" s="52">
        <f>數量表!DF7-數量表!DE7</f>
        <v>1</v>
      </c>
      <c r="F113" s="52">
        <f>數量表!DF7</f>
        <v>106</v>
      </c>
      <c r="G113" s="52">
        <f>COUNTIF(數量表!$E$11:'數量表'!DF$11,"不計工期")</f>
        <v>0</v>
      </c>
      <c r="H113" s="135">
        <f>IF(數量表!$B$11="日曆天",$B$4+G113,WORKDAY.INTL($B$4,G113,1))</f>
        <v>46445</v>
      </c>
    </row>
    <row r="114" spans="1:8">
      <c r="A114" s="50">
        <f>數量表!DG4</f>
        <v>46352</v>
      </c>
      <c r="B114" s="51">
        <f>MAX(0,數量表!DG9-數量表!DF9)</f>
        <v>5.0428599999999824E-3</v>
      </c>
      <c r="C114" s="51">
        <f>數量表!DG9</f>
        <v>0.38484286000000001</v>
      </c>
      <c r="D114" s="51">
        <f>數量表!DG10</f>
        <v>6.0859999999999997E-2</v>
      </c>
      <c r="E114" s="52">
        <f>數量表!DG7-數量表!DF7</f>
        <v>1</v>
      </c>
      <c r="F114" s="52">
        <f>數量表!DG7</f>
        <v>107</v>
      </c>
      <c r="G114" s="52">
        <f>COUNTIF(數量表!$E$11:'數量表'!DG$11,"不計工期")</f>
        <v>0</v>
      </c>
      <c r="H114" s="135">
        <f>IF(數量表!$B$11="日曆天",$B$4+G114,WORKDAY.INTL($B$4,G114,1))</f>
        <v>46445</v>
      </c>
    </row>
    <row r="115" spans="1:8">
      <c r="A115" s="50">
        <f>數量表!DH4</f>
        <v>46353</v>
      </c>
      <c r="B115" s="51">
        <f>MAX(0,數量表!DH9-數量表!DG9)</f>
        <v>5.0428499999999876E-3</v>
      </c>
      <c r="C115" s="51">
        <f>數量表!DH9</f>
        <v>0.38988571</v>
      </c>
      <c r="D115" s="51">
        <f>數量表!DH10</f>
        <v>6.0859999999999997E-2</v>
      </c>
      <c r="E115" s="52">
        <f>數量表!DH7-數量表!DG7</f>
        <v>1</v>
      </c>
      <c r="F115" s="52">
        <f>數量表!DH7</f>
        <v>108</v>
      </c>
      <c r="G115" s="52">
        <f>COUNTIF(數量表!$E$11:'數量表'!DH$11,"不計工期")</f>
        <v>0</v>
      </c>
      <c r="H115" s="135">
        <f>IF(數量表!$B$11="日曆天",$B$4+G115,WORKDAY.INTL($B$4,G115,1))</f>
        <v>46445</v>
      </c>
    </row>
    <row r="116" spans="1:8">
      <c r="A116" s="50">
        <f>數量表!DI4</f>
        <v>46354</v>
      </c>
      <c r="B116" s="51">
        <f>MAX(0,數量表!DI9-數量表!DH9)</f>
        <v>5.0428599999999824E-3</v>
      </c>
      <c r="C116" s="51">
        <f>數量表!DI9</f>
        <v>0.39492856999999998</v>
      </c>
      <c r="D116" s="51">
        <f>數量表!DI10</f>
        <v>6.0859999999999997E-2</v>
      </c>
      <c r="E116" s="52">
        <f>數量表!DI7-數量表!DH7</f>
        <v>1</v>
      </c>
      <c r="F116" s="52">
        <f>數量表!DI7</f>
        <v>109</v>
      </c>
      <c r="G116" s="52">
        <f>COUNTIF(數量表!$E$11:'數量表'!DI$11,"不計工期")</f>
        <v>0</v>
      </c>
      <c r="H116" s="135">
        <f>IF(數量表!$B$11="日曆天",$B$4+G116,WORKDAY.INTL($B$4,G116,1))</f>
        <v>46445</v>
      </c>
    </row>
    <row r="117" spans="1:8">
      <c r="A117" s="50">
        <f>數量表!DJ4</f>
        <v>46355</v>
      </c>
      <c r="B117" s="51">
        <f>MAX(0,數量表!DJ9-數量表!DI9)</f>
        <v>5.0428600000000379E-3</v>
      </c>
      <c r="C117" s="51">
        <f>數量表!DJ9</f>
        <v>0.39997143000000002</v>
      </c>
      <c r="D117" s="51">
        <f>數量表!DJ10</f>
        <v>6.0859999999999997E-2</v>
      </c>
      <c r="E117" s="52">
        <f>數量表!DJ7-數量表!DI7</f>
        <v>1</v>
      </c>
      <c r="F117" s="52">
        <f>數量表!DJ7</f>
        <v>110</v>
      </c>
      <c r="G117" s="52">
        <f>COUNTIF(數量表!$E$11:'數量表'!DJ$11,"不計工期")</f>
        <v>0</v>
      </c>
      <c r="H117" s="135">
        <f>IF(數量表!$B$11="日曆天",$B$4+G117,WORKDAY.INTL($B$4,G117,1))</f>
        <v>46445</v>
      </c>
    </row>
    <row r="118" spans="1:8">
      <c r="A118" s="50">
        <f>數量表!DK4</f>
        <v>46356</v>
      </c>
      <c r="B118" s="51">
        <f>MAX(0,數量表!DK9-數量表!DJ9)</f>
        <v>5.0428599999999824E-3</v>
      </c>
      <c r="C118" s="51">
        <f>數量表!DK9</f>
        <v>0.40501429</v>
      </c>
      <c r="D118" s="51">
        <f>數量表!DK10</f>
        <v>6.0859999999999997E-2</v>
      </c>
      <c r="E118" s="52">
        <f>數量表!DK7-數量表!DJ7</f>
        <v>1</v>
      </c>
      <c r="F118" s="52">
        <f>數量表!DK7</f>
        <v>111</v>
      </c>
      <c r="G118" s="52">
        <f>COUNTIF(數量表!$E$11:'數量表'!DK$11,"不計工期")</f>
        <v>0</v>
      </c>
      <c r="H118" s="135">
        <f>IF(數量表!$B$11="日曆天",$B$4+G118,WORKDAY.INTL($B$4,G118,1))</f>
        <v>46445</v>
      </c>
    </row>
    <row r="119" spans="1:8">
      <c r="A119" s="50">
        <f>數量表!DL4</f>
        <v>46357</v>
      </c>
      <c r="B119" s="51">
        <f>MAX(0,數量表!DL9-數量表!DK9)</f>
        <v>5.0428499999999876E-3</v>
      </c>
      <c r="C119" s="51">
        <f>數量表!DL9</f>
        <v>0.41005713999999999</v>
      </c>
      <c r="D119" s="51">
        <f>數量表!DL10</f>
        <v>6.0859999999999997E-2</v>
      </c>
      <c r="E119" s="52">
        <f>數量表!DL7-數量表!DK7</f>
        <v>1</v>
      </c>
      <c r="F119" s="52">
        <f>數量表!DL7</f>
        <v>112</v>
      </c>
      <c r="G119" s="52">
        <f>COUNTIF(數量表!$E$11:'數量表'!DL$11,"不計工期")</f>
        <v>0</v>
      </c>
      <c r="H119" s="135">
        <f>IF(數量表!$B$11="日曆天",$B$4+G119,WORKDAY.INTL($B$4,G119,1))</f>
        <v>46445</v>
      </c>
    </row>
    <row r="120" spans="1:8">
      <c r="A120" s="50">
        <f>數量表!DM4</f>
        <v>46358</v>
      </c>
      <c r="B120" s="51">
        <f>MAX(0,數量表!DM9-數量表!DL9)</f>
        <v>5.0428600000000379E-3</v>
      </c>
      <c r="C120" s="51">
        <f>數量表!DM9</f>
        <v>0.41510000000000002</v>
      </c>
      <c r="D120" s="51">
        <f>數量表!DM10</f>
        <v>6.0859999999999997E-2</v>
      </c>
      <c r="E120" s="52">
        <f>數量表!DM7-數量表!DL7</f>
        <v>1</v>
      </c>
      <c r="F120" s="52">
        <f>數量表!DM7</f>
        <v>113</v>
      </c>
      <c r="G120" s="52">
        <f>COUNTIF(數量表!$E$11:'數量表'!DM$11,"不計工期")</f>
        <v>0</v>
      </c>
      <c r="H120" s="135">
        <f>IF(數量表!$B$11="日曆天",$B$4+G120,WORKDAY.INTL($B$4,G120,1))</f>
        <v>46445</v>
      </c>
    </row>
    <row r="121" spans="1:8">
      <c r="A121" s="50">
        <f>數量表!DN4</f>
        <v>46359</v>
      </c>
      <c r="B121" s="51">
        <f>MAX(0,數量表!DN9-數量表!DM9)</f>
        <v>3.9571399999999701E-3</v>
      </c>
      <c r="C121" s="51">
        <f>數量表!DN9</f>
        <v>0.41905713999999999</v>
      </c>
      <c r="D121" s="51">
        <f>數量表!DN10</f>
        <v>6.0859999999999997E-2</v>
      </c>
      <c r="E121" s="52">
        <f>數量表!DN7-數量表!DM7</f>
        <v>1</v>
      </c>
      <c r="F121" s="52">
        <f>數量表!DN7</f>
        <v>114</v>
      </c>
      <c r="G121" s="52">
        <f>COUNTIF(數量表!$E$11:'數量表'!DN$11,"不計工期")</f>
        <v>0</v>
      </c>
      <c r="H121" s="135">
        <f>IF(數量表!$B$11="日曆天",$B$4+G121,WORKDAY.INTL($B$4,G121,1))</f>
        <v>46445</v>
      </c>
    </row>
    <row r="122" spans="1:8">
      <c r="A122" s="50">
        <f>數量表!DO4</f>
        <v>46360</v>
      </c>
      <c r="B122" s="51">
        <f>MAX(0,數量表!DO9-數量表!DN9)</f>
        <v>3.9571500000000204E-3</v>
      </c>
      <c r="C122" s="51">
        <f>數量表!DO9</f>
        <v>0.42301429000000002</v>
      </c>
      <c r="D122" s="51">
        <f>數量表!DO10</f>
        <v>6.0859999999999997E-2</v>
      </c>
      <c r="E122" s="52">
        <f>數量表!DO7-數量表!DN7</f>
        <v>1</v>
      </c>
      <c r="F122" s="52">
        <f>數量表!DO7</f>
        <v>115</v>
      </c>
      <c r="G122" s="52">
        <f>COUNTIF(數量表!$E$11:'數量表'!DO$11,"不計工期")</f>
        <v>0</v>
      </c>
      <c r="H122" s="135">
        <f>IF(數量表!$B$11="日曆天",$B$4+G122,WORKDAY.INTL($B$4,G122,1))</f>
        <v>46445</v>
      </c>
    </row>
    <row r="123" spans="1:8">
      <c r="A123" s="50">
        <f>數量表!DP4</f>
        <v>46361</v>
      </c>
      <c r="B123" s="51">
        <f>MAX(0,數量表!DP9-數量表!DO9)</f>
        <v>3.9571399999999701E-3</v>
      </c>
      <c r="C123" s="51">
        <f>數量表!DP9</f>
        <v>0.42697142999999999</v>
      </c>
      <c r="D123" s="51">
        <f>數量表!DP10</f>
        <v>6.0859999999999997E-2</v>
      </c>
      <c r="E123" s="52">
        <f>數量表!DP7-數量表!DO7</f>
        <v>1</v>
      </c>
      <c r="F123" s="52">
        <f>數量表!DP7</f>
        <v>116</v>
      </c>
      <c r="G123" s="52">
        <f>COUNTIF(數量表!$E$11:'數量表'!DP$11,"不計工期")</f>
        <v>0</v>
      </c>
      <c r="H123" s="135">
        <f>IF(數量表!$B$11="日曆天",$B$4+G123,WORKDAY.INTL($B$4,G123,1))</f>
        <v>46445</v>
      </c>
    </row>
    <row r="124" spans="1:8">
      <c r="A124" s="50">
        <f>數量表!DQ4</f>
        <v>46362</v>
      </c>
      <c r="B124" s="51">
        <f>MAX(0,數量表!DQ9-數量表!DP9)</f>
        <v>3.9571400000000256E-3</v>
      </c>
      <c r="C124" s="51">
        <f>數量表!DQ9</f>
        <v>0.43092857000000001</v>
      </c>
      <c r="D124" s="51">
        <f>數量表!DQ10</f>
        <v>6.0859999999999997E-2</v>
      </c>
      <c r="E124" s="52">
        <f>數量表!DQ7-數量表!DP7</f>
        <v>1</v>
      </c>
      <c r="F124" s="52">
        <f>數量表!DQ7</f>
        <v>117</v>
      </c>
      <c r="G124" s="52">
        <f>COUNTIF(數量表!$E$11:'數量表'!DQ$11,"不計工期")</f>
        <v>0</v>
      </c>
      <c r="H124" s="135">
        <f>IF(數量表!$B$11="日曆天",$B$4+G124,WORKDAY.INTL($B$4,G124,1))</f>
        <v>46445</v>
      </c>
    </row>
    <row r="125" spans="1:8">
      <c r="A125" s="50">
        <f>數量表!DR4</f>
        <v>46363</v>
      </c>
      <c r="B125" s="51">
        <f>MAX(0,數量表!DR9-數量表!DQ9)</f>
        <v>3.9571399999999701E-3</v>
      </c>
      <c r="C125" s="51">
        <f>數量表!DR9</f>
        <v>0.43488570999999998</v>
      </c>
      <c r="D125" s="51">
        <f>數量表!DR10</f>
        <v>6.0859999999999997E-2</v>
      </c>
      <c r="E125" s="52">
        <f>數量表!DR7-數量表!DQ7</f>
        <v>1</v>
      </c>
      <c r="F125" s="52">
        <f>數量表!DR7</f>
        <v>118</v>
      </c>
      <c r="G125" s="52">
        <f>COUNTIF(數量表!$E$11:'數量表'!DR$11,"不計工期")</f>
        <v>0</v>
      </c>
      <c r="H125" s="135">
        <f>IF(數量表!$B$11="日曆天",$B$4+G125,WORKDAY.INTL($B$4,G125,1))</f>
        <v>46445</v>
      </c>
    </row>
    <row r="126" spans="1:8">
      <c r="A126" s="50">
        <f>數量表!DS4</f>
        <v>46364</v>
      </c>
      <c r="B126" s="51">
        <f>MAX(0,數量表!DS9-數量表!DR9)</f>
        <v>3.9571500000000204E-3</v>
      </c>
      <c r="C126" s="51">
        <f>數量表!DS9</f>
        <v>0.43884286</v>
      </c>
      <c r="D126" s="51">
        <f>數量表!DS10</f>
        <v>6.0859999999999997E-2</v>
      </c>
      <c r="E126" s="52">
        <f>數量表!DS7-數量表!DR7</f>
        <v>1</v>
      </c>
      <c r="F126" s="52">
        <f>數量表!DS7</f>
        <v>119</v>
      </c>
      <c r="G126" s="52">
        <f>COUNTIF(數量表!$E$11:'數量表'!DS$11,"不計工期")</f>
        <v>0</v>
      </c>
      <c r="H126" s="135">
        <f>IF(數量表!$B$11="日曆天",$B$4+G126,WORKDAY.INTL($B$4,G126,1))</f>
        <v>46445</v>
      </c>
    </row>
    <row r="127" spans="1:8">
      <c r="A127" s="50">
        <f>數量表!DT4</f>
        <v>46365</v>
      </c>
      <c r="B127" s="51">
        <f>MAX(0,數量表!DT9-數量表!DS9)</f>
        <v>3.9571400000000256E-3</v>
      </c>
      <c r="C127" s="51">
        <f>數量表!DT9</f>
        <v>0.44280000000000003</v>
      </c>
      <c r="D127" s="51">
        <f>數量表!DT10</f>
        <v>6.0859999999999997E-2</v>
      </c>
      <c r="E127" s="52">
        <f>數量表!DT7-數量表!DS7</f>
        <v>1</v>
      </c>
      <c r="F127" s="52">
        <f>數量表!DT7</f>
        <v>120</v>
      </c>
      <c r="G127" s="52">
        <f>COUNTIF(數量表!$E$11:'數量表'!DT$11,"不計工期")</f>
        <v>0</v>
      </c>
      <c r="H127" s="135">
        <f>IF(數量表!$B$11="日曆天",$B$4+G127,WORKDAY.INTL($B$4,G127,1))</f>
        <v>46445</v>
      </c>
    </row>
    <row r="128" spans="1:8">
      <c r="A128" s="50">
        <f>數量表!DU4</f>
        <v>46366</v>
      </c>
      <c r="B128" s="51">
        <f>MAX(0,數量表!DU9-數量表!DT9)</f>
        <v>4.2999999999999705E-3</v>
      </c>
      <c r="C128" s="51">
        <f>數量表!DU9</f>
        <v>0.4471</v>
      </c>
      <c r="D128" s="51">
        <f>數量表!DU10</f>
        <v>6.0859999999999997E-2</v>
      </c>
      <c r="E128" s="52">
        <f>數量表!DU7-數量表!DT7</f>
        <v>1</v>
      </c>
      <c r="F128" s="52">
        <f>數量表!DU7</f>
        <v>121</v>
      </c>
      <c r="G128" s="52">
        <f>COUNTIF(數量表!$E$11:'數量表'!DU$11,"不計工期")</f>
        <v>0</v>
      </c>
      <c r="H128" s="135">
        <f>IF(數量表!$B$11="日曆天",$B$4+G128,WORKDAY.INTL($B$4,G128,1))</f>
        <v>46445</v>
      </c>
    </row>
    <row r="129" spans="1:8">
      <c r="A129" s="50">
        <f>數量表!DV4</f>
        <v>46367</v>
      </c>
      <c r="B129" s="51">
        <f>MAX(0,數量表!DV9-數量表!DU9)</f>
        <v>4.300000000000026E-3</v>
      </c>
      <c r="C129" s="51">
        <f>數量表!DV9</f>
        <v>0.45140000000000002</v>
      </c>
      <c r="D129" s="51">
        <f>數量表!DV10</f>
        <v>6.0859999999999997E-2</v>
      </c>
      <c r="E129" s="52">
        <f>數量表!DV7-數量表!DU7</f>
        <v>1</v>
      </c>
      <c r="F129" s="52">
        <f>數量表!DV7</f>
        <v>122</v>
      </c>
      <c r="G129" s="52">
        <f>COUNTIF(數量表!$E$11:'數量表'!DV$11,"不計工期")</f>
        <v>0</v>
      </c>
      <c r="H129" s="135">
        <f>IF(數量表!$B$11="日曆天",$B$4+G129,WORKDAY.INTL($B$4,G129,1))</f>
        <v>46445</v>
      </c>
    </row>
    <row r="130" spans="1:8">
      <c r="A130" s="50">
        <f>數量表!DW4</f>
        <v>46368</v>
      </c>
      <c r="B130" s="51">
        <f>MAX(0,數量表!DW9-數量表!DV9)</f>
        <v>4.2999999999999705E-3</v>
      </c>
      <c r="C130" s="51">
        <f>數量表!DW9</f>
        <v>0.45569999999999999</v>
      </c>
      <c r="D130" s="51">
        <f>數量表!DW10</f>
        <v>6.0859999999999997E-2</v>
      </c>
      <c r="E130" s="52">
        <f>數量表!DW7-數量表!DV7</f>
        <v>1</v>
      </c>
      <c r="F130" s="52">
        <f>數量表!DW7</f>
        <v>123</v>
      </c>
      <c r="G130" s="52">
        <f>COUNTIF(數量表!$E$11:'數量表'!DW$11,"不計工期")</f>
        <v>0</v>
      </c>
      <c r="H130" s="135">
        <f>IF(數量表!$B$11="日曆天",$B$4+G130,WORKDAY.INTL($B$4,G130,1))</f>
        <v>46445</v>
      </c>
    </row>
    <row r="131" spans="1:8">
      <c r="A131" s="50">
        <f>數量表!DX4</f>
        <v>46369</v>
      </c>
      <c r="B131" s="51">
        <f>MAX(0,數量表!DX9-數量表!DW9)</f>
        <v>4.300000000000026E-3</v>
      </c>
      <c r="C131" s="51">
        <f>數量表!DX9</f>
        <v>0.46</v>
      </c>
      <c r="D131" s="51">
        <f>數量表!DX10</f>
        <v>6.0859999999999997E-2</v>
      </c>
      <c r="E131" s="52">
        <f>數量表!DX7-數量表!DW7</f>
        <v>1</v>
      </c>
      <c r="F131" s="52">
        <f>數量表!DX7</f>
        <v>124</v>
      </c>
      <c r="G131" s="52">
        <f>COUNTIF(數量表!$E$11:'數量表'!DX$11,"不計工期")</f>
        <v>0</v>
      </c>
      <c r="H131" s="135">
        <f>IF(數量表!$B$11="日曆天",$B$4+G131,WORKDAY.INTL($B$4,G131,1))</f>
        <v>46445</v>
      </c>
    </row>
    <row r="132" spans="1:8">
      <c r="A132" s="50">
        <f>數量表!DY4</f>
        <v>46370</v>
      </c>
      <c r="B132" s="51">
        <f>MAX(0,數量表!DY9-數量表!DX9)</f>
        <v>4.2999999999999705E-3</v>
      </c>
      <c r="C132" s="51">
        <f>數量表!DY9</f>
        <v>0.46429999999999999</v>
      </c>
      <c r="D132" s="51">
        <f>數量表!DY10</f>
        <v>6.0859999999999997E-2</v>
      </c>
      <c r="E132" s="52">
        <f>數量表!DY7-數量表!DX7</f>
        <v>1</v>
      </c>
      <c r="F132" s="52">
        <f>數量表!DY7</f>
        <v>125</v>
      </c>
      <c r="G132" s="52">
        <f>COUNTIF(數量表!$E$11:'數量表'!DY$11,"不計工期")</f>
        <v>0</v>
      </c>
      <c r="H132" s="135">
        <f>IF(數量表!$B$11="日曆天",$B$4+G132,WORKDAY.INTL($B$4,G132,1))</f>
        <v>46445</v>
      </c>
    </row>
    <row r="133" spans="1:8">
      <c r="A133" s="50">
        <f>數量表!DZ4</f>
        <v>46371</v>
      </c>
      <c r="B133" s="51">
        <f>MAX(0,數量表!DZ9-數量表!DY9)</f>
        <v>4.300000000000026E-3</v>
      </c>
      <c r="C133" s="51">
        <f>數量表!DZ9</f>
        <v>0.46860000000000002</v>
      </c>
      <c r="D133" s="51">
        <f>數量表!DZ10</f>
        <v>6.0859999999999997E-2</v>
      </c>
      <c r="E133" s="52">
        <f>數量表!DZ7-數量表!DY7</f>
        <v>1</v>
      </c>
      <c r="F133" s="52">
        <f>數量表!DZ7</f>
        <v>126</v>
      </c>
      <c r="G133" s="52">
        <f>COUNTIF(數量表!$E$11:'數量表'!DZ$11,"不計工期")</f>
        <v>0</v>
      </c>
      <c r="H133" s="135">
        <f>IF(數量表!$B$11="日曆天",$B$4+G133,WORKDAY.INTL($B$4,G133,1))</f>
        <v>46445</v>
      </c>
    </row>
    <row r="134" spans="1:8">
      <c r="A134" s="50">
        <f>數量表!EA4</f>
        <v>46372</v>
      </c>
      <c r="B134" s="51">
        <f>MAX(0,數量表!EA9-數量表!DZ9)</f>
        <v>4.2999999999999705E-3</v>
      </c>
      <c r="C134" s="51">
        <f>數量表!EA9</f>
        <v>0.47289999999999999</v>
      </c>
      <c r="D134" s="51">
        <f>數量表!EA10</f>
        <v>6.0859999999999997E-2</v>
      </c>
      <c r="E134" s="52">
        <f>數量表!EA7-數量表!DZ7</f>
        <v>1</v>
      </c>
      <c r="F134" s="52">
        <f>數量表!EA7</f>
        <v>127</v>
      </c>
      <c r="G134" s="52">
        <f>COUNTIF(數量表!$E$11:'數量表'!EA$11,"不計工期")</f>
        <v>0</v>
      </c>
      <c r="H134" s="135">
        <f>IF(數量表!$B$11="日曆天",$B$4+G134,WORKDAY.INTL($B$4,G134,1))</f>
        <v>46445</v>
      </c>
    </row>
    <row r="135" spans="1:8">
      <c r="A135" s="50">
        <f>數量表!EB4</f>
        <v>46373</v>
      </c>
      <c r="B135" s="51">
        <f>MAX(0,數量表!EB9-數量表!EA9)</f>
        <v>5.1714300000000324E-3</v>
      </c>
      <c r="C135" s="51">
        <f>數量表!EB9</f>
        <v>0.47807143000000002</v>
      </c>
      <c r="D135" s="51">
        <f>數量表!EB10</f>
        <v>6.0859999999999997E-2</v>
      </c>
      <c r="E135" s="52">
        <f>數量表!EB7-數量表!EA7</f>
        <v>1</v>
      </c>
      <c r="F135" s="52">
        <f>數量表!EB7</f>
        <v>128</v>
      </c>
      <c r="G135" s="52">
        <f>COUNTIF(數量表!$E$11:'數量表'!EB$11,"不計工期")</f>
        <v>0</v>
      </c>
      <c r="H135" s="135">
        <f>IF(數量表!$B$11="日曆天",$B$4+G135,WORKDAY.INTL($B$4,G135,1))</f>
        <v>46445</v>
      </c>
    </row>
    <row r="136" spans="1:8">
      <c r="A136" s="50">
        <f>數量表!EC4</f>
        <v>46374</v>
      </c>
      <c r="B136" s="51">
        <f>MAX(0,數量表!EC9-數量表!EB9)</f>
        <v>5.1714299999999769E-3</v>
      </c>
      <c r="C136" s="51">
        <f>數量表!EC9</f>
        <v>0.48324286</v>
      </c>
      <c r="D136" s="51">
        <f>數量表!EC10</f>
        <v>6.0859999999999997E-2</v>
      </c>
      <c r="E136" s="52">
        <f>數量表!EC7-數量表!EB7</f>
        <v>1</v>
      </c>
      <c r="F136" s="52">
        <f>數量表!EC7</f>
        <v>129</v>
      </c>
      <c r="G136" s="52">
        <f>COUNTIF(數量表!$E$11:'數量表'!EC$11,"不計工期")</f>
        <v>0</v>
      </c>
      <c r="H136" s="135">
        <f>IF(數量表!$B$11="日曆天",$B$4+G136,WORKDAY.INTL($B$4,G136,1))</f>
        <v>46445</v>
      </c>
    </row>
    <row r="137" spans="1:8">
      <c r="A137" s="50">
        <f>數量表!ED4</f>
        <v>46375</v>
      </c>
      <c r="B137" s="51">
        <f>MAX(0,數量表!ED9-數量表!EC9)</f>
        <v>5.1714299999999769E-3</v>
      </c>
      <c r="C137" s="51">
        <f>數量表!ED9</f>
        <v>0.48841428999999997</v>
      </c>
      <c r="D137" s="51">
        <f>數量表!ED10</f>
        <v>6.0859999999999997E-2</v>
      </c>
      <c r="E137" s="52">
        <f>數量表!ED7-數量表!EC7</f>
        <v>1</v>
      </c>
      <c r="F137" s="52">
        <f>數量表!ED7</f>
        <v>130</v>
      </c>
      <c r="G137" s="52">
        <f>COUNTIF(數量表!$E$11:'數量表'!ED$11,"不計工期")</f>
        <v>0</v>
      </c>
      <c r="H137" s="135">
        <f>IF(數量表!$B$11="日曆天",$B$4+G137,WORKDAY.INTL($B$4,G137,1))</f>
        <v>46445</v>
      </c>
    </row>
    <row r="138" spans="1:8">
      <c r="A138" s="50">
        <f>數量表!EE4</f>
        <v>46376</v>
      </c>
      <c r="B138" s="51">
        <f>MAX(0,數量表!EE9-數量表!ED9)</f>
        <v>5.1714200000000377E-3</v>
      </c>
      <c r="C138" s="51">
        <f>數量表!EE9</f>
        <v>0.49358571000000001</v>
      </c>
      <c r="D138" s="51">
        <f>數量表!EE10</f>
        <v>6.0859999999999997E-2</v>
      </c>
      <c r="E138" s="52">
        <f>數量表!EE7-數量表!ED7</f>
        <v>1</v>
      </c>
      <c r="F138" s="52">
        <f>數量表!EE7</f>
        <v>131</v>
      </c>
      <c r="G138" s="52">
        <f>COUNTIF(數量表!$E$11:'數量表'!EE$11,"不計工期")</f>
        <v>0</v>
      </c>
      <c r="H138" s="135">
        <f>IF(數量表!$B$11="日曆天",$B$4+G138,WORKDAY.INTL($B$4,G138,1))</f>
        <v>46445</v>
      </c>
    </row>
    <row r="139" spans="1:8">
      <c r="A139" s="50">
        <f>數量表!EF4</f>
        <v>46377</v>
      </c>
      <c r="B139" s="51">
        <f>MAX(0,數量表!EF9-數量表!EE9)</f>
        <v>5.1714299999999769E-3</v>
      </c>
      <c r="C139" s="51">
        <f>數量表!EF9</f>
        <v>0.49875713999999999</v>
      </c>
      <c r="D139" s="51">
        <f>數量表!EF10</f>
        <v>6.0859999999999997E-2</v>
      </c>
      <c r="E139" s="52">
        <f>數量表!EF7-數量表!EE7</f>
        <v>1</v>
      </c>
      <c r="F139" s="52">
        <f>數量表!EF7</f>
        <v>132</v>
      </c>
      <c r="G139" s="52">
        <f>COUNTIF(數量表!$E$11:'數量表'!EF$11,"不計工期")</f>
        <v>0</v>
      </c>
      <c r="H139" s="135">
        <f>IF(數量表!$B$11="日曆天",$B$4+G139,WORKDAY.INTL($B$4,G139,1))</f>
        <v>46445</v>
      </c>
    </row>
    <row r="140" spans="1:8">
      <c r="A140" s="50">
        <f>數量表!EG4</f>
        <v>46378</v>
      </c>
      <c r="B140" s="51">
        <f>MAX(0,數量表!EG9-數量表!EF9)</f>
        <v>5.1714300000000324E-3</v>
      </c>
      <c r="C140" s="51">
        <f>數量表!EG9</f>
        <v>0.50392857000000002</v>
      </c>
      <c r="D140" s="51">
        <f>數量表!EG10</f>
        <v>6.0859999999999997E-2</v>
      </c>
      <c r="E140" s="52">
        <f>數量表!EG7-數量表!EF7</f>
        <v>1</v>
      </c>
      <c r="F140" s="52">
        <f>數量表!EG7</f>
        <v>133</v>
      </c>
      <c r="G140" s="52">
        <f>COUNTIF(數量表!$E$11:'數量表'!EG$11,"不計工期")</f>
        <v>0</v>
      </c>
      <c r="H140" s="135">
        <f>IF(數量表!$B$11="日曆天",$B$4+G140,WORKDAY.INTL($B$4,G140,1))</f>
        <v>46445</v>
      </c>
    </row>
    <row r="141" spans="1:8">
      <c r="A141" s="50">
        <f>數量表!EH4</f>
        <v>46379</v>
      </c>
      <c r="B141" s="51">
        <f>MAX(0,數量表!EH9-數量表!EG9)</f>
        <v>5.1714299999999769E-3</v>
      </c>
      <c r="C141" s="51">
        <f>數量表!EH9</f>
        <v>0.5091</v>
      </c>
      <c r="D141" s="51">
        <f>數量表!EH10</f>
        <v>6.0859999999999997E-2</v>
      </c>
      <c r="E141" s="52">
        <f>數量表!EH7-數量表!EG7</f>
        <v>1</v>
      </c>
      <c r="F141" s="52">
        <f>數量表!EH7</f>
        <v>134</v>
      </c>
      <c r="G141" s="52">
        <f>COUNTIF(數量表!$E$11:'數量表'!EH$11,"不計工期")</f>
        <v>0</v>
      </c>
      <c r="H141" s="135">
        <f>IF(數量表!$B$11="日曆天",$B$4+G141,WORKDAY.INTL($B$4,G141,1))</f>
        <v>46445</v>
      </c>
    </row>
    <row r="142" spans="1:8">
      <c r="A142" s="50">
        <f>數量表!EI4</f>
        <v>46380</v>
      </c>
      <c r="B142" s="51">
        <f>MAX(0,數量表!EI9-數量表!EH9)</f>
        <v>6.2714299999999668E-3</v>
      </c>
      <c r="C142" s="51">
        <f>數量表!EI9</f>
        <v>0.51537142999999996</v>
      </c>
      <c r="D142" s="51">
        <f>數量表!EI10</f>
        <v>6.0859999999999997E-2</v>
      </c>
      <c r="E142" s="52">
        <f>數量表!EI7-數量表!EH7</f>
        <v>1</v>
      </c>
      <c r="F142" s="52">
        <f>數量表!EI7</f>
        <v>135</v>
      </c>
      <c r="G142" s="52">
        <f>COUNTIF(數量表!$E$11:'數量表'!EI$11,"不計工期")</f>
        <v>0</v>
      </c>
      <c r="H142" s="135">
        <f>IF(數量表!$B$11="日曆天",$B$4+G142,WORKDAY.INTL($B$4,G142,1))</f>
        <v>46445</v>
      </c>
    </row>
    <row r="143" spans="1:8">
      <c r="A143" s="50">
        <f>數量表!EJ4</f>
        <v>46381</v>
      </c>
      <c r="B143" s="51">
        <f>MAX(0,數量表!EJ9-數量表!EI9)</f>
        <v>6.2714300000000778E-3</v>
      </c>
      <c r="C143" s="51">
        <f>數量表!EJ9</f>
        <v>0.52164286000000004</v>
      </c>
      <c r="D143" s="51">
        <f>數量表!EJ10</f>
        <v>6.0859999999999997E-2</v>
      </c>
      <c r="E143" s="52">
        <f>數量表!EJ7-數量表!EI7</f>
        <v>1</v>
      </c>
      <c r="F143" s="52">
        <f>數量表!EJ7</f>
        <v>136</v>
      </c>
      <c r="G143" s="52">
        <f>COUNTIF(數量表!$E$11:'數量表'!EJ$11,"不計工期")</f>
        <v>0</v>
      </c>
      <c r="H143" s="135">
        <f>IF(數量表!$B$11="日曆天",$B$4+G143,WORKDAY.INTL($B$4,G143,1))</f>
        <v>46445</v>
      </c>
    </row>
    <row r="144" spans="1:8">
      <c r="A144" s="50">
        <f>數量表!EK4</f>
        <v>46382</v>
      </c>
      <c r="B144" s="51">
        <f>MAX(0,數量表!EK9-數量表!EJ9)</f>
        <v>6.2714299999999668E-3</v>
      </c>
      <c r="C144" s="51">
        <f>數量表!EK9</f>
        <v>0.52791429000000001</v>
      </c>
      <c r="D144" s="51">
        <f>數量表!EK10</f>
        <v>6.0859999999999997E-2</v>
      </c>
      <c r="E144" s="52">
        <f>數量表!EK7-數量表!EJ7</f>
        <v>1</v>
      </c>
      <c r="F144" s="52">
        <f>數量表!EK7</f>
        <v>137</v>
      </c>
      <c r="G144" s="52">
        <f>COUNTIF(數量表!$E$11:'數量表'!EK$11,"不計工期")</f>
        <v>0</v>
      </c>
      <c r="H144" s="135">
        <f>IF(數量表!$B$11="日曆天",$B$4+G144,WORKDAY.INTL($B$4,G144,1))</f>
        <v>46445</v>
      </c>
    </row>
    <row r="145" spans="1:8">
      <c r="A145" s="50">
        <f>數量表!EL4</f>
        <v>46383</v>
      </c>
      <c r="B145" s="51">
        <f>MAX(0,數量表!EL9-數量表!EK9)</f>
        <v>6.2714200000000275E-3</v>
      </c>
      <c r="C145" s="51">
        <f>數量表!EL9</f>
        <v>0.53418571000000004</v>
      </c>
      <c r="D145" s="51">
        <f>數量表!EL10</f>
        <v>6.0859999999999997E-2</v>
      </c>
      <c r="E145" s="52">
        <f>數量表!EL7-數量表!EK7</f>
        <v>1</v>
      </c>
      <c r="F145" s="52">
        <f>數量表!EL7</f>
        <v>138</v>
      </c>
      <c r="G145" s="52">
        <f>COUNTIF(數量表!$E$11:'數量表'!EL$11,"不計工期")</f>
        <v>0</v>
      </c>
      <c r="H145" s="135">
        <f>IF(數量表!$B$11="日曆天",$B$4+G145,WORKDAY.INTL($B$4,G145,1))</f>
        <v>46445</v>
      </c>
    </row>
    <row r="146" spans="1:8">
      <c r="A146" s="50">
        <f>數量表!EM4</f>
        <v>46384</v>
      </c>
      <c r="B146" s="51">
        <f>MAX(0,數量表!EM9-數量表!EL9)</f>
        <v>6.2714299999999668E-3</v>
      </c>
      <c r="C146" s="51">
        <f>數量表!EM9</f>
        <v>0.54045714</v>
      </c>
      <c r="D146" s="51">
        <f>數量表!EM10</f>
        <v>6.0859999999999997E-2</v>
      </c>
      <c r="E146" s="52">
        <f>數量表!EM7-數量表!EL7</f>
        <v>1</v>
      </c>
      <c r="F146" s="52">
        <f>數量表!EM7</f>
        <v>139</v>
      </c>
      <c r="G146" s="52">
        <f>COUNTIF(數量表!$E$11:'數量表'!EM$11,"不計工期")</f>
        <v>0</v>
      </c>
      <c r="H146" s="135">
        <f>IF(數量表!$B$11="日曆天",$B$4+G146,WORKDAY.INTL($B$4,G146,1))</f>
        <v>46445</v>
      </c>
    </row>
    <row r="147" spans="1:8">
      <c r="A147" s="50">
        <f>數量表!EN4</f>
        <v>46385</v>
      </c>
      <c r="B147" s="51">
        <f>MAX(0,數量表!EN9-數量表!EM9)</f>
        <v>6.2714299999999668E-3</v>
      </c>
      <c r="C147" s="51">
        <f>數量表!EN9</f>
        <v>0.54672856999999997</v>
      </c>
      <c r="D147" s="51">
        <f>數量表!EN10</f>
        <v>6.0859999999999997E-2</v>
      </c>
      <c r="E147" s="52">
        <f>數量表!EN7-數量表!EM7</f>
        <v>1</v>
      </c>
      <c r="F147" s="52">
        <f>數量表!EN7</f>
        <v>140</v>
      </c>
      <c r="G147" s="52">
        <f>COUNTIF(數量表!$E$11:'數量表'!EN$11,"不計工期")</f>
        <v>0</v>
      </c>
      <c r="H147" s="135">
        <f>IF(數量表!$B$11="日曆天",$B$4+G147,WORKDAY.INTL($B$4,G147,1))</f>
        <v>46445</v>
      </c>
    </row>
    <row r="148" spans="1:8">
      <c r="A148" s="50">
        <f>數量表!EO4</f>
        <v>46386</v>
      </c>
      <c r="B148" s="51">
        <f>MAX(0,數量表!EO9-數量表!EN9)</f>
        <v>6.2714300000000778E-3</v>
      </c>
      <c r="C148" s="51">
        <f>數量表!EO9</f>
        <v>0.55300000000000005</v>
      </c>
      <c r="D148" s="51">
        <f>數量表!EO10</f>
        <v>6.0859999999999997E-2</v>
      </c>
      <c r="E148" s="52">
        <f>數量表!EO7-數量表!EN7</f>
        <v>1</v>
      </c>
      <c r="F148" s="52">
        <f>數量表!EO7</f>
        <v>141</v>
      </c>
      <c r="G148" s="52">
        <f>COUNTIF(數量表!$E$11:'數量表'!EO$11,"不計工期")</f>
        <v>0</v>
      </c>
      <c r="H148" s="135">
        <f>IF(數量表!$B$11="日曆天",$B$4+G148,WORKDAY.INTL($B$4,G148,1))</f>
        <v>46445</v>
      </c>
    </row>
    <row r="149" spans="1:8">
      <c r="A149" s="50">
        <f>數量表!EP4</f>
        <v>46387</v>
      </c>
      <c r="B149" s="51">
        <f>MAX(0,數量表!EP9-數量表!EO9)</f>
        <v>8.3285699999999796E-3</v>
      </c>
      <c r="C149" s="51">
        <f>數量表!EP9</f>
        <v>0.56132857000000003</v>
      </c>
      <c r="D149" s="51">
        <f>數量表!EP10</f>
        <v>6.0859999999999997E-2</v>
      </c>
      <c r="E149" s="52">
        <f>數量表!EP7-數量表!EO7</f>
        <v>1</v>
      </c>
      <c r="F149" s="52">
        <f>數量表!EP7</f>
        <v>142</v>
      </c>
      <c r="G149" s="52">
        <f>COUNTIF(數量表!$E$11:'數量表'!EP$11,"不計工期")</f>
        <v>0</v>
      </c>
      <c r="H149" s="135">
        <f>IF(數量表!$B$11="日曆天",$B$4+G149,WORKDAY.INTL($B$4,G149,1))</f>
        <v>46445</v>
      </c>
    </row>
    <row r="150" spans="1:8">
      <c r="A150" s="50">
        <f>數量表!EQ4</f>
        <v>46388</v>
      </c>
      <c r="B150" s="51">
        <f>MAX(0,數量表!EQ9-數量表!EP9)</f>
        <v>8.3285699999999796E-3</v>
      </c>
      <c r="C150" s="51">
        <f>數量表!EQ9</f>
        <v>0.56965714000000001</v>
      </c>
      <c r="D150" s="51">
        <f>數量表!EQ10</f>
        <v>6.0859999999999997E-2</v>
      </c>
      <c r="E150" s="52">
        <f>數量表!EQ7-數量表!EP7</f>
        <v>1</v>
      </c>
      <c r="F150" s="52">
        <f>數量表!EQ7</f>
        <v>143</v>
      </c>
      <c r="G150" s="52">
        <f>COUNTIF(數量表!$E$11:'數量表'!EQ$11,"不計工期")</f>
        <v>0</v>
      </c>
      <c r="H150" s="135">
        <f>IF(數量表!$B$11="日曆天",$B$4+G150,WORKDAY.INTL($B$4,G150,1))</f>
        <v>46445</v>
      </c>
    </row>
    <row r="151" spans="1:8">
      <c r="A151" s="50">
        <f>數量表!ER4</f>
        <v>46389</v>
      </c>
      <c r="B151" s="51">
        <f>MAX(0,數量表!ER9-數量表!EQ9)</f>
        <v>8.3285699999999796E-3</v>
      </c>
      <c r="C151" s="51">
        <f>數量表!ER9</f>
        <v>0.57798570999999999</v>
      </c>
      <c r="D151" s="51">
        <f>數量表!ER10</f>
        <v>6.0859999999999997E-2</v>
      </c>
      <c r="E151" s="52">
        <f>數量表!ER7-數量表!EQ7</f>
        <v>1</v>
      </c>
      <c r="F151" s="52">
        <f>數量表!ER7</f>
        <v>144</v>
      </c>
      <c r="G151" s="52">
        <f>COUNTIF(數量表!$E$11:'數量表'!ER$11,"不計工期")</f>
        <v>0</v>
      </c>
      <c r="H151" s="135">
        <f>IF(數量表!$B$11="日曆天",$B$4+G151,WORKDAY.INTL($B$4,G151,1))</f>
        <v>46445</v>
      </c>
    </row>
    <row r="152" spans="1:8">
      <c r="A152" s="50">
        <f>數量表!ES4</f>
        <v>46390</v>
      </c>
      <c r="B152" s="51">
        <f>MAX(0,數量表!ES9-數量表!ER9)</f>
        <v>8.3285800000000298E-3</v>
      </c>
      <c r="C152" s="51">
        <f>數量表!ES9</f>
        <v>0.58631429000000002</v>
      </c>
      <c r="D152" s="51">
        <f>數量表!ES10</f>
        <v>6.0859999999999997E-2</v>
      </c>
      <c r="E152" s="52">
        <f>數量表!ES7-數量表!ER7</f>
        <v>1</v>
      </c>
      <c r="F152" s="52">
        <f>數量表!ES7</f>
        <v>145</v>
      </c>
      <c r="G152" s="52">
        <f>COUNTIF(數量表!$E$11:'數量表'!ES$11,"不計工期")</f>
        <v>0</v>
      </c>
      <c r="H152" s="135">
        <f>IF(數量表!$B$11="日曆天",$B$4+G152,WORKDAY.INTL($B$4,G152,1))</f>
        <v>46445</v>
      </c>
    </row>
    <row r="153" spans="1:8">
      <c r="A153" s="50">
        <f>數量表!ET4</f>
        <v>46391</v>
      </c>
      <c r="B153" s="51">
        <f>MAX(0,數量表!ET9-數量表!ES9)</f>
        <v>8.3285699999999796E-3</v>
      </c>
      <c r="C153" s="51">
        <f>數量表!ET9</f>
        <v>0.59464286</v>
      </c>
      <c r="D153" s="51">
        <f>數量表!ET10</f>
        <v>6.0859999999999997E-2</v>
      </c>
      <c r="E153" s="52">
        <f>數量表!ET7-數量表!ES7</f>
        <v>1</v>
      </c>
      <c r="F153" s="52">
        <f>數量表!ET7</f>
        <v>146</v>
      </c>
      <c r="G153" s="52">
        <f>COUNTIF(數量表!$E$11:'數量表'!ET$11,"不計工期")</f>
        <v>0</v>
      </c>
      <c r="H153" s="135">
        <f>IF(數量表!$B$11="日曆天",$B$4+G153,WORKDAY.INTL($B$4,G153,1))</f>
        <v>46445</v>
      </c>
    </row>
    <row r="154" spans="1:8">
      <c r="A154" s="50">
        <f>數量表!EU4</f>
        <v>46392</v>
      </c>
      <c r="B154" s="51">
        <f>MAX(0,數量表!EU9-數量表!ET9)</f>
        <v>8.3285699999999796E-3</v>
      </c>
      <c r="C154" s="51">
        <f>數量表!EU9</f>
        <v>0.60297142999999997</v>
      </c>
      <c r="D154" s="51">
        <f>數量表!EU10</f>
        <v>6.0859999999999997E-2</v>
      </c>
      <c r="E154" s="52">
        <f>數量表!EU7-數量表!ET7</f>
        <v>1</v>
      </c>
      <c r="F154" s="52">
        <f>數量表!EU7</f>
        <v>147</v>
      </c>
      <c r="G154" s="52">
        <f>COUNTIF(數量表!$E$11:'數量表'!EU$11,"不計工期")</f>
        <v>0</v>
      </c>
      <c r="H154" s="135">
        <f>IF(數量表!$B$11="日曆天",$B$4+G154,WORKDAY.INTL($B$4,G154,1))</f>
        <v>46445</v>
      </c>
    </row>
    <row r="155" spans="1:8">
      <c r="A155" s="50">
        <f>數量表!EV4</f>
        <v>46393</v>
      </c>
      <c r="B155" s="51">
        <f>MAX(0,數量表!EV9-數量表!EU9)</f>
        <v>8.3285699999999796E-3</v>
      </c>
      <c r="C155" s="51">
        <f>數量表!EV9</f>
        <v>0.61129999999999995</v>
      </c>
      <c r="D155" s="51">
        <f>數量表!EV10</f>
        <v>6.0859999999999997E-2</v>
      </c>
      <c r="E155" s="52">
        <f>數量表!EV7-數量表!EU7</f>
        <v>1</v>
      </c>
      <c r="F155" s="52">
        <f>數量表!EV7</f>
        <v>148</v>
      </c>
      <c r="G155" s="52">
        <f>COUNTIF(數量表!$E$11:'數量表'!EV$11,"不計工期")</f>
        <v>0</v>
      </c>
      <c r="H155" s="135">
        <f>IF(數量表!$B$11="日曆天",$B$4+G155,WORKDAY.INTL($B$4,G155,1))</f>
        <v>46445</v>
      </c>
    </row>
    <row r="156" spans="1:8">
      <c r="A156" s="50">
        <f>數量表!EW4</f>
        <v>46394</v>
      </c>
      <c r="B156" s="51">
        <f>MAX(0,數量表!EW9-數量表!EV9)</f>
        <v>9.6000000000000529E-3</v>
      </c>
      <c r="C156" s="51">
        <f>數量表!EW9</f>
        <v>0.62090000000000001</v>
      </c>
      <c r="D156" s="51">
        <f>數量表!EW10</f>
        <v>6.0859999999999997E-2</v>
      </c>
      <c r="E156" s="52">
        <f>數量表!EW7-數量表!EV7</f>
        <v>1</v>
      </c>
      <c r="F156" s="52">
        <f>數量表!EW7</f>
        <v>149</v>
      </c>
      <c r="G156" s="52">
        <f>COUNTIF(數量表!$E$11:'數量表'!EW$11,"不計工期")</f>
        <v>0</v>
      </c>
      <c r="H156" s="135">
        <f>IF(數量表!$B$11="日曆天",$B$4+G156,WORKDAY.INTL($B$4,G156,1))</f>
        <v>46445</v>
      </c>
    </row>
    <row r="157" spans="1:8">
      <c r="A157" s="50">
        <f>數量表!EX4</f>
        <v>46395</v>
      </c>
      <c r="B157" s="51">
        <f>MAX(0,數量表!EX9-數量表!EW9)</f>
        <v>9.5999999999999419E-3</v>
      </c>
      <c r="C157" s="51">
        <f>數量表!EX9</f>
        <v>0.63049999999999995</v>
      </c>
      <c r="D157" s="51">
        <f>數量表!EX10</f>
        <v>6.0859999999999997E-2</v>
      </c>
      <c r="E157" s="52">
        <f>數量表!EX7-數量表!EW7</f>
        <v>1</v>
      </c>
      <c r="F157" s="52">
        <f>數量表!EX7</f>
        <v>150</v>
      </c>
      <c r="G157" s="52">
        <f>COUNTIF(數量表!$E$11:'數量表'!EX$11,"不計工期")</f>
        <v>0</v>
      </c>
      <c r="H157" s="135">
        <f>IF(數量表!$B$11="日曆天",$B$4+G157,WORKDAY.INTL($B$4,G157,1))</f>
        <v>46445</v>
      </c>
    </row>
    <row r="158" spans="1:8">
      <c r="A158" s="50">
        <f>數量表!EY4</f>
        <v>46396</v>
      </c>
      <c r="B158" s="51">
        <f>MAX(0,數量表!EY9-數量表!EX9)</f>
        <v>9.6000000000000529E-3</v>
      </c>
      <c r="C158" s="51">
        <f>數量表!EY9</f>
        <v>0.6401</v>
      </c>
      <c r="D158" s="51">
        <f>數量表!EY10</f>
        <v>6.0859999999999997E-2</v>
      </c>
      <c r="E158" s="52">
        <f>數量表!EY7-數量表!EX7</f>
        <v>1</v>
      </c>
      <c r="F158" s="52">
        <f>數量表!EY7</f>
        <v>151</v>
      </c>
      <c r="G158" s="52">
        <f>COUNTIF(數量表!$E$11:'數量表'!EY$11,"不計工期")</f>
        <v>0</v>
      </c>
      <c r="H158" s="135">
        <f>IF(數量表!$B$11="日曆天",$B$4+G158,WORKDAY.INTL($B$4,G158,1))</f>
        <v>46445</v>
      </c>
    </row>
    <row r="159" spans="1:8">
      <c r="A159" s="50">
        <f>數量表!EZ4</f>
        <v>46397</v>
      </c>
      <c r="B159" s="51">
        <f>MAX(0,數量表!EZ9-數量表!EY9)</f>
        <v>9.6000000000000529E-3</v>
      </c>
      <c r="C159" s="51">
        <f>數量表!EZ9</f>
        <v>0.64970000000000006</v>
      </c>
      <c r="D159" s="51">
        <f>數量表!EZ10</f>
        <v>6.0859999999999997E-2</v>
      </c>
      <c r="E159" s="52">
        <f>數量表!EZ7-數量表!EY7</f>
        <v>1</v>
      </c>
      <c r="F159" s="52">
        <f>數量表!EZ7</f>
        <v>152</v>
      </c>
      <c r="G159" s="52">
        <f>COUNTIF(數量表!$E$11:'數量表'!EZ$11,"不計工期")</f>
        <v>0</v>
      </c>
      <c r="H159" s="135">
        <f>IF(數量表!$B$11="日曆天",$B$4+G159,WORKDAY.INTL($B$4,G159,1))</f>
        <v>46445</v>
      </c>
    </row>
    <row r="160" spans="1:8">
      <c r="A160" s="50">
        <f>數量表!FA4</f>
        <v>46398</v>
      </c>
      <c r="B160" s="51">
        <f>MAX(0,數量表!FA9-數量表!EZ9)</f>
        <v>9.5999999999999419E-3</v>
      </c>
      <c r="C160" s="51">
        <f>數量表!FA9</f>
        <v>0.6593</v>
      </c>
      <c r="D160" s="51">
        <f>數量表!FA10</f>
        <v>6.0859999999999997E-2</v>
      </c>
      <c r="E160" s="52">
        <f>數量表!FA7-數量表!EZ7</f>
        <v>1</v>
      </c>
      <c r="F160" s="52">
        <f>數量表!FA7</f>
        <v>153</v>
      </c>
      <c r="G160" s="52">
        <f>COUNTIF(數量表!$E$11:'數量表'!FA$11,"不計工期")</f>
        <v>0</v>
      </c>
      <c r="H160" s="135">
        <f>IF(數量表!$B$11="日曆天",$B$4+G160,WORKDAY.INTL($B$4,G160,1))</f>
        <v>46445</v>
      </c>
    </row>
    <row r="161" spans="1:8">
      <c r="A161" s="50">
        <f>數量表!FB4</f>
        <v>46399</v>
      </c>
      <c r="B161" s="51">
        <f>MAX(0,數量表!FB9-數量表!FA9)</f>
        <v>9.6000000000000529E-3</v>
      </c>
      <c r="C161" s="51">
        <f>數量表!FB9</f>
        <v>0.66890000000000005</v>
      </c>
      <c r="D161" s="51">
        <f>數量表!FB10</f>
        <v>6.0859999999999997E-2</v>
      </c>
      <c r="E161" s="52">
        <f>數量表!FB7-數量表!FA7</f>
        <v>1</v>
      </c>
      <c r="F161" s="52">
        <f>數量表!FB7</f>
        <v>154</v>
      </c>
      <c r="G161" s="52">
        <f>COUNTIF(數量表!$E$11:'數量表'!FB$11,"不計工期")</f>
        <v>0</v>
      </c>
      <c r="H161" s="135">
        <f>IF(數量表!$B$11="日曆天",$B$4+G161,WORKDAY.INTL($B$4,G161,1))</f>
        <v>46445</v>
      </c>
    </row>
    <row r="162" spans="1:8">
      <c r="A162" s="50">
        <f>數量表!FC4</f>
        <v>46400</v>
      </c>
      <c r="B162" s="51">
        <f>MAX(0,數量表!FC9-數量表!FB9)</f>
        <v>9.5999999999999419E-3</v>
      </c>
      <c r="C162" s="51">
        <f>數量表!FC9</f>
        <v>0.67849999999999999</v>
      </c>
      <c r="D162" s="51">
        <f>數量表!FC10</f>
        <v>6.0859999999999997E-2</v>
      </c>
      <c r="E162" s="52">
        <f>數量表!FC7-數量表!FB7</f>
        <v>1</v>
      </c>
      <c r="F162" s="52">
        <f>數量表!FC7</f>
        <v>155</v>
      </c>
      <c r="G162" s="52">
        <f>COUNTIF(數量表!$E$11:'數量表'!FC$11,"不計工期")</f>
        <v>0</v>
      </c>
      <c r="H162" s="135">
        <f>IF(數量表!$B$11="日曆天",$B$4+G162,WORKDAY.INTL($B$4,G162,1))</f>
        <v>46445</v>
      </c>
    </row>
    <row r="163" spans="1:8">
      <c r="A163" s="50">
        <f>數量表!FD4</f>
        <v>46401</v>
      </c>
      <c r="B163" s="51">
        <f>MAX(0,數量表!FD9-數量表!FC9)</f>
        <v>1.2342859999999956E-2</v>
      </c>
      <c r="C163" s="51">
        <f>數量表!FD9</f>
        <v>0.69084285999999995</v>
      </c>
      <c r="D163" s="51">
        <f>數量表!FD10</f>
        <v>6.0859999999999997E-2</v>
      </c>
      <c r="E163" s="52">
        <f>數量表!FD7-數量表!FC7</f>
        <v>1</v>
      </c>
      <c r="F163" s="52">
        <f>數量表!FD7</f>
        <v>156</v>
      </c>
      <c r="G163" s="52">
        <f>COUNTIF(數量表!$E$11:'數量表'!FD$11,"不計工期")</f>
        <v>0</v>
      </c>
      <c r="H163" s="135">
        <f>IF(數量表!$B$11="日曆天",$B$4+G163,WORKDAY.INTL($B$4,G163,1))</f>
        <v>46445</v>
      </c>
    </row>
    <row r="164" spans="1:8">
      <c r="A164" s="50">
        <f>數量表!FE4</f>
        <v>46402</v>
      </c>
      <c r="B164" s="51">
        <f>MAX(0,數量表!FE9-數量表!FD9)</f>
        <v>1.2342850000000016E-2</v>
      </c>
      <c r="C164" s="51">
        <f>數量表!FE9</f>
        <v>0.70318570999999996</v>
      </c>
      <c r="D164" s="51">
        <f>數量表!FE10</f>
        <v>6.0859999999999997E-2</v>
      </c>
      <c r="E164" s="52">
        <f>數量表!FE7-數量表!FD7</f>
        <v>1</v>
      </c>
      <c r="F164" s="52">
        <f>數量表!FE7</f>
        <v>157</v>
      </c>
      <c r="G164" s="52">
        <f>COUNTIF(數量表!$E$11:'數量表'!FE$11,"不計工期")</f>
        <v>0</v>
      </c>
      <c r="H164" s="135">
        <f>IF(數量表!$B$11="日曆天",$B$4+G164,WORKDAY.INTL($B$4,G164,1))</f>
        <v>46445</v>
      </c>
    </row>
    <row r="165" spans="1:8">
      <c r="A165" s="50">
        <f>數量表!FF4</f>
        <v>46403</v>
      </c>
      <c r="B165" s="51">
        <f>MAX(0,數量表!FF9-數量表!FE9)</f>
        <v>1.2342860000000067E-2</v>
      </c>
      <c r="C165" s="51">
        <f>數量表!FF9</f>
        <v>0.71552857000000003</v>
      </c>
      <c r="D165" s="51">
        <f>數量表!FF10</f>
        <v>6.0859999999999997E-2</v>
      </c>
      <c r="E165" s="52">
        <f>數量表!FF7-數量表!FE7</f>
        <v>1</v>
      </c>
      <c r="F165" s="52">
        <f>數量表!FF7</f>
        <v>158</v>
      </c>
      <c r="G165" s="52">
        <f>COUNTIF(數量表!$E$11:'數量表'!FF$11,"不計工期")</f>
        <v>0</v>
      </c>
      <c r="H165" s="135">
        <f>IF(數量表!$B$11="日曆天",$B$4+G165,WORKDAY.INTL($B$4,G165,1))</f>
        <v>46445</v>
      </c>
    </row>
    <row r="166" spans="1:8">
      <c r="A166" s="50">
        <f>數量表!FG4</f>
        <v>46404</v>
      </c>
      <c r="B166" s="51">
        <f>MAX(0,數量表!FG9-數量表!FF9)</f>
        <v>1.2342859999999956E-2</v>
      </c>
      <c r="C166" s="51">
        <f>數量表!FG9</f>
        <v>0.72787142999999999</v>
      </c>
      <c r="D166" s="51">
        <f>數量表!FG10</f>
        <v>6.0859999999999997E-2</v>
      </c>
      <c r="E166" s="52">
        <f>數量表!FG7-數量表!FF7</f>
        <v>1</v>
      </c>
      <c r="F166" s="52">
        <f>數量表!FG7</f>
        <v>159</v>
      </c>
      <c r="G166" s="52">
        <f>COUNTIF(數量表!$E$11:'數量表'!FG$11,"不計工期")</f>
        <v>0</v>
      </c>
      <c r="H166" s="135">
        <f>IF(數量表!$B$11="日曆天",$B$4+G166,WORKDAY.INTL($B$4,G166,1))</f>
        <v>46445</v>
      </c>
    </row>
    <row r="167" spans="1:8">
      <c r="A167" s="50">
        <f>數量表!FH4</f>
        <v>46405</v>
      </c>
      <c r="B167" s="51">
        <f>MAX(0,數量表!FH9-數量表!FG9)</f>
        <v>1.2342860000000067E-2</v>
      </c>
      <c r="C167" s="51">
        <f>數量表!FH9</f>
        <v>0.74021429000000005</v>
      </c>
      <c r="D167" s="51">
        <f>數量表!FH10</f>
        <v>6.0859999999999997E-2</v>
      </c>
      <c r="E167" s="52">
        <f>數量表!FH7-數量表!FG7</f>
        <v>1</v>
      </c>
      <c r="F167" s="52">
        <f>數量表!FH7</f>
        <v>160</v>
      </c>
      <c r="G167" s="52">
        <f>COUNTIF(數量表!$E$11:'數量表'!FH$11,"不計工期")</f>
        <v>0</v>
      </c>
      <c r="H167" s="135">
        <f>IF(數量表!$B$11="日曆天",$B$4+G167,WORKDAY.INTL($B$4,G167,1))</f>
        <v>46445</v>
      </c>
    </row>
    <row r="168" spans="1:8">
      <c r="A168" s="50">
        <f>數量表!FI4</f>
        <v>46406</v>
      </c>
      <c r="B168" s="51">
        <f>MAX(0,數量表!FI9-數量表!FH9)</f>
        <v>1.2342849999999905E-2</v>
      </c>
      <c r="C168" s="51">
        <f>數量表!FI9</f>
        <v>0.75255713999999996</v>
      </c>
      <c r="D168" s="51">
        <f>數量表!FI10</f>
        <v>6.0859999999999997E-2</v>
      </c>
      <c r="E168" s="52">
        <f>數量表!FI7-數量表!FH7</f>
        <v>1</v>
      </c>
      <c r="F168" s="52">
        <f>數量表!FI7</f>
        <v>161</v>
      </c>
      <c r="G168" s="52">
        <f>COUNTIF(數量表!$E$11:'數量表'!FI$11,"不計工期")</f>
        <v>0</v>
      </c>
      <c r="H168" s="135">
        <f>IF(數量表!$B$11="日曆天",$B$4+G168,WORKDAY.INTL($B$4,G168,1))</f>
        <v>46445</v>
      </c>
    </row>
    <row r="169" spans="1:8">
      <c r="A169" s="50">
        <f>數量表!FJ4</f>
        <v>46407</v>
      </c>
      <c r="B169" s="51">
        <f>MAX(0,數量表!FJ9-數量表!FI9)</f>
        <v>1.2342860000000067E-2</v>
      </c>
      <c r="C169" s="51">
        <f>數量表!FJ9</f>
        <v>0.76490000000000002</v>
      </c>
      <c r="D169" s="51">
        <f>數量表!FJ10</f>
        <v>6.0859999999999997E-2</v>
      </c>
      <c r="E169" s="52">
        <f>數量表!FJ7-數量表!FI7</f>
        <v>1</v>
      </c>
      <c r="F169" s="52">
        <f>數量表!FJ7</f>
        <v>162</v>
      </c>
      <c r="G169" s="52">
        <f>COUNTIF(數量表!$E$11:'數量表'!FJ$11,"不計工期")</f>
        <v>0</v>
      </c>
      <c r="H169" s="135">
        <f>IF(數量表!$B$11="日曆天",$B$4+G169,WORKDAY.INTL($B$4,G169,1))</f>
        <v>46445</v>
      </c>
    </row>
    <row r="170" spans="1:8">
      <c r="A170" s="50">
        <f>數量表!FK4</f>
        <v>46408</v>
      </c>
      <c r="B170" s="51">
        <f>MAX(0,數量表!FK9-數量表!FJ9)</f>
        <v>1.3428569999999973E-2</v>
      </c>
      <c r="C170" s="51">
        <f>數量表!FK9</f>
        <v>0.77832857</v>
      </c>
      <c r="D170" s="51">
        <f>數量表!FK10</f>
        <v>6.0859999999999997E-2</v>
      </c>
      <c r="E170" s="52">
        <f>數量表!FK7-數量表!FJ7</f>
        <v>1</v>
      </c>
      <c r="F170" s="52">
        <f>數量表!FK7</f>
        <v>163</v>
      </c>
      <c r="G170" s="52">
        <f>COUNTIF(數量表!$E$11:'數量表'!FK$11,"不計工期")</f>
        <v>0</v>
      </c>
      <c r="H170" s="135">
        <f>IF(數量表!$B$11="日曆天",$B$4+G170,WORKDAY.INTL($B$4,G170,1))</f>
        <v>46445</v>
      </c>
    </row>
    <row r="171" spans="1:8">
      <c r="A171" s="50">
        <f>數量表!FL4</f>
        <v>46409</v>
      </c>
      <c r="B171" s="51">
        <f>MAX(0,數量表!FL9-數量表!FK9)</f>
        <v>1.3428569999999973E-2</v>
      </c>
      <c r="C171" s="51">
        <f>數量表!FL9</f>
        <v>0.79175713999999997</v>
      </c>
      <c r="D171" s="51">
        <f>數量表!FL10</f>
        <v>6.0859999999999997E-2</v>
      </c>
      <c r="E171" s="52">
        <f>數量表!FL7-數量表!FK7</f>
        <v>1</v>
      </c>
      <c r="F171" s="52">
        <f>數量表!FL7</f>
        <v>164</v>
      </c>
      <c r="G171" s="52">
        <f>COUNTIF(數量表!$E$11:'數量表'!FL$11,"不計工期")</f>
        <v>0</v>
      </c>
      <c r="H171" s="135">
        <f>IF(數量表!$B$11="日曆天",$B$4+G171,WORKDAY.INTL($B$4,G171,1))</f>
        <v>46445</v>
      </c>
    </row>
    <row r="172" spans="1:8">
      <c r="A172" s="50">
        <f>數量表!FM4</f>
        <v>46410</v>
      </c>
      <c r="B172" s="51">
        <f>MAX(0,數量表!FM9-數量表!FL9)</f>
        <v>1.3428570000000084E-2</v>
      </c>
      <c r="C172" s="51">
        <f>數量表!FM9</f>
        <v>0.80518571000000005</v>
      </c>
      <c r="D172" s="51">
        <f>數量表!FM10</f>
        <v>6.0859999999999997E-2</v>
      </c>
      <c r="E172" s="52">
        <f>數量表!FM7-數量表!FL7</f>
        <v>1</v>
      </c>
      <c r="F172" s="52">
        <f>數量表!FM7</f>
        <v>165</v>
      </c>
      <c r="G172" s="52">
        <f>COUNTIF(數量表!$E$11:'數量表'!FM$11,"不計工期")</f>
        <v>0</v>
      </c>
      <c r="H172" s="135">
        <f>IF(數量表!$B$11="日曆天",$B$4+G172,WORKDAY.INTL($B$4,G172,1))</f>
        <v>46445</v>
      </c>
    </row>
    <row r="173" spans="1:8">
      <c r="A173" s="50">
        <f>數量表!FN4</f>
        <v>46411</v>
      </c>
      <c r="B173" s="51">
        <f>MAX(0,數量表!FN9-數量表!FM9)</f>
        <v>1.3428579999999912E-2</v>
      </c>
      <c r="C173" s="51">
        <f>數量表!FN9</f>
        <v>0.81861428999999997</v>
      </c>
      <c r="D173" s="51">
        <f>數量表!FN10</f>
        <v>6.0859999999999997E-2</v>
      </c>
      <c r="E173" s="52">
        <f>數量表!FN7-數量表!FM7</f>
        <v>1</v>
      </c>
      <c r="F173" s="52">
        <f>數量表!FN7</f>
        <v>166</v>
      </c>
      <c r="G173" s="52">
        <f>COUNTIF(數量表!$E$11:'數量表'!FN$11,"不計工期")</f>
        <v>0</v>
      </c>
      <c r="H173" s="135">
        <f>IF(數量表!$B$11="日曆天",$B$4+G173,WORKDAY.INTL($B$4,G173,1))</f>
        <v>46445</v>
      </c>
    </row>
    <row r="174" spans="1:8">
      <c r="A174" s="50">
        <f>數量表!FO4</f>
        <v>46412</v>
      </c>
      <c r="B174" s="51">
        <f>MAX(0,數量表!FO9-數量表!FN9)</f>
        <v>1.3428570000000084E-2</v>
      </c>
      <c r="C174" s="51">
        <f>數量表!FO9</f>
        <v>0.83204286000000005</v>
      </c>
      <c r="D174" s="51">
        <f>數量表!FO10</f>
        <v>6.0859999999999997E-2</v>
      </c>
      <c r="E174" s="52">
        <f>數量表!FO7-數量表!FN7</f>
        <v>1</v>
      </c>
      <c r="F174" s="52">
        <f>數量表!FO7</f>
        <v>167</v>
      </c>
      <c r="G174" s="52">
        <f>COUNTIF(數量表!$E$11:'數量表'!FO$11,"不計工期")</f>
        <v>0</v>
      </c>
      <c r="H174" s="135">
        <f>IF(數量表!$B$11="日曆天",$B$4+G174,WORKDAY.INTL($B$4,G174,1))</f>
        <v>46445</v>
      </c>
    </row>
    <row r="175" spans="1:8">
      <c r="A175" s="50">
        <f>數量表!FP4</f>
        <v>46413</v>
      </c>
      <c r="B175" s="51">
        <f>MAX(0,數量表!FP9-數量表!FO9)</f>
        <v>1.3428569999999973E-2</v>
      </c>
      <c r="C175" s="51">
        <f>數量表!FP9</f>
        <v>0.84547143000000002</v>
      </c>
      <c r="D175" s="51">
        <f>數量表!FP10</f>
        <v>6.0859999999999997E-2</v>
      </c>
      <c r="E175" s="52">
        <f>數量表!FP7-數量表!FO7</f>
        <v>1</v>
      </c>
      <c r="F175" s="52">
        <f>數量表!FP7</f>
        <v>168</v>
      </c>
      <c r="G175" s="52">
        <f>COUNTIF(數量表!$E$11:'數量表'!FP$11,"不計工期")</f>
        <v>0</v>
      </c>
      <c r="H175" s="135">
        <f>IF(數量表!$B$11="日曆天",$B$4+G175,WORKDAY.INTL($B$4,G175,1))</f>
        <v>46445</v>
      </c>
    </row>
    <row r="176" spans="1:8">
      <c r="A176" s="50">
        <f>數量表!FQ4</f>
        <v>46414</v>
      </c>
      <c r="B176" s="51">
        <f>MAX(0,數量表!FQ9-數量表!FP9)</f>
        <v>1.3428569999999973E-2</v>
      </c>
      <c r="C176" s="51">
        <f>數量表!FQ9</f>
        <v>0.8589</v>
      </c>
      <c r="D176" s="51">
        <f>數量表!FQ10</f>
        <v>6.0859999999999997E-2</v>
      </c>
      <c r="E176" s="52">
        <f>數量表!FQ7-數量表!FP7</f>
        <v>1</v>
      </c>
      <c r="F176" s="52">
        <f>數量表!FQ7</f>
        <v>169</v>
      </c>
      <c r="G176" s="52">
        <f>COUNTIF(數量表!$E$11:'數量表'!FQ$11,"不計工期")</f>
        <v>0</v>
      </c>
      <c r="H176" s="135">
        <f>IF(數量表!$B$11="日曆天",$B$4+G176,WORKDAY.INTL($B$4,G176,1))</f>
        <v>46445</v>
      </c>
    </row>
    <row r="177" spans="1:8">
      <c r="A177" s="50">
        <f>數量表!FR4</f>
        <v>46415</v>
      </c>
      <c r="B177" s="51">
        <f>MAX(0,數量表!FR9-數量表!FQ9)</f>
        <v>1.0528569999999959E-2</v>
      </c>
      <c r="C177" s="51">
        <f>數量表!FR9</f>
        <v>0.86942856999999996</v>
      </c>
      <c r="D177" s="51">
        <f>數量表!FR10</f>
        <v>6.0859999999999997E-2</v>
      </c>
      <c r="E177" s="52">
        <f>數量表!FR7-數量表!FQ7</f>
        <v>1</v>
      </c>
      <c r="F177" s="52">
        <f>數量表!FR7</f>
        <v>170</v>
      </c>
      <c r="G177" s="52">
        <f>COUNTIF(數量表!$E$11:'數量表'!FR$11,"不計工期")</f>
        <v>0</v>
      </c>
      <c r="H177" s="135">
        <f>IF(數量表!$B$11="日曆天",$B$4+G177,WORKDAY.INTL($B$4,G177,1))</f>
        <v>46445</v>
      </c>
    </row>
    <row r="178" spans="1:8">
      <c r="A178" s="50">
        <f>數量表!FS4</f>
        <v>46416</v>
      </c>
      <c r="B178" s="51">
        <f>MAX(0,數量表!FS9-數量表!FR9)</f>
        <v>1.052857000000007E-2</v>
      </c>
      <c r="C178" s="51">
        <f>數量表!FS9</f>
        <v>0.87995714000000003</v>
      </c>
      <c r="D178" s="51">
        <f>數量表!FS10</f>
        <v>6.0859999999999997E-2</v>
      </c>
      <c r="E178" s="52">
        <f>數量表!FS7-數量表!FR7</f>
        <v>1</v>
      </c>
      <c r="F178" s="52">
        <f>數量表!FS7</f>
        <v>171</v>
      </c>
      <c r="G178" s="52">
        <f>COUNTIF(數量表!$E$11:'數量表'!FS$11,"不計工期")</f>
        <v>0</v>
      </c>
      <c r="H178" s="135">
        <f>IF(數量表!$B$11="日曆天",$B$4+G178,WORKDAY.INTL($B$4,G178,1))</f>
        <v>46445</v>
      </c>
    </row>
    <row r="179" spans="1:8">
      <c r="A179" s="50">
        <f>數量表!FT4</f>
        <v>46417</v>
      </c>
      <c r="B179" s="51">
        <f>MAX(0,數量表!FT9-數量表!FS9)</f>
        <v>1.0528569999999959E-2</v>
      </c>
      <c r="C179" s="51">
        <f>數量表!FT9</f>
        <v>0.89048570999999999</v>
      </c>
      <c r="D179" s="51">
        <f>數量表!FT10</f>
        <v>6.0859999999999997E-2</v>
      </c>
      <c r="E179" s="52">
        <f>數量表!FT7-數量表!FS7</f>
        <v>1</v>
      </c>
      <c r="F179" s="52">
        <f>數量表!FT7</f>
        <v>172</v>
      </c>
      <c r="G179" s="52">
        <f>COUNTIF(數量表!$E$11:'數量表'!FT$11,"不計工期")</f>
        <v>0</v>
      </c>
      <c r="H179" s="135">
        <f>IF(數量表!$B$11="日曆天",$B$4+G179,WORKDAY.INTL($B$4,G179,1))</f>
        <v>46445</v>
      </c>
    </row>
    <row r="180" spans="1:8">
      <c r="A180" s="50">
        <f>數量表!FU4</f>
        <v>46418</v>
      </c>
      <c r="B180" s="51">
        <f>MAX(0,數量表!FU9-數量表!FT9)</f>
        <v>1.052858000000001E-2</v>
      </c>
      <c r="C180" s="51">
        <f>數量表!FU9</f>
        <v>0.90101429</v>
      </c>
      <c r="D180" s="51">
        <f>數量表!FU10</f>
        <v>6.0859999999999997E-2</v>
      </c>
      <c r="E180" s="52">
        <f>數量表!FU7-數量表!FT7</f>
        <v>1</v>
      </c>
      <c r="F180" s="52">
        <f>數量表!FU7</f>
        <v>173</v>
      </c>
      <c r="G180" s="52">
        <f>COUNTIF(數量表!$E$11:'數量表'!FU$11,"不計工期")</f>
        <v>0</v>
      </c>
      <c r="H180" s="135">
        <f>IF(數量表!$B$11="日曆天",$B$4+G180,WORKDAY.INTL($B$4,G180,1))</f>
        <v>46445</v>
      </c>
    </row>
    <row r="181" spans="1:8">
      <c r="A181" s="50">
        <f>數量表!FV4</f>
        <v>46419</v>
      </c>
      <c r="B181" s="51">
        <f>MAX(0,數量表!FV9-數量表!FU9)</f>
        <v>1.0528569999999959E-2</v>
      </c>
      <c r="C181" s="51">
        <f>數量表!FV9</f>
        <v>0.91154285999999995</v>
      </c>
      <c r="D181" s="51">
        <f>數量表!FV10</f>
        <v>6.0859999999999997E-2</v>
      </c>
      <c r="E181" s="52">
        <f>數量表!FV7-數量表!FU7</f>
        <v>1</v>
      </c>
      <c r="F181" s="52">
        <f>數量表!FV7</f>
        <v>174</v>
      </c>
      <c r="G181" s="52">
        <f>COUNTIF(數量表!$E$11:'數量表'!FV$11,"不計工期")</f>
        <v>0</v>
      </c>
      <c r="H181" s="135">
        <f>IF(數量表!$B$11="日曆天",$B$4+G181,WORKDAY.INTL($B$4,G181,1))</f>
        <v>46445</v>
      </c>
    </row>
    <row r="182" spans="1:8">
      <c r="A182" s="50">
        <f>數量表!FW4</f>
        <v>46420</v>
      </c>
      <c r="B182" s="51">
        <f>MAX(0,數量表!FW9-數量表!FV9)</f>
        <v>1.052857000000007E-2</v>
      </c>
      <c r="C182" s="51">
        <f>數量表!FW9</f>
        <v>0.92207143000000003</v>
      </c>
      <c r="D182" s="51">
        <f>數量表!FW10</f>
        <v>6.0859999999999997E-2</v>
      </c>
      <c r="E182" s="52">
        <f>數量表!FW7-數量表!FV7</f>
        <v>1</v>
      </c>
      <c r="F182" s="52">
        <f>數量表!FW7</f>
        <v>175</v>
      </c>
      <c r="G182" s="52">
        <f>COUNTIF(數量表!$E$11:'數量表'!FW$11,"不計工期")</f>
        <v>0</v>
      </c>
      <c r="H182" s="135">
        <f>IF(數量表!$B$11="日曆天",$B$4+G182,WORKDAY.INTL($B$4,G182,1))</f>
        <v>46445</v>
      </c>
    </row>
    <row r="183" spans="1:8">
      <c r="A183" s="50">
        <f>數量表!FX4</f>
        <v>46421</v>
      </c>
      <c r="B183" s="51">
        <f>MAX(0,數量表!FX9-數量表!FW9)</f>
        <v>1.0528569999999959E-2</v>
      </c>
      <c r="C183" s="51">
        <f>數量表!FX9</f>
        <v>0.93259999999999998</v>
      </c>
      <c r="D183" s="51">
        <f>數量表!FX10</f>
        <v>6.0859999999999997E-2</v>
      </c>
      <c r="E183" s="52">
        <f>數量表!FX7-數量表!FW7</f>
        <v>1</v>
      </c>
      <c r="F183" s="52">
        <f>數量表!FX7</f>
        <v>176</v>
      </c>
      <c r="G183" s="52">
        <f>COUNTIF(數量表!$E$11:'數量表'!FX$11,"不計工期")</f>
        <v>0</v>
      </c>
      <c r="H183" s="135">
        <f>IF(數量表!$B$11="日曆天",$B$4+G183,WORKDAY.INTL($B$4,G183,1))</f>
        <v>46445</v>
      </c>
    </row>
    <row r="184" spans="1:8">
      <c r="A184" s="50">
        <f>數量表!FY4</f>
        <v>46422</v>
      </c>
      <c r="B184" s="51">
        <f>MAX(0,數量表!FY9-數量表!FX9)</f>
        <v>6.6571400000000613E-3</v>
      </c>
      <c r="C184" s="51">
        <f>數量表!FY9</f>
        <v>0.93925714000000005</v>
      </c>
      <c r="D184" s="51">
        <f>數量表!FY10</f>
        <v>6.0859999999999997E-2</v>
      </c>
      <c r="E184" s="52">
        <f>數量表!FY7-數量表!FX7</f>
        <v>1</v>
      </c>
      <c r="F184" s="52">
        <f>數量表!FY7</f>
        <v>177</v>
      </c>
      <c r="G184" s="52">
        <f>COUNTIF(數量表!$E$11:'數量表'!FY$11,"不計工期")</f>
        <v>0</v>
      </c>
      <c r="H184" s="135">
        <f>IF(數量表!$B$11="日曆天",$B$4+G184,WORKDAY.INTL($B$4,G184,1))</f>
        <v>46445</v>
      </c>
    </row>
    <row r="185" spans="1:8">
      <c r="A185" s="50">
        <f>數量表!FZ4</f>
        <v>46423</v>
      </c>
      <c r="B185" s="51">
        <f>MAX(0,數量表!FZ9-數量表!FY9)</f>
        <v>6.6571500000000006E-3</v>
      </c>
      <c r="C185" s="51">
        <f>數量表!FZ9</f>
        <v>0.94591429000000005</v>
      </c>
      <c r="D185" s="51">
        <f>數量表!FZ10</f>
        <v>6.0859999999999997E-2</v>
      </c>
      <c r="E185" s="52">
        <f>數量表!FZ7-數量表!FY7</f>
        <v>1</v>
      </c>
      <c r="F185" s="52">
        <f>數量表!FZ7</f>
        <v>178</v>
      </c>
      <c r="G185" s="52">
        <f>COUNTIF(數量表!$E$11:'數量表'!FZ$11,"不計工期")</f>
        <v>0</v>
      </c>
      <c r="H185" s="135">
        <f>IF(數量表!$B$11="日曆天",$B$4+G185,WORKDAY.INTL($B$4,G185,1))</f>
        <v>46445</v>
      </c>
    </row>
    <row r="186" spans="1:8">
      <c r="A186" s="50">
        <f>數量表!GA4</f>
        <v>46424</v>
      </c>
      <c r="B186" s="51">
        <f>MAX(0,數量表!GA9-數量表!FZ9)</f>
        <v>6.6571399999999503E-3</v>
      </c>
      <c r="C186" s="51">
        <f>數量表!GA9</f>
        <v>0.95257143</v>
      </c>
      <c r="D186" s="51">
        <f>數量表!GA10</f>
        <v>6.0859999999999997E-2</v>
      </c>
      <c r="E186" s="52">
        <f>數量表!GA7-數量表!FZ7</f>
        <v>1</v>
      </c>
      <c r="F186" s="52">
        <f>數量表!GA7</f>
        <v>179</v>
      </c>
      <c r="G186" s="52">
        <f>COUNTIF(數量表!$E$11:'數量表'!GA$11,"不計工期")</f>
        <v>0</v>
      </c>
      <c r="H186" s="135">
        <f>IF(數量表!$B$11="日曆天",$B$4+G186,WORKDAY.INTL($B$4,G186,1))</f>
        <v>46445</v>
      </c>
    </row>
    <row r="187" spans="1:8">
      <c r="A187" s="50">
        <f>數量表!GB4</f>
        <v>46425</v>
      </c>
      <c r="B187" s="51">
        <f>MAX(0,數量表!GB9-數量表!GA9)</f>
        <v>6.6571399999999503E-3</v>
      </c>
      <c r="C187" s="51">
        <f>數量表!GB9</f>
        <v>0.95922856999999995</v>
      </c>
      <c r="D187" s="51">
        <f>數量表!GB10</f>
        <v>6.0859999999999997E-2</v>
      </c>
      <c r="E187" s="52">
        <f>數量表!GB7-數量表!GA7</f>
        <v>1</v>
      </c>
      <c r="F187" s="52">
        <f>數量表!GB7</f>
        <v>180</v>
      </c>
      <c r="G187" s="52">
        <f>COUNTIF(數量表!$E$11:'數量表'!GB$11,"不計工期")</f>
        <v>0</v>
      </c>
      <c r="H187" s="135">
        <f>IF(數量表!$B$11="日曆天",$B$4+G187,WORKDAY.INTL($B$4,G187,1))</f>
        <v>46445</v>
      </c>
    </row>
    <row r="188" spans="1:8">
      <c r="A188" s="50">
        <f>數量表!GC4</f>
        <v>46426</v>
      </c>
      <c r="B188" s="51">
        <f>MAX(0,數量表!GC9-數量表!GB9)</f>
        <v>6.6571400000000613E-3</v>
      </c>
      <c r="C188" s="51">
        <f>數量表!GC9</f>
        <v>0.96588571000000001</v>
      </c>
      <c r="D188" s="51">
        <f>數量表!GC10</f>
        <v>6.0859999999999997E-2</v>
      </c>
      <c r="E188" s="52">
        <f>數量表!GC7-數量表!GB7</f>
        <v>1</v>
      </c>
      <c r="F188" s="52">
        <f>數量表!GC7</f>
        <v>181</v>
      </c>
      <c r="G188" s="52">
        <f>COUNTIF(數量表!$E$11:'數量表'!GC$11,"不計工期")</f>
        <v>0</v>
      </c>
      <c r="H188" s="135">
        <f>IF(數量表!$B$11="日曆天",$B$4+G188,WORKDAY.INTL($B$4,G188,1))</f>
        <v>46445</v>
      </c>
    </row>
    <row r="189" spans="1:8">
      <c r="A189" s="50">
        <f>數量表!GD4</f>
        <v>46427</v>
      </c>
      <c r="B189" s="51">
        <f>MAX(0,數量表!GD9-數量表!GC9)</f>
        <v>6.6571500000000006E-3</v>
      </c>
      <c r="C189" s="51">
        <f>數量表!GD9</f>
        <v>0.97254286000000001</v>
      </c>
      <c r="D189" s="51">
        <f>數量表!GD10</f>
        <v>6.0859999999999997E-2</v>
      </c>
      <c r="E189" s="52">
        <f>數量表!GD7-數量表!GC7</f>
        <v>1</v>
      </c>
      <c r="F189" s="52">
        <f>數量表!GD7</f>
        <v>182</v>
      </c>
      <c r="G189" s="52">
        <f>COUNTIF(數量表!$E$11:'數量表'!GD$11,"不計工期")</f>
        <v>0</v>
      </c>
      <c r="H189" s="135">
        <f>IF(數量表!$B$11="日曆天",$B$4+G189,WORKDAY.INTL($B$4,G189,1))</f>
        <v>46445</v>
      </c>
    </row>
    <row r="190" spans="1:8">
      <c r="A190" s="50">
        <f>數量表!GE4</f>
        <v>46428</v>
      </c>
      <c r="B190" s="51">
        <f>MAX(0,數量表!GE9-數量表!GD9)</f>
        <v>6.6571399999999503E-3</v>
      </c>
      <c r="C190" s="51">
        <f>數量表!GE9</f>
        <v>0.97919999999999996</v>
      </c>
      <c r="D190" s="51">
        <f>數量表!GE10</f>
        <v>6.0859999999999997E-2</v>
      </c>
      <c r="E190" s="52">
        <f>數量表!GE7-數量表!GD7</f>
        <v>1</v>
      </c>
      <c r="F190" s="52">
        <f>數量表!GE7</f>
        <v>183</v>
      </c>
      <c r="G190" s="52">
        <f>COUNTIF(數量表!$E$11:'數量表'!GE$11,"不計工期")</f>
        <v>0</v>
      </c>
      <c r="H190" s="135">
        <f>IF(數量表!$B$11="日曆天",$B$4+G190,WORKDAY.INTL($B$4,G190,1))</f>
        <v>46445</v>
      </c>
    </row>
    <row r="191" spans="1:8">
      <c r="A191" s="50">
        <f>數量表!GF4</f>
        <v>46429</v>
      </c>
      <c r="B191" s="51">
        <f>MAX(0,數量表!GF9-數量表!GE9)</f>
        <v>2.5857100000000743E-3</v>
      </c>
      <c r="C191" s="51">
        <f>數量表!GF9</f>
        <v>0.98178571000000003</v>
      </c>
      <c r="D191" s="51">
        <f>數量表!GF10</f>
        <v>6.0859999999999997E-2</v>
      </c>
      <c r="E191" s="52">
        <f>數量表!GF7-數量表!GE7</f>
        <v>1</v>
      </c>
      <c r="F191" s="52">
        <f>數量表!GF7</f>
        <v>184</v>
      </c>
      <c r="G191" s="52">
        <f>COUNTIF(數量表!$E$11:'數量表'!GF$11,"不計工期")</f>
        <v>0</v>
      </c>
      <c r="H191" s="135">
        <f>IF(數量表!$B$11="日曆天",$B$4+G191,WORKDAY.INTL($B$4,G191,1))</f>
        <v>46445</v>
      </c>
    </row>
    <row r="192" spans="1:8">
      <c r="A192" s="50">
        <f>數量表!GG4</f>
        <v>46430</v>
      </c>
      <c r="B192" s="51">
        <f>MAX(0,數量表!GG9-數量表!GF9)</f>
        <v>2.5857200000000136E-3</v>
      </c>
      <c r="C192" s="51">
        <f>數量表!GG9</f>
        <v>0.98437143000000005</v>
      </c>
      <c r="D192" s="51">
        <f>數量表!GG10</f>
        <v>6.0859999999999997E-2</v>
      </c>
      <c r="E192" s="52">
        <f>數量表!GG7-數量表!GF7</f>
        <v>1</v>
      </c>
      <c r="F192" s="52">
        <f>數量表!GG7</f>
        <v>185</v>
      </c>
      <c r="G192" s="52">
        <f>COUNTIF(數量表!$E$11:'數量表'!GG$11,"不計工期")</f>
        <v>0</v>
      </c>
      <c r="H192" s="135">
        <f>IF(數量表!$B$11="日曆天",$B$4+G192,WORKDAY.INTL($B$4,G192,1))</f>
        <v>46445</v>
      </c>
    </row>
    <row r="193" spans="1:8">
      <c r="A193" s="50">
        <f>數量表!GH4</f>
        <v>46431</v>
      </c>
      <c r="B193" s="51">
        <f>MAX(0,數量表!GH9-數量表!GG9)</f>
        <v>2.5857099999999633E-3</v>
      </c>
      <c r="C193" s="51">
        <f>數量表!GH9</f>
        <v>0.98695714000000001</v>
      </c>
      <c r="D193" s="51">
        <f>數量表!GH10</f>
        <v>6.0859999999999997E-2</v>
      </c>
      <c r="E193" s="52">
        <f>數量表!GH7-數量表!GG7</f>
        <v>1</v>
      </c>
      <c r="F193" s="52">
        <f>數量表!GH7</f>
        <v>186</v>
      </c>
      <c r="G193" s="52">
        <f>COUNTIF(數量表!$E$11:'數量表'!GH$11,"不計工期")</f>
        <v>0</v>
      </c>
      <c r="H193" s="135">
        <f>IF(數量表!$B$11="日曆天",$B$4+G193,WORKDAY.INTL($B$4,G193,1))</f>
        <v>46445</v>
      </c>
    </row>
    <row r="194" spans="1:8">
      <c r="A194" s="50">
        <f>數量表!GI4</f>
        <v>46432</v>
      </c>
      <c r="B194" s="51">
        <f>MAX(0,數量表!GI9-數量表!GH9)</f>
        <v>2.5857200000000136E-3</v>
      </c>
      <c r="C194" s="51">
        <f>數量表!GI9</f>
        <v>0.98954286000000002</v>
      </c>
      <c r="D194" s="51">
        <f>數量表!GI10</f>
        <v>6.0859999999999997E-2</v>
      </c>
      <c r="E194" s="52">
        <f>數量表!GI7-數量表!GH7</f>
        <v>1</v>
      </c>
      <c r="F194" s="52">
        <f>數量表!GI7</f>
        <v>187</v>
      </c>
      <c r="G194" s="52">
        <f>COUNTIF(數量表!$E$11:'數量表'!GI$11,"不計工期")</f>
        <v>0</v>
      </c>
      <c r="H194" s="135">
        <f>IF(數量表!$B$11="日曆天",$B$4+G194,WORKDAY.INTL($B$4,G194,1))</f>
        <v>46445</v>
      </c>
    </row>
    <row r="195" spans="1:8">
      <c r="A195" s="50">
        <f>數量表!GJ4</f>
        <v>46433</v>
      </c>
      <c r="B195" s="51">
        <f>MAX(0,數量表!GJ9-數量表!GI9)</f>
        <v>2.5857099999999633E-3</v>
      </c>
      <c r="C195" s="51">
        <f>數量表!GJ9</f>
        <v>0.99212856999999999</v>
      </c>
      <c r="D195" s="51">
        <f>數量表!GJ10</f>
        <v>6.0859999999999997E-2</v>
      </c>
      <c r="E195" s="52">
        <f>數量表!GJ7-數量表!GI7</f>
        <v>1</v>
      </c>
      <c r="F195" s="52">
        <f>數量表!GJ7</f>
        <v>188</v>
      </c>
      <c r="G195" s="52">
        <f>COUNTIF(數量表!$E$11:'數量表'!GJ$11,"不計工期")</f>
        <v>0</v>
      </c>
      <c r="H195" s="135">
        <f>IF(數量表!$B$11="日曆天",$B$4+G195,WORKDAY.INTL($B$4,G195,1))</f>
        <v>46445</v>
      </c>
    </row>
    <row r="196" spans="1:8">
      <c r="A196" s="50">
        <f>數量表!GK4</f>
        <v>46434</v>
      </c>
      <c r="B196" s="51">
        <f>MAX(0,數量表!GK9-數量表!GJ9)</f>
        <v>2.5857200000000136E-3</v>
      </c>
      <c r="C196" s="51">
        <f>數量表!GK9</f>
        <v>0.99471429</v>
      </c>
      <c r="D196" s="51">
        <f>數量表!GK10</f>
        <v>6.0859999999999997E-2</v>
      </c>
      <c r="E196" s="52">
        <f>數量表!GK7-數量表!GJ7</f>
        <v>1</v>
      </c>
      <c r="F196" s="52">
        <f>數量表!GK7</f>
        <v>189</v>
      </c>
      <c r="G196" s="52">
        <f>COUNTIF(數量表!$E$11:'數量表'!GK$11,"不計工期")</f>
        <v>0</v>
      </c>
      <c r="H196" s="135">
        <f>IF(數量表!$B$11="日曆天",$B$4+G196,WORKDAY.INTL($B$4,G196,1))</f>
        <v>46445</v>
      </c>
    </row>
    <row r="197" spans="1:8">
      <c r="A197" s="50">
        <f>數量表!GL4</f>
        <v>46435</v>
      </c>
      <c r="B197" s="51">
        <f>MAX(0,數量表!GL9-數量表!GK9)</f>
        <v>2.5857099999999633E-3</v>
      </c>
      <c r="C197" s="51">
        <f>數量表!GL9</f>
        <v>0.99729999999999996</v>
      </c>
      <c r="D197" s="51">
        <f>數量表!GL10</f>
        <v>6.0859999999999997E-2</v>
      </c>
      <c r="E197" s="52">
        <f>數量表!GL7-數量表!GK7</f>
        <v>1</v>
      </c>
      <c r="F197" s="52">
        <f>數量表!GL7</f>
        <v>190</v>
      </c>
      <c r="G197" s="52">
        <f>COUNTIF(數量表!$E$11:'數量表'!GL$11,"不計工期")</f>
        <v>0</v>
      </c>
      <c r="H197" s="135">
        <f>IF(數量表!$B$11="日曆天",$B$4+G197,WORKDAY.INTL($B$4,G197,1))</f>
        <v>46445</v>
      </c>
    </row>
    <row r="198" spans="1:8">
      <c r="A198" s="50">
        <f>數量表!GM4</f>
        <v>46436</v>
      </c>
      <c r="B198" s="51">
        <f>MAX(0,數量表!GM9-數量表!GL9)</f>
        <v>3.7143000000006143E-4</v>
      </c>
      <c r="C198" s="51">
        <f>數量表!GM9</f>
        <v>0.99767143000000003</v>
      </c>
      <c r="D198" s="51">
        <f>數量表!GM10</f>
        <v>6.0859999999999997E-2</v>
      </c>
      <c r="E198" s="52">
        <f>數量表!GM7-數量表!GL7</f>
        <v>1</v>
      </c>
      <c r="F198" s="52">
        <f>數量表!GM7</f>
        <v>191</v>
      </c>
      <c r="G198" s="52">
        <f>COUNTIF(數量表!$E$11:'數量表'!GM$11,"不計工期")</f>
        <v>0</v>
      </c>
      <c r="H198" s="135">
        <f>IF(數量表!$B$11="日曆天",$B$4+G198,WORKDAY.INTL($B$4,G198,1))</f>
        <v>46445</v>
      </c>
    </row>
    <row r="199" spans="1:8">
      <c r="A199" s="50">
        <f>數量表!GN4</f>
        <v>46437</v>
      </c>
      <c r="B199" s="51">
        <f>MAX(0,數量表!GN9-數量表!GM9)</f>
        <v>3.7142999999995041E-4</v>
      </c>
      <c r="C199" s="51">
        <f>數量表!GN9</f>
        <v>0.99804285999999998</v>
      </c>
      <c r="D199" s="51">
        <f>數量表!GN10</f>
        <v>6.0859999999999997E-2</v>
      </c>
      <c r="E199" s="52">
        <f>數量表!GN7-數量表!GM7</f>
        <v>1</v>
      </c>
      <c r="F199" s="52">
        <f>數量表!GN7</f>
        <v>192</v>
      </c>
      <c r="G199" s="52">
        <f>COUNTIF(數量表!$E$11:'數量表'!GN$11,"不計工期")</f>
        <v>0</v>
      </c>
      <c r="H199" s="135">
        <f>IF(數量表!$B$11="日曆天",$B$4+G199,WORKDAY.INTL($B$4,G199,1))</f>
        <v>46445</v>
      </c>
    </row>
    <row r="200" spans="1:8">
      <c r="A200" s="50">
        <f>數量表!GO4</f>
        <v>46438</v>
      </c>
      <c r="B200" s="51">
        <f>MAX(0,數量表!GO9-數量表!GN9)</f>
        <v>3.7143000000006143E-4</v>
      </c>
      <c r="C200" s="51">
        <f>數量表!GO9</f>
        <v>0.99841429000000004</v>
      </c>
      <c r="D200" s="51">
        <f>數量表!GO10</f>
        <v>6.0859999999999997E-2</v>
      </c>
      <c r="E200" s="52">
        <f>數量表!GO7-數量表!GN7</f>
        <v>1</v>
      </c>
      <c r="F200" s="52">
        <f>數量表!GO7</f>
        <v>193</v>
      </c>
      <c r="G200" s="52">
        <f>COUNTIF(數量表!$E$11:'數量表'!GO$11,"不計工期")</f>
        <v>0</v>
      </c>
      <c r="H200" s="135">
        <f>IF(數量表!$B$11="日曆天",$B$4+G200,WORKDAY.INTL($B$4,G200,1))</f>
        <v>46445</v>
      </c>
    </row>
    <row r="201" spans="1:8">
      <c r="A201" s="50">
        <f>數量表!GP4</f>
        <v>46439</v>
      </c>
      <c r="B201" s="51">
        <f>MAX(0,數量表!GP9-數量表!GO9)</f>
        <v>3.7142000000001119E-4</v>
      </c>
      <c r="C201" s="51">
        <f>數量表!GP9</f>
        <v>0.99878571000000005</v>
      </c>
      <c r="D201" s="51">
        <f>數量表!GP10</f>
        <v>6.0859999999999997E-2</v>
      </c>
      <c r="E201" s="52">
        <f>數量表!GP7-數量表!GO7</f>
        <v>1</v>
      </c>
      <c r="F201" s="52">
        <f>數量表!GP7</f>
        <v>194</v>
      </c>
      <c r="G201" s="52">
        <f>COUNTIF(數量表!$E$11:'數量表'!GP$11,"不計工期")</f>
        <v>0</v>
      </c>
      <c r="H201" s="135">
        <f>IF(數量表!$B$11="日曆天",$B$4+G201,WORKDAY.INTL($B$4,G201,1))</f>
        <v>46445</v>
      </c>
    </row>
    <row r="202" spans="1:8">
      <c r="A202" s="50">
        <f>數量表!GQ4</f>
        <v>46440</v>
      </c>
      <c r="B202" s="51">
        <f>MAX(0,數量表!GQ9-數量表!GP9)</f>
        <v>3.7142999999995041E-4</v>
      </c>
      <c r="C202" s="51">
        <f>數量表!GQ9</f>
        <v>0.99915714</v>
      </c>
      <c r="D202" s="51">
        <f>數量表!GQ10</f>
        <v>6.0859999999999997E-2</v>
      </c>
      <c r="E202" s="52">
        <f>數量表!GQ7-數量表!GP7</f>
        <v>1</v>
      </c>
      <c r="F202" s="52">
        <f>數量表!GQ7</f>
        <v>195</v>
      </c>
      <c r="G202" s="52">
        <f>COUNTIF(數量表!$E$11:'數量表'!GQ$11,"不計工期")</f>
        <v>0</v>
      </c>
      <c r="H202" s="135">
        <f>IF(數量表!$B$11="日曆天",$B$4+G202,WORKDAY.INTL($B$4,G202,1))</f>
        <v>46445</v>
      </c>
    </row>
    <row r="203" spans="1:8">
      <c r="A203" s="50">
        <f>數量表!GR4</f>
        <v>46441</v>
      </c>
      <c r="B203" s="51">
        <f>MAX(0,數量表!GR9-數量表!GQ9)</f>
        <v>3.7142999999995041E-4</v>
      </c>
      <c r="C203" s="51">
        <f>數量表!GR9</f>
        <v>0.99952856999999995</v>
      </c>
      <c r="D203" s="51">
        <f>數量表!GR10</f>
        <v>6.0859999999999997E-2</v>
      </c>
      <c r="E203" s="52">
        <f>數量表!GR7-數量表!GQ7</f>
        <v>1</v>
      </c>
      <c r="F203" s="52">
        <f>數量表!GR7</f>
        <v>196</v>
      </c>
      <c r="G203" s="52">
        <f>COUNTIF(數量表!$E$11:'數量表'!GR$11,"不計工期")</f>
        <v>0</v>
      </c>
      <c r="H203" s="135">
        <f>IF(數量表!$B$11="日曆天",$B$4+G203,WORKDAY.INTL($B$4,G203,1))</f>
        <v>46445</v>
      </c>
    </row>
    <row r="204" spans="1:8">
      <c r="A204" s="50">
        <f>數量表!GS4</f>
        <v>46442</v>
      </c>
      <c r="B204" s="51">
        <f>MAX(0,數量表!GS9-數量表!GR9)</f>
        <v>3.7143000000006143E-4</v>
      </c>
      <c r="C204" s="51">
        <f>數量表!GS9</f>
        <v>0.99990000000000001</v>
      </c>
      <c r="D204" s="51">
        <f>數量表!GS10</f>
        <v>6.0859999999999997E-2</v>
      </c>
      <c r="E204" s="52">
        <f>數量表!GS7-數量表!GR7</f>
        <v>1</v>
      </c>
      <c r="F204" s="52">
        <f>數量表!GS7</f>
        <v>197</v>
      </c>
      <c r="G204" s="52">
        <f>COUNTIF(數量表!$E$11:'數量表'!GS$11,"不計工期")</f>
        <v>0</v>
      </c>
      <c r="H204" s="135">
        <f>IF(數量表!$B$11="日曆天",$B$4+G204,WORKDAY.INTL($B$4,G204,1))</f>
        <v>46445</v>
      </c>
    </row>
    <row r="205" spans="1:8">
      <c r="A205" s="50">
        <f>數量表!GT4</f>
        <v>46443</v>
      </c>
      <c r="B205" s="51">
        <f>MAX(0,數量表!GT9-數量表!GS9)</f>
        <v>3.3329999999942572E-5</v>
      </c>
      <c r="C205" s="51">
        <f>數量表!GT9</f>
        <v>0.99993332999999995</v>
      </c>
      <c r="D205" s="51">
        <f>數量表!GT10</f>
        <v>6.0859999999999997E-2</v>
      </c>
      <c r="E205" s="52">
        <f>數量表!GT7-數量表!GS7</f>
        <v>1</v>
      </c>
      <c r="F205" s="52">
        <f>數量表!GT7</f>
        <v>198</v>
      </c>
      <c r="G205" s="52">
        <f>COUNTIF(數量表!$E$11:'數量表'!GT$11,"不計工期")</f>
        <v>0</v>
      </c>
      <c r="H205" s="135">
        <f>IF(數量表!$B$11="日曆天",$B$4+G205,WORKDAY.INTL($B$4,G205,1))</f>
        <v>46445</v>
      </c>
    </row>
    <row r="206" spans="1:8">
      <c r="A206" s="50">
        <f>數量表!GU4</f>
        <v>46444</v>
      </c>
      <c r="B206" s="51">
        <f>MAX(0,數量表!GU9-數量表!GT9)</f>
        <v>3.333999999999282E-5</v>
      </c>
      <c r="C206" s="51">
        <f>數量表!GU9</f>
        <v>0.99996666999999995</v>
      </c>
      <c r="D206" s="51">
        <f>數量表!GU10</f>
        <v>6.0859999999999997E-2</v>
      </c>
      <c r="E206" s="52">
        <f>數量表!GU7-數量表!GT7</f>
        <v>1</v>
      </c>
      <c r="F206" s="52">
        <f>數量表!GU7</f>
        <v>199</v>
      </c>
      <c r="G206" s="52">
        <f>COUNTIF(數量表!$E$11:'數量表'!GU$11,"不計工期")</f>
        <v>0</v>
      </c>
      <c r="H206" s="135">
        <f>IF(數量表!$B$11="日曆天",$B$4+G206,WORKDAY.INTL($B$4,G206,1))</f>
        <v>46445</v>
      </c>
    </row>
    <row r="207" spans="1:8">
      <c r="A207" s="50">
        <f>數量表!GV4</f>
        <v>46445</v>
      </c>
      <c r="B207" s="51">
        <f>MAX(0,數量表!GV9-數量表!GU9)</f>
        <v>3.3330000000053595E-5</v>
      </c>
      <c r="C207" s="51">
        <f>數量表!GV9</f>
        <v>1</v>
      </c>
      <c r="D207" s="51">
        <f>數量表!GV10</f>
        <v>6.0859999999999997E-2</v>
      </c>
      <c r="E207" s="52">
        <f>數量表!GV7-數量表!GU7</f>
        <v>1</v>
      </c>
      <c r="F207" s="52">
        <f>數量表!GV7</f>
        <v>200</v>
      </c>
      <c r="G207" s="52">
        <f>COUNTIF(數量表!$E$11:'數量表'!GV$11,"不計工期")</f>
        <v>0</v>
      </c>
      <c r="H207" s="135">
        <f>IF(數量表!$B$11="日曆天",$B$4+G207,WORKDAY.INTL($B$4,G207,1))</f>
        <v>46445</v>
      </c>
    </row>
    <row r="208" spans="1:8">
      <c r="A208" s="50">
        <f>數量表!GW4</f>
        <v>46446</v>
      </c>
      <c r="B208" s="51">
        <f>MAX(0,數量表!GW9-數量表!GV9)</f>
        <v>0</v>
      </c>
      <c r="C208" s="51">
        <f>數量表!GW9</f>
        <v>1</v>
      </c>
      <c r="D208" s="51">
        <f>數量表!GW10</f>
        <v>6.0859999999999997E-2</v>
      </c>
      <c r="E208" s="52">
        <f>數量表!GW7-數量表!GV7</f>
        <v>1</v>
      </c>
      <c r="F208" s="52">
        <f>數量表!GW7</f>
        <v>201</v>
      </c>
      <c r="G208" s="52">
        <f>COUNTIF(數量表!$E$11:'數量表'!GW$11,"不計工期")</f>
        <v>0</v>
      </c>
      <c r="H208" s="135">
        <f>IF(數量表!$B$11="日曆天",$B$4+G208,WORKDAY.INTL($B$4,G208,1))</f>
        <v>46445</v>
      </c>
    </row>
    <row r="209" spans="1:8">
      <c r="A209" s="50" t="e">
        <f>數量表!#REF!</f>
        <v>#REF!</v>
      </c>
      <c r="B209" s="51" t="e">
        <f>MAX(0,數量表!#REF!-數量表!GW9)</f>
        <v>#REF!</v>
      </c>
      <c r="C209" s="51" t="e">
        <f>數量表!#REF!</f>
        <v>#REF!</v>
      </c>
      <c r="D209" s="51" t="e">
        <f>數量表!#REF!</f>
        <v>#REF!</v>
      </c>
      <c r="E209" s="52" t="e">
        <f>數量表!#REF!-數量表!GW7</f>
        <v>#REF!</v>
      </c>
      <c r="F209" s="52" t="e">
        <f>數量表!#REF!</f>
        <v>#REF!</v>
      </c>
      <c r="G209" s="52" t="e">
        <f>COUNTIF(數量表!$E$11:數量表!#REF!,"不計工期")</f>
        <v>#REF!</v>
      </c>
      <c r="H209" s="135" t="e">
        <f>IF(數量表!$B$11="日曆天",$B$4+G209,WORKDAY.INTL($B$4,G209,1))</f>
        <v>#REF!</v>
      </c>
    </row>
    <row r="210" spans="1:8">
      <c r="A210" s="50" t="e">
        <f>數量表!#REF!</f>
        <v>#REF!</v>
      </c>
      <c r="B210" s="51" t="e">
        <f>MAX(0,數量表!#REF!-數量表!#REF!)</f>
        <v>#REF!</v>
      </c>
      <c r="C210" s="51" t="e">
        <f>數量表!#REF!</f>
        <v>#REF!</v>
      </c>
      <c r="D210" s="51" t="e">
        <f>數量表!#REF!</f>
        <v>#REF!</v>
      </c>
      <c r="E210" s="52" t="e">
        <f>數量表!#REF!-數量表!#REF!</f>
        <v>#REF!</v>
      </c>
      <c r="F210" s="52" t="e">
        <f>數量表!#REF!</f>
        <v>#REF!</v>
      </c>
      <c r="G210" s="52" t="e">
        <f>COUNTIF(數量表!$E$11:數量表!#REF!,"不計工期")</f>
        <v>#REF!</v>
      </c>
      <c r="H210" s="135" t="e">
        <f>IF(數量表!$B$11="日曆天",$B$4+G210,WORKDAY.INTL($B$4,G210,1))</f>
        <v>#REF!</v>
      </c>
    </row>
    <row r="211" spans="1:8">
      <c r="A211" s="50" t="e">
        <f>數量表!#REF!</f>
        <v>#REF!</v>
      </c>
      <c r="B211" s="51" t="e">
        <f>MAX(0,數量表!#REF!-數量表!#REF!)</f>
        <v>#REF!</v>
      </c>
      <c r="C211" s="51" t="e">
        <f>數量表!#REF!</f>
        <v>#REF!</v>
      </c>
      <c r="D211" s="51" t="e">
        <f>數量表!#REF!</f>
        <v>#REF!</v>
      </c>
      <c r="E211" s="52" t="e">
        <f>數量表!#REF!-數量表!#REF!</f>
        <v>#REF!</v>
      </c>
      <c r="F211" s="52" t="e">
        <f>數量表!#REF!</f>
        <v>#REF!</v>
      </c>
      <c r="G211" s="52" t="e">
        <f>COUNTIF(數量表!$E$11:數量表!#REF!,"不計工期")</f>
        <v>#REF!</v>
      </c>
      <c r="H211" s="135" t="e">
        <f>IF(數量表!$B$11="日曆天",$B$4+G211,WORKDAY.INTL($B$4,G211,1))</f>
        <v>#REF!</v>
      </c>
    </row>
    <row r="212" spans="1:8">
      <c r="A212" s="50" t="e">
        <f>數量表!#REF!</f>
        <v>#REF!</v>
      </c>
      <c r="B212" s="51" t="e">
        <f>MAX(0,數量表!#REF!-數量表!#REF!)</f>
        <v>#REF!</v>
      </c>
      <c r="C212" s="51" t="e">
        <f>數量表!#REF!</f>
        <v>#REF!</v>
      </c>
      <c r="D212" s="51" t="e">
        <f>數量表!#REF!</f>
        <v>#REF!</v>
      </c>
      <c r="E212" s="52" t="e">
        <f>數量表!#REF!-數量表!#REF!</f>
        <v>#REF!</v>
      </c>
      <c r="F212" s="52" t="e">
        <f>數量表!#REF!</f>
        <v>#REF!</v>
      </c>
      <c r="G212" s="52" t="e">
        <f>COUNTIF(數量表!$E$11:數量表!#REF!,"不計工期")</f>
        <v>#REF!</v>
      </c>
      <c r="H212" s="135" t="e">
        <f>IF(數量表!$B$11="日曆天",$B$4+G212,WORKDAY.INTL($B$4,G212,1))</f>
        <v>#REF!</v>
      </c>
    </row>
    <row r="213" spans="1:8">
      <c r="A213" s="50" t="e">
        <f>數量表!#REF!</f>
        <v>#REF!</v>
      </c>
      <c r="B213" s="51" t="e">
        <f>MAX(0,數量表!#REF!-數量表!#REF!)</f>
        <v>#REF!</v>
      </c>
      <c r="C213" s="51" t="e">
        <f>數量表!#REF!</f>
        <v>#REF!</v>
      </c>
      <c r="D213" s="51" t="e">
        <f>數量表!#REF!</f>
        <v>#REF!</v>
      </c>
      <c r="E213" s="52" t="e">
        <f>數量表!#REF!-數量表!#REF!</f>
        <v>#REF!</v>
      </c>
      <c r="F213" s="52" t="e">
        <f>數量表!#REF!</f>
        <v>#REF!</v>
      </c>
      <c r="G213" s="52" t="e">
        <f>COUNTIF(數量表!$E$11:數量表!#REF!,"不計工期")</f>
        <v>#REF!</v>
      </c>
      <c r="H213" s="135" t="e">
        <f>IF(數量表!$B$11="日曆天",$B$4+G213,WORKDAY.INTL($B$4,G213,1))</f>
        <v>#REF!</v>
      </c>
    </row>
    <row r="214" spans="1:8">
      <c r="A214" s="50" t="e">
        <f>數量表!#REF!</f>
        <v>#REF!</v>
      </c>
      <c r="B214" s="51" t="e">
        <f>MAX(0,數量表!#REF!-數量表!#REF!)</f>
        <v>#REF!</v>
      </c>
      <c r="C214" s="51" t="e">
        <f>數量表!#REF!</f>
        <v>#REF!</v>
      </c>
      <c r="D214" s="51" t="e">
        <f>數量表!#REF!</f>
        <v>#REF!</v>
      </c>
      <c r="E214" s="52" t="e">
        <f>數量表!#REF!-數量表!#REF!</f>
        <v>#REF!</v>
      </c>
      <c r="F214" s="52" t="e">
        <f>數量表!#REF!</f>
        <v>#REF!</v>
      </c>
      <c r="G214" s="52" t="e">
        <f>COUNTIF(數量表!$E$11:數量表!#REF!,"不計工期")</f>
        <v>#REF!</v>
      </c>
      <c r="H214" s="135" t="e">
        <f>IF(數量表!$B$11="日曆天",$B$4+G214,WORKDAY.INTL($B$4,G214,1))</f>
        <v>#REF!</v>
      </c>
    </row>
    <row r="215" spans="1:8">
      <c r="A215" s="50" t="e">
        <f>數量表!#REF!</f>
        <v>#REF!</v>
      </c>
      <c r="B215" s="51" t="e">
        <f>MAX(0,數量表!#REF!-數量表!#REF!)</f>
        <v>#REF!</v>
      </c>
      <c r="C215" s="51" t="e">
        <f>數量表!#REF!</f>
        <v>#REF!</v>
      </c>
      <c r="D215" s="51" t="e">
        <f>數量表!#REF!</f>
        <v>#REF!</v>
      </c>
      <c r="E215" s="52" t="e">
        <f>數量表!#REF!-數量表!#REF!</f>
        <v>#REF!</v>
      </c>
      <c r="F215" s="52" t="e">
        <f>數量表!#REF!</f>
        <v>#REF!</v>
      </c>
      <c r="G215" s="52" t="e">
        <f>COUNTIF(數量表!$E$11:數量表!#REF!,"不計工期")</f>
        <v>#REF!</v>
      </c>
      <c r="H215" s="135" t="e">
        <f>IF(數量表!$B$11="日曆天",$B$4+G215,WORKDAY.INTL($B$4,G215,1))</f>
        <v>#REF!</v>
      </c>
    </row>
    <row r="216" spans="1:8">
      <c r="A216" s="50" t="e">
        <f>數量表!#REF!</f>
        <v>#REF!</v>
      </c>
      <c r="B216" s="51" t="e">
        <f>MAX(0,數量表!#REF!-數量表!#REF!)</f>
        <v>#REF!</v>
      </c>
      <c r="C216" s="51" t="e">
        <f>數量表!#REF!</f>
        <v>#REF!</v>
      </c>
      <c r="D216" s="51" t="e">
        <f>數量表!#REF!</f>
        <v>#REF!</v>
      </c>
      <c r="E216" s="52" t="e">
        <f>數量表!#REF!-數量表!#REF!</f>
        <v>#REF!</v>
      </c>
      <c r="F216" s="52" t="e">
        <f>數量表!#REF!</f>
        <v>#REF!</v>
      </c>
      <c r="G216" s="52" t="e">
        <f>COUNTIF(數量表!$E$11:數量表!#REF!,"不計工期")</f>
        <v>#REF!</v>
      </c>
      <c r="H216" s="135" t="e">
        <f>IF(數量表!$B$11="日曆天",$B$4+G216,WORKDAY.INTL($B$4,G216,1))</f>
        <v>#REF!</v>
      </c>
    </row>
    <row r="217" spans="1:8">
      <c r="A217" s="50" t="e">
        <f>數量表!#REF!</f>
        <v>#REF!</v>
      </c>
      <c r="B217" s="51" t="e">
        <f>MAX(0,數量表!#REF!-數量表!#REF!)</f>
        <v>#REF!</v>
      </c>
      <c r="C217" s="51" t="e">
        <f>數量表!#REF!</f>
        <v>#REF!</v>
      </c>
      <c r="D217" s="51" t="e">
        <f>數量表!#REF!</f>
        <v>#REF!</v>
      </c>
      <c r="E217" s="52" t="e">
        <f>數量表!#REF!-數量表!#REF!</f>
        <v>#REF!</v>
      </c>
      <c r="F217" s="52" t="e">
        <f>數量表!#REF!</f>
        <v>#REF!</v>
      </c>
      <c r="G217" s="52" t="e">
        <f>COUNTIF(數量表!$E$11:數量表!#REF!,"不計工期")</f>
        <v>#REF!</v>
      </c>
      <c r="H217" s="135" t="e">
        <f>IF(數量表!$B$11="日曆天",$B$4+G217,WORKDAY.INTL($B$4,G217,1))</f>
        <v>#REF!</v>
      </c>
    </row>
    <row r="218" spans="1:8">
      <c r="A218" s="50" t="e">
        <f>數量表!#REF!</f>
        <v>#REF!</v>
      </c>
      <c r="B218" s="51" t="e">
        <f>MAX(0,數量表!#REF!-數量表!#REF!)</f>
        <v>#REF!</v>
      </c>
      <c r="C218" s="51" t="e">
        <f>數量表!#REF!</f>
        <v>#REF!</v>
      </c>
      <c r="D218" s="51" t="e">
        <f>數量表!#REF!</f>
        <v>#REF!</v>
      </c>
      <c r="E218" s="52" t="e">
        <f>數量表!#REF!-數量表!#REF!</f>
        <v>#REF!</v>
      </c>
      <c r="F218" s="52" t="e">
        <f>數量表!#REF!</f>
        <v>#REF!</v>
      </c>
      <c r="G218" s="52" t="e">
        <f>COUNTIF(數量表!$E$11:數量表!#REF!,"不計工期")</f>
        <v>#REF!</v>
      </c>
      <c r="H218" s="135" t="e">
        <f>IF(數量表!$B$11="日曆天",$B$4+G218,WORKDAY.INTL($B$4,G218,1))</f>
        <v>#REF!</v>
      </c>
    </row>
    <row r="219" spans="1:8">
      <c r="A219" s="50" t="e">
        <f>數量表!#REF!</f>
        <v>#REF!</v>
      </c>
      <c r="B219" s="51" t="e">
        <f>MAX(0,數量表!#REF!-數量表!#REF!)</f>
        <v>#REF!</v>
      </c>
      <c r="C219" s="51" t="e">
        <f>數量表!#REF!</f>
        <v>#REF!</v>
      </c>
      <c r="D219" s="51" t="e">
        <f>數量表!#REF!</f>
        <v>#REF!</v>
      </c>
      <c r="E219" s="52" t="e">
        <f>數量表!#REF!-數量表!#REF!</f>
        <v>#REF!</v>
      </c>
      <c r="F219" s="52" t="e">
        <f>數量表!#REF!</f>
        <v>#REF!</v>
      </c>
      <c r="G219" s="52" t="e">
        <f>COUNTIF(數量表!$E$11:數量表!#REF!,"不計工期")</f>
        <v>#REF!</v>
      </c>
      <c r="H219" s="135" t="e">
        <f>IF(數量表!$B$11="日曆天",$B$4+G219,WORKDAY.INTL($B$4,G219,1))</f>
        <v>#REF!</v>
      </c>
    </row>
    <row r="220" spans="1:8">
      <c r="A220" s="50" t="e">
        <f>數量表!#REF!</f>
        <v>#REF!</v>
      </c>
      <c r="B220" s="51" t="e">
        <f>MAX(0,數量表!#REF!-數量表!#REF!)</f>
        <v>#REF!</v>
      </c>
      <c r="C220" s="51" t="e">
        <f>數量表!#REF!</f>
        <v>#REF!</v>
      </c>
      <c r="D220" s="51" t="e">
        <f>數量表!#REF!</f>
        <v>#REF!</v>
      </c>
      <c r="E220" s="52" t="e">
        <f>數量表!#REF!-數量表!#REF!</f>
        <v>#REF!</v>
      </c>
      <c r="F220" s="52" t="e">
        <f>數量表!#REF!</f>
        <v>#REF!</v>
      </c>
      <c r="G220" s="52" t="e">
        <f>COUNTIF(數量表!$E$11:數量表!#REF!,"不計工期")</f>
        <v>#REF!</v>
      </c>
      <c r="H220" s="135" t="e">
        <f>IF(數量表!$B$11="日曆天",$B$4+G220,WORKDAY.INTL($B$4,G220,1))</f>
        <v>#REF!</v>
      </c>
    </row>
    <row r="221" spans="1:8">
      <c r="A221" s="50" t="e">
        <f>數量表!#REF!</f>
        <v>#REF!</v>
      </c>
      <c r="B221" s="51" t="e">
        <f>MAX(0,數量表!#REF!-數量表!#REF!)</f>
        <v>#REF!</v>
      </c>
      <c r="C221" s="51" t="e">
        <f>數量表!#REF!</f>
        <v>#REF!</v>
      </c>
      <c r="D221" s="51" t="e">
        <f>數量表!#REF!</f>
        <v>#REF!</v>
      </c>
      <c r="E221" s="52" t="e">
        <f>數量表!#REF!-數量表!#REF!</f>
        <v>#REF!</v>
      </c>
      <c r="F221" s="52" t="e">
        <f>數量表!#REF!</f>
        <v>#REF!</v>
      </c>
      <c r="G221" s="52" t="e">
        <f>COUNTIF(數量表!$E$11:數量表!#REF!,"不計工期")</f>
        <v>#REF!</v>
      </c>
      <c r="H221" s="135" t="e">
        <f>IF(數量表!$B$11="日曆天",$B$4+G221,WORKDAY.INTL($B$4,G221,1))</f>
        <v>#REF!</v>
      </c>
    </row>
    <row r="222" spans="1:8">
      <c r="A222" s="50" t="e">
        <f>數量表!#REF!</f>
        <v>#REF!</v>
      </c>
      <c r="B222" s="51" t="e">
        <f>MAX(0,數量表!#REF!-數量表!#REF!)</f>
        <v>#REF!</v>
      </c>
      <c r="C222" s="51" t="e">
        <f>數量表!#REF!</f>
        <v>#REF!</v>
      </c>
      <c r="D222" s="51" t="e">
        <f>數量表!#REF!</f>
        <v>#REF!</v>
      </c>
      <c r="E222" s="52" t="e">
        <f>數量表!#REF!-數量表!#REF!</f>
        <v>#REF!</v>
      </c>
      <c r="F222" s="52" t="e">
        <f>數量表!#REF!</f>
        <v>#REF!</v>
      </c>
      <c r="G222" s="52" t="e">
        <f>COUNTIF(數量表!$E$11:數量表!#REF!,"不計工期")</f>
        <v>#REF!</v>
      </c>
      <c r="H222" s="135" t="e">
        <f>IF(數量表!$B$11="日曆天",$B$4+G222,WORKDAY.INTL($B$4,G222,1))</f>
        <v>#REF!</v>
      </c>
    </row>
    <row r="223" spans="1:8">
      <c r="A223" s="50" t="e">
        <f>數量表!#REF!</f>
        <v>#REF!</v>
      </c>
      <c r="B223" s="51" t="e">
        <f>MAX(0,數量表!#REF!-數量表!#REF!)</f>
        <v>#REF!</v>
      </c>
      <c r="C223" s="51" t="e">
        <f>數量表!#REF!</f>
        <v>#REF!</v>
      </c>
      <c r="D223" s="51" t="e">
        <f>數量表!#REF!</f>
        <v>#REF!</v>
      </c>
      <c r="E223" s="52" t="e">
        <f>數量表!#REF!-數量表!#REF!</f>
        <v>#REF!</v>
      </c>
      <c r="F223" s="52" t="e">
        <f>數量表!#REF!</f>
        <v>#REF!</v>
      </c>
      <c r="G223" s="52" t="e">
        <f>COUNTIF(數量表!$E$11:數量表!#REF!,"不計工期")</f>
        <v>#REF!</v>
      </c>
      <c r="H223" s="135" t="e">
        <f>IF(數量表!$B$11="日曆天",$B$4+G223,WORKDAY.INTL($B$4,G223,1))</f>
        <v>#REF!</v>
      </c>
    </row>
    <row r="224" spans="1:8">
      <c r="A224" s="50" t="e">
        <f>數量表!#REF!</f>
        <v>#REF!</v>
      </c>
      <c r="B224" s="51" t="e">
        <f>MAX(0,數量表!#REF!-數量表!#REF!)</f>
        <v>#REF!</v>
      </c>
      <c r="C224" s="51" t="e">
        <f>數量表!#REF!</f>
        <v>#REF!</v>
      </c>
      <c r="D224" s="51" t="e">
        <f>數量表!#REF!</f>
        <v>#REF!</v>
      </c>
      <c r="E224" s="52" t="e">
        <f>數量表!#REF!-數量表!#REF!</f>
        <v>#REF!</v>
      </c>
      <c r="F224" s="52" t="e">
        <f>數量表!#REF!</f>
        <v>#REF!</v>
      </c>
      <c r="G224" s="52" t="e">
        <f>COUNTIF(數量表!$E$11:數量表!#REF!,"不計工期")</f>
        <v>#REF!</v>
      </c>
      <c r="H224" s="135" t="e">
        <f>IF(數量表!$B$11="日曆天",$B$4+G224,WORKDAY.INTL($B$4,G224,1))</f>
        <v>#REF!</v>
      </c>
    </row>
    <row r="225" spans="1:8">
      <c r="A225" s="50" t="e">
        <f>數量表!#REF!</f>
        <v>#REF!</v>
      </c>
      <c r="B225" s="51" t="e">
        <f>MAX(0,數量表!#REF!-數量表!#REF!)</f>
        <v>#REF!</v>
      </c>
      <c r="C225" s="51" t="e">
        <f>數量表!#REF!</f>
        <v>#REF!</v>
      </c>
      <c r="D225" s="51" t="e">
        <f>數量表!#REF!</f>
        <v>#REF!</v>
      </c>
      <c r="E225" s="52" t="e">
        <f>數量表!#REF!-數量表!#REF!</f>
        <v>#REF!</v>
      </c>
      <c r="F225" s="52" t="e">
        <f>數量表!#REF!</f>
        <v>#REF!</v>
      </c>
      <c r="G225" s="52" t="e">
        <f>COUNTIF(數量表!$E$11:數量表!#REF!,"不計工期")</f>
        <v>#REF!</v>
      </c>
      <c r="H225" s="135" t="e">
        <f>IF(數量表!$B$11="日曆天",$B$4+G225,WORKDAY.INTL($B$4,G225,1))</f>
        <v>#REF!</v>
      </c>
    </row>
    <row r="226" spans="1:8">
      <c r="A226" s="50" t="e">
        <f>數量表!#REF!</f>
        <v>#REF!</v>
      </c>
      <c r="B226" s="51" t="e">
        <f>MAX(0,數量表!#REF!-數量表!#REF!)</f>
        <v>#REF!</v>
      </c>
      <c r="C226" s="51" t="e">
        <f>數量表!#REF!</f>
        <v>#REF!</v>
      </c>
      <c r="D226" s="51" t="e">
        <f>數量表!#REF!</f>
        <v>#REF!</v>
      </c>
      <c r="E226" s="52" t="e">
        <f>數量表!#REF!-數量表!#REF!</f>
        <v>#REF!</v>
      </c>
      <c r="F226" s="52" t="e">
        <f>數量表!#REF!</f>
        <v>#REF!</v>
      </c>
      <c r="G226" s="52" t="e">
        <f>COUNTIF(數量表!$E$11:數量表!#REF!,"不計工期")</f>
        <v>#REF!</v>
      </c>
      <c r="H226" s="135" t="e">
        <f>IF(數量表!$B$11="日曆天",$B$4+G226,WORKDAY.INTL($B$4,G226,1))</f>
        <v>#REF!</v>
      </c>
    </row>
    <row r="227" spans="1:8">
      <c r="A227" s="50" t="e">
        <f>數量表!#REF!</f>
        <v>#REF!</v>
      </c>
      <c r="B227" s="51" t="e">
        <f>MAX(0,數量表!#REF!-數量表!#REF!)</f>
        <v>#REF!</v>
      </c>
      <c r="C227" s="51" t="e">
        <f>數量表!#REF!</f>
        <v>#REF!</v>
      </c>
      <c r="D227" s="51" t="e">
        <f>數量表!#REF!</f>
        <v>#REF!</v>
      </c>
      <c r="E227" s="52" t="e">
        <f>數量表!#REF!-數量表!#REF!</f>
        <v>#REF!</v>
      </c>
      <c r="F227" s="52" t="e">
        <f>數量表!#REF!</f>
        <v>#REF!</v>
      </c>
      <c r="G227" s="52" t="e">
        <f>COUNTIF(數量表!$E$11:數量表!#REF!,"不計工期")</f>
        <v>#REF!</v>
      </c>
      <c r="H227" s="135" t="e">
        <f>IF(數量表!$B$11="日曆天",$B$4+G227,WORKDAY.INTL($B$4,G227,1))</f>
        <v>#REF!</v>
      </c>
    </row>
    <row r="228" spans="1:8">
      <c r="A228" s="50" t="e">
        <f>數量表!#REF!</f>
        <v>#REF!</v>
      </c>
      <c r="B228" s="51" t="e">
        <f>MAX(0,數量表!#REF!-數量表!#REF!)</f>
        <v>#REF!</v>
      </c>
      <c r="C228" s="51" t="e">
        <f>數量表!#REF!</f>
        <v>#REF!</v>
      </c>
      <c r="D228" s="51" t="e">
        <f>數量表!#REF!</f>
        <v>#REF!</v>
      </c>
      <c r="E228" s="52" t="e">
        <f>數量表!#REF!-數量表!#REF!</f>
        <v>#REF!</v>
      </c>
      <c r="F228" s="52" t="e">
        <f>數量表!#REF!</f>
        <v>#REF!</v>
      </c>
      <c r="G228" s="52" t="e">
        <f>COUNTIF(數量表!$E$11:數量表!#REF!,"不計工期")</f>
        <v>#REF!</v>
      </c>
      <c r="H228" s="135" t="e">
        <f>IF(數量表!$B$11="日曆天",$B$4+G228,WORKDAY.INTL($B$4,G228,1))</f>
        <v>#REF!</v>
      </c>
    </row>
    <row r="229" spans="1:8">
      <c r="A229" s="50" t="e">
        <f>數量表!#REF!</f>
        <v>#REF!</v>
      </c>
      <c r="B229" s="51" t="e">
        <f>MAX(0,數量表!#REF!-數量表!#REF!)</f>
        <v>#REF!</v>
      </c>
      <c r="C229" s="51" t="e">
        <f>數量表!#REF!</f>
        <v>#REF!</v>
      </c>
      <c r="D229" s="51" t="e">
        <f>數量表!#REF!</f>
        <v>#REF!</v>
      </c>
      <c r="E229" s="52" t="e">
        <f>數量表!#REF!-數量表!#REF!</f>
        <v>#REF!</v>
      </c>
      <c r="F229" s="52" t="e">
        <f>數量表!#REF!</f>
        <v>#REF!</v>
      </c>
      <c r="G229" s="52" t="e">
        <f>COUNTIF(數量表!$E$11:數量表!#REF!,"不計工期")</f>
        <v>#REF!</v>
      </c>
      <c r="H229" s="135" t="e">
        <f>IF(數量表!$B$11="日曆天",$B$4+G229,WORKDAY.INTL($B$4,G229,1))</f>
        <v>#REF!</v>
      </c>
    </row>
    <row r="230" spans="1:8">
      <c r="A230" s="50" t="e">
        <f>數量表!#REF!</f>
        <v>#REF!</v>
      </c>
      <c r="B230" s="51" t="e">
        <f>MAX(0,數量表!#REF!-數量表!#REF!)</f>
        <v>#REF!</v>
      </c>
      <c r="C230" s="51" t="e">
        <f>數量表!#REF!</f>
        <v>#REF!</v>
      </c>
      <c r="D230" s="51" t="e">
        <f>數量表!#REF!</f>
        <v>#REF!</v>
      </c>
      <c r="E230" s="52" t="e">
        <f>數量表!#REF!-數量表!#REF!</f>
        <v>#REF!</v>
      </c>
      <c r="F230" s="52" t="e">
        <f>數量表!#REF!</f>
        <v>#REF!</v>
      </c>
      <c r="G230" s="52" t="e">
        <f>COUNTIF(數量表!$E$11:數量表!#REF!,"不計工期")</f>
        <v>#REF!</v>
      </c>
      <c r="H230" s="135" t="e">
        <f>IF(數量表!$B$11="日曆天",$B$4+G230,WORKDAY.INTL($B$4,G230,1))</f>
        <v>#REF!</v>
      </c>
    </row>
    <row r="231" spans="1:8">
      <c r="A231" s="50" t="e">
        <f>數量表!#REF!</f>
        <v>#REF!</v>
      </c>
      <c r="B231" s="51" t="e">
        <f>MAX(0,數量表!#REF!-數量表!#REF!)</f>
        <v>#REF!</v>
      </c>
      <c r="C231" s="51" t="e">
        <f>數量表!#REF!</f>
        <v>#REF!</v>
      </c>
      <c r="D231" s="51" t="e">
        <f>數量表!#REF!</f>
        <v>#REF!</v>
      </c>
      <c r="E231" s="52" t="e">
        <f>數量表!#REF!-數量表!#REF!</f>
        <v>#REF!</v>
      </c>
      <c r="F231" s="52" t="e">
        <f>數量表!#REF!</f>
        <v>#REF!</v>
      </c>
      <c r="G231" s="52" t="e">
        <f>COUNTIF(數量表!$E$11:數量表!#REF!,"不計工期")</f>
        <v>#REF!</v>
      </c>
      <c r="H231" s="135" t="e">
        <f>IF(數量表!$B$11="日曆天",$B$4+G231,WORKDAY.INTL($B$4,G231,1))</f>
        <v>#REF!</v>
      </c>
    </row>
    <row r="232" spans="1:8">
      <c r="A232" s="50" t="e">
        <f>數量表!#REF!</f>
        <v>#REF!</v>
      </c>
      <c r="B232" s="51" t="e">
        <f>MAX(0,數量表!#REF!-數量表!#REF!)</f>
        <v>#REF!</v>
      </c>
      <c r="C232" s="51" t="e">
        <f>數量表!#REF!</f>
        <v>#REF!</v>
      </c>
      <c r="D232" s="51" t="e">
        <f>數量表!#REF!</f>
        <v>#REF!</v>
      </c>
      <c r="E232" s="52" t="e">
        <f>數量表!#REF!-數量表!#REF!</f>
        <v>#REF!</v>
      </c>
      <c r="F232" s="52" t="e">
        <f>數量表!#REF!</f>
        <v>#REF!</v>
      </c>
      <c r="G232" s="52" t="e">
        <f>COUNTIF(數量表!$E$11:數量表!#REF!,"不計工期")</f>
        <v>#REF!</v>
      </c>
      <c r="H232" s="135" t="e">
        <f>IF(數量表!$B$11="日曆天",$B$4+G232,WORKDAY.INTL($B$4,G232,1))</f>
        <v>#REF!</v>
      </c>
    </row>
    <row r="233" spans="1:8">
      <c r="A233" s="50" t="e">
        <f>數量表!#REF!</f>
        <v>#REF!</v>
      </c>
      <c r="B233" s="51" t="e">
        <f>MAX(0,數量表!#REF!-數量表!#REF!)</f>
        <v>#REF!</v>
      </c>
      <c r="C233" s="51" t="e">
        <f>數量表!#REF!</f>
        <v>#REF!</v>
      </c>
      <c r="D233" s="51" t="e">
        <f>數量表!#REF!</f>
        <v>#REF!</v>
      </c>
      <c r="E233" s="52" t="e">
        <f>數量表!#REF!-數量表!#REF!</f>
        <v>#REF!</v>
      </c>
      <c r="F233" s="52" t="e">
        <f>數量表!#REF!</f>
        <v>#REF!</v>
      </c>
      <c r="G233" s="52" t="e">
        <f>COUNTIF(數量表!$E$11:數量表!#REF!,"不計工期")</f>
        <v>#REF!</v>
      </c>
      <c r="H233" s="135" t="e">
        <f>IF(數量表!$B$11="日曆天",$B$4+G233,WORKDAY.INTL($B$4,G233,1))</f>
        <v>#REF!</v>
      </c>
    </row>
    <row r="234" spans="1:8">
      <c r="A234" s="50" t="e">
        <f>數量表!#REF!</f>
        <v>#REF!</v>
      </c>
      <c r="B234" s="51" t="e">
        <f>MAX(0,數量表!#REF!-數量表!#REF!)</f>
        <v>#REF!</v>
      </c>
      <c r="C234" s="51" t="e">
        <f>數量表!#REF!</f>
        <v>#REF!</v>
      </c>
      <c r="D234" s="51" t="e">
        <f>數量表!#REF!</f>
        <v>#REF!</v>
      </c>
      <c r="E234" s="52" t="e">
        <f>數量表!#REF!-數量表!#REF!</f>
        <v>#REF!</v>
      </c>
      <c r="F234" s="52" t="e">
        <f>數量表!#REF!</f>
        <v>#REF!</v>
      </c>
      <c r="G234" s="52" t="e">
        <f>COUNTIF(數量表!$E$11:數量表!#REF!,"不計工期")</f>
        <v>#REF!</v>
      </c>
      <c r="H234" s="135" t="e">
        <f>IF(數量表!$B$11="日曆天",$B$4+G234,WORKDAY.INTL($B$4,G234,1))</f>
        <v>#REF!</v>
      </c>
    </row>
    <row r="235" spans="1:8">
      <c r="A235" s="50" t="e">
        <f>數量表!#REF!</f>
        <v>#REF!</v>
      </c>
      <c r="B235" s="51" t="e">
        <f>MAX(0,數量表!#REF!-數量表!#REF!)</f>
        <v>#REF!</v>
      </c>
      <c r="C235" s="51" t="e">
        <f>數量表!#REF!</f>
        <v>#REF!</v>
      </c>
      <c r="D235" s="51" t="e">
        <f>數量表!#REF!</f>
        <v>#REF!</v>
      </c>
      <c r="E235" s="52" t="e">
        <f>數量表!#REF!-數量表!#REF!</f>
        <v>#REF!</v>
      </c>
      <c r="F235" s="52" t="e">
        <f>數量表!#REF!</f>
        <v>#REF!</v>
      </c>
      <c r="G235" s="52" t="e">
        <f>COUNTIF(數量表!$E$11:數量表!#REF!,"不計工期")</f>
        <v>#REF!</v>
      </c>
      <c r="H235" s="135" t="e">
        <f>IF(數量表!$B$11="日曆天",$B$4+G235,WORKDAY.INTL($B$4,G235,1))</f>
        <v>#REF!</v>
      </c>
    </row>
    <row r="236" spans="1:8">
      <c r="A236" s="50" t="e">
        <f>數量表!#REF!</f>
        <v>#REF!</v>
      </c>
      <c r="B236" s="51" t="e">
        <f>MAX(0,數量表!#REF!-數量表!#REF!)</f>
        <v>#REF!</v>
      </c>
      <c r="C236" s="51" t="e">
        <f>數量表!#REF!</f>
        <v>#REF!</v>
      </c>
      <c r="D236" s="51" t="e">
        <f>數量表!#REF!</f>
        <v>#REF!</v>
      </c>
      <c r="E236" s="52" t="e">
        <f>數量表!#REF!-數量表!#REF!</f>
        <v>#REF!</v>
      </c>
      <c r="F236" s="52" t="e">
        <f>數量表!#REF!</f>
        <v>#REF!</v>
      </c>
      <c r="G236" s="52" t="e">
        <f>COUNTIF(數量表!$E$11:數量表!#REF!,"不計工期")</f>
        <v>#REF!</v>
      </c>
      <c r="H236" s="135" t="e">
        <f>IF(數量表!$B$11="日曆天",$B$4+G236,WORKDAY.INTL($B$4,G236,1))</f>
        <v>#REF!</v>
      </c>
    </row>
    <row r="237" spans="1:8">
      <c r="A237" s="50" t="e">
        <f>數量表!#REF!</f>
        <v>#REF!</v>
      </c>
      <c r="B237" s="51" t="e">
        <f>MAX(0,數量表!#REF!-數量表!#REF!)</f>
        <v>#REF!</v>
      </c>
      <c r="C237" s="51" t="e">
        <f>數量表!#REF!</f>
        <v>#REF!</v>
      </c>
      <c r="D237" s="51" t="e">
        <f>數量表!#REF!</f>
        <v>#REF!</v>
      </c>
      <c r="E237" s="52" t="e">
        <f>數量表!#REF!-數量表!#REF!</f>
        <v>#REF!</v>
      </c>
      <c r="F237" s="52" t="e">
        <f>數量表!#REF!</f>
        <v>#REF!</v>
      </c>
      <c r="G237" s="52" t="e">
        <f>COUNTIF(數量表!$E$11:數量表!#REF!,"不計工期")</f>
        <v>#REF!</v>
      </c>
      <c r="H237" s="135" t="e">
        <f>IF(數量表!$B$11="日曆天",$B$4+G237,WORKDAY.INTL($B$4,G237,1))</f>
        <v>#REF!</v>
      </c>
    </row>
    <row r="238" spans="1:8">
      <c r="A238" s="50" t="e">
        <f>數量表!#REF!</f>
        <v>#REF!</v>
      </c>
      <c r="B238" s="51" t="e">
        <f>MAX(0,數量表!#REF!-數量表!#REF!)</f>
        <v>#REF!</v>
      </c>
      <c r="C238" s="51" t="e">
        <f>數量表!#REF!</f>
        <v>#REF!</v>
      </c>
      <c r="D238" s="51" t="e">
        <f>數量表!#REF!</f>
        <v>#REF!</v>
      </c>
      <c r="E238" s="52" t="e">
        <f>數量表!#REF!-數量表!#REF!</f>
        <v>#REF!</v>
      </c>
      <c r="F238" s="52" t="e">
        <f>數量表!#REF!</f>
        <v>#REF!</v>
      </c>
      <c r="G238" s="52" t="e">
        <f>COUNTIF(數量表!$E$11:數量表!#REF!,"不計工期")</f>
        <v>#REF!</v>
      </c>
      <c r="H238" s="135" t="e">
        <f>IF(數量表!$B$11="日曆天",$B$4+G238,WORKDAY.INTL($B$4,G238,1))</f>
        <v>#REF!</v>
      </c>
    </row>
    <row r="239" spans="1:8">
      <c r="A239" s="50" t="e">
        <f>數量表!#REF!</f>
        <v>#REF!</v>
      </c>
      <c r="B239" s="51" t="e">
        <f>MAX(0,數量表!#REF!-數量表!#REF!)</f>
        <v>#REF!</v>
      </c>
      <c r="C239" s="51" t="e">
        <f>數量表!#REF!</f>
        <v>#REF!</v>
      </c>
      <c r="D239" s="51" t="e">
        <f>數量表!#REF!</f>
        <v>#REF!</v>
      </c>
      <c r="E239" s="52" t="e">
        <f>數量表!#REF!-數量表!#REF!</f>
        <v>#REF!</v>
      </c>
      <c r="F239" s="52" t="e">
        <f>數量表!#REF!</f>
        <v>#REF!</v>
      </c>
      <c r="G239" s="52" t="e">
        <f>COUNTIF(數量表!$E$11:數量表!#REF!,"不計工期")</f>
        <v>#REF!</v>
      </c>
      <c r="H239" s="135" t="e">
        <f>IF(數量表!$B$11="日曆天",$B$4+G239,WORKDAY.INTL($B$4,G239,1))</f>
        <v>#REF!</v>
      </c>
    </row>
    <row r="240" spans="1:8">
      <c r="A240" s="50" t="e">
        <f>數量表!#REF!</f>
        <v>#REF!</v>
      </c>
      <c r="B240" s="51" t="e">
        <f>MAX(0,數量表!#REF!-數量表!#REF!)</f>
        <v>#REF!</v>
      </c>
      <c r="C240" s="51" t="e">
        <f>數量表!#REF!</f>
        <v>#REF!</v>
      </c>
      <c r="D240" s="51" t="e">
        <f>數量表!#REF!</f>
        <v>#REF!</v>
      </c>
      <c r="E240" s="52" t="e">
        <f>數量表!#REF!-數量表!#REF!</f>
        <v>#REF!</v>
      </c>
      <c r="F240" s="52" t="e">
        <f>數量表!#REF!</f>
        <v>#REF!</v>
      </c>
      <c r="G240" s="52" t="e">
        <f>COUNTIF(數量表!$E$11:數量表!#REF!,"不計工期")</f>
        <v>#REF!</v>
      </c>
      <c r="H240" s="135" t="e">
        <f>IF(數量表!$B$11="日曆天",$B$4+G240,WORKDAY.INTL($B$4,G240,1))</f>
        <v>#REF!</v>
      </c>
    </row>
    <row r="241" spans="1:8">
      <c r="A241" s="50" t="e">
        <f>數量表!#REF!</f>
        <v>#REF!</v>
      </c>
      <c r="B241" s="51" t="e">
        <f>MAX(0,數量表!#REF!-數量表!#REF!)</f>
        <v>#REF!</v>
      </c>
      <c r="C241" s="51" t="e">
        <f>數量表!#REF!</f>
        <v>#REF!</v>
      </c>
      <c r="D241" s="51" t="e">
        <f>數量表!#REF!</f>
        <v>#REF!</v>
      </c>
      <c r="E241" s="52" t="e">
        <f>數量表!#REF!-數量表!#REF!</f>
        <v>#REF!</v>
      </c>
      <c r="F241" s="52" t="e">
        <f>數量表!#REF!</f>
        <v>#REF!</v>
      </c>
      <c r="G241" s="52" t="e">
        <f>COUNTIF(數量表!$E$11:數量表!#REF!,"不計工期")</f>
        <v>#REF!</v>
      </c>
      <c r="H241" s="135" t="e">
        <f>IF(數量表!$B$11="日曆天",$B$4+G241,WORKDAY.INTL($B$4,G241,1))</f>
        <v>#REF!</v>
      </c>
    </row>
    <row r="242" spans="1:8">
      <c r="A242" s="50" t="e">
        <f>數量表!#REF!</f>
        <v>#REF!</v>
      </c>
      <c r="B242" s="51" t="e">
        <f>MAX(0,數量表!#REF!-數量表!#REF!)</f>
        <v>#REF!</v>
      </c>
      <c r="C242" s="51" t="e">
        <f>數量表!#REF!</f>
        <v>#REF!</v>
      </c>
      <c r="D242" s="51" t="e">
        <f>數量表!#REF!</f>
        <v>#REF!</v>
      </c>
      <c r="E242" s="52" t="e">
        <f>數量表!#REF!-數量表!#REF!</f>
        <v>#REF!</v>
      </c>
      <c r="F242" s="52" t="e">
        <f>數量表!#REF!</f>
        <v>#REF!</v>
      </c>
      <c r="G242" s="52" t="e">
        <f>COUNTIF(數量表!$E$11:數量表!#REF!,"不計工期")</f>
        <v>#REF!</v>
      </c>
      <c r="H242" s="135" t="e">
        <f>IF(數量表!$B$11="日曆天",$B$4+G242,WORKDAY.INTL($B$4,G242,1))</f>
        <v>#REF!</v>
      </c>
    </row>
    <row r="243" spans="1:8">
      <c r="A243" s="50" t="e">
        <f>數量表!#REF!</f>
        <v>#REF!</v>
      </c>
      <c r="B243" s="51" t="e">
        <f>MAX(0,數量表!#REF!-數量表!#REF!)</f>
        <v>#REF!</v>
      </c>
      <c r="C243" s="51" t="e">
        <f>數量表!#REF!</f>
        <v>#REF!</v>
      </c>
      <c r="D243" s="51" t="e">
        <f>數量表!#REF!</f>
        <v>#REF!</v>
      </c>
      <c r="E243" s="52" t="e">
        <f>數量表!#REF!-數量表!#REF!</f>
        <v>#REF!</v>
      </c>
      <c r="F243" s="52" t="e">
        <f>數量表!#REF!</f>
        <v>#REF!</v>
      </c>
      <c r="G243" s="52" t="e">
        <f>COUNTIF(數量表!$E$11:數量表!#REF!,"不計工期")</f>
        <v>#REF!</v>
      </c>
      <c r="H243" s="135" t="e">
        <f>IF(數量表!$B$11="日曆天",$B$4+G243,WORKDAY.INTL($B$4,G243,1))</f>
        <v>#REF!</v>
      </c>
    </row>
    <row r="244" spans="1:8">
      <c r="A244" s="50" t="e">
        <f>數量表!#REF!</f>
        <v>#REF!</v>
      </c>
      <c r="B244" s="51" t="e">
        <f>MAX(0,數量表!#REF!-數量表!#REF!)</f>
        <v>#REF!</v>
      </c>
      <c r="C244" s="51" t="e">
        <f>數量表!#REF!</f>
        <v>#REF!</v>
      </c>
      <c r="D244" s="51" t="e">
        <f>數量表!#REF!</f>
        <v>#REF!</v>
      </c>
      <c r="E244" s="52" t="e">
        <f>數量表!#REF!-數量表!#REF!</f>
        <v>#REF!</v>
      </c>
      <c r="F244" s="52" t="e">
        <f>數量表!#REF!</f>
        <v>#REF!</v>
      </c>
      <c r="G244" s="52" t="e">
        <f>COUNTIF(數量表!$E$11:數量表!#REF!,"不計工期")</f>
        <v>#REF!</v>
      </c>
      <c r="H244" s="135" t="e">
        <f>IF(數量表!$B$11="日曆天",$B$4+G244,WORKDAY.INTL($B$4,G244,1))</f>
        <v>#REF!</v>
      </c>
    </row>
    <row r="245" spans="1:8">
      <c r="A245" s="50" t="e">
        <f>數量表!#REF!</f>
        <v>#REF!</v>
      </c>
      <c r="B245" s="51" t="e">
        <f>MAX(0,數量表!#REF!-數量表!#REF!)</f>
        <v>#REF!</v>
      </c>
      <c r="C245" s="51" t="e">
        <f>數量表!#REF!</f>
        <v>#REF!</v>
      </c>
      <c r="D245" s="51" t="e">
        <f>數量表!#REF!</f>
        <v>#REF!</v>
      </c>
      <c r="E245" s="52" t="e">
        <f>數量表!#REF!-數量表!#REF!</f>
        <v>#REF!</v>
      </c>
      <c r="F245" s="52" t="e">
        <f>數量表!#REF!</f>
        <v>#REF!</v>
      </c>
      <c r="G245" s="52" t="e">
        <f>COUNTIF(數量表!$E$11:數量表!#REF!,"不計工期")</f>
        <v>#REF!</v>
      </c>
      <c r="H245" s="135" t="e">
        <f>IF(數量表!$B$11="日曆天",$B$4+G245,WORKDAY.INTL($B$4,G245,1))</f>
        <v>#REF!</v>
      </c>
    </row>
    <row r="246" spans="1:8">
      <c r="A246" s="50" t="e">
        <f>數量表!#REF!</f>
        <v>#REF!</v>
      </c>
      <c r="B246" s="51" t="e">
        <f>MAX(0,數量表!#REF!-數量表!#REF!)</f>
        <v>#REF!</v>
      </c>
      <c r="C246" s="51" t="e">
        <f>數量表!#REF!</f>
        <v>#REF!</v>
      </c>
      <c r="D246" s="51" t="e">
        <f>數量表!#REF!</f>
        <v>#REF!</v>
      </c>
      <c r="E246" s="52" t="e">
        <f>數量表!#REF!-數量表!#REF!</f>
        <v>#REF!</v>
      </c>
      <c r="F246" s="52" t="e">
        <f>數量表!#REF!</f>
        <v>#REF!</v>
      </c>
      <c r="G246" s="52" t="e">
        <f>COUNTIF(數量表!$E$11:數量表!#REF!,"不計工期")</f>
        <v>#REF!</v>
      </c>
      <c r="H246" s="135" t="e">
        <f>IF(數量表!$B$11="日曆天",$B$4+G246,WORKDAY.INTL($B$4,G246,1))</f>
        <v>#REF!</v>
      </c>
    </row>
    <row r="247" spans="1:8">
      <c r="A247" s="50" t="e">
        <f>數量表!#REF!</f>
        <v>#REF!</v>
      </c>
      <c r="B247" s="51" t="e">
        <f>MAX(0,數量表!#REF!-數量表!#REF!)</f>
        <v>#REF!</v>
      </c>
      <c r="C247" s="51" t="e">
        <f>數量表!#REF!</f>
        <v>#REF!</v>
      </c>
      <c r="D247" s="51" t="e">
        <f>數量表!#REF!</f>
        <v>#REF!</v>
      </c>
      <c r="E247" s="52" t="e">
        <f>數量表!#REF!-數量表!#REF!</f>
        <v>#REF!</v>
      </c>
      <c r="F247" s="52" t="e">
        <f>數量表!#REF!</f>
        <v>#REF!</v>
      </c>
      <c r="G247" s="52" t="e">
        <f>COUNTIF(數量表!$E$11:數量表!#REF!,"不計工期")</f>
        <v>#REF!</v>
      </c>
      <c r="H247" s="135" t="e">
        <f>IF(數量表!$B$11="日曆天",$B$4+G247,WORKDAY.INTL($B$4,G247,1))</f>
        <v>#REF!</v>
      </c>
    </row>
    <row r="248" spans="1:8">
      <c r="A248" s="50" t="e">
        <f>數量表!#REF!</f>
        <v>#REF!</v>
      </c>
      <c r="B248" s="51" t="e">
        <f>MAX(0,數量表!#REF!-數量表!#REF!)</f>
        <v>#REF!</v>
      </c>
      <c r="C248" s="51" t="e">
        <f>數量表!#REF!</f>
        <v>#REF!</v>
      </c>
      <c r="D248" s="51" t="e">
        <f>數量表!#REF!</f>
        <v>#REF!</v>
      </c>
      <c r="E248" s="52" t="e">
        <f>數量表!#REF!-數量表!#REF!</f>
        <v>#REF!</v>
      </c>
      <c r="F248" s="52" t="e">
        <f>數量表!#REF!</f>
        <v>#REF!</v>
      </c>
      <c r="G248" s="52" t="e">
        <f>COUNTIF(數量表!$E$11:數量表!#REF!,"不計工期")</f>
        <v>#REF!</v>
      </c>
      <c r="H248" s="135" t="e">
        <f>IF(數量表!$B$11="日曆天",$B$4+G248,WORKDAY.INTL($B$4,G248,1))</f>
        <v>#REF!</v>
      </c>
    </row>
    <row r="249" spans="1:8">
      <c r="A249" s="50" t="e">
        <f>數量表!#REF!</f>
        <v>#REF!</v>
      </c>
      <c r="B249" s="51" t="e">
        <f>MAX(0,數量表!#REF!-數量表!#REF!)</f>
        <v>#REF!</v>
      </c>
      <c r="C249" s="51" t="e">
        <f>數量表!#REF!</f>
        <v>#REF!</v>
      </c>
      <c r="D249" s="51" t="e">
        <f>數量表!#REF!</f>
        <v>#REF!</v>
      </c>
      <c r="E249" s="52" t="e">
        <f>數量表!#REF!-數量表!#REF!</f>
        <v>#REF!</v>
      </c>
      <c r="F249" s="52" t="e">
        <f>數量表!#REF!</f>
        <v>#REF!</v>
      </c>
      <c r="G249" s="52" t="e">
        <f>COUNTIF(數量表!$E$11:數量表!#REF!,"不計工期")</f>
        <v>#REF!</v>
      </c>
      <c r="H249" s="135" t="e">
        <f>IF(數量表!$B$11="日曆天",$B$4+G249,WORKDAY.INTL($B$4,G249,1))</f>
        <v>#REF!</v>
      </c>
    </row>
    <row r="250" spans="1:8">
      <c r="A250" s="50" t="e">
        <f>數量表!#REF!</f>
        <v>#REF!</v>
      </c>
      <c r="B250" s="51" t="e">
        <f>MAX(0,數量表!#REF!-數量表!#REF!)</f>
        <v>#REF!</v>
      </c>
      <c r="C250" s="51" t="e">
        <f>數量表!#REF!</f>
        <v>#REF!</v>
      </c>
      <c r="D250" s="51" t="e">
        <f>數量表!#REF!</f>
        <v>#REF!</v>
      </c>
      <c r="E250" s="52" t="e">
        <f>數量表!#REF!-數量表!#REF!</f>
        <v>#REF!</v>
      </c>
      <c r="F250" s="52" t="e">
        <f>數量表!#REF!</f>
        <v>#REF!</v>
      </c>
      <c r="G250" s="52" t="e">
        <f>COUNTIF(數量表!$E$11:數量表!#REF!,"不計工期")</f>
        <v>#REF!</v>
      </c>
      <c r="H250" s="135" t="e">
        <f>IF(數量表!$B$11="日曆天",$B$4+G250,WORKDAY.INTL($B$4,G250,1))</f>
        <v>#REF!</v>
      </c>
    </row>
    <row r="251" spans="1:8">
      <c r="A251" s="50" t="e">
        <f>數量表!#REF!</f>
        <v>#REF!</v>
      </c>
      <c r="B251" s="51" t="e">
        <f>MAX(0,數量表!#REF!-數量表!#REF!)</f>
        <v>#REF!</v>
      </c>
      <c r="C251" s="51" t="e">
        <f>數量表!#REF!</f>
        <v>#REF!</v>
      </c>
      <c r="D251" s="51" t="e">
        <f>數量表!#REF!</f>
        <v>#REF!</v>
      </c>
      <c r="E251" s="52" t="e">
        <f>數量表!#REF!-數量表!#REF!</f>
        <v>#REF!</v>
      </c>
      <c r="F251" s="52" t="e">
        <f>數量表!#REF!</f>
        <v>#REF!</v>
      </c>
      <c r="G251" s="52" t="e">
        <f>COUNTIF(數量表!$E$11:數量表!#REF!,"不計工期")</f>
        <v>#REF!</v>
      </c>
      <c r="H251" s="135" t="e">
        <f>IF(數量表!$B$11="日曆天",$B$4+G251,WORKDAY.INTL($B$4,G251,1))</f>
        <v>#REF!</v>
      </c>
    </row>
    <row r="252" spans="1:8">
      <c r="A252" s="50" t="e">
        <f>數量表!#REF!</f>
        <v>#REF!</v>
      </c>
      <c r="B252" s="51" t="e">
        <f>MAX(0,數量表!#REF!-數量表!#REF!)</f>
        <v>#REF!</v>
      </c>
      <c r="C252" s="51" t="e">
        <f>數量表!#REF!</f>
        <v>#REF!</v>
      </c>
      <c r="D252" s="51" t="e">
        <f>數量表!#REF!</f>
        <v>#REF!</v>
      </c>
      <c r="E252" s="52" t="e">
        <f>數量表!#REF!-數量表!#REF!</f>
        <v>#REF!</v>
      </c>
      <c r="F252" s="52" t="e">
        <f>數量表!#REF!</f>
        <v>#REF!</v>
      </c>
      <c r="G252" s="52" t="e">
        <f>COUNTIF(數量表!$E$11:數量表!#REF!,"不計工期")</f>
        <v>#REF!</v>
      </c>
      <c r="H252" s="135" t="e">
        <f>IF(數量表!$B$11="日曆天",$B$4+G252,WORKDAY.INTL($B$4,G252,1))</f>
        <v>#REF!</v>
      </c>
    </row>
    <row r="253" spans="1:8">
      <c r="A253" s="50" t="e">
        <f>數量表!#REF!</f>
        <v>#REF!</v>
      </c>
      <c r="B253" s="51" t="e">
        <f>MAX(0,數量表!#REF!-數量表!#REF!)</f>
        <v>#REF!</v>
      </c>
      <c r="C253" s="51" t="e">
        <f>數量表!#REF!</f>
        <v>#REF!</v>
      </c>
      <c r="D253" s="51" t="e">
        <f>數量表!#REF!</f>
        <v>#REF!</v>
      </c>
      <c r="E253" s="52" t="e">
        <f>數量表!#REF!-數量表!#REF!</f>
        <v>#REF!</v>
      </c>
      <c r="F253" s="52" t="e">
        <f>數量表!#REF!</f>
        <v>#REF!</v>
      </c>
      <c r="G253" s="52" t="e">
        <f>COUNTIF(數量表!$E$11:數量表!#REF!,"不計工期")</f>
        <v>#REF!</v>
      </c>
      <c r="H253" s="135" t="e">
        <f>IF(數量表!$B$11="日曆天",$B$4+G253,WORKDAY.INTL($B$4,G253,1))</f>
        <v>#REF!</v>
      </c>
    </row>
    <row r="254" spans="1:8">
      <c r="A254" s="50" t="e">
        <f>數量表!#REF!</f>
        <v>#REF!</v>
      </c>
      <c r="B254" s="51" t="e">
        <f>MAX(0,數量表!#REF!-數量表!#REF!)</f>
        <v>#REF!</v>
      </c>
      <c r="C254" s="51" t="e">
        <f>數量表!#REF!</f>
        <v>#REF!</v>
      </c>
      <c r="D254" s="51" t="e">
        <f>數量表!#REF!</f>
        <v>#REF!</v>
      </c>
      <c r="E254" s="52" t="e">
        <f>數量表!#REF!-數量表!#REF!</f>
        <v>#REF!</v>
      </c>
      <c r="F254" s="52" t="e">
        <f>數量表!#REF!</f>
        <v>#REF!</v>
      </c>
      <c r="G254" s="52" t="e">
        <f>COUNTIF(數量表!$E$11:數量表!#REF!,"不計工期")</f>
        <v>#REF!</v>
      </c>
      <c r="H254" s="135" t="e">
        <f>IF(數量表!$B$11="日曆天",$B$4+G254,WORKDAY.INTL($B$4,G254,1))</f>
        <v>#REF!</v>
      </c>
    </row>
    <row r="255" spans="1:8">
      <c r="A255" s="50" t="e">
        <f>數量表!#REF!</f>
        <v>#REF!</v>
      </c>
      <c r="B255" s="51" t="e">
        <f>MAX(0,數量表!#REF!-數量表!#REF!)</f>
        <v>#REF!</v>
      </c>
      <c r="C255" s="51" t="e">
        <f>數量表!#REF!</f>
        <v>#REF!</v>
      </c>
      <c r="D255" s="51" t="e">
        <f>數量表!#REF!</f>
        <v>#REF!</v>
      </c>
      <c r="E255" s="52" t="e">
        <f>數量表!#REF!-數量表!#REF!</f>
        <v>#REF!</v>
      </c>
      <c r="F255" s="52" t="e">
        <f>數量表!#REF!</f>
        <v>#REF!</v>
      </c>
      <c r="G255" s="52" t="e">
        <f>COUNTIF(數量表!$E$11:數量表!#REF!,"不計工期")</f>
        <v>#REF!</v>
      </c>
      <c r="H255" s="135" t="e">
        <f>IF(數量表!$B$11="日曆天",$B$4+G255,WORKDAY.INTL($B$4,G255,1))</f>
        <v>#REF!</v>
      </c>
    </row>
    <row r="256" spans="1:8">
      <c r="A256" s="50" t="e">
        <f>數量表!#REF!</f>
        <v>#REF!</v>
      </c>
      <c r="B256" s="51" t="e">
        <f>MAX(0,數量表!#REF!-數量表!#REF!)</f>
        <v>#REF!</v>
      </c>
      <c r="C256" s="51" t="e">
        <f>數量表!#REF!</f>
        <v>#REF!</v>
      </c>
      <c r="D256" s="51" t="e">
        <f>數量表!#REF!</f>
        <v>#REF!</v>
      </c>
      <c r="E256" s="52" t="e">
        <f>數量表!#REF!-數量表!#REF!</f>
        <v>#REF!</v>
      </c>
      <c r="F256" s="52" t="e">
        <f>數量表!#REF!</f>
        <v>#REF!</v>
      </c>
      <c r="G256" s="52" t="e">
        <f>COUNTIF(數量表!$E$11:數量表!#REF!,"不計工期")</f>
        <v>#REF!</v>
      </c>
      <c r="H256" s="135" t="e">
        <f>IF(數量表!$B$11="日曆天",$B$4+G256,WORKDAY.INTL($B$4,G256,1))</f>
        <v>#REF!</v>
      </c>
    </row>
    <row r="257" spans="1:8">
      <c r="A257" s="50" t="e">
        <f>數量表!#REF!</f>
        <v>#REF!</v>
      </c>
      <c r="B257" s="51" t="e">
        <f>MAX(0,數量表!#REF!-數量表!#REF!)</f>
        <v>#REF!</v>
      </c>
      <c r="C257" s="51" t="e">
        <f>數量表!#REF!</f>
        <v>#REF!</v>
      </c>
      <c r="D257" s="51" t="e">
        <f>數量表!#REF!</f>
        <v>#REF!</v>
      </c>
      <c r="E257" s="52" t="e">
        <f>數量表!#REF!-數量表!#REF!</f>
        <v>#REF!</v>
      </c>
      <c r="F257" s="52" t="e">
        <f>數量表!#REF!</f>
        <v>#REF!</v>
      </c>
      <c r="G257" s="52" t="e">
        <f>COUNTIF(數量表!$E$11:數量表!#REF!,"不計工期")</f>
        <v>#REF!</v>
      </c>
      <c r="H257" s="135" t="e">
        <f>IF(數量表!$B$11="日曆天",$B$4+G257,WORKDAY.INTL($B$4,G257,1))</f>
        <v>#REF!</v>
      </c>
    </row>
    <row r="258" spans="1:8">
      <c r="A258" s="50" t="e">
        <f>數量表!#REF!</f>
        <v>#REF!</v>
      </c>
      <c r="B258" s="51" t="e">
        <f>MAX(0,數量表!#REF!-數量表!#REF!)</f>
        <v>#REF!</v>
      </c>
      <c r="C258" s="51" t="e">
        <f>數量表!#REF!</f>
        <v>#REF!</v>
      </c>
      <c r="D258" s="51" t="e">
        <f>數量表!#REF!</f>
        <v>#REF!</v>
      </c>
      <c r="E258" s="52" t="e">
        <f>數量表!#REF!-數量表!#REF!</f>
        <v>#REF!</v>
      </c>
      <c r="F258" s="52" t="e">
        <f>數量表!#REF!</f>
        <v>#REF!</v>
      </c>
      <c r="G258" s="52" t="e">
        <f>COUNTIF(數量表!$E$11:數量表!#REF!,"不計工期")</f>
        <v>#REF!</v>
      </c>
      <c r="H258" s="135" t="e">
        <f>IF(數量表!$B$11="日曆天",$B$4+G258,WORKDAY.INTL($B$4,G258,1))</f>
        <v>#REF!</v>
      </c>
    </row>
    <row r="259" spans="1:8">
      <c r="A259" s="50" t="e">
        <f>數量表!#REF!</f>
        <v>#REF!</v>
      </c>
      <c r="B259" s="51" t="e">
        <f>MAX(0,數量表!#REF!-數量表!#REF!)</f>
        <v>#REF!</v>
      </c>
      <c r="C259" s="51" t="e">
        <f>數量表!#REF!</f>
        <v>#REF!</v>
      </c>
      <c r="D259" s="51" t="e">
        <f>數量表!#REF!</f>
        <v>#REF!</v>
      </c>
      <c r="E259" s="52" t="e">
        <f>數量表!#REF!-數量表!#REF!</f>
        <v>#REF!</v>
      </c>
      <c r="F259" s="52" t="e">
        <f>數量表!#REF!</f>
        <v>#REF!</v>
      </c>
      <c r="G259" s="52" t="e">
        <f>COUNTIF(數量表!$E$11:數量表!#REF!,"不計工期")</f>
        <v>#REF!</v>
      </c>
      <c r="H259" s="135" t="e">
        <f>IF(數量表!$B$11="日曆天",$B$4+G259,WORKDAY.INTL($B$4,G259,1))</f>
        <v>#REF!</v>
      </c>
    </row>
    <row r="260" spans="1:8">
      <c r="A260" s="50" t="e">
        <f>數量表!#REF!</f>
        <v>#REF!</v>
      </c>
      <c r="B260" s="51" t="e">
        <f>MAX(0,數量表!#REF!-數量表!#REF!)</f>
        <v>#REF!</v>
      </c>
      <c r="C260" s="51" t="e">
        <f>數量表!#REF!</f>
        <v>#REF!</v>
      </c>
      <c r="D260" s="51" t="e">
        <f>數量表!#REF!</f>
        <v>#REF!</v>
      </c>
      <c r="E260" s="52" t="e">
        <f>數量表!#REF!-數量表!#REF!</f>
        <v>#REF!</v>
      </c>
      <c r="F260" s="52" t="e">
        <f>數量表!#REF!</f>
        <v>#REF!</v>
      </c>
      <c r="G260" s="52" t="e">
        <f>COUNTIF(數量表!$E$11:數量表!#REF!,"不計工期")</f>
        <v>#REF!</v>
      </c>
      <c r="H260" s="135" t="e">
        <f>IF(數量表!$B$11="日曆天",$B$4+G260,WORKDAY.INTL($B$4,G260,1))</f>
        <v>#REF!</v>
      </c>
    </row>
    <row r="261" spans="1:8">
      <c r="A261" s="50" t="e">
        <f>數量表!#REF!</f>
        <v>#REF!</v>
      </c>
      <c r="B261" s="51" t="e">
        <f>MAX(0,數量表!#REF!-數量表!#REF!)</f>
        <v>#REF!</v>
      </c>
      <c r="C261" s="51" t="e">
        <f>數量表!#REF!</f>
        <v>#REF!</v>
      </c>
      <c r="D261" s="51" t="e">
        <f>數量表!#REF!</f>
        <v>#REF!</v>
      </c>
      <c r="E261" s="52" t="e">
        <f>數量表!#REF!-數量表!#REF!</f>
        <v>#REF!</v>
      </c>
      <c r="F261" s="52" t="e">
        <f>數量表!#REF!</f>
        <v>#REF!</v>
      </c>
      <c r="G261" s="52" t="e">
        <f>COUNTIF(數量表!$E$11:數量表!#REF!,"不計工期")</f>
        <v>#REF!</v>
      </c>
      <c r="H261" s="135" t="e">
        <f>IF(數量表!$B$11="日曆天",$B$4+G261,WORKDAY.INTL($B$4,G261,1))</f>
        <v>#REF!</v>
      </c>
    </row>
    <row r="262" spans="1:8">
      <c r="A262" s="50" t="e">
        <f>數量表!#REF!</f>
        <v>#REF!</v>
      </c>
      <c r="B262" s="51" t="e">
        <f>MAX(0,數量表!#REF!-數量表!#REF!)</f>
        <v>#REF!</v>
      </c>
      <c r="C262" s="51" t="e">
        <f>數量表!#REF!</f>
        <v>#REF!</v>
      </c>
      <c r="D262" s="51" t="e">
        <f>數量表!#REF!</f>
        <v>#REF!</v>
      </c>
      <c r="E262" s="52" t="e">
        <f>數量表!#REF!-數量表!#REF!</f>
        <v>#REF!</v>
      </c>
      <c r="F262" s="52" t="e">
        <f>數量表!#REF!</f>
        <v>#REF!</v>
      </c>
      <c r="G262" s="52" t="e">
        <f>COUNTIF(數量表!$E$11:數量表!#REF!,"不計工期")</f>
        <v>#REF!</v>
      </c>
      <c r="H262" s="135" t="e">
        <f>IF(數量表!$B$11="日曆天",$B$4+G262,WORKDAY.INTL($B$4,G262,1))</f>
        <v>#REF!</v>
      </c>
    </row>
    <row r="263" spans="1:8">
      <c r="A263" s="50" t="e">
        <f>數量表!#REF!</f>
        <v>#REF!</v>
      </c>
      <c r="B263" s="51" t="e">
        <f>MAX(0,數量表!#REF!-數量表!#REF!)</f>
        <v>#REF!</v>
      </c>
      <c r="C263" s="51" t="e">
        <f>數量表!#REF!</f>
        <v>#REF!</v>
      </c>
      <c r="D263" s="51" t="e">
        <f>數量表!#REF!</f>
        <v>#REF!</v>
      </c>
      <c r="E263" s="52" t="e">
        <f>數量表!#REF!-數量表!#REF!</f>
        <v>#REF!</v>
      </c>
      <c r="F263" s="52" t="e">
        <f>數量表!#REF!</f>
        <v>#REF!</v>
      </c>
      <c r="G263" s="52" t="e">
        <f>COUNTIF(數量表!$E$11:數量表!#REF!,"不計工期")</f>
        <v>#REF!</v>
      </c>
      <c r="H263" s="135" t="e">
        <f>IF(數量表!$B$11="日曆天",$B$4+G263,WORKDAY.INTL($B$4,G263,1))</f>
        <v>#REF!</v>
      </c>
    </row>
    <row r="264" spans="1:8">
      <c r="A264" s="50" t="e">
        <f>數量表!#REF!</f>
        <v>#REF!</v>
      </c>
      <c r="B264" s="51" t="e">
        <f>MAX(0,數量表!#REF!-數量表!#REF!)</f>
        <v>#REF!</v>
      </c>
      <c r="C264" s="51" t="e">
        <f>數量表!#REF!</f>
        <v>#REF!</v>
      </c>
      <c r="D264" s="51" t="e">
        <f>數量表!#REF!</f>
        <v>#REF!</v>
      </c>
      <c r="E264" s="52" t="e">
        <f>數量表!#REF!-數量表!#REF!</f>
        <v>#REF!</v>
      </c>
      <c r="F264" s="52" t="e">
        <f>數量表!#REF!</f>
        <v>#REF!</v>
      </c>
      <c r="G264" s="52" t="e">
        <f>COUNTIF(數量表!$E$11:數量表!#REF!,"不計工期")</f>
        <v>#REF!</v>
      </c>
      <c r="H264" s="135" t="e">
        <f>IF(數量表!$B$11="日曆天",$B$4+G264,WORKDAY.INTL($B$4,G264,1))</f>
        <v>#REF!</v>
      </c>
    </row>
    <row r="265" spans="1:8">
      <c r="A265" s="50" t="e">
        <f>數量表!#REF!</f>
        <v>#REF!</v>
      </c>
      <c r="B265" s="51" t="e">
        <f>MAX(0,數量表!#REF!-數量表!#REF!)</f>
        <v>#REF!</v>
      </c>
      <c r="C265" s="51" t="e">
        <f>數量表!#REF!</f>
        <v>#REF!</v>
      </c>
      <c r="D265" s="51" t="e">
        <f>數量表!#REF!</f>
        <v>#REF!</v>
      </c>
      <c r="E265" s="52" t="e">
        <f>數量表!#REF!-數量表!#REF!</f>
        <v>#REF!</v>
      </c>
      <c r="F265" s="52" t="e">
        <f>數量表!#REF!</f>
        <v>#REF!</v>
      </c>
      <c r="G265" s="52" t="e">
        <f>COUNTIF(數量表!$E$11:數量表!#REF!,"不計工期")</f>
        <v>#REF!</v>
      </c>
      <c r="H265" s="135" t="e">
        <f>IF(數量表!$B$11="日曆天",$B$4+G265,WORKDAY.INTL($B$4,G265,1))</f>
        <v>#REF!</v>
      </c>
    </row>
    <row r="266" spans="1:8">
      <c r="A266" s="50" t="e">
        <f>數量表!#REF!</f>
        <v>#REF!</v>
      </c>
      <c r="B266" s="51" t="e">
        <f>MAX(0,數量表!#REF!-數量表!#REF!)</f>
        <v>#REF!</v>
      </c>
      <c r="C266" s="51" t="e">
        <f>數量表!#REF!</f>
        <v>#REF!</v>
      </c>
      <c r="D266" s="51" t="e">
        <f>數量表!#REF!</f>
        <v>#REF!</v>
      </c>
      <c r="E266" s="52" t="e">
        <f>數量表!#REF!-數量表!#REF!</f>
        <v>#REF!</v>
      </c>
      <c r="F266" s="52" t="e">
        <f>數量表!#REF!</f>
        <v>#REF!</v>
      </c>
      <c r="G266" s="52" t="e">
        <f>COUNTIF(數量表!$E$11:數量表!#REF!,"不計工期")</f>
        <v>#REF!</v>
      </c>
      <c r="H266" s="135" t="e">
        <f>IF(數量表!$B$11="日曆天",$B$4+G266,WORKDAY.INTL($B$4,G266,1))</f>
        <v>#REF!</v>
      </c>
    </row>
    <row r="267" spans="1:8">
      <c r="A267" s="50" t="e">
        <f>數量表!#REF!</f>
        <v>#REF!</v>
      </c>
      <c r="B267" s="51" t="e">
        <f>MAX(0,數量表!#REF!-數量表!#REF!)</f>
        <v>#REF!</v>
      </c>
      <c r="C267" s="51" t="e">
        <f>數量表!#REF!</f>
        <v>#REF!</v>
      </c>
      <c r="D267" s="51" t="e">
        <f>數量表!#REF!</f>
        <v>#REF!</v>
      </c>
      <c r="E267" s="52" t="e">
        <f>數量表!#REF!-數量表!#REF!</f>
        <v>#REF!</v>
      </c>
      <c r="F267" s="52" t="e">
        <f>數量表!#REF!</f>
        <v>#REF!</v>
      </c>
      <c r="G267" s="52" t="e">
        <f>COUNTIF(數量表!$E$11:數量表!#REF!,"不計工期")</f>
        <v>#REF!</v>
      </c>
      <c r="H267" s="135" t="e">
        <f>IF(數量表!$B$11="日曆天",$B$4+G267,WORKDAY.INTL($B$4,G267,1))</f>
        <v>#REF!</v>
      </c>
    </row>
    <row r="268" spans="1:8">
      <c r="A268" s="50" t="e">
        <f>數量表!#REF!</f>
        <v>#REF!</v>
      </c>
      <c r="B268" s="51" t="e">
        <f>MAX(0,數量表!#REF!-數量表!#REF!)</f>
        <v>#REF!</v>
      </c>
      <c r="C268" s="51" t="e">
        <f>數量表!#REF!</f>
        <v>#REF!</v>
      </c>
      <c r="D268" s="51" t="e">
        <f>數量表!#REF!</f>
        <v>#REF!</v>
      </c>
      <c r="E268" s="52" t="e">
        <f>數量表!#REF!-數量表!#REF!</f>
        <v>#REF!</v>
      </c>
      <c r="F268" s="52" t="e">
        <f>數量表!#REF!</f>
        <v>#REF!</v>
      </c>
      <c r="G268" s="52" t="e">
        <f>COUNTIF(數量表!$E$11:數量表!#REF!,"不計工期")</f>
        <v>#REF!</v>
      </c>
      <c r="H268" s="135" t="e">
        <f>IF(數量表!$B$11="日曆天",$B$4+G268,WORKDAY.INTL($B$4,G268,1))</f>
        <v>#REF!</v>
      </c>
    </row>
    <row r="269" spans="1:8">
      <c r="A269" s="50" t="e">
        <f>數量表!#REF!</f>
        <v>#REF!</v>
      </c>
      <c r="B269" s="51" t="e">
        <f>MAX(0,數量表!#REF!-數量表!#REF!)</f>
        <v>#REF!</v>
      </c>
      <c r="C269" s="51" t="e">
        <f>數量表!#REF!</f>
        <v>#REF!</v>
      </c>
      <c r="D269" s="51" t="e">
        <f>數量表!#REF!</f>
        <v>#REF!</v>
      </c>
      <c r="E269" s="52" t="e">
        <f>數量表!#REF!-數量表!#REF!</f>
        <v>#REF!</v>
      </c>
      <c r="F269" s="52" t="e">
        <f>數量表!#REF!</f>
        <v>#REF!</v>
      </c>
      <c r="G269" s="52" t="e">
        <f>COUNTIF(數量表!$E$11:數量表!#REF!,"不計工期")</f>
        <v>#REF!</v>
      </c>
      <c r="H269" s="135" t="e">
        <f>IF(數量表!$B$11="日曆天",$B$4+G269,WORKDAY.INTL($B$4,G269,1))</f>
        <v>#REF!</v>
      </c>
    </row>
    <row r="270" spans="1:8">
      <c r="A270" s="50" t="e">
        <f>數量表!#REF!</f>
        <v>#REF!</v>
      </c>
      <c r="B270" s="51" t="e">
        <f>MAX(0,數量表!#REF!-數量表!#REF!)</f>
        <v>#REF!</v>
      </c>
      <c r="C270" s="51" t="e">
        <f>數量表!#REF!</f>
        <v>#REF!</v>
      </c>
      <c r="D270" s="51" t="e">
        <f>數量表!#REF!</f>
        <v>#REF!</v>
      </c>
      <c r="E270" s="52" t="e">
        <f>數量表!#REF!-數量表!#REF!</f>
        <v>#REF!</v>
      </c>
      <c r="F270" s="52" t="e">
        <f>數量表!#REF!</f>
        <v>#REF!</v>
      </c>
      <c r="G270" s="52" t="e">
        <f>COUNTIF(數量表!$E$11:數量表!#REF!,"不計工期")</f>
        <v>#REF!</v>
      </c>
      <c r="H270" s="135" t="e">
        <f>IF(數量表!$B$11="日曆天",$B$4+G270,WORKDAY.INTL($B$4,G270,1))</f>
        <v>#REF!</v>
      </c>
    </row>
    <row r="271" spans="1:8">
      <c r="A271" s="50" t="e">
        <f>數量表!#REF!</f>
        <v>#REF!</v>
      </c>
      <c r="B271" s="51" t="e">
        <f>MAX(0,數量表!#REF!-數量表!#REF!)</f>
        <v>#REF!</v>
      </c>
      <c r="C271" s="51" t="e">
        <f>數量表!#REF!</f>
        <v>#REF!</v>
      </c>
      <c r="D271" s="51" t="e">
        <f>數量表!#REF!</f>
        <v>#REF!</v>
      </c>
      <c r="E271" s="52" t="e">
        <f>數量表!#REF!-數量表!#REF!</f>
        <v>#REF!</v>
      </c>
      <c r="F271" s="52" t="e">
        <f>數量表!#REF!</f>
        <v>#REF!</v>
      </c>
      <c r="G271" s="52" t="e">
        <f>COUNTIF(數量表!$E$11:數量表!#REF!,"不計工期")</f>
        <v>#REF!</v>
      </c>
      <c r="H271" s="135" t="e">
        <f>IF(數量表!$B$11="日曆天",$B$4+G271,WORKDAY.INTL($B$4,G271,1))</f>
        <v>#REF!</v>
      </c>
    </row>
    <row r="272" spans="1:8">
      <c r="A272" s="50" t="e">
        <f>數量表!#REF!</f>
        <v>#REF!</v>
      </c>
      <c r="B272" s="51" t="e">
        <f>MAX(0,數量表!#REF!-數量表!#REF!)</f>
        <v>#REF!</v>
      </c>
      <c r="C272" s="51" t="e">
        <f>數量表!#REF!</f>
        <v>#REF!</v>
      </c>
      <c r="D272" s="51" t="e">
        <f>數量表!#REF!</f>
        <v>#REF!</v>
      </c>
      <c r="E272" s="52" t="e">
        <f>數量表!#REF!-數量表!#REF!</f>
        <v>#REF!</v>
      </c>
      <c r="F272" s="52" t="e">
        <f>數量表!#REF!</f>
        <v>#REF!</v>
      </c>
      <c r="G272" s="52" t="e">
        <f>COUNTIF(數量表!$E$11:數量表!#REF!,"不計工期")</f>
        <v>#REF!</v>
      </c>
      <c r="H272" s="135" t="e">
        <f>IF(數量表!$B$11="日曆天",$B$4+G272,WORKDAY.INTL($B$4,G272,1))</f>
        <v>#REF!</v>
      </c>
    </row>
    <row r="273" spans="1:8">
      <c r="A273" s="50" t="e">
        <f>數量表!#REF!</f>
        <v>#REF!</v>
      </c>
      <c r="B273" s="51" t="e">
        <f>MAX(0,數量表!#REF!-數量表!#REF!)</f>
        <v>#REF!</v>
      </c>
      <c r="C273" s="51" t="e">
        <f>數量表!#REF!</f>
        <v>#REF!</v>
      </c>
      <c r="D273" s="51" t="e">
        <f>數量表!#REF!</f>
        <v>#REF!</v>
      </c>
      <c r="E273" s="52" t="e">
        <f>數量表!#REF!-數量表!#REF!</f>
        <v>#REF!</v>
      </c>
      <c r="F273" s="52" t="e">
        <f>數量表!#REF!</f>
        <v>#REF!</v>
      </c>
      <c r="G273" s="52" t="e">
        <f>COUNTIF(數量表!$E$11:數量表!#REF!,"不計工期")</f>
        <v>#REF!</v>
      </c>
      <c r="H273" s="135" t="e">
        <f>IF(數量表!$B$11="日曆天",$B$4+G273,WORKDAY.INTL($B$4,G273,1))</f>
        <v>#REF!</v>
      </c>
    </row>
    <row r="274" spans="1:8">
      <c r="A274" s="50" t="e">
        <f>數量表!#REF!</f>
        <v>#REF!</v>
      </c>
      <c r="B274" s="51" t="e">
        <f>MAX(0,數量表!#REF!-數量表!#REF!)</f>
        <v>#REF!</v>
      </c>
      <c r="C274" s="51" t="e">
        <f>數量表!#REF!</f>
        <v>#REF!</v>
      </c>
      <c r="D274" s="51" t="e">
        <f>數量表!#REF!</f>
        <v>#REF!</v>
      </c>
      <c r="E274" s="52" t="e">
        <f>數量表!#REF!-數量表!#REF!</f>
        <v>#REF!</v>
      </c>
      <c r="F274" s="52" t="e">
        <f>數量表!#REF!</f>
        <v>#REF!</v>
      </c>
      <c r="G274" s="52" t="e">
        <f>COUNTIF(數量表!$E$11:數量表!#REF!,"不計工期")</f>
        <v>#REF!</v>
      </c>
      <c r="H274" s="135" t="e">
        <f>IF(數量表!$B$11="日曆天",$B$4+G274,WORKDAY.INTL($B$4,G274,1))</f>
        <v>#REF!</v>
      </c>
    </row>
    <row r="275" spans="1:8">
      <c r="A275" s="50" t="e">
        <f>數量表!#REF!</f>
        <v>#REF!</v>
      </c>
      <c r="B275" s="51" t="e">
        <f>MAX(0,數量表!#REF!-數量表!#REF!)</f>
        <v>#REF!</v>
      </c>
      <c r="C275" s="51" t="e">
        <f>數量表!#REF!</f>
        <v>#REF!</v>
      </c>
      <c r="D275" s="51" t="e">
        <f>數量表!#REF!</f>
        <v>#REF!</v>
      </c>
      <c r="E275" s="52" t="e">
        <f>數量表!#REF!-數量表!#REF!</f>
        <v>#REF!</v>
      </c>
      <c r="F275" s="52" t="e">
        <f>數量表!#REF!</f>
        <v>#REF!</v>
      </c>
      <c r="G275" s="52" t="e">
        <f>COUNTIF(數量表!$E$11:數量表!#REF!,"不計工期")</f>
        <v>#REF!</v>
      </c>
      <c r="H275" s="135" t="e">
        <f>IF(數量表!$B$11="日曆天",$B$4+G275,WORKDAY.INTL($B$4,G275,1))</f>
        <v>#REF!</v>
      </c>
    </row>
    <row r="276" spans="1:8">
      <c r="A276" s="50" t="e">
        <f>數量表!#REF!</f>
        <v>#REF!</v>
      </c>
      <c r="B276" s="51" t="e">
        <f>MAX(0,數量表!#REF!-數量表!#REF!)</f>
        <v>#REF!</v>
      </c>
      <c r="C276" s="51" t="e">
        <f>數量表!#REF!</f>
        <v>#REF!</v>
      </c>
      <c r="D276" s="51" t="e">
        <f>數量表!#REF!</f>
        <v>#REF!</v>
      </c>
      <c r="E276" s="52" t="e">
        <f>數量表!#REF!-數量表!#REF!</f>
        <v>#REF!</v>
      </c>
      <c r="F276" s="52" t="e">
        <f>數量表!#REF!</f>
        <v>#REF!</v>
      </c>
      <c r="G276" s="52" t="e">
        <f>COUNTIF(數量表!$E$11:數量表!#REF!,"不計工期")</f>
        <v>#REF!</v>
      </c>
      <c r="H276" s="135" t="e">
        <f>IF(數量表!$B$11="日曆天",$B$4+G276,WORKDAY.INTL($B$4,G276,1))</f>
        <v>#REF!</v>
      </c>
    </row>
    <row r="277" spans="1:8">
      <c r="A277" s="50" t="e">
        <f>數量表!#REF!</f>
        <v>#REF!</v>
      </c>
      <c r="B277" s="51" t="e">
        <f>MAX(0,數量表!#REF!-數量表!#REF!)</f>
        <v>#REF!</v>
      </c>
      <c r="C277" s="51" t="e">
        <f>數量表!#REF!</f>
        <v>#REF!</v>
      </c>
      <c r="D277" s="51" t="e">
        <f>數量表!#REF!</f>
        <v>#REF!</v>
      </c>
      <c r="E277" s="52" t="e">
        <f>數量表!#REF!-數量表!#REF!</f>
        <v>#REF!</v>
      </c>
      <c r="F277" s="52" t="e">
        <f>數量表!#REF!</f>
        <v>#REF!</v>
      </c>
      <c r="G277" s="52" t="e">
        <f>COUNTIF(數量表!$E$11:數量表!#REF!,"不計工期")</f>
        <v>#REF!</v>
      </c>
      <c r="H277" s="135" t="e">
        <f>IF(數量表!$B$11="日曆天",$B$4+G277,WORKDAY.INTL($B$4,G277,1))</f>
        <v>#REF!</v>
      </c>
    </row>
    <row r="278" spans="1:8">
      <c r="A278" s="50" t="e">
        <f>數量表!#REF!</f>
        <v>#REF!</v>
      </c>
      <c r="B278" s="51" t="e">
        <f>MAX(0,數量表!#REF!-數量表!#REF!)</f>
        <v>#REF!</v>
      </c>
      <c r="C278" s="51" t="e">
        <f>數量表!#REF!</f>
        <v>#REF!</v>
      </c>
      <c r="D278" s="51" t="e">
        <f>數量表!#REF!</f>
        <v>#REF!</v>
      </c>
      <c r="E278" s="52" t="e">
        <f>數量表!#REF!-數量表!#REF!</f>
        <v>#REF!</v>
      </c>
      <c r="F278" s="52" t="e">
        <f>數量表!#REF!</f>
        <v>#REF!</v>
      </c>
      <c r="G278" s="52" t="e">
        <f>COUNTIF(數量表!$E$11:數量表!#REF!,"不計工期")</f>
        <v>#REF!</v>
      </c>
      <c r="H278" s="135" t="e">
        <f>IF(數量表!$B$11="日曆天",$B$4+G278,WORKDAY.INTL($B$4,G278,1))</f>
        <v>#REF!</v>
      </c>
    </row>
    <row r="279" spans="1:8">
      <c r="A279" s="50" t="e">
        <f>數量表!#REF!</f>
        <v>#REF!</v>
      </c>
      <c r="B279" s="51" t="e">
        <f>MAX(0,數量表!#REF!-數量表!#REF!)</f>
        <v>#REF!</v>
      </c>
      <c r="C279" s="51" t="e">
        <f>數量表!#REF!</f>
        <v>#REF!</v>
      </c>
      <c r="D279" s="51" t="e">
        <f>數量表!#REF!</f>
        <v>#REF!</v>
      </c>
      <c r="E279" s="52" t="e">
        <f>數量表!#REF!-數量表!#REF!</f>
        <v>#REF!</v>
      </c>
      <c r="F279" s="52" t="e">
        <f>數量表!#REF!</f>
        <v>#REF!</v>
      </c>
      <c r="G279" s="52" t="e">
        <f>COUNTIF(數量表!$E$11:數量表!#REF!,"不計工期")</f>
        <v>#REF!</v>
      </c>
      <c r="H279" s="135" t="e">
        <f>IF(數量表!$B$11="日曆天",$B$4+G279,WORKDAY.INTL($B$4,G279,1))</f>
        <v>#REF!</v>
      </c>
    </row>
    <row r="280" spans="1:8">
      <c r="A280" s="50" t="e">
        <f>數量表!#REF!</f>
        <v>#REF!</v>
      </c>
      <c r="B280" s="51" t="e">
        <f>MAX(0,數量表!#REF!-數量表!#REF!)</f>
        <v>#REF!</v>
      </c>
      <c r="C280" s="51" t="e">
        <f>數量表!#REF!</f>
        <v>#REF!</v>
      </c>
      <c r="D280" s="51" t="e">
        <f>數量表!#REF!</f>
        <v>#REF!</v>
      </c>
      <c r="E280" s="52" t="e">
        <f>數量表!#REF!-數量表!#REF!</f>
        <v>#REF!</v>
      </c>
      <c r="F280" s="52" t="e">
        <f>數量表!#REF!</f>
        <v>#REF!</v>
      </c>
      <c r="G280" s="52" t="e">
        <f>COUNTIF(數量表!$E$11:數量表!#REF!,"不計工期")</f>
        <v>#REF!</v>
      </c>
      <c r="H280" s="135" t="e">
        <f>IF(數量表!$B$11="日曆天",$B$4+G280,WORKDAY.INTL($B$4,G280,1))</f>
        <v>#REF!</v>
      </c>
    </row>
    <row r="281" spans="1:8">
      <c r="A281" s="50" t="e">
        <f>數量表!#REF!</f>
        <v>#REF!</v>
      </c>
      <c r="B281" s="51" t="e">
        <f>MAX(0,數量表!#REF!-數量表!#REF!)</f>
        <v>#REF!</v>
      </c>
      <c r="C281" s="51" t="e">
        <f>數量表!#REF!</f>
        <v>#REF!</v>
      </c>
      <c r="D281" s="51" t="e">
        <f>數量表!#REF!</f>
        <v>#REF!</v>
      </c>
      <c r="E281" s="52" t="e">
        <f>數量表!#REF!-數量表!#REF!</f>
        <v>#REF!</v>
      </c>
      <c r="F281" s="52" t="e">
        <f>數量表!#REF!</f>
        <v>#REF!</v>
      </c>
      <c r="G281" s="52" t="e">
        <f>COUNTIF(數量表!$E$11:數量表!#REF!,"不計工期")</f>
        <v>#REF!</v>
      </c>
      <c r="H281" s="135" t="e">
        <f>IF(數量表!$B$11="日曆天",$B$4+G281,WORKDAY.INTL($B$4,G281,1))</f>
        <v>#REF!</v>
      </c>
    </row>
    <row r="282" spans="1:8">
      <c r="A282" s="50" t="e">
        <f>數量表!#REF!</f>
        <v>#REF!</v>
      </c>
      <c r="B282" s="51" t="e">
        <f>MAX(0,數量表!#REF!-數量表!#REF!)</f>
        <v>#REF!</v>
      </c>
      <c r="C282" s="51" t="e">
        <f>數量表!#REF!</f>
        <v>#REF!</v>
      </c>
      <c r="D282" s="51" t="e">
        <f>數量表!#REF!</f>
        <v>#REF!</v>
      </c>
      <c r="E282" s="52" t="e">
        <f>數量表!#REF!-數量表!#REF!</f>
        <v>#REF!</v>
      </c>
      <c r="F282" s="52" t="e">
        <f>數量表!#REF!</f>
        <v>#REF!</v>
      </c>
      <c r="G282" s="52" t="e">
        <f>COUNTIF(數量表!$E$11:數量表!#REF!,"不計工期")</f>
        <v>#REF!</v>
      </c>
      <c r="H282" s="135" t="e">
        <f>IF(數量表!$B$11="日曆天",$B$4+G282,WORKDAY.INTL($B$4,G282,1))</f>
        <v>#REF!</v>
      </c>
    </row>
    <row r="283" spans="1:8">
      <c r="A283" s="50" t="e">
        <f>數量表!#REF!</f>
        <v>#REF!</v>
      </c>
      <c r="B283" s="51" t="e">
        <f>MAX(0,數量表!#REF!-數量表!#REF!)</f>
        <v>#REF!</v>
      </c>
      <c r="C283" s="51" t="e">
        <f>數量表!#REF!</f>
        <v>#REF!</v>
      </c>
      <c r="D283" s="51" t="e">
        <f>數量表!#REF!</f>
        <v>#REF!</v>
      </c>
      <c r="E283" s="52" t="e">
        <f>數量表!#REF!-數量表!#REF!</f>
        <v>#REF!</v>
      </c>
      <c r="F283" s="52" t="e">
        <f>數量表!#REF!</f>
        <v>#REF!</v>
      </c>
      <c r="G283" s="52" t="e">
        <f>COUNTIF(數量表!$E$11:數量表!#REF!,"不計工期")</f>
        <v>#REF!</v>
      </c>
      <c r="H283" s="135" t="e">
        <f>IF(數量表!$B$11="日曆天",$B$4+G283,WORKDAY.INTL($B$4,G283,1))</f>
        <v>#REF!</v>
      </c>
    </row>
    <row r="284" spans="1:8">
      <c r="A284" s="50" t="e">
        <f>數量表!#REF!</f>
        <v>#REF!</v>
      </c>
      <c r="B284" s="51" t="e">
        <f>MAX(0,數量表!#REF!-數量表!#REF!)</f>
        <v>#REF!</v>
      </c>
      <c r="C284" s="51" t="e">
        <f>數量表!#REF!</f>
        <v>#REF!</v>
      </c>
      <c r="D284" s="51" t="e">
        <f>數量表!#REF!</f>
        <v>#REF!</v>
      </c>
      <c r="E284" s="52" t="e">
        <f>數量表!#REF!-數量表!#REF!</f>
        <v>#REF!</v>
      </c>
      <c r="F284" s="52" t="e">
        <f>數量表!#REF!</f>
        <v>#REF!</v>
      </c>
      <c r="G284" s="52" t="e">
        <f>COUNTIF(數量表!$E$11:數量表!#REF!,"不計工期")</f>
        <v>#REF!</v>
      </c>
      <c r="H284" s="135" t="e">
        <f>IF(數量表!$B$11="日曆天",$B$4+G284,WORKDAY.INTL($B$4,G284,1))</f>
        <v>#REF!</v>
      </c>
    </row>
    <row r="285" spans="1:8">
      <c r="A285" s="50" t="e">
        <f>數量表!#REF!</f>
        <v>#REF!</v>
      </c>
      <c r="B285" s="51" t="e">
        <f>MAX(0,數量表!#REF!-數量表!#REF!)</f>
        <v>#REF!</v>
      </c>
      <c r="C285" s="51" t="e">
        <f>數量表!#REF!</f>
        <v>#REF!</v>
      </c>
      <c r="D285" s="51" t="e">
        <f>數量表!#REF!</f>
        <v>#REF!</v>
      </c>
      <c r="E285" s="52" t="e">
        <f>數量表!#REF!-數量表!#REF!</f>
        <v>#REF!</v>
      </c>
      <c r="F285" s="52" t="e">
        <f>數量表!#REF!</f>
        <v>#REF!</v>
      </c>
      <c r="G285" s="52" t="e">
        <f>COUNTIF(數量表!$E$11:數量表!#REF!,"不計工期")</f>
        <v>#REF!</v>
      </c>
      <c r="H285" s="135" t="e">
        <f>IF(數量表!$B$11="日曆天",$B$4+G285,WORKDAY.INTL($B$4,G285,1))</f>
        <v>#REF!</v>
      </c>
    </row>
    <row r="286" spans="1:8">
      <c r="A286" s="50" t="e">
        <f>數量表!#REF!</f>
        <v>#REF!</v>
      </c>
      <c r="B286" s="51" t="e">
        <f>MAX(0,數量表!#REF!-數量表!#REF!)</f>
        <v>#REF!</v>
      </c>
      <c r="C286" s="51" t="e">
        <f>數量表!#REF!</f>
        <v>#REF!</v>
      </c>
      <c r="D286" s="51" t="e">
        <f>數量表!#REF!</f>
        <v>#REF!</v>
      </c>
      <c r="E286" s="52" t="e">
        <f>數量表!#REF!-數量表!#REF!</f>
        <v>#REF!</v>
      </c>
      <c r="F286" s="52" t="e">
        <f>數量表!#REF!</f>
        <v>#REF!</v>
      </c>
      <c r="G286" s="52" t="e">
        <f>COUNTIF(數量表!$E$11:數量表!#REF!,"不計工期")</f>
        <v>#REF!</v>
      </c>
      <c r="H286" s="135" t="e">
        <f>IF(數量表!$B$11="日曆天",$B$4+G286,WORKDAY.INTL($B$4,G286,1))</f>
        <v>#REF!</v>
      </c>
    </row>
    <row r="287" spans="1:8">
      <c r="A287" s="50" t="e">
        <f>數量表!#REF!</f>
        <v>#REF!</v>
      </c>
      <c r="B287" s="51" t="e">
        <f>MAX(0,數量表!#REF!-數量表!#REF!)</f>
        <v>#REF!</v>
      </c>
      <c r="C287" s="51" t="e">
        <f>數量表!#REF!</f>
        <v>#REF!</v>
      </c>
      <c r="D287" s="51" t="e">
        <f>數量表!#REF!</f>
        <v>#REF!</v>
      </c>
      <c r="E287" s="52" t="e">
        <f>數量表!#REF!-數量表!#REF!</f>
        <v>#REF!</v>
      </c>
      <c r="F287" s="52" t="e">
        <f>數量表!#REF!</f>
        <v>#REF!</v>
      </c>
      <c r="G287" s="52" t="e">
        <f>COUNTIF(數量表!$E$11:數量表!#REF!,"不計工期")</f>
        <v>#REF!</v>
      </c>
      <c r="H287" s="135" t="e">
        <f>IF(數量表!$B$11="日曆天",$B$4+G287,WORKDAY.INTL($B$4,G287,1))</f>
        <v>#REF!</v>
      </c>
    </row>
    <row r="288" spans="1:8">
      <c r="A288" s="50" t="e">
        <f>數量表!#REF!</f>
        <v>#REF!</v>
      </c>
      <c r="B288" s="51" t="e">
        <f>MAX(0,數量表!#REF!-數量表!#REF!)</f>
        <v>#REF!</v>
      </c>
      <c r="C288" s="51" t="e">
        <f>數量表!#REF!</f>
        <v>#REF!</v>
      </c>
      <c r="D288" s="51" t="e">
        <f>數量表!#REF!</f>
        <v>#REF!</v>
      </c>
      <c r="E288" s="52" t="e">
        <f>數量表!#REF!-數量表!#REF!</f>
        <v>#REF!</v>
      </c>
      <c r="F288" s="52" t="e">
        <f>數量表!#REF!</f>
        <v>#REF!</v>
      </c>
      <c r="G288" s="52" t="e">
        <f>COUNTIF(數量表!$E$11:數量表!#REF!,"不計工期")</f>
        <v>#REF!</v>
      </c>
      <c r="H288" s="135" t="e">
        <f>IF(數量表!$B$11="日曆天",$B$4+G288,WORKDAY.INTL($B$4,G288,1))</f>
        <v>#REF!</v>
      </c>
    </row>
    <row r="289" spans="1:8">
      <c r="A289" s="50" t="e">
        <f>數量表!#REF!</f>
        <v>#REF!</v>
      </c>
      <c r="B289" s="51" t="e">
        <f>MAX(0,數量表!#REF!-數量表!#REF!)</f>
        <v>#REF!</v>
      </c>
      <c r="C289" s="51" t="e">
        <f>數量表!#REF!</f>
        <v>#REF!</v>
      </c>
      <c r="D289" s="51" t="e">
        <f>數量表!#REF!</f>
        <v>#REF!</v>
      </c>
      <c r="E289" s="52" t="e">
        <f>數量表!#REF!-數量表!#REF!</f>
        <v>#REF!</v>
      </c>
      <c r="F289" s="52" t="e">
        <f>數量表!#REF!</f>
        <v>#REF!</v>
      </c>
      <c r="G289" s="52" t="e">
        <f>COUNTIF(數量表!$E$11:數量表!#REF!,"不計工期")</f>
        <v>#REF!</v>
      </c>
      <c r="H289" s="135" t="e">
        <f>IF(數量表!$B$11="日曆天",$B$4+G289,WORKDAY.INTL($B$4,G289,1))</f>
        <v>#REF!</v>
      </c>
    </row>
    <row r="290" spans="1:8">
      <c r="A290" s="50" t="e">
        <f>數量表!#REF!</f>
        <v>#REF!</v>
      </c>
      <c r="B290" s="51" t="e">
        <f>MAX(0,數量表!#REF!-數量表!#REF!)</f>
        <v>#REF!</v>
      </c>
      <c r="C290" s="51" t="e">
        <f>數量表!#REF!</f>
        <v>#REF!</v>
      </c>
      <c r="D290" s="51" t="e">
        <f>數量表!#REF!</f>
        <v>#REF!</v>
      </c>
      <c r="E290" s="52" t="e">
        <f>數量表!#REF!-數量表!#REF!</f>
        <v>#REF!</v>
      </c>
      <c r="F290" s="52" t="e">
        <f>數量表!#REF!</f>
        <v>#REF!</v>
      </c>
      <c r="G290" s="52" t="e">
        <f>COUNTIF(數量表!$E$11:數量表!#REF!,"不計工期")</f>
        <v>#REF!</v>
      </c>
      <c r="H290" s="135" t="e">
        <f>IF(數量表!$B$11="日曆天",$B$4+G290,WORKDAY.INTL($B$4,G290,1))</f>
        <v>#REF!</v>
      </c>
    </row>
    <row r="291" spans="1:8">
      <c r="A291" s="50" t="e">
        <f>數量表!#REF!</f>
        <v>#REF!</v>
      </c>
      <c r="B291" s="51" t="e">
        <f>MAX(0,數量表!#REF!-數量表!#REF!)</f>
        <v>#REF!</v>
      </c>
      <c r="C291" s="51" t="e">
        <f>數量表!#REF!</f>
        <v>#REF!</v>
      </c>
      <c r="D291" s="51" t="e">
        <f>數量表!#REF!</f>
        <v>#REF!</v>
      </c>
      <c r="E291" s="52" t="e">
        <f>數量表!#REF!-數量表!#REF!</f>
        <v>#REF!</v>
      </c>
      <c r="F291" s="52" t="e">
        <f>數量表!#REF!</f>
        <v>#REF!</v>
      </c>
      <c r="G291" s="52" t="e">
        <f>COUNTIF(數量表!$E$11:數量表!#REF!,"不計工期")</f>
        <v>#REF!</v>
      </c>
      <c r="H291" s="135" t="e">
        <f>IF(數量表!$B$11="日曆天",$B$4+G291,WORKDAY.INTL($B$4,G291,1))</f>
        <v>#REF!</v>
      </c>
    </row>
    <row r="292" spans="1:8">
      <c r="A292" s="50" t="e">
        <f>數量表!#REF!</f>
        <v>#REF!</v>
      </c>
      <c r="B292" s="51" t="e">
        <f>MAX(0,數量表!#REF!-數量表!#REF!)</f>
        <v>#REF!</v>
      </c>
      <c r="C292" s="51" t="e">
        <f>數量表!#REF!</f>
        <v>#REF!</v>
      </c>
      <c r="D292" s="51" t="e">
        <f>數量表!#REF!</f>
        <v>#REF!</v>
      </c>
      <c r="E292" s="52" t="e">
        <f>數量表!#REF!-數量表!#REF!</f>
        <v>#REF!</v>
      </c>
      <c r="F292" s="52" t="e">
        <f>數量表!#REF!</f>
        <v>#REF!</v>
      </c>
      <c r="G292" s="52" t="e">
        <f>COUNTIF(數量表!$E$11:數量表!#REF!,"不計工期")</f>
        <v>#REF!</v>
      </c>
      <c r="H292" s="135" t="e">
        <f>IF(數量表!$B$11="日曆天",$B$4+G292,WORKDAY.INTL($B$4,G292,1))</f>
        <v>#REF!</v>
      </c>
    </row>
    <row r="293" spans="1:8">
      <c r="A293" s="50" t="e">
        <f>數量表!#REF!</f>
        <v>#REF!</v>
      </c>
      <c r="B293" s="51" t="e">
        <f>MAX(0,數量表!#REF!-數量表!#REF!)</f>
        <v>#REF!</v>
      </c>
      <c r="C293" s="51" t="e">
        <f>數量表!#REF!</f>
        <v>#REF!</v>
      </c>
      <c r="D293" s="51" t="e">
        <f>數量表!#REF!</f>
        <v>#REF!</v>
      </c>
      <c r="E293" s="52" t="e">
        <f>數量表!#REF!-數量表!#REF!</f>
        <v>#REF!</v>
      </c>
      <c r="F293" s="52" t="e">
        <f>數量表!#REF!</f>
        <v>#REF!</v>
      </c>
      <c r="G293" s="52" t="e">
        <f>COUNTIF(數量表!$E$11:數量表!#REF!,"不計工期")</f>
        <v>#REF!</v>
      </c>
      <c r="H293" s="135" t="e">
        <f>IF(數量表!$B$11="日曆天",$B$4+G293,WORKDAY.INTL($B$4,G293,1))</f>
        <v>#REF!</v>
      </c>
    </row>
    <row r="294" spans="1:8">
      <c r="A294" s="50" t="e">
        <f>數量表!#REF!</f>
        <v>#REF!</v>
      </c>
      <c r="B294" s="51" t="e">
        <f>MAX(0,數量表!#REF!-數量表!#REF!)</f>
        <v>#REF!</v>
      </c>
      <c r="C294" s="51" t="e">
        <f>數量表!#REF!</f>
        <v>#REF!</v>
      </c>
      <c r="D294" s="51" t="e">
        <f>數量表!#REF!</f>
        <v>#REF!</v>
      </c>
      <c r="E294" s="52" t="e">
        <f>數量表!#REF!-數量表!#REF!</f>
        <v>#REF!</v>
      </c>
      <c r="F294" s="52" t="e">
        <f>數量表!#REF!</f>
        <v>#REF!</v>
      </c>
      <c r="G294" s="52" t="e">
        <f>COUNTIF(數量表!$E$11:數量表!#REF!,"不計工期")</f>
        <v>#REF!</v>
      </c>
      <c r="H294" s="135" t="e">
        <f>IF(數量表!$B$11="日曆天",$B$4+G294,WORKDAY.INTL($B$4,G294,1))</f>
        <v>#REF!</v>
      </c>
    </row>
    <row r="295" spans="1:8">
      <c r="A295" s="50" t="e">
        <f>數量表!#REF!</f>
        <v>#REF!</v>
      </c>
      <c r="B295" s="51" t="e">
        <f>MAX(0,數量表!#REF!-數量表!#REF!)</f>
        <v>#REF!</v>
      </c>
      <c r="C295" s="51" t="e">
        <f>數量表!#REF!</f>
        <v>#REF!</v>
      </c>
      <c r="D295" s="51" t="e">
        <f>數量表!#REF!</f>
        <v>#REF!</v>
      </c>
      <c r="E295" s="52" t="e">
        <f>數量表!#REF!-數量表!#REF!</f>
        <v>#REF!</v>
      </c>
      <c r="F295" s="52" t="e">
        <f>數量表!#REF!</f>
        <v>#REF!</v>
      </c>
      <c r="G295" s="52" t="e">
        <f>COUNTIF(數量表!$E$11:數量表!#REF!,"不計工期")</f>
        <v>#REF!</v>
      </c>
      <c r="H295" s="135" t="e">
        <f>IF(數量表!$B$11="日曆天",$B$4+G295,WORKDAY.INTL($B$4,G295,1))</f>
        <v>#REF!</v>
      </c>
    </row>
    <row r="296" spans="1:8">
      <c r="A296" s="50" t="e">
        <f>數量表!#REF!</f>
        <v>#REF!</v>
      </c>
      <c r="B296" s="51" t="e">
        <f>MAX(0,數量表!#REF!-數量表!#REF!)</f>
        <v>#REF!</v>
      </c>
      <c r="C296" s="51" t="e">
        <f>數量表!#REF!</f>
        <v>#REF!</v>
      </c>
      <c r="D296" s="51" t="e">
        <f>數量表!#REF!</f>
        <v>#REF!</v>
      </c>
      <c r="E296" s="52" t="e">
        <f>數量表!#REF!-數量表!#REF!</f>
        <v>#REF!</v>
      </c>
      <c r="F296" s="52" t="e">
        <f>數量表!#REF!</f>
        <v>#REF!</v>
      </c>
      <c r="G296" s="52" t="e">
        <f>COUNTIF(數量表!$E$11:數量表!#REF!,"不計工期")</f>
        <v>#REF!</v>
      </c>
      <c r="H296" s="135" t="e">
        <f>IF(數量表!$B$11="日曆天",$B$4+G296,WORKDAY.INTL($B$4,G296,1))</f>
        <v>#REF!</v>
      </c>
    </row>
    <row r="297" spans="1:8">
      <c r="A297" s="50" t="e">
        <f>數量表!#REF!</f>
        <v>#REF!</v>
      </c>
      <c r="B297" s="51" t="e">
        <f>MAX(0,數量表!#REF!-數量表!#REF!)</f>
        <v>#REF!</v>
      </c>
      <c r="C297" s="51" t="e">
        <f>數量表!#REF!</f>
        <v>#REF!</v>
      </c>
      <c r="D297" s="51" t="e">
        <f>數量表!#REF!</f>
        <v>#REF!</v>
      </c>
      <c r="E297" s="52" t="e">
        <f>數量表!#REF!-數量表!#REF!</f>
        <v>#REF!</v>
      </c>
      <c r="F297" s="52" t="e">
        <f>數量表!#REF!</f>
        <v>#REF!</v>
      </c>
      <c r="G297" s="52" t="e">
        <f>COUNTIF(數量表!$E$11:數量表!#REF!,"不計工期")</f>
        <v>#REF!</v>
      </c>
      <c r="H297" s="135" t="e">
        <f>IF(數量表!$B$11="日曆天",$B$4+G297,WORKDAY.INTL($B$4,G297,1))</f>
        <v>#REF!</v>
      </c>
    </row>
    <row r="298" spans="1:8">
      <c r="A298" s="50" t="e">
        <f>數量表!#REF!</f>
        <v>#REF!</v>
      </c>
      <c r="B298" s="51" t="e">
        <f>MAX(0,數量表!#REF!-數量表!#REF!)</f>
        <v>#REF!</v>
      </c>
      <c r="C298" s="51" t="e">
        <f>數量表!#REF!</f>
        <v>#REF!</v>
      </c>
      <c r="D298" s="51" t="e">
        <f>數量表!#REF!</f>
        <v>#REF!</v>
      </c>
      <c r="E298" s="52" t="e">
        <f>數量表!#REF!-數量表!#REF!</f>
        <v>#REF!</v>
      </c>
      <c r="F298" s="52" t="e">
        <f>數量表!#REF!</f>
        <v>#REF!</v>
      </c>
      <c r="G298" s="52" t="e">
        <f>COUNTIF(數量表!$E$11:數量表!#REF!,"不計工期")</f>
        <v>#REF!</v>
      </c>
      <c r="H298" s="135" t="e">
        <f>IF(數量表!$B$11="日曆天",$B$4+G298,WORKDAY.INTL($B$4,G298,1))</f>
        <v>#REF!</v>
      </c>
    </row>
    <row r="299" spans="1:8">
      <c r="A299" s="50" t="e">
        <f>數量表!#REF!</f>
        <v>#REF!</v>
      </c>
      <c r="B299" s="51" t="e">
        <f>MAX(0,數量表!#REF!-數量表!#REF!)</f>
        <v>#REF!</v>
      </c>
      <c r="C299" s="51" t="e">
        <f>數量表!#REF!</f>
        <v>#REF!</v>
      </c>
      <c r="D299" s="51" t="e">
        <f>數量表!#REF!</f>
        <v>#REF!</v>
      </c>
      <c r="E299" s="52" t="e">
        <f>數量表!#REF!-數量表!#REF!</f>
        <v>#REF!</v>
      </c>
      <c r="F299" s="52" t="e">
        <f>數量表!#REF!</f>
        <v>#REF!</v>
      </c>
      <c r="G299" s="52" t="e">
        <f>COUNTIF(數量表!$E$11:數量表!#REF!,"不計工期")</f>
        <v>#REF!</v>
      </c>
      <c r="H299" s="135" t="e">
        <f>IF(數量表!$B$11="日曆天",$B$4+G299,WORKDAY.INTL($B$4,G299,1))</f>
        <v>#REF!</v>
      </c>
    </row>
    <row r="300" spans="1:8">
      <c r="A300" s="50" t="e">
        <f>數量表!#REF!</f>
        <v>#REF!</v>
      </c>
      <c r="B300" s="51" t="e">
        <f>MAX(0,數量表!#REF!-數量表!#REF!)</f>
        <v>#REF!</v>
      </c>
      <c r="C300" s="51" t="e">
        <f>數量表!#REF!</f>
        <v>#REF!</v>
      </c>
      <c r="D300" s="51" t="e">
        <f>數量表!#REF!</f>
        <v>#REF!</v>
      </c>
      <c r="E300" s="52" t="e">
        <f>數量表!#REF!-數量表!#REF!</f>
        <v>#REF!</v>
      </c>
      <c r="F300" s="52" t="e">
        <f>數量表!#REF!</f>
        <v>#REF!</v>
      </c>
      <c r="G300" s="52" t="e">
        <f>COUNTIF(數量表!$E$11:數量表!#REF!,"不計工期")</f>
        <v>#REF!</v>
      </c>
      <c r="H300" s="135" t="e">
        <f>IF(數量表!$B$11="日曆天",$B$4+G300,WORKDAY.INTL($B$4,G300,1))</f>
        <v>#REF!</v>
      </c>
    </row>
    <row r="301" spans="1:8">
      <c r="A301" s="50" t="e">
        <f>數量表!#REF!</f>
        <v>#REF!</v>
      </c>
      <c r="B301" s="51" t="e">
        <f>MAX(0,數量表!#REF!-數量表!#REF!)</f>
        <v>#REF!</v>
      </c>
      <c r="C301" s="51" t="e">
        <f>數量表!#REF!</f>
        <v>#REF!</v>
      </c>
      <c r="D301" s="51" t="e">
        <f>數量表!#REF!</f>
        <v>#REF!</v>
      </c>
      <c r="E301" s="52" t="e">
        <f>數量表!#REF!-數量表!#REF!</f>
        <v>#REF!</v>
      </c>
      <c r="F301" s="52" t="e">
        <f>數量表!#REF!</f>
        <v>#REF!</v>
      </c>
      <c r="G301" s="52" t="e">
        <f>COUNTIF(數量表!$E$11:數量表!#REF!,"不計工期")</f>
        <v>#REF!</v>
      </c>
      <c r="H301" s="135" t="e">
        <f>IF(數量表!$B$11="日曆天",$B$4+G301,WORKDAY.INTL($B$4,G301,1))</f>
        <v>#REF!</v>
      </c>
    </row>
    <row r="302" spans="1:8">
      <c r="A302" s="50" t="e">
        <f>數量表!#REF!</f>
        <v>#REF!</v>
      </c>
      <c r="B302" s="51" t="e">
        <f>MAX(0,數量表!#REF!-數量表!#REF!)</f>
        <v>#REF!</v>
      </c>
      <c r="C302" s="51" t="e">
        <f>數量表!#REF!</f>
        <v>#REF!</v>
      </c>
      <c r="D302" s="51" t="e">
        <f>數量表!#REF!</f>
        <v>#REF!</v>
      </c>
      <c r="E302" s="52" t="e">
        <f>數量表!#REF!-數量表!#REF!</f>
        <v>#REF!</v>
      </c>
      <c r="F302" s="52" t="e">
        <f>數量表!#REF!</f>
        <v>#REF!</v>
      </c>
      <c r="G302" s="52" t="e">
        <f>COUNTIF(數量表!$E$11:數量表!#REF!,"不計工期")</f>
        <v>#REF!</v>
      </c>
      <c r="H302" s="135" t="e">
        <f>IF(數量表!$B$11="日曆天",$B$4+G302,WORKDAY.INTL($B$4,G302,1))</f>
        <v>#REF!</v>
      </c>
    </row>
    <row r="303" spans="1:8">
      <c r="A303" s="50" t="e">
        <f>數量表!#REF!</f>
        <v>#REF!</v>
      </c>
      <c r="B303" s="51" t="e">
        <f>MAX(0,數量表!#REF!-數量表!#REF!)</f>
        <v>#REF!</v>
      </c>
      <c r="C303" s="51" t="e">
        <f>數量表!#REF!</f>
        <v>#REF!</v>
      </c>
      <c r="D303" s="51" t="e">
        <f>數量表!#REF!</f>
        <v>#REF!</v>
      </c>
      <c r="E303" s="52" t="e">
        <f>數量表!#REF!-數量表!#REF!</f>
        <v>#REF!</v>
      </c>
      <c r="F303" s="52" t="e">
        <f>數量表!#REF!</f>
        <v>#REF!</v>
      </c>
      <c r="G303" s="52" t="e">
        <f>COUNTIF(數量表!$E$11:數量表!#REF!,"不計工期")</f>
        <v>#REF!</v>
      </c>
      <c r="H303" s="135" t="e">
        <f>IF(數量表!$B$11="日曆天",$B$4+G303,WORKDAY.INTL($B$4,G303,1))</f>
        <v>#REF!</v>
      </c>
    </row>
    <row r="304" spans="1:8">
      <c r="A304" s="50" t="e">
        <f>數量表!#REF!</f>
        <v>#REF!</v>
      </c>
      <c r="B304" s="51" t="e">
        <f>MAX(0,數量表!#REF!-數量表!#REF!)</f>
        <v>#REF!</v>
      </c>
      <c r="C304" s="51" t="e">
        <f>數量表!#REF!</f>
        <v>#REF!</v>
      </c>
      <c r="D304" s="51" t="e">
        <f>數量表!#REF!</f>
        <v>#REF!</v>
      </c>
      <c r="E304" s="52" t="e">
        <f>數量表!#REF!-數量表!#REF!</f>
        <v>#REF!</v>
      </c>
      <c r="F304" s="52" t="e">
        <f>數量表!#REF!</f>
        <v>#REF!</v>
      </c>
      <c r="G304" s="52" t="e">
        <f>COUNTIF(數量表!$E$11:數量表!#REF!,"不計工期")</f>
        <v>#REF!</v>
      </c>
      <c r="H304" s="135" t="e">
        <f>IF(數量表!$B$11="日曆天",$B$4+G304,WORKDAY.INTL($B$4,G304,1))</f>
        <v>#REF!</v>
      </c>
    </row>
    <row r="305" spans="1:8">
      <c r="A305" s="50" t="e">
        <f>數量表!#REF!</f>
        <v>#REF!</v>
      </c>
      <c r="B305" s="51" t="e">
        <f>MAX(0,數量表!#REF!-數量表!#REF!)</f>
        <v>#REF!</v>
      </c>
      <c r="C305" s="51" t="e">
        <f>數量表!#REF!</f>
        <v>#REF!</v>
      </c>
      <c r="D305" s="51" t="e">
        <f>數量表!#REF!</f>
        <v>#REF!</v>
      </c>
      <c r="E305" s="52" t="e">
        <f>數量表!#REF!-數量表!#REF!</f>
        <v>#REF!</v>
      </c>
      <c r="F305" s="52" t="e">
        <f>數量表!#REF!</f>
        <v>#REF!</v>
      </c>
      <c r="G305" s="52" t="e">
        <f>COUNTIF(數量表!$E$11:數量表!#REF!,"不計工期")</f>
        <v>#REF!</v>
      </c>
      <c r="H305" s="135" t="e">
        <f>IF(數量表!$B$11="日曆天",$B$4+G305,WORKDAY.INTL($B$4,G305,1))</f>
        <v>#REF!</v>
      </c>
    </row>
    <row r="306" spans="1:8">
      <c r="A306" s="50" t="e">
        <f>數量表!#REF!</f>
        <v>#REF!</v>
      </c>
      <c r="B306" s="51" t="e">
        <f>MAX(0,數量表!#REF!-數量表!#REF!)</f>
        <v>#REF!</v>
      </c>
      <c r="C306" s="51" t="e">
        <f>數量表!#REF!</f>
        <v>#REF!</v>
      </c>
      <c r="D306" s="51" t="e">
        <f>數量表!#REF!</f>
        <v>#REF!</v>
      </c>
      <c r="E306" s="52" t="e">
        <f>數量表!#REF!-數量表!#REF!</f>
        <v>#REF!</v>
      </c>
      <c r="F306" s="52" t="e">
        <f>數量表!#REF!</f>
        <v>#REF!</v>
      </c>
      <c r="G306" s="52" t="e">
        <f>COUNTIF(數量表!$E$11:數量表!#REF!,"不計工期")</f>
        <v>#REF!</v>
      </c>
      <c r="H306" s="135" t="e">
        <f>IF(數量表!$B$11="日曆天",$B$4+G306,WORKDAY.INTL($B$4,G306,1))</f>
        <v>#REF!</v>
      </c>
    </row>
    <row r="307" spans="1:8">
      <c r="A307" s="50" t="e">
        <f>數量表!#REF!</f>
        <v>#REF!</v>
      </c>
      <c r="B307" s="51" t="e">
        <f>MAX(0,數量表!#REF!-數量表!#REF!)</f>
        <v>#REF!</v>
      </c>
      <c r="C307" s="51" t="e">
        <f>數量表!#REF!</f>
        <v>#REF!</v>
      </c>
      <c r="D307" s="51" t="e">
        <f>數量表!#REF!</f>
        <v>#REF!</v>
      </c>
      <c r="E307" s="52" t="e">
        <f>數量表!#REF!-數量表!#REF!</f>
        <v>#REF!</v>
      </c>
      <c r="F307" s="52" t="e">
        <f>數量表!#REF!</f>
        <v>#REF!</v>
      </c>
      <c r="G307" s="52" t="e">
        <f>COUNTIF(數量表!$E$11:數量表!#REF!,"不計工期")</f>
        <v>#REF!</v>
      </c>
      <c r="H307" s="135" t="e">
        <f>IF(數量表!$B$11="日曆天",$B$4+G307,WORKDAY.INTL($B$4,G307,1))</f>
        <v>#REF!</v>
      </c>
    </row>
  </sheetData>
  <mergeCells count="2">
    <mergeCell ref="A1:H1"/>
    <mergeCell ref="B2:H2"/>
  </mergeCells>
  <phoneticPr fontId="3" type="noConversion"/>
  <pageMargins left="0.3" right="0.3" top="0.5" bottom="0.5" header="0.2" footer="0.2"/>
  <pageSetup paperSize="9"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M26"/>
  <sheetViews>
    <sheetView showGridLines="0" zoomScale="90" zoomScaleNormal="90" zoomScaleSheetLayoutView="70" workbookViewId="0">
      <selection activeCell="H18" sqref="H18"/>
    </sheetView>
  </sheetViews>
  <sheetFormatPr defaultRowHeight="16.5"/>
  <cols>
    <col min="1" max="1" width="6.625" customWidth="1"/>
    <col min="2" max="2" width="38.625" customWidth="1"/>
    <col min="3" max="3" width="7.625" customWidth="1"/>
    <col min="4" max="4" width="6.625" bestFit="1" customWidth="1"/>
    <col min="5" max="5" width="14.625" customWidth="1"/>
    <col min="6" max="6" width="8.625" customWidth="1"/>
    <col min="7" max="8" width="11.625" customWidth="1"/>
    <col min="9" max="38" width="6.875" customWidth="1"/>
  </cols>
  <sheetData>
    <row r="1" spans="1:39" ht="30" customHeight="1">
      <c r="A1" s="355" t="s">
        <v>88</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5"/>
      <c r="AC1" s="355"/>
      <c r="AD1" s="355"/>
      <c r="AE1" s="355"/>
      <c r="AF1" s="355"/>
      <c r="AG1" s="355"/>
      <c r="AH1" s="355"/>
      <c r="AI1" s="355"/>
      <c r="AJ1" s="355"/>
      <c r="AK1" s="355"/>
      <c r="AL1" s="355"/>
    </row>
    <row r="2" spans="1:39" ht="24" customHeight="1" thickBot="1">
      <c r="A2" s="356" t="s">
        <v>89</v>
      </c>
      <c r="B2" s="356"/>
      <c r="C2" s="357" t="s">
        <v>90</v>
      </c>
      <c r="D2" s="357"/>
      <c r="E2" s="356" t="s">
        <v>91</v>
      </c>
      <c r="F2" s="356"/>
      <c r="G2" s="358">
        <v>5180000</v>
      </c>
      <c r="H2" s="358"/>
      <c r="I2" s="356" t="s">
        <v>92</v>
      </c>
      <c r="J2" s="356"/>
      <c r="K2" s="357" t="s">
        <v>93</v>
      </c>
      <c r="L2" s="357"/>
      <c r="M2" s="356" t="s">
        <v>94</v>
      </c>
      <c r="N2" s="356"/>
      <c r="O2" s="359">
        <v>46246</v>
      </c>
      <c r="P2" s="359"/>
      <c r="Q2" s="356" t="s">
        <v>95</v>
      </c>
      <c r="R2" s="356"/>
      <c r="S2" s="359">
        <v>46445</v>
      </c>
      <c r="T2" s="359"/>
      <c r="U2" s="357" t="s">
        <v>96</v>
      </c>
      <c r="V2" s="357"/>
      <c r="W2" s="357"/>
      <c r="X2" s="357"/>
      <c r="Y2" s="357"/>
      <c r="Z2" s="357"/>
      <c r="AA2" s="357"/>
      <c r="AB2" s="357"/>
      <c r="AC2" s="357"/>
      <c r="AD2" s="357"/>
      <c r="AE2" s="357"/>
      <c r="AF2" s="357"/>
      <c r="AG2" s="357"/>
      <c r="AH2" s="357"/>
      <c r="AI2" s="357"/>
      <c r="AJ2" s="357"/>
      <c r="AK2" s="357"/>
      <c r="AL2" s="360"/>
      <c r="AM2" s="70"/>
    </row>
    <row r="3" spans="1:39" ht="23.1" customHeight="1" thickTop="1">
      <c r="A3" s="368" t="s">
        <v>97</v>
      </c>
      <c r="B3" s="353" t="s">
        <v>98</v>
      </c>
      <c r="C3" s="353" t="s">
        <v>99</v>
      </c>
      <c r="D3" s="353" t="s">
        <v>100</v>
      </c>
      <c r="E3" s="353" t="s">
        <v>101</v>
      </c>
      <c r="F3" s="353" t="s">
        <v>102</v>
      </c>
      <c r="G3" s="353" t="s">
        <v>103</v>
      </c>
      <c r="H3" s="353" t="s">
        <v>104</v>
      </c>
      <c r="I3" s="353" t="s">
        <v>105</v>
      </c>
      <c r="J3" s="353"/>
      <c r="K3" s="353"/>
      <c r="L3" s="353" t="s">
        <v>106</v>
      </c>
      <c r="M3" s="353"/>
      <c r="N3" s="353"/>
      <c r="O3" s="353"/>
      <c r="P3" s="353"/>
      <c r="Q3" s="353" t="s">
        <v>107</v>
      </c>
      <c r="R3" s="353"/>
      <c r="S3" s="353"/>
      <c r="T3" s="353"/>
      <c r="U3" s="353" t="s">
        <v>108</v>
      </c>
      <c r="V3" s="353"/>
      <c r="W3" s="353"/>
      <c r="X3" s="353"/>
      <c r="Y3" s="353" t="s">
        <v>109</v>
      </c>
      <c r="Z3" s="353"/>
      <c r="AA3" s="353"/>
      <c r="AB3" s="353"/>
      <c r="AC3" s="353"/>
      <c r="AD3" s="353" t="s">
        <v>110</v>
      </c>
      <c r="AE3" s="353"/>
      <c r="AF3" s="353"/>
      <c r="AG3" s="353"/>
      <c r="AH3" s="353" t="s">
        <v>111</v>
      </c>
      <c r="AI3" s="353"/>
      <c r="AJ3" s="353"/>
      <c r="AK3" s="353"/>
      <c r="AL3" s="354"/>
    </row>
    <row r="4" spans="1:39" ht="21.95" customHeight="1">
      <c r="A4" s="369"/>
      <c r="B4" s="370"/>
      <c r="C4" s="370"/>
      <c r="D4" s="370"/>
      <c r="E4" s="370"/>
      <c r="F4" s="370"/>
      <c r="G4" s="370"/>
      <c r="H4" s="370"/>
      <c r="I4" s="54">
        <v>46246</v>
      </c>
      <c r="J4" s="54">
        <v>46253</v>
      </c>
      <c r="K4" s="54">
        <v>46260</v>
      </c>
      <c r="L4" s="54">
        <v>46267</v>
      </c>
      <c r="M4" s="54">
        <v>46274</v>
      </c>
      <c r="N4" s="54">
        <v>46281</v>
      </c>
      <c r="O4" s="54">
        <v>46288</v>
      </c>
      <c r="P4" s="54">
        <v>46295</v>
      </c>
      <c r="Q4" s="54">
        <v>46302</v>
      </c>
      <c r="R4" s="54">
        <v>46309</v>
      </c>
      <c r="S4" s="54">
        <v>46316</v>
      </c>
      <c r="T4" s="54">
        <v>46323</v>
      </c>
      <c r="U4" s="54">
        <v>46330</v>
      </c>
      <c r="V4" s="54">
        <v>46337</v>
      </c>
      <c r="W4" s="54">
        <v>46344</v>
      </c>
      <c r="X4" s="54">
        <v>46351</v>
      </c>
      <c r="Y4" s="54">
        <v>46358</v>
      </c>
      <c r="Z4" s="54">
        <v>46365</v>
      </c>
      <c r="AA4" s="54">
        <v>46372</v>
      </c>
      <c r="AB4" s="54">
        <v>46379</v>
      </c>
      <c r="AC4" s="54">
        <v>46386</v>
      </c>
      <c r="AD4" s="54">
        <v>46393</v>
      </c>
      <c r="AE4" s="54">
        <v>46400</v>
      </c>
      <c r="AF4" s="54">
        <v>46407</v>
      </c>
      <c r="AG4" s="54">
        <v>46414</v>
      </c>
      <c r="AH4" s="54">
        <v>46421</v>
      </c>
      <c r="AI4" s="54">
        <v>46428</v>
      </c>
      <c r="AJ4" s="54">
        <v>46435</v>
      </c>
      <c r="AK4" s="54">
        <v>46442</v>
      </c>
      <c r="AL4" s="55">
        <v>46445</v>
      </c>
    </row>
    <row r="5" spans="1:39" ht="51" customHeight="1">
      <c r="A5" s="65">
        <v>1</v>
      </c>
      <c r="B5" s="69" t="s">
        <v>112</v>
      </c>
      <c r="C5" s="66" t="s">
        <v>113</v>
      </c>
      <c r="D5" s="66">
        <v>1</v>
      </c>
      <c r="E5" s="67">
        <v>87546</v>
      </c>
      <c r="F5" s="68">
        <f t="shared" ref="F5:F22" si="0">E5/$G$2*100</f>
        <v>1.6900772200772203</v>
      </c>
      <c r="G5" s="56">
        <v>46246</v>
      </c>
      <c r="H5" s="56">
        <v>46259</v>
      </c>
      <c r="I5" s="57"/>
      <c r="J5" s="57"/>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9"/>
    </row>
    <row r="6" spans="1:39" ht="51" customHeight="1">
      <c r="A6" s="65">
        <v>2</v>
      </c>
      <c r="B6" s="69" t="s">
        <v>114</v>
      </c>
      <c r="C6" s="66" t="s">
        <v>113</v>
      </c>
      <c r="D6" s="66">
        <v>1</v>
      </c>
      <c r="E6" s="67">
        <v>22017</v>
      </c>
      <c r="F6" s="68">
        <f t="shared" si="0"/>
        <v>0.42503861003861004</v>
      </c>
      <c r="G6" s="56">
        <v>46246</v>
      </c>
      <c r="H6" s="56">
        <v>46428</v>
      </c>
      <c r="I6" s="57"/>
      <c r="J6" s="57"/>
      <c r="K6" s="57"/>
      <c r="L6" s="57"/>
      <c r="M6" s="57"/>
      <c r="N6" s="57"/>
      <c r="O6" s="57"/>
      <c r="P6" s="57"/>
      <c r="Q6" s="57"/>
      <c r="R6" s="57"/>
      <c r="S6" s="57"/>
      <c r="T6" s="57"/>
      <c r="U6" s="57"/>
      <c r="V6" s="57"/>
      <c r="W6" s="57"/>
      <c r="X6" s="57"/>
      <c r="Y6" s="57"/>
      <c r="Z6" s="57"/>
      <c r="AA6" s="57"/>
      <c r="AB6" s="57"/>
      <c r="AC6" s="57"/>
      <c r="AD6" s="57"/>
      <c r="AE6" s="57"/>
      <c r="AF6" s="57"/>
      <c r="AG6" s="57"/>
      <c r="AH6" s="57"/>
      <c r="AI6" s="57"/>
      <c r="AJ6" s="58"/>
      <c r="AK6" s="58"/>
      <c r="AL6" s="59"/>
    </row>
    <row r="7" spans="1:39" ht="51" customHeight="1">
      <c r="A7" s="65">
        <v>3</v>
      </c>
      <c r="B7" s="69" t="s">
        <v>115</v>
      </c>
      <c r="C7" s="66" t="s">
        <v>113</v>
      </c>
      <c r="D7" s="66">
        <v>1</v>
      </c>
      <c r="E7" s="67">
        <v>495648</v>
      </c>
      <c r="F7" s="68">
        <f t="shared" si="0"/>
        <v>9.5684942084942097</v>
      </c>
      <c r="G7" s="56">
        <v>46253</v>
      </c>
      <c r="H7" s="56">
        <v>46285</v>
      </c>
      <c r="I7" s="58"/>
      <c r="J7" s="57"/>
      <c r="K7" s="57"/>
      <c r="L7" s="57"/>
      <c r="M7" s="57"/>
      <c r="N7" s="57"/>
      <c r="O7" s="58"/>
      <c r="P7" s="58"/>
      <c r="Q7" s="58"/>
      <c r="R7" s="58"/>
      <c r="S7" s="58"/>
      <c r="T7" s="58"/>
      <c r="U7" s="58"/>
      <c r="V7" s="58"/>
      <c r="W7" s="58"/>
      <c r="X7" s="58"/>
      <c r="Y7" s="58"/>
      <c r="Z7" s="58"/>
      <c r="AA7" s="58"/>
      <c r="AB7" s="58"/>
      <c r="AC7" s="58"/>
      <c r="AD7" s="58"/>
      <c r="AE7" s="58"/>
      <c r="AF7" s="58"/>
      <c r="AG7" s="58"/>
      <c r="AH7" s="58"/>
      <c r="AI7" s="58"/>
      <c r="AJ7" s="58"/>
      <c r="AK7" s="58"/>
      <c r="AL7" s="59"/>
    </row>
    <row r="8" spans="1:39" ht="51" customHeight="1">
      <c r="A8" s="65">
        <v>4</v>
      </c>
      <c r="B8" s="69" t="s">
        <v>116</v>
      </c>
      <c r="C8" s="66" t="s">
        <v>113</v>
      </c>
      <c r="D8" s="66">
        <v>1</v>
      </c>
      <c r="E8" s="67">
        <v>172836</v>
      </c>
      <c r="F8" s="68">
        <f t="shared" si="0"/>
        <v>3.3366023166023169</v>
      </c>
      <c r="G8" s="56">
        <v>46286</v>
      </c>
      <c r="H8" s="56">
        <v>46315</v>
      </c>
      <c r="I8" s="58"/>
      <c r="J8" s="58"/>
      <c r="K8" s="58"/>
      <c r="L8" s="58"/>
      <c r="M8" s="58"/>
      <c r="N8" s="57"/>
      <c r="O8" s="57"/>
      <c r="P8" s="57"/>
      <c r="Q8" s="57"/>
      <c r="R8" s="57"/>
      <c r="S8" s="58"/>
      <c r="T8" s="58"/>
      <c r="U8" s="58"/>
      <c r="V8" s="58"/>
      <c r="W8" s="58"/>
      <c r="X8" s="58"/>
      <c r="Y8" s="58"/>
      <c r="Z8" s="58"/>
      <c r="AA8" s="58"/>
      <c r="AB8" s="58"/>
      <c r="AC8" s="58"/>
      <c r="AD8" s="58"/>
      <c r="AE8" s="58"/>
      <c r="AF8" s="58"/>
      <c r="AG8" s="58"/>
      <c r="AH8" s="58"/>
      <c r="AI8" s="58"/>
      <c r="AJ8" s="58"/>
      <c r="AK8" s="58"/>
      <c r="AL8" s="59"/>
    </row>
    <row r="9" spans="1:39" ht="51" customHeight="1">
      <c r="A9" s="65">
        <v>5</v>
      </c>
      <c r="B9" s="69" t="s">
        <v>117</v>
      </c>
      <c r="C9" s="66" t="s">
        <v>113</v>
      </c>
      <c r="D9" s="66">
        <v>1</v>
      </c>
      <c r="E9" s="67">
        <v>11009</v>
      </c>
      <c r="F9" s="68">
        <f t="shared" si="0"/>
        <v>0.21252895752895754</v>
      </c>
      <c r="G9" s="56">
        <v>46275</v>
      </c>
      <c r="H9" s="56">
        <v>46320</v>
      </c>
      <c r="I9" s="58"/>
      <c r="J9" s="58"/>
      <c r="K9" s="58"/>
      <c r="L9" s="58"/>
      <c r="M9" s="57"/>
      <c r="N9" s="57"/>
      <c r="O9" s="57"/>
      <c r="P9" s="57"/>
      <c r="Q9" s="57"/>
      <c r="R9" s="57"/>
      <c r="S9" s="57"/>
      <c r="T9" s="58"/>
      <c r="U9" s="58"/>
      <c r="V9" s="58"/>
      <c r="W9" s="58"/>
      <c r="X9" s="58"/>
      <c r="Y9" s="58"/>
      <c r="Z9" s="58"/>
      <c r="AA9" s="58"/>
      <c r="AB9" s="58"/>
      <c r="AC9" s="58"/>
      <c r="AD9" s="58"/>
      <c r="AE9" s="58"/>
      <c r="AF9" s="58"/>
      <c r="AG9" s="58"/>
      <c r="AH9" s="58"/>
      <c r="AI9" s="58"/>
      <c r="AJ9" s="58"/>
      <c r="AK9" s="58"/>
      <c r="AL9" s="59"/>
    </row>
    <row r="10" spans="1:39" ht="51" customHeight="1">
      <c r="A10" s="65">
        <v>6</v>
      </c>
      <c r="B10" s="69" t="s">
        <v>118</v>
      </c>
      <c r="C10" s="66" t="s">
        <v>113</v>
      </c>
      <c r="D10" s="66">
        <v>1</v>
      </c>
      <c r="E10" s="67">
        <v>523694</v>
      </c>
      <c r="F10" s="68">
        <f t="shared" si="0"/>
        <v>10.10992277992278</v>
      </c>
      <c r="G10" s="56">
        <v>46296</v>
      </c>
      <c r="H10" s="56">
        <v>46336</v>
      </c>
      <c r="I10" s="58"/>
      <c r="J10" s="58"/>
      <c r="K10" s="58"/>
      <c r="L10" s="58"/>
      <c r="M10" s="58"/>
      <c r="N10" s="58"/>
      <c r="O10" s="58"/>
      <c r="P10" s="57"/>
      <c r="Q10" s="57"/>
      <c r="R10" s="57"/>
      <c r="S10" s="57"/>
      <c r="T10" s="57"/>
      <c r="U10" s="57"/>
      <c r="V10" s="58"/>
      <c r="W10" s="58"/>
      <c r="X10" s="58"/>
      <c r="Y10" s="58"/>
      <c r="Z10" s="58"/>
      <c r="AA10" s="58"/>
      <c r="AB10" s="58"/>
      <c r="AC10" s="58"/>
      <c r="AD10" s="58"/>
      <c r="AE10" s="58"/>
      <c r="AF10" s="58"/>
      <c r="AG10" s="58"/>
      <c r="AH10" s="58"/>
      <c r="AI10" s="58"/>
      <c r="AJ10" s="58"/>
      <c r="AK10" s="58"/>
      <c r="AL10" s="59"/>
    </row>
    <row r="11" spans="1:39" ht="51" customHeight="1">
      <c r="A11" s="65">
        <v>7</v>
      </c>
      <c r="B11" s="69" t="s">
        <v>119</v>
      </c>
      <c r="C11" s="66" t="s">
        <v>113</v>
      </c>
      <c r="D11" s="66">
        <v>1</v>
      </c>
      <c r="E11" s="67">
        <v>282877</v>
      </c>
      <c r="F11" s="68">
        <f t="shared" si="0"/>
        <v>5.4609459459459462</v>
      </c>
      <c r="G11" s="56">
        <v>46320</v>
      </c>
      <c r="H11" s="56">
        <v>46356</v>
      </c>
      <c r="I11" s="58"/>
      <c r="J11" s="58"/>
      <c r="K11" s="58"/>
      <c r="L11" s="58"/>
      <c r="M11" s="58"/>
      <c r="N11" s="58"/>
      <c r="O11" s="58"/>
      <c r="P11" s="58"/>
      <c r="Q11" s="58"/>
      <c r="R11" s="58"/>
      <c r="S11" s="57"/>
      <c r="T11" s="57"/>
      <c r="U11" s="57"/>
      <c r="V11" s="57"/>
      <c r="W11" s="57"/>
      <c r="X11" s="57"/>
      <c r="Y11" s="58"/>
      <c r="Z11" s="58"/>
      <c r="AA11" s="58"/>
      <c r="AB11" s="58"/>
      <c r="AC11" s="58"/>
      <c r="AD11" s="58"/>
      <c r="AE11" s="58"/>
      <c r="AF11" s="58"/>
      <c r="AG11" s="58"/>
      <c r="AH11" s="58"/>
      <c r="AI11" s="58"/>
      <c r="AJ11" s="58"/>
      <c r="AK11" s="58"/>
      <c r="AL11" s="59"/>
    </row>
    <row r="12" spans="1:39" ht="51" customHeight="1">
      <c r="A12" s="65">
        <v>8</v>
      </c>
      <c r="B12" s="69" t="s">
        <v>120</v>
      </c>
      <c r="C12" s="66" t="s">
        <v>113</v>
      </c>
      <c r="D12" s="66">
        <v>1</v>
      </c>
      <c r="E12" s="67">
        <v>194137</v>
      </c>
      <c r="F12" s="68">
        <f t="shared" si="0"/>
        <v>3.7478185328185329</v>
      </c>
      <c r="G12" s="56">
        <v>46342</v>
      </c>
      <c r="H12" s="56">
        <v>46387</v>
      </c>
      <c r="I12" s="58"/>
      <c r="J12" s="58"/>
      <c r="K12" s="58"/>
      <c r="L12" s="58"/>
      <c r="M12" s="58"/>
      <c r="N12" s="58"/>
      <c r="O12" s="58"/>
      <c r="P12" s="58"/>
      <c r="Q12" s="58"/>
      <c r="R12" s="58"/>
      <c r="S12" s="58"/>
      <c r="T12" s="58"/>
      <c r="U12" s="58"/>
      <c r="V12" s="57"/>
      <c r="W12" s="57"/>
      <c r="X12" s="57"/>
      <c r="Y12" s="57"/>
      <c r="Z12" s="57"/>
      <c r="AA12" s="57"/>
      <c r="AB12" s="57"/>
      <c r="AC12" s="57"/>
      <c r="AD12" s="58"/>
      <c r="AE12" s="58"/>
      <c r="AF12" s="58"/>
      <c r="AG12" s="58"/>
      <c r="AH12" s="58"/>
      <c r="AI12" s="58"/>
      <c r="AJ12" s="58"/>
      <c r="AK12" s="58"/>
      <c r="AL12" s="59"/>
    </row>
    <row r="13" spans="1:39" ht="51" customHeight="1">
      <c r="A13" s="65">
        <v>9</v>
      </c>
      <c r="B13" s="69" t="s">
        <v>121</v>
      </c>
      <c r="C13" s="66" t="s">
        <v>113</v>
      </c>
      <c r="D13" s="66">
        <v>1</v>
      </c>
      <c r="E13" s="67">
        <v>869698</v>
      </c>
      <c r="F13" s="68">
        <f t="shared" si="0"/>
        <v>16.789536679536678</v>
      </c>
      <c r="G13" s="56">
        <v>46342</v>
      </c>
      <c r="H13" s="56">
        <v>46397</v>
      </c>
      <c r="I13" s="58"/>
      <c r="J13" s="58"/>
      <c r="K13" s="58"/>
      <c r="L13" s="58"/>
      <c r="M13" s="58"/>
      <c r="N13" s="58"/>
      <c r="O13" s="58"/>
      <c r="P13" s="58"/>
      <c r="Q13" s="58"/>
      <c r="R13" s="58"/>
      <c r="S13" s="58"/>
      <c r="T13" s="58"/>
      <c r="U13" s="58"/>
      <c r="V13" s="57"/>
      <c r="W13" s="57"/>
      <c r="X13" s="57"/>
      <c r="Y13" s="57"/>
      <c r="Z13" s="57"/>
      <c r="AA13" s="57"/>
      <c r="AB13" s="57"/>
      <c r="AC13" s="57"/>
      <c r="AD13" s="57"/>
      <c r="AE13" s="58"/>
      <c r="AF13" s="58"/>
      <c r="AG13" s="58"/>
      <c r="AH13" s="58"/>
      <c r="AI13" s="58"/>
      <c r="AJ13" s="58"/>
      <c r="AK13" s="58"/>
      <c r="AL13" s="59"/>
    </row>
    <row r="14" spans="1:39" ht="51" customHeight="1">
      <c r="A14" s="65">
        <v>10</v>
      </c>
      <c r="B14" s="69" t="s">
        <v>122</v>
      </c>
      <c r="C14" s="66" t="s">
        <v>113</v>
      </c>
      <c r="D14" s="66">
        <v>1</v>
      </c>
      <c r="E14" s="67">
        <v>72110</v>
      </c>
      <c r="F14" s="68">
        <f t="shared" si="0"/>
        <v>1.3920849420849419</v>
      </c>
      <c r="G14" s="56">
        <v>46397</v>
      </c>
      <c r="H14" s="56">
        <v>46433</v>
      </c>
      <c r="I14" s="58"/>
      <c r="J14" s="58"/>
      <c r="K14" s="58"/>
      <c r="L14" s="58"/>
      <c r="M14" s="58"/>
      <c r="N14" s="58"/>
      <c r="O14" s="58"/>
      <c r="P14" s="58"/>
      <c r="Q14" s="58"/>
      <c r="R14" s="58"/>
      <c r="S14" s="58"/>
      <c r="T14" s="58"/>
      <c r="U14" s="58"/>
      <c r="V14" s="58"/>
      <c r="W14" s="58"/>
      <c r="X14" s="58"/>
      <c r="Y14" s="58"/>
      <c r="Z14" s="58"/>
      <c r="AA14" s="58"/>
      <c r="AB14" s="58"/>
      <c r="AC14" s="58"/>
      <c r="AD14" s="57"/>
      <c r="AE14" s="57"/>
      <c r="AF14" s="57"/>
      <c r="AG14" s="57"/>
      <c r="AH14" s="57"/>
      <c r="AI14" s="57"/>
      <c r="AJ14" s="58"/>
      <c r="AK14" s="58"/>
      <c r="AL14" s="59"/>
    </row>
    <row r="15" spans="1:39" ht="51" customHeight="1">
      <c r="A15" s="65">
        <v>11</v>
      </c>
      <c r="B15" s="69" t="s">
        <v>123</v>
      </c>
      <c r="C15" s="66" t="s">
        <v>113</v>
      </c>
      <c r="D15" s="66">
        <v>1</v>
      </c>
      <c r="E15" s="67">
        <v>732207</v>
      </c>
      <c r="F15" s="68">
        <f t="shared" si="0"/>
        <v>14.13527027027027</v>
      </c>
      <c r="G15" s="56">
        <v>46389</v>
      </c>
      <c r="H15" s="56">
        <v>46418</v>
      </c>
      <c r="I15" s="58"/>
      <c r="J15" s="58"/>
      <c r="K15" s="58"/>
      <c r="L15" s="58"/>
      <c r="M15" s="58"/>
      <c r="N15" s="58"/>
      <c r="O15" s="58"/>
      <c r="P15" s="58"/>
      <c r="Q15" s="58"/>
      <c r="R15" s="58"/>
      <c r="S15" s="58"/>
      <c r="T15" s="58"/>
      <c r="U15" s="58"/>
      <c r="V15" s="58"/>
      <c r="W15" s="58"/>
      <c r="X15" s="58"/>
      <c r="Y15" s="58"/>
      <c r="Z15" s="58"/>
      <c r="AA15" s="58"/>
      <c r="AB15" s="58"/>
      <c r="AC15" s="57"/>
      <c r="AD15" s="57"/>
      <c r="AE15" s="57"/>
      <c r="AF15" s="57"/>
      <c r="AG15" s="57"/>
      <c r="AH15" s="58"/>
      <c r="AI15" s="58"/>
      <c r="AJ15" s="58"/>
      <c r="AK15" s="58"/>
      <c r="AL15" s="59"/>
    </row>
    <row r="16" spans="1:39" ht="51" customHeight="1">
      <c r="A16" s="65">
        <v>12</v>
      </c>
      <c r="B16" s="69" t="s">
        <v>124</v>
      </c>
      <c r="C16" s="66" t="s">
        <v>113</v>
      </c>
      <c r="D16" s="66">
        <v>1</v>
      </c>
      <c r="E16" s="67">
        <v>414870</v>
      </c>
      <c r="F16" s="68">
        <f t="shared" si="0"/>
        <v>8.0090733590733585</v>
      </c>
      <c r="G16" s="56">
        <v>46376</v>
      </c>
      <c r="H16" s="56">
        <v>46418</v>
      </c>
      <c r="I16" s="58"/>
      <c r="J16" s="58"/>
      <c r="K16" s="58"/>
      <c r="L16" s="58"/>
      <c r="M16" s="58"/>
      <c r="N16" s="58"/>
      <c r="O16" s="58"/>
      <c r="P16" s="58"/>
      <c r="Q16" s="58"/>
      <c r="R16" s="58"/>
      <c r="S16" s="58"/>
      <c r="T16" s="58"/>
      <c r="U16" s="58"/>
      <c r="V16" s="58"/>
      <c r="W16" s="58"/>
      <c r="X16" s="58"/>
      <c r="Y16" s="58"/>
      <c r="Z16" s="58"/>
      <c r="AA16" s="57"/>
      <c r="AB16" s="57"/>
      <c r="AC16" s="57"/>
      <c r="AD16" s="57"/>
      <c r="AE16" s="57"/>
      <c r="AF16" s="57"/>
      <c r="AG16" s="57"/>
      <c r="AH16" s="58"/>
      <c r="AI16" s="58"/>
      <c r="AJ16" s="58"/>
      <c r="AK16" s="58"/>
      <c r="AL16" s="59"/>
    </row>
    <row r="17" spans="1:38" ht="51" customHeight="1">
      <c r="A17" s="65">
        <v>13</v>
      </c>
      <c r="B17" s="69" t="s">
        <v>125</v>
      </c>
      <c r="C17" s="66" t="s">
        <v>113</v>
      </c>
      <c r="D17" s="66">
        <v>1</v>
      </c>
      <c r="E17" s="67">
        <v>84767</v>
      </c>
      <c r="F17" s="68">
        <f t="shared" si="0"/>
        <v>1.6364285714285713</v>
      </c>
      <c r="G17" s="56">
        <v>46366</v>
      </c>
      <c r="H17" s="56">
        <v>46407</v>
      </c>
      <c r="I17" s="58"/>
      <c r="J17" s="58"/>
      <c r="K17" s="58"/>
      <c r="L17" s="58"/>
      <c r="M17" s="58"/>
      <c r="N17" s="58"/>
      <c r="O17" s="58"/>
      <c r="P17" s="58"/>
      <c r="Q17" s="58"/>
      <c r="R17" s="58"/>
      <c r="S17" s="58"/>
      <c r="T17" s="58"/>
      <c r="U17" s="58"/>
      <c r="V17" s="58"/>
      <c r="W17" s="58"/>
      <c r="X17" s="58"/>
      <c r="Y17" s="58"/>
      <c r="Z17" s="57"/>
      <c r="AA17" s="57"/>
      <c r="AB17" s="57"/>
      <c r="AC17" s="57"/>
      <c r="AD17" s="57"/>
      <c r="AE17" s="57"/>
      <c r="AF17" s="57"/>
      <c r="AG17" s="58"/>
      <c r="AH17" s="58"/>
      <c r="AI17" s="58"/>
      <c r="AJ17" s="58"/>
      <c r="AK17" s="58"/>
      <c r="AL17" s="59"/>
    </row>
    <row r="18" spans="1:38" ht="51" customHeight="1">
      <c r="A18" s="65">
        <v>14</v>
      </c>
      <c r="B18" s="69" t="s">
        <v>126</v>
      </c>
      <c r="C18" s="66" t="s">
        <v>113</v>
      </c>
      <c r="D18" s="66">
        <v>1</v>
      </c>
      <c r="E18" s="67">
        <v>530624</v>
      </c>
      <c r="F18" s="68">
        <f t="shared" si="0"/>
        <v>10.243706563706564</v>
      </c>
      <c r="G18" s="56">
        <v>46402</v>
      </c>
      <c r="H18" s="56">
        <v>46428</v>
      </c>
      <c r="I18" s="58"/>
      <c r="J18" s="58"/>
      <c r="K18" s="58"/>
      <c r="L18" s="58"/>
      <c r="M18" s="58"/>
      <c r="N18" s="58"/>
      <c r="O18" s="58"/>
      <c r="P18" s="58"/>
      <c r="Q18" s="58"/>
      <c r="R18" s="58"/>
      <c r="S18" s="58"/>
      <c r="T18" s="58"/>
      <c r="U18" s="58"/>
      <c r="V18" s="58"/>
      <c r="W18" s="58"/>
      <c r="X18" s="58"/>
      <c r="Y18" s="58"/>
      <c r="Z18" s="58"/>
      <c r="AA18" s="58"/>
      <c r="AB18" s="58"/>
      <c r="AC18" s="58"/>
      <c r="AD18" s="58"/>
      <c r="AE18" s="57"/>
      <c r="AF18" s="57"/>
      <c r="AG18" s="57"/>
      <c r="AH18" s="57"/>
      <c r="AI18" s="57"/>
      <c r="AJ18" s="58"/>
      <c r="AK18" s="58"/>
      <c r="AL18" s="59"/>
    </row>
    <row r="19" spans="1:38" ht="51" customHeight="1">
      <c r="A19" s="65">
        <v>15</v>
      </c>
      <c r="B19" s="69" t="s">
        <v>127</v>
      </c>
      <c r="C19" s="66" t="s">
        <v>113</v>
      </c>
      <c r="D19" s="66">
        <v>1</v>
      </c>
      <c r="E19" s="67">
        <v>203001</v>
      </c>
      <c r="F19" s="68">
        <f t="shared" si="0"/>
        <v>3.9189382239382238</v>
      </c>
      <c r="G19" s="56">
        <v>46397</v>
      </c>
      <c r="H19" s="56">
        <v>46436</v>
      </c>
      <c r="I19" s="58"/>
      <c r="J19" s="58"/>
      <c r="K19" s="58"/>
      <c r="L19" s="58"/>
      <c r="M19" s="58"/>
      <c r="N19" s="58"/>
      <c r="O19" s="58"/>
      <c r="P19" s="58"/>
      <c r="Q19" s="58"/>
      <c r="R19" s="58"/>
      <c r="S19" s="58"/>
      <c r="T19" s="58"/>
      <c r="U19" s="58"/>
      <c r="V19" s="58"/>
      <c r="W19" s="58"/>
      <c r="X19" s="58"/>
      <c r="Y19" s="58"/>
      <c r="Z19" s="58"/>
      <c r="AA19" s="58"/>
      <c r="AB19" s="58"/>
      <c r="AC19" s="58"/>
      <c r="AD19" s="57"/>
      <c r="AE19" s="57"/>
      <c r="AF19" s="57"/>
      <c r="AG19" s="57"/>
      <c r="AH19" s="57"/>
      <c r="AI19" s="57"/>
      <c r="AJ19" s="57"/>
      <c r="AK19" s="58"/>
      <c r="AL19" s="59"/>
    </row>
    <row r="20" spans="1:38" ht="51" customHeight="1">
      <c r="A20" s="65">
        <v>16</v>
      </c>
      <c r="B20" s="69" t="s">
        <v>128</v>
      </c>
      <c r="C20" s="66" t="s">
        <v>113</v>
      </c>
      <c r="D20" s="66">
        <v>1</v>
      </c>
      <c r="E20" s="67">
        <v>212579</v>
      </c>
      <c r="F20" s="68">
        <f t="shared" si="0"/>
        <v>4.1038416988416992</v>
      </c>
      <c r="G20" s="56">
        <v>46275</v>
      </c>
      <c r="H20" s="56">
        <v>46320</v>
      </c>
      <c r="I20" s="58"/>
      <c r="J20" s="58"/>
      <c r="K20" s="58"/>
      <c r="L20" s="58"/>
      <c r="M20" s="57"/>
      <c r="N20" s="57"/>
      <c r="O20" s="57"/>
      <c r="P20" s="57"/>
      <c r="Q20" s="57"/>
      <c r="R20" s="57"/>
      <c r="S20" s="57"/>
      <c r="T20" s="58"/>
      <c r="U20" s="58"/>
      <c r="V20" s="58"/>
      <c r="W20" s="58"/>
      <c r="X20" s="58"/>
      <c r="Y20" s="58"/>
      <c r="Z20" s="58"/>
      <c r="AA20" s="58"/>
      <c r="AB20" s="58"/>
      <c r="AC20" s="58"/>
      <c r="AD20" s="58"/>
      <c r="AE20" s="58"/>
      <c r="AF20" s="58"/>
      <c r="AG20" s="58"/>
      <c r="AH20" s="58"/>
      <c r="AI20" s="58"/>
      <c r="AJ20" s="58"/>
      <c r="AK20" s="58"/>
      <c r="AL20" s="59"/>
    </row>
    <row r="21" spans="1:38" ht="51" customHeight="1">
      <c r="A21" s="65">
        <v>17</v>
      </c>
      <c r="B21" s="69" t="s">
        <v>129</v>
      </c>
      <c r="C21" s="66" t="s">
        <v>113</v>
      </c>
      <c r="D21" s="66">
        <v>1</v>
      </c>
      <c r="E21" s="67">
        <v>219960</v>
      </c>
      <c r="F21" s="68">
        <f t="shared" si="0"/>
        <v>4.2463320463320464</v>
      </c>
      <c r="G21" s="56">
        <v>46402</v>
      </c>
      <c r="H21" s="56">
        <v>46436</v>
      </c>
      <c r="I21" s="58"/>
      <c r="J21" s="58"/>
      <c r="K21" s="58"/>
      <c r="L21" s="58"/>
      <c r="M21" s="58"/>
      <c r="N21" s="58"/>
      <c r="O21" s="58"/>
      <c r="P21" s="58"/>
      <c r="Q21" s="58"/>
      <c r="R21" s="58"/>
      <c r="S21" s="58"/>
      <c r="T21" s="58"/>
      <c r="U21" s="58"/>
      <c r="V21" s="58"/>
      <c r="W21" s="58"/>
      <c r="X21" s="58"/>
      <c r="Y21" s="58"/>
      <c r="Z21" s="58"/>
      <c r="AA21" s="58"/>
      <c r="AB21" s="58"/>
      <c r="AC21" s="58"/>
      <c r="AD21" s="58"/>
      <c r="AE21" s="57"/>
      <c r="AF21" s="57"/>
      <c r="AG21" s="57"/>
      <c r="AH21" s="57"/>
      <c r="AI21" s="57"/>
      <c r="AJ21" s="57"/>
      <c r="AK21" s="58"/>
      <c r="AL21" s="59"/>
    </row>
    <row r="22" spans="1:38" ht="51" customHeight="1">
      <c r="A22" s="65">
        <v>18</v>
      </c>
      <c r="B22" s="69" t="s">
        <v>130</v>
      </c>
      <c r="C22" s="66" t="s">
        <v>113</v>
      </c>
      <c r="D22" s="66">
        <v>1</v>
      </c>
      <c r="E22" s="67">
        <v>50420</v>
      </c>
      <c r="F22" s="68">
        <f t="shared" si="0"/>
        <v>0.97335907335907335</v>
      </c>
      <c r="G22" s="56">
        <v>46246</v>
      </c>
      <c r="H22" s="56">
        <v>46445</v>
      </c>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c r="AH22" s="57"/>
      <c r="AI22" s="57"/>
      <c r="AJ22" s="57"/>
      <c r="AK22" s="57"/>
      <c r="AL22" s="60"/>
    </row>
    <row r="23" spans="1:38" ht="22.7" customHeight="1">
      <c r="A23" s="361" t="s">
        <v>133</v>
      </c>
      <c r="B23" s="362"/>
      <c r="C23" s="362"/>
      <c r="D23" s="362"/>
      <c r="E23" s="362"/>
      <c r="F23" s="362"/>
      <c r="G23" s="362"/>
      <c r="H23" s="362"/>
      <c r="I23" s="61">
        <v>0</v>
      </c>
      <c r="J23" s="61">
        <v>0.96</v>
      </c>
      <c r="K23" s="61">
        <v>2.92</v>
      </c>
      <c r="L23" s="61">
        <v>2.15</v>
      </c>
      <c r="M23" s="61">
        <v>2.14</v>
      </c>
      <c r="N23" s="61">
        <v>2.72</v>
      </c>
      <c r="O23" s="61">
        <v>2.15</v>
      </c>
      <c r="P23" s="61">
        <v>1.53</v>
      </c>
      <c r="Q23" s="61">
        <v>3.04</v>
      </c>
      <c r="R23" s="61">
        <v>3.3</v>
      </c>
      <c r="S23" s="61">
        <v>3.18</v>
      </c>
      <c r="T23" s="61">
        <v>2.66</v>
      </c>
      <c r="U23" s="61">
        <v>2.88</v>
      </c>
      <c r="V23" s="61">
        <v>2.63</v>
      </c>
      <c r="W23" s="61">
        <v>1.89</v>
      </c>
      <c r="X23" s="61">
        <v>3.83</v>
      </c>
      <c r="Y23" s="61">
        <v>3.53</v>
      </c>
      <c r="Z23" s="61">
        <v>2.77</v>
      </c>
      <c r="AA23" s="61">
        <v>3.01</v>
      </c>
      <c r="AB23" s="61">
        <v>3.62</v>
      </c>
      <c r="AC23" s="61">
        <v>4.3899999999999997</v>
      </c>
      <c r="AD23" s="61">
        <v>5.83</v>
      </c>
      <c r="AE23" s="61">
        <v>6.72</v>
      </c>
      <c r="AF23" s="61">
        <v>8.64</v>
      </c>
      <c r="AG23" s="61">
        <v>9.4</v>
      </c>
      <c r="AH23" s="61">
        <v>7.37</v>
      </c>
      <c r="AI23" s="61">
        <v>4.66</v>
      </c>
      <c r="AJ23" s="61">
        <v>1.81</v>
      </c>
      <c r="AK23" s="61">
        <v>0.26</v>
      </c>
      <c r="AL23" s="62">
        <v>0.01</v>
      </c>
    </row>
    <row r="24" spans="1:38" ht="22.7" customHeight="1" thickBot="1">
      <c r="A24" s="363" t="s">
        <v>134</v>
      </c>
      <c r="B24" s="364"/>
      <c r="C24" s="364"/>
      <c r="D24" s="364"/>
      <c r="E24" s="364"/>
      <c r="F24" s="364"/>
      <c r="G24" s="364"/>
      <c r="H24" s="364"/>
      <c r="I24" s="63">
        <f>I23</f>
        <v>0</v>
      </c>
      <c r="J24" s="63">
        <f t="shared" ref="J24:AL24" si="1">I24+J23</f>
        <v>0.96</v>
      </c>
      <c r="K24" s="63">
        <f t="shared" si="1"/>
        <v>3.88</v>
      </c>
      <c r="L24" s="63">
        <f t="shared" si="1"/>
        <v>6.0299999999999994</v>
      </c>
      <c r="M24" s="63">
        <f t="shared" si="1"/>
        <v>8.17</v>
      </c>
      <c r="N24" s="63">
        <f t="shared" si="1"/>
        <v>10.89</v>
      </c>
      <c r="O24" s="63">
        <f t="shared" si="1"/>
        <v>13.040000000000001</v>
      </c>
      <c r="P24" s="63">
        <f t="shared" si="1"/>
        <v>14.57</v>
      </c>
      <c r="Q24" s="63">
        <f t="shared" si="1"/>
        <v>17.61</v>
      </c>
      <c r="R24" s="63">
        <f t="shared" si="1"/>
        <v>20.91</v>
      </c>
      <c r="S24" s="63">
        <f t="shared" si="1"/>
        <v>24.09</v>
      </c>
      <c r="T24" s="63">
        <f t="shared" si="1"/>
        <v>26.75</v>
      </c>
      <c r="U24" s="63">
        <f t="shared" si="1"/>
        <v>29.63</v>
      </c>
      <c r="V24" s="63">
        <f t="shared" si="1"/>
        <v>32.26</v>
      </c>
      <c r="W24" s="63">
        <f t="shared" si="1"/>
        <v>34.15</v>
      </c>
      <c r="X24" s="63">
        <f t="shared" si="1"/>
        <v>37.979999999999997</v>
      </c>
      <c r="Y24" s="63">
        <f t="shared" si="1"/>
        <v>41.51</v>
      </c>
      <c r="Z24" s="63">
        <f t="shared" si="1"/>
        <v>44.28</v>
      </c>
      <c r="AA24" s="63">
        <f t="shared" si="1"/>
        <v>47.29</v>
      </c>
      <c r="AB24" s="63">
        <f t="shared" si="1"/>
        <v>50.91</v>
      </c>
      <c r="AC24" s="63">
        <f t="shared" si="1"/>
        <v>55.3</v>
      </c>
      <c r="AD24" s="63">
        <f t="shared" si="1"/>
        <v>61.129999999999995</v>
      </c>
      <c r="AE24" s="63">
        <f t="shared" si="1"/>
        <v>67.849999999999994</v>
      </c>
      <c r="AF24" s="63">
        <f t="shared" si="1"/>
        <v>76.489999999999995</v>
      </c>
      <c r="AG24" s="63">
        <f t="shared" si="1"/>
        <v>85.89</v>
      </c>
      <c r="AH24" s="63">
        <f t="shared" si="1"/>
        <v>93.26</v>
      </c>
      <c r="AI24" s="63">
        <f t="shared" si="1"/>
        <v>97.92</v>
      </c>
      <c r="AJ24" s="63">
        <f t="shared" si="1"/>
        <v>99.73</v>
      </c>
      <c r="AK24" s="63">
        <f t="shared" si="1"/>
        <v>99.990000000000009</v>
      </c>
      <c r="AL24" s="64">
        <f t="shared" si="1"/>
        <v>100.00000000000001</v>
      </c>
    </row>
    <row r="25" spans="1:38" ht="32.1" customHeight="1" thickTop="1">
      <c r="A25" s="366" t="s">
        <v>135</v>
      </c>
      <c r="B25" s="367"/>
      <c r="C25" s="367"/>
      <c r="D25" s="367"/>
      <c r="E25" s="367"/>
      <c r="F25" s="367"/>
      <c r="G25" s="367"/>
      <c r="H25" s="367"/>
      <c r="I25" s="367"/>
      <c r="J25" s="367"/>
      <c r="K25" s="367"/>
      <c r="L25" s="367"/>
      <c r="M25" s="367"/>
      <c r="N25" s="367"/>
      <c r="O25" s="367"/>
      <c r="P25" s="367"/>
      <c r="Q25" s="367"/>
      <c r="R25" s="367"/>
      <c r="S25" s="367"/>
      <c r="T25" s="367"/>
      <c r="U25" s="367"/>
      <c r="V25" s="367"/>
      <c r="W25" s="367"/>
      <c r="X25" s="367"/>
      <c r="Y25" s="367"/>
      <c r="Z25" s="367"/>
      <c r="AA25" s="367"/>
      <c r="AB25" s="367"/>
      <c r="AC25" s="367"/>
      <c r="AD25" s="367"/>
      <c r="AE25" s="367"/>
      <c r="AF25" s="367"/>
      <c r="AG25" s="367"/>
      <c r="AH25" s="367"/>
      <c r="AI25" s="367"/>
      <c r="AJ25" s="367"/>
      <c r="AK25" s="367"/>
      <c r="AL25" s="367"/>
    </row>
    <row r="26" spans="1:38" ht="30" customHeight="1">
      <c r="A26" s="365" t="s">
        <v>131</v>
      </c>
      <c r="B26" s="365"/>
      <c r="C26" s="365"/>
      <c r="D26" s="365"/>
      <c r="E26" s="365"/>
      <c r="F26" s="365"/>
      <c r="G26" s="365"/>
      <c r="H26" s="365"/>
      <c r="I26" s="365"/>
      <c r="J26" s="365"/>
      <c r="K26" s="365"/>
      <c r="L26" s="365"/>
      <c r="M26" s="365"/>
      <c r="N26" s="365"/>
      <c r="O26" s="365"/>
      <c r="P26" s="365"/>
      <c r="Q26" s="365"/>
      <c r="R26" s="365"/>
      <c r="S26" s="365"/>
      <c r="T26" s="365"/>
      <c r="U26" s="365"/>
      <c r="V26" s="365"/>
      <c r="W26" s="365"/>
      <c r="X26" s="365"/>
      <c r="Y26" s="365"/>
      <c r="Z26" s="365"/>
      <c r="AA26" s="365"/>
      <c r="AB26" s="365"/>
      <c r="AC26" s="365"/>
      <c r="AD26" s="365"/>
      <c r="AE26" s="365"/>
      <c r="AF26" s="365"/>
      <c r="AG26" s="365"/>
      <c r="AH26" s="365"/>
      <c r="AI26" s="365"/>
      <c r="AJ26" s="365"/>
      <c r="AK26" s="365"/>
      <c r="AL26" s="365"/>
    </row>
  </sheetData>
  <mergeCells count="31">
    <mergeCell ref="A23:H23"/>
    <mergeCell ref="A24:H24"/>
    <mergeCell ref="A26:AL26"/>
    <mergeCell ref="A25:AL25"/>
    <mergeCell ref="A3:A4"/>
    <mergeCell ref="B3:B4"/>
    <mergeCell ref="C3:C4"/>
    <mergeCell ref="D3:D4"/>
    <mergeCell ref="E3:E4"/>
    <mergeCell ref="F3:F4"/>
    <mergeCell ref="G3:G4"/>
    <mergeCell ref="H3:H4"/>
    <mergeCell ref="I3:K3"/>
    <mergeCell ref="L3:P3"/>
    <mergeCell ref="Q3:T3"/>
    <mergeCell ref="U3:X3"/>
    <mergeCell ref="Y3:AC3"/>
    <mergeCell ref="AD3:AG3"/>
    <mergeCell ref="AH3:AL3"/>
    <mergeCell ref="A1:AL1"/>
    <mergeCell ref="A2:B2"/>
    <mergeCell ref="C2:D2"/>
    <mergeCell ref="E2:F2"/>
    <mergeCell ref="G2:H2"/>
    <mergeCell ref="I2:J2"/>
    <mergeCell ref="K2:L2"/>
    <mergeCell ref="M2:N2"/>
    <mergeCell ref="O2:P2"/>
    <mergeCell ref="Q2:R2"/>
    <mergeCell ref="S2:T2"/>
    <mergeCell ref="U2:AL2"/>
  </mergeCells>
  <phoneticPr fontId="6" type="noConversion"/>
  <printOptions horizontalCentered="1"/>
  <pageMargins left="0.39370078740157483" right="0.19685039370078741" top="0.78740157480314965" bottom="0.19685039370078741" header="0.31496062992125984" footer="0.31496062992125984"/>
  <pageSetup paperSize="8" scale="71"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具名範圍</vt:lpstr>
      </vt:variant>
      <vt:variant>
        <vt:i4>5</vt:i4>
      </vt:variant>
    </vt:vector>
  </HeadingPairs>
  <TitlesOfParts>
    <vt:vector size="16" baseType="lpstr">
      <vt:lpstr>標單</vt:lpstr>
      <vt:lpstr>出工表</vt:lpstr>
      <vt:lpstr>數量表</vt:lpstr>
      <vt:lpstr>日誌</vt:lpstr>
      <vt:lpstr>封面</vt:lpstr>
      <vt:lpstr>封面 (2)</vt:lpstr>
      <vt:lpstr>工作表3</vt:lpstr>
      <vt:lpstr>封面 (3)</vt:lpstr>
      <vt:lpstr>工作表4</vt:lpstr>
      <vt:lpstr>工期表</vt:lpstr>
      <vt:lpstr>施工預定進度表</vt:lpstr>
      <vt:lpstr>日誌!Print_Area</vt:lpstr>
      <vt:lpstr>封面!Print_Area</vt:lpstr>
      <vt:lpstr>施工預定進度表!Print_Area</vt:lpstr>
      <vt:lpstr>數量表!Print_Area</vt:lpstr>
      <vt:lpstr>日誌!Print_Titles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澄 錦</dc:creator>
  <cp:lastModifiedBy>KM LU</cp:lastModifiedBy>
  <cp:lastPrinted>2026-08-31T15:47:57Z</cp:lastPrinted>
  <dcterms:created xsi:type="dcterms:W3CDTF">2025-07-11T01:45:18Z</dcterms:created>
  <dcterms:modified xsi:type="dcterms:W3CDTF">2026-09-01T07:24:11Z</dcterms:modified>
</cp:coreProperties>
</file>